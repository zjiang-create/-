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cc2f361b5b45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英雄养成" sheetId="1" r:id="Raeb47507e2a24857"/>
    <x:sheet xmlns:r="http://schemas.openxmlformats.org/officeDocument/2006/relationships" name="怪物等级" sheetId="2" r:id="Rbbc72ae7defd47da"/>
    <x:sheet xmlns:r="http://schemas.openxmlformats.org/officeDocument/2006/relationships" name="关卡数值" sheetId="3" r:id="Re99ed684d8064e8a"/>
    <x:sheet xmlns:r="http://schemas.openxmlformats.org/officeDocument/2006/relationships" name="关卡投放" sheetId="4" r:id="Rb5fc2e9e54fc4d8f"/>
    <x:sheet xmlns:r="http://schemas.openxmlformats.org/officeDocument/2006/relationships" name="养成消耗调参" sheetId="5" r:id="R09ce6b22269b4ff3"/>
    <x:sheet xmlns:r="http://schemas.openxmlformats.org/officeDocument/2006/relationships" name="英雄升级调参" sheetId="6" r:id="R57bb32ecc23848a7"/>
    <x:sheet xmlns:r="http://schemas.openxmlformats.org/officeDocument/2006/relationships" name="系统投放汇总" sheetId="7" r:id="R34e6f4c899c0425a"/>
    <x:sheet xmlns:r="http://schemas.openxmlformats.org/officeDocument/2006/relationships" name="每日任务投放" sheetId="8" r:id="R3fa31363f79d4bae"/>
    <x:sheet xmlns:r="http://schemas.openxmlformats.org/officeDocument/2006/relationships" name="商店投放" sheetId="9" r:id="R9b0599ae19754373"/>
    <x:sheet xmlns:r="http://schemas.openxmlformats.org/officeDocument/2006/relationships" name="抽卡投放" sheetId="10" r:id="R81a0c8ee59d14680"/>
    <x:sheet xmlns:r="http://schemas.openxmlformats.org/officeDocument/2006/relationships" name="外观定价" sheetId="11" r:id="AccessoryPricing"/>
  </x:sheets>
</x:workbook>
</file>

<file path=xl/sharedStrings.xml><?xml version="1.0" encoding="utf-8"?>
<x:sst xmlns:x="http://schemas.openxmlformats.org/spreadsheetml/2006/main">
  <x:si>
    <x:t xml:space="preserve">英雄养成 · 1—50级</x:t>
  </x:si>
  <x:si>
    <x:t xml:space="preserve">调参入口：养成消耗调参（经验／金币／碎片）；英雄升级调参（品质／成长／英雄系数）。</x:t>
  </x:si>
  <x:si>
    <x:t xml:space="preserve">系数采用手调方案</x:t>
  </x:si>
  <x:si>
    <x:t xml:space="preserve">明细采用目标等级制：升到本行等级支付消耗；消耗调参页按当前等级升下一级列示。5、10…50级另付碎片。</x:t>
  </x:si>
  <x:si>
    <x:t xml:space="preserve">保留截图中的非空样本</x:t>
  </x:si>
  <x:si>
    <x:t xml:space="preserve">成长先按阶段×品质×英雄系数取整，再逐级累加。同阶段增量固定；战力偏差见英雄升级调参。</x:t>
  </x:si>
  <x:si>
    <x:t xml:space="preserve">其余按1、1、2、2、4、4…补齐</x:t>
  </x:si>
  <x:si>
    <x:t xml:space="preserve">13级起每两级增加2</x:t>
  </x:si>
  <x:si>
    <x:t xml:space="preserve">品质锚点</x:t>
  </x:si>
  <x:si>
    <x:t xml:space="preserve">等级</x:t>
  </x:si>
  <x:si>
    <x:t xml:space="preserve">攻击</x:t>
  </x:si>
  <x:si>
    <x:t xml:space="preserve">生命</x:t>
  </x:si>
  <x:si>
    <x:t xml:space="preserve">战力</x:t>
  </x:si>
  <x:si>
    <x:t xml:space="preserve">校验</x:t>
  </x:si>
  <x:si>
    <x:t xml:space="preserve">碎片评估</x:t>
  </x:si>
  <x:si>
    <x:t xml:space="preserve">数量/天</x:t>
  </x:si>
  <x:si>
    <x:t xml:space="preserve">口径</x:t>
  </x:si>
  <x:si>
    <x:t xml:space="preserve">养成消耗调参：经验／金币／碎片</x:t>
  </x:si>
  <x:si>
    <x:t xml:space="preserve">蓝色</x:t>
  </x:si>
  <x:si>
    <x:t xml:space="preserve">满50累计碎片</x:t>
  </x:si>
  <x:si>
    <x:t xml:space="preserve">三个品质一致</x:t>
  </x:si>
  <x:si>
    <x:t xml:space="preserve">英雄升级调参：品质／阶段／英雄系数</x:t>
  </x:si>
  <x:si>
    <x:t xml:space="preserve">紫色</x:t>
  </x:si>
  <x:si>
    <x:t xml:space="preserve">假设每日碎片</x:t>
  </x:si>
  <x:si>
    <x:t xml:space="preserve">仅作敏感性假设</x:t>
  </x:si>
  <x:si>
    <x:t xml:space="preserve">橙色</x:t>
  </x:si>
  <x:si>
    <x:t xml:space="preserve">仅碎片所需天数</x:t>
  </x:si>
  <x:si>
    <x:t xml:space="preserve">不含经验金币限制</x:t>
  </x:si>
  <x:si>
    <x:t xml:space="preserve">橙卡等级</x:t>
  </x:si>
  <x:si>
    <x:t xml:space="preserve">橙卡攻击</x:t>
  </x:si>
  <x:si>
    <x:t xml:space="preserve">橙卡生命</x:t>
  </x:si>
  <x:si>
    <x:t xml:space="preserve">相当紫卡等级</x:t>
  </x:si>
  <x:si>
    <x:t xml:space="preserve">相当蓝卡等级</x:t>
  </x:si>
  <x:si>
    <x:t xml:space="preserve">对应口径</x:t>
  </x:si>
  <x:si>
    <x:t xml:space="preserve">紫卡至少等级</x:t>
  </x:si>
  <x:si>
    <x:t xml:space="preserve">蓝卡至少等级</x:t>
  </x:si>
  <x:si>
    <x:t xml:space="preserve">标准战力等值</x:t>
  </x:si>
  <x:si>
    <x:t xml:space="preserve">等效等级按标准战力在相邻等级间插值，超出50级不外推。英雄明细从第68行起。</x:t>
  </x:si>
  <x:si>
    <x:t xml:space="preserve">英雄ID</x:t>
  </x:si>
  <x:si>
    <x:t xml:space="preserve">英雄</x:t>
  </x:si>
  <x:si>
    <x:t xml:space="preserve">职业建议</x:t>
  </x:si>
  <x:si>
    <x:t xml:space="preserve">品质</x:t>
  </x:si>
  <x:si>
    <x:t xml:space="preserve">阶段</x:t>
  </x:si>
  <x:si>
    <x:t xml:space="preserve">战力(攻×血)</x:t>
  </x:si>
  <x:si>
    <x:t xml:space="preserve">本级加攻</x:t>
  </x:si>
  <x:si>
    <x:t xml:space="preserve">本级加血</x:t>
  </x:si>
  <x:si>
    <x:t xml:space="preserve">本级经验</x:t>
  </x:si>
  <x:si>
    <x:t xml:space="preserve">本级金币</x:t>
  </x:si>
  <x:si>
    <x:t xml:space="preserve">本级碎片</x:t>
  </x:si>
  <x:si>
    <x:t xml:space="preserve">累计经验</x:t>
  </x:si>
  <x:si>
    <x:t xml:space="preserve">累计金币</x:t>
  </x:si>
  <x:si>
    <x:t xml:space="preserve">累计碎片</x:t>
  </x:si>
  <x:si>
    <x:t xml:space="preserve">战力偏差</x:t>
  </x:si>
  <x:si>
    <x:t xml:space="preserve">怪物等级 · 以同级标准蓝卡校准</x:t>
  </x:si>
  <x:si>
    <x:t xml:space="preserve">标准击杀次数</x:t>
  </x:si>
  <x:si>
    <x:t xml:space="preserve">攻击/标准怪血</x:t>
  </x:si>
  <x:si>
    <x:t xml:space="preserve">不可破坏障碍血</x:t>
  </x:si>
  <x:si>
    <x:t xml:space="preserve">1级模型</x:t>
  </x:si>
  <x:si>
    <x:t xml:space="preserve">蓝卡击杀次数</x:t>
  </x:si>
  <x:si>
    <x:t xml:space="preserve">蓝卡承伤次数</x:t>
  </x:si>
  <x:si>
    <x:t xml:space="preserve">模型·标准小怪</x:t>
  </x:si>
  <x:si>
    <x:t xml:space="preserve">怪物ID/模型</x:t>
  </x:si>
  <x:si>
    <x:t xml:space="preserve">名称</x:t>
  </x:si>
  <x:si>
    <x:t xml:space="preserve">分类</x:t>
  </x:si>
  <x:si>
    <x:t xml:space="preserve">生命系数</x:t>
  </x:si>
  <x:si>
    <x:t xml:space="preserve">攻击系数</x:t>
  </x:si>
  <x:si>
    <x:t xml:space="preserve">定位/例外</x:t>
  </x:si>
  <x:si>
    <x:t xml:space="preserve">目标击杀次数</x:t>
  </x:si>
  <x:si>
    <x:t xml:space="preserve">模型·飞行小怪</x:t>
  </x:si>
  <x:si>
    <x:t xml:space="preserve">MODEL_BASE</x:t>
  </x:si>
  <x:si>
    <x:t xml:space="preserve">稻草人模型</x:t>
  </x:si>
  <x:si>
    <x:t xml:space="preserve">模型·精英</x:t>
  </x:si>
  <x:si>
    <x:t xml:space="preserve">MODEL_AIR</x:t>
  </x:si>
  <x:si>
    <x:t xml:space="preserve">类型建议</x:t>
  </x:si>
  <x:si>
    <x:t xml:space="preserve">系数行</x:t>
  </x:si>
  <x:si>
    <x:t xml:space="preserve">蓝卡标准攻击</x:t>
  </x:si>
  <x:si>
    <x:t xml:space="preserve">蓝卡标准生命</x:t>
  </x:si>
  <x:si>
    <x:t xml:space="preserve">紫卡击杀次数</x:t>
  </x:si>
  <x:si>
    <x:t xml:space="preserve">橙卡击杀次数</x:t>
  </x:si>
  <x:si>
    <x:t xml:space="preserve">MODEL_ELITE</x:t>
  </x:si>
  <x:si>
    <x:t xml:space="preserve">MODEL_BOSS</x:t>
  </x:si>
  <x:si>
    <x:t xml:space="preserve">模型·BOSS</x:t>
  </x:si>
  <x:si>
    <x:t xml:space="preserve">苹果小子</x:t>
  </x:si>
  <x:si>
    <x:t xml:space="preserve">普通</x:t>
  </x:si>
  <x:si>
    <x:t xml:space="preserve">蘑菇小子</x:t>
  </x:si>
  <x:si>
    <x:t xml:space="preserve">小草</x:t>
  </x:si>
  <x:si>
    <x:t xml:space="preserve">普通4下；攻击沿用现值</x:t>
  </x:si>
  <x:si>
    <x:t xml:space="preserve">—</x:t>
  </x:si>
  <x:si>
    <x:t xml:space="preserve">石头</x:t>
  </x:si>
  <x:si>
    <x:t xml:space="preserve">障碍</x:t>
  </x:si>
  <x:si>
    <x:t xml:space="preserve">不可破坏障碍；暂留999999血，不参与击杀标尺</x:t>
  </x:si>
  <x:si>
    <x:t xml:space="preserve">不参与</x:t>
  </x:si>
  <x:si>
    <x:t xml:space="preserve">蜜蜂</x:t>
  </x:si>
  <x:si>
    <x:t xml:space="preserve">飞行</x:t>
  </x:si>
  <x:si>
    <x:t xml:space="preserve">花射手</x:t>
  </x:si>
  <x:si>
    <x:t xml:space="preserve">远程</x:t>
  </x:si>
  <x:si>
    <x:t xml:space="preserve">橙子球</x:t>
  </x:si>
  <x:si>
    <x:t xml:space="preserve">葡萄狗</x:t>
  </x:si>
  <x:si>
    <x:t xml:space="preserve">中等</x:t>
  </x:si>
  <x:si>
    <x:t xml:space="preserve">荔枝滚滚</x:t>
  </x:si>
  <x:si>
    <x:t xml:space="preserve">双刀西瓜</x:t>
  </x:si>
  <x:si>
    <x:t xml:space="preserve">仙人掌</x:t>
  </x:si>
  <x:si>
    <x:t xml:space="preserve">自爆石榴</x:t>
  </x:si>
  <x:si>
    <x:t xml:space="preserve">炮弹鸭梨</x:t>
  </x:si>
  <x:si>
    <x:t xml:space="preserve">鳄小弟</x:t>
  </x:si>
  <x:si>
    <x:t xml:space="preserve">召唤物</x:t>
  </x:si>
  <x:si>
    <x:t xml:space="preserve">主角召唤物；由召唤技能单独配置，不参与怪物平衡</x:t>
  </x:si>
  <x:si>
    <x:t xml:space="preserve">雪怪</x:t>
  </x:si>
  <x:si>
    <x:t xml:space="preserve">大屁桃</x:t>
  </x:si>
  <x:si>
    <x:t xml:space="preserve">红葡萄狗</x:t>
  </x:si>
  <x:si>
    <x:t xml:space="preserve">蝙蝠</x:t>
  </x:si>
  <x:si>
    <x:t xml:space="preserve">菠萝战士</x:t>
  </x:si>
  <x:si>
    <x:t xml:space="preserve">小雪人</x:t>
  </x:si>
  <x:si>
    <x:t xml:space="preserve">草莓雪球怪</x:t>
  </x:si>
  <x:si>
    <x:t xml:space="preserve">西瓜BOSS</x:t>
  </x:si>
  <x:si>
    <x:t xml:space="preserve">BOSS</x:t>
  </x:si>
  <x:si>
    <x:t xml:space="preserve">蓝莓</x:t>
  </x:si>
  <x:si>
    <x:t xml:space="preserve">蓝莓1下；攻击沿用现值</x:t>
  </x:si>
  <x:si>
    <x:t xml:space="preserve">荔枝滚滚BOSS</x:t>
  </x:si>
  <x:si>
    <x:t xml:space="preserve">豌豆射手</x:t>
  </x:si>
  <x:si>
    <x:t xml:space="preserve">来源：C:\UGit\sldh-config\Config\Excels\Tables\G-MonsterLevel-怪物等级表.xlsx；提取25种怪物ID和名称，分类与系数为方案建议。</x:t>
  </x:si>
  <x:si>
    <x:t xml:space="preserve">不可击杀</x:t>
  </x:si>
  <x:si>
    <x:t xml:space="preserve">关卡数值 · 主线前五章</x:t>
  </x:si>
  <x:si>
    <x:t xml:space="preserve">保留55条现有主线入口ID；加演/隐藏单列。推荐等级按新版整数标准英雄攻击×生命达到同级蓝卡标尺反查。</x:t>
  </x:si>
  <x:si>
    <x:t xml:space="preserve">普通推进分摊剩余等级预算，允许连续关卡同级；每章第5关与主流程最后一关+3，重合只算一次。</x:t>
  </x:si>
  <x:si>
    <x:t xml:space="preserve">加演沿用章末等级，隐藏关沿用第5关等级。关卡怪物等级统一使用建议StageLevel；不代表新增怪物摆放。</x:t>
  </x:si>
  <x:si>
    <x:t xml:space="preserve">章节</x:t>
  </x:si>
  <x:si>
    <x:t xml:space="preserve">首关等级</x:t>
  </x:si>
  <x:si>
    <x:t xml:space="preserve">章末等级</x:t>
  </x:si>
  <x:si>
    <x:t xml:space="preserve">蓝卡推荐</x:t>
  </x:si>
  <x:si>
    <x:t xml:space="preserve">紫卡推荐</x:t>
  </x:si>
  <x:si>
    <x:t xml:space="preserve">橙卡推荐</x:t>
  </x:si>
  <x:si>
    <x:t xml:space="preserve">起始怪物等级</x:t>
  </x:si>
  <x:si>
    <x:t xml:space="preserve">章末怪物等级</x:t>
  </x:si>
  <x:si>
    <x:t xml:space="preserve">节点级差</x:t>
  </x:si>
  <x:si>
    <x:t xml:space="preserve">主流程关数</x:t>
  </x:si>
  <x:si>
    <x:t xml:space="preserve">正常步数</x:t>
  </x:si>
  <x:si>
    <x:t xml:space="preserve">可用正常增量</x:t>
  </x:si>
  <x:si>
    <x:t xml:space="preserve">关卡ID</x:t>
  </x:si>
  <x:si>
    <x:t xml:space="preserve">关卡显示名</x:t>
  </x:si>
  <x:si>
    <x:t xml:space="preserve">类型</x:t>
  </x:si>
  <x:si>
    <x:t xml:space="preserve">章内序号</x:t>
  </x:si>
  <x:si>
    <x:t xml:space="preserve">当前怪物等级</x:t>
  </x:si>
  <x:si>
    <x:t xml:space="preserve">建议怪物等级</x:t>
  </x:si>
  <x:si>
    <x:t xml:space="preserve">相比上一主关</x:t>
  </x:si>
  <x:si>
    <x:t xml:space="preserve">蓝卡推荐等级</x:t>
  </x:si>
  <x:si>
    <x:t xml:space="preserve">紫卡推荐等级</x:t>
  </x:si>
  <x:si>
    <x:t xml:space="preserve">橙卡推荐等级</x:t>
  </x:si>
  <x:si>
    <x:t xml:space="preserve">节点说明</x:t>
  </x:si>
  <x:si>
    <x:t xml:space="preserve">标准小怪生命</x:t>
  </x:si>
  <x:si>
    <x:t xml:space="preserve">标准小怪攻击</x:t>
  </x:si>
  <x:si>
    <x:t xml:space="preserve">精英生命</x:t>
  </x:si>
  <x:si>
    <x:t xml:space="preserve">BOSS生命</x:t>
  </x:si>
  <x:si>
    <x:t xml:space="preserve">实际地图路径</x:t>
  </x:si>
  <x:si>
    <x:t xml:space="preserve">主流程位置</x:t>
  </x:si>
  <x:si>
    <x:t xml:space="preserve">已过台阶数</x:t>
  </x:si>
  <x:si>
    <x:t xml:space="preserve">已过正常步</x:t>
  </x:si>
  <x:si>
    <x:t xml:space="preserve">章内参数行</x:t>
  </x:si>
  <x:si>
    <x:t xml:space="preserve">蓝卡目标战力</x:t>
  </x:si>
  <x:si>
    <x:t xml:space="preserve">等级校验</x:t>
  </x:si>
  <x:si>
    <x:t xml:space="preserve">1-1</x:t>
  </x:si>
  <x:si>
    <x:t xml:space="preserve">起点</x:t>
  </x:si>
  <x:si>
    <x:t xml:space="preserve">正常推进</x:t>
  </x:si>
  <x:si>
    <x:t xml:space="preserve">battle\chapter1\battleblock_1_2</x:t>
  </x:si>
  <x:si>
    <x:t xml:space="preserve">1-2</x:t>
  </x:si>
  <x:si>
    <x:t xml:space="preserve">battle\chapter1\battleblock_1_3</x:t>
  </x:si>
  <x:si>
    <x:t xml:space="preserve">1-3</x:t>
  </x:si>
  <x:si>
    <x:t xml:space="preserve">battle\chapter1\battleblock_1_4</x:t>
  </x:si>
  <x:si>
    <x:t xml:space="preserve">1-4</x:t>
  </x:si>
  <x:si>
    <x:t xml:space="preserve">battle\chapter1\battleblock_1_5</x:t>
  </x:si>
  <x:si>
    <x:t xml:space="preserve">1-5</x:t>
  </x:si>
  <x:si>
    <x:t xml:space="preserve">第5关+3</x:t>
  </x:si>
  <x:si>
    <x:t xml:space="preserve">battle\chapter1\battleblock_1_6</x:t>
  </x:si>
  <x:si>
    <x:t xml:space="preserve">1-6</x:t>
  </x:si>
  <x:si>
    <x:t xml:space="preserve">battle\chapter1\battleblock_1_7</x:t>
  </x:si>
  <x:si>
    <x:t xml:space="preserve">1-7</x:t>
  </x:si>
  <x:si>
    <x:t xml:space="preserve">battle\chapter1\battleblock_1_8</x:t>
  </x:si>
  <x:si>
    <x:t xml:space="preserve">终章</x:t>
  </x:si>
  <x:si>
    <x:t xml:space="preserve">battle\chapter1\battleblock_1_finale_1</x:t>
  </x:si>
  <x:si>
    <x:t xml:space="preserve">章末+3</x:t>
  </x:si>
  <x:si>
    <x:t xml:space="preserve">battle\chapter1\battleblock_1_finale_2</x:t>
  </x:si>
  <x:si>
    <x:t xml:space="preserve">加演</x:t>
  </x:si>
  <x:si>
    <x:t xml:space="preserve">支线沿用</x:t>
  </x:si>
  <x:si>
    <x:t xml:space="preserve">沿用章末</x:t>
  </x:si>
  <x:si>
    <x:t xml:space="preserve">battle\chapter1\battleblock_1_encore_3</x:t>
  </x:si>
  <x:si>
    <x:t xml:space="preserve">2-1</x:t>
  </x:si>
  <x:si>
    <x:t xml:space="preserve">battle/chapter2/battleblock_2_1</x:t>
  </x:si>
  <x:si>
    <x:t xml:space="preserve">2-2</x:t>
  </x:si>
  <x:si>
    <x:t xml:space="preserve">battle/chapter2/battleblock_2_2</x:t>
  </x:si>
  <x:si>
    <x:t xml:space="preserve">2-3</x:t>
  </x:si>
  <x:si>
    <x:t xml:space="preserve">battle/chapter2/battleblock_2_3</x:t>
  </x:si>
  <x:si>
    <x:t xml:space="preserve">2-4</x:t>
  </x:si>
  <x:si>
    <x:t xml:space="preserve">battle/chapter2/battleblock_2_4</x:t>
  </x:si>
  <x:si>
    <x:t xml:space="preserve">2-5</x:t>
  </x:si>
  <x:si>
    <x:t xml:space="preserve">battle/chapter2/battleblock_2_5</x:t>
  </x:si>
  <x:si>
    <x:t xml:space="preserve">2-6</x:t>
  </x:si>
  <x:si>
    <x:t xml:space="preserve">battle/chapter2/battleblock_2_6</x:t>
  </x:si>
  <x:si>
    <x:t xml:space="preserve">2-7</x:t>
  </x:si>
  <x:si>
    <x:t xml:space="preserve">battle/chapter2/1020070</x:t>
  </x:si>
  <x:si>
    <x:t xml:space="preserve">2-8</x:t>
  </x:si>
  <x:si>
    <x:t xml:space="preserve">battle/chapter2/1020080</x:t>
  </x:si>
  <x:si>
    <x:t xml:space="preserve">2-9</x:t>
  </x:si>
  <x:si>
    <x:t xml:space="preserve">battle/chapter2/1020090</x:t>
  </x:si>
  <x:si>
    <x:t xml:space="preserve">2-10</x:t>
  </x:si>
  <x:si>
    <x:t xml:space="preserve">battle/chapter2/1020050</x:t>
  </x:si>
  <x:si>
    <x:t xml:space="preserve">3-1</x:t>
  </x:si>
  <x:si>
    <x:t xml:space="preserve">battle/chapter3/battleblock_3_1</x:t>
  </x:si>
  <x:si>
    <x:t xml:space="preserve">3-2</x:t>
  </x:si>
  <x:si>
    <x:t xml:space="preserve">battle/chapter3/battleblock_3_2</x:t>
  </x:si>
  <x:si>
    <x:t xml:space="preserve">3-3</x:t>
  </x:si>
  <x:si>
    <x:t xml:space="preserve">battle/chapter3/battleblock_3_3</x:t>
  </x:si>
  <x:si>
    <x:t xml:space="preserve">3-4</x:t>
  </x:si>
  <x:si>
    <x:t xml:space="preserve">battle/chapter3/battleblock_3_4</x:t>
  </x:si>
  <x:si>
    <x:t xml:space="preserve">3-5</x:t>
  </x:si>
  <x:si>
    <x:t xml:space="preserve">battle/chapter3/battleblock_3_5</x:t>
  </x:si>
  <x:si>
    <x:t xml:space="preserve">来源：C:\UGit\sldh-config\Config\Excels\Tables\G-Level-关卡表.xlsx，2026-09-23本地快照；当前等级和地图路径为原值。</x:t>
  </x:si>
  <x:si>
    <x:t xml:space="preserve">3-6</x:t>
  </x:si>
  <x:si>
    <x:t xml:space="preserve">battle/chapter3/battleblock_3_6</x:t>
  </x:si>
  <x:si>
    <x:t xml:space="preserve">第四/五章未制作的地图仍保留原表路径；本方案不生成地图、不改解锁关系或下一关ID。</x:t>
  </x:si>
  <x:si>
    <x:t xml:space="preserve">3-7</x:t>
  </x:si>
  <x:si>
    <x:t xml:space="preserve">battle/chapter3/battleblock_3_7</x:t>
  </x:si>
  <x:si>
    <x:t xml:space="preserve">第一章原表有重复1-7标签，因此使用关卡ID和地图路径辨认；不擅自改名。</x:t>
  </x:si>
  <x:si>
    <x:t xml:space="preserve">3-8</x:t>
  </x:si>
  <x:si>
    <x:t xml:space="preserve">battle/chapter3/battleblock_3_8</x:t>
  </x:si>
  <x:si>
    <x:t xml:space="preserve">精英和BOSS列用于该等级的强度参考，不表示每关必定放置；怪物种类仍由地图决定。</x:t>
  </x:si>
  <x:si>
    <x:t xml:space="preserve">3-9</x:t>
  </x:si>
  <x:si>
    <x:t xml:space="preserve">battle/chapter3/battleblock_3_9</x:t>
  </x:si>
  <x:si>
    <x:t xml:space="preserve">推荐等级采用整数累计后的标准战力；各英雄取整偏差、职业技能和机关难度另计。低攻英雄不保证同级三击。</x:t>
  </x:si>
  <x:si>
    <x:t xml:space="preserve">3-终章1</x:t>
  </x:si>
  <x:si>
    <x:t xml:space="preserve">battle/chapter3/battleblock_3_finale_1</x:t>
  </x:si>
  <x:si>
    <x:t xml:space="preserve">3-终章2</x:t>
  </x:si>
  <x:si>
    <x:t xml:space="preserve">battle/chapter3/battleblock_3_finale_2</x:t>
  </x:si>
  <x:si>
    <x:t xml:space="preserve">3-加演1</x:t>
  </x:si>
  <x:si>
    <x:t xml:space="preserve">battle/chapter3/battleblock_3_encore_1</x:t>
  </x:si>
  <x:si>
    <x:t xml:space="preserve">3-加演2</x:t>
  </x:si>
  <x:si>
    <x:t xml:space="preserve">battle/chapter3/battleblock_3_encore_2</x:t>
  </x:si>
  <x:si>
    <x:t xml:space="preserve">3-加演3</x:t>
  </x:si>
  <x:si>
    <x:t xml:space="preserve">battle/chapter3/battleblock_3_encore_3</x:t>
  </x:si>
  <x:si>
    <x:t xml:space="preserve">3-隐藏关</x:t>
  </x:si>
  <x:si>
    <x:t xml:space="preserve">隐藏</x:t>
  </x:si>
  <x:si>
    <x:t xml:space="preserve">沿用章内第5关</x:t>
  </x:si>
  <x:si>
    <x:t xml:space="preserve">battle/chapter3/battleblock_3_secret</x:t>
  </x:si>
  <x:si>
    <x:t xml:space="preserve">4-1</x:t>
  </x:si>
  <x:si>
    <x:t xml:space="preserve">battle/chapter4/battleblock_4_1</x:t>
  </x:si>
  <x:si>
    <x:t xml:space="preserve">4-2</x:t>
  </x:si>
  <x:si>
    <x:t xml:space="preserve">battle/chapter4/battleblock_4_2</x:t>
  </x:si>
  <x:si>
    <x:t xml:space="preserve">4-3</x:t>
  </x:si>
  <x:si>
    <x:t xml:space="preserve">battle/chapter4/battleblock_4_3</x:t>
  </x:si>
  <x:si>
    <x:t xml:space="preserve">4-4</x:t>
  </x:si>
  <x:si>
    <x:t xml:space="preserve">battle/chapter4/battleblock_4_4</x:t>
  </x:si>
  <x:si>
    <x:t xml:space="preserve">4-5</x:t>
  </x:si>
  <x:si>
    <x:t xml:space="preserve">battle/chapter4/battleblock_4_5</x:t>
  </x:si>
  <x:si>
    <x:t xml:space="preserve">4-6</x:t>
  </x:si>
  <x:si>
    <x:t xml:space="preserve">battle/chapter4/battleblock_4_6</x:t>
  </x:si>
  <x:si>
    <x:t xml:space="preserve">4-7</x:t>
  </x:si>
  <x:si>
    <x:t xml:space="preserve">battle/chapter4/battleblock_4_7</x:t>
  </x:si>
  <x:si>
    <x:t xml:space="preserve">4-8</x:t>
  </x:si>
  <x:si>
    <x:t xml:space="preserve">battle/chapter4/battleblock_4_8</x:t>
  </x:si>
  <x:si>
    <x:t xml:space="preserve">4-9</x:t>
  </x:si>
  <x:si>
    <x:t xml:space="preserve">battle/chapter4/battleblock_4_9</x:t>
  </x:si>
  <x:si>
    <x:t xml:space="preserve">4-终章1</x:t>
  </x:si>
  <x:si>
    <x:t xml:space="preserve">battle/chapter4/battleblock_4_finale_1</x:t>
  </x:si>
  <x:si>
    <x:t xml:space="preserve">4-终章2</x:t>
  </x:si>
  <x:si>
    <x:t xml:space="preserve">battle/chapter4/battleblock_4_finale_2</x:t>
  </x:si>
  <x:si>
    <x:t xml:space="preserve">4-加演1</x:t>
  </x:si>
  <x:si>
    <x:t xml:space="preserve">battle/chapter4/battleblock_4_encore_1</x:t>
  </x:si>
  <x:si>
    <x:t xml:space="preserve">4-加演2</x:t>
  </x:si>
  <x:si>
    <x:t xml:space="preserve">battle/chapter4/battleblock_4_encore_2</x:t>
  </x:si>
  <x:si>
    <x:t xml:space="preserve">4-加演3</x:t>
  </x:si>
  <x:si>
    <x:t xml:space="preserve">battle/chapter4/battleblock_4_encore_3</x:t>
  </x:si>
  <x:si>
    <x:t xml:space="preserve">4-隐藏关</x:t>
  </x:si>
  <x:si>
    <x:t xml:space="preserve">battle/chapter4/battleblock_4_secret</x:t>
  </x:si>
  <x:si>
    <x:t xml:space="preserve">5-1</x:t>
  </x:si>
  <x:si>
    <x:t xml:space="preserve">MaoXian/XiZang/1050010</x:t>
  </x:si>
  <x:si>
    <x:t xml:space="preserve">5-2</x:t>
  </x:si>
  <x:si>
    <x:t xml:space="preserve">MaoXian/XiZang/1050020</x:t>
  </x:si>
  <x:si>
    <x:t xml:space="preserve">5-3</x:t>
  </x:si>
  <x:si>
    <x:t xml:space="preserve">MaoXian/XiZang/1050030</x:t>
  </x:si>
  <x:si>
    <x:t xml:space="preserve">5-4</x:t>
  </x:si>
  <x:si>
    <x:t xml:space="preserve">MaoXian/XiZang/1050040</x:t>
  </x:si>
  <x:si>
    <x:t xml:space="preserve">5-5</x:t>
  </x:si>
  <x:si>
    <x:t xml:space="preserve">第5关/章末，共用+3</x:t>
  </x:si>
  <x:si>
    <x:t xml:space="preserve">MaoXian/XiZang/1050050</x:t>
  </x:si>
  <x:si>
    <x:t xml:space="preserve">关卡投放与累计养成</x:t>
  </x:si>
  <x:si>
    <x:t xml:space="preserve">可调参数</x:t>
  </x:si>
  <x:si>
    <x:t xml:space="preserve">当前值</x:t>
  </x:si>
  <x:si>
    <x:t xml:space="preserve">三个职业各1位蓝卡主力。按现有55个入口依次各胜利1次，包含加演/隐藏；经验按章累计覆盖60%，单关覆盖率允许波动。</x:t>
  </x:si>
  <x:si>
    <x:t xml:space="preserve">每职业主力数</x:t>
  </x:si>
  <x:si>
    <x:t xml:space="preserve">三个职业相同人数</x:t>
  </x:si>
  <x:si>
    <x:t xml:space="preserve">常规胜败奖励只有三职业经验和金币，可反复刷；金币覆盖三位蓝卡推荐成本的120%，失败按胜利20%。钻石/鱼干仅首通发放。</x:t>
  </x:si>
  <x:si>
    <x:t xml:space="preserve">经验目标覆盖</x:t>
  </x:si>
  <x:si>
    <x:t xml:space="preserve">每章累计蓝卡经验需求</x:t>
  </x:si>
  <x:si>
    <x:t xml:space="preserve">所有鱼干和钻石均用于抽卡，按整次十连计算；先鱼干后钻石。抽卡收益引用“抽卡投放”长期均值；同品质英雄均分，已拥有目标英雄，不计解锁成本。</x:t>
  </x:si>
  <x:si>
    <x:t xml:space="preserve">金币供给倍率</x:t>
  </x:si>
  <x:si>
    <x:t xml:space="preserve">三职业完整升级金币需求</x:t>
  </x:si>
  <x:si>
    <x:t xml:space="preserve">失败奖励比例</x:t>
  </x:si>
  <x:si>
    <x:t xml:space="preserve">经验取整数；金币按掉落取整单位向下取整</x:t>
  </x:si>
  <x:si>
    <x:t xml:space="preserve">经验奖励权重指数</x:t>
  </x:si>
  <x:si>
    <x:t xml:space="preserve">按关卡全局序号的幂分配章内预算</x:t>
  </x:si>
  <x:si>
    <x:t xml:space="preserve">章节完成</x:t>
  </x:si>
  <x:si>
    <x:t xml:space="preserve">每职业经验</x:t>
  </x:si>
  <x:si>
    <x:t xml:space="preserve">总金币</x:t>
  </x:si>
  <x:si>
    <x:t xml:space="preserve">鱼干</x:t>
  </x:si>
  <x:si>
    <x:t xml:space="preserve">钻石</x:t>
  </x:si>
  <x:si>
    <x:t xml:space="preserve">完成抽数</x:t>
  </x:si>
  <x:si>
    <x:t xml:space="preserve">蓝卡可达</x:t>
  </x:si>
  <x:si>
    <x:t xml:space="preserve">紫卡可达</x:t>
  </x:si>
  <x:si>
    <x:t xml:space="preserve">橙卡可达</x:t>
  </x:si>
  <x:si>
    <x:t xml:space="preserve">经验覆盖</x:t>
  </x:si>
  <x:si>
    <x:t xml:space="preserve">金币覆盖</x:t>
  </x:si>
  <x:si>
    <x:t xml:space="preserve">节点鱼干数</x:t>
  </x:si>
  <x:si>
    <x:t xml:space="preserve">每章主流程第1/5/最后关；重合只发一次</x:t>
  </x:si>
  <x:si>
    <x:t xml:space="preserve">第1章全部入口</x:t>
  </x:si>
  <x:si>
    <x:t xml:space="preserve">蓝/紫/橙按单英雄份额独立对照，不同时培养。</x:t>
  </x:si>
  <x:si>
    <x:t xml:space="preserve">钻石兑换每抽</x:t>
  </x:si>
  <x:si>
    <x:t xml:space="preserve">用户给定</x:t>
  </x:si>
  <x:si>
    <x:t xml:space="preserve">第2章全部入口</x:t>
  </x:si>
  <x:si>
    <x:t xml:space="preserve">本章末统计包含本章加演、隐藏关。</x:t>
  </x:si>
  <x:si>
    <x:t xml:space="preserve">十连抽数</x:t>
  </x:si>
  <x:si>
    <x:t xml:space="preserve">只计算完整十连</x:t>
  </x:si>
  <x:si>
    <x:t xml:space="preserve">第3章全部入口</x:t>
  </x:si>
  <x:si>
    <x:t xml:space="preserve">仅计算每关胜利一次；不含失败或重复刷取。</x:t>
  </x:si>
  <x:si>
    <x:t xml:space="preserve">十连蓝色碎片</x:t>
  </x:si>
  <x:si>
    <x:t xml:space="preserve">引用抽卡投放，蓝色全部英雄合计</x:t>
  </x:si>
  <x:si>
    <x:t xml:space="preserve">第4章全部入口</x:t>
  </x:si>
  <x:si>
    <x:t xml:space="preserve">钻石/鱼干仅首通，按整十连估算分散碎片。</x:t>
  </x:si>
  <x:si>
    <x:t xml:space="preserve">十连紫色碎片</x:t>
  </x:si>
  <x:si>
    <x:t xml:space="preserve">引用抽卡投放，紫色全部英雄合计</x:t>
  </x:si>
  <x:si>
    <x:t xml:space="preserve">第5章全部入口</x:t>
  </x:si>
  <x:si>
    <x:t xml:space="preserve">完整数据：第38行奖励，第98行累计养成。</x:t>
  </x:si>
  <x:si>
    <x:t xml:space="preserve">十连橙色碎片</x:t>
  </x:si>
  <x:si>
    <x:t xml:space="preserve">引用抽卡投放，橙色全部英雄合计</x:t>
  </x:si>
  <x:si>
    <x:t xml:space="preserve">蓝卡池人数</x:t>
  </x:si>
  <x:si>
    <x:t xml:space="preserve">本表新品质角色数（用户截图）</x:t>
  </x:si>
  <x:si>
    <x:t xml:space="preserve">紫卡池人数</x:t>
  </x:si>
  <x:si>
    <x:t xml:space="preserve">橙卡池人数</x:t>
  </x:si>
  <x:si>
    <x:t xml:space="preserve">首通钻石取整单位</x:t>
  </x:si>
  <x:si>
    <x:t xml:space="preserve">每关首通钻石按章节固定，不再反推碎片预算</x:t>
  </x:si>
  <x:si>
    <x:t xml:space="preserve">金币掉落取整单位</x:t>
  </x:si>
  <x:si>
    <x:t xml:space="preserve">胜利按累计分配取整；失败按20%向下取整</x:t>
  </x:si>
  <x:si>
    <x:t xml:space="preserve">职业数</x:t>
  </x:si>
  <x:si>
    <x:t xml:space="preserve">勇气/机敏/坚毅经验分别养成</x:t>
  </x:si>
  <x:si>
    <x:t xml:space="preserve">抽卡每十连勇气经验</x:t>
  </x:si>
  <x:si>
    <x:t xml:space="preserve">引用抽卡投放长期每十连期望</x:t>
  </x:si>
  <x:si>
    <x:t xml:space="preserve">抽卡每十连机敏经验</x:t>
  </x:si>
  <x:si>
    <x:t xml:space="preserve">抽卡每十连坚毅经验</x:t>
  </x:si>
  <x:si>
    <x:t xml:space="preserve">抽卡每十连金币</x:t>
  </x:si>
  <x:si>
    <x:t xml:space="preserve">首通钻石按用户指定：第一章100/关、第二章150/关、第三至五章200/关；鱼干节点沿用每次10个。</x:t>
  </x:si>
  <x:si>
    <x:t xml:space="preserve">碎片分散人数引用英雄升级调参当前品质；抽卡投放按全部10位英雄入池，同品质等概率。</x:t>
  </x:si>
  <x:si>
    <x:t xml:space="preserve">经验对应道具：勇气110001、机敏110002、坚毅110003；本文件只给数值方案。</x:t>
  </x:si>
  <x:si>
    <x:t xml:space="preserve">蓝/紫/橙是单个英雄使用一职业经验和1/3金币的独立对照，不同时培养，不假设每职业均有每品质。</x:t>
  </x:si>
  <x:si>
    <x:t xml:space="preserve">经验按章末需求60%、金币按120%分配；金币按取整单位分配。首通钻石独立配置，碎片不足显示在可达等级中。</x:t>
  </x:si>
  <x:si>
    <x:t xml:space="preserve">资源在本关胜利后入账，因此本行可达等级用于打完本关之后，不作为进入本关时已拥有的等级。</x:t>
  </x:si>
  <x:si>
    <x:t xml:space="preserve">章</x:t>
  </x:si>
  <x:si>
    <x:t xml:space="preserve">章末目标等级</x:t>
  </x:si>
  <x:si>
    <x:t xml:space="preserve">累计经验/职业</x:t>
  </x:si>
  <x:si>
    <x:t xml:space="preserve">本章经验/职业</x:t>
  </x:si>
  <x:si>
    <x:t xml:space="preserve">本章金币</x:t>
  </x:si>
  <x:si>
    <x:t xml:space="preserve">本章鱼干</x:t>
  </x:si>
  <x:si>
    <x:t xml:space="preserve">累计鱼干</x:t>
  </x:si>
  <x:si>
    <x:t xml:space="preserve">累计可完成抽数</x:t>
  </x:si>
  <x:si>
    <x:t xml:space="preserve">累计钻石</x:t>
  </x:si>
  <x:si>
    <x:t xml:space="preserve">本章钻石</x:t>
  </x:si>
  <x:si>
    <x:t xml:space="preserve">经验权重合计</x:t>
  </x:si>
  <x:si>
    <x:t xml:space="preserve">每关首通钻石</x:t>
  </x:si>
  <x:si>
    <x:t xml:space="preserve">累计蓝片需求/人</x:t>
  </x:si>
  <x:si>
    <x:t xml:space="preserve">序号</x:t>
  </x:si>
  <x:si>
    <x:t xml:space="preserve">关卡名称</x:t>
  </x:si>
  <x:si>
    <x:t xml:space="preserve">胜利勇气经验</x:t>
  </x:si>
  <x:si>
    <x:t xml:space="preserve">胜利机敏经验</x:t>
  </x:si>
  <x:si>
    <x:t xml:space="preserve">胜利坚毅经验</x:t>
  </x:si>
  <x:si>
    <x:t xml:space="preserve">胜利金币</x:t>
  </x:si>
  <x:si>
    <x:t xml:space="preserve">失败勇气经验</x:t>
  </x:si>
  <x:si>
    <x:t xml:space="preserve">失败机敏经验</x:t>
  </x:si>
  <x:si>
    <x:t xml:space="preserve">失败坚毅经验</x:t>
  </x:si>
  <x:si>
    <x:t xml:space="preserve">失败金币</x:t>
  </x:si>
  <x:si>
    <x:t xml:space="preserve">首通鱼干</x:t>
  </x:si>
  <x:si>
    <x:t xml:space="preserve">首通钻石</x:t>
  </x:si>
  <x:si>
    <x:t xml:space="preserve">奖励节点</x:t>
  </x:si>
  <x:si>
    <x:t xml:space="preserve">经验分配权重</x:t>
  </x:si>
  <x:si>
    <x:t xml:space="preserve">首通钻石折算抽数</x:t>
  </x:si>
  <x:si>
    <x:t xml:space="preserve">首/5/章末</x:t>
  </x:si>
  <x:si>
    <x:t xml:space="preserve">关卡</x:t>
  </x:si>
  <x:si>
    <x:t xml:space="preserve">累计勇气经验</x:t>
  </x:si>
  <x:si>
    <x:t xml:space="preserve">累计机敏经验</x:t>
  </x:si>
  <x:si>
    <x:t xml:space="preserve">累计坚毅经验</x:t>
  </x:si>
  <x:si>
    <x:t xml:space="preserve">可完成抽数</x:t>
  </x:si>
  <x:si>
    <x:t xml:space="preserve">余鱼干</x:t>
  </x:si>
  <x:si>
    <x:t xml:space="preserve">余钻石</x:t>
  </x:si>
  <x:si>
    <x:t xml:space="preserve">蓝片/英雄期望</x:t>
  </x:si>
  <x:si>
    <x:t xml:space="preserve">紫片/英雄期望</x:t>
  </x:si>
  <x:si>
    <x:t xml:space="preserve">橙片/英雄期望</x:t>
  </x:si>
  <x:si>
    <x:t xml:space="preserve">蓝经验可达</x:t>
  </x:si>
  <x:si>
    <x:t xml:space="preserve">紫经验可达</x:t>
  </x:si>
  <x:si>
    <x:t xml:space="preserve">橙经验可达</x:t>
  </x:si>
  <x:si>
    <x:t xml:space="preserve">蓝金币可达</x:t>
  </x:si>
  <x:si>
    <x:t xml:space="preserve">紫金币可达</x:t>
  </x:si>
  <x:si>
    <x:t xml:space="preserve">橙金币可达</x:t>
  </x:si>
  <x:si>
    <x:t xml:space="preserve">蓝碎片可达</x:t>
  </x:si>
  <x:si>
    <x:t xml:space="preserve">紫碎片可达</x:t>
  </x:si>
  <x:si>
    <x:t xml:space="preserve">橙碎片可达</x:t>
  </x:si>
  <x:si>
    <x:t xml:space="preserve">蓝实际可达</x:t>
  </x:si>
  <x:si>
    <x:t xml:space="preserve">紫实际可达</x:t>
  </x:si>
  <x:si>
    <x:t xml:space="preserve">橙实际可达</x:t>
  </x:si>
  <x:si>
    <x:t xml:space="preserve">主力经验覆盖</x:t>
  </x:si>
  <x:si>
    <x:t xml:space="preserve">三人金币覆盖</x:t>
  </x:si>
  <x:si>
    <x:t xml:space="preserve">三蓝实际金币余量</x:t>
  </x:si>
  <x:si>
    <x:t xml:space="preserve">蓝片需求覆盖</x:t>
  </x:si>
  <x:si>
    <x:t xml:space="preserve">经验待补/职业</x:t>
  </x:si>
  <x:si>
    <x:t xml:space="preserve">养成消耗调参</x:t>
  </x:si>
  <x:si>
    <x:t xml:space="preserve">黄色单元格可编辑；灰色为自动计算。修改参数后，明细与图表同步更新。</x:t>
  </x:si>
  <x:si>
    <x:t xml:space="preserve">消耗基数</x:t>
  </x:si>
  <x:si>
    <x:t xml:space="preserve">升阶碎片</x:t>
  </x:si>
  <x:si>
    <x:t xml:space="preserve">资源</x:t>
  </x:si>
  <x:si>
    <x:t xml:space="preserve">蓝卡</x:t>
  </x:si>
  <x:si>
    <x:t xml:space="preserve">紫卡</x:t>
  </x:si>
  <x:si>
    <x:t xml:space="preserve">橙卡</x:t>
  </x:si>
  <x:si>
    <x:t xml:space="preserve">参数</x:t>
  </x:si>
  <x:si>
    <x:t xml:space="preserve">数值</x:t>
  </x:si>
  <x:si>
    <x:t xml:space="preserve">单位</x:t>
  </x:si>
  <x:si>
    <x:t xml:space="preserve">用途</x:t>
  </x:si>
  <x:si>
    <x:t xml:space="preserve">升级经验</x:t>
  </x:si>
  <x:si>
    <x:t xml:space="preserve">首阶消耗</x:t>
  </x:si>
  <x:si>
    <x:t xml:space="preserve">片</x:t>
  </x:si>
  <x:si>
    <x:t xml:space="preserve">所有品质一致</x:t>
  </x:si>
  <x:si>
    <x:t xml:space="preserve">升级金币</x:t>
  </x:si>
  <x:si>
    <x:t xml:space="preserve">每阶递增</x:t>
  </x:si>
  <x:si>
    <x:t xml:space="preserve">每5级一次突破</x:t>
  </x:si>
  <x:si>
    <x:t xml:space="preserve">每日同英雄碎片</x:t>
  </x:si>
  <x:si>
    <x:t xml:space="preserve">片/天</x:t>
  </x:si>
  <x:si>
    <x:t xml:space="preserve">仅用于天数估算</x:t>
  </x:si>
  <x:si>
    <x:t xml:space="preserve">经验、金币各自按「基数 × 手调系数」计算。</x:t>
  </x:si>
  <x:si>
    <x:t xml:space="preserve">升阶间隔</x:t>
  </x:si>
  <x:si>
    <x:t xml:space="preserve">级</x:t>
  </x:si>
  <x:si>
    <x:t xml:space="preserve">固定规则</x:t>
  </x:si>
  <x:si>
    <x:t xml:space="preserve">经验：逐级手调系数</x:t>
  </x:si>
  <x:si>
    <x:t xml:space="preserve">金币：每5级手调系数</x:t>
  </x:si>
  <x:si>
    <x:t xml:space="preserve">当前等级</x:t>
  </x:si>
  <x:si>
    <x:t xml:space="preserve">蓝系数</x:t>
  </x:si>
  <x:si>
    <x:t xml:space="preserve">紫系数</x:t>
  </x:si>
  <x:si>
    <x:t xml:space="preserve">橙系数</x:t>
  </x:si>
  <x:si>
    <x:t xml:space="preserve">蓝经验</x:t>
  </x:si>
  <x:si>
    <x:t xml:space="preserve">紫经验</x:t>
  </x:si>
  <x:si>
    <x:t xml:space="preserve">橙经验</x:t>
  </x:si>
  <x:si>
    <x:t xml:space="preserve">当前等级区间</x:t>
  </x:si>
  <x:si>
    <x:t xml:space="preserve">1～5级</x:t>
  </x:si>
  <x:si>
    <x:t xml:space="preserve">6～10级</x:t>
  </x:si>
  <x:si>
    <x:t xml:space="preserve">11～15级</x:t>
  </x:si>
  <x:si>
    <x:t xml:space="preserve">16～20级</x:t>
  </x:si>
  <x:si>
    <x:t xml:space="preserve">21～25级</x:t>
  </x:si>
  <x:si>
    <x:t xml:space="preserve">26～30级</x:t>
  </x:si>
  <x:si>
    <x:t xml:space="preserve">31～35级</x:t>
  </x:si>
  <x:si>
    <x:t xml:space="preserve">36～40级</x:t>
  </x:si>
  <x:si>
    <x:t xml:space="preserve">41～45级</x:t>
  </x:si>
  <x:si>
    <x:t xml:space="preserve">46～50级</x:t>
  </x:si>
  <x:si>
    <x:t xml:space="preserve">同档共用系数；逐级金币见第92行。</x:t>
  </x:si>
  <x:si>
    <x:t xml:space="preserve">升阶碎片预览</x:t>
  </x:si>
  <x:si>
    <x:t xml:space="preserve">阶数</x:t>
  </x:si>
  <x:si>
    <x:t xml:space="preserve">突破等级</x:t>
  </x:si>
  <x:si>
    <x:t xml:space="preserve">本阶碎片</x:t>
  </x:si>
  <x:si>
    <x:t xml:space="preserve">本行是 L → L+1 的消耗；50级满级。系数保留现有样本，允许逐级手调。</x:t>
  </x:si>
  <x:si>
    <x:t xml:space="preserve">金币逐级预览</x:t>
  </x:si>
  <x:si>
    <x:t xml:space="preserve">蓝金币</x:t>
  </x:si>
  <x:si>
    <x:t xml:space="preserve">紫金币</x:t>
  </x:si>
  <x:si>
    <x:t xml:space="preserve">橙金币</x:t>
  </x:si>
  <x:si>
    <x:t xml:space="preserve">到达目标等级的单次与累计成本</x:t>
  </x:si>
  <x:si>
    <x:t xml:space="preserve">目标等级</x:t>
  </x:si>
  <x:si>
    <x:t xml:space="preserve">蓝累计经验</x:t>
  </x:si>
  <x:si>
    <x:t xml:space="preserve">紫累计经验</x:t>
  </x:si>
  <x:si>
    <x:t xml:space="preserve">橙累计经验</x:t>
  </x:si>
  <x:si>
    <x:t xml:space="preserve">蓝累计金币</x:t>
  </x:si>
  <x:si>
    <x:t xml:space="preserve">紫累计金币</x:t>
  </x:si>
  <x:si>
    <x:t xml:space="preserve">橙累计金币</x:t>
  </x:si>
  <x:si>
    <x:t xml:space="preserve">英雄升级调参</x:t>
  </x:si>
  <x:si>
    <x:t xml:space="preserve">通用规则</x:t>
  </x:si>
  <x:si>
    <x:t xml:space="preserve">品质稻草人基础</x:t>
  </x:si>
  <x:si>
    <x:t xml:space="preserve">说明</x:t>
  </x:si>
  <x:si>
    <x:t xml:space="preserve">1级攻击</x:t>
  </x:si>
  <x:si>
    <x:t xml:space="preserve">1级生命</x:t>
  </x:si>
  <x:si>
    <x:t xml:space="preserve">成长系数</x:t>
  </x:si>
  <x:si>
    <x:t xml:space="preserve">初值规则</x:t>
  </x:si>
  <x:si>
    <x:t xml:space="preserve">1级战力</x:t>
  </x:si>
  <x:si>
    <x:t xml:space="preserve">等级上限</x:t>
  </x:si>
  <x:si>
    <x:t xml:space="preserve">明细固定到50级</x:t>
  </x:si>
  <x:si>
    <x:t xml:space="preserve">攻击可调</x:t>
  </x:si>
  <x:si>
    <x:t xml:space="preserve">成长阶段</x:t>
  </x:si>
  <x:si>
    <x:t xml:space="preserve">级/档</x:t>
  </x:si>
  <x:si>
    <x:t xml:space="preserve">同档增量固定</x:t>
  </x:si>
  <x:si>
    <x:t xml:space="preserve">按品质等值反推</x:t>
  </x:si>
  <x:si>
    <x:t xml:space="preserve">基础血攻比</x:t>
  </x:si>
  <x:si>
    <x:t xml:space="preserve">倍</x:t>
  </x:si>
  <x:si>
    <x:t xml:space="preserve">影响基础与成长生命</x:t>
  </x:si>
  <x:si>
    <x:t xml:space="preserve">橙1＝紫5＝蓝10；紫／橙初值自动反推，不直接改写。</x:t>
  </x:si>
  <x:si>
    <x:t xml:space="preserve">英雄特性系数</x:t>
  </x:si>
  <x:si>
    <x:t xml:space="preserve">联动核对</x:t>
  </x:si>
  <x:si>
    <x:t xml:space="preserve">职业</x:t>
  </x:si>
  <x:si>
    <x:t xml:space="preserve">生命修正</x:t>
  </x:si>
  <x:si>
    <x:t xml:space="preserve">有效生命系数</x:t>
  </x:si>
  <x:si>
    <x:t xml:space="preserve">系数乘积</x:t>
  </x:si>
  <x:si>
    <x:t xml:space="preserve">定位</x:t>
  </x:si>
  <x:si>
    <x:t xml:space="preserve">当前品质</x:t>
  </x:si>
  <x:si>
    <x:t xml:space="preserve">品质等值</x:t>
  </x:si>
  <x:si>
    <x:t xml:space="preserve">特歪兔</x:t>
  </x:si>
  <x:si>
    <x:t xml:space="preserve">战士</x:t>
  </x:si>
  <x:si>
    <x:t xml:space="preserve">均衡近战</x:t>
  </x:si>
  <x:si>
    <x:t xml:space="preserve">墨伊喵</x:t>
  </x:si>
  <x:si>
    <x:t xml:space="preserve">探险家</x:t>
  </x:si>
  <x:si>
    <x:t xml:space="preserve">机动输出</x:t>
  </x:si>
  <x:si>
    <x:t xml:space="preserve">最大战力偏差</x:t>
  </x:si>
  <x:si>
    <x:t xml:space="preserve">贝尔熊</x:t>
  </x:si>
  <x:si>
    <x:t xml:space="preserve">生存者</x:t>
  </x:si>
  <x:si>
    <x:t xml:space="preserve">承伤恢复</x:t>
  </x:si>
  <x:si>
    <x:t xml:space="preserve">鲀小泡</x:t>
  </x:si>
  <x:si>
    <x:t xml:space="preserve">范围输出</x:t>
  </x:si>
  <x:si>
    <x:t xml:space="preserve">龟尼克</x:t>
  </x:si>
  <x:si>
    <x:t xml:space="preserve">防御承伤</x:t>
  </x:si>
  <x:si>
    <x:t xml:space="preserve">焦焦鸮</x:t>
  </x:si>
  <x:si>
    <x:t xml:space="preserve">远程输出</x:t>
  </x:si>
  <x:si>
    <x:t xml:space="preserve">满级碎片</x:t>
  </x:si>
  <x:si>
    <x:t xml:space="preserve">玛莫莉莉狮</x:t>
  </x:si>
  <x:si>
    <x:t xml:space="preserve">爆发输出</x:t>
  </x:si>
  <x:si>
    <x:t xml:space="preserve">魔魔龙</x:t>
  </x:si>
  <x:si>
    <x:t xml:space="preserve">高攻低血</x:t>
  </x:si>
  <x:si>
    <x:t xml:space="preserve">当前范围</x:t>
  </x:si>
  <x:si>
    <x:t xml:space="preserve">1～50级</x:t>
  </x:si>
  <x:si>
    <x:t xml:space="preserve">海希</x:t>
  </x:si>
  <x:si>
    <x:t xml:space="preserve">均衡机动</x:t>
  </x:si>
  <x:si>
    <x:t xml:space="preserve">鳄不恶</x:t>
  </x:si>
  <x:si>
    <x:t xml:space="preserve">近战续航</x:t>
  </x:si>
  <x:si>
    <x:t xml:space="preserve">当前品质来源：用户提供的最新品质截图；英雄养成页保留各品质试算。</x:t>
  </x:si>
  <x:si>
    <x:t xml:space="preserve">阶段升级增量</x:t>
  </x:si>
  <x:si>
    <x:t xml:space="preserve">最低等级</x:t>
  </x:si>
  <x:si>
    <x:t xml:space="preserve">最高等级</x:t>
  </x:si>
  <x:si>
    <x:t xml:space="preserve">基础加攻</x:t>
  </x:si>
  <x:si>
    <x:t xml:space="preserve">基础加血</x:t>
  </x:si>
  <x:si>
    <x:t xml:space="preserve">蓝加攻</x:t>
  </x:si>
  <x:si>
    <x:t xml:space="preserve">蓝加血</x:t>
  </x:si>
  <x:si>
    <x:t xml:space="preserve">紫加攻</x:t>
  </x:si>
  <x:si>
    <x:t xml:space="preserve">紫加血</x:t>
  </x:si>
  <x:si>
    <x:t xml:space="preserve">橙加攻</x:t>
  </x:si>
  <x:si>
    <x:t xml:space="preserve">橙加血</x:t>
  </x:si>
  <x:si>
    <x:t xml:space="preserve">阶段按升到的等级划分；1级为初始值。单次增量先取整，再累加。</x:t>
  </x:si>
  <x:si>
    <x:t xml:space="preserve">稻草人逐级成长结果</x:t>
  </x:si>
  <x:si>
    <x:t xml:space="preserve">基础增量</x:t>
  </x:si>
  <x:si>
    <x:t xml:space="preserve">蓝攻击</x:t>
  </x:si>
  <x:si>
    <x:t xml:space="preserve">蓝生命</x:t>
  </x:si>
  <x:si>
    <x:t xml:space="preserve">蓝战力</x:t>
  </x:si>
  <x:si>
    <x:t xml:space="preserve">紫攻击</x:t>
  </x:si>
  <x:si>
    <x:t xml:space="preserve">紫生命</x:t>
  </x:si>
  <x:si>
    <x:t xml:space="preserve">紫战力</x:t>
  </x:si>
  <x:si>
    <x:t xml:space="preserve">橙攻击</x:t>
  </x:si>
  <x:si>
    <x:t xml:space="preserve">橙生命</x:t>
  </x:si>
  <x:si>
    <x:t xml:space="preserve">橙战力</x:t>
  </x:si>
  <x:si>
    <x:t xml:space="preserve">价值换算与系统投放</x:t>
  </x:si>
  <x:si>
    <x:t xml:space="preserve">数量</x:t>
  </x:si>
  <x:si>
    <x:t xml:space="preserve">价值（钻石）</x:t>
  </x:si>
  <x:si>
    <x:t xml:space="preserve">等价金币</x:t>
  </x:si>
  <x:si>
    <x:t xml:space="preserve">估值依据</x:t>
  </x:si>
  <x:si>
    <x:t xml:space="preserve">金币</x:t>
  </x:si>
  <x:si>
    <x:t xml:space="preserve">用户指定</x:t>
  </x:si>
  <x:si>
    <x:t xml:space="preserve">价值基准</x:t>
  </x:si>
  <x:si>
    <x:t xml:space="preserve">抽卡币</x:t>
  </x:si>
  <x:si>
    <x:t xml:space="preserve">勇气经验</x:t>
  </x:si>
  <x:si>
    <x:t xml:space="preserve">机敏经验</x:t>
  </x:si>
  <x:si>
    <x:t xml:space="preserve">与勇气经验等值</x:t>
  </x:si>
  <x:si>
    <x:t xml:space="preserve">坚毅经验</x:t>
  </x:si>
  <x:si>
    <x:t xml:space="preserve">蓝色角色碎片</x:t>
  </x:si>
  <x:si>
    <x:t xml:space="preserve">1抽价格</x:t>
  </x:si>
  <x:si>
    <x:t xml:space="preserve">紫色角色碎片</x:t>
  </x:si>
  <x:si>
    <x:t xml:space="preserve">10抽价格</x:t>
  </x:si>
  <x:si>
    <x:t xml:space="preserve">橙色角色碎片</x:t>
  </x:si>
  <x:si>
    <x:t xml:space="preserve">50抽价格</x:t>
  </x:si>
  <x:si>
    <x:t xml:space="preserve">每日活跃参数（零付费用户；在线时长包括广告）</x:t>
  </x:si>
  <x:si>
    <x:t xml:space="preserve">参数 / 完成的任务</x:t>
  </x:si>
  <x:si>
    <x:t xml:space="preserve">低活</x:t>
  </x:si>
  <x:si>
    <x:t xml:space="preserve">中活</x:t>
  </x:si>
  <x:si>
    <x:t xml:space="preserve">高活</x:t>
  </x:si>
  <x:si>
    <x:t xml:space="preserve">在线时长</x:t>
  </x:si>
  <x:si>
    <x:t xml:space="preserve">分钟，高活30分钟以上</x:t>
  </x:si>
  <x:si>
    <x:t xml:space="preserve">主玩内容</x:t>
  </x:si>
  <x:si>
    <x:t xml:space="preserve">主线＋任务</x:t>
  </x:si>
  <x:si>
    <x:t xml:space="preserve">主线＋乱斗＋任务</x:t>
  </x:si>
  <x:si>
    <x:t xml:space="preserve">主线＋乱斗＋广告</x:t>
  </x:si>
  <x:si>
    <x:t xml:space="preserve">时长仅定义档位，行为量可改</x:t>
  </x:si>
  <x:si>
    <x:t xml:space="preserve">首通起始关卡序号</x:t>
  </x:si>
  <x:si>
    <x:t xml:space="preserve">原关卡投放序号1—55</x:t>
  </x:si>
  <x:si>
    <x:t xml:space="preserve">每日首通关数</x:t>
  </x:si>
  <x:si>
    <x:t xml:space="preserve">首通奖励只领取一次</x:t>
  </x:si>
  <x:si>
    <x:t xml:space="preserve">重复通关次数</x:t>
  </x:si>
  <x:si>
    <x:t xml:space="preserve">只发普通金币与经验</x:t>
  </x:si>
  <x:si>
    <x:t xml:space="preserve">重复关卡序号</x:t>
  </x:si>
  <x:si>
    <x:t xml:space="preserve">原关卡投放序号</x:t>
  </x:si>
  <x:si>
    <x:t xml:space="preserve">多人模式次数</x:t>
  </x:si>
  <x:si>
    <x:t xml:space="preserve">只记录行为，未计额外多人奖励</x:t>
  </x:si>
  <x:si>
    <x:t xml:space="preserve">任务完成情况</x:t>
  </x:si>
  <x:si>
    <x:t xml:space="preserve">1完成，0未完成</x:t>
  </x:si>
  <x:si>
    <x:t xml:space="preserve">登录一次游戏</x:t>
  </x:si>
  <x:si>
    <x:t xml:space="preserve">对应任务ID 10001</x:t>
  </x:si>
  <x:si>
    <x:t xml:space="preserve">完成一次旅行关卡</x:t>
  </x:si>
  <x:si>
    <x:t xml:space="preserve">对应任务ID 10002</x:t>
  </x:si>
  <x:si>
    <x:t xml:space="preserve">转发分享游戏一次</x:t>
  </x:si>
  <x:si>
    <x:t xml:space="preserve">对应任务ID 10003</x:t>
  </x:si>
  <x:si>
    <x:t xml:space="preserve">看一次广告</x:t>
  </x:si>
  <x:si>
    <x:t xml:space="preserve">对应任务ID 10004</x:t>
  </x:si>
  <x:si>
    <x:t xml:space="preserve">完成一次乱斗玩法</x:t>
  </x:si>
  <x:si>
    <x:t xml:space="preserve">对应任务ID 10005</x:t>
  </x:si>
  <x:si>
    <x:t xml:space="preserve">完成任务数</x:t>
  </x:si>
  <x:si>
    <x:t xml:space="preserve">免费商店领取次数</x:t>
  </x:si>
  <x:si>
    <x:t xml:space="preserve">每日最多1次</x:t>
  </x:si>
  <x:si>
    <x:t xml:space="preserve">任务活跃度</x:t>
  </x:si>
  <x:si>
    <x:t xml:space="preserve">低活每日获取</x:t>
  </x:si>
  <x:si>
    <x:t xml:space="preserve">主线关卡</x:t>
  </x:si>
  <x:si>
    <x:t xml:space="preserve">每日任务及节点</x:t>
  </x:si>
  <x:si>
    <x:t xml:space="preserve">商店免费</x:t>
  </x:si>
  <x:si>
    <x:t xml:space="preserve">总获取</x:t>
  </x:si>
  <x:si>
    <x:t xml:space="preserve">中活每日获取</x:t>
  </x:si>
  <x:si>
    <x:t xml:space="preserve">高活每日获取</x:t>
  </x:si>
  <x:si>
    <x:t xml:space="preserve">商店付费商品是兑换，不计入免费投放；此页不假设用户购买商品。</x:t>
  </x:si>
  <x:si>
    <x:t xml:space="preserve">主线引用原表“关卡投放”39—93行；首通序号需随日期推进，不能直接按当前首通收益乘天数。</x:t>
  </x:si>
  <x:si>
    <x:t xml:space="preserve">每日任务投放</x:t>
  </x:si>
  <x:si>
    <x:t xml:space="preserve">每个普通任务只有两个奖励。黄色格直接改；三职业分配到不同任务，当前完成全部任务各得80经验。</x:t>
  </x:si>
  <x:si>
    <x:t xml:space="preserve">任务ID</x:t>
  </x:si>
  <x:si>
    <x:t xml:space="preserve">任务名称</x:t>
  </x:si>
  <x:si>
    <x:t xml:space="preserve">奖励1</x:t>
  </x:si>
  <x:si>
    <x:t xml:space="preserve">数量1</x:t>
  </x:si>
  <x:si>
    <x:t xml:space="preserve">奖励2</x:t>
  </x:si>
  <x:si>
    <x:t xml:space="preserve">数量2</x:t>
  </x:si>
  <x:si>
    <x:t xml:space="preserve">活跃度</x:t>
  </x:si>
  <x:si>
    <x:t xml:space="preserve">节点奖励（达到活跃度即可领取，四档累计发放）</x:t>
  </x:si>
  <x:si>
    <x:t xml:space="preserve">活跃度节点</x:t>
  </x:si>
  <x:si>
    <x:t xml:space="preserve">奖励</x:t>
  </x:si>
  <x:si>
    <x:t xml:space="preserve">配置：R-GameTask-任务表.xlsx / Sheet1：id、TaskReward（奖励1|奖励2）、Value（活跃度）。</x:t>
  </x:si>
  <x:si>
    <x:t xml:space="preserve">节点：X-systemConfiguration-系统配置表.xlsx / Sheet1：Id=38 的 Value；总活跃度 Id=36。</x:t>
  </x:si>
  <x:si>
    <x:t xml:space="preserve">资源ID：金币210001，钻石210002，抽卡币210008；勇气110001，机敏110002，坚毅110003。</x:t>
  </x:si>
  <x:si>
    <x:t xml:space="preserve">英雄经验写入 TaskReward；GainExperience 是账号经验，不替代英雄经验，回写时沿用现配置。</x:t>
  </x:si>
  <x:si>
    <x:t xml:space="preserve">商品价值比对</x:t>
  </x:si>
  <x:si>
    <x:t xml:space="preserve">商品ID / 对应角色</x:t>
  </x:si>
  <x:si>
    <x:t xml:space="preserve">商品</x:t>
  </x:si>
  <x:si>
    <x:t xml:space="preserve">购买货币</x:t>
  </x:si>
  <x:si>
    <x:t xml:space="preserve">钻石价格</x:t>
  </x:si>
  <x:si>
    <x:t xml:space="preserve">金币价格</x:t>
  </x:si>
  <x:si>
    <x:t xml:space="preserve">免费钻石</x:t>
  </x:si>
  <x:si>
    <x:t xml:space="preserve">免费</x:t>
  </x:si>
  <x:si>
    <x:t xml:space="preserve">特歪兔碎片</x:t>
  </x:si>
  <x:si>
    <x:t xml:space="preserve">墨伊喵碎片</x:t>
  </x:si>
  <x:si>
    <x:t xml:space="preserve">贝尔熊碎片</x:t>
  </x:si>
  <x:si>
    <x:t xml:space="preserve">鲀小泡碎片</x:t>
  </x:si>
  <x:si>
    <x:t xml:space="preserve">龟尼克碎片</x:t>
  </x:si>
  <x:si>
    <x:t xml:space="preserve">焦焦鸮碎片</x:t>
  </x:si>
  <x:si>
    <x:t xml:space="preserve">玛莫莉莉狮碎片</x:t>
  </x:si>
  <x:si>
    <x:t xml:space="preserve">魔魔龙碎片</x:t>
  </x:si>
  <x:si>
    <x:t xml:space="preserve">海希碎片</x:t>
  </x:si>
  <x:si>
    <x:t xml:space="preserve">勇气经验球</x:t>
  </x:si>
  <x:si>
    <x:t xml:space="preserve">机敏经验球</x:t>
  </x:si>
  <x:si>
    <x:t xml:space="preserve">坚毅经验球</x:t>
  </x:si>
  <x:si>
    <x:t xml:space="preserve">鳄不恶碎片</x:t>
  </x:si>
  <x:si>
    <x:t xml:space="preserve">实际商品投放</x:t>
  </x:si>
  <x:si>
    <x:t xml:space="preserve">商品名称</x:t>
  </x:si>
  <x:si>
    <x:t xml:space="preserve">物品</x:t>
  </x:si>
  <x:si>
    <x:t xml:space="preserve">物品数量</x:t>
  </x:si>
  <x:si>
    <x:t xml:space="preserve">货币数量</x:t>
  </x:si>
  <x:si>
    <x:t xml:space="preserve">基准价值（钻）</x:t>
  </x:si>
  <x:si>
    <x:t xml:space="preserve">售价（钻）</x:t>
  </x:si>
  <x:si>
    <x:t xml:space="preserve">溢价</x:t>
  </x:si>
  <x:si>
    <x:t xml:space="preserve">抽卡投放数值</x:t>
  </x:si>
  <x:si>
    <x:t xml:space="preserve">长期平均约5卡＋5道具。卡奖励按10碎片等价计算；金币、经验为单次随机奖励，不是额外赠送。</x:t>
  </x:si>
  <x:si>
    <x:t xml:space="preserve">黄色为可调参数；综合概率已含保底。每次十连结果可波动，新账号前几次十连也不等于长期均值。</x:t>
  </x:si>
  <x:si>
    <x:t xml:space="preserve">综合概率</x:t>
  </x:si>
  <x:si>
    <x:t xml:space="preserve">十连命中/次</x:t>
  </x:si>
  <x:si>
    <x:t xml:space="preserve">十连数量</x:t>
  </x:si>
  <x:si>
    <x:t xml:space="preserve">十连价值/钻</x:t>
  </x:si>
  <x:si>
    <x:t xml:space="preserve">核心指标</x:t>
  </x:si>
  <x:si>
    <x:t xml:space="preserve">当前方案</x:t>
  </x:si>
  <x:si>
    <x:t xml:space="preserve">蓝色碎片</x:t>
  </x:si>
  <x:si>
    <x:t xml:space="preserve">十连消耗/钻</x:t>
  </x:si>
  <x:si>
    <x:t xml:space="preserve">紫色碎片</x:t>
  </x:si>
  <x:si>
    <x:t xml:space="preserve">十连总价值/钻</x:t>
  </x:si>
  <x:si>
    <x:t xml:space="preserve">橙色碎片</x:t>
  </x:si>
  <x:si>
    <x:t xml:space="preserve">价值/消耗</x:t>
  </x:si>
  <x:si>
    <x:t xml:space="preserve">较旧600钻变化</x:t>
  </x:si>
  <x:si>
    <x:t xml:space="preserve">平均出紫/抽</x:t>
  </x:si>
  <x:si>
    <x:t xml:space="preserve">平均出橙/抽</x:t>
  </x:si>
  <x:si>
    <x:t xml:space="preserve">十连角色奖励/次</x:t>
  </x:si>
  <x:si>
    <x:t xml:space="preserve">总计</x:t>
  </x:si>
  <x:si>
    <x:t xml:space="preserve">十连道具奖励/次</x:t>
  </x:si>
  <x:si>
    <x:t xml:space="preserve">“橙卡”即本次要求的金卡。卡包内同品质英雄等概率；道具包内9个奖项等概率，不一次发放全部奖项。</x:t>
  </x:si>
  <x:si>
    <x:t xml:space="preserve">保底执行规则</x:t>
  </x:si>
  <x:si>
    <x:t xml:space="preserve">默认规则：出橙后的第10/20/30/40抽出紫或橙，第50抽必橙。提前出橙立即归零，紫卡不重置此计数。</x:t>
  </x:si>
  <x:si>
    <x:t xml:space="preserve">橙色保底优先。单抽与十连共用计数，十连按顺序结算10次；保底替换当次奖励，不额外加奖。</x:t>
  </x:si>
  <x:si>
    <x:t xml:space="preserve">默认方案：任意连续10抽至少1次紫色或以上，连续50抽至少1次橙色；基础橙率0.08%，长期约49抽1橙。</x:t>
  </x:si>
  <x:si>
    <x:t xml:space="preserve">本页为数值方案，尚未修改正式卡池或服务端。下方权重与规则必须一并配置，仅改基础概率不能实现保底。</x:t>
  </x:si>
  <x:si>
    <x:t xml:space="preserve">全局参数与价值引用</x:t>
  </x:si>
  <x:si>
    <x:t xml:space="preserve">单位 / 用途</x:t>
  </x:si>
  <x:si>
    <x:t xml:space="preserve">价值资源</x:t>
  </x:si>
  <x:si>
    <x:t xml:space="preserve">计价数量</x:t>
  </x:si>
  <x:si>
    <x:t xml:space="preserve">价值/钻</x:t>
  </x:si>
  <x:si>
    <x:t xml:space="preserve">每抽价格</x:t>
  </x:si>
  <x:si>
    <x:t xml:space="preserve">钻石，沿用价值表</x:t>
  </x:si>
  <x:si>
    <x:t xml:space="preserve">抽</x:t>
  </x:si>
  <x:si>
    <x:t xml:space="preserve">职业经验</x:t>
  </x:si>
  <x:si>
    <x:t xml:space="preserve">紫色保底间隔</x:t>
  </x:si>
  <x:si>
    <x:t xml:space="preserve">抽，按出橙后累计抽次</x:t>
  </x:si>
  <x:si>
    <x:t xml:space="preserve">橙色保底上限</x:t>
  </x:si>
  <x:si>
    <x:t xml:space="preserve">抽，本页展开至50抽</x:t>
  </x:si>
  <x:si>
    <x:t xml:space="preserve">每张卡等价碎片</x:t>
  </x:si>
  <x:si>
    <x:t xml:space="preserve">个；用于碎片养成期望</x:t>
  </x:si>
  <x:si>
    <x:t xml:space="preserve">旧十连价值基线</x:t>
  </x:si>
  <x:si>
    <x:t xml:space="preserve">钻，原50蓝＋10紫＋1橙</x:t>
  </x:si>
  <x:si>
    <x:t xml:space="preserve">目标角色占比</x:t>
  </x:si>
  <x:si>
    <x:t xml:space="preserve">用于检查，当前约50%</x:t>
  </x:si>
  <x:si>
    <x:t xml:space="preserve">卡池概率（基础权重可调；保底概率与综合概率自动计算）</x:t>
  </x:si>
  <x:si>
    <x:t xml:space="preserve">奖励类型</x:t>
  </x:si>
  <x:si>
    <x:t xml:space="preserve">基础权重</x:t>
  </x:si>
  <x:si>
    <x:t xml:space="preserve">基础概率</x:t>
  </x:si>
  <x:si>
    <x:t xml:space="preserve">紫保底概率</x:t>
  </x:si>
  <x:si>
    <x:t xml:space="preserve">橙保底概率</x:t>
  </x:si>
  <x:si>
    <x:t xml:space="preserve">单次等价数量</x:t>
  </x:si>
  <x:si>
    <x:t xml:space="preserve">蓝色卡</x:t>
  </x:si>
  <x:si>
    <x:t xml:space="preserve">紫色卡</x:t>
  </x:si>
  <x:si>
    <x:t xml:space="preserve">橙色卡</x:t>
  </x:si>
  <x:si>
    <x:t xml:space="preserve">道具包</x:t>
  </x:si>
  <x:si>
    <x:t xml:space="preserve">按道具档位</x:t>
  </x:si>
  <x:si>
    <x:t xml:space="preserve">基础权重按万分制，当前合计10000。因保底占用部分抽数，普通抽道具概率55.54%，综合后约50%。</x:t>
  </x:si>
  <x:si>
    <x:t xml:space="preserve">降低/提高基础紫橙率会改变综合产出；综合概率和十连价值已随权重实时计算，不把1%基础概率当成1%最终概率。</x:t>
  </x:si>
  <x:si>
    <x:t xml:space="preserve">道具包（9项等概率选1项；黄色数量可调）</x:t>
  </x:si>
  <x:si>
    <x:t xml:space="preserve">金币100/200/300，三职业经验各10/20。数量按整数投放；十连期望数量可以是小数。</x:t>
  </x:si>
  <x:si>
    <x:t xml:space="preserve">道具ID</x:t>
  </x:si>
  <x:si>
    <x:t xml:space="preserve">单次数量</x:t>
  </x:si>
  <x:si>
    <x:t xml:space="preserve">单份价值/钻</x:t>
  </x:si>
  <x:si>
    <x:t xml:space="preserve">包内概率</x:t>
  </x:si>
  <x:si>
    <x:t xml:space="preserve">综合抽中率</x:t>
  </x:si>
  <x:si>
    <x:t xml:space="preserve">合计</x:t>
  </x:si>
  <x:si>
    <x:t xml:space="preserve">英雄卡包（同品质等概率，按当前10位英雄分散）</x:t>
  </x:si>
  <x:si>
    <x:t xml:space="preserve">对应碎片ID</x:t>
  </x:si>
  <x:si>
    <x:t xml:space="preserve">每次碎片等价</x:t>
  </x:si>
  <x:si>
    <x:t xml:space="preserve">品质内概率</x:t>
  </x:si>
  <x:si>
    <x:t xml:space="preserve">十连碎片期望</x:t>
  </x:si>
  <x:si>
    <x:t xml:space="preserve">每份价值/钻</x:t>
  </x:si>
  <x:si>
    <x:t xml:space="preserve">角色奖励可发整卡；本页只用10碎片等价衡量。累计养成延续“目标英雄已拥有”的原口径，不扣首次解锁成本。</x:t>
  </x:si>
  <x:si>
    <x:t xml:space="preserve">关卡投放 BB12:BB14、BB22:BB25 已引用本页的长期每十连期望。每日获取汇总保留抽卡币/钻石，不重复计抽卡转换价值。</x:t>
  </x:si>
  <x:si>
    <x:t xml:space="preserve">方案检查</x:t>
  </x:si>
  <x:si>
    <x:t xml:space="preserve">检查项</x:t>
  </x:si>
  <x:si>
    <x:t xml:space="preserve">当前结果</x:t>
  </x:si>
  <x:si>
    <x:t xml:space="preserve">判断</x:t>
  </x:si>
  <x:si>
    <x:t xml:space="preserve">卡池基础权重</x:t>
  </x:si>
  <x:si>
    <x:t xml:space="preserve">长期角色占比</x:t>
  </x:si>
  <x:si>
    <x:t xml:space="preserve">道具包概率</x:t>
  </x:si>
  <x:si>
    <x:t xml:space="preserve">第50抽后出橙率</x:t>
  </x:si>
  <x:si>
    <x:t xml:space="preserve">英雄卡包人数</x:t>
  </x:si>
  <x:si>
    <x:t xml:space="preserve">逐抽计算（出橙即结束一个周期，用到达概率计算长期综合概率）</x:t>
  </x:si>
  <x:si>
    <x:t xml:space="preserve">到达概率表示本周期前面尚未出橙；期望周期抽数为到达概率之和。综合出货率＝周期内期望出货次数÷期望周期抽数。</x:t>
  </x:si>
  <x:si>
    <x:t xml:space="preserve">出橙后第几抽</x:t>
  </x:si>
  <x:si>
    <x:t xml:space="preserve">规则</x:t>
  </x:si>
  <x:si>
    <x:t xml:space="preserve">到达该抽概率</x:t>
  </x:si>
  <x:si>
    <x:t xml:space="preserve">当抽蓝概率</x:t>
  </x:si>
  <x:si>
    <x:t xml:space="preserve">当抽紫概率</x:t>
  </x:si>
  <x:si>
    <x:t xml:space="preserve">当抽橙概率</x:t>
  </x:si>
  <x:si>
    <x:t xml:space="preserve">当抽道具概率</x:t>
  </x:si>
  <x:si>
    <x:t xml:space="preserve">本次出橙概率</x:t>
  </x:si>
  <x:si>
    <x:t xml:space="preserve">累计已出橙率</x:t>
  </x:si>
  <x:si>
    <x:t xml:space="preserve">周期期望抽数</x:t>
  </x:si>
  <x:si>
    <x:t xml:space="preserve">初始假设：基础橙率0.08%，基础紫率2.22%，道具档位为本次设计；参考截图仅用于奖励结构，不代表已知竞品真实概率。</x:t>
  </x:si>
  <x:si>
    <x:t xml:space="preserve">本页未计活动抽卡、广告赠送、定向招募及重复角色之外的补偿，后续修改上述规则需重新核算。</x:t>
  </x:si>
</x:sst>
</file>

<file path=xl/styles.xml><?xml version="1.0" encoding="utf-8"?>
<x:styleSheet xmlns:x="http://schemas.openxmlformats.org/spreadsheetml/2006/main">
  <x:numFmts count="7">
    <x:numFmt numFmtId="176" formatCode="0.000"/>
    <x:numFmt numFmtId="177" formatCode="#,##0.0"/>
    <x:numFmt numFmtId="178" formatCode="0.0%"/>
    <x:numFmt numFmtId="179" formatCode="0.0000%"/>
    <x:numFmt numFmtId="180" formatCode="0.0"/>
    <x:numFmt numFmtId="200" formatCode="0.00"/>
    <x:numFmt numFmtId="201" formatCode="#,##0.00"/>
  </x:numFmts>
  <x:fonts count="38">
    <x:font>
      <x:sz val="11"/>
      <x:name val="Carlito"/>
    </x:font>
    <x:font>
      <x:sz val="10"/>
      <x:color rgb="FF26354A"/>
      <x:name val="Arial"/>
    </x:font>
    <x:font>
      <x:b/>
      <x:sz val="16"/>
      <x:color rgb="FF304967"/>
      <x:name val="Arial"/>
    </x:font>
    <x:font>
      <x:b/>
      <x:sz val="10"/>
      <x:color rgb="FFFFFFFF"/>
      <x:name val="Arial"/>
    </x:font>
    <x:font>
      <x:sz val="10"/>
      <x:color rgb="FF765111"/>
      <x:name val="Arial"/>
    </x:font>
    <x:font>
      <x:i/>
      <x:sz val="10"/>
      <x:color rgb="FF26354A"/>
      <x:name val="Arial"/>
    </x:font>
    <x:font>
      <x:sz val="11"/>
      <x:name val="Carlito"/>
    </x:font>
    <x:font>
      <x:sz val="11"/>
      <x:color rgb="FF52647A"/>
      <x:name val="Carlito"/>
    </x:font>
    <x:font>
      <x:sz val="10"/>
      <x:color rgb="FF52647A"/>
      <x:name val="Arial"/>
    </x:font>
    <x:font>
      <x:b/>
      <x:sz val="17"/>
      <x:color rgb="FF304967"/>
      <x:name val="Arial"/>
    </x:font>
    <x:font>
      <x:sz val="10"/>
      <x:color rgb="FF64748B"/>
      <x:name val="Arial"/>
    </x:font>
    <x:font>
      <x:b/>
      <x:sz val="12"/>
      <x:color rgb="FF304967"/>
      <x:name val="Arial"/>
    </x:font>
    <x:font>
      <x:b/>
      <x:sz val="10"/>
      <x:color rgb="FF347FC4"/>
      <x:name val="Arial"/>
    </x:font>
    <x:font>
      <x:b/>
      <x:sz val="10"/>
      <x:color rgb="FF8A58B8"/>
      <x:name val="Arial"/>
    </x:font>
    <x:font>
      <x:b/>
      <x:sz val="10"/>
      <x:color rgb="FFD58B23"/>
      <x:name val="Arial"/>
    </x:font>
    <x:font>
      <x:sz val="9"/>
      <x:name val="宋体"/>
      <x:family val="3"/>
    </x:font>
    <x:font>
      <x:sz val="11"/>
      <x:color rgb="FF27384A"/>
      <x:name val="Microsoft YaHei"/>
      <x:family val="2"/>
    </x:font>
    <x:font>
      <x:b/>
      <x:sz val="18"/>
      <x:color rgb="FF27384A"/>
      <x:name val="Microsoft YaHei"/>
      <x:family val="2"/>
    </x:font>
    <x:font>
      <x:b/>
      <x:sz val="11"/>
      <x:color rgb="FFFFFFFF"/>
      <x:name val="Microsoft YaHei"/>
      <x:family val="2"/>
    </x:font>
    <x:font>
      <x:sz val="10"/>
      <x:color rgb="FF26354A"/>
      <x:name val="Arial"/>
    </x:font>
    <x:font>
      <x:sz val="11"/>
      <x:color rgb="FF27384A"/>
      <x:name val="Microsoft YaHei"/>
      <x:family val="2"/>
    </x:font>
    <x:font>
      <x:b/>
      <x:sz val="18"/>
      <x:color rgb="FF27384A"/>
      <x:name val="Microsoft YaHei"/>
      <x:family val="2"/>
    </x:font>
    <x:font>
      <x:b/>
      <x:sz val="11"/>
      <x:color rgb="FFFFFFFF"/>
      <x:name val="Microsoft YaHei"/>
      <x:family val="2"/>
    </x:font>
    <x:font>
      <x:sz val="10"/>
      <x:color rgb="FFFFFFFF"/>
      <x:name val="Arial"/>
    </x:font>
    <x:font>
      <x:b/>
      <x:sz val="16"/>
      <x:color rgb="FF27384A"/>
      <x:name val="Microsoft YaHei"/>
      <x:family val="2"/>
    </x:font>
    <x:font>
      <x:b/>
      <x:sz val="11"/>
      <x:color rgb="FFFFFFFF"/>
      <x:name val="Microsoft YaHei"/>
      <x:family val="2"/>
    </x:font>
    <x:font>
      <x:sz val="11"/>
      <x:color rgb="FF24374D"/>
      <x:name val="Microsoft YaHei"/>
      <x:family val="2"/>
    </x:font>
    <x:font>
      <x:b/>
      <x:sz val="17"/>
      <x:color rgb="FF24374D"/>
      <x:name val="Microsoft YaHei"/>
      <x:family val="2"/>
    </x:font>
    <x:font>
      <x:sz val="10"/>
      <x:color rgb="FF5A6878"/>
      <x:name val="Microsoft YaHei"/>
      <x:family val="2"/>
    </x:font>
    <x:font>
      <x:b/>
      <x:sz val="11"/>
      <x:color rgb="FF24374D"/>
      <x:name val="Microsoft YaHei"/>
      <x:family val="2"/>
    </x:font>
    <x:font>
      <x:sz val="10"/>
      <x:color rgb="FF26354A"/>
      <x:name val="Arial"/>
    </x:font>
    <x:font>
      <x:b/>
      <x:sz val="10"/>
      <x:color rgb="FFFFFFFF"/>
      <x:name val="Arial"/>
    </x:font>
    <x:font>
      <x:sz val="10"/>
      <x:color rgb="FF765111"/>
      <x:name val="Arial"/>
    </x:font>
    <x:font>
      <x:i/>
      <x:sz val="10"/>
      <x:color rgb="FF26354A"/>
      <x:name val="Arial"/>
    </x:font>
    <x:font>
      <x:sz val="11"/>
      <x:color rgb="FFFFFFFF"/>
      <x:name val="Microsoft YaHei"/>
      <x:family val="2"/>
    </x:font>
    <x:font>
      <x:sz val="11"/>
      <x:color rgb="FF26354A"/>
      <x:name val="Microsoft YaHei"/>
      <x:family val="2"/>
    </x:font>
    <x:font>
      <x:i/>
      <x:sz val="11"/>
      <x:color rgb="FF595959"/>
      <x:name val="Microsoft YaHei"/>
      <x:family val="2"/>
    </x:font>
    <x:font>
      <x:b/>
      <x:sz val="11"/>
      <x:color rgb="FF274E13"/>
      <x:name val="Microsoft YaHei"/>
      <x:family val="2"/>
    </x:font>
  </x:fonts>
  <x:fills count="39">
    <x:fill>
      <x:patternFill patternType="none"/>
    </x:fill>
    <x:fill>
      <x:patternFill patternType="gray125"/>
    </x:fill>
    <x:fill>
      <x:patternFill patternType="solid">
        <x:fgColor rgb="FF304967"/>
      </x:patternFill>
    </x:fill>
    <x:fill>
      <x:patternFill patternType="solid">
        <x:fgColor rgb="FFFFF2CE"/>
      </x:patternFill>
    </x:fill>
    <x:fill>
      <x:patternFill patternType="solid">
        <x:fgColor rgb="FF304967"/>
      </x:patternFill>
    </x:fill>
    <x:fill>
      <x:patternFill patternType="solid">
        <x:fgColor rgb="FFFFF2CE"/>
      </x:patternFill>
    </x:fill>
    <x:fill>
      <x:patternFill patternType="solid">
        <x:fgColor rgb="FFFFF2CE"/>
      </x:patternFill>
    </x:fill>
    <x:fill>
      <x:patternFill patternType="solid">
        <x:fgColor rgb="FFFFF2CE"/>
      </x:patternFill>
    </x:fill>
    <x:fill>
      <x:patternFill patternType="solid">
        <x:fgColor rgb="FF304967"/>
      </x:patternFill>
    </x:fill>
    <x:fill>
      <x:patternFill patternType="solid">
        <x:fgColor rgb="FFFFF2CE"/>
      </x:patternFill>
    </x:fill>
    <x:fill>
      <x:patternFill patternType="solid">
        <x:fgColor rgb="FFF0F3F7"/>
      </x:patternFill>
    </x:fill>
    <x:fill>
      <x:patternFill patternType="solid">
        <x:fgColor rgb="FFE3E8EE"/>
      </x:patternFill>
    </x:fill>
    <x:fill>
      <x:patternFill patternType="solid">
        <x:fgColor rgb="FF347FC4"/>
      </x:patternFill>
    </x:fill>
    <x:fill>
      <x:patternFill patternType="solid">
        <x:fgColor rgb="FF8A58B8"/>
      </x:patternFill>
    </x:fill>
    <x:fill>
      <x:patternFill patternType="solid">
        <x:fgColor rgb="FFD58B23"/>
      </x:patternFill>
    </x:fill>
    <x:fill>
      <x:patternFill patternType="none"/>
    </x:fill>
    <x:fill>
      <x:patternFill patternType="solid">
        <x:fgColor rgb="FF304967"/>
      </x:patternFill>
    </x:fill>
    <x:fill>
      <x:patternFill patternType="solid">
        <x:fgColor rgb="FFFFF2CE"/>
      </x:patternFill>
    </x:fill>
    <x:fill>
      <x:patternFill patternType="solid">
        <x:fgColor rgb="FFEEF2F6"/>
      </x:patternFill>
    </x:fill>
    <x:fill>
      <x:patternFill patternType="none"/>
    </x:fill>
    <x:fill>
      <x:patternFill patternType="solid">
        <x:fgColor rgb="FFFFF2CE"/>
      </x:patternFill>
    </x:fill>
    <x:fill>
      <x:patternFill patternType="solid">
        <x:fgColor rgb="FFFFF2CE"/>
      </x:patternFill>
    </x:fill>
    <x:fill>
      <x:patternFill patternType="none"/>
    </x:fill>
    <x:fill>
      <x:patternFill patternType="solid">
        <x:fgColor rgb="FF304967"/>
      </x:patternFill>
    </x:fill>
    <x:fill>
      <x:patternFill patternType="solid">
        <x:fgColor rgb="FFFFF2CE"/>
      </x:patternFill>
    </x:fill>
    <x:fill>
      <x:patternFill patternType="solid">
        <x:fgColor rgb="FFEEF2F6"/>
      </x:patternFill>
    </x:fill>
    <x:fill>
      <x:patternFill patternType="none"/>
    </x:fill>
    <x:fill>
      <x:patternFill patternType="solid">
        <x:fgColor rgb="FF304967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EAF4F2"/>
      </x:patternFill>
    </x:fill>
    <x:fill>
      <x:patternFill patternType="solid">
        <x:fgColor rgb="FFFFF2CC"/>
      </x:patternFill>
    </x:fill>
    <x:fill>
      <x:patternFill patternType="none"/>
    </x:fill>
    <x:fill>
      <x:patternFill patternType="solid">
        <x:fgColor rgb="FF304967"/>
      </x:patternFill>
    </x:fill>
    <x:fill>
      <x:patternFill patternType="solid">
        <x:fgColor rgb="FFFFF2CE"/>
      </x:patternFill>
    </x:fill>
    <x:fill>
      <x:patternFill patternType="solid">
        <x:fgColor rgb="FFFFF2CE"/>
      </x:patternFill>
    </x:fill>
    <x:fill>
      <x:patternFill patternType="solid">
        <x:fgColor rgb="FF304967"/>
      </x:patternFill>
    </x:fill>
    <x:fill>
      <x:patternFill patternType="solid">
        <x:fgColor rgb="FF305496"/>
      </x:patternFill>
    </x:fill>
    <x:fill>
      <x:patternFill patternType="solid">
        <x:fgColor rgb="FFD9EAD3"/>
      </x:patternFill>
    </x:fill>
  </x:fills>
  <x:borders count="15">
    <x:border>
      <x:left/>
      <x:right/>
      <x:top/>
      <x:bottom/>
      <x:diagonal/>
    </x:border>
    <x:border>
      <x:left/>
      <x:right/>
      <x:top/>
      <x:bottom style="thin">
        <x:color rgb="FFAEBECF"/>
      </x:bottom>
      <x:diagonal/>
    </x:border>
    <x:border>
      <x:left/>
      <x:right/>
      <x:top/>
      <x:bottom style="thin">
        <x:color rgb="FFCBD5E1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 style="hair">
        <x:color rgb="FFE5EAF0"/>
      </x:bottom>
      <x:diagonal/>
    </x:border>
    <x:border>
      <x:left/>
      <x:right/>
      <x:top style="hair">
        <x:color rgb="FFE5EAF0"/>
      </x:top>
      <x:bottom style="hair">
        <x:color rgb="FFE5EAF0"/>
      </x:bottom>
      <x:diagonal/>
    </x:border>
    <x:border>
      <x:left/>
      <x:right/>
      <x:top style="hair">
        <x:color rgb="FFE5EAF0"/>
      </x:top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  <x:diagonal/>
    </x:border>
  </x:borders>
  <x:cellStyleXfs count="8">
    <x:xf numFmtId="0" fontId="0" fillId="0" borderId="0"/>
    <x:xf numFmtId="0" fontId="6" fillId="0" borderId="0"/>
    <x:xf numFmtId="0" fontId="33" fillId="32" borderId="13" xfId="0" applyFont="1" applyFill="1" applyBorder="1" applyAlignment="1">
      <x:alignment vertical="center" wrapText="1"/>
    </x:xf>
    <x:xf numFmtId="0" fontId="0" fillId="0" borderId="0" xfId="0"/>
    <x:xf numFmtId="0" fontId="1" fillId="0" borderId="0" xfId="1" applyFont="1" applyAlignment="1">
      <x:alignment vertical="center" wrapText="1"/>
    </x:xf>
    <x:xf numFmtId="0" fontId="5" fillId="0" borderId="0" xfId="1" applyFont="1" applyAlignment="1">
      <x:alignment vertical="center" wrapText="1"/>
    </x:xf>
    <x:xf numFmtId="0" fontId="1" fillId="0" borderId="0" xfId="1" applyFont="1" applyAlignment="1">
      <x:alignment vertical="center"/>
    </x:xf>
    <x:xf numFmtId="0" fontId="5" fillId="0" borderId="0" xfId="0" applyFont="1" applyFill="1" applyBorder="1" applyAlignment="1">
      <x:alignment vertical="center" wrapText="1"/>
    </x:xf>
  </x:cellStyleXfs>
  <x:cellXfs count="154">
    <x:xf numFmtId="0" fontId="0" fillId="0" borderId="0" xfId="0"/>
    <x:xf numFmtId="0" fontId="7" fillId="0" borderId="0" xfId="0" applyFont="1"/>
    <x:xf numFmtId="0" fontId="2" fillId="0" borderId="0" xfId="1" applyFont="1" applyAlignment="1">
      <x:alignment vertical="center"/>
    </x:xf>
    <x:xf numFmtId="0" fontId="2" fillId="0" borderId="0" xfId="0" applyFont="1" applyAlignment="1">
      <x:alignment vertical="center"/>
    </x:xf>
    <x:xf numFmtId="0" fontId="1" fillId="0" borderId="0" xfId="0" applyFont="1" applyAlignment="1">
      <x:alignment vertical="center"/>
    </x:xf>
    <x:xf numFmtId="0" fontId="8" fillId="0" borderId="0" xfId="0" applyFont="1" applyAlignment="1">
      <x:alignment vertical="center"/>
    </x:xf>
    <x:xf numFmtId="0" fontId="1" fillId="0" borderId="0" xfId="1" applyFont="1" applyAlignment="1">
      <x:alignment vertical="center"/>
    </x:xf>
    <x:xf numFmtId="0" fontId="1" fillId="0" borderId="1" xfId="1" applyFont="1" applyBorder="1" applyAlignment="1">
      <x:alignment vertical="center"/>
    </x:xf>
    <x:xf numFmtId="0" fontId="3" fillId="2" borderId="0" xfId="1" applyFont="1" applyFill="1" applyAlignment="1">
      <x:alignment horizontal="center" vertical="center" wrapText="1"/>
    </x:xf>
    <x:xf numFmtId="0" fontId="4" fillId="3" borderId="0" xfId="1" applyFont="1" applyFill="1" applyAlignment="1">
      <x:alignment vertical="center"/>
    </x:xf>
    <x:xf numFmtId="176" fontId="4" fillId="3" borderId="0" xfId="1" applyNumberFormat="1" applyFont="1" applyFill="1" applyAlignment="1">
      <x:alignment vertical="center"/>
    </x:xf>
    <x:xf numFmtId="176" fontId="1" fillId="0" borderId="0" xfId="1" applyNumberFormat="1" applyFont="1" applyAlignment="1">
      <x:alignment vertical="center"/>
    </x:xf>
    <x:xf numFmtId="3" fontId="1" fillId="0" borderId="0" xfId="1" applyNumberFormat="1" applyFont="1" applyAlignment="1">
      <x:alignment vertical="center"/>
    </x:xf>
    <x:xf numFmtId="10" fontId="1" fillId="0" borderId="0" xfId="1" applyNumberFormat="1" applyFont="1" applyAlignment="1">
      <x:alignment vertical="center"/>
    </x:xf>
    <x:xf numFmtId="0" fontId="1" fillId="0" borderId="0" xfId="1" applyFont="1" applyAlignment="1">
      <x:alignment horizontal="left" vertical="center"/>
    </x:xf>
    <x:xf numFmtId="0" fontId="0" fillId="0" borderId="0" xfId="1" applyFont="1" applyAlignment="1">
      <x:alignment horizontal="left"/>
    </x:xf>
    <x:xf numFmtId="0" fontId="3" fillId="4" borderId="0" xfId="0" applyFont="1" applyFill="1" applyAlignment="1">
      <x:alignment horizontal="center" vertical="center" wrapText="1"/>
    </x:xf>
    <x:xf numFmtId="3" fontId="3" fillId="4" borderId="0" xfId="0" applyNumberFormat="1" applyFont="1" applyFill="1" applyAlignment="1">
      <x:alignment horizontal="center" vertical="center" wrapText="1"/>
    </x:xf>
    <x:xf numFmtId="10" fontId="3" fillId="4" borderId="0" xfId="0" applyNumberFormat="1" applyFont="1" applyFill="1" applyAlignment="1">
      <x:alignment horizontal="center" vertical="center" wrapText="1"/>
    </x:xf>
    <x:xf numFmtId="0" fontId="1" fillId="0" borderId="0" xfId="0" applyFont="1" applyAlignment="1">
      <x:alignment vertical="center"/>
    </x:xf>
    <x:xf numFmtId="2" fontId="1" fillId="0" borderId="0" xfId="0" applyNumberFormat="1" applyFont="1" applyAlignment="1">
      <x:alignment vertical="center"/>
    </x:xf>
    <x:xf numFmtId="4" fontId="1" fillId="0" borderId="0" xfId="0" applyNumberFormat="1" applyFont="1" applyAlignment="1">
      <x:alignment vertical="center"/>
    </x:xf>
    <x:xf numFmtId="0" fontId="8" fillId="0" borderId="0" xfId="0" applyFont="1" applyAlignment="1">
      <x:alignment vertical="center"/>
    </x:xf>
    <x:xf numFmtId="0" fontId="1" fillId="5" borderId="0" xfId="0" applyFont="1" applyFill="1" applyAlignment="1">
      <x:alignment vertical="center"/>
    </x:xf>
    <x:xf numFmtId="9" fontId="1" fillId="5" borderId="0" xfId="0" applyNumberFormat="1" applyFont="1" applyFill="1" applyAlignment="1">
      <x:alignment vertical="center"/>
    </x:xf>
    <x:xf numFmtId="3" fontId="1" fillId="0" borderId="0" xfId="0" applyNumberFormat="1" applyFont="1" applyAlignment="1">
      <x:alignment vertical="center"/>
    </x:xf>
    <x:xf numFmtId="177" fontId="1" fillId="0" borderId="0" xfId="0" applyNumberFormat="1" applyFont="1" applyAlignment="1">
      <x:alignment vertical="center"/>
    </x:xf>
    <x:xf numFmtId="178" fontId="1" fillId="0" borderId="0" xfId="0" applyNumberFormat="1" applyFont="1" applyAlignment="1">
      <x:alignment vertical="center"/>
    </x:xf>
    <x:xf numFmtId="0" fontId="1" fillId="6" borderId="0" xfId="0" applyFont="1" applyFill="1" applyAlignment="1">
      <x:alignment vertical="center"/>
    </x:xf>
    <x:xf numFmtId="0" fontId="8" fillId="0" borderId="0" xfId="0" applyFont="1"/>
    <x:xf numFmtId="1" fontId="1" fillId="7" borderId="0" xfId="0" applyNumberFormat="1" applyFont="1" applyFill="1" applyAlignment="1">
      <x:alignment vertical="center"/>
    </x:xf>
    <x:xf numFmtId="10" fontId="1" fillId="0" borderId="0" xfId="0" applyNumberFormat="1" applyFont="1" applyAlignment="1">
      <x:alignment vertical="center"/>
    </x:xf>
    <x:xf numFmtId="3" fontId="9" fillId="0" borderId="0" xfId="0" applyNumberFormat="1" applyFont="1" applyAlignment="1">
      <x:alignment vertical="center"/>
    </x:xf>
    <x:xf numFmtId="3" fontId="10" fillId="0" borderId="0" xfId="0" applyNumberFormat="1" applyFont="1" applyAlignment="1">
      <x:alignment vertical="center"/>
    </x:xf>
    <x:xf numFmtId="3" fontId="1" fillId="0" borderId="2" xfId="0" applyNumberFormat="1" applyFont="1" applyBorder="1" applyAlignment="1">
      <x:alignment vertical="center"/>
    </x:xf>
    <x:xf numFmtId="3" fontId="11" fillId="0" borderId="0" xfId="0" applyNumberFormat="1" applyFont="1" applyAlignment="1">
      <x:alignment vertical="center"/>
    </x:xf>
    <x:xf numFmtId="3" fontId="3" fillId="8" borderId="3" xfId="0" applyNumberFormat="1" applyFont="1" applyFill="1" applyBorder="1" applyAlignment="1">
      <x:alignment horizontal="center" vertical="center"/>
    </x:xf>
    <x:xf numFmtId="3" fontId="3" fillId="8" borderId="4" xfId="0" applyNumberFormat="1" applyFont="1" applyFill="1" applyBorder="1" applyAlignment="1">
      <x:alignment horizontal="center" vertical="center"/>
    </x:xf>
    <x:xf numFmtId="3" fontId="3" fillId="8" borderId="5" xfId="0" applyNumberFormat="1" applyFont="1" applyFill="1" applyBorder="1" applyAlignment="1">
      <x:alignment horizontal="center" vertical="center"/>
    </x:xf>
    <x:xf numFmtId="3" fontId="1" fillId="9" borderId="0" xfId="0" applyNumberFormat="1" applyFont="1" applyFill="1" applyAlignment="1">
      <x:alignment vertical="center"/>
    </x:xf>
    <x:xf numFmtId="3" fontId="1" fillId="10" borderId="0" xfId="0" applyNumberFormat="1" applyFont="1" applyFill="1" applyAlignment="1">
      <x:alignment vertical="center"/>
    </x:xf>
    <x:xf numFmtId="3" fontId="1" fillId="11" borderId="0" xfId="0" applyNumberFormat="1" applyFont="1" applyFill="1" applyAlignment="1">
      <x:alignment vertical="center"/>
    </x:xf>
    <x:xf numFmtId="3" fontId="3" fillId="8" borderId="3" xfId="0" applyNumberFormat="1" applyFont="1" applyFill="1" applyBorder="1" applyAlignment="1">
      <x:alignment horizontal="center" vertical="center" wrapText="1"/>
    </x:xf>
    <x:xf numFmtId="3" fontId="3" fillId="8" borderId="4" xfId="0" applyNumberFormat="1" applyFont="1" applyFill="1" applyBorder="1" applyAlignment="1">
      <x:alignment horizontal="center" vertical="center" wrapText="1"/>
    </x:xf>
    <x:xf numFmtId="3" fontId="3" fillId="8" borderId="5" xfId="0" applyNumberFormat="1" applyFont="1" applyFill="1" applyBorder="1" applyAlignment="1">
      <x:alignment horizontal="center" vertical="center" wrapText="1"/>
    </x:xf>
    <x:xf numFmtId="2" fontId="1" fillId="9" borderId="0" xfId="0" applyNumberFormat="1" applyFont="1" applyFill="1" applyAlignment="1">
      <x:alignment vertical="center"/>
    </x:xf>
    <x:xf numFmtId="176" fontId="1" fillId="9" borderId="0" xfId="0" applyNumberFormat="1" applyFont="1" applyFill="1" applyAlignment="1">
      <x:alignment vertical="center"/>
    </x:xf>
    <x:xf numFmtId="176" fontId="1" fillId="10" borderId="0" xfId="0" applyNumberFormat="1" applyFont="1" applyFill="1" applyAlignment="1">
      <x:alignment vertical="center"/>
    </x:xf>
    <x:xf numFmtId="1" fontId="1" fillId="0" borderId="0" xfId="0" applyNumberFormat="1" applyFont="1" applyAlignment="1">
      <x:alignment vertical="center"/>
    </x:xf>
    <x:xf numFmtId="3" fontId="3" fillId="12" borderId="4" xfId="0" applyNumberFormat="1" applyFont="1" applyFill="1" applyBorder="1" applyAlignment="1">
      <x:alignment horizontal="center" vertical="center"/>
    </x:xf>
    <x:xf numFmtId="3" fontId="3" fillId="13" borderId="4" xfId="0" applyNumberFormat="1" applyFont="1" applyFill="1" applyBorder="1" applyAlignment="1">
      <x:alignment horizontal="center" vertical="center"/>
    </x:xf>
    <x:xf numFmtId="3" fontId="3" fillId="14" borderId="5" xfId="0" applyNumberFormat="1" applyFont="1" applyFill="1" applyBorder="1" applyAlignment="1">
      <x:alignment horizontal="center" vertical="center"/>
    </x:xf>
    <x:xf numFmtId="3" fontId="3" fillId="14" borderId="4" xfId="0" applyNumberFormat="1" applyFont="1" applyFill="1" applyBorder="1" applyAlignment="1">
      <x:alignment horizontal="center" vertical="center"/>
    </x:xf>
    <x:xf numFmtId="3" fontId="12" fillId="0" borderId="0" xfId="0" applyNumberFormat="1" applyFont="1" applyAlignment="1">
      <x:alignment vertical="center"/>
    </x:xf>
    <x:xf numFmtId="3" fontId="13" fillId="0" borderId="0" xfId="0" applyNumberFormat="1" applyFont="1" applyAlignment="1">
      <x:alignment vertical="center"/>
    </x:xf>
    <x:xf numFmtId="3" fontId="14" fillId="0" borderId="0" xfId="0" applyNumberFormat="1" applyFont="1" applyAlignment="1">
      <x:alignment vertical="center"/>
    </x:xf>
    <x:xf numFmtId="1" fontId="16" fillId="15" borderId="6" xfId="2" applyNumberFormat="1" applyFont="1" applyAlignment="1">
      <x:alignment vertical="center"/>
    </x:xf>
    <x:xf numFmtId="1" fontId="17" fillId="15" borderId="6" xfId="2" applyNumberFormat="1" applyFont="1" applyAlignment="1">
      <x:alignment vertical="center"/>
    </x:xf>
    <x:xf numFmtId="1" fontId="18" fillId="16" borderId="6" xfId="2" applyNumberFormat="1" applyFont="1" applyFill="1" applyAlignment="1">
      <x:alignment vertical="center" wrapText="1"/>
    </x:xf>
    <x:xf numFmtId="1" fontId="16" fillId="17" borderId="6" xfId="2" applyNumberFormat="1" applyFont="1" applyFill="1" applyAlignment="1">
      <x:alignment vertical="center"/>
    </x:xf>
    <x:xf numFmtId="2" fontId="16" fillId="15" borderId="6" xfId="2" applyNumberFormat="1" applyFont="1" applyAlignment="1">
      <x:alignment vertical="center"/>
    </x:xf>
    <x:xf numFmtId="2" fontId="16" fillId="17" borderId="6" xfId="2" applyNumberFormat="1" applyFont="1" applyFill="1" applyAlignment="1">
      <x:alignment vertical="center"/>
    </x:xf>
    <x:xf numFmtId="1" fontId="16" fillId="15" borderId="6" xfId="2" applyNumberFormat="1" applyFont="1" applyAlignment="1">
      <x:alignment vertical="center" wrapText="1"/>
    </x:xf>
    <x:xf numFmtId="1" fontId="16" fillId="18" borderId="6" xfId="2" applyNumberFormat="1" applyFont="1" applyFill="1" applyAlignment="1">
      <x:alignment vertical="center"/>
    </x:xf>
    <x:xf numFmtId="0" fontId="19" fillId="19" borderId="7" xfId="3" applyFont="1" applyAlignment="1">
      <x:alignment vertical="center"/>
    </x:xf>
    <x:xf numFmtId="0" fontId="19" fillId="21" borderId="7" xfId="3" applyFont="1" applyFill="1" applyAlignment="1">
      <x:alignment vertical="center"/>
    </x:xf>
    <x:xf numFmtId="3" fontId="19" fillId="19" borderId="7" xfId="3" applyNumberFormat="1" applyFont="1" applyAlignment="1">
      <x:alignment vertical="center"/>
    </x:xf>
    <x:xf numFmtId="1" fontId="20" fillId="22" borderId="8" xfId="4" applyNumberFormat="1" applyFont="1" applyAlignment="1">
      <x:alignment vertical="center"/>
    </x:xf>
    <x:xf numFmtId="3" fontId="23" fillId="23" borderId="7" xfId="3" applyNumberFormat="1" applyFont="1" applyFill="1" applyAlignment="1">
      <x:alignment vertical="center"/>
    </x:xf>
    <x:xf numFmtId="3" fontId="19" fillId="24" borderId="7" xfId="3" applyNumberFormat="1" applyFont="1" applyFill="1" applyAlignment="1">
      <x:alignment vertical="center"/>
    </x:xf>
    <x:xf numFmtId="1" fontId="24" fillId="19" borderId="8" xfId="3" applyNumberFormat="1" applyFont="1" applyBorder="1" applyAlignment="1">
      <x:alignment vertical="center"/>
    </x:xf>
    <x:xf numFmtId="1" fontId="20" fillId="19" borderId="8" xfId="3" applyNumberFormat="1" applyFont="1" applyBorder="1" applyAlignment="1">
      <x:alignment vertical="center"/>
    </x:xf>
    <x:xf numFmtId="1" fontId="21" fillId="19" borderId="8" xfId="3" applyNumberFormat="1" applyFont="1" applyBorder="1" applyAlignment="1">
      <x:alignment vertical="center"/>
    </x:xf>
    <x:xf numFmtId="1" fontId="20" fillId="20" borderId="8" xfId="3" applyNumberFormat="1" applyFont="1" applyFill="1" applyBorder="1" applyAlignment="1">
      <x:alignment vertical="center"/>
    </x:xf>
    <x:xf numFmtId="1" fontId="22" fillId="23" borderId="8" xfId="3" applyNumberFormat="1" applyFont="1" applyFill="1" applyBorder="1" applyAlignment="1">
      <x:alignment vertical="center" wrapText="1"/>
    </x:xf>
    <x:xf numFmtId="1" fontId="20" fillId="24" borderId="9" xfId="3" applyNumberFormat="1" applyFont="1" applyFill="1" applyBorder="1" applyAlignment="1">
      <x:alignment vertical="center"/>
    </x:xf>
    <x:xf numFmtId="2" fontId="20" fillId="25" borderId="9" xfId="3" applyNumberFormat="1" applyFont="1" applyFill="1" applyBorder="1" applyAlignment="1">
      <x:alignment vertical="center"/>
    </x:xf>
    <x:xf numFmtId="10" fontId="20" fillId="25" borderId="9" xfId="3" applyNumberFormat="1" applyFont="1" applyFill="1" applyBorder="1" applyAlignment="1">
      <x:alignment vertical="center"/>
    </x:xf>
    <x:xf numFmtId="1" fontId="20" fillId="24" borderId="10" xfId="3" applyNumberFormat="1" applyFont="1" applyFill="1" applyBorder="1" applyAlignment="1">
      <x:alignment vertical="center"/>
    </x:xf>
    <x:xf numFmtId="2" fontId="20" fillId="25" borderId="10" xfId="3" applyNumberFormat="1" applyFont="1" applyFill="1" applyBorder="1" applyAlignment="1">
      <x:alignment vertical="center"/>
    </x:xf>
    <x:xf numFmtId="10" fontId="20" fillId="25" borderId="10" xfId="3" applyNumberFormat="1" applyFont="1" applyFill="1" applyBorder="1" applyAlignment="1">
      <x:alignment vertical="center"/>
    </x:xf>
    <x:xf numFmtId="1" fontId="20" fillId="24" borderId="11" xfId="3" applyNumberFormat="1" applyFont="1" applyFill="1" applyBorder="1" applyAlignment="1">
      <x:alignment vertical="center"/>
    </x:xf>
    <x:xf numFmtId="2" fontId="20" fillId="25" borderId="11" xfId="3" applyNumberFormat="1" applyFont="1" applyFill="1" applyBorder="1" applyAlignment="1">
      <x:alignment vertical="center"/>
    </x:xf>
    <x:xf numFmtId="10" fontId="20" fillId="25" borderId="11" xfId="3" applyNumberFormat="1" applyFont="1" applyFill="1" applyBorder="1" applyAlignment="1">
      <x:alignment vertical="center"/>
    </x:xf>
    <x:xf numFmtId="4" fontId="26" fillId="26" borderId="12" xfId="0" applyNumberFormat="1" applyFont="1" applyFill="1" applyBorder="1" applyAlignment="1">
      <x:alignment vertical="center"/>
    </x:xf>
    <x:xf numFmtId="4" fontId="27" fillId="26" borderId="12" xfId="0" applyNumberFormat="1" applyFont="1" applyFill="1" applyBorder="1" applyAlignment="1">
      <x:alignment vertical="center"/>
    </x:xf>
    <x:xf numFmtId="4" fontId="25" fillId="27" borderId="12" xfId="0" applyNumberFormat="1" applyFont="1" applyFill="1" applyBorder="1" applyAlignment="1">
      <x:alignment vertical="center"/>
    </x:xf>
    <x:xf numFmtId="4" fontId="25" fillId="27" borderId="12" xfId="0" applyNumberFormat="1" applyFont="1" applyFill="1" applyBorder="1" applyAlignment="1">
      <x:alignment horizontal="center" vertical="center" wrapText="1"/>
    </x:xf>
    <x:xf numFmtId="4" fontId="25" fillId="27" borderId="12" xfId="0" applyNumberFormat="1" applyFont="1" applyFill="1" applyBorder="1" applyAlignment="1">
      <x:alignment horizontal="center" vertical="center"/>
    </x:xf>
    <x:xf numFmtId="4" fontId="26" fillId="28" borderId="12" xfId="0" applyNumberFormat="1" applyFont="1" applyFill="1" applyBorder="1" applyAlignment="1">
      <x:alignment vertical="center"/>
    </x:xf>
    <x:xf numFmtId="4" fontId="26" fillId="29" borderId="12" xfId="0" applyNumberFormat="1" applyFont="1" applyFill="1" applyBorder="1" applyAlignment="1">
      <x:alignment vertical="center"/>
    </x:xf>
    <x:xf numFmtId="4" fontId="26" fillId="30" borderId="12" xfId="0" applyNumberFormat="1" applyFont="1" applyFill="1" applyBorder="1" applyAlignment="1">
      <x:alignment vertical="center"/>
    </x:xf>
    <x:xf numFmtId="4" fontId="29" fillId="30" borderId="12" xfId="0" applyNumberFormat="1" applyFont="1" applyFill="1" applyBorder="1" applyAlignment="1">
      <x:alignment vertical="center"/>
    </x:xf>
    <x:xf numFmtId="10" fontId="26" fillId="28" borderId="12" xfId="0" applyNumberFormat="1" applyFont="1" applyFill="1" applyBorder="1" applyAlignment="1">
      <x:alignment vertical="center"/>
    </x:xf>
    <x:xf numFmtId="10" fontId="26" fillId="29" borderId="12" xfId="0" applyNumberFormat="1" applyFont="1" applyFill="1" applyBorder="1" applyAlignment="1">
      <x:alignment vertical="center"/>
    </x:xf>
    <x:xf numFmtId="10" fontId="29" fillId="30" borderId="12" xfId="0" applyNumberFormat="1" applyFont="1" applyFill="1" applyBorder="1" applyAlignment="1">
      <x:alignment vertical="center"/>
    </x:xf>
    <x:xf numFmtId="178" fontId="26" fillId="28" borderId="12" xfId="0" applyNumberFormat="1" applyFont="1" applyFill="1" applyBorder="1" applyAlignment="1">
      <x:alignment vertical="center"/>
    </x:xf>
    <x:xf numFmtId="178" fontId="26" fillId="29" borderId="12" xfId="0" applyNumberFormat="1" applyFont="1" applyFill="1" applyBorder="1" applyAlignment="1">
      <x:alignment vertical="center"/>
    </x:xf>
    <x:xf numFmtId="1" fontId="26" fillId="26" borderId="12" xfId="0" applyNumberFormat="1" applyFont="1" applyFill="1" applyBorder="1" applyAlignment="1">
      <x:alignment vertical="center"/>
    </x:xf>
    <x:xf numFmtId="1" fontId="26" fillId="31" borderId="12" xfId="0" applyNumberFormat="1" applyFont="1" applyFill="1" applyBorder="1" applyAlignment="1">
      <x:alignment vertical="center"/>
    </x:xf>
    <x:xf numFmtId="178" fontId="26" fillId="31" borderId="12" xfId="0" applyNumberFormat="1" applyFont="1" applyFill="1" applyBorder="1" applyAlignment="1">
      <x:alignment vertical="center"/>
    </x:xf>
    <x:xf numFmtId="10" fontId="26" fillId="26" borderId="12" xfId="0" applyNumberFormat="1" applyFont="1" applyFill="1" applyBorder="1" applyAlignment="1">
      <x:alignment vertical="center"/>
    </x:xf>
    <x:xf numFmtId="1" fontId="26" fillId="30" borderId="12" xfId="0" applyNumberFormat="1" applyFont="1" applyFill="1" applyBorder="1" applyAlignment="1">
      <x:alignment vertical="center"/>
    </x:xf>
    <x:xf numFmtId="10" fontId="26" fillId="30" borderId="12" xfId="0" applyNumberFormat="1" applyFont="1" applyFill="1" applyBorder="1" applyAlignment="1">
      <x:alignment vertical="center"/>
    </x:xf>
    <x:xf numFmtId="1" fontId="26" fillId="28" borderId="12" xfId="0" applyNumberFormat="1" applyFont="1" applyFill="1" applyBorder="1" applyAlignment="1">
      <x:alignment vertical="center"/>
    </x:xf>
    <x:xf numFmtId="1" fontId="26" fillId="29" borderId="12" xfId="0" applyNumberFormat="1" applyFont="1" applyFill="1" applyBorder="1" applyAlignment="1">
      <x:alignment vertical="center"/>
    </x:xf>
    <x:xf numFmtId="179" fontId="26" fillId="29" borderId="12" xfId="0" applyNumberFormat="1" applyFont="1" applyFill="1" applyBorder="1" applyAlignment="1">
      <x:alignment vertical="center"/>
    </x:xf>
    <x:xf numFmtId="179" fontId="26" fillId="28" borderId="12" xfId="0" applyNumberFormat="1" applyFont="1" applyFill="1" applyBorder="1" applyAlignment="1">
      <x:alignment vertical="center"/>
    </x:xf>
    <x:xf numFmtId="179" fontId="26" fillId="30" borderId="12" xfId="0" applyNumberFormat="1" applyFont="1" applyFill="1" applyBorder="1" applyAlignment="1">
      <x:alignment vertical="center"/>
    </x:xf>
    <x:xf numFmtId="0" fontId="30" fillId="32" borderId="13" xfId="6" applyFont="1" applyAlignment="1">
      <x:alignment vertical="center"/>
    </x:xf>
    <x:xf numFmtId="0" fontId="31" fillId="33" borderId="13" xfId="6" applyFont="1" applyFill="1" applyAlignment="1">
      <x:alignment horizontal="center" vertical="center" wrapText="1"/>
    </x:xf>
    <x:xf numFmtId="0" fontId="32" fillId="34" borderId="13" xfId="6" applyFont="1" applyFill="1" applyAlignment="1">
      <x:alignment vertical="center"/>
    </x:xf>
    <x:xf numFmtId="176" fontId="32" fillId="34" borderId="13" xfId="6" applyNumberFormat="1" applyFont="1" applyFill="1" applyAlignment="1">
      <x:alignment vertical="center"/>
    </x:xf>
    <x:xf numFmtId="176" fontId="30" fillId="32" borderId="13" xfId="6" applyNumberFormat="1" applyFont="1" applyAlignment="1">
      <x:alignment vertical="center"/>
    </x:xf>
    <x:xf numFmtId="3" fontId="30" fillId="32" borderId="13" xfId="6" applyNumberFormat="1" applyFont="1" applyAlignment="1">
      <x:alignment vertical="center"/>
    </x:xf>
    <x:xf numFmtId="0" fontId="34" fillId="36" borderId="13" xfId="5" applyFont="1" applyFill="1" applyAlignment="1">
      <x:alignment vertical="center" wrapText="1"/>
    </x:xf>
    <x:xf numFmtId="1" fontId="35" fillId="35" borderId="13" xfId="5" applyNumberFormat="1" applyFont="1" applyFill="1" applyAlignment="1">
      <x:alignment vertical="center"/>
    </x:xf>
    <x:xf numFmtId="180" fontId="35" fillId="35" borderId="13" xfId="5" applyNumberFormat="1" applyFont="1" applyFill="1" applyAlignment="1">
      <x:alignment vertical="center"/>
    </x:xf>
    <x:xf numFmtId="4" fontId="28" fillId="26" borderId="12" xfId="0" applyNumberFormat="1" applyFont="1" applyFill="1" applyBorder="1" applyAlignment="1">
      <x:alignment vertical="center"/>
    </x:xf>
    <x:xf numFmtId="4" fontId="25" fillId="27" borderId="12" xfId="0" applyNumberFormat="1" applyFont="1" applyFill="1" applyBorder="1" applyAlignment="1">
      <x:alignment horizontal="center" vertical="center" wrapText="1"/>
    </x:xf>
    <x:xf numFmtId="4" fontId="26" fillId="26" borderId="12" xfId="0" applyNumberFormat="1" applyFont="1" applyFill="1" applyBorder="1" applyAlignment="1">
      <x:alignment vertical="center"/>
    </x:xf>
    <x:xf numFmtId="1" fontId="18" fillId="2" borderId="0" xfId="7" applyNumberFormat="1" applyFont="1" applyFill="1" applyAlignment="1">
      <x:alignment vertical="center" wrapText="1"/>
    </x:xf>
    <x:xf numFmtId="1" fontId="16" fillId="0" borderId="0" xfId="7" applyNumberFormat="1" applyFont="1" applyAlignment="1">
      <x:alignment vertical="center"/>
    </x:xf>
    <x:xf numFmtId="1" fontId="16" fillId="3" borderId="0" xfId="7" applyNumberFormat="1" applyFont="1" applyFill="1" applyAlignment="1">
      <x:alignment vertical="center"/>
    </x:xf>
    <x:xf numFmtId="2" fontId="16" fillId="0" borderId="0" xfId="7" applyNumberFormat="1" applyFont="1" applyAlignment="1">
      <x:alignment vertical="center"/>
    </x:xf>
    <x:xf numFmtId="200" fontId="16" fillId="0" borderId="0" xfId="0" applyNumberFormat="1" applyFont="1" applyFill="1" applyBorder="1" applyAlignment="1">
      <x:alignment vertical="center"/>
    </x:xf>
    <x:xf numFmtId="1" fontId="36" fillId="0" borderId="0" xfId="0" applyNumberFormat="1" applyFont="1" applyFill="1" applyBorder="1" applyAlignment="1">
      <x:alignment vertical="center"/>
    </x:xf>
    <x:xf numFmtId="1" fontId="16" fillId="37" borderId="0" xfId="0" applyNumberFormat="1" applyFont="1" applyFill="1" applyBorder="1" applyAlignment="1">
      <x:alignment vertical="center"/>
    </x:xf>
    <x:xf numFmtId="1" fontId="18" fillId="37" borderId="0" xfId="0" applyNumberFormat="1" applyFont="1" applyFill="1" applyBorder="1" applyAlignment="1">
      <x:alignment vertical="center"/>
    </x:xf>
    <x:xf numFmtId="1" fontId="16" fillId="38" borderId="0" xfId="0" applyNumberFormat="1" applyFont="1" applyFill="1" applyBorder="1" applyAlignment="1">
      <x:alignment vertical="center"/>
    </x:xf>
    <x:xf numFmtId="1" fontId="37" fillId="38" borderId="0" xfId="0" applyNumberFormat="1" applyFont="1" applyFill="1" applyBorder="1" applyAlignment="1">
      <x:alignment vertical="center"/>
    </x:xf>
    <x:xf numFmtId="1" fontId="18" fillId="37" borderId="14" xfId="0" applyNumberFormat="1" applyFont="1" applyFill="1" applyBorder="1" applyAlignment="1">
      <x:alignment vertical="center"/>
    </x:xf>
    <x:xf numFmtId="1" fontId="16" fillId="0" borderId="14" xfId="0" applyNumberFormat="1" applyFont="1" applyFill="1" applyBorder="1" applyAlignment="1">
      <x:alignment vertical="center"/>
    </x:xf>
    <x:xf numFmtId="1" fontId="37" fillId="38" borderId="14" xfId="0" applyNumberFormat="1" applyFont="1" applyFill="1" applyBorder="1" applyAlignment="1">
      <x:alignment vertical="center"/>
    </x:xf>
    <x:xf numFmtId="200" fontId="16" fillId="0" borderId="14" xfId="0" applyNumberFormat="1" applyFont="1" applyFill="1" applyBorder="1" applyAlignment="1">
      <x:alignment vertical="center"/>
    </x:xf>
    <x:xf numFmtId="200" fontId="37" fillId="38" borderId="14" xfId="0" applyNumberFormat="1" applyFont="1" applyFill="1" applyBorder="1" applyAlignment="1">
      <x:alignment vertical="center"/>
    </x:xf>
    <x:xf numFmtId="201" fontId="16" fillId="0" borderId="14" xfId="0" applyNumberFormat="1" applyFont="1" applyFill="1" applyBorder="1" applyAlignment="1">
      <x:alignment vertical="center"/>
    </x:xf>
    <x:xf numFmtId="201" fontId="37" fillId="38" borderId="14" xfId="0" applyNumberFormat="1" applyFont="1" applyFill="1" applyBorder="1" applyAlignment="1">
      <x:alignment vertical="center"/>
    </x:xf>
    <x:xf numFmtId="1" fontId="18" fillId="2" borderId="0" xfId="0" applyNumberFormat="1" applyFont="1" applyFill="1" applyBorder="1" applyAlignment="1">
      <x:alignment vertical="center" wrapText="1"/>
    </x:xf>
    <x:xf numFmtId="1" fontId="16" fillId="0" borderId="0" xfId="0" applyNumberFormat="1" applyFont="1" applyFill="1" applyBorder="1" applyAlignment="1">
      <x:alignment vertical="center"/>
    </x:xf>
    <x:xf numFmtId="1" fontId="16" fillId="3" borderId="0" xfId="0" applyNumberFormat="1" applyFont="1" applyFill="1" applyBorder="1" applyAlignment="1">
      <x:alignment vertical="center"/>
    </x:xf>
    <x:xf numFmtId="2" fontId="16" fillId="0" borderId="0" xfId="0" applyNumberFormat="1" applyFont="1" applyFill="1" applyBorder="1" applyAlignment="1">
      <x:alignment vertical="center"/>
    </x:xf>
    <x:xf numFmtId="1" fontId="16" fillId="0" borderId="0" xfId="0" applyNumberFormat="1" applyFont="1" applyFill="1" applyBorder="1" applyAlignment="1">
      <x:alignment vertical="center" wrapText="1"/>
    </x:xf>
    <x:xf numFmtId="1" fontId="16" fillId="3" borderId="0" xfId="0" applyNumberFormat="1" applyFont="1" applyFill="1" applyBorder="1" applyAlignment="1">
      <x:alignment vertical="center" wrapText="1"/>
    </x:xf>
    <x:xf numFmtId="2" fontId="16" fillId="0" borderId="0" xfId="0" applyNumberFormat="1" applyFont="1" applyFill="1" applyBorder="1" applyAlignment="1">
      <x:alignment vertical="center" wrapText="1"/>
    </x:xf>
    <x:xf numFmtId="200" fontId="16" fillId="0" borderId="0" xfId="0" applyNumberFormat="1" applyFont="1" applyFill="1" applyBorder="1" applyAlignment="1">
      <x:alignment vertical="center" wrapText="1"/>
    </x:xf>
    <x:xf numFmtId="1" fontId="36" fillId="0" borderId="0" xfId="0" applyNumberFormat="1" applyFont="1" applyFill="1" applyBorder="1" applyAlignment="1">
      <x:alignment vertical="center" wrapText="1"/>
    </x:xf>
    <x:xf numFmtId="1" fontId="18" fillId="37" borderId="14" xfId="0" applyNumberFormat="1" applyFont="1" applyFill="1" applyBorder="1" applyAlignment="1">
      <x:alignment vertical="center" wrapText="1"/>
    </x:xf>
    <x:xf numFmtId="1" fontId="16" fillId="0" borderId="14" xfId="0" applyNumberFormat="1" applyFont="1" applyFill="1" applyBorder="1" applyAlignment="1">
      <x:alignment vertical="center" wrapText="1"/>
    </x:xf>
    <x:xf numFmtId="201" fontId="16" fillId="0" borderId="14" xfId="0" applyNumberFormat="1" applyFont="1" applyFill="1" applyBorder="1" applyAlignment="1">
      <x:alignment vertical="center" wrapText="1"/>
    </x:xf>
    <x:xf numFmtId="200" fontId="16" fillId="0" borderId="14" xfId="0" applyNumberFormat="1" applyFont="1" applyFill="1" applyBorder="1" applyAlignment="1">
      <x:alignment vertical="center" wrapText="1"/>
    </x:xf>
    <x:xf numFmtId="1" fontId="37" fillId="38" borderId="14" xfId="0" applyNumberFormat="1" applyFont="1" applyFill="1" applyBorder="1" applyAlignment="1">
      <x:alignment vertical="center" wrapText="1"/>
    </x:xf>
    <x:xf numFmtId="201" fontId="37" fillId="38" borderId="14" xfId="0" applyNumberFormat="1" applyFont="1" applyFill="1" applyBorder="1" applyAlignment="1">
      <x:alignment vertical="center" wrapText="1"/>
    </x:xf>
    <x:xf numFmtId="200" fontId="37" fillId="38" borderId="14" xfId="0" applyNumberFormat="1" applyFont="1" applyFill="1" applyBorder="1" applyAlignment="1">
      <x:alignment vertical="center" wrapText="1"/>
    </x:xf>
  </x:cellXfs>
  <x:cellStyles count="2">
    <x:cellStyle name="Normal" xfId="1"/>
    <x:cellStyle name="常规" xfId="0"/>
  </x:cellStyles>
  <x:dxfs count="5">
    <x:dxf>
      <x:font>
        <x:color rgb="FF9C65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AF2525"/>
      </x:font>
      <x:fill>
        <x:patternFill>
          <x:bgColor rgb="FFFDE7E5"/>
        </x:patternFill>
      </x:fill>
    </x:dxf>
    <x:dxf>
      <x:font>
        <x:b/>
        <x:color rgb="FF8F571A"/>
      </x:font>
      <x:fill>
        <x:patternFill>
          <x:bgColor rgb="FFFFF0D7"/>
        </x:patternFill>
      </x:fill>
    </x:dxf>
    <x:dxf>
      <x:font>
        <x:color rgb="FFAF2525"/>
      </x:font>
      <x:fill>
        <x:patternFill>
          <x:bgColor rgb="FFFDE7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30a6d1b640479f" /><Relationship Type="http://schemas.openxmlformats.org/officeDocument/2006/relationships/theme" Target="/xl/theme/theme1.xml" Id="R80a06c914fec4516" /><Relationship Type="http://schemas.openxmlformats.org/officeDocument/2006/relationships/sharedStrings" Target="/xl/sharedStrings.xml" Id="R78eaea27a2af4062" /><Relationship Type="http://schemas.openxmlformats.org/officeDocument/2006/relationships/worksheet" Target="/xl/worksheets/sheet1.xml" Id="Raeb47507e2a24857" /><Relationship Type="http://schemas.openxmlformats.org/officeDocument/2006/relationships/worksheet" Target="/xl/worksheets/sheet2.xml" Id="Rbbc72ae7defd47da" /><Relationship Type="http://schemas.openxmlformats.org/officeDocument/2006/relationships/worksheet" Target="/xl/worksheets/sheet3.xml" Id="Re99ed684d8064e8a" /><Relationship Type="http://schemas.openxmlformats.org/officeDocument/2006/relationships/worksheet" Target="/xl/worksheets/sheet4.xml" Id="Rb5fc2e9e54fc4d8f" /><Relationship Type="http://schemas.openxmlformats.org/officeDocument/2006/relationships/worksheet" Target="/xl/worksheets/sheet5.xml" Id="R09ce6b22269b4ff3" /><Relationship Type="http://schemas.openxmlformats.org/officeDocument/2006/relationships/worksheet" Target="/xl/worksheets/sheet6.xml" Id="R57bb32ecc23848a7" /><Relationship Type="http://schemas.openxmlformats.org/officeDocument/2006/relationships/worksheet" Target="/xl/worksheets/sheet7.xml" Id="R34e6f4c899c0425a" /><Relationship Type="http://schemas.openxmlformats.org/officeDocument/2006/relationships/worksheet" Target="/xl/worksheets/sheet8.xml" Id="R3fa31363f79d4bae" /><Relationship Type="http://schemas.openxmlformats.org/officeDocument/2006/relationships/worksheet" Target="/xl/worksheets/sheet9.xml" Id="R9b0599ae19754373" /><Relationship Type="http://schemas.openxmlformats.org/officeDocument/2006/relationships/worksheet" Target="/xl/worksheets/sheet10.xml" Id="R81a0c8ee59d14680" /><Relationship Type="http://schemas.openxmlformats.org/officeDocument/2006/relationships/worksheet" Target="/xl/worksheets/sheet11.xml" Id="AccessoryPricing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35514669ff7426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4432a58410f3460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9755281d5eb4b28" /><Relationship Type="http://schemas.openxmlformats.org/officeDocument/2006/relationships/chart" Target="/xl/drawings/charts/chart4.xml" Id="Rb33ee6eb6c1a4abb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c98327fd15274b66" /><Relationship Type="http://schemas.openxmlformats.org/officeDocument/2006/relationships/chart" Target="/xl/drawings/charts/chart6.xml" Id="R36ffd1f7032f4b65" /><Relationship Type="http://schemas.openxmlformats.org/officeDocument/2006/relationships/chart" Target="/xl/drawings/charts/chart7.xml" Id="R6865c898fe4747e5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29be44a0538a4c7d" /><Relationship Type="http://schemas.openxmlformats.org/officeDocument/2006/relationships/chart" Target="/xl/drawings/charts/chart9.xml" Id="R3dd23b85b96d4c95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三品质标准攻击成长</a:t>
            </a:r>
          </a:p>
        </c:rich>
      </c:tx>
      <c:overlay val="0"/>
    </c:title>
    <c:autoTitleDeleted val="0"/>
    <c:plotArea>
      <c:lineChart>
        <c:grouping val="standard"/>
        <c:varyColors val="0"/>
        <c:ser>
          <c:idx val="0"/>
          <c:order val="0"/>
          <c:tx>
            <c:v>蓝攻击</c:v>
          </c:tx>
          <c:spPr>
            <a:ln xmlns:a="http://schemas.openxmlformats.org/drawingml/2006/main" w="19050">
              <a:solidFill>
                <a:srgbClr val="347FC4"/>
              </a:solidFill>
              <a:prstDash val="solid"/>
            </a:ln>
          </c:spPr>
          <c:marker>
            <c:symbol val="none"/>
          </c:marker>
          <c:cat>
            <c:numRef>
              <c:f>英雄升级调参!$B$66:$B$115</c:f>
              <c:numCache>
                <c:formatCode>#,##0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英雄升级调参!$E$66:$E$115</c:f>
              <c:numCache>
                <c:formatCode>#,##0</c:formatCode>
                <c:ptCount val="50"/>
                <c:pt idx="0">
                  <c:v>60</c:v>
                </c:pt>
                <c:pt idx="1">
                  <c:v>66</c:v>
                </c:pt>
                <c:pt idx="2">
                  <c:v>72</c:v>
                </c:pt>
                <c:pt idx="3">
                  <c:v>78</c:v>
                </c:pt>
                <c:pt idx="4">
                  <c:v>84</c:v>
                </c:pt>
                <c:pt idx="5">
                  <c:v>93</c:v>
                </c:pt>
                <c:pt idx="6">
                  <c:v>102</c:v>
                </c:pt>
                <c:pt idx="7">
                  <c:v>111</c:v>
                </c:pt>
                <c:pt idx="8">
                  <c:v>120</c:v>
                </c:pt>
                <c:pt idx="9">
                  <c:v>129</c:v>
                </c:pt>
                <c:pt idx="10">
                  <c:v>141</c:v>
                </c:pt>
                <c:pt idx="11">
                  <c:v>153</c:v>
                </c:pt>
                <c:pt idx="12">
                  <c:v>165</c:v>
                </c:pt>
                <c:pt idx="13">
                  <c:v>177</c:v>
                </c:pt>
                <c:pt idx="14">
                  <c:v>189</c:v>
                </c:pt>
                <c:pt idx="15">
                  <c:v>204</c:v>
                </c:pt>
                <c:pt idx="16">
                  <c:v>219</c:v>
                </c:pt>
                <c:pt idx="17">
                  <c:v>234</c:v>
                </c:pt>
                <c:pt idx="18">
                  <c:v>249</c:v>
                </c:pt>
                <c:pt idx="19">
                  <c:v>264</c:v>
                </c:pt>
                <c:pt idx="20">
                  <c:v>282</c:v>
                </c:pt>
                <c:pt idx="21">
                  <c:v>300</c:v>
                </c:pt>
                <c:pt idx="22">
                  <c:v>318</c:v>
                </c:pt>
                <c:pt idx="23">
                  <c:v>336</c:v>
                </c:pt>
                <c:pt idx="24">
                  <c:v>354</c:v>
                </c:pt>
                <c:pt idx="25">
                  <c:v>375</c:v>
                </c:pt>
                <c:pt idx="26">
                  <c:v>396</c:v>
                </c:pt>
                <c:pt idx="27">
                  <c:v>417</c:v>
                </c:pt>
                <c:pt idx="28">
                  <c:v>438</c:v>
                </c:pt>
                <c:pt idx="29">
                  <c:v>459</c:v>
                </c:pt>
                <c:pt idx="30">
                  <c:v>483</c:v>
                </c:pt>
                <c:pt idx="31">
                  <c:v>507</c:v>
                </c:pt>
                <c:pt idx="32">
                  <c:v>531</c:v>
                </c:pt>
                <c:pt idx="33">
                  <c:v>555</c:v>
                </c:pt>
                <c:pt idx="34">
                  <c:v>579</c:v>
                </c:pt>
                <c:pt idx="35">
                  <c:v>606</c:v>
                </c:pt>
                <c:pt idx="36">
                  <c:v>633</c:v>
                </c:pt>
                <c:pt idx="37">
                  <c:v>660</c:v>
                </c:pt>
                <c:pt idx="38">
                  <c:v>687</c:v>
                </c:pt>
                <c:pt idx="39">
                  <c:v>714</c:v>
                </c:pt>
                <c:pt idx="40">
                  <c:v>744</c:v>
                </c:pt>
                <c:pt idx="41">
                  <c:v>774</c:v>
                </c:pt>
                <c:pt idx="42">
                  <c:v>804</c:v>
                </c:pt>
                <c:pt idx="43">
                  <c:v>834</c:v>
                </c:pt>
                <c:pt idx="44">
                  <c:v>864</c:v>
                </c:pt>
                <c:pt idx="45">
                  <c:v>897</c:v>
                </c:pt>
                <c:pt idx="46">
                  <c:v>930</c:v>
                </c:pt>
                <c:pt idx="47">
                  <c:v>963</c:v>
                </c:pt>
                <c:pt idx="48">
                  <c:v>996</c:v>
                </c:pt>
                <c:pt idx="49">
                  <c:v>1029</c:v>
                </c:pt>
              </c:numCache>
            </c:numRef>
          </c:val>
          <c:smooth val="0"/>
        </c:ser>
        <c:ser>
          <c:idx val="1"/>
          <c:order val="1"/>
          <c:tx>
            <c:v>紫攻击</c:v>
          </c:tx>
          <c:spPr>
            <a:ln xmlns:a="http://schemas.openxmlformats.org/drawingml/2006/main" w="19050">
              <a:solidFill>
                <a:srgbClr val="8A58B8"/>
              </a:solidFill>
              <a:prstDash val="solid"/>
            </a:ln>
          </c:spPr>
          <c:marker>
            <c:symbol val="none"/>
          </c:marker>
          <c:cat>
            <c:numRef>
              <c:f>英雄升级调参!$B$66:$B$115</c:f>
              <c:numCache>
                <c:formatCode>#,##0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英雄升级调参!$H$66:$H$115</c:f>
              <c:numCache>
                <c:formatCode>#,##0</c:formatCode>
                <c:ptCount val="50"/>
                <c:pt idx="0">
                  <c:v>93</c:v>
                </c:pt>
                <c:pt idx="1">
                  <c:v>102</c:v>
                </c:pt>
                <c:pt idx="2">
                  <c:v>111</c:v>
                </c:pt>
                <c:pt idx="3">
                  <c:v>120</c:v>
                </c:pt>
                <c:pt idx="4">
                  <c:v>129</c:v>
                </c:pt>
                <c:pt idx="5">
                  <c:v>143</c:v>
                </c:pt>
                <c:pt idx="6">
                  <c:v>157</c:v>
                </c:pt>
                <c:pt idx="7">
                  <c:v>171</c:v>
                </c:pt>
                <c:pt idx="8">
                  <c:v>185</c:v>
                </c:pt>
                <c:pt idx="9">
                  <c:v>199</c:v>
                </c:pt>
                <c:pt idx="10">
                  <c:v>217</c:v>
                </c:pt>
                <c:pt idx="11">
                  <c:v>235</c:v>
                </c:pt>
                <c:pt idx="12">
                  <c:v>253</c:v>
                </c:pt>
                <c:pt idx="13">
                  <c:v>271</c:v>
                </c:pt>
                <c:pt idx="14">
                  <c:v>289</c:v>
                </c:pt>
                <c:pt idx="15">
                  <c:v>312</c:v>
                </c:pt>
                <c:pt idx="16">
                  <c:v>335</c:v>
                </c:pt>
                <c:pt idx="17">
                  <c:v>358</c:v>
                </c:pt>
                <c:pt idx="18">
                  <c:v>381</c:v>
                </c:pt>
                <c:pt idx="19">
                  <c:v>404</c:v>
                </c:pt>
                <c:pt idx="20">
                  <c:v>431</c:v>
                </c:pt>
                <c:pt idx="21">
                  <c:v>458</c:v>
                </c:pt>
                <c:pt idx="22">
                  <c:v>485</c:v>
                </c:pt>
                <c:pt idx="23">
                  <c:v>512</c:v>
                </c:pt>
                <c:pt idx="24">
                  <c:v>539</c:v>
                </c:pt>
                <c:pt idx="25">
                  <c:v>571</c:v>
                </c:pt>
                <c:pt idx="26">
                  <c:v>603</c:v>
                </c:pt>
                <c:pt idx="27">
                  <c:v>635</c:v>
                </c:pt>
                <c:pt idx="28">
                  <c:v>667</c:v>
                </c:pt>
                <c:pt idx="29">
                  <c:v>699</c:v>
                </c:pt>
                <c:pt idx="30">
                  <c:v>735</c:v>
                </c:pt>
                <c:pt idx="31">
                  <c:v>771</c:v>
                </c:pt>
                <c:pt idx="32">
                  <c:v>807</c:v>
                </c:pt>
                <c:pt idx="33">
                  <c:v>843</c:v>
                </c:pt>
                <c:pt idx="34">
                  <c:v>879</c:v>
                </c:pt>
                <c:pt idx="35">
                  <c:v>920</c:v>
                </c:pt>
                <c:pt idx="36">
                  <c:v>961</c:v>
                </c:pt>
                <c:pt idx="37">
                  <c:v>1002</c:v>
                </c:pt>
                <c:pt idx="38">
                  <c:v>1043</c:v>
                </c:pt>
                <c:pt idx="39">
                  <c:v>1084</c:v>
                </c:pt>
                <c:pt idx="40">
                  <c:v>1129</c:v>
                </c:pt>
                <c:pt idx="41">
                  <c:v>1174</c:v>
                </c:pt>
                <c:pt idx="42">
                  <c:v>1219</c:v>
                </c:pt>
                <c:pt idx="43">
                  <c:v>1264</c:v>
                </c:pt>
                <c:pt idx="44">
                  <c:v>1309</c:v>
                </c:pt>
                <c:pt idx="45">
                  <c:v>1359</c:v>
                </c:pt>
                <c:pt idx="46">
                  <c:v>1409</c:v>
                </c:pt>
                <c:pt idx="47">
                  <c:v>1459</c:v>
                </c:pt>
                <c:pt idx="48">
                  <c:v>1509</c:v>
                </c:pt>
                <c:pt idx="49">
                  <c:v>1559</c:v>
                </c:pt>
              </c:numCache>
            </c:numRef>
          </c:val>
          <c:smooth val="0"/>
        </c:ser>
        <c:ser>
          <c:idx val="2"/>
          <c:order val="2"/>
          <c:tx>
            <c:v>橙攻击</c:v>
          </c:tx>
          <c:spPr>
            <a:ln xmlns:a="http://schemas.openxmlformats.org/drawingml/2006/main" w="19050">
              <a:solidFill>
                <a:srgbClr val="D58B23"/>
              </a:solidFill>
              <a:prstDash val="solid"/>
            </a:ln>
          </c:spPr>
          <c:marker>
            <c:symbol val="none"/>
          </c:marker>
          <c:cat>
            <c:numRef>
              <c:f>英雄升级调参!$B$66:$B$115</c:f>
              <c:numCache>
                <c:formatCode>#,##0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英雄升级调参!$K$66:$K$115</c:f>
              <c:numCache>
                <c:formatCode>#,##0</c:formatCode>
                <c:ptCount val="50"/>
                <c:pt idx="0">
                  <c:v>129</c:v>
                </c:pt>
                <c:pt idx="1">
                  <c:v>144</c:v>
                </c:pt>
                <c:pt idx="2">
                  <c:v>159</c:v>
                </c:pt>
                <c:pt idx="3">
                  <c:v>174</c:v>
                </c:pt>
                <c:pt idx="4">
                  <c:v>189</c:v>
                </c:pt>
                <c:pt idx="5">
                  <c:v>212</c:v>
                </c:pt>
                <c:pt idx="6">
                  <c:v>235</c:v>
                </c:pt>
                <c:pt idx="7">
                  <c:v>258</c:v>
                </c:pt>
                <c:pt idx="8">
                  <c:v>281</c:v>
                </c:pt>
                <c:pt idx="9">
                  <c:v>304</c:v>
                </c:pt>
                <c:pt idx="10">
                  <c:v>334</c:v>
                </c:pt>
                <c:pt idx="11">
                  <c:v>364</c:v>
                </c:pt>
                <c:pt idx="12">
                  <c:v>394</c:v>
                </c:pt>
                <c:pt idx="13">
                  <c:v>424</c:v>
                </c:pt>
                <c:pt idx="14">
                  <c:v>454</c:v>
                </c:pt>
                <c:pt idx="15">
                  <c:v>492</c:v>
                </c:pt>
                <c:pt idx="16">
                  <c:v>530</c:v>
                </c:pt>
                <c:pt idx="17">
                  <c:v>568</c:v>
                </c:pt>
                <c:pt idx="18">
                  <c:v>606</c:v>
                </c:pt>
                <c:pt idx="19">
                  <c:v>644</c:v>
                </c:pt>
                <c:pt idx="20">
                  <c:v>689</c:v>
                </c:pt>
                <c:pt idx="21">
                  <c:v>734</c:v>
                </c:pt>
                <c:pt idx="22">
                  <c:v>779</c:v>
                </c:pt>
                <c:pt idx="23">
                  <c:v>824</c:v>
                </c:pt>
                <c:pt idx="24">
                  <c:v>869</c:v>
                </c:pt>
                <c:pt idx="25">
                  <c:v>922</c:v>
                </c:pt>
                <c:pt idx="26">
                  <c:v>975</c:v>
                </c:pt>
                <c:pt idx="27">
                  <c:v>1028</c:v>
                </c:pt>
                <c:pt idx="28">
                  <c:v>1081</c:v>
                </c:pt>
                <c:pt idx="29">
                  <c:v>1134</c:v>
                </c:pt>
                <c:pt idx="30">
                  <c:v>1194</c:v>
                </c:pt>
                <c:pt idx="31">
                  <c:v>1254</c:v>
                </c:pt>
                <c:pt idx="32">
                  <c:v>1314</c:v>
                </c:pt>
                <c:pt idx="33">
                  <c:v>1374</c:v>
                </c:pt>
                <c:pt idx="34">
                  <c:v>1434</c:v>
                </c:pt>
                <c:pt idx="35">
                  <c:v>1502</c:v>
                </c:pt>
                <c:pt idx="36">
                  <c:v>1570</c:v>
                </c:pt>
                <c:pt idx="37">
                  <c:v>1638</c:v>
                </c:pt>
                <c:pt idx="38">
                  <c:v>1706</c:v>
                </c:pt>
                <c:pt idx="39">
                  <c:v>1774</c:v>
                </c:pt>
                <c:pt idx="40">
                  <c:v>1849</c:v>
                </c:pt>
                <c:pt idx="41">
                  <c:v>1924</c:v>
                </c:pt>
                <c:pt idx="42">
                  <c:v>1999</c:v>
                </c:pt>
                <c:pt idx="43">
                  <c:v>2074</c:v>
                </c:pt>
                <c:pt idx="44">
                  <c:v>2149</c:v>
                </c:pt>
                <c:pt idx="45">
                  <c:v>2232</c:v>
                </c:pt>
                <c:pt idx="46">
                  <c:v>2315</c:v>
                </c:pt>
                <c:pt idx="47">
                  <c:v>2398</c:v>
                </c:pt>
                <c:pt idx="48">
                  <c:v>2481</c:v>
                </c:pt>
                <c:pt idx="49">
                  <c:v>2564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72768"/>
        <c:crosses val="autoZero"/>
        <c:lblAlgn val="ctr"/>
        <c:noMultiLvlLbl val="1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前五章等级与推荐英雄等级</a:t>
            </a:r>
          </a:p>
        </c:rich>
      </c:tx>
      <c:overlay val="0"/>
    </c:title>
    <c:autoTitleDeleted val="0"/>
    <c:plotArea>
      <c:lineChart>
        <c:grouping val="standard"/>
        <c:varyColors val="0"/>
        <c:ser>
          <c:idx val="0"/>
          <c:order val="0"/>
          <c:tx>
            <c:v>建议怪物等级</c:v>
          </c:tx>
          <c:spPr>
            <a:ln xmlns:a="http://schemas.openxmlformats.org/drawingml/2006/main" w="19050">
              <a:solidFill>
                <a:srgbClr val="65748A"/>
              </a:solidFill>
              <a:prstDash val="solid"/>
            </a:ln>
          </c:spPr>
          <c:marker>
            <c:symbol val="none"/>
          </c:marker>
          <c:cat>
            <c:numRef>
              <c:f>关卡数值!$B$13:$B$67</c:f>
              <c:numCache>
                <c:formatCode>General</c:formatCode>
                <c:ptCount val="55"/>
                <c:pt idx="0">
                  <c:v>1010010</c:v>
                </c:pt>
                <c:pt idx="1">
                  <c:v>1010020</c:v>
                </c:pt>
                <c:pt idx="2">
                  <c:v>1010030</c:v>
                </c:pt>
                <c:pt idx="3">
                  <c:v>1010040</c:v>
                </c:pt>
                <c:pt idx="4">
                  <c:v>1010050</c:v>
                </c:pt>
                <c:pt idx="5">
                  <c:v>1010060</c:v>
                </c:pt>
                <c:pt idx="6">
                  <c:v>1010070</c:v>
                </c:pt>
                <c:pt idx="7">
                  <c:v>1010071</c:v>
                </c:pt>
                <c:pt idx="8">
                  <c:v>1010072</c:v>
                </c:pt>
                <c:pt idx="9">
                  <c:v>1010073</c:v>
                </c:pt>
                <c:pt idx="10">
                  <c:v>1020010</c:v>
                </c:pt>
                <c:pt idx="11">
                  <c:v>1020020</c:v>
                </c:pt>
                <c:pt idx="12">
                  <c:v>1020030</c:v>
                </c:pt>
                <c:pt idx="13">
                  <c:v>1020040</c:v>
                </c:pt>
                <c:pt idx="14">
                  <c:v>1020050</c:v>
                </c:pt>
                <c:pt idx="15">
                  <c:v>1020060</c:v>
                </c:pt>
                <c:pt idx="16">
                  <c:v>1020070</c:v>
                </c:pt>
                <c:pt idx="17">
                  <c:v>1020080</c:v>
                </c:pt>
                <c:pt idx="18">
                  <c:v>1020090</c:v>
                </c:pt>
                <c:pt idx="19">
                  <c:v>1020100</c:v>
                </c:pt>
                <c:pt idx="20">
                  <c:v>1030010</c:v>
                </c:pt>
                <c:pt idx="21">
                  <c:v>1030020</c:v>
                </c:pt>
                <c:pt idx="22">
                  <c:v>1030030</c:v>
                </c:pt>
                <c:pt idx="23">
                  <c:v>1030040</c:v>
                </c:pt>
                <c:pt idx="24">
                  <c:v>1030050</c:v>
                </c:pt>
                <c:pt idx="25">
                  <c:v>1030060</c:v>
                </c:pt>
                <c:pt idx="26">
                  <c:v>1030070</c:v>
                </c:pt>
                <c:pt idx="27">
                  <c:v>1030080</c:v>
                </c:pt>
                <c:pt idx="28">
                  <c:v>1030090</c:v>
                </c:pt>
                <c:pt idx="29">
                  <c:v>1030100</c:v>
                </c:pt>
                <c:pt idx="30">
                  <c:v>1030110</c:v>
                </c:pt>
                <c:pt idx="31">
                  <c:v>1030120</c:v>
                </c:pt>
                <c:pt idx="32">
                  <c:v>1030130</c:v>
                </c:pt>
                <c:pt idx="33">
                  <c:v>1030140</c:v>
                </c:pt>
                <c:pt idx="34">
                  <c:v>1030150</c:v>
                </c:pt>
                <c:pt idx="35">
                  <c:v>1040010</c:v>
                </c:pt>
                <c:pt idx="36">
                  <c:v>1040020</c:v>
                </c:pt>
                <c:pt idx="37">
                  <c:v>1040030</c:v>
                </c:pt>
                <c:pt idx="38">
                  <c:v>1040040</c:v>
                </c:pt>
                <c:pt idx="39">
                  <c:v>1040050</c:v>
                </c:pt>
                <c:pt idx="40">
                  <c:v>1040060</c:v>
                </c:pt>
                <c:pt idx="41">
                  <c:v>1040070</c:v>
                </c:pt>
                <c:pt idx="42">
                  <c:v>1040080</c:v>
                </c:pt>
                <c:pt idx="43">
                  <c:v>1040090</c:v>
                </c:pt>
                <c:pt idx="44">
                  <c:v>1040100</c:v>
                </c:pt>
                <c:pt idx="45">
                  <c:v>1040110</c:v>
                </c:pt>
                <c:pt idx="46">
                  <c:v>1040120</c:v>
                </c:pt>
                <c:pt idx="47">
                  <c:v>1040130</c:v>
                </c:pt>
                <c:pt idx="48">
                  <c:v>1040140</c:v>
                </c:pt>
                <c:pt idx="49">
                  <c:v>1040150</c:v>
                </c:pt>
                <c:pt idx="50">
                  <c:v>1050010</c:v>
                </c:pt>
                <c:pt idx="51">
                  <c:v>1050020</c:v>
                </c:pt>
                <c:pt idx="52">
                  <c:v>1050030</c:v>
                </c:pt>
                <c:pt idx="53">
                  <c:v>1050040</c:v>
                </c:pt>
                <c:pt idx="54">
                  <c:v>1050050</c:v>
                </c:pt>
              </c:numCache>
            </c:numRef>
          </c:cat>
          <c:val>
            <c:numRef>
              <c:f>关卡数值!$G$13:$G$67</c:f>
              <c:numCache>
                <c:formatCode>General</c:formatCode>
                <c:ptCount val="55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7</c:v>
                </c:pt>
                <c:pt idx="8">
                  <c:v>10</c:v>
                </c:pt>
                <c:pt idx="9">
                  <c:v>10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12</c:v>
                </c:pt>
                <c:pt idx="14">
                  <c:v>15</c:v>
                </c:pt>
                <c:pt idx="15">
                  <c:v>15</c:v>
                </c:pt>
                <c:pt idx="16">
                  <c:v>16</c:v>
                </c:pt>
                <c:pt idx="17">
                  <c:v>16</c:v>
                </c:pt>
                <c:pt idx="18">
                  <c:v>17</c:v>
                </c:pt>
                <c:pt idx="19">
                  <c:v>20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22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26</c:v>
                </c:pt>
                <c:pt idx="28">
                  <c:v>26</c:v>
                </c:pt>
                <c:pt idx="29">
                  <c:v>27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25</c:v>
                </c:pt>
                <c:pt idx="35">
                  <c:v>31</c:v>
                </c:pt>
                <c:pt idx="36">
                  <c:v>31</c:v>
                </c:pt>
                <c:pt idx="37">
                  <c:v>31</c:v>
                </c:pt>
                <c:pt idx="38">
                  <c:v>32</c:v>
                </c:pt>
                <c:pt idx="39">
                  <c:v>35</c:v>
                </c:pt>
                <c:pt idx="40">
                  <c:v>35</c:v>
                </c:pt>
                <c:pt idx="41">
                  <c:v>35</c:v>
                </c:pt>
                <c:pt idx="42">
                  <c:v>36</c:v>
                </c:pt>
                <c:pt idx="43">
                  <c:v>36</c:v>
                </c:pt>
                <c:pt idx="44">
                  <c:v>37</c:v>
                </c:pt>
                <c:pt idx="45">
                  <c:v>40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35</c:v>
                </c:pt>
                <c:pt idx="50">
                  <c:v>41</c:v>
                </c:pt>
                <c:pt idx="51">
                  <c:v>43</c:v>
                </c:pt>
                <c:pt idx="52">
                  <c:v>45</c:v>
                </c:pt>
                <c:pt idx="53">
                  <c:v>47</c:v>
                </c:pt>
                <c:pt idx="54">
                  <c:v>50</c:v>
                </c:pt>
              </c:numCache>
            </c:numRef>
          </c:val>
          <c:smooth val="0"/>
        </c:ser>
        <c:ser>
          <c:idx val="1"/>
          <c:order val="1"/>
          <c:tx>
            <c:v>蓝卡推荐等级</c:v>
          </c:tx>
          <c:spPr>
            <a:ln xmlns:a="http://schemas.openxmlformats.org/drawingml/2006/main" w="19050">
              <a:solidFill>
                <a:srgbClr val="3479BB"/>
              </a:solidFill>
              <a:prstDash val="solid"/>
            </a:ln>
          </c:spPr>
          <c:marker>
            <c:symbol val="none"/>
          </c:marker>
          <c:cat>
            <c:numRef>
              <c:f>关卡数值!$B$13:$B$67</c:f>
              <c:numCache>
                <c:formatCode>General</c:formatCode>
                <c:ptCount val="55"/>
                <c:pt idx="0">
                  <c:v>1010010</c:v>
                </c:pt>
                <c:pt idx="1">
                  <c:v>1010020</c:v>
                </c:pt>
                <c:pt idx="2">
                  <c:v>1010030</c:v>
                </c:pt>
                <c:pt idx="3">
                  <c:v>1010040</c:v>
                </c:pt>
                <c:pt idx="4">
                  <c:v>1010050</c:v>
                </c:pt>
                <c:pt idx="5">
                  <c:v>1010060</c:v>
                </c:pt>
                <c:pt idx="6">
                  <c:v>1010070</c:v>
                </c:pt>
                <c:pt idx="7">
                  <c:v>1010071</c:v>
                </c:pt>
                <c:pt idx="8">
                  <c:v>1010072</c:v>
                </c:pt>
                <c:pt idx="9">
                  <c:v>1010073</c:v>
                </c:pt>
                <c:pt idx="10">
                  <c:v>1020010</c:v>
                </c:pt>
                <c:pt idx="11">
                  <c:v>1020020</c:v>
                </c:pt>
                <c:pt idx="12">
                  <c:v>1020030</c:v>
                </c:pt>
                <c:pt idx="13">
                  <c:v>1020040</c:v>
                </c:pt>
                <c:pt idx="14">
                  <c:v>1020050</c:v>
                </c:pt>
                <c:pt idx="15">
                  <c:v>1020060</c:v>
                </c:pt>
                <c:pt idx="16">
                  <c:v>1020070</c:v>
                </c:pt>
                <c:pt idx="17">
                  <c:v>1020080</c:v>
                </c:pt>
                <c:pt idx="18">
                  <c:v>1020090</c:v>
                </c:pt>
                <c:pt idx="19">
                  <c:v>1020100</c:v>
                </c:pt>
                <c:pt idx="20">
                  <c:v>1030010</c:v>
                </c:pt>
                <c:pt idx="21">
                  <c:v>1030020</c:v>
                </c:pt>
                <c:pt idx="22">
                  <c:v>1030030</c:v>
                </c:pt>
                <c:pt idx="23">
                  <c:v>1030040</c:v>
                </c:pt>
                <c:pt idx="24">
                  <c:v>1030050</c:v>
                </c:pt>
                <c:pt idx="25">
                  <c:v>1030060</c:v>
                </c:pt>
                <c:pt idx="26">
                  <c:v>1030070</c:v>
                </c:pt>
                <c:pt idx="27">
                  <c:v>1030080</c:v>
                </c:pt>
                <c:pt idx="28">
                  <c:v>1030090</c:v>
                </c:pt>
                <c:pt idx="29">
                  <c:v>1030100</c:v>
                </c:pt>
                <c:pt idx="30">
                  <c:v>1030110</c:v>
                </c:pt>
                <c:pt idx="31">
                  <c:v>1030120</c:v>
                </c:pt>
                <c:pt idx="32">
                  <c:v>1030130</c:v>
                </c:pt>
                <c:pt idx="33">
                  <c:v>1030140</c:v>
                </c:pt>
                <c:pt idx="34">
                  <c:v>1030150</c:v>
                </c:pt>
                <c:pt idx="35">
                  <c:v>1040010</c:v>
                </c:pt>
                <c:pt idx="36">
                  <c:v>1040020</c:v>
                </c:pt>
                <c:pt idx="37">
                  <c:v>1040030</c:v>
                </c:pt>
                <c:pt idx="38">
                  <c:v>1040040</c:v>
                </c:pt>
                <c:pt idx="39">
                  <c:v>1040050</c:v>
                </c:pt>
                <c:pt idx="40">
                  <c:v>1040060</c:v>
                </c:pt>
                <c:pt idx="41">
                  <c:v>1040070</c:v>
                </c:pt>
                <c:pt idx="42">
                  <c:v>1040080</c:v>
                </c:pt>
                <c:pt idx="43">
                  <c:v>1040090</c:v>
                </c:pt>
                <c:pt idx="44">
                  <c:v>1040100</c:v>
                </c:pt>
                <c:pt idx="45">
                  <c:v>1040110</c:v>
                </c:pt>
                <c:pt idx="46">
                  <c:v>1040120</c:v>
                </c:pt>
                <c:pt idx="47">
                  <c:v>1040130</c:v>
                </c:pt>
                <c:pt idx="48">
                  <c:v>1040140</c:v>
                </c:pt>
                <c:pt idx="49">
                  <c:v>1040150</c:v>
                </c:pt>
                <c:pt idx="50">
                  <c:v>1050010</c:v>
                </c:pt>
                <c:pt idx="51">
                  <c:v>1050020</c:v>
                </c:pt>
                <c:pt idx="52">
                  <c:v>1050030</c:v>
                </c:pt>
                <c:pt idx="53">
                  <c:v>1050040</c:v>
                </c:pt>
                <c:pt idx="54">
                  <c:v>1050050</c:v>
                </c:pt>
              </c:numCache>
            </c:numRef>
          </c:cat>
          <c:val>
            <c:numRef>
              <c:f>关卡数值!$I$13:$I$67</c:f>
              <c:numCache>
                <c:formatCode>General</c:formatCode>
                <c:ptCount val="55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7</c:v>
                </c:pt>
                <c:pt idx="8">
                  <c:v>10</c:v>
                </c:pt>
                <c:pt idx="9">
                  <c:v>10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12</c:v>
                </c:pt>
                <c:pt idx="14">
                  <c:v>15</c:v>
                </c:pt>
                <c:pt idx="15">
                  <c:v>15</c:v>
                </c:pt>
                <c:pt idx="16">
                  <c:v>16</c:v>
                </c:pt>
                <c:pt idx="17">
                  <c:v>16</c:v>
                </c:pt>
                <c:pt idx="18">
                  <c:v>17</c:v>
                </c:pt>
                <c:pt idx="19">
                  <c:v>20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22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26</c:v>
                </c:pt>
                <c:pt idx="28">
                  <c:v>26</c:v>
                </c:pt>
                <c:pt idx="29">
                  <c:v>27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25</c:v>
                </c:pt>
                <c:pt idx="35">
                  <c:v>31</c:v>
                </c:pt>
                <c:pt idx="36">
                  <c:v>31</c:v>
                </c:pt>
                <c:pt idx="37">
                  <c:v>31</c:v>
                </c:pt>
                <c:pt idx="38">
                  <c:v>32</c:v>
                </c:pt>
                <c:pt idx="39">
                  <c:v>35</c:v>
                </c:pt>
                <c:pt idx="40">
                  <c:v>35</c:v>
                </c:pt>
                <c:pt idx="41">
                  <c:v>35</c:v>
                </c:pt>
                <c:pt idx="42">
                  <c:v>36</c:v>
                </c:pt>
                <c:pt idx="43">
                  <c:v>36</c:v>
                </c:pt>
                <c:pt idx="44">
                  <c:v>37</c:v>
                </c:pt>
                <c:pt idx="45">
                  <c:v>40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35</c:v>
                </c:pt>
                <c:pt idx="50">
                  <c:v>41</c:v>
                </c:pt>
                <c:pt idx="51">
                  <c:v>43</c:v>
                </c:pt>
                <c:pt idx="52">
                  <c:v>45</c:v>
                </c:pt>
                <c:pt idx="53">
                  <c:v>47</c:v>
                </c:pt>
                <c:pt idx="54">
                  <c:v>50</c:v>
                </c:pt>
              </c:numCache>
            </c:numRef>
          </c:val>
          <c:smooth val="0"/>
        </c:ser>
        <c:ser>
          <c:idx val="2"/>
          <c:order val="2"/>
          <c:tx>
            <c:v>紫卡推荐等级</c:v>
          </c:tx>
          <c:spPr>
            <a:ln xmlns:a="http://schemas.openxmlformats.org/drawingml/2006/main" w="19050">
              <a:solidFill>
                <a:srgbClr val="8251A8"/>
              </a:solidFill>
              <a:prstDash val="solid"/>
            </a:ln>
          </c:spPr>
          <c:marker>
            <c:symbol val="none"/>
          </c:marker>
          <c:cat>
            <c:numRef>
              <c:f>关卡数值!$B$13:$B$67</c:f>
              <c:numCache>
                <c:formatCode>General</c:formatCode>
                <c:ptCount val="55"/>
                <c:pt idx="0">
                  <c:v>1010010</c:v>
                </c:pt>
                <c:pt idx="1">
                  <c:v>1010020</c:v>
                </c:pt>
                <c:pt idx="2">
                  <c:v>1010030</c:v>
                </c:pt>
                <c:pt idx="3">
                  <c:v>1010040</c:v>
                </c:pt>
                <c:pt idx="4">
                  <c:v>1010050</c:v>
                </c:pt>
                <c:pt idx="5">
                  <c:v>1010060</c:v>
                </c:pt>
                <c:pt idx="6">
                  <c:v>1010070</c:v>
                </c:pt>
                <c:pt idx="7">
                  <c:v>1010071</c:v>
                </c:pt>
                <c:pt idx="8">
                  <c:v>1010072</c:v>
                </c:pt>
                <c:pt idx="9">
                  <c:v>1010073</c:v>
                </c:pt>
                <c:pt idx="10">
                  <c:v>1020010</c:v>
                </c:pt>
                <c:pt idx="11">
                  <c:v>1020020</c:v>
                </c:pt>
                <c:pt idx="12">
                  <c:v>1020030</c:v>
                </c:pt>
                <c:pt idx="13">
                  <c:v>1020040</c:v>
                </c:pt>
                <c:pt idx="14">
                  <c:v>1020050</c:v>
                </c:pt>
                <c:pt idx="15">
                  <c:v>1020060</c:v>
                </c:pt>
                <c:pt idx="16">
                  <c:v>1020070</c:v>
                </c:pt>
                <c:pt idx="17">
                  <c:v>1020080</c:v>
                </c:pt>
                <c:pt idx="18">
                  <c:v>1020090</c:v>
                </c:pt>
                <c:pt idx="19">
                  <c:v>1020100</c:v>
                </c:pt>
                <c:pt idx="20">
                  <c:v>1030010</c:v>
                </c:pt>
                <c:pt idx="21">
                  <c:v>1030020</c:v>
                </c:pt>
                <c:pt idx="22">
                  <c:v>1030030</c:v>
                </c:pt>
                <c:pt idx="23">
                  <c:v>1030040</c:v>
                </c:pt>
                <c:pt idx="24">
                  <c:v>1030050</c:v>
                </c:pt>
                <c:pt idx="25">
                  <c:v>1030060</c:v>
                </c:pt>
                <c:pt idx="26">
                  <c:v>1030070</c:v>
                </c:pt>
                <c:pt idx="27">
                  <c:v>1030080</c:v>
                </c:pt>
                <c:pt idx="28">
                  <c:v>1030090</c:v>
                </c:pt>
                <c:pt idx="29">
                  <c:v>1030100</c:v>
                </c:pt>
                <c:pt idx="30">
                  <c:v>1030110</c:v>
                </c:pt>
                <c:pt idx="31">
                  <c:v>1030120</c:v>
                </c:pt>
                <c:pt idx="32">
                  <c:v>1030130</c:v>
                </c:pt>
                <c:pt idx="33">
                  <c:v>1030140</c:v>
                </c:pt>
                <c:pt idx="34">
                  <c:v>1030150</c:v>
                </c:pt>
                <c:pt idx="35">
                  <c:v>1040010</c:v>
                </c:pt>
                <c:pt idx="36">
                  <c:v>1040020</c:v>
                </c:pt>
                <c:pt idx="37">
                  <c:v>1040030</c:v>
                </c:pt>
                <c:pt idx="38">
                  <c:v>1040040</c:v>
                </c:pt>
                <c:pt idx="39">
                  <c:v>1040050</c:v>
                </c:pt>
                <c:pt idx="40">
                  <c:v>1040060</c:v>
                </c:pt>
                <c:pt idx="41">
                  <c:v>1040070</c:v>
                </c:pt>
                <c:pt idx="42">
                  <c:v>1040080</c:v>
                </c:pt>
                <c:pt idx="43">
                  <c:v>1040090</c:v>
                </c:pt>
                <c:pt idx="44">
                  <c:v>1040100</c:v>
                </c:pt>
                <c:pt idx="45">
                  <c:v>1040110</c:v>
                </c:pt>
                <c:pt idx="46">
                  <c:v>1040120</c:v>
                </c:pt>
                <c:pt idx="47">
                  <c:v>1040130</c:v>
                </c:pt>
                <c:pt idx="48">
                  <c:v>1040140</c:v>
                </c:pt>
                <c:pt idx="49">
                  <c:v>1040150</c:v>
                </c:pt>
                <c:pt idx="50">
                  <c:v>1050010</c:v>
                </c:pt>
                <c:pt idx="51">
                  <c:v>1050020</c:v>
                </c:pt>
                <c:pt idx="52">
                  <c:v>1050030</c:v>
                </c:pt>
                <c:pt idx="53">
                  <c:v>1050040</c:v>
                </c:pt>
                <c:pt idx="54">
                  <c:v>1050050</c:v>
                </c:pt>
              </c:numCache>
            </c:numRef>
          </c:cat>
          <c:val>
            <c:numRef>
              <c:f>关卡数值!$J$13:$J$67</c:f>
              <c:numCache>
                <c:formatCode>General</c:formatCode>
                <c:ptCount val="5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10</c:v>
                </c:pt>
                <c:pt idx="15">
                  <c:v>10</c:v>
                </c:pt>
                <c:pt idx="16">
                  <c:v>11</c:v>
                </c:pt>
                <c:pt idx="17">
                  <c:v>11</c:v>
                </c:pt>
                <c:pt idx="18">
                  <c:v>12</c:v>
                </c:pt>
                <c:pt idx="19">
                  <c:v>14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16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19</c:v>
                </c:pt>
                <c:pt idx="28">
                  <c:v>19</c:v>
                </c:pt>
                <c:pt idx="29">
                  <c:v>20</c:v>
                </c:pt>
                <c:pt idx="30">
                  <c:v>23</c:v>
                </c:pt>
                <c:pt idx="31">
                  <c:v>23</c:v>
                </c:pt>
                <c:pt idx="32">
                  <c:v>23</c:v>
                </c:pt>
                <c:pt idx="33">
                  <c:v>23</c:v>
                </c:pt>
                <c:pt idx="34">
                  <c:v>18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28</c:v>
                </c:pt>
                <c:pt idx="43">
                  <c:v>28</c:v>
                </c:pt>
                <c:pt idx="44">
                  <c:v>29</c:v>
                </c:pt>
                <c:pt idx="45">
                  <c:v>31</c:v>
                </c:pt>
                <c:pt idx="46">
                  <c:v>31</c:v>
                </c:pt>
                <c:pt idx="47">
                  <c:v>31</c:v>
                </c:pt>
                <c:pt idx="48">
                  <c:v>31</c:v>
                </c:pt>
                <c:pt idx="49">
                  <c:v>27</c:v>
                </c:pt>
                <c:pt idx="50">
                  <c:v>32</c:v>
                </c:pt>
                <c:pt idx="51">
                  <c:v>34</c:v>
                </c:pt>
                <c:pt idx="52">
                  <c:v>35</c:v>
                </c:pt>
                <c:pt idx="53">
                  <c:v>37</c:v>
                </c:pt>
                <c:pt idx="54">
                  <c:v>39</c:v>
                </c:pt>
              </c:numCache>
            </c:numRef>
          </c:val>
          <c:smooth val="0"/>
        </c:ser>
        <c:ser>
          <c:idx val="3"/>
          <c:order val="3"/>
          <c:tx>
            <c:v>橙卡推荐等级</c:v>
          </c:tx>
          <c:spPr>
            <a:ln xmlns:a="http://schemas.openxmlformats.org/drawingml/2006/main" w="19050">
              <a:solidFill>
                <a:srgbClr val="CE7D28"/>
              </a:solidFill>
              <a:prstDash val="solid"/>
            </a:ln>
          </c:spPr>
          <c:marker>
            <c:symbol val="none"/>
          </c:marker>
          <c:cat>
            <c:numRef>
              <c:f>关卡数值!$B$13:$B$67</c:f>
              <c:numCache>
                <c:formatCode>General</c:formatCode>
                <c:ptCount val="55"/>
                <c:pt idx="0">
                  <c:v>1010010</c:v>
                </c:pt>
                <c:pt idx="1">
                  <c:v>1010020</c:v>
                </c:pt>
                <c:pt idx="2">
                  <c:v>1010030</c:v>
                </c:pt>
                <c:pt idx="3">
                  <c:v>1010040</c:v>
                </c:pt>
                <c:pt idx="4">
                  <c:v>1010050</c:v>
                </c:pt>
                <c:pt idx="5">
                  <c:v>1010060</c:v>
                </c:pt>
                <c:pt idx="6">
                  <c:v>1010070</c:v>
                </c:pt>
                <c:pt idx="7">
                  <c:v>1010071</c:v>
                </c:pt>
                <c:pt idx="8">
                  <c:v>1010072</c:v>
                </c:pt>
                <c:pt idx="9">
                  <c:v>1010073</c:v>
                </c:pt>
                <c:pt idx="10">
                  <c:v>1020010</c:v>
                </c:pt>
                <c:pt idx="11">
                  <c:v>1020020</c:v>
                </c:pt>
                <c:pt idx="12">
                  <c:v>1020030</c:v>
                </c:pt>
                <c:pt idx="13">
                  <c:v>1020040</c:v>
                </c:pt>
                <c:pt idx="14">
                  <c:v>1020050</c:v>
                </c:pt>
                <c:pt idx="15">
                  <c:v>1020060</c:v>
                </c:pt>
                <c:pt idx="16">
                  <c:v>1020070</c:v>
                </c:pt>
                <c:pt idx="17">
                  <c:v>1020080</c:v>
                </c:pt>
                <c:pt idx="18">
                  <c:v>1020090</c:v>
                </c:pt>
                <c:pt idx="19">
                  <c:v>1020100</c:v>
                </c:pt>
                <c:pt idx="20">
                  <c:v>1030010</c:v>
                </c:pt>
                <c:pt idx="21">
                  <c:v>1030020</c:v>
                </c:pt>
                <c:pt idx="22">
                  <c:v>1030030</c:v>
                </c:pt>
                <c:pt idx="23">
                  <c:v>1030040</c:v>
                </c:pt>
                <c:pt idx="24">
                  <c:v>1030050</c:v>
                </c:pt>
                <c:pt idx="25">
                  <c:v>1030060</c:v>
                </c:pt>
                <c:pt idx="26">
                  <c:v>1030070</c:v>
                </c:pt>
                <c:pt idx="27">
                  <c:v>1030080</c:v>
                </c:pt>
                <c:pt idx="28">
                  <c:v>1030090</c:v>
                </c:pt>
                <c:pt idx="29">
                  <c:v>1030100</c:v>
                </c:pt>
                <c:pt idx="30">
                  <c:v>1030110</c:v>
                </c:pt>
                <c:pt idx="31">
                  <c:v>1030120</c:v>
                </c:pt>
                <c:pt idx="32">
                  <c:v>1030130</c:v>
                </c:pt>
                <c:pt idx="33">
                  <c:v>1030140</c:v>
                </c:pt>
                <c:pt idx="34">
                  <c:v>1030150</c:v>
                </c:pt>
                <c:pt idx="35">
                  <c:v>1040010</c:v>
                </c:pt>
                <c:pt idx="36">
                  <c:v>1040020</c:v>
                </c:pt>
                <c:pt idx="37">
                  <c:v>1040030</c:v>
                </c:pt>
                <c:pt idx="38">
                  <c:v>1040040</c:v>
                </c:pt>
                <c:pt idx="39">
                  <c:v>1040050</c:v>
                </c:pt>
                <c:pt idx="40">
                  <c:v>1040060</c:v>
                </c:pt>
                <c:pt idx="41">
                  <c:v>1040070</c:v>
                </c:pt>
                <c:pt idx="42">
                  <c:v>1040080</c:v>
                </c:pt>
                <c:pt idx="43">
                  <c:v>1040090</c:v>
                </c:pt>
                <c:pt idx="44">
                  <c:v>1040100</c:v>
                </c:pt>
                <c:pt idx="45">
                  <c:v>1040110</c:v>
                </c:pt>
                <c:pt idx="46">
                  <c:v>1040120</c:v>
                </c:pt>
                <c:pt idx="47">
                  <c:v>1040130</c:v>
                </c:pt>
                <c:pt idx="48">
                  <c:v>1040140</c:v>
                </c:pt>
                <c:pt idx="49">
                  <c:v>1040150</c:v>
                </c:pt>
                <c:pt idx="50">
                  <c:v>1050010</c:v>
                </c:pt>
                <c:pt idx="51">
                  <c:v>1050020</c:v>
                </c:pt>
                <c:pt idx="52">
                  <c:v>1050030</c:v>
                </c:pt>
                <c:pt idx="53">
                  <c:v>1050040</c:v>
                </c:pt>
                <c:pt idx="54">
                  <c:v>1050050</c:v>
                </c:pt>
              </c:numCache>
            </c:numRef>
          </c:cat>
          <c:val>
            <c:numRef>
              <c:f>关卡数值!$K$13:$K$67</c:f>
              <c:numCache>
                <c:formatCode>General</c:formatCode>
                <c:ptCount val="5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5</c:v>
                </c:pt>
                <c:pt idx="15">
                  <c:v>5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9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13</c:v>
                </c:pt>
                <c:pt idx="28">
                  <c:v>13</c:v>
                </c:pt>
                <c:pt idx="29">
                  <c:v>14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12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17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22</c:v>
                </c:pt>
                <c:pt idx="49">
                  <c:v>19</c:v>
                </c:pt>
                <c:pt idx="50">
                  <c:v>23</c:v>
                </c:pt>
                <c:pt idx="51">
                  <c:v>24</c:v>
                </c:pt>
                <c:pt idx="52">
                  <c:v>25</c:v>
                </c:pt>
                <c:pt idx="53">
                  <c:v>27</c:v>
                </c:pt>
                <c:pt idx="54">
                  <c:v>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noMultiLvlLbl val="1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蓝卡推荐与累计资源可达等级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蓝卡推荐</c:v>
          </c:tx>
          <c:spPr>
            <a:ln xmlns:a="http://schemas.openxmlformats.org/drawingml/2006/main" w="19050">
              <a:solidFill>
                <a:srgbClr val="6F7C8C"/>
              </a:solidFill>
              <a:prstDash val="solid"/>
            </a:ln>
          </c:spPr>
          <c:marker>
            <c:symbol val="none"/>
          </c:marker>
          <c:cat>
            <c:numRef>
              <c:f>关卡投放!$A$99:$A$153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</c:numCache>
            </c:numRef>
          </c:cat>
          <c:val>
            <c:numRef>
              <c:f>关卡投放!$D$99:$D$153</c:f>
              <c:numCache>
                <c:formatCode>General</c:formatCode>
                <c:ptCount val="55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7</c:v>
                </c:pt>
                <c:pt idx="8">
                  <c:v>10</c:v>
                </c:pt>
                <c:pt idx="9">
                  <c:v>10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12</c:v>
                </c:pt>
                <c:pt idx="14">
                  <c:v>15</c:v>
                </c:pt>
                <c:pt idx="15">
                  <c:v>15</c:v>
                </c:pt>
                <c:pt idx="16">
                  <c:v>16</c:v>
                </c:pt>
                <c:pt idx="17">
                  <c:v>16</c:v>
                </c:pt>
                <c:pt idx="18">
                  <c:v>17</c:v>
                </c:pt>
                <c:pt idx="19">
                  <c:v>20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22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26</c:v>
                </c:pt>
                <c:pt idx="28">
                  <c:v>26</c:v>
                </c:pt>
                <c:pt idx="29">
                  <c:v>27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25</c:v>
                </c:pt>
                <c:pt idx="35">
                  <c:v>31</c:v>
                </c:pt>
                <c:pt idx="36">
                  <c:v>31</c:v>
                </c:pt>
                <c:pt idx="37">
                  <c:v>31</c:v>
                </c:pt>
                <c:pt idx="38">
                  <c:v>32</c:v>
                </c:pt>
                <c:pt idx="39">
                  <c:v>35</c:v>
                </c:pt>
                <c:pt idx="40">
                  <c:v>35</c:v>
                </c:pt>
                <c:pt idx="41">
                  <c:v>35</c:v>
                </c:pt>
                <c:pt idx="42">
                  <c:v>36</c:v>
                </c:pt>
                <c:pt idx="43">
                  <c:v>36</c:v>
                </c:pt>
                <c:pt idx="44">
                  <c:v>37</c:v>
                </c:pt>
                <c:pt idx="45">
                  <c:v>40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35</c:v>
                </c:pt>
                <c:pt idx="50">
                  <c:v>41</c:v>
                </c:pt>
                <c:pt idx="51">
                  <c:v>43</c:v>
                </c:pt>
                <c:pt idx="52">
                  <c:v>45</c:v>
                </c:pt>
                <c:pt idx="53">
                  <c:v>47</c:v>
                </c:pt>
                <c:pt idx="54">
                  <c:v>50</c:v>
                </c:pt>
              </c:numCache>
            </c:numRef>
          </c:val>
          <c:smooth val="0"/>
        </c:ser>
        <c:ser>
          <c:idx val="1"/>
          <c:order val="1"/>
          <c:tx>
            <c:v>蓝经验可达</c:v>
          </c:tx>
          <c:spPr>
            <a:ln xmlns:a="http://schemas.openxmlformats.org/drawingml/2006/main" w="19050">
              <a:solidFill>
                <a:srgbClr val="58A18E"/>
              </a:solidFill>
              <a:prstDash val="solid"/>
            </a:ln>
          </c:spPr>
          <c:marker>
            <c:symbol val="none"/>
          </c:marker>
          <c:cat>
            <c:numRef>
              <c:f>关卡投放!$A$99:$A$153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</c:numCache>
            </c:numRef>
          </c:cat>
          <c:val>
            <c:numRef>
              <c:f>关卡投放!$S$99:$S$153</c:f>
              <c:numCache>
                <c:formatCode>General</c:formatCode>
                <c:ptCount val="5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17</c:v>
                </c:pt>
                <c:pt idx="22">
                  <c:v>18</c:v>
                </c:pt>
                <c:pt idx="23">
                  <c:v>18</c:v>
                </c:pt>
                <c:pt idx="24">
                  <c:v>19</c:v>
                </c:pt>
                <c:pt idx="25">
                  <c:v>19</c:v>
                </c:pt>
                <c:pt idx="26">
                  <c:v>20</c:v>
                </c:pt>
                <c:pt idx="27">
                  <c:v>20</c:v>
                </c:pt>
                <c:pt idx="28">
                  <c:v>21</c:v>
                </c:pt>
                <c:pt idx="29">
                  <c:v>21</c:v>
                </c:pt>
                <c:pt idx="30">
                  <c:v>22</c:v>
                </c:pt>
                <c:pt idx="31">
                  <c:v>22</c:v>
                </c:pt>
                <c:pt idx="32">
                  <c:v>23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25</c:v>
                </c:pt>
                <c:pt idx="37">
                  <c:v>26</c:v>
                </c:pt>
                <c:pt idx="38">
                  <c:v>26</c:v>
                </c:pt>
                <c:pt idx="39">
                  <c:v>27</c:v>
                </c:pt>
                <c:pt idx="40">
                  <c:v>27</c:v>
                </c:pt>
                <c:pt idx="41">
                  <c:v>28</c:v>
                </c:pt>
                <c:pt idx="42">
                  <c:v>28</c:v>
                </c:pt>
                <c:pt idx="43">
                  <c:v>29</c:v>
                </c:pt>
                <c:pt idx="44">
                  <c:v>29</c:v>
                </c:pt>
                <c:pt idx="45">
                  <c:v>30</c:v>
                </c:pt>
                <c:pt idx="46">
                  <c:v>30</c:v>
                </c:pt>
                <c:pt idx="47">
                  <c:v>31</c:v>
                </c:pt>
                <c:pt idx="48">
                  <c:v>31</c:v>
                </c:pt>
                <c:pt idx="49">
                  <c:v>32</c:v>
                </c:pt>
                <c:pt idx="50">
                  <c:v>33</c:v>
                </c:pt>
                <c:pt idx="51">
                  <c:v>35</c:v>
                </c:pt>
                <c:pt idx="52">
                  <c:v>37</c:v>
                </c:pt>
                <c:pt idx="53">
                  <c:v>38</c:v>
                </c:pt>
                <c:pt idx="54">
                  <c:v>39</c:v>
                </c:pt>
              </c:numCache>
            </c:numRef>
          </c:val>
          <c:smooth val="0"/>
        </c:ser>
        <c:ser>
          <c:idx val="2"/>
          <c:order val="2"/>
          <c:tx>
            <c:v>蓝碎片可达</c:v>
          </c:tx>
          <c:spPr>
            <a:ln xmlns:a="http://schemas.openxmlformats.org/drawingml/2006/main" w="19050">
              <a:solidFill>
                <a:srgbClr val="CE7D28"/>
              </a:solidFill>
              <a:prstDash val="solid"/>
            </a:ln>
          </c:spPr>
          <c:marker>
            <c:symbol val="none"/>
          </c:marker>
          <c:cat>
            <c:numRef>
              <c:f>关卡投放!$A$99:$A$153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</c:numCache>
            </c:numRef>
          </c:cat>
          <c:val>
            <c:numRef>
              <c:f>关卡投放!$Y$99:$Y$153</c:f>
              <c:numCache>
                <c:formatCode>General</c:formatCode>
                <c:ptCount val="55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  <c:pt idx="30">
                  <c:v>29</c:v>
                </c:pt>
                <c:pt idx="31">
                  <c:v>29</c:v>
                </c:pt>
                <c:pt idx="32">
                  <c:v>29</c:v>
                </c:pt>
                <c:pt idx="33">
                  <c:v>29</c:v>
                </c:pt>
                <c:pt idx="34">
                  <c:v>29</c:v>
                </c:pt>
                <c:pt idx="35">
                  <c:v>34</c:v>
                </c:pt>
                <c:pt idx="36">
                  <c:v>34</c:v>
                </c:pt>
                <c:pt idx="37">
                  <c:v>34</c:v>
                </c:pt>
                <c:pt idx="38">
                  <c:v>34</c:v>
                </c:pt>
                <c:pt idx="39">
                  <c:v>34</c:v>
                </c:pt>
                <c:pt idx="40">
                  <c:v>34</c:v>
                </c:pt>
                <c:pt idx="41">
                  <c:v>34</c:v>
                </c:pt>
                <c:pt idx="42">
                  <c:v>34</c:v>
                </c:pt>
                <c:pt idx="43">
                  <c:v>34</c:v>
                </c:pt>
                <c:pt idx="44">
                  <c:v>34</c:v>
                </c:pt>
                <c:pt idx="45">
                  <c:v>34</c:v>
                </c:pt>
                <c:pt idx="46">
                  <c:v>34</c:v>
                </c:pt>
                <c:pt idx="47">
                  <c:v>39</c:v>
                </c:pt>
                <c:pt idx="48">
                  <c:v>39</c:v>
                </c:pt>
                <c:pt idx="49">
                  <c:v>39</c:v>
                </c:pt>
                <c:pt idx="50">
                  <c:v>39</c:v>
                </c:pt>
                <c:pt idx="51">
                  <c:v>39</c:v>
                </c:pt>
                <c:pt idx="52">
                  <c:v>39</c:v>
                </c:pt>
                <c:pt idx="53">
                  <c:v>39</c:v>
                </c:pt>
                <c:pt idx="54">
                  <c:v>39</c:v>
                </c:pt>
              </c:numCache>
            </c:numRef>
          </c:val>
          <c:smooth val="0"/>
        </c:ser>
        <c:ser>
          <c:idx val="3"/>
          <c:order val="3"/>
          <c:tx>
            <c:v>蓝实际可达</c:v>
          </c:tx>
          <c:spPr>
            <a:ln xmlns:a="http://schemas.openxmlformats.org/drawingml/2006/main" w="19050">
              <a:solidFill>
                <a:srgbClr val="3479BB"/>
              </a:solidFill>
              <a:prstDash val="solid"/>
            </a:ln>
          </c:spPr>
          <c:marker>
            <c:symbol val="none"/>
          </c:marker>
          <c:cat>
            <c:numRef>
              <c:f>关卡投放!$A$99:$A$153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</c:numCache>
            </c:numRef>
          </c:cat>
          <c:val>
            <c:numRef>
              <c:f>关卡投放!$AB$99:$AB$153</c:f>
              <c:numCache>
                <c:formatCode>General</c:formatCode>
                <c:ptCount val="5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17</c:v>
                </c:pt>
                <c:pt idx="22">
                  <c:v>18</c:v>
                </c:pt>
                <c:pt idx="23">
                  <c:v>18</c:v>
                </c:pt>
                <c:pt idx="24">
                  <c:v>19</c:v>
                </c:pt>
                <c:pt idx="25">
                  <c:v>19</c:v>
                </c:pt>
                <c:pt idx="26">
                  <c:v>20</c:v>
                </c:pt>
                <c:pt idx="27">
                  <c:v>20</c:v>
                </c:pt>
                <c:pt idx="28">
                  <c:v>21</c:v>
                </c:pt>
                <c:pt idx="29">
                  <c:v>21</c:v>
                </c:pt>
                <c:pt idx="30">
                  <c:v>22</c:v>
                </c:pt>
                <c:pt idx="31">
                  <c:v>22</c:v>
                </c:pt>
                <c:pt idx="32">
                  <c:v>23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25</c:v>
                </c:pt>
                <c:pt idx="37">
                  <c:v>26</c:v>
                </c:pt>
                <c:pt idx="38">
                  <c:v>26</c:v>
                </c:pt>
                <c:pt idx="39">
                  <c:v>27</c:v>
                </c:pt>
                <c:pt idx="40">
                  <c:v>27</c:v>
                </c:pt>
                <c:pt idx="41">
                  <c:v>28</c:v>
                </c:pt>
                <c:pt idx="42">
                  <c:v>28</c:v>
                </c:pt>
                <c:pt idx="43">
                  <c:v>29</c:v>
                </c:pt>
                <c:pt idx="44">
                  <c:v>29</c:v>
                </c:pt>
                <c:pt idx="45">
                  <c:v>30</c:v>
                </c:pt>
                <c:pt idx="46">
                  <c:v>30</c:v>
                </c:pt>
                <c:pt idx="47">
                  <c:v>31</c:v>
                </c:pt>
                <c:pt idx="48">
                  <c:v>31</c:v>
                </c:pt>
                <c:pt idx="49">
                  <c:v>32</c:v>
                </c:pt>
                <c:pt idx="50">
                  <c:v>33</c:v>
                </c:pt>
                <c:pt idx="51">
                  <c:v>35</c:v>
                </c:pt>
                <c:pt idx="52">
                  <c:v>37</c:v>
                </c:pt>
                <c:pt idx="53">
                  <c:v>38</c:v>
                </c:pt>
                <c:pt idx="54">
                  <c:v>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ickLblSkip val="5"/>
        <c:crossAx val="48672768"/>
        <c:crosses val="autoZero"/>
        <c:lblAlgn val="ctr"/>
        <c:noMultiLvlLbl val="1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/>
          </a:pPr>
        </a:p>
      </c:txPr>
    </c:legend>
    <c:plotVisOnly val="1"/>
    <c:dispBlanksAs val="zero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累计资源覆盖推荐成本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主力经验覆盖</c:v>
          </c:tx>
          <c:spPr>
            <a:ln xmlns:a="http://schemas.openxmlformats.org/drawingml/2006/main" w="19050">
              <a:solidFill>
                <a:srgbClr val="58A18E"/>
              </a:solidFill>
              <a:prstDash val="solid"/>
            </a:ln>
          </c:spPr>
          <c:marker>
            <c:symbol val="none"/>
          </c:marker>
          <c:cat>
            <c:numRef>
              <c:f>关卡投放!$A$99:$A$153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</c:numCache>
            </c:numRef>
          </c:cat>
          <c:val>
            <c:numRef>
              <c:f>关卡投放!$AE$99:$AE$153</c:f>
              <c:numCache>
                <c:formatCode>0.0%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5.597388362444826</c:v>
                </c:pt>
                <c:pt idx="3">
                  <c:v>7.639055029111493</c:v>
                </c:pt>
                <c:pt idx="4">
                  <c:v>1.511940363381034</c:v>
                </c:pt>
                <c:pt idx="5">
                  <c:v>1.1481758381852487</c:v>
                </c:pt>
                <c:pt idx="6">
                  <c:v>1.370398060407471</c:v>
                </c:pt>
                <c:pt idx="7">
                  <c:v>1.1364574544052737</c:v>
                </c:pt>
                <c:pt idx="8">
                  <c:v>0.6250131163333634</c:v>
                </c:pt>
                <c:pt idx="9">
                  <c:v>0.7094429408947669</c:v>
                </c:pt>
                <c:pt idx="10">
                  <c:v>0.730213317770714</c:v>
                </c:pt>
                <c:pt idx="11">
                  <c:v>0.8921536194988504</c:v>
                </c:pt>
                <c:pt idx="12">
                  <c:v>1.0464089386477866</c:v>
                </c:pt>
                <c:pt idx="13">
                  <c:v>1.0065920637017844</c:v>
                </c:pt>
                <c:pt idx="14">
                  <c:v>0.7237576023321333</c:v>
                </c:pt>
                <c:pt idx="15">
                  <c:v>0.8193018607338448</c:v>
                </c:pt>
                <c:pt idx="16">
                  <c:v>0.7890298666042528</c:v>
                </c:pt>
                <c:pt idx="17">
                  <c:v>0.8765967953143075</c:v>
                </c:pt>
                <c:pt idx="18">
                  <c:v>0.8469971723361537</c:v>
                </c:pt>
                <c:pt idx="19">
                  <c:v>0.6576334430203971</c:v>
                </c:pt>
                <c:pt idx="20">
                  <c:v>0.6445406786072653</c:v>
                </c:pt>
                <c:pt idx="21">
                  <c:v>0.6882126928675147</c:v>
                </c:pt>
                <c:pt idx="22">
                  <c:v>0.7367128400041766</c:v>
                </c:pt>
                <c:pt idx="23">
                  <c:v>0.7101521510241711</c:v>
                </c:pt>
                <c:pt idx="24">
                  <c:v>0.5771378454239576</c:v>
                </c:pt>
                <c:pt idx="25">
                  <c:v>0.6126035066092802</c:v>
                </c:pt>
                <c:pt idx="26">
                  <c:v>0.6485304224071489</c:v>
                </c:pt>
                <c:pt idx="27">
                  <c:v>0.6269833145954938</c:v>
                </c:pt>
                <c:pt idx="28">
                  <c:v>0.6612585491081121</c:v>
                </c:pt>
                <c:pt idx="29">
                  <c:v>0.6435970726273212</c:v>
                </c:pt>
                <c:pt idx="30">
                  <c:v>0.540627386005024</c:v>
                </c:pt>
                <c:pt idx="31">
                  <c:v>0.5671174299011537</c:v>
                </c:pt>
                <c:pt idx="32">
                  <c:v>0.5939207570053034</c:v>
                </c:pt>
                <c:pt idx="33">
                  <c:v>0.6194011245909342</c:v>
                </c:pt>
                <c:pt idx="34">
                  <c:v>0.952652802803217</c:v>
                </c:pt>
                <c:pt idx="35">
                  <c:v>0.6361622902157298</c:v>
                </c:pt>
                <c:pt idx="36">
                  <c:v>0.6648508148058938</c:v>
                </c:pt>
                <c:pt idx="37">
                  <c:v>0.6956537676112546</c:v>
                </c:pt>
                <c:pt idx="38">
                  <c:v>0.6790416184199011</c:v>
                </c:pt>
                <c:pt idx="39">
                  <c:v>0.5875980891696017</c:v>
                </c:pt>
                <c:pt idx="40">
                  <c:v>0.6122251808475613</c:v>
                </c:pt>
                <c:pt idx="41">
                  <c:v>0.6372303729489933</c:v>
                </c:pt>
                <c:pt idx="42">
                  <c:v>0.6227731091080831</c:v>
                </c:pt>
                <c:pt idx="43">
                  <c:v>0.6468235834919391</c:v>
                </c:pt>
                <c:pt idx="44">
                  <c:v>0.6342266944383524</c:v>
                </c:pt>
                <c:pt idx="45">
                  <c:v>0.5582842039852254</c:v>
                </c:pt>
                <c:pt idx="46">
                  <c:v>0.5781555265932122</c:v>
                </c:pt>
                <c:pt idx="47">
                  <c:v>0.5982554728866128</c:v>
                </c:pt>
                <c:pt idx="48">
                  <c:v>0.6176313302254332</c:v>
                </c:pt>
                <c:pt idx="49">
                  <c:v>0.8442790694172351</c:v>
                </c:pt>
                <c:pt idx="50">
                  <c:v>0.6743309286545085</c:v>
                </c:pt>
                <c:pt idx="51">
                  <c:v>0.6709997901747439</c:v>
                </c:pt>
                <c:pt idx="52">
                  <c:v>0.6666108304252386</c:v>
                </c:pt>
                <c:pt idx="53">
                  <c:v>0.6608366476680924</c:v>
                </c:pt>
                <c:pt idx="54">
                  <c:v>0.6269805045916094</c:v>
                </c:pt>
              </c:numCache>
            </c:numRef>
          </c:val>
          <c:smooth val="0"/>
        </c:ser>
        <c:ser>
          <c:idx val="1"/>
          <c:order val="1"/>
          <c:tx>
            <c:v>三人金币覆盖</c:v>
          </c:tx>
          <c:spPr>
            <a:ln xmlns:a="http://schemas.openxmlformats.org/drawingml/2006/main" w="19050">
              <a:solidFill>
                <a:srgbClr val="CE7D28"/>
              </a:solidFill>
              <a:prstDash val="solid"/>
            </a:ln>
          </c:spPr>
          <c:marker>
            <c:symbol val="none"/>
          </c:marker>
          <c:cat>
            <c:numRef>
              <c:f>关卡投放!$A$99:$A$153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</c:numCache>
            </c:numRef>
          </c:cat>
          <c:val>
            <c:numRef>
              <c:f>关卡投放!$AF$99:$AF$153</c:f>
              <c:numCache>
                <c:formatCode>0.0%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4.507496015526129</c:v>
                </c:pt>
                <c:pt idx="3">
                  <c:v>6.31860712663724</c:v>
                </c:pt>
                <c:pt idx="4">
                  <c:v>2.1805887836000766</c:v>
                </c:pt>
                <c:pt idx="5">
                  <c:v>2.262998406210452</c:v>
                </c:pt>
                <c:pt idx="6">
                  <c:v>2.742998406210452</c:v>
                </c:pt>
                <c:pt idx="7">
                  <c:v>2.0352073372148656</c:v>
                </c:pt>
                <c:pt idx="8">
                  <c:v>1.162107139994807</c:v>
                </c:pt>
                <c:pt idx="9">
                  <c:v>1.3307345909751993</c:v>
                </c:pt>
                <c:pt idx="10">
                  <c:v>1.4340895804948504</c:v>
                </c:pt>
                <c:pt idx="11">
                  <c:v>1.7492769808830038</c:v>
                </c:pt>
                <c:pt idx="12">
                  <c:v>2.058721425327448</c:v>
                </c:pt>
                <c:pt idx="13">
                  <c:v>1.9182381716835921</c:v>
                </c:pt>
                <c:pt idx="14">
                  <c:v>1.3739925574963217</c:v>
                </c:pt>
                <c:pt idx="15">
                  <c:v>1.5549195910237317</c:v>
                </c:pt>
                <c:pt idx="16">
                  <c:v>1.5391877846136874</c:v>
                </c:pt>
                <c:pt idx="17">
                  <c:v>1.7089007033047185</c:v>
                </c:pt>
                <c:pt idx="18">
                  <c:v>1.6226597966632714</c:v>
                </c:pt>
                <c:pt idx="19">
                  <c:v>1.271038430712551</c:v>
                </c:pt>
                <c:pt idx="20">
                  <c:v>1.2638051571081685</c:v>
                </c:pt>
                <c:pt idx="21">
                  <c:v>1.3606107126637241</c:v>
                </c:pt>
                <c:pt idx="22">
                  <c:v>1.4644075627607622</c:v>
                </c:pt>
                <c:pt idx="23">
                  <c:v>1.3958113299476747</c:v>
                </c:pt>
                <c:pt idx="24">
                  <c:v>1.1187415827106335</c:v>
                </c:pt>
                <c:pt idx="25">
                  <c:v>1.1921061494419922</c:v>
                </c:pt>
                <c:pt idx="26">
                  <c:v>1.2667670124696475</c:v>
                </c:pt>
                <c:pt idx="27">
                  <c:v>1.2365883533907858</c:v>
                </c:pt>
                <c:pt idx="28">
                  <c:v>1.3078992355017838</c:v>
                </c:pt>
                <c:pt idx="29">
                  <c:v>1.2549151807357843</c:v>
                </c:pt>
                <c:pt idx="30">
                  <c:v>1.0385894808771807</c:v>
                </c:pt>
                <c:pt idx="31">
                  <c:v>1.0920288777452316</c:v>
                </c:pt>
                <c:pt idx="32">
                  <c:v>1.1462008753458834</c:v>
                </c:pt>
                <c:pt idx="33">
                  <c:v>1.1991923283373365</c:v>
                </c:pt>
                <c:pt idx="34">
                  <c:v>1.9033433017466894</c:v>
                </c:pt>
                <c:pt idx="35">
                  <c:v>1.2386200740889801</c:v>
                </c:pt>
                <c:pt idx="36">
                  <c:v>1.3030075384764443</c:v>
                </c:pt>
                <c:pt idx="37">
                  <c:v>1.3701492661515826</c:v>
                </c:pt>
                <c:pt idx="38">
                  <c:v>1.3291446520094234</c:v>
                </c:pt>
                <c:pt idx="39">
                  <c:v>1.1346544085095507</c:v>
                </c:pt>
                <c:pt idx="40">
                  <c:v>1.1870927320058473</c:v>
                </c:pt>
                <c:pt idx="41">
                  <c:v>1.2401745561456448</c:v>
                </c:pt>
                <c:pt idx="42">
                  <c:v>1.217271470858787</c:v>
                </c:pt>
                <c:pt idx="43">
                  <c:v>1.2683962110890366</c:v>
                </c:pt>
                <c:pt idx="44">
                  <c:v>1.234812681222688</c:v>
                </c:pt>
                <c:pt idx="45">
                  <c:v>1.0752288973045585</c:v>
                </c:pt>
                <c:pt idx="46">
                  <c:v>1.116581772287106</c:v>
                </c:pt>
                <c:pt idx="47">
                  <c:v>1.1584094810778207</c:v>
                </c:pt>
                <c:pt idx="48">
                  <c:v>1.1995617444523063</c:v>
                </c:pt>
                <c:pt idx="49">
                  <c:v>1.6834617257806535</c:v>
                </c:pt>
                <c:pt idx="50">
                  <c:v>1.3261611852655972</c:v>
                </c:pt>
                <c:pt idx="51">
                  <c:v>1.3167248381466556</c:v>
                </c:pt>
                <c:pt idx="52">
                  <c:v>1.3110263170801326</c:v>
                </c:pt>
                <c:pt idx="53">
                  <c:v>1.2996224886851866</c:v>
                </c:pt>
                <c:pt idx="54">
                  <c:v>1.228739069567824</c:v>
                </c:pt>
              </c:numCache>
            </c:numRef>
          </c:val>
          <c:smooth val="0"/>
        </c:ser>
        <c:ser>
          <c:idx val="2"/>
          <c:order val="2"/>
          <c:tx>
            <c:v>蓝片需求覆盖</c:v>
          </c:tx>
          <c:spPr>
            <a:ln xmlns:a="http://schemas.openxmlformats.org/drawingml/2006/main" w="19050">
              <a:solidFill>
                <a:srgbClr val="8251A8"/>
              </a:solidFill>
              <a:prstDash val="solid"/>
            </a:ln>
          </c:spPr>
          <c:marker>
            <c:symbol val="none"/>
          </c:marker>
          <c:cat>
            <c:numRef>
              <c:f>关卡投放!$A$99:$A$153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</c:numCache>
            </c:numRef>
          </c:cat>
          <c:val>
            <c:numRef>
              <c:f>关卡投放!$AH$99:$AH$153</c:f>
              <c:numCache>
                <c:formatCode>0.0%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3.7959167464606756</c:v>
                </c:pt>
                <c:pt idx="5">
                  <c:v>5.061222328614234</c:v>
                </c:pt>
                <c:pt idx="6">
                  <c:v>5.061222328614234</c:v>
                </c:pt>
                <c:pt idx="7">
                  <c:v>5.061222328614234</c:v>
                </c:pt>
                <c:pt idx="8">
                  <c:v>1.8979583732303378</c:v>
                </c:pt>
                <c:pt idx="9">
                  <c:v>1.8979583732303378</c:v>
                </c:pt>
                <c:pt idx="10">
                  <c:v>2.2142847687687275</c:v>
                </c:pt>
                <c:pt idx="11">
                  <c:v>2.530611164307117</c:v>
                </c:pt>
                <c:pt idx="12">
                  <c:v>2.530611164307117</c:v>
                </c:pt>
                <c:pt idx="13">
                  <c:v>2.846937559845507</c:v>
                </c:pt>
                <c:pt idx="14">
                  <c:v>1.4058950912817318</c:v>
                </c:pt>
                <c:pt idx="15">
                  <c:v>1.5464846004099049</c:v>
                </c:pt>
                <c:pt idx="16">
                  <c:v>1.5464846004099049</c:v>
                </c:pt>
                <c:pt idx="17">
                  <c:v>1.6870741095380781</c:v>
                </c:pt>
                <c:pt idx="18">
                  <c:v>1.6870741095380781</c:v>
                </c:pt>
                <c:pt idx="19">
                  <c:v>1.1071423843843637</c:v>
                </c:pt>
                <c:pt idx="20">
                  <c:v>1.2653055821535586</c:v>
                </c:pt>
                <c:pt idx="21">
                  <c:v>1.2653055821535586</c:v>
                </c:pt>
                <c:pt idx="22">
                  <c:v>1.3443871810381558</c:v>
                </c:pt>
                <c:pt idx="23">
                  <c:v>1.4234687799227534</c:v>
                </c:pt>
                <c:pt idx="24">
                  <c:v>0.9616322424367044</c:v>
                </c:pt>
                <c:pt idx="25">
                  <c:v>1.0122444657228469</c:v>
                </c:pt>
                <c:pt idx="26">
                  <c:v>1.0628566890089892</c:v>
                </c:pt>
                <c:pt idx="27">
                  <c:v>1.0628566890089892</c:v>
                </c:pt>
                <c:pt idx="28">
                  <c:v>1.1134689122951316</c:v>
                </c:pt>
                <c:pt idx="29">
                  <c:v>1.164081135581274</c:v>
                </c:pt>
                <c:pt idx="30">
                  <c:v>0.8435370547690391</c:v>
                </c:pt>
                <c:pt idx="31">
                  <c:v>0.8786844320510824</c:v>
                </c:pt>
                <c:pt idx="32">
                  <c:v>0.9138318093331257</c:v>
                </c:pt>
                <c:pt idx="33">
                  <c:v>0.9138318093331257</c:v>
                </c:pt>
                <c:pt idx="34">
                  <c:v>1.3665300287258433</c:v>
                </c:pt>
                <c:pt idx="35">
                  <c:v>1.0192739411792553</c:v>
                </c:pt>
                <c:pt idx="36">
                  <c:v>1.0192739411792553</c:v>
                </c:pt>
                <c:pt idx="37">
                  <c:v>1.054421318461299</c:v>
                </c:pt>
                <c:pt idx="38">
                  <c:v>1.0895686957433421</c:v>
                </c:pt>
                <c:pt idx="39">
                  <c:v>0.8263220128349771</c:v>
                </c:pt>
                <c:pt idx="40">
                  <c:v>0.8521445757360699</c:v>
                </c:pt>
                <c:pt idx="41">
                  <c:v>0.877967138637163</c:v>
                </c:pt>
                <c:pt idx="42">
                  <c:v>0.877967138637163</c:v>
                </c:pt>
                <c:pt idx="43">
                  <c:v>0.9037897015382562</c:v>
                </c:pt>
                <c:pt idx="44">
                  <c:v>0.9296122644393492</c:v>
                </c:pt>
                <c:pt idx="45">
                  <c:v>0.731504789682526</c:v>
                </c:pt>
                <c:pt idx="46">
                  <c:v>0.7512751894036753</c:v>
                </c:pt>
                <c:pt idx="47">
                  <c:v>0.7710455891248248</c:v>
                </c:pt>
                <c:pt idx="48">
                  <c:v>0.7710455891248248</c:v>
                </c:pt>
                <c:pt idx="49">
                  <c:v>1.0329025160437213</c:v>
                </c:pt>
                <c:pt idx="50">
                  <c:v>0.8303567882882728</c:v>
                </c:pt>
                <c:pt idx="51">
                  <c:v>0.8303567882882728</c:v>
                </c:pt>
                <c:pt idx="52">
                  <c:v>0.6717054325012718</c:v>
                </c:pt>
                <c:pt idx="53">
                  <c:v>0.6873264890710689</c:v>
                </c:pt>
                <c:pt idx="54">
                  <c:v>0.5693875119691014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ickLblSkip val="5"/>
        <c:crossAx val="48672768"/>
        <c:crosses val="autoZero"/>
        <c:lblAlgn val="ctr"/>
        <c:noMultiLvlLbl val="1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/>
          </a:pPr>
        </a:p>
      </c:txPr>
    </c:legend>
    <c:plotVisOnly val="1"/>
    <c:dispBlanksAs val="zero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升级经验 / 次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蓝经验</c:v>
          </c:tx>
          <c:spPr>
            <a:ln xmlns:a="http://schemas.openxmlformats.org/drawingml/2006/main" w="19050">
              <a:solidFill>
                <a:srgbClr val="347FC4"/>
              </a:solidFill>
              <a:prstDash val="solid"/>
            </a:ln>
          </c:spPr>
          <c:marker>
            <c:symbol val="none"/>
          </c:marker>
          <c:cat>
            <c:numRef>
              <c:f>养成消耗调参!$B$18:$B$66</c:f>
              <c:numCache>
                <c:formatCode>#,##0</c:formatCode>
                <c:ptCount val="4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</c:numCache>
            </c:numRef>
          </c:cat>
          <c:val>
            <c:numRef>
              <c:f>养成消耗调参!$F$18:$F$66</c:f>
              <c:numCache>
                <c:formatCode>#,##0</c:formatCode>
                <c:ptCount val="49"/>
                <c:pt idx="0">
                  <c:v>24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120</c:v>
                </c:pt>
                <c:pt idx="5">
                  <c:v>120</c:v>
                </c:pt>
                <c:pt idx="6">
                  <c:v>144</c:v>
                </c:pt>
                <c:pt idx="7">
                  <c:v>144</c:v>
                </c:pt>
                <c:pt idx="8">
                  <c:v>216</c:v>
                </c:pt>
                <c:pt idx="9">
                  <c:v>216</c:v>
                </c:pt>
                <c:pt idx="10">
                  <c:v>240</c:v>
                </c:pt>
                <c:pt idx="11">
                  <c:v>240</c:v>
                </c:pt>
                <c:pt idx="12">
                  <c:v>288</c:v>
                </c:pt>
                <c:pt idx="13">
                  <c:v>288</c:v>
                </c:pt>
                <c:pt idx="14">
                  <c:v>336</c:v>
                </c:pt>
                <c:pt idx="15">
                  <c:v>336</c:v>
                </c:pt>
                <c:pt idx="16">
                  <c:v>384</c:v>
                </c:pt>
                <c:pt idx="17">
                  <c:v>384</c:v>
                </c:pt>
                <c:pt idx="18">
                  <c:v>432</c:v>
                </c:pt>
                <c:pt idx="19">
                  <c:v>432</c:v>
                </c:pt>
                <c:pt idx="20">
                  <c:v>480</c:v>
                </c:pt>
                <c:pt idx="21">
                  <c:v>480</c:v>
                </c:pt>
                <c:pt idx="22">
                  <c:v>528</c:v>
                </c:pt>
                <c:pt idx="23">
                  <c:v>528</c:v>
                </c:pt>
                <c:pt idx="24">
                  <c:v>576</c:v>
                </c:pt>
                <c:pt idx="25">
                  <c:v>576</c:v>
                </c:pt>
                <c:pt idx="26">
                  <c:v>624</c:v>
                </c:pt>
                <c:pt idx="27">
                  <c:v>624</c:v>
                </c:pt>
                <c:pt idx="28">
                  <c:v>672</c:v>
                </c:pt>
                <c:pt idx="29">
                  <c:v>672</c:v>
                </c:pt>
                <c:pt idx="30">
                  <c:v>720</c:v>
                </c:pt>
                <c:pt idx="31">
                  <c:v>720</c:v>
                </c:pt>
                <c:pt idx="32">
                  <c:v>768</c:v>
                </c:pt>
                <c:pt idx="33">
                  <c:v>768</c:v>
                </c:pt>
                <c:pt idx="34">
                  <c:v>816</c:v>
                </c:pt>
                <c:pt idx="35">
                  <c:v>816</c:v>
                </c:pt>
                <c:pt idx="36">
                  <c:v>864</c:v>
                </c:pt>
                <c:pt idx="37">
                  <c:v>864</c:v>
                </c:pt>
                <c:pt idx="38">
                  <c:v>912</c:v>
                </c:pt>
                <c:pt idx="39">
                  <c:v>912</c:v>
                </c:pt>
                <c:pt idx="40">
                  <c:v>960</c:v>
                </c:pt>
                <c:pt idx="41">
                  <c:v>960</c:v>
                </c:pt>
                <c:pt idx="42">
                  <c:v>1008</c:v>
                </c:pt>
                <c:pt idx="43">
                  <c:v>1008</c:v>
                </c:pt>
                <c:pt idx="44">
                  <c:v>1056</c:v>
                </c:pt>
                <c:pt idx="45">
                  <c:v>1056</c:v>
                </c:pt>
                <c:pt idx="46">
                  <c:v>1104</c:v>
                </c:pt>
                <c:pt idx="47">
                  <c:v>1104</c:v>
                </c:pt>
                <c:pt idx="48">
                  <c:v>1152</c:v>
                </c:pt>
              </c:numCache>
            </c:numRef>
          </c:val>
          <c:smooth val="0"/>
        </c:ser>
        <c:ser>
          <c:idx val="1"/>
          <c:order val="1"/>
          <c:tx>
            <c:v>紫经验</c:v>
          </c:tx>
          <c:spPr>
            <a:ln xmlns:a="http://schemas.openxmlformats.org/drawingml/2006/main" w="19050">
              <a:solidFill>
                <a:srgbClr val="8A58B8"/>
              </a:solidFill>
              <a:prstDash val="solid"/>
            </a:ln>
          </c:spPr>
          <c:marker>
            <c:symbol val="none"/>
          </c:marker>
          <c:cat>
            <c:numRef>
              <c:f>养成消耗调参!$B$18:$B$66</c:f>
              <c:numCache>
                <c:formatCode>#,##0</c:formatCode>
                <c:ptCount val="4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</c:numCache>
            </c:numRef>
          </c:cat>
          <c:val>
            <c:numRef>
              <c:f>养成消耗调参!$G$18:$G$66</c:f>
              <c:numCache>
                <c:formatCode>#,##0</c:formatCode>
                <c:ptCount val="49"/>
                <c:pt idx="0">
                  <c:v>36</c:v>
                </c:pt>
                <c:pt idx="1">
                  <c:v>36</c:v>
                </c:pt>
                <c:pt idx="2">
                  <c:v>72</c:v>
                </c:pt>
                <c:pt idx="3">
                  <c:v>72</c:v>
                </c:pt>
                <c:pt idx="4">
                  <c:v>144</c:v>
                </c:pt>
                <c:pt idx="5">
                  <c:v>144</c:v>
                </c:pt>
                <c:pt idx="6">
                  <c:v>216</c:v>
                </c:pt>
                <c:pt idx="7">
                  <c:v>216</c:v>
                </c:pt>
                <c:pt idx="8">
                  <c:v>288</c:v>
                </c:pt>
                <c:pt idx="9">
                  <c:v>288</c:v>
                </c:pt>
                <c:pt idx="10">
                  <c:v>360</c:v>
                </c:pt>
                <c:pt idx="11">
                  <c:v>360</c:v>
                </c:pt>
                <c:pt idx="12">
                  <c:v>432</c:v>
                </c:pt>
                <c:pt idx="13">
                  <c:v>432</c:v>
                </c:pt>
                <c:pt idx="14">
                  <c:v>504</c:v>
                </c:pt>
                <c:pt idx="15">
                  <c:v>504</c:v>
                </c:pt>
                <c:pt idx="16">
                  <c:v>576</c:v>
                </c:pt>
                <c:pt idx="17">
                  <c:v>576</c:v>
                </c:pt>
                <c:pt idx="18">
                  <c:v>648</c:v>
                </c:pt>
                <c:pt idx="19">
                  <c:v>648</c:v>
                </c:pt>
                <c:pt idx="20">
                  <c:v>720</c:v>
                </c:pt>
                <c:pt idx="21">
                  <c:v>720</c:v>
                </c:pt>
                <c:pt idx="22">
                  <c:v>792</c:v>
                </c:pt>
                <c:pt idx="23">
                  <c:v>792</c:v>
                </c:pt>
                <c:pt idx="24">
                  <c:v>864</c:v>
                </c:pt>
                <c:pt idx="25">
                  <c:v>864</c:v>
                </c:pt>
                <c:pt idx="26">
                  <c:v>936</c:v>
                </c:pt>
                <c:pt idx="27">
                  <c:v>936</c:v>
                </c:pt>
                <c:pt idx="28">
                  <c:v>1008</c:v>
                </c:pt>
                <c:pt idx="29">
                  <c:v>1008</c:v>
                </c:pt>
                <c:pt idx="30">
                  <c:v>1080</c:v>
                </c:pt>
                <c:pt idx="31">
                  <c:v>1080</c:v>
                </c:pt>
                <c:pt idx="32">
                  <c:v>1152</c:v>
                </c:pt>
                <c:pt idx="33">
                  <c:v>1152</c:v>
                </c:pt>
                <c:pt idx="34">
                  <c:v>1224</c:v>
                </c:pt>
                <c:pt idx="35">
                  <c:v>1224</c:v>
                </c:pt>
                <c:pt idx="36">
                  <c:v>1296</c:v>
                </c:pt>
                <c:pt idx="37">
                  <c:v>1296</c:v>
                </c:pt>
                <c:pt idx="38">
                  <c:v>1368</c:v>
                </c:pt>
                <c:pt idx="39">
                  <c:v>1368</c:v>
                </c:pt>
                <c:pt idx="40">
                  <c:v>1440</c:v>
                </c:pt>
                <c:pt idx="41">
                  <c:v>1440</c:v>
                </c:pt>
                <c:pt idx="42">
                  <c:v>1512</c:v>
                </c:pt>
                <c:pt idx="43">
                  <c:v>1512</c:v>
                </c:pt>
                <c:pt idx="44">
                  <c:v>1584</c:v>
                </c:pt>
                <c:pt idx="45">
                  <c:v>1584</c:v>
                </c:pt>
                <c:pt idx="46">
                  <c:v>1656</c:v>
                </c:pt>
                <c:pt idx="47">
                  <c:v>1656</c:v>
                </c:pt>
                <c:pt idx="48">
                  <c:v>1728</c:v>
                </c:pt>
              </c:numCache>
            </c:numRef>
          </c:val>
          <c:smooth val="0"/>
        </c:ser>
        <c:ser>
          <c:idx val="2"/>
          <c:order val="2"/>
          <c:tx>
            <c:v>橙经验</c:v>
          </c:tx>
          <c:spPr>
            <a:ln xmlns:a="http://schemas.openxmlformats.org/drawingml/2006/main" w="19050">
              <a:solidFill>
                <a:srgbClr val="D58B23"/>
              </a:solidFill>
              <a:prstDash val="solid"/>
            </a:ln>
          </c:spPr>
          <c:marker>
            <c:symbol val="none"/>
          </c:marker>
          <c:cat>
            <c:numRef>
              <c:f>养成消耗调参!$B$18:$B$66</c:f>
              <c:numCache>
                <c:formatCode>#,##0</c:formatCode>
                <c:ptCount val="4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</c:numCache>
            </c:numRef>
          </c:cat>
          <c:val>
            <c:numRef>
              <c:f>养成消耗调参!$H$18:$H$66</c:f>
              <c:numCache>
                <c:formatCode>#,##0</c:formatCode>
                <c:ptCount val="49"/>
                <c:pt idx="0">
                  <c:v>48</c:v>
                </c:pt>
                <c:pt idx="1">
                  <c:v>48</c:v>
                </c:pt>
                <c:pt idx="2">
                  <c:v>96</c:v>
                </c:pt>
                <c:pt idx="3">
                  <c:v>96</c:v>
                </c:pt>
                <c:pt idx="4">
                  <c:v>192</c:v>
                </c:pt>
                <c:pt idx="5">
                  <c:v>192</c:v>
                </c:pt>
                <c:pt idx="6">
                  <c:v>288</c:v>
                </c:pt>
                <c:pt idx="7">
                  <c:v>288</c:v>
                </c:pt>
                <c:pt idx="8">
                  <c:v>384</c:v>
                </c:pt>
                <c:pt idx="9">
                  <c:v>384</c:v>
                </c:pt>
                <c:pt idx="10">
                  <c:v>480</c:v>
                </c:pt>
                <c:pt idx="11">
                  <c:v>480</c:v>
                </c:pt>
                <c:pt idx="12">
                  <c:v>576</c:v>
                </c:pt>
                <c:pt idx="13">
                  <c:v>576</c:v>
                </c:pt>
                <c:pt idx="14">
                  <c:v>672</c:v>
                </c:pt>
                <c:pt idx="15">
                  <c:v>672</c:v>
                </c:pt>
                <c:pt idx="16">
                  <c:v>768</c:v>
                </c:pt>
                <c:pt idx="17">
                  <c:v>768</c:v>
                </c:pt>
                <c:pt idx="18">
                  <c:v>864</c:v>
                </c:pt>
                <c:pt idx="19">
                  <c:v>864</c:v>
                </c:pt>
                <c:pt idx="20">
                  <c:v>960</c:v>
                </c:pt>
                <c:pt idx="21">
                  <c:v>960</c:v>
                </c:pt>
                <c:pt idx="22">
                  <c:v>1056</c:v>
                </c:pt>
                <c:pt idx="23">
                  <c:v>1056</c:v>
                </c:pt>
                <c:pt idx="24">
                  <c:v>1152</c:v>
                </c:pt>
                <c:pt idx="25">
                  <c:v>1152</c:v>
                </c:pt>
                <c:pt idx="26">
                  <c:v>1248</c:v>
                </c:pt>
                <c:pt idx="27">
                  <c:v>1248</c:v>
                </c:pt>
                <c:pt idx="28">
                  <c:v>1344</c:v>
                </c:pt>
                <c:pt idx="29">
                  <c:v>1344</c:v>
                </c:pt>
                <c:pt idx="30">
                  <c:v>1440</c:v>
                </c:pt>
                <c:pt idx="31">
                  <c:v>1440</c:v>
                </c:pt>
                <c:pt idx="32">
                  <c:v>1536</c:v>
                </c:pt>
                <c:pt idx="33">
                  <c:v>1536</c:v>
                </c:pt>
                <c:pt idx="34">
                  <c:v>1632</c:v>
                </c:pt>
                <c:pt idx="35">
                  <c:v>1632</c:v>
                </c:pt>
                <c:pt idx="36">
                  <c:v>1728</c:v>
                </c:pt>
                <c:pt idx="37">
                  <c:v>1728</c:v>
                </c:pt>
                <c:pt idx="38">
                  <c:v>1824</c:v>
                </c:pt>
                <c:pt idx="39">
                  <c:v>1824</c:v>
                </c:pt>
                <c:pt idx="40">
                  <c:v>1920</c:v>
                </c:pt>
                <c:pt idx="41">
                  <c:v>1920</c:v>
                </c:pt>
                <c:pt idx="42">
                  <c:v>2016</c:v>
                </c:pt>
                <c:pt idx="43">
                  <c:v>2016</c:v>
                </c:pt>
                <c:pt idx="44">
                  <c:v>2112</c:v>
                </c:pt>
                <c:pt idx="45">
                  <c:v>2112</c:v>
                </c:pt>
                <c:pt idx="46">
                  <c:v>2208</c:v>
                </c:pt>
                <c:pt idx="47">
                  <c:v>2208</c:v>
                </c:pt>
                <c:pt idx="48">
                  <c:v>2304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tickLblSkip val="5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  <c:crosses val="autoZero"/>
        <c:lblAlgn val="ctr"/>
        <c:noMultiLvlLbl val="1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  <c:dispBlanksAs val="zero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升级金币 / 次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蓝金币</c:v>
          </c:tx>
          <c:spPr>
            <a:ln xmlns:a="http://schemas.openxmlformats.org/drawingml/2006/main" w="19050">
              <a:solidFill>
                <a:srgbClr val="347FC4"/>
              </a:solidFill>
              <a:prstDash val="solid"/>
            </a:ln>
          </c:spPr>
          <c:marker>
            <c:symbol val="none"/>
          </c:marker>
          <c:cat>
            <c:numRef>
              <c:f>养成消耗调参!$B$93:$B$141</c:f>
              <c:numCache>
                <c:formatCode>#,##0</c:formatCode>
                <c:ptCount val="4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</c:numCache>
            </c:numRef>
          </c:cat>
          <c:val>
            <c:numRef>
              <c:f>养成消耗调参!$F$93:$F$141</c:f>
              <c:numCache>
                <c:formatCode>#,##0</c:formatCode>
                <c:ptCount val="49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900</c:v>
                </c:pt>
                <c:pt idx="6">
                  <c:v>900</c:v>
                </c:pt>
                <c:pt idx="7">
                  <c:v>900</c:v>
                </c:pt>
                <c:pt idx="8">
                  <c:v>900</c:v>
                </c:pt>
                <c:pt idx="9">
                  <c:v>900</c:v>
                </c:pt>
                <c:pt idx="10">
                  <c:v>1500</c:v>
                </c:pt>
                <c:pt idx="11">
                  <c:v>1500</c:v>
                </c:pt>
                <c:pt idx="12">
                  <c:v>1500</c:v>
                </c:pt>
                <c:pt idx="13">
                  <c:v>1500</c:v>
                </c:pt>
                <c:pt idx="14">
                  <c:v>1500</c:v>
                </c:pt>
                <c:pt idx="15">
                  <c:v>2100</c:v>
                </c:pt>
                <c:pt idx="16">
                  <c:v>2100</c:v>
                </c:pt>
                <c:pt idx="17">
                  <c:v>2100</c:v>
                </c:pt>
                <c:pt idx="18">
                  <c:v>2100</c:v>
                </c:pt>
                <c:pt idx="19">
                  <c:v>2100</c:v>
                </c:pt>
                <c:pt idx="20">
                  <c:v>3000</c:v>
                </c:pt>
                <c:pt idx="21">
                  <c:v>3000</c:v>
                </c:pt>
                <c:pt idx="22">
                  <c:v>3000</c:v>
                </c:pt>
                <c:pt idx="23">
                  <c:v>3000</c:v>
                </c:pt>
                <c:pt idx="24">
                  <c:v>3000</c:v>
                </c:pt>
                <c:pt idx="25">
                  <c:v>3900</c:v>
                </c:pt>
                <c:pt idx="26">
                  <c:v>3900</c:v>
                </c:pt>
                <c:pt idx="27">
                  <c:v>3900</c:v>
                </c:pt>
                <c:pt idx="28">
                  <c:v>3900</c:v>
                </c:pt>
                <c:pt idx="29">
                  <c:v>3900</c:v>
                </c:pt>
                <c:pt idx="30">
                  <c:v>4800</c:v>
                </c:pt>
                <c:pt idx="31">
                  <c:v>4800</c:v>
                </c:pt>
                <c:pt idx="32">
                  <c:v>4800</c:v>
                </c:pt>
                <c:pt idx="33">
                  <c:v>4800</c:v>
                </c:pt>
                <c:pt idx="34">
                  <c:v>4800</c:v>
                </c:pt>
                <c:pt idx="35">
                  <c:v>5700</c:v>
                </c:pt>
                <c:pt idx="36">
                  <c:v>5700</c:v>
                </c:pt>
                <c:pt idx="37">
                  <c:v>5700</c:v>
                </c:pt>
                <c:pt idx="38">
                  <c:v>5700</c:v>
                </c:pt>
                <c:pt idx="39">
                  <c:v>5700</c:v>
                </c:pt>
                <c:pt idx="40">
                  <c:v>6600</c:v>
                </c:pt>
                <c:pt idx="41">
                  <c:v>6600</c:v>
                </c:pt>
                <c:pt idx="42">
                  <c:v>6600</c:v>
                </c:pt>
                <c:pt idx="43">
                  <c:v>6600</c:v>
                </c:pt>
                <c:pt idx="44">
                  <c:v>6600</c:v>
                </c:pt>
                <c:pt idx="45">
                  <c:v>7500</c:v>
                </c:pt>
                <c:pt idx="46">
                  <c:v>7500</c:v>
                </c:pt>
                <c:pt idx="47">
                  <c:v>7500</c:v>
                </c:pt>
                <c:pt idx="48">
                  <c:v>7500</c:v>
                </c:pt>
              </c:numCache>
            </c:numRef>
          </c:val>
          <c:smooth val="0"/>
        </c:ser>
        <c:ser>
          <c:idx val="1"/>
          <c:order val="1"/>
          <c:tx>
            <c:v>紫金币</c:v>
          </c:tx>
          <c:spPr>
            <a:ln xmlns:a="http://schemas.openxmlformats.org/drawingml/2006/main" w="19050">
              <a:solidFill>
                <a:srgbClr val="8A58B8"/>
              </a:solidFill>
              <a:prstDash val="solid"/>
            </a:ln>
          </c:spPr>
          <c:marker>
            <c:symbol val="none"/>
          </c:marker>
          <c:cat>
            <c:numRef>
              <c:f>养成消耗调参!$B$93:$B$141</c:f>
              <c:numCache>
                <c:formatCode>#,##0</c:formatCode>
                <c:ptCount val="4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</c:numCache>
            </c:numRef>
          </c:cat>
          <c:val>
            <c:numRef>
              <c:f>养成消耗调参!$G$93:$G$141</c:f>
              <c:numCache>
                <c:formatCode>#,##0</c:formatCode>
                <c:ptCount val="49"/>
                <c:pt idx="0">
                  <c:v>450</c:v>
                </c:pt>
                <c:pt idx="1">
                  <c:v>450</c:v>
                </c:pt>
                <c:pt idx="2">
                  <c:v>450</c:v>
                </c:pt>
                <c:pt idx="3">
                  <c:v>450</c:v>
                </c:pt>
                <c:pt idx="4">
                  <c:v>450</c:v>
                </c:pt>
                <c:pt idx="5">
                  <c:v>1350</c:v>
                </c:pt>
                <c:pt idx="6">
                  <c:v>1350</c:v>
                </c:pt>
                <c:pt idx="7">
                  <c:v>1350</c:v>
                </c:pt>
                <c:pt idx="8">
                  <c:v>1350</c:v>
                </c:pt>
                <c:pt idx="9">
                  <c:v>1350</c:v>
                </c:pt>
                <c:pt idx="10">
                  <c:v>2250</c:v>
                </c:pt>
                <c:pt idx="11">
                  <c:v>2250</c:v>
                </c:pt>
                <c:pt idx="12">
                  <c:v>2250</c:v>
                </c:pt>
                <c:pt idx="13">
                  <c:v>2250</c:v>
                </c:pt>
                <c:pt idx="14">
                  <c:v>2250</c:v>
                </c:pt>
                <c:pt idx="15">
                  <c:v>3150</c:v>
                </c:pt>
                <c:pt idx="16">
                  <c:v>3150</c:v>
                </c:pt>
                <c:pt idx="17">
                  <c:v>3150</c:v>
                </c:pt>
                <c:pt idx="18">
                  <c:v>3150</c:v>
                </c:pt>
                <c:pt idx="19">
                  <c:v>3150</c:v>
                </c:pt>
                <c:pt idx="20">
                  <c:v>4500</c:v>
                </c:pt>
                <c:pt idx="21">
                  <c:v>4500</c:v>
                </c:pt>
                <c:pt idx="22">
                  <c:v>4500</c:v>
                </c:pt>
                <c:pt idx="23">
                  <c:v>4500</c:v>
                </c:pt>
                <c:pt idx="24">
                  <c:v>4500</c:v>
                </c:pt>
                <c:pt idx="25">
                  <c:v>5850</c:v>
                </c:pt>
                <c:pt idx="26">
                  <c:v>5850</c:v>
                </c:pt>
                <c:pt idx="27">
                  <c:v>5850</c:v>
                </c:pt>
                <c:pt idx="28">
                  <c:v>5850</c:v>
                </c:pt>
                <c:pt idx="29">
                  <c:v>5850</c:v>
                </c:pt>
                <c:pt idx="30">
                  <c:v>7200</c:v>
                </c:pt>
                <c:pt idx="31">
                  <c:v>7200</c:v>
                </c:pt>
                <c:pt idx="32">
                  <c:v>7200</c:v>
                </c:pt>
                <c:pt idx="33">
                  <c:v>7200</c:v>
                </c:pt>
                <c:pt idx="34">
                  <c:v>7200</c:v>
                </c:pt>
                <c:pt idx="35">
                  <c:v>8550</c:v>
                </c:pt>
                <c:pt idx="36">
                  <c:v>8550</c:v>
                </c:pt>
                <c:pt idx="37">
                  <c:v>8550</c:v>
                </c:pt>
                <c:pt idx="38">
                  <c:v>8550</c:v>
                </c:pt>
                <c:pt idx="39">
                  <c:v>8550</c:v>
                </c:pt>
                <c:pt idx="40">
                  <c:v>9900</c:v>
                </c:pt>
                <c:pt idx="41">
                  <c:v>9900</c:v>
                </c:pt>
                <c:pt idx="42">
                  <c:v>9900</c:v>
                </c:pt>
                <c:pt idx="43">
                  <c:v>9900</c:v>
                </c:pt>
                <c:pt idx="44">
                  <c:v>9900</c:v>
                </c:pt>
                <c:pt idx="45">
                  <c:v>11250</c:v>
                </c:pt>
                <c:pt idx="46">
                  <c:v>11250</c:v>
                </c:pt>
                <c:pt idx="47">
                  <c:v>11250</c:v>
                </c:pt>
                <c:pt idx="48">
                  <c:v>11250</c:v>
                </c:pt>
              </c:numCache>
            </c:numRef>
          </c:val>
          <c:smooth val="0"/>
        </c:ser>
        <c:ser>
          <c:idx val="2"/>
          <c:order val="2"/>
          <c:tx>
            <c:v>橙金币</c:v>
          </c:tx>
          <c:spPr>
            <a:ln xmlns:a="http://schemas.openxmlformats.org/drawingml/2006/main" w="19050">
              <a:solidFill>
                <a:srgbClr val="D58B23"/>
              </a:solidFill>
              <a:prstDash val="solid"/>
            </a:ln>
          </c:spPr>
          <c:marker>
            <c:symbol val="none"/>
          </c:marker>
          <c:cat>
            <c:numRef>
              <c:f>养成消耗调参!$B$93:$B$141</c:f>
              <c:numCache>
                <c:formatCode>#,##0</c:formatCode>
                <c:ptCount val="4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</c:numCache>
            </c:numRef>
          </c:cat>
          <c:val>
            <c:numRef>
              <c:f>养成消耗调参!$H$93:$H$141</c:f>
              <c:numCache>
                <c:formatCode>#,##0</c:formatCode>
                <c:ptCount val="49"/>
                <c:pt idx="0">
                  <c:v>600</c:v>
                </c:pt>
                <c:pt idx="1">
                  <c:v>600</c:v>
                </c:pt>
                <c:pt idx="2">
                  <c:v>600</c:v>
                </c:pt>
                <c:pt idx="3">
                  <c:v>600</c:v>
                </c:pt>
                <c:pt idx="4">
                  <c:v>600</c:v>
                </c:pt>
                <c:pt idx="5">
                  <c:v>1800</c:v>
                </c:pt>
                <c:pt idx="6">
                  <c:v>1800</c:v>
                </c:pt>
                <c:pt idx="7">
                  <c:v>1800</c:v>
                </c:pt>
                <c:pt idx="8">
                  <c:v>1800</c:v>
                </c:pt>
                <c:pt idx="9">
                  <c:v>1800</c:v>
                </c:pt>
                <c:pt idx="10">
                  <c:v>3000</c:v>
                </c:pt>
                <c:pt idx="11">
                  <c:v>3000</c:v>
                </c:pt>
                <c:pt idx="12">
                  <c:v>3000</c:v>
                </c:pt>
                <c:pt idx="13">
                  <c:v>3000</c:v>
                </c:pt>
                <c:pt idx="14">
                  <c:v>3000</c:v>
                </c:pt>
                <c:pt idx="15">
                  <c:v>4200</c:v>
                </c:pt>
                <c:pt idx="16">
                  <c:v>4200</c:v>
                </c:pt>
                <c:pt idx="17">
                  <c:v>4200</c:v>
                </c:pt>
                <c:pt idx="18">
                  <c:v>4200</c:v>
                </c:pt>
                <c:pt idx="19">
                  <c:v>4200</c:v>
                </c:pt>
                <c:pt idx="20">
                  <c:v>6000</c:v>
                </c:pt>
                <c:pt idx="21">
                  <c:v>6000</c:v>
                </c:pt>
                <c:pt idx="22">
                  <c:v>6000</c:v>
                </c:pt>
                <c:pt idx="23">
                  <c:v>6000</c:v>
                </c:pt>
                <c:pt idx="24">
                  <c:v>6000</c:v>
                </c:pt>
                <c:pt idx="25">
                  <c:v>7800</c:v>
                </c:pt>
                <c:pt idx="26">
                  <c:v>7800</c:v>
                </c:pt>
                <c:pt idx="27">
                  <c:v>7800</c:v>
                </c:pt>
                <c:pt idx="28">
                  <c:v>7800</c:v>
                </c:pt>
                <c:pt idx="29">
                  <c:v>7800</c:v>
                </c:pt>
                <c:pt idx="30">
                  <c:v>9600</c:v>
                </c:pt>
                <c:pt idx="31">
                  <c:v>9600</c:v>
                </c:pt>
                <c:pt idx="32">
                  <c:v>9600</c:v>
                </c:pt>
                <c:pt idx="33">
                  <c:v>9600</c:v>
                </c:pt>
                <c:pt idx="34">
                  <c:v>9600</c:v>
                </c:pt>
                <c:pt idx="35">
                  <c:v>11400</c:v>
                </c:pt>
                <c:pt idx="36">
                  <c:v>11400</c:v>
                </c:pt>
                <c:pt idx="37">
                  <c:v>11400</c:v>
                </c:pt>
                <c:pt idx="38">
                  <c:v>11400</c:v>
                </c:pt>
                <c:pt idx="39">
                  <c:v>11400</c:v>
                </c:pt>
                <c:pt idx="40">
                  <c:v>13200</c:v>
                </c:pt>
                <c:pt idx="41">
                  <c:v>13200</c:v>
                </c:pt>
                <c:pt idx="42">
                  <c:v>13200</c:v>
                </c:pt>
                <c:pt idx="43">
                  <c:v>13200</c:v>
                </c:pt>
                <c:pt idx="44">
                  <c:v>13200</c:v>
                </c:pt>
                <c:pt idx="45">
                  <c:v>15000</c:v>
                </c:pt>
                <c:pt idx="46">
                  <c:v>15000</c:v>
                </c:pt>
                <c:pt idx="47">
                  <c:v>15000</c:v>
                </c:pt>
                <c:pt idx="48">
                  <c:v>15000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tickLblSkip val="5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  <c:crosses val="autoZero"/>
        <c:lblAlgn val="ctr"/>
        <c:noMultiLvlLbl val="1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  <c:dispBlanksAs val="zero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各阶碎片消耗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本阶碎片</c:v>
          </c:tx>
          <c:spPr>
            <a:solidFill xmlns:a="http://schemas.openxmlformats.org/drawingml/2006/main">
              <a:srgbClr val="B88227"/>
            </a:solidFill>
            <a:ln xmlns:a="http://schemas.openxmlformats.org/drawingml/2006/main" w="19050">
              <a:solidFill>
                <a:srgbClr val="B88227"/>
              </a:solidFill>
              <a:prstDash val="solid"/>
            </a:ln>
          </c:spPr>
          <c:invertIfNegative val="1"/>
          <c:cat>
            <c:numRef>
              <c:f>养成消耗调参!$K$34:$K$43</c:f>
              <c:numCache>
                <c:formatCode>#,##0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养成消耗调参!$L$34:$L$43</c:f>
              <c:numCache>
                <c:formatCode>#,##0</c:formatCode>
                <c:ptCount val="10"/>
                <c:pt idx="0">
                  <c:v>10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90</c:v>
                </c:pt>
                <c:pt idx="5">
                  <c:v>110</c:v>
                </c:pt>
                <c:pt idx="6">
                  <c:v>130</c:v>
                </c:pt>
                <c:pt idx="7">
                  <c:v>150</c:v>
                </c:pt>
                <c:pt idx="8">
                  <c:v>170</c:v>
                </c:pt>
                <c:pt idx="9">
                  <c:v>190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tickLblSkip val="1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  <c:crosses val="autoZero"/>
        <c:lblAlgn val="ctr"/>
        <c:noMultiLvlLbl val="1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zero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稻草人攻击成长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蓝攻击</c:v>
          </c:tx>
          <c:spPr>
            <a:ln xmlns:a="http://schemas.openxmlformats.org/drawingml/2006/main" w="19050">
              <a:solidFill>
                <a:srgbClr val="347FC4"/>
              </a:solidFill>
              <a:prstDash val="solid"/>
            </a:ln>
          </c:spPr>
          <c:marker>
            <c:symbol val="none"/>
          </c:marker>
          <c:cat>
            <c:numRef>
              <c:f>英雄升级调参!$B$66:$B$115</c:f>
              <c:numCache>
                <c:formatCode>#,##0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英雄升级调参!$E$66:$E$115</c:f>
              <c:numCache>
                <c:formatCode>#,##0</c:formatCode>
                <c:ptCount val="50"/>
                <c:pt idx="0">
                  <c:v>60</c:v>
                </c:pt>
                <c:pt idx="1">
                  <c:v>66</c:v>
                </c:pt>
                <c:pt idx="2">
                  <c:v>72</c:v>
                </c:pt>
                <c:pt idx="3">
                  <c:v>78</c:v>
                </c:pt>
                <c:pt idx="4">
                  <c:v>84</c:v>
                </c:pt>
                <c:pt idx="5">
                  <c:v>93</c:v>
                </c:pt>
                <c:pt idx="6">
                  <c:v>102</c:v>
                </c:pt>
                <c:pt idx="7">
                  <c:v>111</c:v>
                </c:pt>
                <c:pt idx="8">
                  <c:v>120</c:v>
                </c:pt>
                <c:pt idx="9">
                  <c:v>129</c:v>
                </c:pt>
                <c:pt idx="10">
                  <c:v>141</c:v>
                </c:pt>
                <c:pt idx="11">
                  <c:v>153</c:v>
                </c:pt>
                <c:pt idx="12">
                  <c:v>165</c:v>
                </c:pt>
                <c:pt idx="13">
                  <c:v>177</c:v>
                </c:pt>
                <c:pt idx="14">
                  <c:v>189</c:v>
                </c:pt>
                <c:pt idx="15">
                  <c:v>204</c:v>
                </c:pt>
                <c:pt idx="16">
                  <c:v>219</c:v>
                </c:pt>
                <c:pt idx="17">
                  <c:v>234</c:v>
                </c:pt>
                <c:pt idx="18">
                  <c:v>249</c:v>
                </c:pt>
                <c:pt idx="19">
                  <c:v>264</c:v>
                </c:pt>
                <c:pt idx="20">
                  <c:v>282</c:v>
                </c:pt>
                <c:pt idx="21">
                  <c:v>300</c:v>
                </c:pt>
                <c:pt idx="22">
                  <c:v>318</c:v>
                </c:pt>
                <c:pt idx="23">
                  <c:v>336</c:v>
                </c:pt>
                <c:pt idx="24">
                  <c:v>354</c:v>
                </c:pt>
                <c:pt idx="25">
                  <c:v>375</c:v>
                </c:pt>
                <c:pt idx="26">
                  <c:v>396</c:v>
                </c:pt>
                <c:pt idx="27">
                  <c:v>417</c:v>
                </c:pt>
                <c:pt idx="28">
                  <c:v>438</c:v>
                </c:pt>
                <c:pt idx="29">
                  <c:v>459</c:v>
                </c:pt>
                <c:pt idx="30">
                  <c:v>483</c:v>
                </c:pt>
                <c:pt idx="31">
                  <c:v>507</c:v>
                </c:pt>
                <c:pt idx="32">
                  <c:v>531</c:v>
                </c:pt>
                <c:pt idx="33">
                  <c:v>555</c:v>
                </c:pt>
                <c:pt idx="34">
                  <c:v>579</c:v>
                </c:pt>
                <c:pt idx="35">
                  <c:v>606</c:v>
                </c:pt>
                <c:pt idx="36">
                  <c:v>633</c:v>
                </c:pt>
                <c:pt idx="37">
                  <c:v>660</c:v>
                </c:pt>
                <c:pt idx="38">
                  <c:v>687</c:v>
                </c:pt>
                <c:pt idx="39">
                  <c:v>714</c:v>
                </c:pt>
                <c:pt idx="40">
                  <c:v>744</c:v>
                </c:pt>
                <c:pt idx="41">
                  <c:v>774</c:v>
                </c:pt>
                <c:pt idx="42">
                  <c:v>804</c:v>
                </c:pt>
                <c:pt idx="43">
                  <c:v>834</c:v>
                </c:pt>
                <c:pt idx="44">
                  <c:v>864</c:v>
                </c:pt>
                <c:pt idx="45">
                  <c:v>897</c:v>
                </c:pt>
                <c:pt idx="46">
                  <c:v>930</c:v>
                </c:pt>
                <c:pt idx="47">
                  <c:v>963</c:v>
                </c:pt>
                <c:pt idx="48">
                  <c:v>996</c:v>
                </c:pt>
                <c:pt idx="49">
                  <c:v>1029</c:v>
                </c:pt>
              </c:numCache>
            </c:numRef>
          </c:val>
          <c:smooth val="0"/>
        </c:ser>
        <c:ser>
          <c:idx val="1"/>
          <c:order val="1"/>
          <c:tx>
            <c:v>紫攻击</c:v>
          </c:tx>
          <c:spPr>
            <a:ln xmlns:a="http://schemas.openxmlformats.org/drawingml/2006/main" w="19050">
              <a:solidFill>
                <a:srgbClr val="8A58B8"/>
              </a:solidFill>
              <a:prstDash val="solid"/>
            </a:ln>
          </c:spPr>
          <c:marker>
            <c:symbol val="none"/>
          </c:marker>
          <c:cat>
            <c:numRef>
              <c:f>英雄升级调参!$B$66:$B$115</c:f>
              <c:numCache>
                <c:formatCode>#,##0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英雄升级调参!$H$66:$H$115</c:f>
              <c:numCache>
                <c:formatCode>#,##0</c:formatCode>
                <c:ptCount val="50"/>
                <c:pt idx="0">
                  <c:v>93</c:v>
                </c:pt>
                <c:pt idx="1">
                  <c:v>102</c:v>
                </c:pt>
                <c:pt idx="2">
                  <c:v>111</c:v>
                </c:pt>
                <c:pt idx="3">
                  <c:v>120</c:v>
                </c:pt>
                <c:pt idx="4">
                  <c:v>129</c:v>
                </c:pt>
                <c:pt idx="5">
                  <c:v>143</c:v>
                </c:pt>
                <c:pt idx="6">
                  <c:v>157</c:v>
                </c:pt>
                <c:pt idx="7">
                  <c:v>171</c:v>
                </c:pt>
                <c:pt idx="8">
                  <c:v>185</c:v>
                </c:pt>
                <c:pt idx="9">
                  <c:v>199</c:v>
                </c:pt>
                <c:pt idx="10">
                  <c:v>217</c:v>
                </c:pt>
                <c:pt idx="11">
                  <c:v>235</c:v>
                </c:pt>
                <c:pt idx="12">
                  <c:v>253</c:v>
                </c:pt>
                <c:pt idx="13">
                  <c:v>271</c:v>
                </c:pt>
                <c:pt idx="14">
                  <c:v>289</c:v>
                </c:pt>
                <c:pt idx="15">
                  <c:v>312</c:v>
                </c:pt>
                <c:pt idx="16">
                  <c:v>335</c:v>
                </c:pt>
                <c:pt idx="17">
                  <c:v>358</c:v>
                </c:pt>
                <c:pt idx="18">
                  <c:v>381</c:v>
                </c:pt>
                <c:pt idx="19">
                  <c:v>404</c:v>
                </c:pt>
                <c:pt idx="20">
                  <c:v>431</c:v>
                </c:pt>
                <c:pt idx="21">
                  <c:v>458</c:v>
                </c:pt>
                <c:pt idx="22">
                  <c:v>485</c:v>
                </c:pt>
                <c:pt idx="23">
                  <c:v>512</c:v>
                </c:pt>
                <c:pt idx="24">
                  <c:v>539</c:v>
                </c:pt>
                <c:pt idx="25">
                  <c:v>571</c:v>
                </c:pt>
                <c:pt idx="26">
                  <c:v>603</c:v>
                </c:pt>
                <c:pt idx="27">
                  <c:v>635</c:v>
                </c:pt>
                <c:pt idx="28">
                  <c:v>667</c:v>
                </c:pt>
                <c:pt idx="29">
                  <c:v>699</c:v>
                </c:pt>
                <c:pt idx="30">
                  <c:v>735</c:v>
                </c:pt>
                <c:pt idx="31">
                  <c:v>771</c:v>
                </c:pt>
                <c:pt idx="32">
                  <c:v>807</c:v>
                </c:pt>
                <c:pt idx="33">
                  <c:v>843</c:v>
                </c:pt>
                <c:pt idx="34">
                  <c:v>879</c:v>
                </c:pt>
                <c:pt idx="35">
                  <c:v>920</c:v>
                </c:pt>
                <c:pt idx="36">
                  <c:v>961</c:v>
                </c:pt>
                <c:pt idx="37">
                  <c:v>1002</c:v>
                </c:pt>
                <c:pt idx="38">
                  <c:v>1043</c:v>
                </c:pt>
                <c:pt idx="39">
                  <c:v>1084</c:v>
                </c:pt>
                <c:pt idx="40">
                  <c:v>1129</c:v>
                </c:pt>
                <c:pt idx="41">
                  <c:v>1174</c:v>
                </c:pt>
                <c:pt idx="42">
                  <c:v>1219</c:v>
                </c:pt>
                <c:pt idx="43">
                  <c:v>1264</c:v>
                </c:pt>
                <c:pt idx="44">
                  <c:v>1309</c:v>
                </c:pt>
                <c:pt idx="45">
                  <c:v>1359</c:v>
                </c:pt>
                <c:pt idx="46">
                  <c:v>1409</c:v>
                </c:pt>
                <c:pt idx="47">
                  <c:v>1459</c:v>
                </c:pt>
                <c:pt idx="48">
                  <c:v>1509</c:v>
                </c:pt>
                <c:pt idx="49">
                  <c:v>1559</c:v>
                </c:pt>
              </c:numCache>
            </c:numRef>
          </c:val>
          <c:smooth val="0"/>
        </c:ser>
        <c:ser>
          <c:idx val="2"/>
          <c:order val="2"/>
          <c:tx>
            <c:v>橙攻击</c:v>
          </c:tx>
          <c:spPr>
            <a:ln xmlns:a="http://schemas.openxmlformats.org/drawingml/2006/main" w="19050">
              <a:solidFill>
                <a:srgbClr val="D58B23"/>
              </a:solidFill>
              <a:prstDash val="solid"/>
            </a:ln>
          </c:spPr>
          <c:marker>
            <c:symbol val="none"/>
          </c:marker>
          <c:cat>
            <c:numRef>
              <c:f>英雄升级调参!$B$66:$B$115</c:f>
              <c:numCache>
                <c:formatCode>#,##0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英雄升级调参!$K$66:$K$115</c:f>
              <c:numCache>
                <c:formatCode>#,##0</c:formatCode>
                <c:ptCount val="50"/>
                <c:pt idx="0">
                  <c:v>129</c:v>
                </c:pt>
                <c:pt idx="1">
                  <c:v>144</c:v>
                </c:pt>
                <c:pt idx="2">
                  <c:v>159</c:v>
                </c:pt>
                <c:pt idx="3">
                  <c:v>174</c:v>
                </c:pt>
                <c:pt idx="4">
                  <c:v>189</c:v>
                </c:pt>
                <c:pt idx="5">
                  <c:v>212</c:v>
                </c:pt>
                <c:pt idx="6">
                  <c:v>235</c:v>
                </c:pt>
                <c:pt idx="7">
                  <c:v>258</c:v>
                </c:pt>
                <c:pt idx="8">
                  <c:v>281</c:v>
                </c:pt>
                <c:pt idx="9">
                  <c:v>304</c:v>
                </c:pt>
                <c:pt idx="10">
                  <c:v>334</c:v>
                </c:pt>
                <c:pt idx="11">
                  <c:v>364</c:v>
                </c:pt>
                <c:pt idx="12">
                  <c:v>394</c:v>
                </c:pt>
                <c:pt idx="13">
                  <c:v>424</c:v>
                </c:pt>
                <c:pt idx="14">
                  <c:v>454</c:v>
                </c:pt>
                <c:pt idx="15">
                  <c:v>492</c:v>
                </c:pt>
                <c:pt idx="16">
                  <c:v>530</c:v>
                </c:pt>
                <c:pt idx="17">
                  <c:v>568</c:v>
                </c:pt>
                <c:pt idx="18">
                  <c:v>606</c:v>
                </c:pt>
                <c:pt idx="19">
                  <c:v>644</c:v>
                </c:pt>
                <c:pt idx="20">
                  <c:v>689</c:v>
                </c:pt>
                <c:pt idx="21">
                  <c:v>734</c:v>
                </c:pt>
                <c:pt idx="22">
                  <c:v>779</c:v>
                </c:pt>
                <c:pt idx="23">
                  <c:v>824</c:v>
                </c:pt>
                <c:pt idx="24">
                  <c:v>869</c:v>
                </c:pt>
                <c:pt idx="25">
                  <c:v>922</c:v>
                </c:pt>
                <c:pt idx="26">
                  <c:v>975</c:v>
                </c:pt>
                <c:pt idx="27">
                  <c:v>1028</c:v>
                </c:pt>
                <c:pt idx="28">
                  <c:v>1081</c:v>
                </c:pt>
                <c:pt idx="29">
                  <c:v>1134</c:v>
                </c:pt>
                <c:pt idx="30">
                  <c:v>1194</c:v>
                </c:pt>
                <c:pt idx="31">
                  <c:v>1254</c:v>
                </c:pt>
                <c:pt idx="32">
                  <c:v>1314</c:v>
                </c:pt>
                <c:pt idx="33">
                  <c:v>1374</c:v>
                </c:pt>
                <c:pt idx="34">
                  <c:v>1434</c:v>
                </c:pt>
                <c:pt idx="35">
                  <c:v>1502</c:v>
                </c:pt>
                <c:pt idx="36">
                  <c:v>1570</c:v>
                </c:pt>
                <c:pt idx="37">
                  <c:v>1638</c:v>
                </c:pt>
                <c:pt idx="38">
                  <c:v>1706</c:v>
                </c:pt>
                <c:pt idx="39">
                  <c:v>1774</c:v>
                </c:pt>
                <c:pt idx="40">
                  <c:v>1849</c:v>
                </c:pt>
                <c:pt idx="41">
                  <c:v>1924</c:v>
                </c:pt>
                <c:pt idx="42">
                  <c:v>1999</c:v>
                </c:pt>
                <c:pt idx="43">
                  <c:v>2074</c:v>
                </c:pt>
                <c:pt idx="44">
                  <c:v>2149</c:v>
                </c:pt>
                <c:pt idx="45">
                  <c:v>2232</c:v>
                </c:pt>
                <c:pt idx="46">
                  <c:v>2315</c:v>
                </c:pt>
                <c:pt idx="47">
                  <c:v>2398</c:v>
                </c:pt>
                <c:pt idx="48">
                  <c:v>2481</c:v>
                </c:pt>
                <c:pt idx="49">
                  <c:v>2564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tickLblSkip val="5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  <c:crosses val="autoZero"/>
        <c:lblAlgn val="ctr"/>
        <c:noMultiLvlLbl val="1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  <c:dispBlanksAs val="zero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稻草人生命成长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蓝生命</c:v>
          </c:tx>
          <c:spPr>
            <a:ln xmlns:a="http://schemas.openxmlformats.org/drawingml/2006/main" w="19050">
              <a:solidFill>
                <a:srgbClr val="347FC4"/>
              </a:solidFill>
              <a:prstDash val="solid"/>
            </a:ln>
          </c:spPr>
          <c:marker>
            <c:symbol val="none"/>
          </c:marker>
          <c:cat>
            <c:numRef>
              <c:f>英雄升级调参!$B$66:$B$115</c:f>
              <c:numCache>
                <c:formatCode>#,##0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英雄升级调参!$F$66:$F$115</c:f>
              <c:numCache>
                <c:formatCode>#,##0</c:formatCode>
                <c:ptCount val="50"/>
                <c:pt idx="0">
                  <c:v>600</c:v>
                </c:pt>
                <c:pt idx="1">
                  <c:v>660</c:v>
                </c:pt>
                <c:pt idx="2">
                  <c:v>720</c:v>
                </c:pt>
                <c:pt idx="3">
                  <c:v>780</c:v>
                </c:pt>
                <c:pt idx="4">
                  <c:v>840</c:v>
                </c:pt>
                <c:pt idx="5">
                  <c:v>930</c:v>
                </c:pt>
                <c:pt idx="6">
                  <c:v>1020</c:v>
                </c:pt>
                <c:pt idx="7">
                  <c:v>1110</c:v>
                </c:pt>
                <c:pt idx="8">
                  <c:v>1200</c:v>
                </c:pt>
                <c:pt idx="9">
                  <c:v>1290</c:v>
                </c:pt>
                <c:pt idx="10">
                  <c:v>1410</c:v>
                </c:pt>
                <c:pt idx="11">
                  <c:v>1530</c:v>
                </c:pt>
                <c:pt idx="12">
                  <c:v>1650</c:v>
                </c:pt>
                <c:pt idx="13">
                  <c:v>1770</c:v>
                </c:pt>
                <c:pt idx="14">
                  <c:v>1890</c:v>
                </c:pt>
                <c:pt idx="15">
                  <c:v>2040</c:v>
                </c:pt>
                <c:pt idx="16">
                  <c:v>2190</c:v>
                </c:pt>
                <c:pt idx="17">
                  <c:v>2340</c:v>
                </c:pt>
                <c:pt idx="18">
                  <c:v>2490</c:v>
                </c:pt>
                <c:pt idx="19">
                  <c:v>2640</c:v>
                </c:pt>
                <c:pt idx="20">
                  <c:v>2820</c:v>
                </c:pt>
                <c:pt idx="21">
                  <c:v>3000</c:v>
                </c:pt>
                <c:pt idx="22">
                  <c:v>3180</c:v>
                </c:pt>
                <c:pt idx="23">
                  <c:v>3360</c:v>
                </c:pt>
                <c:pt idx="24">
                  <c:v>3540</c:v>
                </c:pt>
                <c:pt idx="25">
                  <c:v>3750</c:v>
                </c:pt>
                <c:pt idx="26">
                  <c:v>3960</c:v>
                </c:pt>
                <c:pt idx="27">
                  <c:v>4170</c:v>
                </c:pt>
                <c:pt idx="28">
                  <c:v>4380</c:v>
                </c:pt>
                <c:pt idx="29">
                  <c:v>4590</c:v>
                </c:pt>
                <c:pt idx="30">
                  <c:v>4830</c:v>
                </c:pt>
                <c:pt idx="31">
                  <c:v>5070</c:v>
                </c:pt>
                <c:pt idx="32">
                  <c:v>5310</c:v>
                </c:pt>
                <c:pt idx="33">
                  <c:v>5550</c:v>
                </c:pt>
                <c:pt idx="34">
                  <c:v>5790</c:v>
                </c:pt>
                <c:pt idx="35">
                  <c:v>6060</c:v>
                </c:pt>
                <c:pt idx="36">
                  <c:v>6330</c:v>
                </c:pt>
                <c:pt idx="37">
                  <c:v>6600</c:v>
                </c:pt>
                <c:pt idx="38">
                  <c:v>6870</c:v>
                </c:pt>
                <c:pt idx="39">
                  <c:v>7140</c:v>
                </c:pt>
                <c:pt idx="40">
                  <c:v>7440</c:v>
                </c:pt>
                <c:pt idx="41">
                  <c:v>7740</c:v>
                </c:pt>
                <c:pt idx="42">
                  <c:v>8040</c:v>
                </c:pt>
                <c:pt idx="43">
                  <c:v>8340</c:v>
                </c:pt>
                <c:pt idx="44">
                  <c:v>8640</c:v>
                </c:pt>
                <c:pt idx="45">
                  <c:v>8970</c:v>
                </c:pt>
                <c:pt idx="46">
                  <c:v>9300</c:v>
                </c:pt>
                <c:pt idx="47">
                  <c:v>9630</c:v>
                </c:pt>
                <c:pt idx="48">
                  <c:v>9960</c:v>
                </c:pt>
                <c:pt idx="49">
                  <c:v>10290</c:v>
                </c:pt>
              </c:numCache>
            </c:numRef>
          </c:val>
          <c:smooth val="0"/>
        </c:ser>
        <c:ser>
          <c:idx val="1"/>
          <c:order val="1"/>
          <c:tx>
            <c:v>紫生命</c:v>
          </c:tx>
          <c:spPr>
            <a:ln xmlns:a="http://schemas.openxmlformats.org/drawingml/2006/main" w="19050">
              <a:solidFill>
                <a:srgbClr val="8A58B8"/>
              </a:solidFill>
              <a:prstDash val="solid"/>
            </a:ln>
          </c:spPr>
          <c:marker>
            <c:symbol val="none"/>
          </c:marker>
          <c:cat>
            <c:numRef>
              <c:f>英雄升级调参!$B$66:$B$115</c:f>
              <c:numCache>
                <c:formatCode>#,##0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英雄升级调参!$I$66:$I$115</c:f>
              <c:numCache>
                <c:formatCode>#,##0</c:formatCode>
                <c:ptCount val="50"/>
                <c:pt idx="0">
                  <c:v>930</c:v>
                </c:pt>
                <c:pt idx="1">
                  <c:v>1020</c:v>
                </c:pt>
                <c:pt idx="2">
                  <c:v>1110</c:v>
                </c:pt>
                <c:pt idx="3">
                  <c:v>1200</c:v>
                </c:pt>
                <c:pt idx="4">
                  <c:v>1290</c:v>
                </c:pt>
                <c:pt idx="5">
                  <c:v>1425</c:v>
                </c:pt>
                <c:pt idx="6">
                  <c:v>1560</c:v>
                </c:pt>
                <c:pt idx="7">
                  <c:v>1695</c:v>
                </c:pt>
                <c:pt idx="8">
                  <c:v>1830</c:v>
                </c:pt>
                <c:pt idx="9">
                  <c:v>1965</c:v>
                </c:pt>
                <c:pt idx="10">
                  <c:v>2145</c:v>
                </c:pt>
                <c:pt idx="11">
                  <c:v>2325</c:v>
                </c:pt>
                <c:pt idx="12">
                  <c:v>2505</c:v>
                </c:pt>
                <c:pt idx="13">
                  <c:v>2685</c:v>
                </c:pt>
                <c:pt idx="14">
                  <c:v>2865</c:v>
                </c:pt>
                <c:pt idx="15">
                  <c:v>3090</c:v>
                </c:pt>
                <c:pt idx="16">
                  <c:v>3315</c:v>
                </c:pt>
                <c:pt idx="17">
                  <c:v>3540</c:v>
                </c:pt>
                <c:pt idx="18">
                  <c:v>3765</c:v>
                </c:pt>
                <c:pt idx="19">
                  <c:v>3990</c:v>
                </c:pt>
                <c:pt idx="20">
                  <c:v>4260</c:v>
                </c:pt>
                <c:pt idx="21">
                  <c:v>4530</c:v>
                </c:pt>
                <c:pt idx="22">
                  <c:v>4800</c:v>
                </c:pt>
                <c:pt idx="23">
                  <c:v>5070</c:v>
                </c:pt>
                <c:pt idx="24">
                  <c:v>5340</c:v>
                </c:pt>
                <c:pt idx="25">
                  <c:v>5655</c:v>
                </c:pt>
                <c:pt idx="26">
                  <c:v>5970</c:v>
                </c:pt>
                <c:pt idx="27">
                  <c:v>6285</c:v>
                </c:pt>
                <c:pt idx="28">
                  <c:v>6600</c:v>
                </c:pt>
                <c:pt idx="29">
                  <c:v>6915</c:v>
                </c:pt>
                <c:pt idx="30">
                  <c:v>7275</c:v>
                </c:pt>
                <c:pt idx="31">
                  <c:v>7635</c:v>
                </c:pt>
                <c:pt idx="32">
                  <c:v>7995</c:v>
                </c:pt>
                <c:pt idx="33">
                  <c:v>8355</c:v>
                </c:pt>
                <c:pt idx="34">
                  <c:v>8715</c:v>
                </c:pt>
                <c:pt idx="35">
                  <c:v>9120</c:v>
                </c:pt>
                <c:pt idx="36">
                  <c:v>9525</c:v>
                </c:pt>
                <c:pt idx="37">
                  <c:v>9930</c:v>
                </c:pt>
                <c:pt idx="38">
                  <c:v>10335</c:v>
                </c:pt>
                <c:pt idx="39">
                  <c:v>10740</c:v>
                </c:pt>
                <c:pt idx="40">
                  <c:v>11190</c:v>
                </c:pt>
                <c:pt idx="41">
                  <c:v>11640</c:v>
                </c:pt>
                <c:pt idx="42">
                  <c:v>12090</c:v>
                </c:pt>
                <c:pt idx="43">
                  <c:v>12540</c:v>
                </c:pt>
                <c:pt idx="44">
                  <c:v>12990</c:v>
                </c:pt>
                <c:pt idx="45">
                  <c:v>13485</c:v>
                </c:pt>
                <c:pt idx="46">
                  <c:v>13980</c:v>
                </c:pt>
                <c:pt idx="47">
                  <c:v>14475</c:v>
                </c:pt>
                <c:pt idx="48">
                  <c:v>14970</c:v>
                </c:pt>
                <c:pt idx="49">
                  <c:v>15465</c:v>
                </c:pt>
              </c:numCache>
            </c:numRef>
          </c:val>
          <c:smooth val="0"/>
        </c:ser>
        <c:ser>
          <c:idx val="2"/>
          <c:order val="2"/>
          <c:tx>
            <c:v>橙生命</c:v>
          </c:tx>
          <c:spPr>
            <a:ln xmlns:a="http://schemas.openxmlformats.org/drawingml/2006/main" w="19050">
              <a:solidFill>
                <a:srgbClr val="D58B23"/>
              </a:solidFill>
              <a:prstDash val="solid"/>
            </a:ln>
          </c:spPr>
          <c:marker>
            <c:symbol val="none"/>
          </c:marker>
          <c:cat>
            <c:numRef>
              <c:f>英雄升级调参!$B$66:$B$115</c:f>
              <c:numCache>
                <c:formatCode>#,##0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英雄升级调参!$L$66:$L$115</c:f>
              <c:numCache>
                <c:formatCode>#,##0</c:formatCode>
                <c:ptCount val="50"/>
                <c:pt idx="0">
                  <c:v>1290</c:v>
                </c:pt>
                <c:pt idx="1">
                  <c:v>1440</c:v>
                </c:pt>
                <c:pt idx="2">
                  <c:v>1590</c:v>
                </c:pt>
                <c:pt idx="3">
                  <c:v>1740</c:v>
                </c:pt>
                <c:pt idx="4">
                  <c:v>1890</c:v>
                </c:pt>
                <c:pt idx="5">
                  <c:v>2115</c:v>
                </c:pt>
                <c:pt idx="6">
                  <c:v>2340</c:v>
                </c:pt>
                <c:pt idx="7">
                  <c:v>2565</c:v>
                </c:pt>
                <c:pt idx="8">
                  <c:v>2790</c:v>
                </c:pt>
                <c:pt idx="9">
                  <c:v>3015</c:v>
                </c:pt>
                <c:pt idx="10">
                  <c:v>3315</c:v>
                </c:pt>
                <c:pt idx="11">
                  <c:v>3615</c:v>
                </c:pt>
                <c:pt idx="12">
                  <c:v>3915</c:v>
                </c:pt>
                <c:pt idx="13">
                  <c:v>4215</c:v>
                </c:pt>
                <c:pt idx="14">
                  <c:v>4515</c:v>
                </c:pt>
                <c:pt idx="15">
                  <c:v>4890</c:v>
                </c:pt>
                <c:pt idx="16">
                  <c:v>5265</c:v>
                </c:pt>
                <c:pt idx="17">
                  <c:v>5640</c:v>
                </c:pt>
                <c:pt idx="18">
                  <c:v>6015</c:v>
                </c:pt>
                <c:pt idx="19">
                  <c:v>6390</c:v>
                </c:pt>
                <c:pt idx="20">
                  <c:v>6840</c:v>
                </c:pt>
                <c:pt idx="21">
                  <c:v>7290</c:v>
                </c:pt>
                <c:pt idx="22">
                  <c:v>7740</c:v>
                </c:pt>
                <c:pt idx="23">
                  <c:v>8190</c:v>
                </c:pt>
                <c:pt idx="24">
                  <c:v>8640</c:v>
                </c:pt>
                <c:pt idx="25">
                  <c:v>9165</c:v>
                </c:pt>
                <c:pt idx="26">
                  <c:v>9690</c:v>
                </c:pt>
                <c:pt idx="27">
                  <c:v>10215</c:v>
                </c:pt>
                <c:pt idx="28">
                  <c:v>10740</c:v>
                </c:pt>
                <c:pt idx="29">
                  <c:v>11265</c:v>
                </c:pt>
                <c:pt idx="30">
                  <c:v>11865</c:v>
                </c:pt>
                <c:pt idx="31">
                  <c:v>12465</c:v>
                </c:pt>
                <c:pt idx="32">
                  <c:v>13065</c:v>
                </c:pt>
                <c:pt idx="33">
                  <c:v>13665</c:v>
                </c:pt>
                <c:pt idx="34">
                  <c:v>14265</c:v>
                </c:pt>
                <c:pt idx="35">
                  <c:v>14940</c:v>
                </c:pt>
                <c:pt idx="36">
                  <c:v>15615</c:v>
                </c:pt>
                <c:pt idx="37">
                  <c:v>16290</c:v>
                </c:pt>
                <c:pt idx="38">
                  <c:v>16965</c:v>
                </c:pt>
                <c:pt idx="39">
                  <c:v>17640</c:v>
                </c:pt>
                <c:pt idx="40">
                  <c:v>18390</c:v>
                </c:pt>
                <c:pt idx="41">
                  <c:v>19140</c:v>
                </c:pt>
                <c:pt idx="42">
                  <c:v>19890</c:v>
                </c:pt>
                <c:pt idx="43">
                  <c:v>20640</c:v>
                </c:pt>
                <c:pt idx="44">
                  <c:v>21390</c:v>
                </c:pt>
                <c:pt idx="45">
                  <c:v>22215</c:v>
                </c:pt>
                <c:pt idx="46">
                  <c:v>23040</c:v>
                </c:pt>
                <c:pt idx="47">
                  <c:v>23865</c:v>
                </c:pt>
                <c:pt idx="48">
                  <c:v>24690</c:v>
                </c:pt>
                <c:pt idx="49">
                  <c:v>25515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tickLblSkip val="5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  <c:crosses val="autoZero"/>
        <c:lblAlgn val="ctr"/>
        <c:noMultiLvlLbl val="1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  <c:dispBlanksAs val="zero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12</xdr:row>
      <xdr:rowOff>0</xdr:rowOff>
    </xdr:from>
    <xdr:to>
      <xdr:col>18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5514669ff7426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24</xdr:col>
      <xdr:colOff>0</xdr:colOff>
      <xdr:row>16</xdr:row>
      <xdr:rowOff>0</xdr:rowOff>
    </xdr:from>
    <xdr:to>
      <xdr:col>35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32a58410f3460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755281d5eb4b28"/>
        </a:graphicData>
      </a:graphic>
    </xdr:graphicFrame>
    <xdr:clientData/>
  </xdr:twoCellAnchor>
  <xdr:twoCellAnchor>
    <xdr:from>
      <xdr:col>13</xdr:col>
      <xdr:colOff>0</xdr:colOff>
      <xdr:row>16</xdr:row>
      <xdr:rowOff>0</xdr:rowOff>
    </xdr:from>
    <xdr:to>
      <xdr:col>25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3ee6eb6c1a4abb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</xdr:col>
      <xdr:colOff>0</xdr:colOff>
      <xdr:row>71</xdr:row>
      <xdr:rowOff>0</xdr:rowOff>
    </xdr:from>
    <xdr:to>
      <xdr:col>8</xdr:col>
      <xdr:colOff>0</xdr:colOff>
      <xdr:row>87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8327fd15274b66"/>
        </a:graphicData>
      </a:graphic>
    </xdr:graphicFrame>
    <xdr:clientData/>
  </xdr:twoCellAnchor>
  <xdr:twoCellAnchor>
    <xdr:from>
      <xdr:col>8</xdr:col>
      <xdr:colOff>0</xdr:colOff>
      <xdr:row>71</xdr:row>
      <xdr:rowOff>0</xdr:rowOff>
    </xdr:from>
    <xdr:to>
      <xdr:col>15</xdr:col>
      <xdr:colOff>0</xdr:colOff>
      <xdr:row>87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ffd1f7032f4b65"/>
        </a:graphicData>
      </a:graphic>
    </xdr:graphicFrame>
    <xdr:clientData/>
  </xdr:twoCellAnchor>
  <xdr:twoCellAnchor>
    <xdr:from>
      <xdr:col>9</xdr:col>
      <xdr:colOff>0</xdr:colOff>
      <xdr:row>46</xdr:row>
      <xdr:rowOff>0</xdr:rowOff>
    </xdr:from>
    <xdr:to>
      <xdr:col>15</xdr:col>
      <xdr:colOff>0</xdr:colOff>
      <xdr:row>64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65c898fe4747e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</xdr:col>
      <xdr:colOff>0</xdr:colOff>
      <xdr:row>46</xdr:row>
      <xdr:rowOff>0</xdr:rowOff>
    </xdr:from>
    <xdr:to>
      <xdr:col>8</xdr:col>
      <xdr:colOff>0</xdr:colOff>
      <xdr:row>61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be44a0538a4c7d"/>
        </a:graphicData>
      </a:graphic>
    </xdr:graphicFrame>
    <xdr:clientData/>
  </xdr:twoCellAnchor>
  <xdr:twoCellAnchor>
    <xdr:from>
      <xdr:col>8</xdr:col>
      <xdr:colOff>0</xdr:colOff>
      <xdr:row>46</xdr:row>
      <xdr:rowOff>0</xdr:rowOff>
    </xdr:from>
    <xdr:to>
      <xdr:col>15</xdr:col>
      <xdr:colOff>0</xdr:colOff>
      <xdr:row>61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d23b85b96d4c9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4" name="HeroGrowth" displayName="HeroGrowth" ref="A68:R1568" totalsRowShown="0">
  <x:autoFilter ref="A68:R1568"/>
  <x:tableColumns count="18">
    <x:tableColumn id="1" name="英雄ID"/>
    <x:tableColumn id="2" name="英雄"/>
    <x:tableColumn id="3" name="职业建议"/>
    <x:tableColumn id="4" name="品质"/>
    <x:tableColumn id="5" name="等级"/>
    <x:tableColumn id="6" name="阶段"/>
    <x:tableColumn id="7" name="攻击"/>
    <x:tableColumn id="8" name="生命"/>
    <x:tableColumn id="9" name="战力(攻×血)"/>
    <x:tableColumn id="10" name="本级加攻"/>
    <x:tableColumn id="11" name="本级加血"/>
    <x:tableColumn id="12" name="本级经验"/>
    <x:tableColumn id="13" name="本级金币"/>
    <x:tableColumn id="14" name="本级碎片"/>
    <x:tableColumn id="15" name="累计经验"/>
    <x:tableColumn id="16" name="累计金币"/>
    <x:tableColumn id="17" name="累计碎片"/>
    <x:tableColumn id="18" name="战力偏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nsterStats" displayName="MonsterStats" ref="A12:P1512" totalsRowShown="0">
  <x:autoFilter ref="A12:P1512"/>
  <x:tableColumns count="16">
    <x:tableColumn id="1" name="怪物ID/模型"/>
    <x:tableColumn id="2" name="名称"/>
    <x:tableColumn id="3" name="类型建议"/>
    <x:tableColumn id="4" name="等级"/>
    <x:tableColumn id="5" name="系数行"/>
    <x:tableColumn id="6" name="生命"/>
    <x:tableColumn id="7" name="攻击"/>
    <x:tableColumn id="8" name="生命系数"/>
    <x:tableColumn id="9" name="攻击系数"/>
    <x:tableColumn id="10" name="蓝卡标准攻击"/>
    <x:tableColumn id="11" name="蓝卡标准生命"/>
    <x:tableColumn id="12" name="蓝卡击杀次数"/>
    <x:tableColumn id="13" name="蓝卡承伤次数"/>
    <x:tableColumn id="14" name="紫卡击杀次数"/>
    <x:tableColumn id="15" name="橙卡击杀次数"/>
    <x:tableColumn id="16" name="定位/例外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evelPlan" displayName="LevelPlan" ref="A12:W67" totalsRowShown="0">
  <x:autoFilter ref="A12:W67"/>
  <x:tableColumns count="23">
    <x:tableColumn id="1" name="章节"/>
    <x:tableColumn id="2" name="关卡ID"/>
    <x:tableColumn id="3" name="关卡显示名"/>
    <x:tableColumn id="4" name="类型"/>
    <x:tableColumn id="5" name="章内序号"/>
    <x:tableColumn id="6" name="当前怪物等级"/>
    <x:tableColumn id="7" name="建议怪物等级"/>
    <x:tableColumn id="8" name="相比上一主关"/>
    <x:tableColumn id="9" name="蓝卡推荐等级"/>
    <x:tableColumn id="10" name="紫卡推荐等级"/>
    <x:tableColumn id="11" name="橙卡推荐等级"/>
    <x:tableColumn id="12" name="节点说明"/>
    <x:tableColumn id="13" name="标准小怪生命"/>
    <x:tableColumn id="14" name="标准小怪攻击"/>
    <x:tableColumn id="15" name="精英生命"/>
    <x:tableColumn id="16" name="BOSS生命"/>
    <x:tableColumn id="17" name="实际地图路径"/>
    <x:tableColumn id="18" name="主流程位置"/>
    <x:tableColumn id="19" name="已过台阶数"/>
    <x:tableColumn id="20" name="已过正常步"/>
    <x:tableColumn id="21" name="章内参数行"/>
    <x:tableColumn id="22" name="蓝卡目标战力"/>
    <x:tableColumn id="23" name="等级校验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CumulativeProgress" displayName="CumulativeProgress" ref="A98:AI153" totalsRowShown="0">
  <x:autoFilter ref="A98:AI153"/>
  <x:tableColumns count="35">
    <x:tableColumn id="1" name="序号"/>
    <x:tableColumn id="2" name="关卡ID"/>
    <x:tableColumn id="3" name="关卡"/>
    <x:tableColumn id="4" name="蓝卡推荐"/>
    <x:tableColumn id="5" name="紫卡推荐"/>
    <x:tableColumn id="6" name="橙卡推荐"/>
    <x:tableColumn id="7" name="累计勇气经验"/>
    <x:tableColumn id="8" name="累计机敏经验"/>
    <x:tableColumn id="9" name="累计坚毅经验"/>
    <x:tableColumn id="10" name="累计金币"/>
    <x:tableColumn id="11" name="累计鱼干"/>
    <x:tableColumn id="12" name="累计钻石"/>
    <x:tableColumn id="13" name="可完成抽数"/>
    <x:tableColumn id="14" name="余鱼干"/>
    <x:tableColumn id="15" name="余钻石"/>
    <x:tableColumn id="16" name="蓝片/英雄期望"/>
    <x:tableColumn id="17" name="紫片/英雄期望"/>
    <x:tableColumn id="18" name="橙片/英雄期望"/>
    <x:tableColumn id="19" name="蓝经验可达"/>
    <x:tableColumn id="20" name="紫经验可达"/>
    <x:tableColumn id="21" name="橙经验可达"/>
    <x:tableColumn id="22" name="蓝金币可达"/>
    <x:tableColumn id="23" name="紫金币可达"/>
    <x:tableColumn id="24" name="橙金币可达"/>
    <x:tableColumn id="25" name="蓝碎片可达"/>
    <x:tableColumn id="26" name="紫碎片可达"/>
    <x:tableColumn id="27" name="橙碎片可达"/>
    <x:tableColumn id="28" name="蓝实际可达"/>
    <x:tableColumn id="29" name="紫实际可达"/>
    <x:tableColumn id="30" name="橙实际可达"/>
    <x:tableColumn id="31" name="主力经验覆盖"/>
    <x:tableColumn id="32" name="三人金币覆盖"/>
    <x:tableColumn id="33" name="三蓝实际金币余量"/>
    <x:tableColumn id="34" name="蓝片需求覆盖"/>
    <x:tableColumn id="35" name="经验待补/职业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7" name="LevelRewards" displayName="LevelRewards" ref="A38:S93" totalsRowShown="0">
  <x:autoFilter ref="A38:S93"/>
  <x:tableColumns count="19">
    <x:tableColumn id="1" name="序号"/>
    <x:tableColumn id="2" name="章"/>
    <x:tableColumn id="3" name="关卡ID"/>
    <x:tableColumn id="4" name="关卡名称"/>
    <x:tableColumn id="5" name="类型"/>
    <x:tableColumn id="6" name="蓝卡推荐"/>
    <x:tableColumn id="7" name="胜利勇气经验"/>
    <x:tableColumn id="8" name="胜利机敏经验"/>
    <x:tableColumn id="9" name="胜利坚毅经验"/>
    <x:tableColumn id="10" name="胜利金币"/>
    <x:tableColumn id="11" name="失败勇气经验"/>
    <x:tableColumn id="12" name="失败机敏经验"/>
    <x:tableColumn id="13" name="失败坚毅经验"/>
    <x:tableColumn id="14" name="失败金币"/>
    <x:tableColumn id="15" name="首通鱼干"/>
    <x:tableColumn id="16" name="首通钻石"/>
    <x:tableColumn id="17" name="奖励节点"/>
    <x:tableColumn id="18" name="经验分配权重"/>
    <x:tableColumn id="19" name="首通钻石折算抽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78639c3142b44cb" /><Relationship Type="http://schemas.openxmlformats.org/officeDocument/2006/relationships/table" Target="/xl/tables/table1.xml" Id="R5e652b70e1a04e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5900e19532f47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4d18fd08bfe24121" /><Relationship Type="http://schemas.openxmlformats.org/officeDocument/2006/relationships/table" Target="/xl/tables/table3.xml" Id="Rba4370dc25754f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91fe6e7ca8a44b65" /><Relationship Type="http://schemas.openxmlformats.org/officeDocument/2006/relationships/table" Target="/xl/tables/table4.xml" Id="Re2a1ba20ba1f426b" /><Relationship Type="http://schemas.openxmlformats.org/officeDocument/2006/relationships/table" Target="/xl/tables/table5.xml" Id="R0b70a2d8ee3d4f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fae458823c2847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45cde6d768924d7b" /></Relationships>
</file>

<file path=xl/worksheets/sheet1.xml><?xml version="1.0" encoding="utf-8"?>
<x:worksheet xmlns:x="http://schemas.openxmlformats.org/spreadsheetml/2006/main">
  <x:sheetPr>
    <x:tabColor rgb="FF304967"/>
  </x:sheetPr>
  <x:sheetViews>
    <x:sheetView showGridLines="0" workbookViewId="0"/>
  </x:sheetViews>
  <x:sheetFormatPr defaultRowHeight="15"/>
  <x:cols>
    <x:col min="1" max="1" width="13" customWidth="1"/>
    <x:col min="2" max="2" width="17" customWidth="1"/>
    <x:col min="3" max="3" width="13" customWidth="1"/>
    <x:col min="4" max="9" width="17" customWidth="1"/>
    <x:col min="10" max="10" width="20" customWidth="1"/>
    <x:col min="11" max="18" width="13" customWidth="1"/>
    <x:col min="19" max="21" width="14" customWidth="1"/>
    <x:col min="24" max="36" width="14" customWidth="1"/>
    <x:col min="37" max="37" width="26" customWidth="1"/>
    <x:col min="38" max="38" width="18" customWidth="1"/>
    <x:col min="39" max="49" width="14" customWidth="1"/>
  </x:cols>
  <x:sheetData>
    <x:row r="1" ht="21.950000762939453" customHeight="1">
      <x:c r="A1" s="6"/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</x:row>
    <x:row r="2" ht="21.950000762939453" customHeight="1">
      <x:c r="A2" s="2" t="s">
        <x:v>0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</x:row>
    <x:row r="3" ht="21.950000762939453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</x:row>
    <x:row r="4" ht="27" customHeight="1">
      <x:c r="A4" s="5" t="s">
        <x:v>1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6"/>
      <x:c r="N4" s="6"/>
      <x:c r="O4" s="6"/>
      <x:c r="P4" s="6"/>
      <x:c r="Q4" s="6"/>
      <x:c r="R4" s="6"/>
      <x:c r="S4" s="22" t="s">
        <x:v>2</x:v>
      </x:c>
      <x:c r="T4" s="22"/>
      <x:c r="U4" s="22"/>
      <x:c r="V4" s="29"/>
      <x:c r="W4" s="29"/>
    </x:row>
    <x:row r="5" ht="27" customHeight="1">
      <x:c r="A5" s="5" t="s">
        <x:v>3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6"/>
      <x:c r="N5" s="6"/>
      <x:c r="O5" s="6"/>
      <x:c r="P5" s="6"/>
      <x:c r="Q5" s="6"/>
      <x:c r="R5" s="6"/>
      <x:c r="S5" s="22" t="s">
        <x:v>4</x:v>
      </x:c>
      <x:c r="T5" s="22"/>
      <x:c r="U5" s="22"/>
      <x:c r="V5" s="29"/>
      <x:c r="W5" s="29"/>
    </x:row>
    <x:row r="6" ht="27" customHeight="1">
      <x:c r="A6" s="5" t="s">
        <x:v>5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6"/>
      <x:c r="N6" s="6"/>
      <x:c r="O6" s="6"/>
      <x:c r="P6" s="6"/>
      <x:c r="Q6" s="6"/>
      <x:c r="R6" s="6"/>
      <x:c r="S6" s="22" t="s">
        <x:v>6</x:v>
      </x:c>
      <x:c r="T6" s="22"/>
      <x:c r="U6" s="22"/>
      <x:c r="V6" s="29"/>
      <x:c r="W6" s="29"/>
    </x:row>
    <x:row r="7" ht="21.950000762939453" customHeight="1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22" t="s">
        <x:v>7</x:v>
      </x:c>
      <x:c r="T7" s="22"/>
      <x:c r="U7" s="22"/>
      <x:c r="V7" s="29"/>
      <x:c r="W7" s="29"/>
    </x:row>
    <x:row r="8" ht="23.100000381469727" customHeight="1">
      <x:c r="A8" s="8" t="s">
        <x:v>8</x:v>
      </x:c>
      <x:c r="B8" s="8" t="s">
        <x:v>9</x:v>
      </x:c>
      <x:c r="C8" s="8" t="s">
        <x:v>10</x:v>
      </x:c>
      <x:c r="D8" s="8" t="s">
        <x:v>11</x:v>
      </x:c>
      <x:c r="E8" s="8" t="s">
        <x:v>12</x:v>
      </x:c>
      <x:c r="F8" s="8" t="s">
        <x:v>13</x:v>
      </x:c>
      <x:c r="G8" s="6"/>
      <x:c r="H8" s="8" t="s">
        <x:v>14</x:v>
      </x:c>
      <x:c r="I8" s="8" t="s">
        <x:v>15</x:v>
      </x:c>
      <x:c r="J8" s="8" t="s">
        <x:v>16</x:v>
      </x:c>
      <x:c r="K8" s="6"/>
      <x:c r="L8" s="6"/>
      <x:c r="M8" s="6"/>
      <x:c r="N8" s="6" t="s">
        <x:v>17</x:v>
      </x:c>
      <x:c r="O8" s="6"/>
      <x:c r="P8" s="6"/>
      <x:c r="Q8" s="6"/>
      <x:c r="R8" s="6"/>
      <x:c r="T8" s="22"/>
      <x:c r="U8" s="22"/>
      <x:c r="V8" s="29"/>
      <x:c r="W8" s="29"/>
    </x:row>
    <x:row r="9" ht="23.100000381469727" customHeight="1">
      <x:c r="A9" s="6" t="s">
        <x:v>18</x:v>
      </x:c>
      <x:c r="B9" s="6">
        <x:v>10</x:v>
      </x:c>
      <x:c r="C9" s="6">
        <x:f>英雄升级调参!$E$75</x:f>
        <x:v>357</x:v>
      </x:c>
      <x:c r="D9" s="6">
        <x:f>英雄升级调参!$F$75</x:f>
        <x:v>3570</x:v>
      </x:c>
      <x:c r="E9" s="6">
        <x:f>英雄升级调参!$G$75</x:f>
        <x:v>1274490</x:v>
      </x:c>
      <x:c r="F9" s="6" t="str">
        <x:f>IF(AND(C9=$C$9,D9=$D$9),"一致","不一致")</x:f>
        <x:v>一致</x:v>
      </x:c>
      <x:c r="G9" s="6"/>
      <x:c r="H9" s="6" t="s">
        <x:v>19</x:v>
      </x:c>
      <x:c r="I9" s="6" t="n">
        <x:f>养成消耗调参!$P$197</x:f>
        <x:v>1000</x:v>
      </x:c>
      <x:c r="J9" s="6" t="s">
        <x:v>20</x:v>
      </x:c>
      <x:c r="K9" s="6"/>
      <x:c r="L9" s="6"/>
      <x:c r="M9" s="6"/>
      <x:c r="N9" s="6" t="s">
        <x:v>21</x:v>
      </x:c>
      <x:c r="O9" s="6"/>
      <x:c r="P9" s="6"/>
      <x:c r="Q9" s="6"/>
      <x:c r="R9" s="6"/>
      <x:c r="T9" s="22"/>
      <x:c r="U9" s="22"/>
      <x:c r="V9" s="29"/>
      <x:c r="W9" s="29"/>
    </x:row>
    <x:row r="10" ht="23.100000381469727" customHeight="1">
      <x:c r="A10" s="6" t="s">
        <x:v>22</x:v>
      </x:c>
      <x:c r="B10" s="6">
        <x:v>5</x:v>
      </x:c>
      <x:c r="C10" s="6">
        <x:f>英雄升级调参!$H$70</x:f>
        <x:v>357</x:v>
      </x:c>
      <x:c r="D10" s="6">
        <x:f>英雄升级调参!$I$70</x:f>
        <x:v>3570</x:v>
      </x:c>
      <x:c r="E10" s="6">
        <x:f>英雄升级调参!$J$70</x:f>
        <x:v>1274490</x:v>
      </x:c>
      <x:c r="F10" s="6" t="str">
        <x:f>IF(AND(C10=$C$9,D10=$D$9),"一致","不一致")</x:f>
        <x:v>一致</x:v>
      </x:c>
      <x:c r="G10" s="6"/>
      <x:c r="H10" s="6" t="s">
        <x:v>23</x:v>
      </x:c>
      <x:c r="I10" s="6" t="n">
        <x:f>养成消耗调参!$H$11</x:f>
        <x:v>20</x:v>
      </x:c>
      <x:c r="J10" s="6" t="s">
        <x:v>24</x:v>
      </x:c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6"/>
    </x:row>
    <x:row r="11" ht="23.100000381469727" customHeight="1">
      <x:c r="A11" s="6" t="s">
        <x:v>25</x:v>
      </x:c>
      <x:c r="B11" s="6">
        <x:v>1</x:v>
      </x:c>
      <x:c r="C11" s="6">
        <x:f>英雄升级调参!$K$66</x:f>
        <x:v>357</x:v>
      </x:c>
      <x:c r="D11" s="6">
        <x:f>英雄升级调参!$L$66</x:f>
        <x:v>3570</x:v>
      </x:c>
      <x:c r="E11" s="6">
        <x:f>英雄升级调参!$M$66</x:f>
        <x:v>1274490</x:v>
      </x:c>
      <x:c r="F11" s="6" t="str">
        <x:f>IF(AND(C11=$C$9,D11=$D$9),"一致","不一致")</x:f>
        <x:v>一致</x:v>
      </x:c>
      <x:c r="G11" s="6"/>
      <x:c r="H11" s="6" t="s">
        <x:v>26</x:v>
      </x:c>
      <x:c r="I11" s="6" t="n">
        <x:f>IF(养成消耗调参!$H$11&gt;0,ROUNDUP(养成消耗调参!$P$197/养成消耗调参!$H$11,0),"未设产出")</x:f>
        <x:v>50</x:v>
      </x:c>
      <x:c r="J11" s="6" t="s">
        <x:v>27</x:v>
      </x:c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</x:row>
    <x:row r="12" ht="32.099998474121094" customHeight="1">
      <x:c r="S12" s="6"/>
      <x:c r="T12" s="6"/>
      <x:c r="U12" s="6"/>
    </x:row>
    <x:row r="13" ht="36" customHeight="1">
      <x:c r="A13" s="16" t="s">
        <x:v>28</x:v>
      </x:c>
      <x:c r="B13" s="16" t="s">
        <x:v>29</x:v>
      </x:c>
      <x:c r="C13" s="16" t="s">
        <x:v>30</x:v>
      </x:c>
      <x:c r="D13" s="16" t="s">
        <x:v>31</x:v>
      </x:c>
      <x:c r="E13" s="16" t="s">
        <x:v>32</x:v>
      </x:c>
      <x:c r="F13" s="16" t="s">
        <x:v>33</x:v>
      </x:c>
      <x:c r="G13" s="16" t="s">
        <x:v>34</x:v>
      </x:c>
      <x:c r="H13" s="16" t="s">
        <x:v>35</x:v>
      </x:c>
    </x:row>
    <x:row r="14" ht="21.950000762939453" customHeight="1">
      <x:c r="A14" s="19">
        <x:v>1</x:v>
      </x:c>
      <x:c r="B14" s="21">
        <x:f>英雄升级调参!$K$66</x:f>
        <x:v>357</x:v>
      </x:c>
      <x:c r="C14" s="21">
        <x:f>英雄升级调参!$L$66</x:f>
        <x:v>3570</x:v>
      </x:c>
      <x:c r="D14" s="20" t="n">
        <x:f>IF(英雄升级调参!$M$66&gt;MAX(英雄升级调参!$J$66:$J$115),"超过50级",IF(英雄升级调参!$M$66=MAX(英雄升级调参!$J$66:$J$115),50,COUNTIFS(英雄升级调参!$J$66:$J$115,"&lt;="&amp;英雄升级调参!$M$66)+(英雄升级调参!$M$66-INDEX(英雄升级调参!$J$66:$J$115,COUNTIFS(英雄升级调参!$J$66:$J$115,"&lt;="&amp;英雄升级调参!$M$66)))/(INDEX(英雄升级调参!$J$66:$J$115,COUNTIFS(英雄升级调参!$J$66:$J$115,"&lt;="&amp;英雄升级调参!$M$66)+1)-INDEX(英雄升级调参!$J$66:$J$115,COUNTIFS(英雄升级调参!$J$66:$J$115,"&lt;="&amp;英雄升级调参!$M$66)))))</x:f>
        <x:v>5</x:v>
      </x:c>
      <x:c r="E14" s="20" t="n">
        <x:f>IF(英雄升级调参!$M$66&gt;MAX(英雄升级调参!$G$66:$G$115),"超过50级",IF(英雄升级调参!$M$66=MAX(英雄升级调参!$G$66:$G$115),50,COUNTIFS(英雄升级调参!$G$66:$G$115,"&lt;="&amp;英雄升级调参!$M$66)+(英雄升级调参!$M$66-INDEX(英雄升级调参!$G$66:$G$115,COUNTIFS(英雄升级调参!$G$66:$G$115,"&lt;="&amp;英雄升级调参!$M$66)))/(INDEX(英雄升级调参!$G$66:$G$115,COUNTIFS(英雄升级调参!$G$66:$G$115,"&lt;="&amp;英雄升级调参!$M$66)+1)-INDEX(英雄升级调参!$G$66:$G$115,COUNTIFS(英雄升级调参!$G$66:$G$115,"&lt;="&amp;英雄升级调参!$M$66)))))</x:f>
        <x:v>10</x:v>
      </x:c>
      <x:c r="F14" s="19" t="s">
        <x:v>36</x:v>
      </x:c>
      <x:c r="G14" s="19" t="n">
        <x:f t="shared" ref="G14:G45" si="0">IF(ISNUMBER(D14),ROUNDUP(D14,0),"超过50级")</x:f>
        <x:v>5</x:v>
      </x:c>
      <x:c r="H14" s="19" t="n">
        <x:f t="shared" ref="H14:H45" si="1">IF(ISNUMBER(E14),ROUNDUP(E14,0),"超过50级")</x:f>
        <x:v>10</x:v>
      </x:c>
    </x:row>
    <x:row r="15" ht="21.950000762939453" customHeight="1">
      <x:c r="A15" s="19">
        <x:v>2</x:v>
      </x:c>
      <x:c r="B15" s="21">
        <x:f>英雄升级调参!$K$67</x:f>
        <x:v>402</x:v>
      </x:c>
      <x:c r="C15" s="21">
        <x:f>英雄升级调参!$L$67</x:f>
        <x:v>4020</x:v>
      </x:c>
      <x:c r="D15" s="20">
        <x:f>IF(英雄升级调参!$M$67&gt;MAX(英雄升级调参!$J$66:$J$115),"超过50级",IF(英雄升级调参!$M$67=MAX(英雄升级调参!$J$66:$J$115),50,COUNTIFS(英雄升级调参!$J$66:$J$115,"&lt;="&amp;英雄升级调参!$M$67)+(英雄升级调参!$M$67-INDEX(英雄升级调参!$J$66:$J$115,COUNTIFS(英雄升级调参!$J$66:$J$115,"&lt;="&amp;英雄升级调参!$M$67)))/(INDEX(英雄升级调参!$J$66:$J$115,COUNTIFS(英雄升级调参!$J$66:$J$115,"&lt;="&amp;英雄升级调参!$M$67)+1)-INDEX(英雄升级调参!$J$66:$J$115,COUNTIFS(英雄升级调参!$J$66:$J$115,"&lt;="&amp;英雄升级调参!$M$67)))))</x:f>
        <x:v>6.099744695835901</x:v>
      </x:c>
      <x:c r="E15" s="20">
        <x:f>IF(英雄升级调参!$M$67&gt;MAX(英雄升级调参!$G$66:$G$115),"超过50级",IF(英雄升级调参!$M$67=MAX(英雄升级调参!$G$66:$G$115),50,COUNTIFS(英雄升级调参!$G$66:$G$115,"&lt;="&amp;英雄升级调参!$M$67)+(英雄升级调参!$M$67-INDEX(英雄升级调参!$G$66:$G$115,COUNTIFS(英雄升级调参!$G$66:$G$115,"&lt;="&amp;英雄升级调参!$M$67)))/(INDEX(英雄升级调参!$G$66:$G$115,COUNTIFS(英雄升级调参!$G$66:$G$115,"&lt;="&amp;英雄升级调参!$M$67)+1)-INDEX(英雄升级调参!$G$66:$G$115,COUNTIFS(英雄升级调参!$G$66:$G$115,"&lt;="&amp;英雄升级调参!$M$67)))))</x:f>
        <x:v>11.241788321167883</x:v>
      </x:c>
      <x:c r="F15" s="19" t="s">
        <x:v>36</x:v>
      </x:c>
      <x:c r="G15" s="19">
        <x:f t="shared" si="0"/>
        <x:v>7</x:v>
      </x:c>
      <x:c r="H15" s="19">
        <x:f t="shared" si="1"/>
        <x:v>12</x:v>
      </x:c>
    </x:row>
    <x:row r="16" ht="21.950000762939453" customHeight="1">
      <x:c r="A16" s="19">
        <x:v>3</x:v>
      </x:c>
      <x:c r="B16" s="21">
        <x:f>英雄升级调参!$K$68</x:f>
        <x:v>447</x:v>
      </x:c>
      <x:c r="C16" s="21">
        <x:f>英雄升级调参!$L$68</x:f>
        <x:v>4470</x:v>
      </x:c>
      <x:c r="D16" s="20">
        <x:f>IF(英雄升级调参!$M$68&gt;MAX(英雄升级调参!$J$66:$J$115),"超过50级",IF(英雄升级调参!$M$68=MAX(英雄升级调参!$J$66:$J$115),50,COUNTIFS(英雄升级调参!$J$66:$J$115,"&lt;="&amp;英雄升级调参!$M$68)+(英雄升级调参!$M$68-INDEX(英雄升级调参!$J$66:$J$115,COUNTIFS(英雄升级调参!$J$66:$J$115,"&lt;="&amp;英雄升级调参!$M$68)))/(INDEX(英雄升级调参!$J$66:$J$115,COUNTIFS(英雄升级调参!$J$66:$J$115,"&lt;="&amp;英雄升级调参!$M$68)+1)-INDEX(英雄升级调参!$J$66:$J$115,COUNTIFS(英雄升级调参!$J$66:$J$115,"&lt;="&amp;英雄升级调参!$M$68)))))</x:f>
        <x:v>7.2012674474570835</x:v>
      </x:c>
      <x:c r="E16" s="20">
        <x:f>IF(英雄升级调参!$M$68&gt;MAX(英雄升级调参!$G$66:$G$115),"超过50级",IF(英雄升级调参!$M$68=MAX(英雄升级调参!$G$66:$G$115),50,COUNTIFS(英雄升级调参!$G$66:$G$115,"&lt;="&amp;英雄升级调参!$M$68)+(英雄升级调参!$M$68-INDEX(英雄升级调参!$G$66:$G$115,COUNTIFS(英雄升级调参!$G$66:$G$115,"&lt;="&amp;英雄升级调参!$M$68)))/(INDEX(英雄升级调参!$G$66:$G$115,COUNTIFS(英雄升级调参!$G$66:$G$115,"&lt;="&amp;英雄升级调参!$M$68)+1)-INDEX(英雄升级调参!$G$66:$G$115,COUNTIFS(英雄升级调参!$G$66:$G$115,"&lt;="&amp;英雄升级调参!$M$68)))))</x:f>
        <x:v>12.48993288590604</x:v>
      </x:c>
      <x:c r="F16" s="19" t="s">
        <x:v>36</x:v>
      </x:c>
      <x:c r="G16" s="19">
        <x:f t="shared" si="0"/>
        <x:v>8</x:v>
      </x:c>
      <x:c r="H16" s="19">
        <x:f t="shared" si="1"/>
        <x:v>13</x:v>
      </x:c>
    </x:row>
    <x:row r="17" ht="21.950000762939453" customHeight="1">
      <x:c r="A17" s="19">
        <x:v>4</x:v>
      </x:c>
      <x:c r="B17" s="21">
        <x:f>英雄升级调参!$K$69</x:f>
        <x:v>492</x:v>
      </x:c>
      <x:c r="C17" s="21">
        <x:f>英雄升级调参!$L$69</x:f>
        <x:v>4920</x:v>
      </x:c>
      <x:c r="D17" s="20">
        <x:f>IF(英雄升级调参!$M$69&gt;MAX(英雄升级调参!$J$66:$J$115),"超过50级",IF(英雄升级调参!$M$69=MAX(英雄升级调参!$J$66:$J$115),50,COUNTIFS(英雄升级调参!$J$66:$J$115,"&lt;="&amp;英雄升级调参!$M$69)+(英雄升级调参!$M$69-INDEX(英雄升级调参!$J$66:$J$115,COUNTIFS(英雄升级调参!$J$66:$J$115,"&lt;="&amp;英雄升级调参!$M$69)))/(INDEX(英雄升级调参!$J$66:$J$115,COUNTIFS(英雄升级调参!$J$66:$J$115,"&lt;="&amp;英雄升级调参!$M$69)+1)-INDEX(英雄升级调参!$J$66:$J$115,COUNTIFS(英雄升级调参!$J$66:$J$115,"&lt;="&amp;英雄升级调参!$M$69)))))</x:f>
        <x:v>8.304133205628823</x:v>
      </x:c>
      <x:c r="E17" s="20">
        <x:f>IF(英雄升级调参!$M$69&gt;MAX(英雄升级调参!$G$66:$G$115),"超过50级",IF(英雄升级调参!$M$69=MAX(英雄升级调参!$G$66:$G$115),50,COUNTIFS(英雄升级调参!$G$66:$G$115,"&lt;="&amp;英雄升级调参!$M$69)+(英雄升级调参!$M$69-INDEX(英雄升级调参!$G$66:$G$115,COUNTIFS(英雄升级调参!$G$66:$G$115,"&lt;="&amp;英雄升级调参!$M$69)))/(INDEX(英雄升级调参!$G$66:$G$115,COUNTIFS(英雄升级调参!$G$66:$G$115,"&lt;="&amp;英雄升级调参!$M$69)+1)-INDEX(英雄升级调参!$G$66:$G$115,COUNTIFS(英雄升级调参!$G$66:$G$115,"&lt;="&amp;英雄升级调参!$M$69)))))</x:f>
        <x:v>13.743012422360248</x:v>
      </x:c>
      <x:c r="F17" s="19" t="s">
        <x:v>36</x:v>
      </x:c>
      <x:c r="G17" s="19">
        <x:f t="shared" si="0"/>
        <x:v>9</x:v>
      </x:c>
      <x:c r="H17" s="19">
        <x:f t="shared" si="1"/>
        <x:v>14</x:v>
      </x:c>
    </x:row>
    <x:row r="18" ht="21.950000762939453" customHeight="1">
      <x:c r="A18" s="19">
        <x:v>5</x:v>
      </x:c>
      <x:c r="B18" s="21">
        <x:f>英雄升级调参!$K$70</x:f>
        <x:v>627</x:v>
      </x:c>
      <x:c r="C18" s="21">
        <x:f>英雄升级调参!$L$70</x:f>
        <x:v>6270</x:v>
      </x:c>
      <x:c r="D18" s="20">
        <x:f>IF(英雄升级调参!$M$70&gt;MAX(英雄升级调参!$J$66:$J$115),"超过50级",IF(英雄升级调参!$M$70=MAX(英雄升级调参!$J$66:$J$115),50,COUNTIFS(英雄升级调参!$J$66:$J$115,"&lt;="&amp;英雄升级调参!$M$70)+(英雄升级调参!$M$70-INDEX(英雄升级调参!$J$66:$J$115,COUNTIFS(英雄升级调参!$J$66:$J$115,"&lt;="&amp;英雄升级调参!$M$70)))/(INDEX(英雄升级调参!$J$66:$J$115,COUNTIFS(英雄升级调参!$J$66:$J$115,"&lt;="&amp;英雄升级调参!$M$70)+1)-INDEX(英雄升级调参!$J$66:$J$115,COUNTIFS(英雄升级调参!$J$66:$J$115,"&lt;="&amp;英雄升级调参!$M$70)))))</x:f>
        <x:v>9.86379088279386</x:v>
      </x:c>
      <x:c r="E18" s="20">
        <x:f>IF(英雄升级调参!$M$70&gt;MAX(英雄升级调参!$G$66:$G$115),"超过50级",IF(英雄升级调参!$M$70=MAX(英雄升级调参!$G$66:$G$115),50,COUNTIFS(英雄升级调参!$G$66:$G$115,"&lt;="&amp;英雄升级调参!$M$70)+(英雄升级调参!$M$70-INDEX(英雄升级调参!$G$66:$G$115,COUNTIFS(英雄升级调参!$G$66:$G$115,"&lt;="&amp;英雄升级调参!$M$70)))/(INDEX(英雄升级调参!$G$66:$G$115,COUNTIFS(英雄升级调参!$G$66:$G$115,"&lt;="&amp;英雄升级调参!$M$70)+1)-INDEX(英雄升级调参!$G$66:$G$115,COUNTIFS(英雄升级调参!$G$66:$G$115,"&lt;="&amp;英雄升级调参!$M$70)))))</x:f>
        <x:v>15.39144893111639</x:v>
      </x:c>
      <x:c r="F18" s="19" t="s">
        <x:v>36</x:v>
      </x:c>
      <x:c r="G18" s="19">
        <x:f t="shared" si="0"/>
        <x:v>10</x:v>
      </x:c>
      <x:c r="H18" s="19">
        <x:f t="shared" si="1"/>
        <x:v>16</x:v>
      </x:c>
    </x:row>
    <x:row r="19" ht="21.950000762939453" customHeight="1">
      <x:c r="A19" s="19">
        <x:v>6</x:v>
      </x:c>
      <x:c r="B19" s="21">
        <x:f>英雄升级调参!$K$71</x:f>
        <x:v>695</x:v>
      </x:c>
      <x:c r="C19" s="21">
        <x:f>英雄升级调参!$L$71</x:f>
        <x:v>6945</x:v>
      </x:c>
      <x:c r="D19" s="20">
        <x:f>IF(英雄升级调参!$M$71&gt;MAX(英雄升级调参!$J$66:$J$115),"超过50级",IF(英雄升级调参!$M$71=MAX(英雄升级调参!$J$66:$J$115),50,COUNTIFS(英雄升级调参!$J$66:$J$115,"&lt;="&amp;英雄升级调参!$M$71)+(英雄升级调参!$M$71-INDEX(英雄升级调参!$J$66:$J$115,COUNTIFS(英雄升级调参!$J$66:$J$115,"&lt;="&amp;英雄升级调参!$M$71)))/(INDEX(英雄升级调参!$J$66:$J$115,COUNTIFS(英雄升级调参!$J$66:$J$115,"&lt;="&amp;英雄升级调参!$M$71)+1)-INDEX(英雄升级调参!$J$66:$J$115,COUNTIFS(英雄升级调参!$J$66:$J$115,"&lt;="&amp;英雄升级调参!$M$71)))))</x:f>
        <x:v>10.971174199975096</x:v>
      </x:c>
      <x:c r="E19" s="20">
        <x:f>IF(英雄升级调参!$M$71&gt;MAX(英雄升级调参!$G$66:$G$115),"超过50级",IF(英雄升级调参!$M$71=MAX(英雄升级调参!$G$66:$G$115),50,COUNTIFS(英雄升级调参!$G$66:$G$115,"&lt;="&amp;英雄升级调参!$M$71)+(英雄升级调参!$M$71-INDEX(英雄升级调参!$G$66:$G$115,COUNTIFS(英雄升级调参!$G$66:$G$115,"&lt;="&amp;英雄升级调参!$M$71)))/(INDEX(英雄升级调参!$G$66:$G$115,COUNTIFS(英雄升级调参!$G$66:$G$115,"&lt;="&amp;英雄升级调参!$M$71)+1)-INDEX(英雄升级调参!$G$66:$G$115,COUNTIFS(英雄升级调参!$G$66:$G$115,"&lt;="&amp;英雄升级调参!$M$71)))))</x:f>
        <x:v>16.90271002710027</x:v>
      </x:c>
      <x:c r="F19" s="19" t="s">
        <x:v>36</x:v>
      </x:c>
      <x:c r="G19" s="19">
        <x:f t="shared" si="0"/>
        <x:v>11</x:v>
      </x:c>
      <x:c r="H19" s="19">
        <x:f t="shared" si="1"/>
        <x:v>17</x:v>
      </x:c>
    </x:row>
    <x:row r="20" ht="21.950000762939453" customHeight="1">
      <x:c r="A20" s="19">
        <x:v>7</x:v>
      </x:c>
      <x:c r="B20" s="21">
        <x:f>英雄升级调参!$K$72</x:f>
        <x:v>763</x:v>
      </x:c>
      <x:c r="C20" s="21">
        <x:f>英雄升级调参!$L$72</x:f>
        <x:v>7620</x:v>
      </x:c>
      <x:c r="D20" s="20">
        <x:f>IF(英雄升级调参!$M$72&gt;MAX(英雄升级调参!$J$66:$J$115),"超过50级",IF(英雄升级调参!$M$72=MAX(英雄升级调参!$J$66:$J$115),50,COUNTIFS(英雄升级调参!$J$66:$J$115,"&lt;="&amp;英雄升级调参!$M$72)+(英雄升级调参!$M$72-INDEX(英雄升级调参!$J$66:$J$115,COUNTIFS(英雄升级调参!$J$66:$J$115,"&lt;="&amp;英雄升级调参!$M$72)))/(INDEX(英雄升级调参!$J$66:$J$115,COUNTIFS(英雄升级调参!$J$66:$J$115,"&lt;="&amp;英雄升级调参!$M$72)+1)-INDEX(英雄升级调参!$J$66:$J$115,COUNTIFS(英雄升级调参!$J$66:$J$115,"&lt;="&amp;英雄升级调参!$M$72)))))</x:f>
        <x:v>12.22079268074765</x:v>
      </x:c>
      <x:c r="E20" s="20">
        <x:f>IF(英雄升级调参!$M$72&gt;MAX(英雄升级调参!$G$66:$G$115),"超过50级",IF(英雄升级调参!$M$72=MAX(英雄升级调参!$G$66:$G$115),50,COUNTIFS(英雄升级调参!$G$66:$G$115,"&lt;="&amp;英雄升级调参!$M$72)+(英雄升级调参!$M$72-INDEX(英雄升级调参!$G$66:$G$115,COUNTIFS(英雄升级调参!$G$66:$G$115,"&lt;="&amp;英雄升级调参!$M$72)))/(INDEX(英雄升级调参!$G$66:$G$115,COUNTIFS(英雄升级调参!$G$66:$G$115,"&lt;="&amp;英雄升级调参!$M$72)+1)-INDEX(英雄升级调参!$G$66:$G$115,COUNTIFS(英雄升级调参!$G$66:$G$115,"&lt;="&amp;英雄升级调参!$M$72)))))</x:f>
        <x:v>18.404000869754295</x:v>
      </x:c>
      <x:c r="F20" s="19" t="s">
        <x:v>36</x:v>
      </x:c>
      <x:c r="G20" s="19">
        <x:f t="shared" si="0"/>
        <x:v>13</x:v>
      </x:c>
      <x:c r="H20" s="19">
        <x:f t="shared" si="1"/>
        <x:v>19</x:v>
      </x:c>
    </x:row>
    <x:row r="21" ht="21.950000762939453" customHeight="1">
      <x:c r="A21" s="19">
        <x:v>8</x:v>
      </x:c>
      <x:c r="B21" s="21">
        <x:f>英雄升级调参!$K$73</x:f>
        <x:v>831</x:v>
      </x:c>
      <x:c r="C21" s="21">
        <x:f>英雄升级调参!$L$73</x:f>
        <x:v>8295</x:v>
      </x:c>
      <x:c r="D21" s="20">
        <x:f>IF(英雄升级调参!$M$73&gt;MAX(英雄升级调参!$J$66:$J$115),"超过50级",IF(英雄升级调参!$M$73=MAX(英雄升级调参!$J$66:$J$115),50,COUNTIFS(英雄升级调参!$J$66:$J$115,"&lt;="&amp;英雄升级调参!$M$73)+(英雄升级调参!$M$73-INDEX(英雄升级调参!$J$66:$J$115,COUNTIFS(英雄升级调参!$J$66:$J$115,"&lt;="&amp;英雄升级调参!$M$73)))/(INDEX(英雄升级调参!$J$66:$J$115,COUNTIFS(英雄升级调参!$J$66:$J$115,"&lt;="&amp;英雄升级调参!$M$73)+1)-INDEX(英雄升级调参!$J$66:$J$115,COUNTIFS(英雄升级调参!$J$66:$J$115,"&lt;="&amp;英雄升级调参!$M$73)))))</x:f>
        <x:v>13.473400167084378</x:v>
      </x:c>
      <x:c r="E21" s="20">
        <x:f>IF(英雄升级调参!$M$73&gt;MAX(英雄升级调参!$G$66:$G$115),"超过50级",IF(英雄升级调参!$M$73=MAX(英雄升级调参!$G$66:$G$115),50,COUNTIFS(英雄升级调参!$G$66:$G$115,"&lt;="&amp;英雄升级调参!$M$73)+(英雄升级调参!$M$73-INDEX(英雄升级调参!$G$66:$G$115,COUNTIFS(英雄升级调参!$G$66:$G$115,"&lt;="&amp;英雄升级调参!$M$73)))/(INDEX(英雄升级调参!$G$66:$G$115,COUNTIFS(英雄升级调参!$G$66:$G$115,"&lt;="&amp;英雄升级调参!$M$73)+1)-INDEX(英雄升级调参!$G$66:$G$115,COUNTIFS(英雄升级调参!$G$66:$G$115,"&lt;="&amp;英雄升级调参!$M$73)))))</x:f>
        <x:v>19.28883051177272</x:v>
      </x:c>
      <x:c r="F21" s="19" t="s">
        <x:v>36</x:v>
      </x:c>
      <x:c r="G21" s="19">
        <x:f t="shared" si="0"/>
        <x:v>14</x:v>
      </x:c>
      <x:c r="H21" s="19">
        <x:f t="shared" si="1"/>
        <x:v>20</x:v>
      </x:c>
    </x:row>
    <x:row r="22" ht="21.950000762939453" customHeight="1">
      <x:c r="A22" s="19">
        <x:v>9</x:v>
      </x:c>
      <x:c r="B22" s="21">
        <x:f>英雄升级调参!$K$74</x:f>
        <x:v>899</x:v>
      </x:c>
      <x:c r="C22" s="21">
        <x:f>英雄升级调参!$L$74</x:f>
        <x:v>8970</x:v>
      </x:c>
      <x:c r="D22" s="20">
        <x:f>IF(英雄升级调参!$M$74&gt;MAX(英雄升级调参!$J$66:$J$115),"超过50级",IF(英雄升级调参!$M$74=MAX(英雄升级调参!$J$66:$J$115),50,COUNTIFS(英雄升级调参!$J$66:$J$115,"&lt;="&amp;英雄升级调参!$M$74)+(英雄升级调参!$M$74-INDEX(英雄升级调参!$J$66:$J$115,COUNTIFS(英雄升级调参!$J$66:$J$115,"&lt;="&amp;英雄升级调参!$M$74)))/(INDEX(英雄升级调参!$J$66:$J$115,COUNTIFS(英雄升级调参!$J$66:$J$115,"&lt;="&amp;英雄升级调参!$M$74)+1)-INDEX(英雄升级调参!$J$66:$J$115,COUNTIFS(英雄升级调参!$J$66:$J$115,"&lt;="&amp;英雄升级调参!$M$74)))))</x:f>
        <x:v>14.229408807263479</x:v>
      </x:c>
      <x:c r="E22" s="20">
        <x:f>IF(英雄升级调参!$M$74&gt;MAX(英雄升级调参!$G$66:$G$115),"超过50级",IF(英雄升级调参!$M$74=MAX(英雄升级调参!$G$66:$G$115),50,COUNTIFS(英雄升级调参!$G$66:$G$115,"&lt;="&amp;英雄升级调参!$M$74)+(英雄升级调参!$M$74-INDEX(英雄升级调参!$G$66:$G$115,COUNTIFS(英雄升级调参!$G$66:$G$115,"&lt;="&amp;英雄升级调参!$M$74)))/(INDEX(英雄升级调参!$G$66:$G$115,COUNTIFS(英雄升级调参!$G$66:$G$115,"&lt;="&amp;英雄升级调参!$M$74)+1)-INDEX(英雄升级调参!$G$66:$G$115,COUNTIFS(英雄升级调参!$G$66:$G$115,"&lt;="&amp;英雄升级调参!$M$74)))))</x:f>
        <x:v>19.79514821301161</x:v>
      </x:c>
      <x:c r="F22" s="19" t="s">
        <x:v>36</x:v>
      </x:c>
      <x:c r="G22" s="19">
        <x:f t="shared" si="0"/>
        <x:v>15</x:v>
      </x:c>
      <x:c r="H22" s="19">
        <x:f t="shared" si="1"/>
        <x:v>20</x:v>
      </x:c>
    </x:row>
    <x:row r="23" ht="21.950000762939453" customHeight="1">
      <x:c r="A23" s="19">
        <x:v>10</x:v>
      </x:c>
      <x:c r="B23" s="21">
        <x:f>英雄升级调参!$K$75</x:f>
        <x:v>1103</x:v>
      </x:c>
      <x:c r="C23" s="21">
        <x:f>英雄升级调参!$L$75</x:f>
        <x:v>10995</x:v>
      </x:c>
      <x:c r="D23" s="20">
        <x:f>IF(英雄升级调参!$M$75&gt;MAX(英雄升级调参!$J$66:$J$115),"超过50级",IF(英雄升级调参!$M$75=MAX(英雄升级调参!$J$66:$J$115),50,COUNTIFS(英雄升级调参!$J$66:$J$115,"&lt;="&amp;英雄升级调参!$M$75)+(英雄升级调参!$M$75-INDEX(英雄升级调参!$J$66:$J$115,COUNTIFS(英雄升级调参!$J$66:$J$115,"&lt;="&amp;英雄升级调参!$M$75)))/(INDEX(英雄升级调参!$J$66:$J$115,COUNTIFS(英雄升级调参!$J$66:$J$115,"&lt;="&amp;英雄升级调参!$M$75)+1)-INDEX(英雄升级调参!$J$66:$J$115,COUNTIFS(英雄升级调参!$J$66:$J$115,"&lt;="&amp;英雄升级调参!$M$75)))))</x:f>
        <x:v>16.19082907382921</x:v>
      </x:c>
      <x:c r="E23" s="20">
        <x:f>IF(英雄升级调参!$M$75&gt;MAX(英雄升级调参!$G$66:$G$115),"超过50级",IF(英雄升级调参!$M$75=MAX(英雄升级调参!$G$66:$G$115),50,COUNTIFS(英雄升级调参!$G$66:$G$115,"&lt;="&amp;英雄升级调参!$M$75)+(英雄升级调参!$M$75-INDEX(英雄升级调参!$G$66:$G$115,COUNTIFS(英雄升级调参!$G$66:$G$115,"&lt;="&amp;英雄升级调参!$M$75)))/(INDEX(英雄升级调参!$G$66:$G$115,COUNTIFS(英雄升级调参!$G$66:$G$115,"&lt;="&amp;英雄升级调参!$M$75)+1)-INDEX(英雄升级调参!$G$66:$G$115,COUNTIFS(英雄升级调参!$G$66:$G$115,"&lt;="&amp;英雄升级调参!$M$75)))))</x:f>
        <x:v>23.277465808126184</x:v>
      </x:c>
      <x:c r="F23" s="19" t="s">
        <x:v>36</x:v>
      </x:c>
      <x:c r="G23" s="19">
        <x:f t="shared" si="0"/>
        <x:v>17</x:v>
      </x:c>
      <x:c r="H23" s="19">
        <x:f t="shared" si="1"/>
        <x:v>24</x:v>
      </x:c>
    </x:row>
    <x:row r="24" ht="21.950000762939453" customHeight="1">
      <x:c r="A24" s="19">
        <x:v>11</x:v>
      </x:c>
      <x:c r="B24" s="21">
        <x:f>英雄升级调参!$K$76</x:f>
        <x:v>1193</x:v>
      </x:c>
      <x:c r="C24" s="21">
        <x:f>英雄升级调参!$L$76</x:f>
        <x:v>11895</x:v>
      </x:c>
      <x:c r="D24" s="20">
        <x:f>IF(英雄升级调参!$M$76&gt;MAX(英雄升级调参!$J$66:$J$115),"超过50级",IF(英雄升级调参!$M$76=MAX(英雄升级调参!$J$66:$J$115),50,COUNTIFS(英雄升级调参!$J$66:$J$115,"&lt;="&amp;英雄升级调参!$M$76)+(英雄升级调参!$M$76-INDEX(英雄升级调参!$J$66:$J$115,COUNTIFS(英雄升级调参!$J$66:$J$115,"&lt;="&amp;英雄升级调参!$M$76)))/(INDEX(英雄升级调参!$J$66:$J$115,COUNTIFS(英雄升级调参!$J$66:$J$115,"&lt;="&amp;英雄升级调参!$M$76)+1)-INDEX(英雄升级调参!$J$66:$J$115,COUNTIFS(英雄升级调参!$J$66:$J$115,"&lt;="&amp;英雄升级调参!$M$76)))))</x:f>
        <x:v>17.516898996854703</x:v>
      </x:c>
      <x:c r="E24" s="20">
        <x:f>IF(英雄升级调参!$M$76&gt;MAX(英雄升级调参!$G$66:$G$115),"超过50级",IF(英雄升级调参!$M$76=MAX(英雄升级调参!$G$66:$G$115),50,COUNTIFS(英雄升级调参!$G$66:$G$115,"&lt;="&amp;英雄升级调参!$M$76)+(英雄升级调参!$M$76-INDEX(英雄升级调参!$G$66:$G$115,COUNTIFS(英雄升级调参!$G$66:$G$115,"&lt;="&amp;英雄升级调参!$M$76)))/(INDEX(英雄升级调参!$G$66:$G$115,COUNTIFS(英雄升级调参!$G$66:$G$115,"&lt;="&amp;英雄升级调参!$M$76)+1)-INDEX(英雄升级调参!$G$66:$G$115,COUNTIFS(英雄升级调参!$G$66:$G$115,"&lt;="&amp;英雄升级调参!$M$76)))))</x:f>
        <x:v>24.302002760336094</x:v>
      </x:c>
      <x:c r="F24" s="19" t="s">
        <x:v>36</x:v>
      </x:c>
      <x:c r="G24" s="19">
        <x:f t="shared" si="0"/>
        <x:v>18</x:v>
      </x:c>
      <x:c r="H24" s="19">
        <x:f t="shared" si="1"/>
        <x:v>25</x:v>
      </x:c>
    </x:row>
    <x:row r="25" ht="21.950000762939453" customHeight="1">
      <x:c r="A25" s="19">
        <x:v>12</x:v>
      </x:c>
      <x:c r="B25" s="21">
        <x:f>英雄升级调参!$K$77</x:f>
        <x:v>1283</x:v>
      </x:c>
      <x:c r="C25" s="21">
        <x:f>英雄升级调参!$L$77</x:f>
        <x:v>12795</x:v>
      </x:c>
      <x:c r="D25" s="20">
        <x:f>IF(英雄升级调参!$M$77&gt;MAX(英雄升级调参!$J$66:$J$115),"超过50级",IF(英雄升级调参!$M$77=MAX(英雄升级调参!$J$66:$J$115),50,COUNTIFS(英雄升级调参!$J$66:$J$115,"&lt;="&amp;英雄升级调参!$M$77)+(英雄升级调参!$M$77-INDEX(英雄升级调参!$J$66:$J$115,COUNTIFS(英雄升级调参!$J$66:$J$115,"&lt;="&amp;英雄升级调参!$M$77)))/(INDEX(英雄升级调参!$J$66:$J$115,COUNTIFS(英雄升级调参!$J$66:$J$115,"&lt;="&amp;英雄升级调参!$M$77)+1)-INDEX(英雄升级调参!$J$66:$J$115,COUNTIFS(英雄升级调参!$J$66:$J$115,"&lt;="&amp;英雄升级调参!$M$77)))))</x:f>
        <x:v>18.84903417795073</x:v>
      </x:c>
      <x:c r="E25" s="20">
        <x:f>IF(英雄升级调参!$M$77&gt;MAX(英雄升级调参!$G$66:$G$115),"超过50级",IF(英雄升级调参!$M$77=MAX(英雄升级调参!$G$66:$G$115),50,COUNTIFS(英雄升级调参!$G$66:$G$115,"&lt;="&amp;英雄升级调参!$M$77)+(英雄升级调参!$M$77-INDEX(英雄升级调参!$G$66:$G$115,COUNTIFS(英雄升级调参!$G$66:$G$115,"&lt;="&amp;英雄升级调参!$M$77)))/(INDEX(英雄升级调参!$G$66:$G$115,COUNTIFS(英雄升级调参!$G$66:$G$115,"&lt;="&amp;英雄升级调参!$M$77)+1)-INDEX(英雄升级调参!$G$66:$G$115,COUNTIFS(英雄升级调参!$G$66:$G$115,"&lt;="&amp;英雄升级调参!$M$77)))))</x:f>
        <x:v>24.864497072830407</x:v>
      </x:c>
      <x:c r="F25" s="19" t="s">
        <x:v>36</x:v>
      </x:c>
      <x:c r="G25" s="19">
        <x:f t="shared" si="0"/>
        <x:v>19</x:v>
      </x:c>
      <x:c r="H25" s="19">
        <x:f t="shared" si="1"/>
        <x:v>25</x:v>
      </x:c>
    </x:row>
    <x:row r="26" ht="21.950000762939453" customHeight="1">
      <x:c r="A26" s="19">
        <x:v>13</x:v>
      </x:c>
      <x:c r="B26" s="21">
        <x:f>英雄升级调参!$K$78</x:f>
        <x:v>1373</x:v>
      </x:c>
      <x:c r="C26" s="21">
        <x:f>英雄升级调参!$L$78</x:f>
        <x:v>13695</x:v>
      </x:c>
      <x:c r="D26" s="20">
        <x:f>IF(英雄升级调参!$M$78&gt;MAX(英雄升级调参!$J$66:$J$115),"超过50级",IF(英雄升级调参!$M$78=MAX(英雄升级调参!$J$66:$J$115),50,COUNTIFS(英雄升级调参!$J$66:$J$115,"&lt;="&amp;英雄升级调参!$M$78)+(英雄升级调参!$M$78-INDEX(英雄升级调参!$J$66:$J$115,COUNTIFS(英雄升级调参!$J$66:$J$115,"&lt;="&amp;英雄升级调参!$M$78)))/(INDEX(英雄升级调参!$J$66:$J$115,COUNTIFS(英雄升级调参!$J$66:$J$115,"&lt;="&amp;英雄升级调参!$M$78)+1)-INDEX(英雄升级调参!$J$66:$J$115,COUNTIFS(英雄升级调参!$J$66:$J$115,"&lt;="&amp;英雄升级调参!$M$78)))))</x:f>
        <x:v>19.376200770400512</x:v>
      </x:c>
      <x:c r="E26" s="20">
        <x:f>IF(英雄升级调参!$M$78&gt;MAX(英雄升级调参!$G$66:$G$115),"超过50级",IF(英雄升级调参!$M$78=MAX(英雄升级调参!$G$66:$G$115),50,COUNTIFS(英雄升级调参!$G$66:$G$115,"&lt;="&amp;英雄升级调参!$M$78)+(英雄升级调参!$M$78-INDEX(英雄升级调参!$G$66:$G$115,COUNTIFS(英雄升级调参!$G$66:$G$115,"&lt;="&amp;英雄升级调参!$M$78)))/(INDEX(英雄升级调参!$G$66:$G$115,COUNTIFS(英雄升级调参!$G$66:$G$115,"&lt;="&amp;英雄升级调参!$M$78)+1)-INDEX(英雄升级调参!$G$66:$G$115,COUNTIFS(英雄升级调参!$G$66:$G$115,"&lt;="&amp;英雄升级调参!$M$78)))))</x:f>
        <x:v>26.09717320512165</x:v>
      </x:c>
      <x:c r="F26" s="19" t="s">
        <x:v>36</x:v>
      </x:c>
      <x:c r="G26" s="19">
        <x:f t="shared" si="0"/>
        <x:v>20</x:v>
      </x:c>
      <x:c r="H26" s="19">
        <x:f t="shared" si="1"/>
        <x:v>27</x:v>
      </x:c>
    </x:row>
    <x:row r="27" ht="21.950000762939453" customHeight="1">
      <x:c r="A27" s="19">
        <x:v>14</x:v>
      </x:c>
      <x:c r="B27" s="21">
        <x:f>英雄升级调参!$K$79</x:f>
        <x:v>1463</x:v>
      </x:c>
      <x:c r="C27" s="21">
        <x:f>英雄升级调参!$L$79</x:f>
        <x:v>14595</x:v>
      </x:c>
      <x:c r="D27" s="20">
        <x:f>IF(英雄升级调参!$M$79&gt;MAX(英雄升级调参!$J$66:$J$115),"超过50级",IF(英雄升级调参!$M$79=MAX(英雄升级调参!$J$66:$J$115),50,COUNTIFS(英雄升级调参!$J$66:$J$115,"&lt;="&amp;英雄升级调参!$M$79)+(英雄升级调参!$M$79-INDEX(英雄升级调参!$J$66:$J$115,COUNTIFS(英雄升级调参!$J$66:$J$115,"&lt;="&amp;英雄升级调参!$M$79)))/(INDEX(英雄升级调参!$J$66:$J$115,COUNTIFS(英雄升级调参!$J$66:$J$115,"&lt;="&amp;英雄升级调参!$M$79)+1)-INDEX(英雄升级调参!$J$66:$J$115,COUNTIFS(英雄升级调参!$J$66:$J$115,"&lt;="&amp;英雄升级调参!$M$79)))))</x:f>
        <x:v>19.826439997244783</x:v>
      </x:c>
      <x:c r="E27" s="20">
        <x:f>IF(英雄升级调参!$M$79&gt;MAX(英雄升级调参!$G$66:$G$115),"超过50级",IF(英雄升级调参!$M$79=MAX(英雄升级调参!$G$66:$G$115),50,COUNTIFS(英雄升级调参!$G$66:$G$115,"&lt;="&amp;英雄升级调参!$M$79)+(英雄升级调参!$M$79-INDEX(英雄升级调参!$G$66:$G$115,COUNTIFS(英雄升级调参!$G$66:$G$115,"&lt;="&amp;英雄升级调参!$M$79)))/(INDEX(英雄升级调参!$G$66:$G$115,COUNTIFS(英雄升级调参!$G$66:$G$115,"&lt;="&amp;英雄升级调参!$M$79)+1)-INDEX(英雄升级调参!$G$66:$G$115,COUNTIFS(英雄升级调参!$G$66:$G$115,"&lt;="&amp;英雄升级调参!$M$79)))))</x:f>
        <x:v>27.52238209432454</x:v>
      </x:c>
      <x:c r="F27" s="19" t="s">
        <x:v>36</x:v>
      </x:c>
      <x:c r="G27" s="19">
        <x:f t="shared" si="0"/>
        <x:v>20</x:v>
      </x:c>
      <x:c r="H27" s="19">
        <x:f t="shared" si="1"/>
        <x:v>28</x:v>
      </x:c>
    </x:row>
    <x:row r="28" ht="21.950000762939453" customHeight="1">
      <x:c r="A28" s="19">
        <x:v>15</x:v>
      </x:c>
      <x:c r="B28" s="21">
        <x:f>英雄升级调参!$K$80</x:f>
        <x:v>1733</x:v>
      </x:c>
      <x:c r="C28" s="21">
        <x:f>英雄升级调参!$L$80</x:f>
        <x:v>17295</x:v>
      </x:c>
      <x:c r="D28" s="20">
        <x:f>IF(英雄升级调参!$M$80&gt;MAX(英雄升级调参!$J$66:$J$115),"超过50级",IF(英雄升级调参!$M$80=MAX(英雄升级调参!$J$66:$J$115),50,COUNTIFS(英雄升级调参!$J$66:$J$115,"&lt;="&amp;英雄升级调参!$M$80)+(英雄升级调参!$M$80-INDEX(英雄升级调参!$J$66:$J$115,COUNTIFS(英雄升级调参!$J$66:$J$115,"&lt;="&amp;英雄升级调参!$M$80)))/(INDEX(英雄升级调参!$J$66:$J$115,COUNTIFS(英雄升级调参!$J$66:$J$115,"&lt;="&amp;英雄升级调参!$M$80)+1)-INDEX(英雄升级调参!$J$66:$J$115,COUNTIFS(英雄升级调参!$J$66:$J$115,"&lt;="&amp;英雄升级调参!$M$80)))))</x:f>
        <x:v>22.921173530631396</x:v>
      </x:c>
      <x:c r="E28" s="20">
        <x:f>IF(英雄升级调参!$M$80&gt;MAX(英雄升级调参!$G$66:$G$115),"超过50级",IF(英雄升级调参!$M$80=MAX(英雄升级调参!$G$66:$G$115),50,COUNTIFS(英雄升级调参!$G$66:$G$115,"&lt;="&amp;英雄升级调参!$M$80)+(英雄升级调参!$M$80-INDEX(英雄升级调参!$G$66:$G$115,COUNTIFS(英雄升级调参!$G$66:$G$115,"&lt;="&amp;英雄升级调参!$M$80)))/(INDEX(英雄升级调参!$G$66:$G$115,COUNTIFS(英雄升级调参!$G$66:$G$115,"&lt;="&amp;英雄升级调参!$M$80)+1)-INDEX(英雄升级调参!$G$66:$G$115,COUNTIFS(英雄升级调参!$G$66:$G$115,"&lt;="&amp;英雄升级调参!$M$80)))))</x:f>
        <x:v>29.934483489078577</x:v>
      </x:c>
      <x:c r="F28" s="19" t="s">
        <x:v>36</x:v>
      </x:c>
      <x:c r="G28" s="19">
        <x:f t="shared" si="0"/>
        <x:v>23</x:v>
      </x:c>
      <x:c r="H28" s="19">
        <x:f t="shared" si="1"/>
        <x:v>30</x:v>
      </x:c>
    </x:row>
    <x:row r="29" ht="21.950000762939453" customHeight="1">
      <x:c r="A29" s="19">
        <x:v>16</x:v>
      </x:c>
      <x:c r="B29" s="21">
        <x:f>英雄升级调参!$K$81</x:f>
        <x:v>1846</x:v>
      </x:c>
      <x:c r="C29" s="21">
        <x:f>英雄升级调参!$L$81</x:f>
        <x:v>18420</x:v>
      </x:c>
      <x:c r="D29" s="20">
        <x:f>IF(英雄升级调参!$M$81&gt;MAX(英雄升级调参!$J$66:$J$115),"超过50级",IF(英雄升级调参!$M$81=MAX(英雄升级调参!$J$66:$J$115),50,COUNTIFS(英雄升级调参!$J$66:$J$115,"&lt;="&amp;英雄升级调参!$M$81)+(英雄升级调参!$M$81-INDEX(英雄升级调参!$J$66:$J$115,COUNTIFS(英雄升级调参!$J$66:$J$115,"&lt;="&amp;英雄升级调参!$M$81)))/(INDEX(英雄升级调参!$J$66:$J$115,COUNTIFS(英雄升级调参!$J$66:$J$115,"&lt;="&amp;英雄升级调参!$M$81)+1)-INDEX(英雄升级调参!$J$66:$J$115,COUNTIFS(英雄升级调参!$J$66:$J$115,"&lt;="&amp;英雄升级调参!$M$81)))))</x:f>
        <x:v>24.09906452844597</x:v>
      </x:c>
      <x:c r="E29" s="20">
        <x:f>IF(英雄升级调参!$M$81&gt;MAX(英雄升级调参!$G$66:$G$115),"超过50级",IF(英雄升级调参!$M$81=MAX(英雄升级调参!$G$66:$G$115),50,COUNTIFS(英雄升级调参!$G$66:$G$115,"&lt;="&amp;英雄升级调参!$M$81)+(英雄升级调参!$M$81-INDEX(英雄升级调参!$G$66:$G$115,COUNTIFS(英雄升级调参!$G$66:$G$115,"&lt;="&amp;英雄升级调参!$M$81)))/(INDEX(英雄升级调参!$G$66:$G$115,COUNTIFS(英雄升级调参!$G$66:$G$115,"&lt;="&amp;英雄升级调参!$M$81)+1)-INDEX(英雄升级调参!$G$66:$G$115,COUNTIFS(英雄升级调参!$G$66:$G$115,"&lt;="&amp;英雄升级调参!$M$81)))))</x:f>
        <x:v>31.398084368809652</x:v>
      </x:c>
      <x:c r="F29" s="19" t="s">
        <x:v>36</x:v>
      </x:c>
      <x:c r="G29" s="19">
        <x:f t="shared" si="0"/>
        <x:v>25</x:v>
      </x:c>
      <x:c r="H29" s="19">
        <x:f t="shared" si="1"/>
        <x:v>32</x:v>
      </x:c>
    </x:row>
    <x:row r="30" ht="21.950000762939453" customHeight="1">
      <x:c r="A30" s="19">
        <x:v>17</x:v>
      </x:c>
      <x:c r="B30" s="21">
        <x:f>英雄升级调参!$K$82</x:f>
        <x:v>1959</x:v>
      </x:c>
      <x:c r="C30" s="21">
        <x:f>英雄升级调参!$L$82</x:f>
        <x:v>19545</x:v>
      </x:c>
      <x:c r="D30" s="20">
        <x:f>IF(英雄升级调参!$M$82&gt;MAX(英雄升级调参!$J$66:$J$115),"超过50级",IF(英雄升级调参!$M$82=MAX(英雄升级调参!$J$66:$J$115),50,COUNTIFS(英雄升级调参!$J$66:$J$115,"&lt;="&amp;英雄升级调参!$M$82)+(英雄升级调参!$M$82-INDEX(英雄升级调参!$J$66:$J$115,COUNTIFS(英雄升级调参!$J$66:$J$115,"&lt;="&amp;英雄升级调参!$M$82)))/(INDEX(英雄升级调参!$J$66:$J$115,COUNTIFS(英雄升级调参!$J$66:$J$115,"&lt;="&amp;英雄升级调参!$M$82)+1)-INDEX(英雄升级调参!$J$66:$J$115,COUNTIFS(英雄升级调参!$J$66:$J$115,"&lt;="&amp;英雄升级调参!$M$82)))))</x:f>
        <x:v>24.553578019600355</x:v>
      </x:c>
      <x:c r="E30" s="20">
        <x:f>IF(英雄升级调参!$M$82&gt;MAX(英雄升级调参!$G$66:$G$115),"超过50级",IF(英雄升级调参!$M$82=MAX(英雄升级调参!$G$66:$G$115),50,COUNTIFS(英雄升级调参!$G$66:$G$115,"&lt;="&amp;英雄升级调参!$M$82)+(英雄升级调参!$M$82-INDEX(英雄升级调参!$G$66:$G$115,COUNTIFS(英雄升级调参!$G$66:$G$115,"&lt;="&amp;英雄升级调参!$M$82)))/(INDEX(英雄升级调参!$G$66:$G$115,COUNTIFS(英雄升级调参!$G$66:$G$115,"&lt;="&amp;英雄升级调参!$M$82)+1)-INDEX(英雄升级调参!$G$66:$G$115,COUNTIFS(英雄升级调参!$G$66:$G$115,"&lt;="&amp;英雄升级调参!$M$82)))))</x:f>
        <x:v>32.96816497659906</x:v>
      </x:c>
      <x:c r="F30" s="19" t="s">
        <x:v>36</x:v>
      </x:c>
      <x:c r="G30" s="19">
        <x:f t="shared" si="0"/>
        <x:v>25</x:v>
      </x:c>
      <x:c r="H30" s="19">
        <x:f t="shared" si="1"/>
        <x:v>33</x:v>
      </x:c>
    </x:row>
    <x:row r="31" ht="21.950000762939453" customHeight="1">
      <x:c r="A31" s="19">
        <x:v>18</x:v>
      </x:c>
      <x:c r="B31" s="21">
        <x:f>英雄升级调参!$K$83</x:f>
        <x:v>2072</x:v>
      </x:c>
      <x:c r="C31" s="21">
        <x:f>英雄升级调参!$L$83</x:f>
        <x:v>20670</x:v>
      </x:c>
      <x:c r="D31" s="20">
        <x:f>IF(英雄升级调参!$M$83&gt;MAX(英雄升级调参!$J$66:$J$115),"超过50级",IF(英雄升级调参!$M$83=MAX(英雄升级调参!$J$66:$J$115),50,COUNTIFS(英雄升级调参!$J$66:$J$115,"&lt;="&amp;英雄升级调参!$M$83)+(英雄升级调参!$M$83-INDEX(英雄升级调参!$J$66:$J$115,COUNTIFS(英雄升级调参!$J$66:$J$115,"&lt;="&amp;英雄升级调参!$M$83)))/(INDEX(英雄升级调参!$J$66:$J$115,COUNTIFS(英雄升级调参!$J$66:$J$115,"&lt;="&amp;英雄升级调参!$M$83)+1)-INDEX(英雄升级调参!$J$66:$J$115,COUNTIFS(英雄升级调参!$J$66:$J$115,"&lt;="&amp;英雄升级调参!$M$83)))))</x:f>
        <x:v>25.082711508145035</x:v>
      </x:c>
      <x:c r="E31" s="20">
        <x:f>IF(英雄升级调参!$M$83&gt;MAX(英雄升级调参!$G$66:$G$115),"超过50级",IF(英雄升级调参!$M$83=MAX(英雄升级调参!$G$66:$G$115),50,COUNTIFS(英雄升级调参!$G$66:$G$115,"&lt;="&amp;英雄升级调参!$M$83)+(英雄升级调参!$M$83-INDEX(英雄升级调参!$G$66:$G$115,COUNTIFS(英雄升级调参!$G$66:$G$115,"&lt;="&amp;英雄升级调参!$M$83)))/(INDEX(英雄升级调参!$G$66:$G$115,COUNTIFS(英雄升级调参!$G$66:$G$115,"&lt;="&amp;英雄升级调参!$M$83)+1)-INDEX(英雄升级调参!$G$66:$G$115,COUNTIFS(英雄升级调参!$G$66:$G$115,"&lt;="&amp;英雄升级调参!$M$83)))))</x:f>
        <x:v>34.17083852786868</x:v>
      </x:c>
      <x:c r="F31" s="19" t="s">
        <x:v>36</x:v>
      </x:c>
      <x:c r="G31" s="19">
        <x:f t="shared" si="0"/>
        <x:v>26</x:v>
      </x:c>
      <x:c r="H31" s="19">
        <x:f t="shared" si="1"/>
        <x:v>35</x:v>
      </x:c>
    </x:row>
    <x:row r="32" ht="21.950000762939453" customHeight="1">
      <x:c r="A32" s="19">
        <x:v>19</x:v>
      </x:c>
      <x:c r="B32" s="21">
        <x:f>英雄升级调参!$K$84</x:f>
        <x:v>2185</x:v>
      </x:c>
      <x:c r="C32" s="21">
        <x:f>英雄升级调参!$L$84</x:f>
        <x:v>21795</x:v>
      </x:c>
      <x:c r="D32" s="20">
        <x:f>IF(英雄升级调参!$M$84&gt;MAX(英雄升级调参!$J$66:$J$115),"超过50级",IF(英雄升级调参!$M$84=MAX(英雄升级调参!$J$66:$J$115),50,COUNTIFS(英雄升级调参!$J$66:$J$115,"&lt;="&amp;英雄升级调参!$M$84)+(英雄升级调参!$M$84-INDEX(英雄升级调参!$J$66:$J$115,COUNTIFS(英雄升级调参!$J$66:$J$115,"&lt;="&amp;英雄升级调参!$M$84)))/(INDEX(英雄升级调参!$J$66:$J$115,COUNTIFS(英雄升级调参!$J$66:$J$115,"&lt;="&amp;英雄升级调参!$M$84)+1)-INDEX(英雄升级调参!$J$66:$J$115,COUNTIFS(英雄升级调参!$J$66:$J$115,"&lt;="&amp;英雄升级调参!$M$84)))))</x:f>
        <x:v>26.270142605697043</x:v>
      </x:c>
      <x:c r="E32" s="20">
        <x:f>IF(英雄升级调参!$M$84&gt;MAX(英雄升级调参!$G$66:$G$115),"超过50级",IF(英雄升级调参!$M$84=MAX(英雄升级调参!$G$66:$G$115),50,COUNTIFS(英雄升级调参!$G$66:$G$115,"&lt;="&amp;英雄升级调参!$M$84)+(英雄升级调参!$M$84-INDEX(英雄升级调参!$G$66:$G$115,COUNTIFS(英雄升级调参!$G$66:$G$115,"&lt;="&amp;英雄升级调参!$M$84)))/(INDEX(英雄升级调参!$G$66:$G$115,COUNTIFS(英雄升级调参!$G$66:$G$115,"&lt;="&amp;英雄升级调参!$M$84)+1)-INDEX(英雄升级调参!$G$66:$G$115,COUNTIFS(英雄升级调参!$G$66:$G$115,"&lt;="&amp;英雄升级调参!$M$84)))))</x:f>
        <x:v>34.68962488961613</x:v>
      </x:c>
      <x:c r="F32" s="19" t="s">
        <x:v>36</x:v>
      </x:c>
      <x:c r="G32" s="19">
        <x:f t="shared" si="0"/>
        <x:v>27</x:v>
      </x:c>
      <x:c r="H32" s="19">
        <x:f t="shared" si="1"/>
        <x:v>35</x:v>
      </x:c>
    </x:row>
    <x:row r="33" ht="21.950000762939453" customHeight="1">
      <x:c r="A33" s="19">
        <x:v>20</x:v>
      </x:c>
      <x:c r="B33" s="21">
        <x:f>英雄升级调参!$K$85</x:f>
        <x:v>2524</x:v>
      </x:c>
      <x:c r="C33" s="21">
        <x:f>英雄升级调参!$L$85</x:f>
        <x:v>25170</x:v>
      </x:c>
      <x:c r="D33" s="20">
        <x:f>IF(英雄升级调参!$M$85&gt;MAX(英雄升级调参!$J$66:$J$115),"超过50级",IF(英雄升级调参!$M$85=MAX(英雄升级调参!$J$66:$J$115),50,COUNTIFS(英雄升级调参!$J$66:$J$115,"&lt;="&amp;英雄升级调参!$M$85)+(英雄升级调参!$M$85-INDEX(英雄升级调参!$J$66:$J$115,COUNTIFS(英雄升级调参!$J$66:$J$115,"&lt;="&amp;英雄升级调参!$M$85)))/(INDEX(英雄升级调参!$J$66:$J$115,COUNTIFS(英雄升级调参!$J$66:$J$115,"&lt;="&amp;英雄升级调参!$M$85)+1)-INDEX(英雄升级调参!$J$66:$J$115,COUNTIFS(英雄升级调参!$J$66:$J$115,"&lt;="&amp;英雄升级调参!$M$85)))))</x:f>
        <x:v>29.27032008254922</x:v>
      </x:c>
      <x:c r="E33" s="20">
        <x:f>IF(英雄升级调参!$M$85&gt;MAX(英雄升级调参!$G$66:$G$115),"超过50级",IF(英雄升级调参!$M$85=MAX(英雄升级调参!$G$66:$G$115),50,COUNTIFS(英雄升级调参!$G$66:$G$115,"&lt;="&amp;英雄升级调参!$M$85)+(英雄升级调参!$M$85-INDEX(英雄升级调参!$G$66:$G$115,COUNTIFS(英雄升级调参!$G$66:$G$115,"&lt;="&amp;英雄升级调参!$M$85)))/(INDEX(英雄升级调参!$G$66:$G$115,COUNTIFS(英雄升级调参!$G$66:$G$115,"&lt;="&amp;英雄升级调参!$M$85)+1)-INDEX(英雄升级调参!$G$66:$G$115,COUNTIFS(英雄升级调参!$G$66:$G$115,"&lt;="&amp;英雄升级调参!$M$85)))))</x:f>
        <x:v>38.372756079533396</x:v>
      </x:c>
      <x:c r="F33" s="19" t="s">
        <x:v>36</x:v>
      </x:c>
      <x:c r="G33" s="19">
        <x:f t="shared" si="0"/>
        <x:v>30</x:v>
      </x:c>
      <x:c r="H33" s="19">
        <x:f t="shared" si="1"/>
        <x:v>39</x:v>
      </x:c>
    </x:row>
    <x:row r="34" ht="21.950000762939453" customHeight="1">
      <x:c r="A34" s="19">
        <x:v>21</x:v>
      </x:c>
      <x:c r="B34" s="21">
        <x:f>英雄升级调参!$K$86</x:f>
        <x:v>2659</x:v>
      </x:c>
      <x:c r="C34" s="21">
        <x:f>英雄升级调参!$L$86</x:f>
        <x:v>26520</x:v>
      </x:c>
      <x:c r="D34" s="20">
        <x:f>IF(英雄升级调参!$M$86&gt;MAX(英雄升级调参!$J$66:$J$115),"超过50级",IF(英雄升级调参!$M$86=MAX(英雄升级调参!$J$66:$J$115),50,COUNTIFS(英雄升级调参!$J$66:$J$115,"&lt;="&amp;英雄升级调参!$M$86)+(英雄升级调参!$M$86-INDEX(英雄升级调参!$J$66:$J$115,COUNTIFS(英雄升级调参!$J$66:$J$115,"&lt;="&amp;英雄升级调参!$M$86)))/(INDEX(英雄升级调参!$J$66:$J$115,COUNTIFS(英雄升级调参!$J$66:$J$115,"&lt;="&amp;英雄升级调参!$M$86)+1)-INDEX(英雄升级调参!$J$66:$J$115,COUNTIFS(英雄升级调参!$J$66:$J$115,"&lt;="&amp;英雄升级调参!$M$86)))))</x:f>
        <x:v>29.746244930068144</x:v>
      </x:c>
      <x:c r="E34" s="20">
        <x:f>IF(英雄升级调参!$M$86&gt;MAX(英雄升级调参!$G$66:$G$115),"超过50级",IF(英雄升级调参!$M$86=MAX(英雄升级调参!$G$66:$G$115),50,COUNTIFS(英雄升级调参!$G$66:$G$115,"&lt;="&amp;英雄升级调参!$M$86)+(英雄升级调参!$M$86-INDEX(英雄升级调参!$G$66:$G$115,COUNTIFS(英雄升级调参!$G$66:$G$115,"&lt;="&amp;英雄升级调参!$M$86)))/(INDEX(英雄升级调参!$G$66:$G$115,COUNTIFS(英雄升级调参!$G$66:$G$115,"&lt;="&amp;英雄升级调参!$M$86)+1)-INDEX(英雄升级调参!$G$66:$G$115,COUNTIFS(英雄升级调参!$G$66:$G$115,"&lt;="&amp;英雄升级调参!$M$86)))))</x:f>
        <x:v>39.33749211916962</x:v>
      </x:c>
      <x:c r="F34" s="19" t="s">
        <x:v>36</x:v>
      </x:c>
      <x:c r="G34" s="19">
        <x:f t="shared" si="0"/>
        <x:v>30</x:v>
      </x:c>
      <x:c r="H34" s="19">
        <x:f t="shared" si="1"/>
        <x:v>40</x:v>
      </x:c>
    </x:row>
    <x:row r="35" ht="21.950000762939453" customHeight="1">
      <x:c r="A35" s="19">
        <x:v>22</x:v>
      </x:c>
      <x:c r="B35" s="21">
        <x:f>英雄升级调参!$K$87</x:f>
        <x:v>2794</x:v>
      </x:c>
      <x:c r="C35" s="21">
        <x:f>英雄升级调参!$L$87</x:f>
        <x:v>27870</x:v>
      </x:c>
      <x:c r="D35" s="20">
        <x:f>IF(英雄升级调参!$M$87&gt;MAX(英雄升级调参!$J$66:$J$115),"超过50级",IF(英雄升级调参!$M$87=MAX(英雄升级调参!$J$66:$J$115),50,COUNTIFS(英雄升级调参!$J$66:$J$115,"&lt;="&amp;英雄升级调参!$M$87)+(英雄升级调参!$M$87-INDEX(英雄升级调参!$J$66:$J$115,COUNTIFS(英雄升级调参!$J$66:$J$115,"&lt;="&amp;英雄升级调参!$M$87)))/(INDEX(英雄升级调参!$J$66:$J$115,COUNTIFS(英雄升级调参!$J$66:$J$115,"&lt;="&amp;英雄升级调参!$M$87)+1)-INDEX(英雄升级调参!$J$66:$J$115,COUNTIFS(英雄升级调参!$J$66:$J$115,"&lt;="&amp;英雄升级调参!$M$87)))))</x:f>
        <x:v>30.604193532263707</x:v>
      </x:c>
      <x:c r="E35" s="20">
        <x:f>IF(英雄升级调参!$M$87&gt;MAX(英雄升级调参!$G$66:$G$115),"超过50级",IF(英雄升级调参!$M$87=MAX(英雄升级调参!$G$66:$G$115),50,COUNTIFS(英雄升级调参!$G$66:$G$115,"&lt;="&amp;英雄升级调参!$M$87)+(英雄升级调参!$M$87-INDEX(英雄升级调参!$G$66:$G$115,COUNTIFS(英雄升级调参!$G$66:$G$115,"&lt;="&amp;英雄升级调参!$M$87)))/(INDEX(英雄升级调参!$G$66:$G$115,COUNTIFS(英雄升级调参!$G$66:$G$115,"&lt;="&amp;英雄升级调参!$M$87)+1)-INDEX(英雄升级调参!$G$66:$G$115,COUNTIFS(英雄升级调参!$G$66:$G$115,"&lt;="&amp;英雄升级调参!$M$87)))))</x:f>
        <x:v>39.899340876004445</x:v>
      </x:c>
      <x:c r="F35" s="19" t="s">
        <x:v>36</x:v>
      </x:c>
      <x:c r="G35" s="19">
        <x:f t="shared" si="0"/>
        <x:v>31</x:v>
      </x:c>
      <x:c r="H35" s="19">
        <x:f t="shared" si="1"/>
        <x:v>40</x:v>
      </x:c>
    </x:row>
    <x:row r="36" ht="21.950000762939453" customHeight="1">
      <x:c r="A36" s="19">
        <x:v>23</x:v>
      </x:c>
      <x:c r="B36" s="21">
        <x:f>英雄升级调参!$K$88</x:f>
        <x:v>2929</x:v>
      </x:c>
      <x:c r="C36" s="21">
        <x:f>英雄升级调参!$L$88</x:f>
        <x:v>29220</x:v>
      </x:c>
      <x:c r="D36" s="20">
        <x:f>IF(英雄升级调参!$M$88&gt;MAX(英雄升级调参!$J$66:$J$115),"超过50级",IF(英雄升级调参!$M$88=MAX(英雄升级调参!$J$66:$J$115),50,COUNTIFS(英雄升级调参!$J$66:$J$115,"&lt;="&amp;英雄升级调参!$M$88)+(英雄升级调参!$M$88-INDEX(英雄升级调参!$J$66:$J$115,COUNTIFS(英雄升级调参!$J$66:$J$115,"&lt;="&amp;英雄升级调参!$M$88)))/(INDEX(英雄升级调参!$J$66:$J$115,COUNTIFS(英雄升级调参!$J$66:$J$115,"&lt;="&amp;英雄升级调参!$M$88)+1)-INDEX(英雄升级调参!$J$66:$J$115,COUNTIFS(英雄升级调参!$J$66:$J$115,"&lt;="&amp;英雄升级调参!$M$88)))))</x:f>
        <x:v>31.856552447485157</x:v>
      </x:c>
      <x:c r="E36" s="20">
        <x:f>IF(英雄升级调参!$M$88&gt;MAX(英雄升级调参!$G$66:$G$115),"超过50级",IF(英雄升级调参!$M$88=MAX(英雄升级调参!$G$66:$G$115),50,COUNTIFS(英雄升级调参!$G$66:$G$115,"&lt;="&amp;英雄升级调参!$M$88)+(英雄升级调参!$M$88-INDEX(英雄升级调参!$G$66:$G$115,COUNTIFS(英雄升级调参!$G$66:$G$115,"&lt;="&amp;英雄升级调参!$M$88)))/(INDEX(英雄升级调参!$G$66:$G$115,COUNTIFS(英雄升级调参!$G$66:$G$115,"&lt;="&amp;英雄升级调参!$M$88)+1)-INDEX(英雄升级调参!$G$66:$G$115,COUNTIFS(英雄升级调参!$G$66:$G$115,"&lt;="&amp;英雄升级调参!$M$88)))))</x:f>
        <x:v>41.23609133039449</x:v>
      </x:c>
      <x:c r="F36" s="19" t="s">
        <x:v>36</x:v>
      </x:c>
      <x:c r="G36" s="19">
        <x:f t="shared" si="0"/>
        <x:v>32</x:v>
      </x:c>
      <x:c r="H36" s="19">
        <x:f t="shared" si="1"/>
        <x:v>42</x:v>
      </x:c>
    </x:row>
    <x:row r="37" ht="21.950000762939453" customHeight="1">
      <x:c r="A37" s="19">
        <x:v>24</x:v>
      </x:c>
      <x:c r="B37" s="21">
        <x:f>英雄升级调参!$K$89</x:f>
        <x:v>3064</x:v>
      </x:c>
      <x:c r="C37" s="21">
        <x:f>英雄升级调参!$L$89</x:f>
        <x:v>30570</x:v>
      </x:c>
      <x:c r="D37" s="20">
        <x:f>IF(英雄升级调参!$M$89&gt;MAX(英雄升级调参!$J$66:$J$115),"超过50级",IF(英雄升级调参!$M$89=MAX(英雄升级调参!$J$66:$J$115),50,COUNTIFS(英雄升级调参!$J$66:$J$115,"&lt;="&amp;英雄升级调参!$M$89)+(英雄升级调参!$M$89-INDEX(英雄升级调参!$J$66:$J$115,COUNTIFS(英雄升级调参!$J$66:$J$115,"&lt;="&amp;英雄升级调参!$M$89)))/(INDEX(英雄升级调参!$J$66:$J$115,COUNTIFS(英雄升级调参!$J$66:$J$115,"&lt;="&amp;英雄升级调参!$M$89)+1)-INDEX(英雄升级调参!$J$66:$J$115,COUNTIFS(英雄升级调参!$J$66:$J$115,"&lt;="&amp;英雄升级调参!$M$89)))))</x:f>
        <x:v>33.107131666353325</x:v>
      </x:c>
      <x:c r="E37" s="20">
        <x:f>IF(英雄升级调参!$M$89&gt;MAX(英雄升级调参!$G$66:$G$115),"超过50级",IF(英雄升级调参!$M$89=MAX(英雄升级调参!$G$66:$G$115),50,COUNTIFS(英雄升级调参!$G$66:$G$115,"&lt;="&amp;英雄升级调参!$M$89)+(英雄升级调参!$M$89-INDEX(英雄升级调参!$G$66:$G$115,COUNTIFS(英雄升级调参!$G$66:$G$115,"&lt;="&amp;英雄升级调参!$M$89)))/(INDEX(英雄升级调参!$G$66:$G$115,COUNTIFS(英雄升级调参!$G$66:$G$115,"&lt;="&amp;英雄升级调参!$M$89)+1)-INDEX(英雄升级调参!$G$66:$G$115,COUNTIFS(英雄升级调参!$G$66:$G$115,"&lt;="&amp;英雄升级调参!$M$89)))))</x:f>
        <x:v>42.7360096522979</x:v>
      </x:c>
      <x:c r="F37" s="19" t="s">
        <x:v>36</x:v>
      </x:c>
      <x:c r="G37" s="19">
        <x:f t="shared" si="0"/>
        <x:v>34</x:v>
      </x:c>
      <x:c r="H37" s="19">
        <x:f t="shared" si="1"/>
        <x:v>43</x:v>
      </x:c>
    </x:row>
    <x:row r="38" ht="21.950000762939453" customHeight="1">
      <x:c r="A38" s="19">
        <x:v>25</x:v>
      </x:c>
      <x:c r="B38" s="21">
        <x:f>英雄升级调参!$K$90</x:f>
        <x:v>3469</x:v>
      </x:c>
      <x:c r="C38" s="21">
        <x:f>英雄升级调参!$L$90</x:f>
        <x:v>34620</x:v>
      </x:c>
      <x:c r="D38" s="20">
        <x:f>IF(英雄升级调参!$M$90&gt;MAX(英雄升级调参!$J$66:$J$115),"超过50级",IF(英雄升级调参!$M$90=MAX(英雄升级调参!$J$66:$J$115),50,COUNTIFS(英雄升级调参!$J$66:$J$115,"&lt;="&amp;英雄升级调参!$M$90)+(英雄升级调参!$M$90-INDEX(英雄升级调参!$J$66:$J$115,COUNTIFS(英雄升级调参!$J$66:$J$115,"&lt;="&amp;英雄升级调参!$M$90)))/(INDEX(英雄升级调参!$J$66:$J$115,COUNTIFS(英雄升级调参!$J$66:$J$115,"&lt;="&amp;英雄升级调参!$M$90)+1)-INDEX(英雄升级调参!$J$66:$J$115,COUNTIFS(英雄升级调参!$J$66:$J$115,"&lt;="&amp;英雄升级调参!$M$90)))))</x:f>
        <x:v>34.950749808188604</x:v>
      </x:c>
      <x:c r="E38" s="20">
        <x:f>IF(英雄升级调参!$M$90&gt;MAX(英雄升级调参!$G$66:$G$115),"超过50级",IF(英雄升级调参!$M$90=MAX(英雄升级调参!$G$66:$G$115),50,COUNTIFS(英雄升级调参!$G$66:$G$115,"&lt;="&amp;英雄升级调参!$M$90)+(英雄升级调参!$M$90-INDEX(英雄升级调参!$G$66:$G$115,COUNTIFS(英雄升级调参!$G$66:$G$115,"&lt;="&amp;英雄升级调参!$M$90)))/(INDEX(英雄升级调参!$G$66:$G$115,COUNTIFS(英雄升级调参!$G$66:$G$115,"&lt;="&amp;英雄升级调参!$M$90)+1)-INDEX(英雄升级调参!$G$66:$G$115,COUNTIFS(英雄升级调参!$G$66:$G$115,"&lt;="&amp;英雄升级调参!$M$90)))))</x:f>
        <x:v>45.214745132735686</x:v>
      </x:c>
      <x:c r="F38" s="19" t="s">
        <x:v>36</x:v>
      </x:c>
      <x:c r="G38" s="19">
        <x:f t="shared" si="0"/>
        <x:v>35</x:v>
      </x:c>
      <x:c r="H38" s="19">
        <x:f t="shared" si="1"/>
        <x:v>46</x:v>
      </x:c>
    </x:row>
    <x:row r="39" ht="21.950000762939453" customHeight="1">
      <x:c r="A39" s="19">
        <x:v>26</x:v>
      </x:c>
      <x:c r="B39" s="21">
        <x:f>英雄升级调参!$K$91</x:f>
        <x:v>3627</x:v>
      </x:c>
      <x:c r="C39" s="21">
        <x:f>英雄升级调参!$L$91</x:f>
        <x:v>36195</x:v>
      </x:c>
      <x:c r="D39" s="20">
        <x:f>IF(英雄升级调参!$M$91&gt;MAX(英雄升级调参!$J$66:$J$115),"超过50级",IF(英雄升级调参!$M$91=MAX(英雄升级调参!$J$66:$J$115),50,COUNTIFS(英雄升级调参!$J$66:$J$115,"&lt;="&amp;英雄升级调参!$M$91)+(英雄升级调参!$M$91-INDEX(英雄升级调参!$J$66:$J$115,COUNTIFS(英雄升级调参!$J$66:$J$115,"&lt;="&amp;英雄升级调参!$M$91)))/(INDEX(英雄升级调参!$J$66:$J$115,COUNTIFS(英雄升级调参!$J$66:$J$115,"&lt;="&amp;英雄升级调参!$M$91)+1)-INDEX(英雄升级调参!$J$66:$J$115,COUNTIFS(英雄升级调参!$J$66:$J$115,"&lt;="&amp;英雄升级调参!$M$91)))))</x:f>
        <x:v>36.16810047655402</x:v>
      </x:c>
      <x:c r="E39" s="20">
        <x:f>IF(英雄升级调参!$M$91&gt;MAX(英雄升级调参!$G$66:$G$115),"超过50级",IF(英雄升级调参!$M$91=MAX(英雄升级调参!$G$66:$G$115),50,COUNTIFS(英雄升级调参!$G$66:$G$115,"&lt;="&amp;英雄升级调参!$M$91)+(英雄升级调参!$M$91-INDEX(英雄升级调参!$G$66:$G$115,COUNTIFS(英雄升级调参!$G$66:$G$115,"&lt;="&amp;英雄升级调参!$M$91)))/(INDEX(英雄升级调参!$G$66:$G$115,COUNTIFS(英雄升级调参!$G$66:$G$115,"&lt;="&amp;英雄升级调参!$M$91)+1)-INDEX(英雄升级调参!$G$66:$G$115,COUNTIFS(英雄升级调参!$G$66:$G$115,"&lt;="&amp;英雄升级调参!$M$91)))))</x:f>
        <x:v>46.808470930600365</x:v>
      </x:c>
      <x:c r="F39" s="19" t="s">
        <x:v>36</x:v>
      </x:c>
      <x:c r="G39" s="19">
        <x:f t="shared" si="0"/>
        <x:v>37</x:v>
      </x:c>
      <x:c r="H39" s="19">
        <x:f t="shared" si="1"/>
        <x:v>47</x:v>
      </x:c>
    </x:row>
    <x:row r="40" ht="21.950000762939453" customHeight="1">
      <x:c r="A40" s="19">
        <x:v>27</x:v>
      </x:c>
      <x:c r="B40" s="21">
        <x:f>英雄升级调参!$K$92</x:f>
        <x:v>3785</x:v>
      </x:c>
      <x:c r="C40" s="21">
        <x:f>英雄升级调参!$L$92</x:f>
        <x:v>37770</x:v>
      </x:c>
      <x:c r="D40" s="20">
        <x:f>IF(英雄升级调参!$M$92&gt;MAX(英雄升级调参!$J$66:$J$115),"超过50级",IF(英雄升级调参!$M$92=MAX(英雄升级调参!$J$66:$J$115),50,COUNTIFS(英雄升级调参!$J$66:$J$115,"&lt;="&amp;英雄升级调参!$M$92)+(英雄升级调参!$M$92-INDEX(英雄升级调参!$J$66:$J$115,COUNTIFS(英雄升级调参!$J$66:$J$115,"&lt;="&amp;英雄升级调参!$M$92)))/(INDEX(英雄升级调参!$J$66:$J$115,COUNTIFS(英雄升级调参!$J$66:$J$115,"&lt;="&amp;英雄升级调参!$M$92)+1)-INDEX(英雄升级调参!$J$66:$J$115,COUNTIFS(英雄升级调参!$J$66:$J$115,"&lt;="&amp;英雄升级调参!$M$92)))))</x:f>
        <x:v>37.46213687037188</x:v>
      </x:c>
      <x:c r="E40" s="20">
        <x:f>IF(英雄升级调参!$M$92&gt;MAX(英雄升级调参!$G$66:$G$115),"超过50级",IF(英雄升级调参!$M$92=MAX(英雄升级调参!$G$66:$G$115),50,COUNTIFS(英雄升级调参!$G$66:$G$115,"&lt;="&amp;英雄升级调参!$M$92)+(英雄升级调参!$M$92-INDEX(英雄升级调参!$G$66:$G$115,COUNTIFS(英雄升级调参!$G$66:$G$115,"&lt;="&amp;英雄升级调参!$M$92)))/(INDEX(英雄升级调参!$G$66:$G$115,COUNTIFS(英雄升级调参!$G$66:$G$115,"&lt;="&amp;英雄升级调参!$M$92)+1)-INDEX(英雄升级调参!$G$66:$G$115,COUNTIFS(英雄升级调参!$G$66:$G$115,"&lt;="&amp;英雄升级调参!$M$92)))))</x:f>
        <x:v>48.40087459478041</x:v>
      </x:c>
      <x:c r="F40" s="19" t="s">
        <x:v>36</x:v>
      </x:c>
      <x:c r="G40" s="19">
        <x:f t="shared" si="0"/>
        <x:v>38</x:v>
      </x:c>
      <x:c r="H40" s="19">
        <x:f t="shared" si="1"/>
        <x:v>49</x:v>
      </x:c>
    </x:row>
    <x:row r="41" ht="21.950000762939453" customHeight="1">
      <x:c r="A41" s="19">
        <x:v>28</x:v>
      </x:c>
      <x:c r="B41" s="21">
        <x:f>英雄升级调参!$K$93</x:f>
        <x:v>3943</x:v>
      </x:c>
      <x:c r="C41" s="21">
        <x:f>英雄升级调参!$L$93</x:f>
        <x:v>39345</x:v>
      </x:c>
      <x:c r="D41" s="20">
        <x:f>IF(英雄升级调参!$M$93&gt;MAX(英雄升级调参!$J$66:$J$115),"超过50级",IF(英雄升级调参!$M$93=MAX(英雄升级调参!$J$66:$J$115),50,COUNTIFS(英雄升级调参!$J$66:$J$115,"&lt;="&amp;英雄升级调参!$M$93)+(英雄升级调参!$M$93-INDEX(英雄升级调参!$J$66:$J$115,COUNTIFS(英雄升级调参!$J$66:$J$115,"&lt;="&amp;英雄升级调参!$M$93)))/(INDEX(英雄升级调参!$J$66:$J$115,COUNTIFS(英雄升级调参!$J$66:$J$115,"&lt;="&amp;英雄升级调参!$M$93)+1)-INDEX(英雄升级调参!$J$66:$J$115,COUNTIFS(英雄升级调参!$J$66:$J$115,"&lt;="&amp;英雄升级调参!$M$93)))))</x:f>
        <x:v>38.759000905057285</x:v>
      </x:c>
      <x:c r="E41" s="20">
        <x:f>IF(英雄升级调参!$M$93&gt;MAX(英雄升级调参!$G$66:$G$115),"超过50级",IF(英雄升级调参!$M$93=MAX(英雄升级调参!$G$66:$G$115),50,COUNTIFS(英雄升级调参!$G$66:$G$115,"&lt;="&amp;英雄升级调参!$M$93)+(英雄升级调参!$M$93-INDEX(英雄升级调参!$G$66:$G$115,COUNTIFS(英雄升级调参!$G$66:$G$115,"&lt;="&amp;英雄升级调参!$M$93)))/(INDEX(英雄升级调参!$G$66:$G$115,COUNTIFS(英雄升级调参!$G$66:$G$115,"&lt;="&amp;英雄升级调参!$M$93)+1)-INDEX(英雄升级调参!$G$66:$G$115,COUNTIFS(英雄升级调参!$G$66:$G$115,"&lt;="&amp;英雄升级调参!$M$93)))))</x:f>
        <x:v>49.32422064445382</x:v>
      </x:c>
      <x:c r="F41" s="19" t="s">
        <x:v>36</x:v>
      </x:c>
      <x:c r="G41" s="19">
        <x:f t="shared" si="0"/>
        <x:v>39</x:v>
      </x:c>
      <x:c r="H41" s="19">
        <x:f t="shared" si="1"/>
        <x:v>50</x:v>
      </x:c>
    </x:row>
    <x:row r="42" ht="21.950000762939453" customHeight="1">
      <x:c r="A42" s="19">
        <x:v>29</x:v>
      </x:c>
      <x:c r="B42" s="21">
        <x:f>英雄升级调参!$K$94</x:f>
        <x:v>4101</x:v>
      </x:c>
      <x:c r="C42" s="21">
        <x:f>英雄升级调参!$L$94</x:f>
        <x:v>40920</x:v>
      </x:c>
      <x:c r="D42" s="20">
        <x:f>IF(英雄升级调参!$M$94&gt;MAX(英雄升级调参!$J$66:$J$115),"超过50级",IF(英雄升级调参!$M$94=MAX(英雄升级调参!$J$66:$J$115),50,COUNTIFS(英雄升级调参!$J$66:$J$115,"&lt;="&amp;英雄升级调参!$M$94)+(英雄升级调参!$M$94-INDEX(英雄升级调参!$J$66:$J$115,COUNTIFS(英雄升级调参!$J$66:$J$115,"&lt;="&amp;英雄升级调参!$M$94)))/(INDEX(英雄升级调参!$J$66:$J$115,COUNTIFS(英雄升级调参!$J$66:$J$115,"&lt;="&amp;英雄升级调参!$M$94)+1)-INDEX(英雄升级调参!$J$66:$J$115,COUNTIFS(英雄升级调参!$J$66:$J$115,"&lt;="&amp;英雄升级调参!$M$94)))))</x:f>
        <x:v>39.34246244605997</x:v>
      </x:c>
      <x:c r="E42" s="20">
        <x:f>IF(英雄升级调参!$M$94&gt;MAX(英雄升级调参!$G$66:$G$115),"超过50级",IF(英雄升级调参!$M$94=MAX(英雄升级调参!$G$66:$G$115),50,COUNTIFS(英雄升级调参!$G$66:$G$115,"&lt;="&amp;英雄升级调参!$M$94)+(英雄升级调参!$M$94-INDEX(英雄升级调参!$G$66:$G$115,COUNTIFS(英雄升级调参!$G$66:$G$115,"&lt;="&amp;英雄升级调参!$M$94)))/(INDEX(英雄升级调参!$G$66:$G$115,COUNTIFS(英雄升级调参!$G$66:$G$115,"&lt;="&amp;英雄升级调参!$M$94)+1)-INDEX(英雄升级调参!$G$66:$G$115,COUNTIFS(英雄升级调参!$G$66:$G$115,"&lt;="&amp;英雄升级调参!$M$94)))))</x:f>
        <x:v>49.85924305104448</x:v>
      </x:c>
      <x:c r="F42" s="19" t="s">
        <x:v>36</x:v>
      </x:c>
      <x:c r="G42" s="19">
        <x:f t="shared" si="0"/>
        <x:v>40</x:v>
      </x:c>
      <x:c r="H42" s="19">
        <x:f t="shared" si="1"/>
        <x:v>50</x:v>
      </x:c>
    </x:row>
    <x:row r="43" ht="21.950000762939453" customHeight="1">
      <x:c r="A43" s="19">
        <x:v>30</x:v>
      </x:c>
      <x:c r="B43" s="21">
        <x:f>英雄升级调参!$K$95</x:f>
        <x:v>4575</x:v>
      </x:c>
      <x:c r="C43" s="21">
        <x:f>英雄升级调参!$L$95</x:f>
        <x:v>45645</x:v>
      </x:c>
      <x:c r="D43" s="20">
        <x:f>IF(英雄升级调参!$M$95&gt;MAX(英雄升级调参!$J$66:$J$115),"超过50级",IF(英雄升级调参!$M$95=MAX(英雄升级调参!$J$66:$J$115),50,COUNTIFS(英雄升级调参!$J$66:$J$115,"&lt;="&amp;英雄升级调参!$M$95)+(英雄升级调参!$M$95-INDEX(英雄升级调参!$J$66:$J$115,COUNTIFS(英雄升级调参!$J$66:$J$115,"&lt;="&amp;英雄升级调参!$M$95)))/(INDEX(英雄升级调参!$J$66:$J$115,COUNTIFS(英雄升级调参!$J$66:$J$115,"&lt;="&amp;英雄升级调参!$M$95)+1)-INDEX(英雄升级调参!$J$66:$J$115,COUNTIFS(英雄升级调参!$J$66:$J$115,"&lt;="&amp;英雄升级调参!$M$95)))))</x:f>
        <x:v>41.75095848797756</x:v>
      </x:c>
      <x:c r="E43" s="20" t="str">
        <x:f>IF(英雄升级调参!$M$95&gt;MAX(英雄升级调参!$G$66:$G$115),"超过50级",IF(英雄升级调参!$M$95=MAX(英雄升级调参!$G$66:$G$115),50,COUNTIFS(英雄升级调参!$G$66:$G$115,"&lt;="&amp;英雄升级调参!$M$95)+(英雄升级调参!$M$95-INDEX(英雄升级调参!$G$66:$G$115,COUNTIFS(英雄升级调参!$G$66:$G$115,"&lt;="&amp;英雄升级调参!$M$95)))/(INDEX(英雄升级调参!$G$66:$G$115,COUNTIFS(英雄升级调参!$G$66:$G$115,"&lt;="&amp;英雄升级调参!$M$95)+1)-INDEX(英雄升级调参!$G$66:$G$115,COUNTIFS(英雄升级调参!$G$66:$G$115,"&lt;="&amp;英雄升级调参!$M$95)))))</x:f>
        <x:v>超过50级</x:v>
      </x:c>
      <x:c r="F43" s="19" t="s">
        <x:v>36</x:v>
      </x:c>
      <x:c r="G43" s="19">
        <x:f t="shared" si="0"/>
        <x:v>42</x:v>
      </x:c>
      <x:c r="H43" s="19" t="str">
        <x:f t="shared" si="1"/>
        <x:v>超过50级</x:v>
      </x:c>
    </x:row>
    <x:row r="44" ht="21.950000762939453" customHeight="1">
      <x:c r="A44" s="19">
        <x:v>31</x:v>
      </x:c>
      <x:c r="B44" s="21">
        <x:f>英雄升级调参!$K$96</x:f>
        <x:v>4755</x:v>
      </x:c>
      <x:c r="C44" s="21">
        <x:f>英雄升级调参!$L$96</x:f>
        <x:v>47445</x:v>
      </x:c>
      <x:c r="D44" s="20">
        <x:f>IF(英雄升级调参!$M$96&gt;MAX(英雄升级调参!$J$66:$J$115),"超过50级",IF(英雄升级调参!$M$96=MAX(英雄升级调参!$J$66:$J$115),50,COUNTIFS(英雄升级调参!$J$66:$J$115,"&lt;="&amp;英雄升级调参!$M$96)+(英雄升级调参!$M$96-INDEX(英雄升级调参!$J$66:$J$115,COUNTIFS(英雄升级调参!$J$66:$J$115,"&lt;="&amp;英雄升级调参!$M$96)))/(INDEX(英雄升级调参!$J$66:$J$115,COUNTIFS(英雄升级调参!$J$66:$J$115,"&lt;="&amp;英雄升级调参!$M$96)+1)-INDEX(英雄升级调参!$J$66:$J$115,COUNTIFS(英雄升级调参!$J$66:$J$115,"&lt;="&amp;英雄升级调参!$M$96)))))</x:f>
        <x:v>43.08593740968104</x:v>
      </x:c>
      <x:c r="E44" s="20" t="str">
        <x:f>IF(英雄升级调参!$M$96&gt;MAX(英雄升级调参!$G$66:$G$115),"超过50级",IF(英雄升级调参!$M$96=MAX(英雄升级调参!$G$66:$G$115),50,COUNTIFS(英雄升级调参!$G$66:$G$115,"&lt;="&amp;英雄升级调参!$M$96)+(英雄升级调参!$M$96-INDEX(英雄升级调参!$G$66:$G$115,COUNTIFS(英雄升级调参!$G$66:$G$115,"&lt;="&amp;英雄升级调参!$M$96)))/(INDEX(英雄升级调参!$G$66:$G$115,COUNTIFS(英雄升级调参!$G$66:$G$115,"&lt;="&amp;英雄升级调参!$M$96)+1)-INDEX(英雄升级调参!$G$66:$G$115,COUNTIFS(英雄升级调参!$G$66:$G$115,"&lt;="&amp;英雄升级调参!$M$96)))))</x:f>
        <x:v>超过50级</x:v>
      </x:c>
      <x:c r="F44" s="19" t="s">
        <x:v>36</x:v>
      </x:c>
      <x:c r="G44" s="19">
        <x:f t="shared" si="0"/>
        <x:v>44</x:v>
      </x:c>
      <x:c r="H44" s="19" t="str">
        <x:f t="shared" si="1"/>
        <x:v>超过50级</x:v>
      </x:c>
    </x:row>
    <x:row r="45" ht="21.950000762939453" customHeight="1">
      <x:c r="A45" s="19">
        <x:v>32</x:v>
      </x:c>
      <x:c r="B45" s="21">
        <x:f>英雄升级调参!$K$97</x:f>
        <x:v>4935</x:v>
      </x:c>
      <x:c r="C45" s="21">
        <x:f>英雄升级调参!$L$97</x:f>
        <x:v>49245</x:v>
      </x:c>
      <x:c r="D45" s="20">
        <x:f>IF(英雄升级调参!$M$97&gt;MAX(英雄升级调参!$J$66:$J$115),"超过50级",IF(英雄升级调参!$M$97=MAX(英雄升级调参!$J$66:$J$115),50,COUNTIFS(英雄升级调参!$J$66:$J$115,"&lt;="&amp;英雄升级调参!$M$97)+(英雄升级调参!$M$97-INDEX(英雄升级调参!$J$66:$J$115,COUNTIFS(英雄升级调参!$J$66:$J$115,"&lt;="&amp;英雄升级调参!$M$97)))/(INDEX(英雄升级调参!$J$66:$J$115,COUNTIFS(英雄升级调参!$J$66:$J$115,"&lt;="&amp;英雄升级调参!$M$97)+1)-INDEX(英雄升级调参!$J$66:$J$115,COUNTIFS(英雄升级调参!$J$66:$J$115,"&lt;="&amp;英雄升级调参!$M$97)))))</x:f>
        <x:v>44.13532146075738</x:v>
      </x:c>
      <x:c r="E45" s="20" t="str">
        <x:f>IF(英雄升级调参!$M$97&gt;MAX(英雄升级调参!$G$66:$G$115),"超过50级",IF(英雄升级调参!$M$97=MAX(英雄升级调参!$G$66:$G$115),50,COUNTIFS(英雄升级调参!$G$66:$G$115,"&lt;="&amp;英雄升级调参!$M$97)+(英雄升级调参!$M$97-INDEX(英雄升级调参!$G$66:$G$115,COUNTIFS(英雄升级调参!$G$66:$G$115,"&lt;="&amp;英雄升级调参!$M$97)))/(INDEX(英雄升级调参!$G$66:$G$115,COUNTIFS(英雄升级调参!$G$66:$G$115,"&lt;="&amp;英雄升级调参!$M$97)+1)-INDEX(英雄升级调参!$G$66:$G$115,COUNTIFS(英雄升级调参!$G$66:$G$115,"&lt;="&amp;英雄升级调参!$M$97)))))</x:f>
        <x:v>超过50级</x:v>
      </x:c>
      <x:c r="F45" s="19" t="s">
        <x:v>36</x:v>
      </x:c>
      <x:c r="G45" s="19">
        <x:f t="shared" si="0"/>
        <x:v>45</x:v>
      </x:c>
      <x:c r="H45" s="19" t="str">
        <x:f t="shared" si="1"/>
        <x:v>超过50级</x:v>
      </x:c>
    </x:row>
    <x:row r="46" ht="21.950000762939453" customHeight="1">
      <x:c r="A46" s="19">
        <x:v>33</x:v>
      </x:c>
      <x:c r="B46" s="21">
        <x:f>英雄升级调参!$K$98</x:f>
        <x:v>5115</x:v>
      </x:c>
      <x:c r="C46" s="21">
        <x:f>英雄升级调参!$L$98</x:f>
        <x:v>51045</x:v>
      </x:c>
      <x:c r="D46" s="20">
        <x:f>IF(英雄升级调参!$M$98&gt;MAX(英雄升级调参!$J$66:$J$115),"超过50级",IF(英雄升级调参!$M$98=MAX(英雄升级调参!$J$66:$J$115),50,COUNTIFS(英雄升级调参!$J$66:$J$115,"&lt;="&amp;英雄升级调参!$M$98)+(英雄升级调参!$M$98-INDEX(英雄升级调参!$J$66:$J$115,COUNTIFS(英雄升级调参!$J$66:$J$115,"&lt;="&amp;英雄升级调参!$M$98)))/(INDEX(英雄升级调参!$J$66:$J$115,COUNTIFS(英雄升级调参!$J$66:$J$115,"&lt;="&amp;英雄升级调参!$M$98)+1)-INDEX(英雄升级调参!$J$66:$J$115,COUNTIFS(英雄升级调参!$J$66:$J$115,"&lt;="&amp;英雄升级调参!$M$98)))))</x:f>
        <x:v>44.57488406542687</x:v>
      </x:c>
      <x:c r="E46" s="20" t="str">
        <x:f>IF(英雄升级调参!$M$98&gt;MAX(英雄升级调参!$G$66:$G$115),"超过50级",IF(英雄升级调参!$M$98=MAX(英雄升级调参!$G$66:$G$115),50,COUNTIFS(英雄升级调参!$G$66:$G$115,"&lt;="&amp;英雄升级调参!$M$98)+(英雄升级调参!$M$98-INDEX(英雄升级调参!$G$66:$G$115,COUNTIFS(英雄升级调参!$G$66:$G$115,"&lt;="&amp;英雄升级调参!$M$98)))/(INDEX(英雄升级调参!$G$66:$G$115,COUNTIFS(英雄升级调参!$G$66:$G$115,"&lt;="&amp;英雄升级调参!$M$98)+1)-INDEX(英雄升级调参!$G$66:$G$115,COUNTIFS(英雄升级调参!$G$66:$G$115,"&lt;="&amp;英雄升级调参!$M$98)))))</x:f>
        <x:v>超过50级</x:v>
      </x:c>
      <x:c r="F46" s="19" t="s">
        <x:v>36</x:v>
      </x:c>
      <x:c r="G46" s="19">
        <x:f t="shared" ref="G46:G63" si="2">IF(ISNUMBER(D46),ROUNDUP(D46,0),"超过50级")</x:f>
        <x:v>45</x:v>
      </x:c>
      <x:c r="H46" s="19" t="str">
        <x:f t="shared" ref="H46:H63" si="3">IF(ISNUMBER(E46),ROUNDUP(E46,0),"超过50级")</x:f>
        <x:v>超过50级</x:v>
      </x:c>
    </x:row>
    <x:row r="47" ht="21.950000762939453" customHeight="1">
      <x:c r="A47" s="19">
        <x:v>34</x:v>
      </x:c>
      <x:c r="B47" s="21">
        <x:f>英雄升级调参!$K$99</x:f>
        <x:v>5295</x:v>
      </x:c>
      <x:c r="C47" s="21">
        <x:f>英雄升级调参!$L$99</x:f>
        <x:v>52845</x:v>
      </x:c>
      <x:c r="D47" s="20">
        <x:f>IF(英雄升级调参!$M$99&gt;MAX(英雄升级调参!$J$66:$J$115),"超过50级",IF(英雄升级调参!$M$99=MAX(英雄升级调参!$J$66:$J$115),50,COUNTIFS(英雄升级调参!$J$66:$J$115,"&lt;="&amp;英雄升级调参!$M$99)+(英雄升级调参!$M$99-INDEX(英雄升级调参!$J$66:$J$115,COUNTIFS(英雄升级调参!$J$66:$J$115,"&lt;="&amp;英雄升级调参!$M$99)))/(INDEX(英雄升级调参!$J$66:$J$115,COUNTIFS(英雄升级调参!$J$66:$J$115,"&lt;="&amp;英雄升级调参!$M$99)+1)-INDEX(英雄升级调参!$J$66:$J$115,COUNTIFS(英雄升级调参!$J$66:$J$115,"&lt;="&amp;英雄升级调参!$M$99)))))</x:f>
        <x:v>45.077994295145224</x:v>
      </x:c>
      <x:c r="E47" s="20" t="str">
        <x:f>IF(英雄升级调参!$M$99&gt;MAX(英雄升级调参!$G$66:$G$115),"超过50级",IF(英雄升级调参!$M$99=MAX(英雄升级调参!$G$66:$G$115),50,COUNTIFS(英雄升级调参!$G$66:$G$115,"&lt;="&amp;英雄升级调参!$M$99)+(英雄升级调参!$M$99-INDEX(英雄升级调参!$G$66:$G$115,COUNTIFS(英雄升级调参!$G$66:$G$115,"&lt;="&amp;英雄升级调参!$M$99)))/(INDEX(英雄升级调参!$G$66:$G$115,COUNTIFS(英雄升级调参!$G$66:$G$115,"&lt;="&amp;英雄升级调参!$M$99)+1)-INDEX(英雄升级调参!$G$66:$G$115,COUNTIFS(英雄升级调参!$G$66:$G$115,"&lt;="&amp;英雄升级调参!$M$99)))))</x:f>
        <x:v>超过50级</x:v>
      </x:c>
      <x:c r="F47" s="19" t="s">
        <x:v>36</x:v>
      </x:c>
      <x:c r="G47" s="19">
        <x:f t="shared" si="2"/>
        <x:v>46</x:v>
      </x:c>
      <x:c r="H47" s="19" t="str">
        <x:f t="shared" si="3"/>
        <x:v>超过50级</x:v>
      </x:c>
    </x:row>
    <x:row r="48" ht="21.950000762939453" customHeight="1">
      <x:c r="A48" s="19">
        <x:v>35</x:v>
      </x:c>
      <x:c r="B48" s="21">
        <x:f>英雄升级调参!$K$100</x:f>
        <x:v>5835</x:v>
      </x:c>
      <x:c r="C48" s="21">
        <x:f>英雄升级调参!$L$100</x:f>
        <x:v>58245</x:v>
      </x:c>
      <x:c r="D48" s="20">
        <x:f>IF(英雄升级调参!$M$100&gt;MAX(英雄升级调参!$J$66:$J$115),"超过50级",IF(英雄升级调参!$M$100=MAX(英雄升级调参!$J$66:$J$115),50,COUNTIFS(英雄升级调参!$J$66:$J$115,"&lt;="&amp;英雄升级调参!$M$100)+(英雄升级调参!$M$100-INDEX(英雄升级调参!$J$66:$J$115,COUNTIFS(英雄升级调参!$J$66:$J$115,"&lt;="&amp;英雄升级调参!$M$100)))/(INDEX(英雄升级调参!$J$66:$J$115,COUNTIFS(英雄升级调参!$J$66:$J$115,"&lt;="&amp;英雄升级调参!$M$100)+1)-INDEX(英雄升级调参!$J$66:$J$115,COUNTIFS(英雄升级调参!$J$66:$J$115,"&lt;="&amp;英雄升级调参!$M$100)))))</x:f>
        <x:v>48.70661914442576</x:v>
      </x:c>
      <x:c r="E48" s="20" t="str">
        <x:f>IF(英雄升级调参!$M$100&gt;MAX(英雄升级调参!$G$66:$G$115),"超过50级",IF(英雄升级调参!$M$100=MAX(英雄升级调参!$G$66:$G$115),50,COUNTIFS(英雄升级调参!$G$66:$G$115,"&lt;="&amp;英雄升级调参!$M$100)+(英雄升级调参!$M$100-INDEX(英雄升级调参!$G$66:$G$115,COUNTIFS(英雄升级调参!$G$66:$G$115,"&lt;="&amp;英雄升级调参!$M$100)))/(INDEX(英雄升级调参!$G$66:$G$115,COUNTIFS(英雄升级调参!$G$66:$G$115,"&lt;="&amp;英雄升级调参!$M$100)+1)-INDEX(英雄升级调参!$G$66:$G$115,COUNTIFS(英雄升级调参!$G$66:$G$115,"&lt;="&amp;英雄升级调参!$M$100)))))</x:f>
        <x:v>超过50级</x:v>
      </x:c>
      <x:c r="F48" s="19" t="s">
        <x:v>36</x:v>
      </x:c>
      <x:c r="G48" s="19">
        <x:f t="shared" si="2"/>
        <x:v>49</x:v>
      </x:c>
      <x:c r="H48" s="19" t="str">
        <x:f t="shared" si="3"/>
        <x:v>超过50级</x:v>
      </x:c>
    </x:row>
    <x:row r="49" ht="21.950000762939453" customHeight="1">
      <x:c r="A49" s="19">
        <x:v>36</x:v>
      </x:c>
      <x:c r="B49" s="21">
        <x:f>英雄升级调参!$K$101</x:f>
        <x:v>6038</x:v>
      </x:c>
      <x:c r="C49" s="21">
        <x:f>英雄升级调参!$L$101</x:f>
        <x:v>60270</x:v>
      </x:c>
      <x:c r="D49" s="20">
        <x:f>IF(英雄升级调参!$M$101&gt;MAX(英雄升级调参!$J$66:$J$115),"超过50级",IF(英雄升级调参!$M$101=MAX(英雄升级调参!$J$66:$J$115),50,COUNTIFS(英雄升级调参!$J$66:$J$115,"&lt;="&amp;英雄升级调参!$M$101)+(英雄升级调参!$M$101-INDEX(英雄升级调参!$J$66:$J$115,COUNTIFS(英雄升级调参!$J$66:$J$115,"&lt;="&amp;英雄升级调参!$M$101)))/(INDEX(英雄升级调参!$J$66:$J$115,COUNTIFS(英雄升级调参!$J$66:$J$115,"&lt;="&amp;英雄升级调参!$M$101)+1)-INDEX(英雄升级调参!$J$66:$J$115,COUNTIFS(英雄升级调参!$J$66:$J$115,"&lt;="&amp;英雄升级调参!$M$101)))))</x:f>
        <x:v>49.34902373354992</x:v>
      </x:c>
      <x:c r="E49" s="20" t="str">
        <x:f>IF(英雄升级调参!$M$101&gt;MAX(英雄升级调参!$G$66:$G$115),"超过50级",IF(英雄升级调参!$M$101=MAX(英雄升级调参!$G$66:$G$115),50,COUNTIFS(英雄升级调参!$G$66:$G$115,"&lt;="&amp;英雄升级调参!$M$101)+(英雄升级调参!$M$101-INDEX(英雄升级调参!$G$66:$G$115,COUNTIFS(英雄升级调参!$G$66:$G$115,"&lt;="&amp;英雄升级调参!$M$101)))/(INDEX(英雄升级调参!$G$66:$G$115,COUNTIFS(英雄升级调参!$G$66:$G$115,"&lt;="&amp;英雄升级调参!$M$101)+1)-INDEX(英雄升级调参!$G$66:$G$115,COUNTIFS(英雄升级调参!$G$66:$G$115,"&lt;="&amp;英雄升级调参!$M$101)))))</x:f>
        <x:v>超过50级</x:v>
      </x:c>
      <x:c r="F49" s="19" t="s">
        <x:v>36</x:v>
      </x:c>
      <x:c r="G49" s="19">
        <x:f t="shared" si="2"/>
        <x:v>50</x:v>
      </x:c>
      <x:c r="H49" s="19" t="str">
        <x:f t="shared" si="3"/>
        <x:v>超过50级</x:v>
      </x:c>
    </x:row>
    <x:row r="50" ht="21.950000762939453" customHeight="1">
      <x:c r="A50" s="19">
        <x:v>37</x:v>
      </x:c>
      <x:c r="B50" s="21">
        <x:f>英雄升级调参!$K$102</x:f>
        <x:v>6241</x:v>
      </x:c>
      <x:c r="C50" s="21">
        <x:f>英雄升级调参!$L$102</x:f>
        <x:v>62295</x:v>
      </x:c>
      <x:c r="D50" s="20">
        <x:f>IF(英雄升级调参!$M$102&gt;MAX(英雄升级调参!$J$66:$J$115),"超过50级",IF(英雄升级调参!$M$102=MAX(英雄升级调参!$J$66:$J$115),50,COUNTIFS(英雄升级调参!$J$66:$J$115,"&lt;="&amp;英雄升级调参!$M$102)+(英雄升级调参!$M$102-INDEX(英雄升级调参!$J$66:$J$115,COUNTIFS(英雄升级调参!$J$66:$J$115,"&lt;="&amp;英雄升级调参!$M$102)))/(INDEX(英雄升级调参!$J$66:$J$115,COUNTIFS(英雄升级调参!$J$66:$J$115,"&lt;="&amp;英雄升级调参!$M$102)+1)-INDEX(英雄升级调参!$J$66:$J$115,COUNTIFS(英雄升级调参!$J$66:$J$115,"&lt;="&amp;英雄升级调参!$M$102)))))</x:f>
        <x:v>49.80617950113394</x:v>
      </x:c>
      <x:c r="E50" s="20" t="str">
        <x:f>IF(英雄升级调参!$M$102&gt;MAX(英雄升级调参!$G$66:$G$115),"超过50级",IF(英雄升级调参!$M$102=MAX(英雄升级调参!$G$66:$G$115),50,COUNTIFS(英雄升级调参!$G$66:$G$115,"&lt;="&amp;英雄升级调参!$M$102)+(英雄升级调参!$M$102-INDEX(英雄升级调参!$G$66:$G$115,COUNTIFS(英雄升级调参!$G$66:$G$115,"&lt;="&amp;英雄升级调参!$M$102)))/(INDEX(英雄升级调参!$G$66:$G$115,COUNTIFS(英雄升级调参!$G$66:$G$115,"&lt;="&amp;英雄升级调参!$M$102)+1)-INDEX(英雄升级调参!$G$66:$G$115,COUNTIFS(英雄升级调参!$G$66:$G$115,"&lt;="&amp;英雄升级调参!$M$102)))))</x:f>
        <x:v>超过50级</x:v>
      </x:c>
      <x:c r="F50" s="19" t="s">
        <x:v>36</x:v>
      </x:c>
      <x:c r="G50" s="19">
        <x:f t="shared" si="2"/>
        <x:v>50</x:v>
      </x:c>
      <x:c r="H50" s="19" t="str">
        <x:f t="shared" si="3"/>
        <x:v>超过50级</x:v>
      </x:c>
    </x:row>
    <x:row r="51" ht="21.950000762939453" customHeight="1">
      <x:c r="A51" s="19">
        <x:v>38</x:v>
      </x:c>
      <x:c r="B51" s="21">
        <x:f>英雄升级调参!$K$103</x:f>
        <x:v>6444</x:v>
      </x:c>
      <x:c r="C51" s="21">
        <x:f>英雄升级调参!$L$103</x:f>
        <x:v>64320</x:v>
      </x:c>
      <x:c r="D51" s="20" t="str">
        <x:f>IF(英雄升级调参!$M$103&gt;MAX(英雄升级调参!$J$66:$J$115),"超过50级",IF(英雄升级调参!$M$103=MAX(英雄升级调参!$J$66:$J$115),50,COUNTIFS(英雄升级调参!$J$66:$J$115,"&lt;="&amp;英雄升级调参!$M$103)+(英雄升级调参!$M$103-INDEX(英雄升级调参!$J$66:$J$115,COUNTIFS(英雄升级调参!$J$66:$J$115,"&lt;="&amp;英雄升级调参!$M$103)))/(INDEX(英雄升级调参!$J$66:$J$115,COUNTIFS(英雄升级调参!$J$66:$J$115,"&lt;="&amp;英雄升级调参!$M$103)+1)-INDEX(英雄升级调参!$J$66:$J$115,COUNTIFS(英雄升级调参!$J$66:$J$115,"&lt;="&amp;英雄升级调参!$M$103)))))</x:f>
        <x:v>超过50级</x:v>
      </x:c>
      <x:c r="E51" s="20" t="str">
        <x:f>IF(英雄升级调参!$M$103&gt;MAX(英雄升级调参!$G$66:$G$115),"超过50级",IF(英雄升级调参!$M$103=MAX(英雄升级调参!$G$66:$G$115),50,COUNTIFS(英雄升级调参!$G$66:$G$115,"&lt;="&amp;英雄升级调参!$M$103)+(英雄升级调参!$M$103-INDEX(英雄升级调参!$G$66:$G$115,COUNTIFS(英雄升级调参!$G$66:$G$115,"&lt;="&amp;英雄升级调参!$M$103)))/(INDEX(英雄升级调参!$G$66:$G$115,COUNTIFS(英雄升级调参!$G$66:$G$115,"&lt;="&amp;英雄升级调参!$M$103)+1)-INDEX(英雄升级调参!$G$66:$G$115,COUNTIFS(英雄升级调参!$G$66:$G$115,"&lt;="&amp;英雄升级调参!$M$103)))))</x:f>
        <x:v>超过50级</x:v>
      </x:c>
      <x:c r="F51" s="19" t="s">
        <x:v>36</x:v>
      </x:c>
      <x:c r="G51" s="19" t="str">
        <x:f t="shared" si="2"/>
        <x:v>超过50级</x:v>
      </x:c>
      <x:c r="H51" s="19" t="str">
        <x:f t="shared" si="3"/>
        <x:v>超过50级</x:v>
      </x:c>
    </x:row>
    <x:row r="52" ht="21.950000762939453" customHeight="1">
      <x:c r="A52" s="19">
        <x:v>39</x:v>
      </x:c>
      <x:c r="B52" s="21">
        <x:f>英雄升级调参!$K$104</x:f>
        <x:v>6647</x:v>
      </x:c>
      <x:c r="C52" s="21">
        <x:f>英雄升级调参!$L$104</x:f>
        <x:v>66345</x:v>
      </x:c>
      <x:c r="D52" s="20" t="str">
        <x:f>IF(英雄升级调参!$M$104&gt;MAX(英雄升级调参!$J$66:$J$115),"超过50级",IF(英雄升级调参!$M$104=MAX(英雄升级调参!$J$66:$J$115),50,COUNTIFS(英雄升级调参!$J$66:$J$115,"&lt;="&amp;英雄升级调参!$M$104)+(英雄升级调参!$M$104-INDEX(英雄升级调参!$J$66:$J$115,COUNTIFS(英雄升级调参!$J$66:$J$115,"&lt;="&amp;英雄升级调参!$M$104)))/(INDEX(英雄升级调参!$J$66:$J$115,COUNTIFS(英雄升级调参!$J$66:$J$115,"&lt;="&amp;英雄升级调参!$M$104)+1)-INDEX(英雄升级调参!$J$66:$J$115,COUNTIFS(英雄升级调参!$J$66:$J$115,"&lt;="&amp;英雄升级调参!$M$104)))))</x:f>
        <x:v>超过50级</x:v>
      </x:c>
      <x:c r="E52" s="20" t="str">
        <x:f>IF(英雄升级调参!$M$104&gt;MAX(英雄升级调参!$G$66:$G$115),"超过50级",IF(英雄升级调参!$M$104=MAX(英雄升级调参!$G$66:$G$115),50,COUNTIFS(英雄升级调参!$G$66:$G$115,"&lt;="&amp;英雄升级调参!$M$104)+(英雄升级调参!$M$104-INDEX(英雄升级调参!$G$66:$G$115,COUNTIFS(英雄升级调参!$G$66:$G$115,"&lt;="&amp;英雄升级调参!$M$104)))/(INDEX(英雄升级调参!$G$66:$G$115,COUNTIFS(英雄升级调参!$G$66:$G$115,"&lt;="&amp;英雄升级调参!$M$104)+1)-INDEX(英雄升级调参!$G$66:$G$115,COUNTIFS(英雄升级调参!$G$66:$G$115,"&lt;="&amp;英雄升级调参!$M$104)))))</x:f>
        <x:v>超过50级</x:v>
      </x:c>
      <x:c r="F52" s="19" t="s">
        <x:v>36</x:v>
      </x:c>
      <x:c r="G52" s="19" t="str">
        <x:f t="shared" si="2"/>
        <x:v>超过50级</x:v>
      </x:c>
      <x:c r="H52" s="19" t="str">
        <x:f t="shared" si="3"/>
        <x:v>超过50级</x:v>
      </x:c>
    </x:row>
    <x:row r="53" ht="21.950000762939453" customHeight="1">
      <x:c r="A53" s="19">
        <x:v>40</x:v>
      </x:c>
      <x:c r="B53" s="21">
        <x:f>英雄升级调参!$K$105</x:f>
        <x:v>7256</x:v>
      </x:c>
      <x:c r="C53" s="21">
        <x:f>英雄升级调参!$L$105</x:f>
        <x:v>72420</x:v>
      </x:c>
      <x:c r="D53" s="20" t="str">
        <x:f>IF(英雄升级调参!$M$105&gt;MAX(英雄升级调参!$J$66:$J$115),"超过50级",IF(英雄升级调参!$M$105=MAX(英雄升级调参!$J$66:$J$115),50,COUNTIFS(英雄升级调参!$J$66:$J$115,"&lt;="&amp;英雄升级调参!$M$105)+(英雄升级调参!$M$105-INDEX(英雄升级调参!$J$66:$J$115,COUNTIFS(英雄升级调参!$J$66:$J$115,"&lt;="&amp;英雄升级调参!$M$105)))/(INDEX(英雄升级调参!$J$66:$J$115,COUNTIFS(英雄升级调参!$J$66:$J$115,"&lt;="&amp;英雄升级调参!$M$105)+1)-INDEX(英雄升级调参!$J$66:$J$115,COUNTIFS(英雄升级调参!$J$66:$J$115,"&lt;="&amp;英雄升级调参!$M$105)))))</x:f>
        <x:v>超过50级</x:v>
      </x:c>
      <x:c r="E53" s="20" t="str">
        <x:f>IF(英雄升级调参!$M$105&gt;MAX(英雄升级调参!$G$66:$G$115),"超过50级",IF(英雄升级调参!$M$105=MAX(英雄升级调参!$G$66:$G$115),50,COUNTIFS(英雄升级调参!$G$66:$G$115,"&lt;="&amp;英雄升级调参!$M$105)+(英雄升级调参!$M$105-INDEX(英雄升级调参!$G$66:$G$115,COUNTIFS(英雄升级调参!$G$66:$G$115,"&lt;="&amp;英雄升级调参!$M$105)))/(INDEX(英雄升级调参!$G$66:$G$115,COUNTIFS(英雄升级调参!$G$66:$G$115,"&lt;="&amp;英雄升级调参!$M$105)+1)-INDEX(英雄升级调参!$G$66:$G$115,COUNTIFS(英雄升级调参!$G$66:$G$115,"&lt;="&amp;英雄升级调参!$M$105)))))</x:f>
        <x:v>超过50级</x:v>
      </x:c>
      <x:c r="F53" s="19" t="s">
        <x:v>36</x:v>
      </x:c>
      <x:c r="G53" s="19" t="str">
        <x:f t="shared" si="2"/>
        <x:v>超过50级</x:v>
      </x:c>
      <x:c r="H53" s="19" t="str">
        <x:f t="shared" si="3"/>
        <x:v>超过50级</x:v>
      </x:c>
    </x:row>
    <x:row r="54" ht="21.950000762939453" customHeight="1">
      <x:c r="A54" s="19">
        <x:v>41</x:v>
      </x:c>
      <x:c r="B54" s="21">
        <x:f>英雄升级调参!$K$106</x:f>
        <x:v>7481</x:v>
      </x:c>
      <x:c r="C54" s="21">
        <x:f>英雄升级调参!$L$106</x:f>
        <x:v>74670</x:v>
      </x:c>
      <x:c r="D54" s="20" t="str">
        <x:f>IF(英雄升级调参!$M$106&gt;MAX(英雄升级调参!$J$66:$J$115),"超过50级",IF(英雄升级调参!$M$106=MAX(英雄升级调参!$J$66:$J$115),50,COUNTIFS(英雄升级调参!$J$66:$J$115,"&lt;="&amp;英雄升级调参!$M$106)+(英雄升级调参!$M$106-INDEX(英雄升级调参!$J$66:$J$115,COUNTIFS(英雄升级调参!$J$66:$J$115,"&lt;="&amp;英雄升级调参!$M$106)))/(INDEX(英雄升级调参!$J$66:$J$115,COUNTIFS(英雄升级调参!$J$66:$J$115,"&lt;="&amp;英雄升级调参!$M$106)+1)-INDEX(英雄升级调参!$J$66:$J$115,COUNTIFS(英雄升级调参!$J$66:$J$115,"&lt;="&amp;英雄升级调参!$M$106)))))</x:f>
        <x:v>超过50级</x:v>
      </x:c>
      <x:c r="E54" s="20" t="str">
        <x:f>IF(英雄升级调参!$M$106&gt;MAX(英雄升级调参!$G$66:$G$115),"超过50级",IF(英雄升级调参!$M$106=MAX(英雄升级调参!$G$66:$G$115),50,COUNTIFS(英雄升级调参!$G$66:$G$115,"&lt;="&amp;英雄升级调参!$M$106)+(英雄升级调参!$M$106-INDEX(英雄升级调参!$G$66:$G$115,COUNTIFS(英雄升级调参!$G$66:$G$115,"&lt;="&amp;英雄升级调参!$M$106)))/(INDEX(英雄升级调参!$G$66:$G$115,COUNTIFS(英雄升级调参!$G$66:$G$115,"&lt;="&amp;英雄升级调参!$M$106)+1)-INDEX(英雄升级调参!$G$66:$G$115,COUNTIFS(英雄升级调参!$G$66:$G$115,"&lt;="&amp;英雄升级调参!$M$106)))))</x:f>
        <x:v>超过50级</x:v>
      </x:c>
      <x:c r="F54" s="19" t="s">
        <x:v>36</x:v>
      </x:c>
      <x:c r="G54" s="19" t="str">
        <x:f t="shared" si="2"/>
        <x:v>超过50级</x:v>
      </x:c>
      <x:c r="H54" s="19" t="str">
        <x:f t="shared" si="3"/>
        <x:v>超过50级</x:v>
      </x:c>
    </x:row>
    <x:row r="55" ht="21.950000762939453" customHeight="1">
      <x:c r="A55" s="19">
        <x:v>42</x:v>
      </x:c>
      <x:c r="B55" s="21">
        <x:f>英雄升级调参!$K$107</x:f>
        <x:v>7706</x:v>
      </x:c>
      <x:c r="C55" s="21">
        <x:f>英雄升级调参!$L$107</x:f>
        <x:v>76920</x:v>
      </x:c>
      <x:c r="D55" s="20" t="str">
        <x:f>IF(英雄升级调参!$M$107&gt;MAX(英雄升级调参!$J$66:$J$115),"超过50级",IF(英雄升级调参!$M$107=MAX(英雄升级调参!$J$66:$J$115),50,COUNTIFS(英雄升级调参!$J$66:$J$115,"&lt;="&amp;英雄升级调参!$M$107)+(英雄升级调参!$M$107-INDEX(英雄升级调参!$J$66:$J$115,COUNTIFS(英雄升级调参!$J$66:$J$115,"&lt;="&amp;英雄升级调参!$M$107)))/(INDEX(英雄升级调参!$J$66:$J$115,COUNTIFS(英雄升级调参!$J$66:$J$115,"&lt;="&amp;英雄升级调参!$M$107)+1)-INDEX(英雄升级调参!$J$66:$J$115,COUNTIFS(英雄升级调参!$J$66:$J$115,"&lt;="&amp;英雄升级调参!$M$107)))))</x:f>
        <x:v>超过50级</x:v>
      </x:c>
      <x:c r="E55" s="20" t="str">
        <x:f>IF(英雄升级调参!$M$107&gt;MAX(英雄升级调参!$G$66:$G$115),"超过50级",IF(英雄升级调参!$M$107=MAX(英雄升级调参!$G$66:$G$115),50,COUNTIFS(英雄升级调参!$G$66:$G$115,"&lt;="&amp;英雄升级调参!$M$107)+(英雄升级调参!$M$107-INDEX(英雄升级调参!$G$66:$G$115,COUNTIFS(英雄升级调参!$G$66:$G$115,"&lt;="&amp;英雄升级调参!$M$107)))/(INDEX(英雄升级调参!$G$66:$G$115,COUNTIFS(英雄升级调参!$G$66:$G$115,"&lt;="&amp;英雄升级调参!$M$107)+1)-INDEX(英雄升级调参!$G$66:$G$115,COUNTIFS(英雄升级调参!$G$66:$G$115,"&lt;="&amp;英雄升级调参!$M$107)))))</x:f>
        <x:v>超过50级</x:v>
      </x:c>
      <x:c r="F55" s="19" t="s">
        <x:v>36</x:v>
      </x:c>
      <x:c r="G55" s="19" t="str">
        <x:f t="shared" si="2"/>
        <x:v>超过50级</x:v>
      </x:c>
      <x:c r="H55" s="19" t="str">
        <x:f t="shared" si="3"/>
        <x:v>超过50级</x:v>
      </x:c>
    </x:row>
    <x:row r="56" ht="21.950000762939453" customHeight="1">
      <x:c r="A56" s="19">
        <x:v>43</x:v>
      </x:c>
      <x:c r="B56" s="21">
        <x:f>英雄升级调参!$K$108</x:f>
        <x:v>7931</x:v>
      </x:c>
      <x:c r="C56" s="21">
        <x:f>英雄升级调参!$L$108</x:f>
        <x:v>79170</x:v>
      </x:c>
      <x:c r="D56" s="20" t="str">
        <x:f>IF(英雄升级调参!$M$108&gt;MAX(英雄升级调参!$J$66:$J$115),"超过50级",IF(英雄升级调参!$M$108=MAX(英雄升级调参!$J$66:$J$115),50,COUNTIFS(英雄升级调参!$J$66:$J$115,"&lt;="&amp;英雄升级调参!$M$108)+(英雄升级调参!$M$108-INDEX(英雄升级调参!$J$66:$J$115,COUNTIFS(英雄升级调参!$J$66:$J$115,"&lt;="&amp;英雄升级调参!$M$108)))/(INDEX(英雄升级调参!$J$66:$J$115,COUNTIFS(英雄升级调参!$J$66:$J$115,"&lt;="&amp;英雄升级调参!$M$108)+1)-INDEX(英雄升级调参!$J$66:$J$115,COUNTIFS(英雄升级调参!$J$66:$J$115,"&lt;="&amp;英雄升级调参!$M$108)))))</x:f>
        <x:v>超过50级</x:v>
      </x:c>
      <x:c r="E56" s="20" t="str">
        <x:f>IF(英雄升级调参!$M$108&gt;MAX(英雄升级调参!$G$66:$G$115),"超过50级",IF(英雄升级调参!$M$108=MAX(英雄升级调参!$G$66:$G$115),50,COUNTIFS(英雄升级调参!$G$66:$G$115,"&lt;="&amp;英雄升级调参!$M$108)+(英雄升级调参!$M$108-INDEX(英雄升级调参!$G$66:$G$115,COUNTIFS(英雄升级调参!$G$66:$G$115,"&lt;="&amp;英雄升级调参!$M$108)))/(INDEX(英雄升级调参!$G$66:$G$115,COUNTIFS(英雄升级调参!$G$66:$G$115,"&lt;="&amp;英雄升级调参!$M$108)+1)-INDEX(英雄升级调参!$G$66:$G$115,COUNTIFS(英雄升级调参!$G$66:$G$115,"&lt;="&amp;英雄升级调参!$M$108)))))</x:f>
        <x:v>超过50级</x:v>
      </x:c>
      <x:c r="F56" s="19" t="s">
        <x:v>36</x:v>
      </x:c>
      <x:c r="G56" s="19" t="str">
        <x:f t="shared" si="2"/>
        <x:v>超过50级</x:v>
      </x:c>
      <x:c r="H56" s="19" t="str">
        <x:f t="shared" si="3"/>
        <x:v>超过50级</x:v>
      </x:c>
    </x:row>
    <x:row r="57" ht="21.950000762939453" customHeight="1">
      <x:c r="A57" s="19">
        <x:v>44</x:v>
      </x:c>
      <x:c r="B57" s="21">
        <x:f>英雄升级调参!$K$109</x:f>
        <x:v>8156</x:v>
      </x:c>
      <x:c r="C57" s="21">
        <x:f>英雄升级调参!$L$109</x:f>
        <x:v>81420</x:v>
      </x:c>
      <x:c r="D57" s="20" t="str">
        <x:f>IF(英雄升级调参!$M$109&gt;MAX(英雄升级调参!$J$66:$J$115),"超过50级",IF(英雄升级调参!$M$109=MAX(英雄升级调参!$J$66:$J$115),50,COUNTIFS(英雄升级调参!$J$66:$J$115,"&lt;="&amp;英雄升级调参!$M$109)+(英雄升级调参!$M$109-INDEX(英雄升级调参!$J$66:$J$115,COUNTIFS(英雄升级调参!$J$66:$J$115,"&lt;="&amp;英雄升级调参!$M$109)))/(INDEX(英雄升级调参!$J$66:$J$115,COUNTIFS(英雄升级调参!$J$66:$J$115,"&lt;="&amp;英雄升级调参!$M$109)+1)-INDEX(英雄升级调参!$J$66:$J$115,COUNTIFS(英雄升级调参!$J$66:$J$115,"&lt;="&amp;英雄升级调参!$M$109)))))</x:f>
        <x:v>超过50级</x:v>
      </x:c>
      <x:c r="E57" s="20" t="str">
        <x:f>IF(英雄升级调参!$M$109&gt;MAX(英雄升级调参!$G$66:$G$115),"超过50级",IF(英雄升级调参!$M$109=MAX(英雄升级调参!$G$66:$G$115),50,COUNTIFS(英雄升级调参!$G$66:$G$115,"&lt;="&amp;英雄升级调参!$M$109)+(英雄升级调参!$M$109-INDEX(英雄升级调参!$G$66:$G$115,COUNTIFS(英雄升级调参!$G$66:$G$115,"&lt;="&amp;英雄升级调参!$M$109)))/(INDEX(英雄升级调参!$G$66:$G$115,COUNTIFS(英雄升级调参!$G$66:$G$115,"&lt;="&amp;英雄升级调参!$M$109)+1)-INDEX(英雄升级调参!$G$66:$G$115,COUNTIFS(英雄升级调参!$G$66:$G$115,"&lt;="&amp;英雄升级调参!$M$109)))))</x:f>
        <x:v>超过50级</x:v>
      </x:c>
      <x:c r="F57" s="19" t="s">
        <x:v>36</x:v>
      </x:c>
      <x:c r="G57" s="19" t="str">
        <x:f t="shared" si="2"/>
        <x:v>超过50级</x:v>
      </x:c>
      <x:c r="H57" s="19" t="str">
        <x:f t="shared" si="3"/>
        <x:v>超过50级</x:v>
      </x:c>
    </x:row>
    <x:row r="58" ht="21.950000762939453" customHeight="1">
      <x:c r="A58" s="19">
        <x:v>45</x:v>
      </x:c>
      <x:c r="B58" s="21">
        <x:f>英雄升级调参!$K$110</x:f>
        <x:v>8831</x:v>
      </x:c>
      <x:c r="C58" s="21">
        <x:f>英雄升级调参!$L$110</x:f>
        <x:v>88170</x:v>
      </x:c>
      <x:c r="D58" s="20" t="str">
        <x:f>IF(英雄升级调参!$M$110&gt;MAX(英雄升级调参!$J$66:$J$115),"超过50级",IF(英雄升级调参!$M$110=MAX(英雄升级调参!$J$66:$J$115),50,COUNTIFS(英雄升级调参!$J$66:$J$115,"&lt;="&amp;英雄升级调参!$M$110)+(英雄升级调参!$M$110-INDEX(英雄升级调参!$J$66:$J$115,COUNTIFS(英雄升级调参!$J$66:$J$115,"&lt;="&amp;英雄升级调参!$M$110)))/(INDEX(英雄升级调参!$J$66:$J$115,COUNTIFS(英雄升级调参!$J$66:$J$115,"&lt;="&amp;英雄升级调参!$M$110)+1)-INDEX(英雄升级调参!$J$66:$J$115,COUNTIFS(英雄升级调参!$J$66:$J$115,"&lt;="&amp;英雄升级调参!$M$110)))))</x:f>
        <x:v>超过50级</x:v>
      </x:c>
      <x:c r="E58" s="20" t="str">
        <x:f>IF(英雄升级调参!$M$110&gt;MAX(英雄升级调参!$G$66:$G$115),"超过50级",IF(英雄升级调参!$M$110=MAX(英雄升级调参!$G$66:$G$115),50,COUNTIFS(英雄升级调参!$G$66:$G$115,"&lt;="&amp;英雄升级调参!$M$110)+(英雄升级调参!$M$110-INDEX(英雄升级调参!$G$66:$G$115,COUNTIFS(英雄升级调参!$G$66:$G$115,"&lt;="&amp;英雄升级调参!$M$110)))/(INDEX(英雄升级调参!$G$66:$G$115,COUNTIFS(英雄升级调参!$G$66:$G$115,"&lt;="&amp;英雄升级调参!$M$110)+1)-INDEX(英雄升级调参!$G$66:$G$115,COUNTIFS(英雄升级调参!$G$66:$G$115,"&lt;="&amp;英雄升级调参!$M$110)))))</x:f>
        <x:v>超过50级</x:v>
      </x:c>
      <x:c r="F58" s="19" t="s">
        <x:v>36</x:v>
      </x:c>
      <x:c r="G58" s="19" t="str">
        <x:f t="shared" si="2"/>
        <x:v>超过50级</x:v>
      </x:c>
      <x:c r="H58" s="19" t="str">
        <x:f t="shared" si="3"/>
        <x:v>超过50级</x:v>
      </x:c>
    </x:row>
    <x:row r="59" ht="21.950000762939453" customHeight="1">
      <x:c r="A59" s="19">
        <x:v>46</x:v>
      </x:c>
      <x:c r="B59" s="21">
        <x:f>英雄升级调参!$K$111</x:f>
        <x:v>9079</x:v>
      </x:c>
      <x:c r="C59" s="21">
        <x:f>英雄升级调参!$L$111</x:f>
        <x:v>90645</x:v>
      </x:c>
      <x:c r="D59" s="20" t="str">
        <x:f>IF(英雄升级调参!$M$111&gt;MAX(英雄升级调参!$J$66:$J$115),"超过50级",IF(英雄升级调参!$M$111=MAX(英雄升级调参!$J$66:$J$115),50,COUNTIFS(英雄升级调参!$J$66:$J$115,"&lt;="&amp;英雄升级调参!$M$111)+(英雄升级调参!$M$111-INDEX(英雄升级调参!$J$66:$J$115,COUNTIFS(英雄升级调参!$J$66:$J$115,"&lt;="&amp;英雄升级调参!$M$111)))/(INDEX(英雄升级调参!$J$66:$J$115,COUNTIFS(英雄升级调参!$J$66:$J$115,"&lt;="&amp;英雄升级调参!$M$111)+1)-INDEX(英雄升级调参!$J$66:$J$115,COUNTIFS(英雄升级调参!$J$66:$J$115,"&lt;="&amp;英雄升级调参!$M$111)))))</x:f>
        <x:v>超过50级</x:v>
      </x:c>
      <x:c r="E59" s="20" t="str">
        <x:f>IF(英雄升级调参!$M$111&gt;MAX(英雄升级调参!$G$66:$G$115),"超过50级",IF(英雄升级调参!$M$111=MAX(英雄升级调参!$G$66:$G$115),50,COUNTIFS(英雄升级调参!$G$66:$G$115,"&lt;="&amp;英雄升级调参!$M$111)+(英雄升级调参!$M$111-INDEX(英雄升级调参!$G$66:$G$115,COUNTIFS(英雄升级调参!$G$66:$G$115,"&lt;="&amp;英雄升级调参!$M$111)))/(INDEX(英雄升级调参!$G$66:$G$115,COUNTIFS(英雄升级调参!$G$66:$G$115,"&lt;="&amp;英雄升级调参!$M$111)+1)-INDEX(英雄升级调参!$G$66:$G$115,COUNTIFS(英雄升级调参!$G$66:$G$115,"&lt;="&amp;英雄升级调参!$M$111)))))</x:f>
        <x:v>超过50级</x:v>
      </x:c>
      <x:c r="F59" s="19" t="s">
        <x:v>36</x:v>
      </x:c>
      <x:c r="G59" s="19" t="str">
        <x:f t="shared" si="2"/>
        <x:v>超过50级</x:v>
      </x:c>
      <x:c r="H59" s="19" t="str">
        <x:f t="shared" si="3"/>
        <x:v>超过50级</x:v>
      </x:c>
    </x:row>
    <x:row r="60" ht="21.950000762939453" customHeight="1">
      <x:c r="A60" s="19">
        <x:v>47</x:v>
      </x:c>
      <x:c r="B60" s="21">
        <x:f>英雄升级调参!$K$112</x:f>
        <x:v>9327</x:v>
      </x:c>
      <x:c r="C60" s="21">
        <x:f>英雄升级调参!$L$112</x:f>
        <x:v>93120</x:v>
      </x:c>
      <x:c r="D60" s="20" t="str">
        <x:f>IF(英雄升级调参!$M$112&gt;MAX(英雄升级调参!$J$66:$J$115),"超过50级",IF(英雄升级调参!$M$112=MAX(英雄升级调参!$J$66:$J$115),50,COUNTIFS(英雄升级调参!$J$66:$J$115,"&lt;="&amp;英雄升级调参!$M$112)+(英雄升级调参!$M$112-INDEX(英雄升级调参!$J$66:$J$115,COUNTIFS(英雄升级调参!$J$66:$J$115,"&lt;="&amp;英雄升级调参!$M$112)))/(INDEX(英雄升级调参!$J$66:$J$115,COUNTIFS(英雄升级调参!$J$66:$J$115,"&lt;="&amp;英雄升级调参!$M$112)+1)-INDEX(英雄升级调参!$J$66:$J$115,COUNTIFS(英雄升级调参!$J$66:$J$115,"&lt;="&amp;英雄升级调参!$M$112)))))</x:f>
        <x:v>超过50级</x:v>
      </x:c>
      <x:c r="E60" s="20" t="str">
        <x:f>IF(英雄升级调参!$M$112&gt;MAX(英雄升级调参!$G$66:$G$115),"超过50级",IF(英雄升级调参!$M$112=MAX(英雄升级调参!$G$66:$G$115),50,COUNTIFS(英雄升级调参!$G$66:$G$115,"&lt;="&amp;英雄升级调参!$M$112)+(英雄升级调参!$M$112-INDEX(英雄升级调参!$G$66:$G$115,COUNTIFS(英雄升级调参!$G$66:$G$115,"&lt;="&amp;英雄升级调参!$M$112)))/(INDEX(英雄升级调参!$G$66:$G$115,COUNTIFS(英雄升级调参!$G$66:$G$115,"&lt;="&amp;英雄升级调参!$M$112)+1)-INDEX(英雄升级调参!$G$66:$G$115,COUNTIFS(英雄升级调参!$G$66:$G$115,"&lt;="&amp;英雄升级调参!$M$112)))))</x:f>
        <x:v>超过50级</x:v>
      </x:c>
      <x:c r="F60" s="19" t="s">
        <x:v>36</x:v>
      </x:c>
      <x:c r="G60" s="19" t="str">
        <x:f t="shared" si="2"/>
        <x:v>超过50级</x:v>
      </x:c>
      <x:c r="H60" s="19" t="str">
        <x:f t="shared" si="3"/>
        <x:v>超过50级</x:v>
      </x:c>
    </x:row>
    <x:row r="61" ht="21.950000762939453" customHeight="1">
      <x:c r="A61" s="19">
        <x:v>48</x:v>
      </x:c>
      <x:c r="B61" s="21">
        <x:f>英雄升级调参!$K$113</x:f>
        <x:v>9575</x:v>
      </x:c>
      <x:c r="C61" s="21">
        <x:f>英雄升级调参!$L$113</x:f>
        <x:v>95595</x:v>
      </x:c>
      <x:c r="D61" s="20" t="str">
        <x:f>IF(英雄升级调参!$M$113&gt;MAX(英雄升级调参!$J$66:$J$115),"超过50级",IF(英雄升级调参!$M$113=MAX(英雄升级调参!$J$66:$J$115),50,COUNTIFS(英雄升级调参!$J$66:$J$115,"&lt;="&amp;英雄升级调参!$M$113)+(英雄升级调参!$M$113-INDEX(英雄升级调参!$J$66:$J$115,COUNTIFS(英雄升级调参!$J$66:$J$115,"&lt;="&amp;英雄升级调参!$M$113)))/(INDEX(英雄升级调参!$J$66:$J$115,COUNTIFS(英雄升级调参!$J$66:$J$115,"&lt;="&amp;英雄升级调参!$M$113)+1)-INDEX(英雄升级调参!$J$66:$J$115,COUNTIFS(英雄升级调参!$J$66:$J$115,"&lt;="&amp;英雄升级调参!$M$113)))))</x:f>
        <x:v>超过50级</x:v>
      </x:c>
      <x:c r="E61" s="20" t="str">
        <x:f>IF(英雄升级调参!$M$113&gt;MAX(英雄升级调参!$G$66:$G$115),"超过50级",IF(英雄升级调参!$M$113=MAX(英雄升级调参!$G$66:$G$115),50,COUNTIFS(英雄升级调参!$G$66:$G$115,"&lt;="&amp;英雄升级调参!$M$113)+(英雄升级调参!$M$113-INDEX(英雄升级调参!$G$66:$G$115,COUNTIFS(英雄升级调参!$G$66:$G$115,"&lt;="&amp;英雄升级调参!$M$113)))/(INDEX(英雄升级调参!$G$66:$G$115,COUNTIFS(英雄升级调参!$G$66:$G$115,"&lt;="&amp;英雄升级调参!$M$113)+1)-INDEX(英雄升级调参!$G$66:$G$115,COUNTIFS(英雄升级调参!$G$66:$G$115,"&lt;="&amp;英雄升级调参!$M$113)))))</x:f>
        <x:v>超过50级</x:v>
      </x:c>
      <x:c r="F61" s="19" t="s">
        <x:v>36</x:v>
      </x:c>
      <x:c r="G61" s="19" t="str">
        <x:f t="shared" si="2"/>
        <x:v>超过50级</x:v>
      </x:c>
      <x:c r="H61" s="19" t="str">
        <x:f t="shared" si="3"/>
        <x:v>超过50级</x:v>
      </x:c>
    </x:row>
    <x:row r="62" ht="21.950000762939453" customHeight="1">
      <x:c r="A62" s="19">
        <x:v>49</x:v>
      </x:c>
      <x:c r="B62" s="21">
        <x:f>英雄升级调参!$K$114</x:f>
        <x:v>9823</x:v>
      </x:c>
      <x:c r="C62" s="21">
        <x:f>英雄升级调参!$L$114</x:f>
        <x:v>98070</x:v>
      </x:c>
      <x:c r="D62" s="20" t="str">
        <x:f>IF(英雄升级调参!$M$114&gt;MAX(英雄升级调参!$J$66:$J$115),"超过50级",IF(英雄升级调参!$M$114=MAX(英雄升级调参!$J$66:$J$115),50,COUNTIFS(英雄升级调参!$J$66:$J$115,"&lt;="&amp;英雄升级调参!$M$114)+(英雄升级调参!$M$114-INDEX(英雄升级调参!$J$66:$J$115,COUNTIFS(英雄升级调参!$J$66:$J$115,"&lt;="&amp;英雄升级调参!$M$114)))/(INDEX(英雄升级调参!$J$66:$J$115,COUNTIFS(英雄升级调参!$J$66:$J$115,"&lt;="&amp;英雄升级调参!$M$114)+1)-INDEX(英雄升级调参!$J$66:$J$115,COUNTIFS(英雄升级调参!$J$66:$J$115,"&lt;="&amp;英雄升级调参!$M$114)))))</x:f>
        <x:v>超过50级</x:v>
      </x:c>
      <x:c r="E62" s="20" t="str">
        <x:f>IF(英雄升级调参!$M$114&gt;MAX(英雄升级调参!$G$66:$G$115),"超过50级",IF(英雄升级调参!$M$114=MAX(英雄升级调参!$G$66:$G$115),50,COUNTIFS(英雄升级调参!$G$66:$G$115,"&lt;="&amp;英雄升级调参!$M$114)+(英雄升级调参!$M$114-INDEX(英雄升级调参!$G$66:$G$115,COUNTIFS(英雄升级调参!$G$66:$G$115,"&lt;="&amp;英雄升级调参!$M$114)))/(INDEX(英雄升级调参!$G$66:$G$115,COUNTIFS(英雄升级调参!$G$66:$G$115,"&lt;="&amp;英雄升级调参!$M$114)+1)-INDEX(英雄升级调参!$G$66:$G$115,COUNTIFS(英雄升级调参!$G$66:$G$115,"&lt;="&amp;英雄升级调参!$M$114)))))</x:f>
        <x:v>超过50级</x:v>
      </x:c>
      <x:c r="F62" s="19" t="s">
        <x:v>36</x:v>
      </x:c>
      <x:c r="G62" s="19" t="str">
        <x:f t="shared" si="2"/>
        <x:v>超过50级</x:v>
      </x:c>
      <x:c r="H62" s="19" t="str">
        <x:f t="shared" si="3"/>
        <x:v>超过50级</x:v>
      </x:c>
    </x:row>
    <x:row r="63" ht="21.950000762939453" customHeight="1">
      <x:c r="A63" s="19">
        <x:v>50</x:v>
      </x:c>
      <x:c r="B63" s="21">
        <x:f>英雄升级调参!$K$115</x:f>
        <x:v>10567</x:v>
      </x:c>
      <x:c r="C63" s="21">
        <x:f>英雄升级调参!$L$115</x:f>
        <x:v>105495</x:v>
      </x:c>
      <x:c r="D63" s="20" t="str">
        <x:f>IF(英雄升级调参!$M$115&gt;MAX(英雄升级调参!$J$66:$J$115),"超过50级",IF(英雄升级调参!$M$115=MAX(英雄升级调参!$J$66:$J$115),50,COUNTIFS(英雄升级调参!$J$66:$J$115,"&lt;="&amp;英雄升级调参!$M$115)+(英雄升级调参!$M$115-INDEX(英雄升级调参!$J$66:$J$115,COUNTIFS(英雄升级调参!$J$66:$J$115,"&lt;="&amp;英雄升级调参!$M$115)))/(INDEX(英雄升级调参!$J$66:$J$115,COUNTIFS(英雄升级调参!$J$66:$J$115,"&lt;="&amp;英雄升级调参!$M$115)+1)-INDEX(英雄升级调参!$J$66:$J$115,COUNTIFS(英雄升级调参!$J$66:$J$115,"&lt;="&amp;英雄升级调参!$M$115)))))</x:f>
        <x:v>超过50级</x:v>
      </x:c>
      <x:c r="E63" s="20" t="str">
        <x:f>IF(英雄升级调参!$M$115&gt;MAX(英雄升级调参!$G$66:$G$115),"超过50级",IF(英雄升级调参!$M$115=MAX(英雄升级调参!$G$66:$G$115),50,COUNTIFS(英雄升级调参!$G$66:$G$115,"&lt;="&amp;英雄升级调参!$M$115)+(英雄升级调参!$M$115-INDEX(英雄升级调参!$G$66:$G$115,COUNTIFS(英雄升级调参!$G$66:$G$115,"&lt;="&amp;英雄升级调参!$M$115)))/(INDEX(英雄升级调参!$G$66:$G$115,COUNTIFS(英雄升级调参!$G$66:$G$115,"&lt;="&amp;英雄升级调参!$M$115)+1)-INDEX(英雄升级调参!$G$66:$G$115,COUNTIFS(英雄升级调参!$G$66:$G$115,"&lt;="&amp;英雄升级调参!$M$115)))))</x:f>
        <x:v>超过50级</x:v>
      </x:c>
      <x:c r="F63" s="19" t="s">
        <x:v>36</x:v>
      </x:c>
      <x:c r="G63" s="19" t="str">
        <x:f t="shared" si="2"/>
        <x:v>超过50级</x:v>
      </x:c>
      <x:c r="H63" s="19" t="str">
        <x:f t="shared" si="3"/>
        <x:v>超过50级</x:v>
      </x:c>
    </x:row>
    <x:row r="64" ht="21.950000762939453" customHeight="1"/>
    <x:row r="65" ht="21.950000762939453" customHeight="1">
      <x:c r="A65" s="1" t="s">
        <x:v>37</x:v>
      </x:c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</x:row>
    <x:row r="66" ht="21.950000762939453" customHeight="1"/>
    <x:row r="67" ht="21.950000762939453" customHeight="1"/>
    <x:row r="68" ht="36" customHeight="1">
      <x:c r="A68" s="16" t="s">
        <x:v>38</x:v>
      </x:c>
      <x:c r="B68" s="16" t="s">
        <x:v>39</x:v>
      </x:c>
      <x:c r="C68" s="16" t="s">
        <x:v>40</x:v>
      </x:c>
      <x:c r="D68" s="16" t="s">
        <x:v>41</x:v>
      </x:c>
      <x:c r="E68" s="16" t="s">
        <x:v>9</x:v>
      </x:c>
      <x:c r="F68" s="16" t="s">
        <x:v>42</x:v>
      </x:c>
      <x:c r="G68" s="17" t="s">
        <x:v>10</x:v>
      </x:c>
      <x:c r="H68" s="17" t="s">
        <x:v>11</x:v>
      </x:c>
      <x:c r="I68" s="17" t="s">
        <x:v>43</x:v>
      </x:c>
      <x:c r="J68" s="17" t="s">
        <x:v>44</x:v>
      </x:c>
      <x:c r="K68" s="17" t="s">
        <x:v>45</x:v>
      </x:c>
      <x:c r="L68" s="17" t="s">
        <x:v>46</x:v>
      </x:c>
      <x:c r="M68" s="17" t="s">
        <x:v>47</x:v>
      </x:c>
      <x:c r="N68" s="17" t="s">
        <x:v>48</x:v>
      </x:c>
      <x:c r="O68" s="17" t="s">
        <x:v>49</x:v>
      </x:c>
      <x:c r="P68" s="17" t="s">
        <x:v>50</x:v>
      </x:c>
      <x:c r="Q68" s="17" t="s">
        <x:v>51</x:v>
      </x:c>
      <x:c r="R68" s="18" t="s">
        <x:v>52</x:v>
      </x:c>
      <x:c r="S68" s="6"/>
      <x:c r="T68" s="6"/>
      <x:c r="U68" s="6"/>
    </x:row>
    <x:row r="69" ht="21.950000762939453" customHeight="1">
      <x:c r="A69" s="14" t="n">
        <x:f>英雄升级调参!$B$18</x:f>
        <x:v>310000</x:v>
      </x:c>
      <x:c r="B69" s="14" t="str">
        <x:f>英雄升级调参!$C$18</x:f>
        <x:v>特歪兔</x:v>
      </x:c>
      <x:c r="C69" s="6" t="str">
        <x:f>英雄升级调参!$D$18</x:f>
        <x:v>战士</x:v>
      </x:c>
      <x:c r="D69" s="6" t="s">
        <x:v>18</x:v>
      </x:c>
      <x:c r="E69" s="6">
        <x:v>1</x:v>
      </x:c>
      <x:c r="F69" s="6" t="n">
        <x:f>英雄升级调参!$C$66</x:f>
        <x:v>1</x:v>
      </x:c>
      <x:c r="G69" s="12" t="n">
        <x:f>ROUND(英雄升级调参!$E$66*英雄升级调参!$E$18,0)</x:f>
        <x:v>63</x:v>
      </x:c>
      <x:c r="H69" s="12" t="n">
        <x:f>ROUND(英雄升级调参!$F$66*英雄升级调参!$G$18,0)</x:f>
        <x:v>571</x:v>
      </x:c>
      <x:c r="I69" s="12" t="n">
        <x:f t="shared" ref="I69:I132" si="4">G69*H69</x:f>
        <x:v>35973</x:v>
      </x:c>
      <x:c r="J69" s="12" t="n">
        <x:f>0</x:f>
        <x:v>0</x:v>
      </x:c>
      <x:c r="K69" s="12" t="n">
        <x:f>0</x:f>
        <x:v>0</x:v>
      </x:c>
      <x:c r="L69" s="12" t="n">
        <x:f>养成消耗调参!$C$148</x:f>
        <x:v>0</x:v>
      </x:c>
      <x:c r="M69" s="12" t="n">
        <x:f>养成消耗调参!$F$148</x:f>
        <x:v>0</x:v>
      </x:c>
      <x:c r="N69" s="12" t="n">
        <x:f>养成消耗调参!$I$148</x:f>
        <x:v>0</x:v>
      </x:c>
      <x:c r="O69" s="12" t="n">
        <x:f>养成消耗调参!$J$148</x:f>
        <x:v>0</x:v>
      </x:c>
      <x:c r="P69" s="12" t="n">
        <x:f>养成消耗调参!$M$148</x:f>
        <x:v>0</x:v>
      </x:c>
      <x:c r="Q69" s="12" t="n">
        <x:f>养成消耗调参!$P$148</x:f>
        <x:v>0</x:v>
      </x:c>
      <x:c r="R69" s="13" t="n">
        <x:f>I69/英雄升级调参!$G$66-1</x:f>
        <x:v>-0.0007500000000000284</x:v>
      </x:c>
      <x:c r="S69" s="6"/>
      <x:c r="T69" s="6"/>
      <x:c r="U69" s="6"/>
    </x:row>
    <x:row r="70" ht="21.950000762939453" customHeight="1">
      <x:c r="A70" s="14" t="n">
        <x:f>英雄升级调参!$B$18</x:f>
        <x:v>310000</x:v>
      </x:c>
      <x:c r="B70" s="14" t="str">
        <x:f>英雄升级调参!$C$18</x:f>
        <x:v>特歪兔</x:v>
      </x:c>
      <x:c r="C70" s="6" t="str">
        <x:f>英雄升级调参!$D$18</x:f>
        <x:v>战士</x:v>
      </x:c>
      <x:c r="D70" s="6" t="s">
        <x:v>18</x:v>
      </x:c>
      <x:c r="E70" s="6">
        <x:v>2</x:v>
      </x:c>
      <x:c r="F70" s="6" t="n">
        <x:f>英雄升级调参!$C$67</x:f>
        <x:v>1</x:v>
      </x:c>
      <x:c r="G70" s="12">
        <x:f t="shared" ref="G70:G101" si="5">G69+J70</x:f>
        <x:v>82</x:v>
      </x:c>
      <x:c r="H70" s="12">
        <x:f t="shared" ref="H70:H101" si="6">H69+K70</x:f>
        <x:v>742</x:v>
      </x:c>
      <x:c r="I70" s="12">
        <x:f t="shared" si="4"/>
        <x:v>60844</x:v>
      </x:c>
      <x:c r="J70" s="12">
        <x:f>ROUND(英雄升级调参!$D$67*英雄升级调参!$J$9*英雄升级调参!$E$18,0)</x:f>
        <x:v>19</x:v>
      </x:c>
      <x:c r="K70" s="12">
        <x:f>ROUND(英雄升级调参!$D$67*英雄升级调参!$C$11*英雄升级调参!$J$9*英雄升级调参!$G$18,0)</x:f>
        <x:v>171</x:v>
      </x:c>
      <x:c r="L70" s="12" t="n">
        <x:f>养成消耗调参!$C$149</x:f>
        <x:v>24</x:v>
      </x:c>
      <x:c r="M70" s="12" t="n">
        <x:f>养成消耗调参!$F$149</x:f>
        <x:v>300</x:v>
      </x:c>
      <x:c r="N70" s="12" t="n">
        <x:f>养成消耗调参!$I$149</x:f>
        <x:v>0</x:v>
      </x:c>
      <x:c r="O70" s="12" t="n">
        <x:f>养成消耗调参!$J$149</x:f>
        <x:v>24</x:v>
      </x:c>
      <x:c r="P70" s="12" t="n">
        <x:f>养成消耗调参!$M$149</x:f>
        <x:v>300</x:v>
      </x:c>
      <x:c r="Q70" s="12" t="n">
        <x:f>养成消耗调参!$P$149</x:f>
        <x:v>0</x:v>
      </x:c>
      <x:c r="R70" s="13">
        <x:f>I70/英雄升级调参!$G$67-1</x:f>
        <x:v>6.574621959232196e-05</x:v>
      </x:c>
      <x:c r="S70" s="6"/>
      <x:c r="T70" s="6"/>
      <x:c r="U70" s="6"/>
    </x:row>
    <x:row r="71" ht="21.950000762939453" customHeight="1">
      <x:c r="A71" s="14" t="n">
        <x:f>英雄升级调参!$B$18</x:f>
        <x:v>310000</x:v>
      </x:c>
      <x:c r="B71" s="14" t="str">
        <x:f>英雄升级调参!$C$18</x:f>
        <x:v>特歪兔</x:v>
      </x:c>
      <x:c r="C71" s="6" t="str">
        <x:f>英雄升级调参!$D$18</x:f>
        <x:v>战士</x:v>
      </x:c>
      <x:c r="D71" s="6" t="s">
        <x:v>18</x:v>
      </x:c>
      <x:c r="E71" s="6">
        <x:v>3</x:v>
      </x:c>
      <x:c r="F71" s="6" t="n">
        <x:f>英雄升级调参!$C$68</x:f>
        <x:v>1</x:v>
      </x:c>
      <x:c r="G71" s="12">
        <x:f t="shared" si="5"/>
        <x:v>101</x:v>
      </x:c>
      <x:c r="H71" s="12">
        <x:f t="shared" si="6"/>
        <x:v>913</x:v>
      </x:c>
      <x:c r="I71" s="12">
        <x:f t="shared" si="4"/>
        <x:v>92213</x:v>
      </x:c>
      <x:c r="J71" s="12">
        <x:f>ROUND(英雄升级调参!$D$68*英雄升级调参!$J$9*英雄升级调参!$E$18,0)</x:f>
        <x:v>19</x:v>
      </x:c>
      <x:c r="K71" s="12">
        <x:f>ROUND(英雄升级调参!$D$68*英雄升级调参!$C$11*英雄升级调参!$J$9*英雄升级调参!$G$18,0)</x:f>
        <x:v>171</x:v>
      </x:c>
      <x:c r="L71" s="12" t="n">
        <x:f>养成消耗调参!$C$150</x:f>
        <x:v>24</x:v>
      </x:c>
      <x:c r="M71" s="12" t="n">
        <x:f>养成消耗调参!$F$150</x:f>
        <x:v>300</x:v>
      </x:c>
      <x:c r="N71" s="12" t="n">
        <x:f>养成消耗调参!$I$150</x:f>
        <x:v>0</x:v>
      </x:c>
      <x:c r="O71" s="12" t="n">
        <x:f>养成消耗调参!$J$150</x:f>
        <x:v>48</x:v>
      </x:c>
      <x:c r="P71" s="12" t="n">
        <x:f>养成消耗调参!$M$150</x:f>
        <x:v>600</x:v>
      </x:c>
      <x:c r="Q71" s="12" t="n">
        <x:f>养成消耗调参!$P$150</x:f>
        <x:v>0</x:v>
      </x:c>
      <x:c r="R71" s="13">
        <x:f>I71/英雄升级调参!$G$68-1</x:f>
        <x:v>0.0005750868055556246</x:v>
      </x:c>
      <x:c r="S71" s="6"/>
      <x:c r="T71" s="6"/>
      <x:c r="U71" s="6"/>
    </x:row>
    <x:row r="72" ht="21.950000762939453" customHeight="1">
      <x:c r="A72" s="14" t="n">
        <x:f>英雄升级调参!$B$18</x:f>
        <x:v>310000</x:v>
      </x:c>
      <x:c r="B72" s="14" t="str">
        <x:f>英雄升级调参!$C$18</x:f>
        <x:v>特歪兔</x:v>
      </x:c>
      <x:c r="C72" s="6" t="str">
        <x:f>英雄升级调参!$D$18</x:f>
        <x:v>战士</x:v>
      </x:c>
      <x:c r="D72" s="6" t="s">
        <x:v>18</x:v>
      </x:c>
      <x:c r="E72" s="6">
        <x:v>4</x:v>
      </x:c>
      <x:c r="F72" s="6" t="n">
        <x:f>英雄升级调参!$C$69</x:f>
        <x:v>1</x:v>
      </x:c>
      <x:c r="G72" s="12">
        <x:f t="shared" si="5"/>
        <x:v>120</x:v>
      </x:c>
      <x:c r="H72" s="12">
        <x:f t="shared" si="6"/>
        <x:v>1084</x:v>
      </x:c>
      <x:c r="I72" s="12">
        <x:f t="shared" si="4"/>
        <x:v>130080</x:v>
      </x:c>
      <x:c r="J72" s="12">
        <x:f>ROUND(英雄升级调参!$D$69*英雄升级调参!$J$9*英雄升级调参!$E$18,0)</x:f>
        <x:v>19</x:v>
      </x:c>
      <x:c r="K72" s="12">
        <x:f>ROUND(英雄升级调参!$D$69*英雄升级调参!$C$11*英雄升级调参!$J$9*英雄升级调参!$G$18,0)</x:f>
        <x:v>171</x:v>
      </x:c>
      <x:c r="L72" s="12" t="n">
        <x:f>养成消耗调参!$C$151</x:f>
        <x:v>48</x:v>
      </x:c>
      <x:c r="M72" s="12" t="n">
        <x:f>养成消耗调参!$F$151</x:f>
        <x:v>300</x:v>
      </x:c>
      <x:c r="N72" s="12" t="n">
        <x:f>养成消耗调参!$I$151</x:f>
        <x:v>0</x:v>
      </x:c>
      <x:c r="O72" s="12" t="n">
        <x:f>养成消耗调参!$J$151</x:f>
        <x:v>96</x:v>
      </x:c>
      <x:c r="P72" s="12" t="n">
        <x:f>养成消耗调参!$M$151</x:f>
        <x:v>900</x:v>
      </x:c>
      <x:c r="Q72" s="12" t="n">
        <x:f>养成消耗调参!$P$151</x:f>
        <x:v>0</x:v>
      </x:c>
      <x:c r="R72" s="13">
        <x:f>I72/英雄升级调参!$G$69-1</x:f>
        <x:v>0.0009233610341643494</x:v>
      </x:c>
      <x:c r="S72" s="6"/>
      <x:c r="T72" s="6"/>
      <x:c r="U72" s="6"/>
    </x:row>
    <x:row r="73" ht="21.950000762939453" customHeight="1">
      <x:c r="A73" s="14" t="n">
        <x:f>英雄升级调参!$B$18</x:f>
        <x:v>310000</x:v>
      </x:c>
      <x:c r="B73" s="14" t="str">
        <x:f>英雄升级调参!$C$18</x:f>
        <x:v>特歪兔</x:v>
      </x:c>
      <x:c r="C73" s="6" t="str">
        <x:f>英雄升级调参!$D$18</x:f>
        <x:v>战士</x:v>
      </x:c>
      <x:c r="D73" s="6" t="s">
        <x:v>18</x:v>
      </x:c>
      <x:c r="E73" s="6">
        <x:v>5</x:v>
      </x:c>
      <x:c r="F73" s="6" t="n">
        <x:f>英雄升级调参!$C$70</x:f>
        <x:v>1</x:v>
      </x:c>
      <x:c r="G73" s="12">
        <x:f t="shared" si="5"/>
        <x:v>177</x:v>
      </x:c>
      <x:c r="H73" s="12">
        <x:f t="shared" si="6"/>
        <x:v>1597</x:v>
      </x:c>
      <x:c r="I73" s="12">
        <x:f t="shared" si="4"/>
        <x:v>282669</x:v>
      </x:c>
      <x:c r="J73" s="12">
        <x:f>ROUND(英雄升级调参!$D$70*英雄升级调参!$J$9*英雄升级调参!$E$18,0)*3</x:f>
        <x:v>57</x:v>
      </x:c>
      <x:c r="K73" s="12">
        <x:f>ROUND(英雄升级调参!$D$70*英雄升级调参!$C$11*英雄升级调参!$J$9*英雄升级调参!$G$18,0)*3</x:f>
        <x:v>513</x:v>
      </x:c>
      <x:c r="L73" s="12" t="n">
        <x:f>养成消耗调参!$C$152</x:f>
        <x:v>72</x:v>
      </x:c>
      <x:c r="M73" s="12" t="n">
        <x:f>养成消耗调参!$F$152</x:f>
        <x:v>300</x:v>
      </x:c>
      <x:c r="N73" s="12" t="n">
        <x:f>养成消耗调参!$I$152</x:f>
        <x:v>10</x:v>
      </x:c>
      <x:c r="O73" s="12" t="n">
        <x:f>养成消耗调参!$J$152</x:f>
        <x:v>168</x:v>
      </x:c>
      <x:c r="P73" s="12" t="n">
        <x:f>养成消耗调参!$M$152</x:f>
        <x:v>1200</x:v>
      </x:c>
      <x:c r="Q73" s="12" t="n">
        <x:f>养成消耗调参!$P$152</x:f>
        <x:v>10</x:v>
      </x:c>
      <x:c r="R73" s="13">
        <x:f>I73/英雄升级调参!$G$70-1</x:f>
        <x:v>0.001519982993197333</x:v>
      </x:c>
      <x:c r="S73" s="6"/>
      <x:c r="T73" s="6"/>
      <x:c r="U73" s="6"/>
    </x:row>
    <x:row r="74" ht="21.950000762939453" customHeight="1">
      <x:c r="A74" s="14" t="n">
        <x:f>英雄升级调参!$B$18</x:f>
        <x:v>310000</x:v>
      </x:c>
      <x:c r="B74" s="14" t="str">
        <x:f>英雄升级调参!$C$18</x:f>
        <x:v>特歪兔</x:v>
      </x:c>
      <x:c r="C74" s="6" t="str">
        <x:f>英雄升级调参!$D$18</x:f>
        <x:v>战士</x:v>
      </x:c>
      <x:c r="D74" s="6" t="s">
        <x:v>18</x:v>
      </x:c>
      <x:c r="E74" s="6">
        <x:v>6</x:v>
      </x:c>
      <x:c r="F74" s="6" t="n">
        <x:f>英雄升级调参!$C$71</x:f>
        <x:v>2</x:v>
      </x:c>
      <x:c r="G74" s="12">
        <x:f t="shared" si="5"/>
        <x:v>205</x:v>
      </x:c>
      <x:c r="H74" s="12">
        <x:f t="shared" si="6"/>
        <x:v>1854</x:v>
      </x:c>
      <x:c r="I74" s="12">
        <x:f t="shared" si="4"/>
        <x:v>380070</x:v>
      </x:c>
      <x:c r="J74" s="12">
        <x:f>ROUND(英雄升级调参!$D$71*英雄升级调参!$J$9*英雄升级调参!$E$18,0)</x:f>
        <x:v>28</x:v>
      </x:c>
      <x:c r="K74" s="12">
        <x:f>ROUND(英雄升级调参!$D$71*英雄升级调参!$C$11*英雄升级调参!$J$9*英雄升级调参!$G$18,0)</x:f>
        <x:v>257</x:v>
      </x:c>
      <x:c r="L74" s="12" t="n">
        <x:f>养成消耗调参!$C$153</x:f>
        <x:v>120</x:v>
      </x:c>
      <x:c r="M74" s="12" t="n">
        <x:f>养成消耗调参!$F$153</x:f>
        <x:v>300</x:v>
      </x:c>
      <x:c r="N74" s="12" t="n">
        <x:f>养成消耗调参!$I$153</x:f>
        <x:v>0</x:v>
      </x:c>
      <x:c r="O74" s="12" t="n">
        <x:f>养成消耗调参!$J$153</x:f>
        <x:v>288</x:v>
      </x:c>
      <x:c r="P74" s="12" t="n">
        <x:f>养成消耗调参!$M$153</x:f>
        <x:v>1500</x:v>
      </x:c>
      <x:c r="Q74" s="12" t="n">
        <x:f>养成消耗调参!$P$153</x:f>
        <x:v>10</x:v>
      </x:c>
      <x:c r="R74" s="13">
        <x:f>I74/英雄升级调参!$G$71-1</x:f>
        <x:v>-0.0004733727810650734</x:v>
      </x:c>
      <x:c r="S74" s="6"/>
      <x:c r="T74" s="6"/>
      <x:c r="U74" s="6"/>
    </x:row>
    <x:row r="75" ht="21.950000762939453" customHeight="1">
      <x:c r="A75" s="14" t="n">
        <x:f>英雄升级调参!$B$18</x:f>
        <x:v>310000</x:v>
      </x:c>
      <x:c r="B75" s="14" t="str">
        <x:f>英雄升级调参!$C$18</x:f>
        <x:v>特歪兔</x:v>
      </x:c>
      <x:c r="C75" s="6" t="str">
        <x:f>英雄升级调参!$D$18</x:f>
        <x:v>战士</x:v>
      </x:c>
      <x:c r="D75" s="6" t="s">
        <x:v>18</x:v>
      </x:c>
      <x:c r="E75" s="6">
        <x:v>7</x:v>
      </x:c>
      <x:c r="F75" s="6" t="n">
        <x:f>英雄升级调参!$C$72</x:f>
        <x:v>2</x:v>
      </x:c>
      <x:c r="G75" s="12">
        <x:f t="shared" si="5"/>
        <x:v>233</x:v>
      </x:c>
      <x:c r="H75" s="12">
        <x:f t="shared" si="6"/>
        <x:v>2111</x:v>
      </x:c>
      <x:c r="I75" s="12">
        <x:f t="shared" si="4"/>
        <x:v>491863</x:v>
      </x:c>
      <x:c r="J75" s="12">
        <x:f>ROUND(英雄升级调参!$D$72*英雄升级调参!$J$9*英雄升级调参!$E$18,0)</x:f>
        <x:v>28</x:v>
      </x:c>
      <x:c r="K75" s="12">
        <x:f>ROUND(英雄升级调参!$D$72*英雄升级调参!$C$11*英雄升级调参!$J$9*英雄升级调参!$G$18,0)</x:f>
        <x:v>257</x:v>
      </x:c>
      <x:c r="L75" s="12" t="n">
        <x:f>养成消耗调参!$C$154</x:f>
        <x:v>120</x:v>
      </x:c>
      <x:c r="M75" s="12" t="n">
        <x:f>养成消耗调参!$F$154</x:f>
        <x:v>900</x:v>
      </x:c>
      <x:c r="N75" s="12" t="n">
        <x:f>养成消耗调参!$I$154</x:f>
        <x:v>0</x:v>
      </x:c>
      <x:c r="O75" s="12" t="n">
        <x:f>养成消耗调参!$J$154</x:f>
        <x:v>408</x:v>
      </x:c>
      <x:c r="P75" s="12" t="n">
        <x:f>养成消耗调参!$M$154</x:f>
        <x:v>2400</x:v>
      </x:c>
      <x:c r="Q75" s="12" t="n">
        <x:f>养成消耗调参!$P$154</x:f>
        <x:v>10</x:v>
      </x:c>
      <x:c r="R75" s="13">
        <x:f>I75/英雄升级调参!$G$72-1</x:f>
        <x:v>-0.0019823877931985923</x:v>
      </x:c>
      <x:c r="S75" s="6"/>
      <x:c r="T75" s="6"/>
      <x:c r="U75" s="6"/>
    </x:row>
    <x:row r="76" ht="21.950000762939453" customHeight="1">
      <x:c r="A76" s="14" t="n">
        <x:f>英雄升级调参!$B$18</x:f>
        <x:v>310000</x:v>
      </x:c>
      <x:c r="B76" s="14" t="str">
        <x:f>英雄升级调参!$C$18</x:f>
        <x:v>特歪兔</x:v>
      </x:c>
      <x:c r="C76" s="6" t="str">
        <x:f>英雄升级调参!$D$18</x:f>
        <x:v>战士</x:v>
      </x:c>
      <x:c r="D76" s="6" t="s">
        <x:v>18</x:v>
      </x:c>
      <x:c r="E76" s="6">
        <x:v>8</x:v>
      </x:c>
      <x:c r="F76" s="6" t="n">
        <x:f>英雄升级调参!$C$73</x:f>
        <x:v>2</x:v>
      </x:c>
      <x:c r="G76" s="12">
        <x:f t="shared" si="5"/>
        <x:v>261</x:v>
      </x:c>
      <x:c r="H76" s="12">
        <x:f t="shared" si="6"/>
        <x:v>2368</x:v>
      </x:c>
      <x:c r="I76" s="12">
        <x:f t="shared" si="4"/>
        <x:v>618048</x:v>
      </x:c>
      <x:c r="J76" s="12">
        <x:f>ROUND(英雄升级调参!$D$73*英雄升级调参!$J$9*英雄升级调参!$E$18,0)</x:f>
        <x:v>28</x:v>
      </x:c>
      <x:c r="K76" s="12">
        <x:f>ROUND(英雄升级调参!$D$73*英雄升级调参!$C$11*英雄升级调参!$J$9*英雄升级调参!$G$18,0)</x:f>
        <x:v>257</x:v>
      </x:c>
      <x:c r="L76" s="12" t="n">
        <x:f>养成消耗调参!$C$155</x:f>
        <x:v>144</x:v>
      </x:c>
      <x:c r="M76" s="12" t="n">
        <x:f>养成消耗调参!$F$155</x:f>
        <x:v>900</x:v>
      </x:c>
      <x:c r="N76" s="12" t="n">
        <x:f>养成消耗调参!$I$155</x:f>
        <x:v>0</x:v>
      </x:c>
      <x:c r="O76" s="12" t="n">
        <x:f>养成消耗调参!$J$155</x:f>
        <x:v>552</x:v>
      </x:c>
      <x:c r="P76" s="12" t="n">
        <x:f>养成消耗调参!$M$155</x:f>
        <x:v>3300</x:v>
      </x:c>
      <x:c r="Q76" s="12" t="n">
        <x:f>养成消耗调参!$P$155</x:f>
        <x:v>10</x:v>
      </x:c>
      <x:c r="R76" s="13">
        <x:f>I76/英雄升级调参!$G$73-1</x:f>
        <x:v>-0.0031644650892727055</x:v>
      </x:c>
      <x:c r="S76" s="6"/>
      <x:c r="T76" s="6"/>
      <x:c r="U76" s="6"/>
    </x:row>
    <x:row r="77" ht="21.950000762939453" customHeight="1">
      <x:c r="A77" s="14" t="n">
        <x:f>英雄升级调参!$B$18</x:f>
        <x:v>310000</x:v>
      </x:c>
      <x:c r="B77" s="14" t="str">
        <x:f>英雄升级调参!$C$18</x:f>
        <x:v>特歪兔</x:v>
      </x:c>
      <x:c r="C77" s="6" t="str">
        <x:f>英雄升级调参!$D$18</x:f>
        <x:v>战士</x:v>
      </x:c>
      <x:c r="D77" s="6" t="s">
        <x:v>18</x:v>
      </x:c>
      <x:c r="E77" s="6">
        <x:v>9</x:v>
      </x:c>
      <x:c r="F77" s="6" t="n">
        <x:f>英雄升级调参!$C$74</x:f>
        <x:v>2</x:v>
      </x:c>
      <x:c r="G77" s="12">
        <x:f t="shared" si="5"/>
        <x:v>289</x:v>
      </x:c>
      <x:c r="H77" s="12">
        <x:f t="shared" si="6"/>
        <x:v>2625</x:v>
      </x:c>
      <x:c r="I77" s="12">
        <x:f t="shared" si="4"/>
        <x:v>758625</x:v>
      </x:c>
      <x:c r="J77" s="12">
        <x:f>ROUND(英雄升级调参!$D$74*英雄升级调参!$J$9*英雄升级调参!$E$18,0)</x:f>
        <x:v>28</x:v>
      </x:c>
      <x:c r="K77" s="12">
        <x:f>ROUND(英雄升级调参!$D$74*英雄升级调参!$C$11*英雄升级调参!$J$9*英雄升级调参!$G$18,0)</x:f>
        <x:v>257</x:v>
      </x:c>
      <x:c r="L77" s="12" t="n">
        <x:f>养成消耗调参!$C$156</x:f>
        <x:v>144</x:v>
      </x:c>
      <x:c r="M77" s="12" t="n">
        <x:f>养成消耗调参!$F$156</x:f>
        <x:v>900</x:v>
      </x:c>
      <x:c r="N77" s="12" t="n">
        <x:f>养成消耗调参!$I$156</x:f>
        <x:v>0</x:v>
      </x:c>
      <x:c r="O77" s="12" t="n">
        <x:f>养成消耗调参!$J$156</x:f>
        <x:v>696</x:v>
      </x:c>
      <x:c r="P77" s="12" t="n">
        <x:f>养成消耗调参!$M$156</x:f>
        <x:v>4200</x:v>
      </x:c>
      <x:c r="Q77" s="12" t="n">
        <x:f>养成消耗调参!$P$156</x:f>
        <x:v>10</x:v>
      </x:c>
      <x:c r="R77" s="13">
        <x:f>I77/英雄升级调参!$G$74-1</x:f>
        <x:v>-0.004115469439193498</x:v>
      </x:c>
      <x:c r="S77" s="6"/>
      <x:c r="T77" s="6"/>
      <x:c r="U77" s="6"/>
    </x:row>
    <x:row r="78" ht="21.950000762939453" customHeight="1">
      <x:c r="A78" s="14" t="n">
        <x:f>英雄升级调参!$B$18</x:f>
        <x:v>310000</x:v>
      </x:c>
      <x:c r="B78" s="14" t="str">
        <x:f>英雄升级调参!$C$18</x:f>
        <x:v>特歪兔</x:v>
      </x:c>
      <x:c r="C78" s="6" t="str">
        <x:f>英雄升级调参!$D$18</x:f>
        <x:v>战士</x:v>
      </x:c>
      <x:c r="D78" s="6" t="s">
        <x:v>18</x:v>
      </x:c>
      <x:c r="E78" s="6">
        <x:v>10</x:v>
      </x:c>
      <x:c r="F78" s="6" t="n">
        <x:f>英雄升级调参!$C$75</x:f>
        <x:v>2</x:v>
      </x:c>
      <x:c r="G78" s="12">
        <x:f t="shared" si="5"/>
        <x:v>373</x:v>
      </x:c>
      <x:c r="H78" s="12">
        <x:f t="shared" si="6"/>
        <x:v>3396</x:v>
      </x:c>
      <x:c r="I78" s="12">
        <x:f t="shared" si="4"/>
        <x:v>1266708</x:v>
      </x:c>
      <x:c r="J78" s="12">
        <x:f>ROUND(英雄升级调参!$D$75*英雄升级调参!$J$9*英雄升级调参!$E$18,0)*3</x:f>
        <x:v>84</x:v>
      </x:c>
      <x:c r="K78" s="12">
        <x:f>ROUND(英雄升级调参!$D$75*英雄升级调参!$C$11*英雄升级调参!$J$9*英雄升级调参!$G$18,0)*3</x:f>
        <x:v>771</x:v>
      </x:c>
      <x:c r="L78" s="12" t="n">
        <x:f>养成消耗调参!$C$157</x:f>
        <x:v>216</x:v>
      </x:c>
      <x:c r="M78" s="12" t="n">
        <x:f>养成消耗调参!$F$157</x:f>
        <x:v>900</x:v>
      </x:c>
      <x:c r="N78" s="12" t="n">
        <x:f>养成消耗调参!$I$157</x:f>
        <x:v>30</x:v>
      </x:c>
      <x:c r="O78" s="12" t="n">
        <x:f>养成消耗调参!$J$157</x:f>
        <x:v>912</x:v>
      </x:c>
      <x:c r="P78" s="12" t="n">
        <x:f>养成消耗调参!$M$157</x:f>
        <x:v>5100</x:v>
      </x:c>
      <x:c r="Q78" s="12" t="n">
        <x:f>养成消耗调参!$P$157</x:f>
        <x:v>40</x:v>
      </x:c>
      <x:c r="R78" s="13">
        <x:f>I78/英雄升级调参!$G$75-1</x:f>
        <x:v>-0.006105971800484888</x:v>
      </x:c>
      <x:c r="S78" s="6"/>
      <x:c r="T78" s="6"/>
      <x:c r="U78" s="6"/>
    </x:row>
    <x:row r="79" ht="21.950000762939453" customHeight="1">
      <x:c r="A79" s="14" t="n">
        <x:f>英雄升级调参!$B$18</x:f>
        <x:v>310000</x:v>
      </x:c>
      <x:c r="B79" s="14" t="str">
        <x:f>英雄升级调参!$C$18</x:f>
        <x:v>特歪兔</x:v>
      </x:c>
      <x:c r="C79" s="6" t="str">
        <x:f>英雄升级调参!$D$18</x:f>
        <x:v>战士</x:v>
      </x:c>
      <x:c r="D79" s="6" t="s">
        <x:v>18</x:v>
      </x:c>
      <x:c r="E79" s="6">
        <x:v>11</x:v>
      </x:c>
      <x:c r="F79" s="6" t="n">
        <x:f>英雄升级调参!$C$76</x:f>
        <x:v>3</x:v>
      </x:c>
      <x:c r="G79" s="12">
        <x:f t="shared" si="5"/>
        <x:v>411</x:v>
      </x:c>
      <x:c r="H79" s="12">
        <x:f t="shared" si="6"/>
        <x:v>3739</x:v>
      </x:c>
      <x:c r="I79" s="12">
        <x:f t="shared" si="4"/>
        <x:v>1536729</x:v>
      </x:c>
      <x:c r="J79" s="12">
        <x:f>ROUND(英雄升级调参!$D$76*英雄升级调参!$J$9*英雄升级调参!$E$18,0)</x:f>
        <x:v>38</x:v>
      </x:c>
      <x:c r="K79" s="12">
        <x:f>ROUND(英雄升级调参!$D$76*英雄升级调参!$C$11*英雄升级调参!$J$9*英雄升级调参!$G$18,0)</x:f>
        <x:v>343</x:v>
      </x:c>
      <x:c r="L79" s="12" t="n">
        <x:f>养成消耗调参!$C$158</x:f>
        <x:v>216</x:v>
      </x:c>
      <x:c r="M79" s="12" t="n">
        <x:f>养成消耗调参!$F$158</x:f>
        <x:v>900</x:v>
      </x:c>
      <x:c r="N79" s="12" t="n">
        <x:f>养成消耗调参!$I$158</x:f>
        <x:v>0</x:v>
      </x:c>
      <x:c r="O79" s="12" t="n">
        <x:f>养成消耗调参!$J$158</x:f>
        <x:v>1128</x:v>
      </x:c>
      <x:c r="P79" s="12" t="n">
        <x:f>养成消耗调参!$M$158</x:f>
        <x:v>6000</x:v>
      </x:c>
      <x:c r="Q79" s="12" t="n">
        <x:f>养成消耗调参!$P$158</x:f>
        <x:v>40</x:v>
      </x:c>
      <x:c r="R79" s="13">
        <x:f>I79/英雄升级调参!$G$76-1</x:f>
        <x:v>-0.005024959695433484</x:v>
      </x:c>
      <x:c r="S79" s="6"/>
      <x:c r="T79" s="6"/>
      <x:c r="U79" s="6"/>
    </x:row>
    <x:row r="80" ht="21.950000762939453" customHeight="1">
      <x:c r="A80" s="14" t="n">
        <x:f>英雄升级调参!$B$18</x:f>
        <x:v>310000</x:v>
      </x:c>
      <x:c r="B80" s="14" t="str">
        <x:f>英雄升级调参!$C$18</x:f>
        <x:v>特歪兔</x:v>
      </x:c>
      <x:c r="C80" s="6" t="str">
        <x:f>英雄升级调参!$D$18</x:f>
        <x:v>战士</x:v>
      </x:c>
      <x:c r="D80" s="6" t="s">
        <x:v>18</x:v>
      </x:c>
      <x:c r="E80" s="6">
        <x:v>12</x:v>
      </x:c>
      <x:c r="F80" s="6" t="n">
        <x:f>英雄升级调参!$C$77</x:f>
        <x:v>3</x:v>
      </x:c>
      <x:c r="G80" s="12">
        <x:f t="shared" si="5"/>
        <x:v>449</x:v>
      </x:c>
      <x:c r="H80" s="12">
        <x:f t="shared" si="6"/>
        <x:v>4082</x:v>
      </x:c>
      <x:c r="I80" s="12">
        <x:f t="shared" si="4"/>
        <x:v>1832818</x:v>
      </x:c>
      <x:c r="J80" s="12">
        <x:f>ROUND(英雄升级调参!$D$77*英雄升级调参!$J$9*英雄升级调参!$E$18,0)</x:f>
        <x:v>38</x:v>
      </x:c>
      <x:c r="K80" s="12">
        <x:f>ROUND(英雄升级调参!$D$77*英雄升级调参!$C$11*英雄升级调参!$J$9*英雄升级调参!$G$18,0)</x:f>
        <x:v>343</x:v>
      </x:c>
      <x:c r="L80" s="12" t="n">
        <x:f>养成消耗调参!$C$159</x:f>
        <x:v>240</x:v>
      </x:c>
      <x:c r="M80" s="12" t="n">
        <x:f>养成消耗调参!$F$159</x:f>
        <x:v>1500</x:v>
      </x:c>
      <x:c r="N80" s="12" t="n">
        <x:f>养成消耗调参!$I$159</x:f>
        <x:v>0</x:v>
      </x:c>
      <x:c r="O80" s="12" t="n">
        <x:f>养成消耗调参!$J$159</x:f>
        <x:v>1368</x:v>
      </x:c>
      <x:c r="P80" s="12" t="n">
        <x:f>养成消耗调参!$M$159</x:f>
        <x:v>7500</x:v>
      </x:c>
      <x:c r="Q80" s="12" t="n">
        <x:f>养成消耗调参!$P$159</x:f>
        <x:v>40</x:v>
      </x:c>
      <x:c r="R80" s="13">
        <x:f>I80/英雄升级调参!$G$77-1</x:f>
        <x:v>-0.004125167761531379</x:v>
      </x:c>
      <x:c r="S80" s="6"/>
      <x:c r="T80" s="6"/>
      <x:c r="U80" s="6"/>
    </x:row>
    <x:row r="81" ht="21.950000762939453" customHeight="1">
      <x:c r="A81" s="14" t="n">
        <x:f>英雄升级调参!$B$18</x:f>
        <x:v>310000</x:v>
      </x:c>
      <x:c r="B81" s="14" t="str">
        <x:f>英雄升级调参!$C$18</x:f>
        <x:v>特歪兔</x:v>
      </x:c>
      <x:c r="C81" s="6" t="str">
        <x:f>英雄升级调参!$D$18</x:f>
        <x:v>战士</x:v>
      </x:c>
      <x:c r="D81" s="6" t="s">
        <x:v>18</x:v>
      </x:c>
      <x:c r="E81" s="6">
        <x:v>13</x:v>
      </x:c>
      <x:c r="F81" s="6" t="n">
        <x:f>英雄升级调参!$C$78</x:f>
        <x:v>3</x:v>
      </x:c>
      <x:c r="G81" s="12">
        <x:f t="shared" si="5"/>
        <x:v>487</x:v>
      </x:c>
      <x:c r="H81" s="12">
        <x:f t="shared" si="6"/>
        <x:v>4425</x:v>
      </x:c>
      <x:c r="I81" s="12">
        <x:f t="shared" si="4"/>
        <x:v>2154975</x:v>
      </x:c>
      <x:c r="J81" s="12">
        <x:f>ROUND(英雄升级调参!$D$78*英雄升级调参!$J$9*英雄升级调参!$E$18,0)</x:f>
        <x:v>38</x:v>
      </x:c>
      <x:c r="K81" s="12">
        <x:f>ROUND(英雄升级调参!$D$78*英雄升级调参!$C$11*英雄升级调参!$J$9*英雄升级调参!$G$18,0)</x:f>
        <x:v>343</x:v>
      </x:c>
      <x:c r="L81" s="12" t="n">
        <x:f>养成消耗调参!$C$160</x:f>
        <x:v>240</x:v>
      </x:c>
      <x:c r="M81" s="12" t="n">
        <x:f>养成消耗调参!$F$160</x:f>
        <x:v>1500</x:v>
      </x:c>
      <x:c r="N81" s="12" t="n">
        <x:f>养成消耗调参!$I$160</x:f>
        <x:v>0</x:v>
      </x:c>
      <x:c r="O81" s="12" t="n">
        <x:f>养成消耗调参!$J$160</x:f>
        <x:v>1608</x:v>
      </x:c>
      <x:c r="P81" s="12" t="n">
        <x:f>养成消耗调参!$M$160</x:f>
        <x:v>9000</x:v>
      </x:c>
      <x:c r="Q81" s="12" t="n">
        <x:f>养成消耗调参!$P$160</x:f>
        <x:v>40</x:v>
      </x:c>
      <x:c r="R81" s="13">
        <x:f>I81/英雄升级调参!$G$78-1</x:f>
        <x:v>-0.003364550815123102</x:v>
      </x:c>
      <x:c r="S81" s="6"/>
      <x:c r="T81" s="6"/>
      <x:c r="U81" s="6"/>
    </x:row>
    <x:row r="82" ht="21.950000762939453" customHeight="1">
      <x:c r="A82" s="14" t="n">
        <x:f>英雄升级调参!$B$18</x:f>
        <x:v>310000</x:v>
      </x:c>
      <x:c r="B82" s="14" t="str">
        <x:f>英雄升级调参!$C$18</x:f>
        <x:v>特歪兔</x:v>
      </x:c>
      <x:c r="C82" s="6" t="str">
        <x:f>英雄升级调参!$D$18</x:f>
        <x:v>战士</x:v>
      </x:c>
      <x:c r="D82" s="6" t="s">
        <x:v>18</x:v>
      </x:c>
      <x:c r="E82" s="6">
        <x:v>14</x:v>
      </x:c>
      <x:c r="F82" s="6" t="n">
        <x:f>英雄升级调参!$C$79</x:f>
        <x:v>3</x:v>
      </x:c>
      <x:c r="G82" s="12">
        <x:f t="shared" si="5"/>
        <x:v>525</x:v>
      </x:c>
      <x:c r="H82" s="12">
        <x:f t="shared" si="6"/>
        <x:v>4768</x:v>
      </x:c>
      <x:c r="I82" s="12">
        <x:f t="shared" si="4"/>
        <x:v>2503200</x:v>
      </x:c>
      <x:c r="J82" s="12">
        <x:f>ROUND(英雄升级调参!$D$79*英雄升级调参!$J$9*英雄升级调参!$E$18,0)</x:f>
        <x:v>38</x:v>
      </x:c>
      <x:c r="K82" s="12">
        <x:f>ROUND(英雄升级调参!$D$79*英雄升级调参!$C$11*英雄升级调参!$J$9*英雄升级调参!$G$18,0)</x:f>
        <x:v>343</x:v>
      </x:c>
      <x:c r="L82" s="12" t="n">
        <x:f>养成消耗调参!$C$161</x:f>
        <x:v>288</x:v>
      </x:c>
      <x:c r="M82" s="12" t="n">
        <x:f>养成消耗调参!$F$161</x:f>
        <x:v>1500</x:v>
      </x:c>
      <x:c r="N82" s="12" t="n">
        <x:f>养成消耗调参!$I$161</x:f>
        <x:v>0</x:v>
      </x:c>
      <x:c r="O82" s="12" t="n">
        <x:f>养成消耗调参!$J$161</x:f>
        <x:v>1896</x:v>
      </x:c>
      <x:c r="P82" s="12" t="n">
        <x:f>养成消耗调参!$M$161</x:f>
        <x:v>10500</x:v>
      </x:c>
      <x:c r="Q82" s="12" t="n">
        <x:f>养成消耗调参!$P$161</x:f>
        <x:v>40</x:v>
      </x:c>
      <x:c r="R82" s="13">
        <x:f>I82/英雄升级调参!$G$79-1</x:f>
        <x:v>-0.0027131366010494373</x:v>
      </x:c>
      <x:c r="S82" s="6"/>
      <x:c r="T82" s="6"/>
      <x:c r="U82" s="6"/>
    </x:row>
    <x:row r="83" ht="21.950000762939453" customHeight="1">
      <x:c r="A83" s="14" t="n">
        <x:f>英雄升级调参!$B$18</x:f>
        <x:v>310000</x:v>
      </x:c>
      <x:c r="B83" s="14" t="str">
        <x:f>英雄升级调参!$C$18</x:f>
        <x:v>特歪兔</x:v>
      </x:c>
      <x:c r="C83" s="6" t="str">
        <x:f>英雄升级调参!$D$18</x:f>
        <x:v>战士</x:v>
      </x:c>
      <x:c r="D83" s="6" t="s">
        <x:v>18</x:v>
      </x:c>
      <x:c r="E83" s="6">
        <x:v>15</x:v>
      </x:c>
      <x:c r="F83" s="6" t="n">
        <x:f>英雄升级调参!$C$80</x:f>
        <x:v>3</x:v>
      </x:c>
      <x:c r="G83" s="12">
        <x:f t="shared" si="5"/>
        <x:v>639</x:v>
      </x:c>
      <x:c r="H83" s="12">
        <x:f t="shared" si="6"/>
        <x:v>5797</x:v>
      </x:c>
      <x:c r="I83" s="12">
        <x:f t="shared" si="4"/>
        <x:v>3704283</x:v>
      </x:c>
      <x:c r="J83" s="12">
        <x:f>ROUND(英雄升级调参!$D$80*英雄升级调参!$J$9*英雄升级调参!$E$18,0)*3</x:f>
        <x:v>114</x:v>
      </x:c>
      <x:c r="K83" s="12">
        <x:f>ROUND(英雄升级调参!$D$80*英雄升级调参!$C$11*英雄升级调参!$J$9*英雄升级调参!$G$18,0)*3</x:f>
        <x:v>1029</x:v>
      </x:c>
      <x:c r="L83" s="12" t="n">
        <x:f>养成消耗调参!$C$162</x:f>
        <x:v>288</x:v>
      </x:c>
      <x:c r="M83" s="12" t="n">
        <x:f>养成消耗调参!$F$162</x:f>
        <x:v>1500</x:v>
      </x:c>
      <x:c r="N83" s="12" t="n">
        <x:f>养成消耗调参!$I$162</x:f>
        <x:v>50</x:v>
      </x:c>
      <x:c r="O83" s="12" t="n">
        <x:f>养成消耗调参!$J$162</x:f>
        <x:v>2184</x:v>
      </x:c>
      <x:c r="P83" s="12" t="n">
        <x:f>养成消耗调参!$M$162</x:f>
        <x:v>12000</x:v>
      </x:c>
      <x:c r="Q83" s="12" t="n">
        <x:f>养成消耗调参!$P$162</x:f>
        <x:v>90</x:v>
      </x:c>
      <x:c r="R83" s="13">
        <x:f>I83/英雄升级调参!$G$80-1</x:f>
        <x:v>-0.0012206071489238024</x:v>
      </x:c>
      <x:c r="S83" s="6"/>
      <x:c r="T83" s="6"/>
      <x:c r="U83" s="6"/>
    </x:row>
    <x:row r="84" ht="21.950000762939453" customHeight="1">
      <x:c r="A84" s="14" t="n">
        <x:f>英雄升级调参!$B$18</x:f>
        <x:v>310000</x:v>
      </x:c>
      <x:c r="B84" s="14" t="str">
        <x:f>英雄升级调参!$C$18</x:f>
        <x:v>特歪兔</x:v>
      </x:c>
      <x:c r="C84" s="6" t="str">
        <x:f>英雄升级调参!$D$18</x:f>
        <x:v>战士</x:v>
      </x:c>
      <x:c r="D84" s="6" t="s">
        <x:v>18</x:v>
      </x:c>
      <x:c r="E84" s="6">
        <x:v>16</x:v>
      </x:c>
      <x:c r="F84" s="6" t="n">
        <x:f>英雄升级调参!$C$81</x:f>
        <x:v>4</x:v>
      </x:c>
      <x:c r="G84" s="12">
        <x:f t="shared" si="5"/>
        <x:v>686</x:v>
      </x:c>
      <x:c r="H84" s="12">
        <x:f t="shared" si="6"/>
        <x:v>6226</x:v>
      </x:c>
      <x:c r="I84" s="12">
        <x:f t="shared" si="4"/>
        <x:v>4271036</x:v>
      </x:c>
      <x:c r="J84" s="12">
        <x:f>ROUND(英雄升级调参!$D$81*英雄升级调参!$J$9*英雄升级调参!$E$18,0)</x:f>
        <x:v>47</x:v>
      </x:c>
      <x:c r="K84" s="12">
        <x:f>ROUND(英雄升级调参!$D$81*英雄升级调参!$C$11*英雄升级调参!$J$9*英雄升级调参!$G$18,0)</x:f>
        <x:v>429</x:v>
      </x:c>
      <x:c r="L84" s="12" t="n">
        <x:f>养成消耗调参!$C$163</x:f>
        <x:v>336</x:v>
      </x:c>
      <x:c r="M84" s="12" t="n">
        <x:f>养成消耗调参!$F$163</x:f>
        <x:v>1500</x:v>
      </x:c>
      <x:c r="N84" s="12" t="n">
        <x:f>养成消耗调参!$I$163</x:f>
        <x:v>0</x:v>
      </x:c>
      <x:c r="O84" s="12" t="n">
        <x:f>养成消耗调参!$J$163</x:f>
        <x:v>2520</x:v>
      </x:c>
      <x:c r="P84" s="12" t="n">
        <x:f>养成消耗调参!$M$163</x:f>
        <x:v>13500</x:v>
      </x:c>
      <x:c r="Q84" s="12" t="n">
        <x:f>养成消耗调参!$P$163</x:f>
        <x:v>90</x:v>
      </x:c>
      <x:c r="R84" s="13">
        <x:f>I84/英雄升级调参!$G$81-1</x:f>
        <x:v>-0.0014317911885456391</x:v>
      </x:c>
      <x:c r="S84" s="6"/>
      <x:c r="T84" s="6"/>
      <x:c r="U84" s="6"/>
    </x:row>
    <x:row r="85" ht="21.950000762939453" customHeight="1">
      <x:c r="A85" s="14" t="n">
        <x:f>英雄升级调参!$B$18</x:f>
        <x:v>310000</x:v>
      </x:c>
      <x:c r="B85" s="14" t="str">
        <x:f>英雄升级调参!$C$18</x:f>
        <x:v>特歪兔</x:v>
      </x:c>
      <x:c r="C85" s="6" t="str">
        <x:f>英雄升级调参!$D$18</x:f>
        <x:v>战士</x:v>
      </x:c>
      <x:c r="D85" s="6" t="s">
        <x:v>18</x:v>
      </x:c>
      <x:c r="E85" s="6">
        <x:v>17</x:v>
      </x:c>
      <x:c r="F85" s="6" t="n">
        <x:f>英雄升级调参!$C$82</x:f>
        <x:v>4</x:v>
      </x:c>
      <x:c r="G85" s="12">
        <x:f t="shared" si="5"/>
        <x:v>733</x:v>
      </x:c>
      <x:c r="H85" s="12">
        <x:f t="shared" si="6"/>
        <x:v>6655</x:v>
      </x:c>
      <x:c r="I85" s="12">
        <x:f t="shared" si="4"/>
        <x:v>4878115</x:v>
      </x:c>
      <x:c r="J85" s="12">
        <x:f>ROUND(英雄升级调参!$D$82*英雄升级调参!$J$9*英雄升级调参!$E$18,0)</x:f>
        <x:v>47</x:v>
      </x:c>
      <x:c r="K85" s="12">
        <x:f>ROUND(英雄升级调参!$D$82*英雄升级调参!$C$11*英雄升级调参!$J$9*英雄升级调参!$G$18,0)</x:f>
        <x:v>429</x:v>
      </x:c>
      <x:c r="L85" s="12" t="n">
        <x:f>养成消耗调参!$C$164</x:f>
        <x:v>336</x:v>
      </x:c>
      <x:c r="M85" s="12" t="n">
        <x:f>养成消耗调参!$F$164</x:f>
        <x:v>2100</x:v>
      </x:c>
      <x:c r="N85" s="12" t="n">
        <x:f>养成消耗调参!$I$164</x:f>
        <x:v>0</x:v>
      </x:c>
      <x:c r="O85" s="12" t="n">
        <x:f>养成消耗调参!$J$164</x:f>
        <x:v>2856</x:v>
      </x:c>
      <x:c r="P85" s="12" t="n">
        <x:f>养成消耗调参!$M$164</x:f>
        <x:v>15600</x:v>
      </x:c>
      <x:c r="Q85" s="12" t="n">
        <x:f>养成消耗调参!$P$164</x:f>
        <x:v>90</x:v>
      </x:c>
      <x:c r="R85" s="13">
        <x:f>I85/英雄升级调参!$G$82-1</x:f>
        <x:v>-0.0016158378718013067</x:v>
      </x:c>
      <x:c r="S85" s="6"/>
      <x:c r="T85" s="6"/>
      <x:c r="U85" s="6"/>
    </x:row>
    <x:row r="86" ht="21.950000762939453" customHeight="1">
      <x:c r="A86" s="14" t="n">
        <x:f>英雄升级调参!$B$18</x:f>
        <x:v>310000</x:v>
      </x:c>
      <x:c r="B86" s="14" t="str">
        <x:f>英雄升级调参!$C$18</x:f>
        <x:v>特歪兔</x:v>
      </x:c>
      <x:c r="C86" s="6" t="str">
        <x:f>英雄升级调参!$D$18</x:f>
        <x:v>战士</x:v>
      </x:c>
      <x:c r="D86" s="6" t="s">
        <x:v>18</x:v>
      </x:c>
      <x:c r="E86" s="6">
        <x:v>18</x:v>
      </x:c>
      <x:c r="F86" s="6" t="n">
        <x:f>英雄升级调参!$C$83</x:f>
        <x:v>4</x:v>
      </x:c>
      <x:c r="G86" s="12">
        <x:f t="shared" si="5"/>
        <x:v>780</x:v>
      </x:c>
      <x:c r="H86" s="12">
        <x:f t="shared" si="6"/>
        <x:v>7084</x:v>
      </x:c>
      <x:c r="I86" s="12">
        <x:f t="shared" si="4"/>
        <x:v>5525520</x:v>
      </x:c>
      <x:c r="J86" s="12">
        <x:f>ROUND(英雄升级调参!$D$83*英雄升级调参!$J$9*英雄升级调参!$E$18,0)</x:f>
        <x:v>47</x:v>
      </x:c>
      <x:c r="K86" s="12">
        <x:f>ROUND(英雄升级调参!$D$83*英雄升级调参!$C$11*英雄升级调参!$J$9*英雄升级调参!$G$18,0)</x:f>
        <x:v>429</x:v>
      </x:c>
      <x:c r="L86" s="12" t="n">
        <x:f>养成消耗调参!$C$165</x:f>
        <x:v>384</x:v>
      </x:c>
      <x:c r="M86" s="12" t="n">
        <x:f>养成消耗调参!$F$165</x:f>
        <x:v>2100</x:v>
      </x:c>
      <x:c r="N86" s="12" t="n">
        <x:f>养成消耗调参!$I$165</x:f>
        <x:v>0</x:v>
      </x:c>
      <x:c r="O86" s="12" t="n">
        <x:f>养成消耗调参!$J$165</x:f>
        <x:v>3240</x:v>
      </x:c>
      <x:c r="P86" s="12" t="n">
        <x:f>养成消耗调参!$M$165</x:f>
        <x:v>17700</x:v>
      </x:c>
      <x:c r="Q86" s="12" t="n">
        <x:f>养成消耗调参!$P$165</x:f>
        <x:v>90</x:v>
      </x:c>
      <x:c r="R86" s="13">
        <x:f>I86/英雄升级调参!$G$83-1</x:f>
        <x:v>-0.0017776621574748797</x:v>
      </x:c>
      <x:c r="S86" s="6"/>
      <x:c r="T86" s="6"/>
      <x:c r="U86" s="6"/>
    </x:row>
    <x:row r="87" ht="21.950000762939453" customHeight="1">
      <x:c r="A87" s="14" t="n">
        <x:f>英雄升级调参!$B$18</x:f>
        <x:v>310000</x:v>
      </x:c>
      <x:c r="B87" s="14" t="str">
        <x:f>英雄升级调参!$C$18</x:f>
        <x:v>特歪兔</x:v>
      </x:c>
      <x:c r="C87" s="6" t="str">
        <x:f>英雄升级调参!$D$18</x:f>
        <x:v>战士</x:v>
      </x:c>
      <x:c r="D87" s="6" t="s">
        <x:v>18</x:v>
      </x:c>
      <x:c r="E87" s="6">
        <x:v>19</x:v>
      </x:c>
      <x:c r="F87" s="6" t="n">
        <x:f>英雄升级调参!$C$84</x:f>
        <x:v>4</x:v>
      </x:c>
      <x:c r="G87" s="12">
        <x:f t="shared" si="5"/>
        <x:v>827</x:v>
      </x:c>
      <x:c r="H87" s="12">
        <x:f t="shared" si="6"/>
        <x:v>7513</x:v>
      </x:c>
      <x:c r="I87" s="12">
        <x:f t="shared" si="4"/>
        <x:v>6213251</x:v>
      </x:c>
      <x:c r="J87" s="12">
        <x:f>ROUND(英雄升级调参!$D$84*英雄升级调参!$J$9*英雄升级调参!$E$18,0)</x:f>
        <x:v>47</x:v>
      </x:c>
      <x:c r="K87" s="12">
        <x:f>ROUND(英雄升级调参!$D$84*英雄升级调参!$C$11*英雄升级调参!$J$9*英雄升级调参!$G$18,0)</x:f>
        <x:v>429</x:v>
      </x:c>
      <x:c r="L87" s="12" t="n">
        <x:f>养成消耗调参!$C$166</x:f>
        <x:v>384</x:v>
      </x:c>
      <x:c r="M87" s="12" t="n">
        <x:f>养成消耗调参!$F$166</x:f>
        <x:v>2100</x:v>
      </x:c>
      <x:c r="N87" s="12" t="n">
        <x:f>养成消耗调参!$I$166</x:f>
        <x:v>0</x:v>
      </x:c>
      <x:c r="O87" s="12" t="n">
        <x:f>养成消耗调参!$J$166</x:f>
        <x:v>3624</x:v>
      </x:c>
      <x:c r="P87" s="12" t="n">
        <x:f>养成消耗调参!$M$166</x:f>
        <x:v>19800</x:v>
      </x:c>
      <x:c r="Q87" s="12" t="n">
        <x:f>养成消耗调参!$P$166</x:f>
        <x:v>90</x:v>
      </x:c>
      <x:c r="R87" s="13">
        <x:f>I87/英雄升级调参!$G$84-1</x:f>
        <x:v>-0.0019210596911589661</x:v>
      </x:c>
      <x:c r="S87" s="6"/>
      <x:c r="T87" s="6"/>
      <x:c r="U87" s="6"/>
    </x:row>
    <x:row r="88" ht="21.950000762939453" customHeight="1">
      <x:c r="A88" s="14" t="n">
        <x:f>英雄升级调参!$B$18</x:f>
        <x:v>310000</x:v>
      </x:c>
      <x:c r="B88" s="14" t="str">
        <x:f>英雄升级调参!$C$18</x:f>
        <x:v>特歪兔</x:v>
      </x:c>
      <x:c r="C88" s="6" t="str">
        <x:f>英雄升级调参!$D$18</x:f>
        <x:v>战士</x:v>
      </x:c>
      <x:c r="D88" s="6" t="s">
        <x:v>18</x:v>
      </x:c>
      <x:c r="E88" s="6">
        <x:v>20</x:v>
      </x:c>
      <x:c r="F88" s="6" t="n">
        <x:f>英雄升级调参!$C$85</x:f>
        <x:v>4</x:v>
      </x:c>
      <x:c r="G88" s="12">
        <x:f t="shared" si="5"/>
        <x:v>968</x:v>
      </x:c>
      <x:c r="H88" s="12">
        <x:f t="shared" si="6"/>
        <x:v>8800</x:v>
      </x:c>
      <x:c r="I88" s="12">
        <x:f t="shared" si="4"/>
        <x:v>8518400</x:v>
      </x:c>
      <x:c r="J88" s="12">
        <x:f>ROUND(英雄升级调参!$D$85*英雄升级调参!$J$9*英雄升级调参!$E$18,0)*3</x:f>
        <x:v>141</x:v>
      </x:c>
      <x:c r="K88" s="12">
        <x:f>ROUND(英雄升级调参!$D$85*英雄升级调参!$C$11*英雄升级调参!$J$9*英雄升级调参!$G$18,0)*3</x:f>
        <x:v>1287</x:v>
      </x:c>
      <x:c r="L88" s="12" t="n">
        <x:f>养成消耗调参!$C$167</x:f>
        <x:v>432</x:v>
      </x:c>
      <x:c r="M88" s="12" t="n">
        <x:f>养成消耗调参!$F$167</x:f>
        <x:v>2100</x:v>
      </x:c>
      <x:c r="N88" s="12" t="n">
        <x:f>养成消耗调参!$I$167</x:f>
        <x:v>70</x:v>
      </x:c>
      <x:c r="O88" s="12" t="n">
        <x:f>养成消耗调参!$J$167</x:f>
        <x:v>4056</x:v>
      </x:c>
      <x:c r="P88" s="12" t="n">
        <x:f>养成消耗调参!$M$167</x:f>
        <x:v>21900</x:v>
      </x:c>
      <x:c r="Q88" s="12" t="n">
        <x:f>养成消耗调参!$P$167</x:f>
        <x:v>160</x:v>
      </x:c>
      <x:c r="R88" s="13">
        <x:f>I88/英雄升级调参!$G$85-1</x:f>
        <x:v>-0.0022675736961451642</x:v>
      </x:c>
      <x:c r="S88" s="6"/>
      <x:c r="T88" s="6"/>
      <x:c r="U88" s="6"/>
    </x:row>
    <x:row r="89" ht="21.950000762939453" customHeight="1">
      <x:c r="A89" s="14" t="n">
        <x:f>英雄升级调参!$B$18</x:f>
        <x:v>310000</x:v>
      </x:c>
      <x:c r="B89" s="14" t="str">
        <x:f>英雄升级调参!$C$18</x:f>
        <x:v>特歪兔</x:v>
      </x:c>
      <x:c r="C89" s="6" t="str">
        <x:f>英雄升级调参!$D$18</x:f>
        <x:v>战士</x:v>
      </x:c>
      <x:c r="D89" s="6" t="s">
        <x:v>18</x:v>
      </x:c>
      <x:c r="E89" s="6">
        <x:v>21</x:v>
      </x:c>
      <x:c r="F89" s="6" t="n">
        <x:f>英雄升级调参!$C$86</x:f>
        <x:v>5</x:v>
      </x:c>
      <x:c r="G89" s="12">
        <x:f t="shared" si="5"/>
        <x:v>1025</x:v>
      </x:c>
      <x:c r="H89" s="12">
        <x:f t="shared" si="6"/>
        <x:v>9314</x:v>
      </x:c>
      <x:c r="I89" s="12">
        <x:f t="shared" si="4"/>
        <x:v>9546850</x:v>
      </x:c>
      <x:c r="J89" s="12">
        <x:f>ROUND(英雄升级调参!$D$86*英雄升级调参!$J$9*英雄升级调参!$E$18,0)</x:f>
        <x:v>57</x:v>
      </x:c>
      <x:c r="K89" s="12">
        <x:f>ROUND(英雄升级调参!$D$86*英雄升级调参!$C$11*英雄升级调参!$J$9*英雄升级调参!$G$18,0)</x:f>
        <x:v>514</x:v>
      </x:c>
      <x:c r="L89" s="12" t="n">
        <x:f>养成消耗调参!$C$168</x:f>
        <x:v>432</x:v>
      </x:c>
      <x:c r="M89" s="12" t="n">
        <x:f>养成消耗调参!$F$168</x:f>
        <x:v>2100</x:v>
      </x:c>
      <x:c r="N89" s="12" t="n">
        <x:f>养成消耗调参!$I$168</x:f>
        <x:v>0</x:v>
      </x:c>
      <x:c r="O89" s="12" t="n">
        <x:f>养成消耗调参!$J$168</x:f>
        <x:v>4488</x:v>
      </x:c>
      <x:c r="P89" s="12" t="n">
        <x:f>养成消耗调参!$M$168</x:f>
        <x:v>24000</x:v>
      </x:c>
      <x:c r="Q89" s="12" t="n">
        <x:f>养成消耗调参!$P$168</x:f>
        <x:v>160</x:v>
      </x:c>
      <x:c r="R89" s="13">
        <x:f>I89/英雄升级调参!$G$86-1</x:f>
        <x:v>-0.0018808469352336044</x:v>
      </x:c>
      <x:c r="S89" s="6"/>
      <x:c r="T89" s="6"/>
      <x:c r="U89" s="6"/>
    </x:row>
    <x:row r="90" ht="21.950000762939453" customHeight="1">
      <x:c r="A90" s="14" t="n">
        <x:f>英雄升级调参!$B$18</x:f>
        <x:v>310000</x:v>
      </x:c>
      <x:c r="B90" s="14" t="str">
        <x:f>英雄升级调参!$C$18</x:f>
        <x:v>特歪兔</x:v>
      </x:c>
      <x:c r="C90" s="6" t="str">
        <x:f>英雄升级调参!$D$18</x:f>
        <x:v>战士</x:v>
      </x:c>
      <x:c r="D90" s="6" t="s">
        <x:v>18</x:v>
      </x:c>
      <x:c r="E90" s="6">
        <x:v>22</x:v>
      </x:c>
      <x:c r="F90" s="6" t="n">
        <x:f>英雄升级调参!$C$87</x:f>
        <x:v>5</x:v>
      </x:c>
      <x:c r="G90" s="12">
        <x:f t="shared" si="5"/>
        <x:v>1082</x:v>
      </x:c>
      <x:c r="H90" s="12">
        <x:f t="shared" si="6"/>
        <x:v>9828</x:v>
      </x:c>
      <x:c r="I90" s="12">
        <x:f t="shared" si="4"/>
        <x:v>10633896</x:v>
      </x:c>
      <x:c r="J90" s="12">
        <x:f>ROUND(英雄升级调参!$D$87*英雄升级调参!$J$9*英雄升级调参!$E$18,0)</x:f>
        <x:v>57</x:v>
      </x:c>
      <x:c r="K90" s="12">
        <x:f>ROUND(英雄升级调参!$D$87*英雄升级调参!$C$11*英雄升级调参!$J$9*英雄升级调参!$G$18,0)</x:f>
        <x:v>514</x:v>
      </x:c>
      <x:c r="L90" s="12" t="n">
        <x:f>养成消耗调参!$C$169</x:f>
        <x:v>480</x:v>
      </x:c>
      <x:c r="M90" s="12" t="n">
        <x:f>养成消耗调参!$F$169</x:f>
        <x:v>3000</x:v>
      </x:c>
      <x:c r="N90" s="12" t="n">
        <x:f>养成消耗调参!$I$169</x:f>
        <x:v>0</x:v>
      </x:c>
      <x:c r="O90" s="12" t="n">
        <x:f>养成消耗调参!$J$169</x:f>
        <x:v>4968</x:v>
      </x:c>
      <x:c r="P90" s="12" t="n">
        <x:f>养成消耗调参!$M$169</x:f>
        <x:v>27000</x:v>
      </x:c>
      <x:c r="Q90" s="12" t="n">
        <x:f>养成消耗调参!$P$169</x:f>
        <x:v>160</x:v>
      </x:c>
      <x:c r="R90" s="13">
        <x:f>I90/英雄升级调参!$G$87-1</x:f>
        <x:v>-0.0015346133044888965</x:v>
      </x:c>
      <x:c r="S90" s="6"/>
      <x:c r="T90" s="6"/>
      <x:c r="U90" s="6"/>
    </x:row>
    <x:row r="91" ht="21.950000762939453" customHeight="1">
      <x:c r="A91" s="14" t="n">
        <x:f>英雄升级调参!$B$18</x:f>
        <x:v>310000</x:v>
      </x:c>
      <x:c r="B91" s="14" t="str">
        <x:f>英雄升级调参!$C$18</x:f>
        <x:v>特歪兔</x:v>
      </x:c>
      <x:c r="C91" s="6" t="str">
        <x:f>英雄升级调参!$D$18</x:f>
        <x:v>战士</x:v>
      </x:c>
      <x:c r="D91" s="6" t="s">
        <x:v>18</x:v>
      </x:c>
      <x:c r="E91" s="6">
        <x:v>23</x:v>
      </x:c>
      <x:c r="F91" s="6" t="n">
        <x:f>英雄升级调参!$C$88</x:f>
        <x:v>5</x:v>
      </x:c>
      <x:c r="G91" s="12">
        <x:f t="shared" si="5"/>
        <x:v>1139</x:v>
      </x:c>
      <x:c r="H91" s="12">
        <x:f t="shared" si="6"/>
        <x:v>10342</x:v>
      </x:c>
      <x:c r="I91" s="12">
        <x:f t="shared" si="4"/>
        <x:v>11779538</x:v>
      </x:c>
      <x:c r="J91" s="12">
        <x:f>ROUND(英雄升级调参!$D$88*英雄升级调参!$J$9*英雄升级调参!$E$18,0)</x:f>
        <x:v>57</x:v>
      </x:c>
      <x:c r="K91" s="12">
        <x:f>ROUND(英雄升级调参!$D$88*英雄升级调参!$C$11*英雄升级调参!$J$9*英雄升级调参!$G$18,0)</x:f>
        <x:v>514</x:v>
      </x:c>
      <x:c r="L91" s="12" t="n">
        <x:f>养成消耗调参!$C$170</x:f>
        <x:v>480</x:v>
      </x:c>
      <x:c r="M91" s="12" t="n">
        <x:f>养成消耗调参!$F$170</x:f>
        <x:v>3000</x:v>
      </x:c>
      <x:c r="N91" s="12" t="n">
        <x:f>养成消耗调参!$I$170</x:f>
        <x:v>0</x:v>
      </x:c>
      <x:c r="O91" s="12" t="n">
        <x:f>养成消耗调参!$J$170</x:f>
        <x:v>5448</x:v>
      </x:c>
      <x:c r="P91" s="12" t="n">
        <x:f>养成消耗调参!$M$170</x:f>
        <x:v>30000</x:v>
      </x:c>
      <x:c r="Q91" s="12" t="n">
        <x:f>养成消耗调参!$P$170</x:f>
        <x:v>160</x:v>
      </x:c>
      <x:c r="R91" s="13">
        <x:f>I91/英雄升级调参!$G$88-1</x:f>
        <x:v>-0.0012228293126311796</x:v>
      </x:c>
      <x:c r="S91" s="6"/>
      <x:c r="T91" s="6"/>
      <x:c r="U91" s="6"/>
    </x:row>
    <x:row r="92" ht="21.950000762939453" customHeight="1">
      <x:c r="A92" s="14" t="n">
        <x:f>英雄升级调参!$B$18</x:f>
        <x:v>310000</x:v>
      </x:c>
      <x:c r="B92" s="14" t="str">
        <x:f>英雄升级调参!$C$18</x:f>
        <x:v>特歪兔</x:v>
      </x:c>
      <x:c r="C92" s="6" t="str">
        <x:f>英雄升级调参!$D$18</x:f>
        <x:v>战士</x:v>
      </x:c>
      <x:c r="D92" s="6" t="s">
        <x:v>18</x:v>
      </x:c>
      <x:c r="E92" s="6">
        <x:v>24</x:v>
      </x:c>
      <x:c r="F92" s="6" t="n">
        <x:f>英雄升级调参!$C$89</x:f>
        <x:v>5</x:v>
      </x:c>
      <x:c r="G92" s="12">
        <x:f t="shared" si="5"/>
        <x:v>1196</x:v>
      </x:c>
      <x:c r="H92" s="12">
        <x:f t="shared" si="6"/>
        <x:v>10856</x:v>
      </x:c>
      <x:c r="I92" s="12">
        <x:f t="shared" si="4"/>
        <x:v>12983776</x:v>
      </x:c>
      <x:c r="J92" s="12">
        <x:f>ROUND(英雄升级调参!$D$89*英雄升级调参!$J$9*英雄升级调参!$E$18,0)</x:f>
        <x:v>57</x:v>
      </x:c>
      <x:c r="K92" s="12">
        <x:f>ROUND(英雄升级调参!$D$89*英雄升级调参!$C$11*英雄升级调参!$J$9*英雄升级调参!$G$18,0)</x:f>
        <x:v>514</x:v>
      </x:c>
      <x:c r="L92" s="12" t="n">
        <x:f>养成消耗调参!$C$171</x:f>
        <x:v>528</x:v>
      </x:c>
      <x:c r="M92" s="12" t="n">
        <x:f>养成消耗调参!$F$171</x:f>
        <x:v>3000</x:v>
      </x:c>
      <x:c r="N92" s="12" t="n">
        <x:f>养成消耗调参!$I$171</x:f>
        <x:v>0</x:v>
      </x:c>
      <x:c r="O92" s="12" t="n">
        <x:f>养成消耗调参!$J$171</x:f>
        <x:v>5976</x:v>
      </x:c>
      <x:c r="P92" s="12" t="n">
        <x:f>养成消耗调参!$M$171</x:f>
        <x:v>33000</x:v>
      </x:c>
      <x:c r="Q92" s="12" t="n">
        <x:f>养成消耗调参!$P$171</x:f>
        <x:v>160</x:v>
      </x:c>
      <x:c r="R92" s="13">
        <x:f>I92/英雄升级调参!$G$89-1</x:f>
        <x:v>-0.0009405971068020547</x:v>
      </x:c>
      <x:c r="S92" s="6"/>
      <x:c r="T92" s="6"/>
      <x:c r="U92" s="6"/>
    </x:row>
    <x:row r="93" ht="21.950000762939453" customHeight="1">
      <x:c r="A93" s="14" t="n">
        <x:f>英雄升级调参!$B$18</x:f>
        <x:v>310000</x:v>
      </x:c>
      <x:c r="B93" s="14" t="str">
        <x:f>英雄升级调参!$C$18</x:f>
        <x:v>特歪兔</x:v>
      </x:c>
      <x:c r="C93" s="6" t="str">
        <x:f>英雄升级调参!$D$18</x:f>
        <x:v>战士</x:v>
      </x:c>
      <x:c r="D93" s="6" t="s">
        <x:v>18</x:v>
      </x:c>
      <x:c r="E93" s="6">
        <x:v>25</x:v>
      </x:c>
      <x:c r="F93" s="6" t="n">
        <x:f>英雄升级调参!$C$90</x:f>
        <x:v>5</x:v>
      </x:c>
      <x:c r="G93" s="12">
        <x:f t="shared" si="5"/>
        <x:v>1367</x:v>
      </x:c>
      <x:c r="H93" s="12">
        <x:f t="shared" si="6"/>
        <x:v>12398</x:v>
      </x:c>
      <x:c r="I93" s="12">
        <x:f t="shared" si="4"/>
        <x:v>16948066</x:v>
      </x:c>
      <x:c r="J93" s="12">
        <x:f>ROUND(英雄升级调参!$D$90*英雄升级调参!$J$9*英雄升级调参!$E$18,0)*3</x:f>
        <x:v>171</x:v>
      </x:c>
      <x:c r="K93" s="12">
        <x:f>ROUND(英雄升级调参!$D$90*英雄升级调参!$C$11*英雄升级调参!$J$9*英雄升级调参!$G$18,0)*3</x:f>
        <x:v>1542</x:v>
      </x:c>
      <x:c r="L93" s="12" t="n">
        <x:f>养成消耗调参!$C$172</x:f>
        <x:v>528</x:v>
      </x:c>
      <x:c r="M93" s="12" t="n">
        <x:f>养成消耗调参!$F$172</x:f>
        <x:v>3000</x:v>
      </x:c>
      <x:c r="N93" s="12" t="n">
        <x:f>养成消耗调参!$I$172</x:f>
        <x:v>90</x:v>
      </x:c>
      <x:c r="O93" s="12" t="n">
        <x:f>养成消耗调参!$J$172</x:f>
        <x:v>6504</x:v>
      </x:c>
      <x:c r="P93" s="12" t="n">
        <x:f>养成消耗调参!$M$172</x:f>
        <x:v>36000</x:v>
      </x:c>
      <x:c r="Q93" s="12" t="n">
        <x:f>养成消耗调参!$P$172</x:f>
        <x:v>250</x:v>
      </x:c>
      <x:c r="R93" s="13">
        <x:f>I93/英雄升级调参!$G$90-1</x:f>
        <x:v>-0.00023442606317591874</x:v>
      </x:c>
      <x:c r="S93" s="6"/>
      <x:c r="T93" s="6"/>
      <x:c r="U93" s="6"/>
    </x:row>
    <x:row r="94" ht="21.950000762939453" customHeight="1">
      <x:c r="A94" s="14" t="n">
        <x:f>英雄升级调参!$B$18</x:f>
        <x:v>310000</x:v>
      </x:c>
      <x:c r="B94" s="14" t="str">
        <x:f>英雄升级调参!$C$18</x:f>
        <x:v>特歪兔</x:v>
      </x:c>
      <x:c r="C94" s="6" t="str">
        <x:f>英雄升级调参!$D$18</x:f>
        <x:v>战士</x:v>
      </x:c>
      <x:c r="D94" s="6" t="s">
        <x:v>18</x:v>
      </x:c>
      <x:c r="E94" s="6">
        <x:v>26</x:v>
      </x:c>
      <x:c r="F94" s="6" t="n">
        <x:f>英雄升级调参!$C$91</x:f>
        <x:v>6</x:v>
      </x:c>
      <x:c r="G94" s="12">
        <x:f t="shared" si="5"/>
        <x:v>1433</x:v>
      </x:c>
      <x:c r="H94" s="12">
        <x:f t="shared" si="6"/>
        <x:v>12998</x:v>
      </x:c>
      <x:c r="I94" s="12">
        <x:f t="shared" si="4"/>
        <x:v>18626134</x:v>
      </x:c>
      <x:c r="J94" s="12">
        <x:f>ROUND(英雄升级调参!$D$91*英雄升级调参!$J$9*英雄升级调参!$E$18,0)</x:f>
        <x:v>66</x:v>
      </x:c>
      <x:c r="K94" s="12">
        <x:f>ROUND(英雄升级调参!$D$91*英雄升级调参!$C$11*英雄升级调参!$J$9*英雄升级调参!$G$18,0)</x:f>
        <x:v>600</x:v>
      </x:c>
      <x:c r="L94" s="12" t="n">
        <x:f>养成消耗调参!$C$173</x:f>
        <x:v>576</x:v>
      </x:c>
      <x:c r="M94" s="12" t="n">
        <x:f>养成消耗调参!$F$173</x:f>
        <x:v>3000</x:v>
      </x:c>
      <x:c r="N94" s="12" t="n">
        <x:f>养成消耗调参!$I$173</x:f>
        <x:v>0</x:v>
      </x:c>
      <x:c r="O94" s="12" t="n">
        <x:f>养成消耗调参!$J$173</x:f>
        <x:v>7080</x:v>
      </x:c>
      <x:c r="P94" s="12" t="n">
        <x:f>养成消耗调参!$M$173</x:f>
        <x:v>39000</x:v>
      </x:c>
      <x:c r="Q94" s="12" t="n">
        <x:f>养成消耗调参!$P$173</x:f>
        <x:v>250</x:v>
      </x:c>
      <x:c r="R94" s="13">
        <x:f>I94/英雄升级调参!$G$91-1</x:f>
        <x:v>-0.00032824806451181576</x:v>
      </x:c>
      <x:c r="S94" s="6"/>
      <x:c r="T94" s="6"/>
      <x:c r="U94" s="6"/>
    </x:row>
    <x:row r="95" ht="21.950000762939453" customHeight="1">
      <x:c r="A95" s="14" t="n">
        <x:f>英雄升级调参!$B$18</x:f>
        <x:v>310000</x:v>
      </x:c>
      <x:c r="B95" s="14" t="str">
        <x:f>英雄升级调参!$C$18</x:f>
        <x:v>特歪兔</x:v>
      </x:c>
      <x:c r="C95" s="6" t="str">
        <x:f>英雄升级调参!$D$18</x:f>
        <x:v>战士</x:v>
      </x:c>
      <x:c r="D95" s="6" t="s">
        <x:v>18</x:v>
      </x:c>
      <x:c r="E95" s="6">
        <x:v>27</x:v>
      </x:c>
      <x:c r="F95" s="6" t="n">
        <x:f>英雄升级调参!$C$92</x:f>
        <x:v>6</x:v>
      </x:c>
      <x:c r="G95" s="12">
        <x:f t="shared" si="5"/>
        <x:v>1499</x:v>
      </x:c>
      <x:c r="H95" s="12">
        <x:f t="shared" si="6"/>
        <x:v>13598</x:v>
      </x:c>
      <x:c r="I95" s="12">
        <x:f t="shared" si="4"/>
        <x:v>20383402</x:v>
      </x:c>
      <x:c r="J95" s="12">
        <x:f>ROUND(英雄升级调参!$D$92*英雄升级调参!$J$9*英雄升级调参!$E$18,0)</x:f>
        <x:v>66</x:v>
      </x:c>
      <x:c r="K95" s="12">
        <x:f>ROUND(英雄升级调参!$D$92*英雄升级调参!$C$11*英雄升级调参!$J$9*英雄升级调参!$G$18,0)</x:f>
        <x:v>600</x:v>
      </x:c>
      <x:c r="L95" s="12" t="n">
        <x:f>养成消耗调参!$C$174</x:f>
        <x:v>576</x:v>
      </x:c>
      <x:c r="M95" s="12" t="n">
        <x:f>养成消耗调参!$F$174</x:f>
        <x:v>3900</x:v>
      </x:c>
      <x:c r="N95" s="12" t="n">
        <x:f>养成消耗调参!$I$174</x:f>
        <x:v>0</x:v>
      </x:c>
      <x:c r="O95" s="12" t="n">
        <x:f>养成消耗调参!$J$174</x:f>
        <x:v>7656</x:v>
      </x:c>
      <x:c r="P95" s="12" t="n">
        <x:f>养成消耗调参!$M$174</x:f>
        <x:v>42900</x:v>
      </x:c>
      <x:c r="Q95" s="12" t="n">
        <x:f>养成消耗调参!$P$174</x:f>
        <x:v>250</x:v>
      </x:c>
      <x:c r="R95" s="13">
        <x:f>I95/英雄升级调参!$G$92-1</x:f>
        <x:v>-0.0004137929681676811</x:v>
      </x:c>
      <x:c r="S95" s="6"/>
      <x:c r="T95" s="6"/>
      <x:c r="U95" s="6"/>
    </x:row>
    <x:row r="96" ht="21.950000762939453" customHeight="1">
      <x:c r="A96" s="14" t="n">
        <x:f>英雄升级调参!$B$18</x:f>
        <x:v>310000</x:v>
      </x:c>
      <x:c r="B96" s="14" t="str">
        <x:f>英雄升级调参!$C$18</x:f>
        <x:v>特歪兔</x:v>
      </x:c>
      <x:c r="C96" s="6" t="str">
        <x:f>英雄升级调参!$D$18</x:f>
        <x:v>战士</x:v>
      </x:c>
      <x:c r="D96" s="6" t="s">
        <x:v>18</x:v>
      </x:c>
      <x:c r="E96" s="6">
        <x:v>28</x:v>
      </x:c>
      <x:c r="F96" s="6" t="n">
        <x:f>英雄升级调参!$C$93</x:f>
        <x:v>6</x:v>
      </x:c>
      <x:c r="G96" s="12">
        <x:f t="shared" si="5"/>
        <x:v>1565</x:v>
      </x:c>
      <x:c r="H96" s="12">
        <x:f t="shared" si="6"/>
        <x:v>14198</x:v>
      </x:c>
      <x:c r="I96" s="12">
        <x:f t="shared" si="4"/>
        <x:v>22219870</x:v>
      </x:c>
      <x:c r="J96" s="12">
        <x:f>ROUND(英雄升级调参!$D$93*英雄升级调参!$J$9*英雄升级调参!$E$18,0)</x:f>
        <x:v>66</x:v>
      </x:c>
      <x:c r="K96" s="12">
        <x:f>ROUND(英雄升级调参!$D$93*英雄升级调参!$C$11*英雄升级调参!$J$9*英雄升级调参!$G$18,0)</x:f>
        <x:v>600</x:v>
      </x:c>
      <x:c r="L96" s="12" t="n">
        <x:f>养成消耗调参!$C$175</x:f>
        <x:v>624</x:v>
      </x:c>
      <x:c r="M96" s="12" t="n">
        <x:f>养成消耗调参!$F$175</x:f>
        <x:v>3900</x:v>
      </x:c>
      <x:c r="N96" s="12" t="n">
        <x:f>养成消耗调参!$I$175</x:f>
        <x:v>0</x:v>
      </x:c>
      <x:c r="O96" s="12" t="n">
        <x:f>养成消耗调参!$J$175</x:f>
        <x:v>8280</x:v>
      </x:c>
      <x:c r="P96" s="12" t="n">
        <x:f>养成消耗调参!$M$175</x:f>
        <x:v>46800</x:v>
      </x:c>
      <x:c r="Q96" s="12" t="n">
        <x:f>养成消耗调参!$P$175</x:f>
        <x:v>250</x:v>
      </x:c>
      <x:c r="R96" s="13">
        <x:f>I96/英雄升级调参!$G$93-1</x:f>
        <x:v>-0.000492109824158482</x:v>
      </x:c>
      <x:c r="S96" s="6"/>
      <x:c r="T96" s="6"/>
      <x:c r="U96" s="6"/>
    </x:row>
    <x:row r="97" ht="21.950000762939453" customHeight="1">
      <x:c r="A97" s="14" t="n">
        <x:f>英雄升级调参!$B$18</x:f>
        <x:v>310000</x:v>
      </x:c>
      <x:c r="B97" s="14" t="str">
        <x:f>英雄升级调参!$C$18</x:f>
        <x:v>特歪兔</x:v>
      </x:c>
      <x:c r="C97" s="6" t="str">
        <x:f>英雄升级调参!$D$18</x:f>
        <x:v>战士</x:v>
      </x:c>
      <x:c r="D97" s="6" t="s">
        <x:v>18</x:v>
      </x:c>
      <x:c r="E97" s="6">
        <x:v>29</x:v>
      </x:c>
      <x:c r="F97" s="6" t="n">
        <x:f>英雄升级调参!$C$94</x:f>
        <x:v>6</x:v>
      </x:c>
      <x:c r="G97" s="12">
        <x:f t="shared" si="5"/>
        <x:v>1631</x:v>
      </x:c>
      <x:c r="H97" s="12">
        <x:f t="shared" si="6"/>
        <x:v>14798</x:v>
      </x:c>
      <x:c r="I97" s="12">
        <x:f t="shared" si="4"/>
        <x:v>24135538</x:v>
      </x:c>
      <x:c r="J97" s="12">
        <x:f>ROUND(英雄升级调参!$D$94*英雄升级调参!$J$9*英雄升级调参!$E$18,0)</x:f>
        <x:v>66</x:v>
      </x:c>
      <x:c r="K97" s="12">
        <x:f>ROUND(英雄升级调参!$D$94*英雄升级调参!$C$11*英雄升级调参!$J$9*英雄升级调参!$G$18,0)</x:f>
        <x:v>600</x:v>
      </x:c>
      <x:c r="L97" s="12" t="n">
        <x:f>养成消耗调参!$C$176</x:f>
        <x:v>624</x:v>
      </x:c>
      <x:c r="M97" s="12" t="n">
        <x:f>养成消耗调参!$F$176</x:f>
        <x:v>3900</x:v>
      </x:c>
      <x:c r="N97" s="12" t="n">
        <x:f>养成消耗调参!$I$176</x:f>
        <x:v>0</x:v>
      </x:c>
      <x:c r="O97" s="12" t="n">
        <x:f>养成消耗调参!$J$176</x:f>
        <x:v>8904</x:v>
      </x:c>
      <x:c r="P97" s="12" t="n">
        <x:f>养成消耗调参!$M$176</x:f>
        <x:v>50700</x:v>
      </x:c>
      <x:c r="Q97" s="12" t="n">
        <x:f>养成消耗调参!$P$176</x:f>
        <x:v>250</x:v>
      </x:c>
      <x:c r="R97" s="13">
        <x:f>I97/英雄升级调参!$G$94-1</x:f>
        <x:v>-0.0005640775911046614</x:v>
      </x:c>
      <x:c r="S97" s="6"/>
      <x:c r="T97" s="6"/>
      <x:c r="U97" s="6"/>
    </x:row>
    <x:row r="98" ht="21.950000762939453" customHeight="1">
      <x:c r="A98" s="14" t="n">
        <x:f>英雄升级调参!$B$18</x:f>
        <x:v>310000</x:v>
      </x:c>
      <x:c r="B98" s="14" t="str">
        <x:f>英雄升级调参!$C$18</x:f>
        <x:v>特歪兔</x:v>
      </x:c>
      <x:c r="C98" s="6" t="str">
        <x:f>英雄升级调参!$D$18</x:f>
        <x:v>战士</x:v>
      </x:c>
      <x:c r="D98" s="6" t="s">
        <x:v>18</x:v>
      </x:c>
      <x:c r="E98" s="6">
        <x:v>30</x:v>
      </x:c>
      <x:c r="F98" s="6" t="n">
        <x:f>英雄升级调参!$C$95</x:f>
        <x:v>6</x:v>
      </x:c>
      <x:c r="G98" s="12">
        <x:f t="shared" si="5"/>
        <x:v>1829</x:v>
      </x:c>
      <x:c r="H98" s="12">
        <x:f t="shared" si="6"/>
        <x:v>16598</x:v>
      </x:c>
      <x:c r="I98" s="12">
        <x:f t="shared" si="4"/>
        <x:v>30357742</x:v>
      </x:c>
      <x:c r="J98" s="12">
        <x:f>ROUND(英雄升级调参!$D$95*英雄升级调参!$J$9*英雄升级调参!$E$18,0)*3</x:f>
        <x:v>198</x:v>
      </x:c>
      <x:c r="K98" s="12">
        <x:f>ROUND(英雄升级调参!$D$95*英雄升级调参!$C$11*英雄升级调参!$J$9*英雄升级调参!$G$18,0)*3</x:f>
        <x:v>1800</x:v>
      </x:c>
      <x:c r="L98" s="12" t="n">
        <x:f>养成消耗调参!$C$177</x:f>
        <x:v>672</x:v>
      </x:c>
      <x:c r="M98" s="12" t="n">
        <x:f>养成消耗调参!$F$177</x:f>
        <x:v>3900</x:v>
      </x:c>
      <x:c r="N98" s="12" t="n">
        <x:f>养成消耗调参!$I$177</x:f>
        <x:v>110</x:v>
      </x:c>
      <x:c r="O98" s="12" t="n">
        <x:f>养成消耗调参!$J$177</x:f>
        <x:v>9576</x:v>
      </x:c>
      <x:c r="P98" s="12" t="n">
        <x:f>养成消耗调参!$M$177</x:f>
        <x:v>54600</x:v>
      </x:c>
      <x:c r="Q98" s="12" t="n">
        <x:f>养成消耗调参!$P$177</x:f>
        <x:v>360</x:v>
      </x:c>
      <x:c r="R98" s="13">
        <x:f>I98/英雄升级调参!$G$95-1</x:f>
        <x:v>-0.0007487700165468292</x:v>
      </x:c>
      <x:c r="S98" s="6"/>
      <x:c r="T98" s="6"/>
      <x:c r="U98" s="6"/>
    </x:row>
    <x:row r="99" ht="21.950000762939453" customHeight="1">
      <x:c r="A99" s="14" t="n">
        <x:f>英雄升级调参!$B$18</x:f>
        <x:v>310000</x:v>
      </x:c>
      <x:c r="B99" s="14" t="str">
        <x:f>英雄升级调参!$C$18</x:f>
        <x:v>特歪兔</x:v>
      </x:c>
      <x:c r="C99" s="6" t="str">
        <x:f>英雄升级调参!$D$18</x:f>
        <x:v>战士</x:v>
      </x:c>
      <x:c r="D99" s="6" t="s">
        <x:v>18</x:v>
      </x:c>
      <x:c r="E99" s="6">
        <x:v>31</x:v>
      </x:c>
      <x:c r="F99" s="6" t="n">
        <x:f>英雄升级调参!$C$96</x:f>
        <x:v>7</x:v>
      </x:c>
      <x:c r="G99" s="12">
        <x:f t="shared" si="5"/>
        <x:v>1905</x:v>
      </x:c>
      <x:c r="H99" s="12">
        <x:f t="shared" si="6"/>
        <x:v>17284</x:v>
      </x:c>
      <x:c r="I99" s="12">
        <x:f t="shared" si="4"/>
        <x:v>32926020</x:v>
      </x:c>
      <x:c r="J99" s="12">
        <x:f>ROUND(英雄升级调参!$D$96*英雄升级调参!$J$9*英雄升级调参!$E$18,0)</x:f>
        <x:v>76</x:v>
      </x:c>
      <x:c r="K99" s="12">
        <x:f>ROUND(英雄升级调参!$D$96*英雄升级调参!$C$11*英雄升级调参!$J$9*英雄升级调参!$G$18,0)</x:f>
        <x:v>686</x:v>
      </x:c>
      <x:c r="L99" s="12" t="n">
        <x:f>养成消耗调参!$C$178</x:f>
        <x:v>672</x:v>
      </x:c>
      <x:c r="M99" s="12" t="n">
        <x:f>养成消耗调参!$F$178</x:f>
        <x:v>3900</x:v>
      </x:c>
      <x:c r="N99" s="12" t="n">
        <x:f>养成消耗调参!$I$178</x:f>
        <x:v>0</x:v>
      </x:c>
      <x:c r="O99" s="12" t="n">
        <x:f>养成消耗调参!$J$178</x:f>
        <x:v>10248</x:v>
      </x:c>
      <x:c r="P99" s="12" t="n">
        <x:f>养成消耗调参!$M$178</x:f>
        <x:v>58500</x:v>
      </x:c>
      <x:c r="Q99" s="12" t="n">
        <x:f>养成消耗调参!$P$178</x:f>
        <x:v>360</x:v>
      </x:c>
      <x:c r="R99" s="13">
        <x:f>I99/英雄升级调参!$G$96-1</x:f>
        <x:v>-0.0004926803724699669</x:v>
      </x:c>
      <x:c r="S99" s="6"/>
      <x:c r="T99" s="6"/>
      <x:c r="U99" s="6"/>
    </x:row>
    <x:row r="100" ht="21.950000762939453" customHeight="1">
      <x:c r="A100" s="14" t="n">
        <x:f>英雄升级调参!$B$18</x:f>
        <x:v>310000</x:v>
      </x:c>
      <x:c r="B100" s="14" t="str">
        <x:f>英雄升级调参!$C$18</x:f>
        <x:v>特歪兔</x:v>
      </x:c>
      <x:c r="C100" s="6" t="str">
        <x:f>英雄升级调参!$D$18</x:f>
        <x:v>战士</x:v>
      </x:c>
      <x:c r="D100" s="6" t="s">
        <x:v>18</x:v>
      </x:c>
      <x:c r="E100" s="6">
        <x:v>32</x:v>
      </x:c>
      <x:c r="F100" s="6" t="n">
        <x:f>英雄升级调参!$C$97</x:f>
        <x:v>7</x:v>
      </x:c>
      <x:c r="G100" s="12">
        <x:f t="shared" si="5"/>
        <x:v>1981</x:v>
      </x:c>
      <x:c r="H100" s="12">
        <x:f t="shared" si="6"/>
        <x:v>17970</x:v>
      </x:c>
      <x:c r="I100" s="12">
        <x:f t="shared" si="4"/>
        <x:v>35598570</x:v>
      </x:c>
      <x:c r="J100" s="12">
        <x:f>ROUND(英雄升级调参!$D$97*英雄升级调参!$J$9*英雄升级调参!$E$18,0)</x:f>
        <x:v>76</x:v>
      </x:c>
      <x:c r="K100" s="12">
        <x:f>ROUND(英雄升级调参!$D$97*英雄升级调参!$C$11*英雄升级调参!$J$9*英雄升级调参!$G$18,0)</x:f>
        <x:v>686</x:v>
      </x:c>
      <x:c r="L100" s="12" t="n">
        <x:f>养成消耗调参!$C$179</x:f>
        <x:v>720</x:v>
      </x:c>
      <x:c r="M100" s="12" t="n">
        <x:f>养成消耗调参!$F$179</x:f>
        <x:v>4800</x:v>
      </x:c>
      <x:c r="N100" s="12" t="n">
        <x:f>养成消耗调参!$I$179</x:f>
        <x:v>0</x:v>
      </x:c>
      <x:c r="O100" s="12" t="n">
        <x:f>养成消耗调参!$J$179</x:f>
        <x:v>10968</x:v>
      </x:c>
      <x:c r="P100" s="12" t="n">
        <x:f>养成消耗调参!$M$179</x:f>
        <x:v>63300</x:v>
      </x:c>
      <x:c r="Q100" s="12" t="n">
        <x:f>养成消耗调参!$P$179</x:f>
        <x:v>360</x:v>
      </x:c>
      <x:c r="R100" s="13">
        <x:f>I100/英雄升级调参!$G$97-1</x:f>
        <x:v>-0.0002561244495219439</x:v>
      </x:c>
      <x:c r="S100" s="6"/>
      <x:c r="T100" s="6"/>
      <x:c r="U100" s="6"/>
    </x:row>
    <x:row r="101" ht="21.950000762939453" customHeight="1">
      <x:c r="A101" s="14" t="n">
        <x:f>英雄升级调参!$B$18</x:f>
        <x:v>310000</x:v>
      </x:c>
      <x:c r="B101" s="14" t="str">
        <x:f>英雄升级调参!$C$18</x:f>
        <x:v>特歪兔</x:v>
      </x:c>
      <x:c r="C101" s="6" t="str">
        <x:f>英雄升级调参!$D$18</x:f>
        <x:v>战士</x:v>
      </x:c>
      <x:c r="D101" s="6" t="s">
        <x:v>18</x:v>
      </x:c>
      <x:c r="E101" s="6">
        <x:v>33</x:v>
      </x:c>
      <x:c r="F101" s="6" t="n">
        <x:f>英雄升级调参!$C$98</x:f>
        <x:v>7</x:v>
      </x:c>
      <x:c r="G101" s="12">
        <x:f t="shared" si="5"/>
        <x:v>2057</x:v>
      </x:c>
      <x:c r="H101" s="12">
        <x:f t="shared" si="6"/>
        <x:v>18656</x:v>
      </x:c>
      <x:c r="I101" s="12">
        <x:f t="shared" si="4"/>
        <x:v>38375392</x:v>
      </x:c>
      <x:c r="J101" s="12">
        <x:f>ROUND(英雄升级调参!$D$98*英雄升级调参!$J$9*英雄升级调参!$E$18,0)</x:f>
        <x:v>76</x:v>
      </x:c>
      <x:c r="K101" s="12">
        <x:f>ROUND(英雄升级调参!$D$98*英雄升级调参!$C$11*英雄升级调参!$J$9*英雄升级调参!$G$18,0)</x:f>
        <x:v>686</x:v>
      </x:c>
      <x:c r="L101" s="12" t="n">
        <x:f>养成消耗调参!$C$180</x:f>
        <x:v>720</x:v>
      </x:c>
      <x:c r="M101" s="12" t="n">
        <x:f>养成消耗调参!$F$180</x:f>
        <x:v>4800</x:v>
      </x:c>
      <x:c r="N101" s="12" t="n">
        <x:f>养成消耗调参!$I$180</x:f>
        <x:v>0</x:v>
      </x:c>
      <x:c r="O101" s="12" t="n">
        <x:f>养成消耗调参!$J$180</x:f>
        <x:v>11688</x:v>
      </x:c>
      <x:c r="P101" s="12" t="n">
        <x:f>养成消耗调参!$M$180</x:f>
        <x:v>68100</x:v>
      </x:c>
      <x:c r="Q101" s="12" t="n">
        <x:f>养成消耗调参!$P$180</x:f>
        <x:v>360</x:v>
      </x:c>
      <x:c r="R101" s="13">
        <x:f>I101/英雄升级调参!$G$98-1</x:f>
        <x:v>-3.6949397305252596e-05</x:v>
      </x:c>
      <x:c r="S101" s="6"/>
      <x:c r="T101" s="6"/>
      <x:c r="U101" s="6"/>
    </x:row>
    <x:row r="102" ht="21.950000762939453" customHeight="1">
      <x:c r="A102" s="14" t="n">
        <x:f>英雄升级调参!$B$18</x:f>
        <x:v>310000</x:v>
      </x:c>
      <x:c r="B102" s="14" t="str">
        <x:f>英雄升级调参!$C$18</x:f>
        <x:v>特歪兔</x:v>
      </x:c>
      <x:c r="C102" s="6" t="str">
        <x:f>英雄升级调参!$D$18</x:f>
        <x:v>战士</x:v>
      </x:c>
      <x:c r="D102" s="6" t="s">
        <x:v>18</x:v>
      </x:c>
      <x:c r="E102" s="6">
        <x:v>34</x:v>
      </x:c>
      <x:c r="F102" s="6" t="n">
        <x:f>英雄升级调参!$C$99</x:f>
        <x:v>7</x:v>
      </x:c>
      <x:c r="G102" s="12">
        <x:f t="shared" ref="G102:G118" si="7">G101+J102</x:f>
        <x:v>2133</x:v>
      </x:c>
      <x:c r="H102" s="12">
        <x:f t="shared" ref="H102:H118" si="8">H101+K102</x:f>
        <x:v>19342</x:v>
      </x:c>
      <x:c r="I102" s="12">
        <x:f t="shared" si="4"/>
        <x:v>41256486</x:v>
      </x:c>
      <x:c r="J102" s="12">
        <x:f>ROUND(英雄升级调参!$D$99*英雄升级调参!$J$9*英雄升级调参!$E$18,0)</x:f>
        <x:v>76</x:v>
      </x:c>
      <x:c r="K102" s="12">
        <x:f>ROUND(英雄升级调参!$D$99*英雄升级调参!$C$11*英雄升级调参!$J$9*英雄升级调参!$G$18,0)</x:f>
        <x:v>686</x:v>
      </x:c>
      <x:c r="L102" s="12" t="n">
        <x:f>养成消耗调参!$C$181</x:f>
        <x:v>768</x:v>
      </x:c>
      <x:c r="M102" s="12" t="n">
        <x:f>养成消耗调参!$F$181</x:f>
        <x:v>4800</x:v>
      </x:c>
      <x:c r="N102" s="12" t="n">
        <x:f>养成消耗调参!$I$181</x:f>
        <x:v>0</x:v>
      </x:c>
      <x:c r="O102" s="12" t="n">
        <x:f>养成消耗调参!$J$181</x:f>
        <x:v>12456</x:v>
      </x:c>
      <x:c r="P102" s="12" t="n">
        <x:f>养成消耗调参!$M$181</x:f>
        <x:v>72900</x:v>
      </x:c>
      <x:c r="Q102" s="12" t="n">
        <x:f>养成消耗调参!$P$181</x:f>
        <x:v>360</x:v>
      </x:c>
      <x:c r="R102" s="13">
        <x:f>I102/英雄升级调参!$G$99-1</x:f>
        <x:v>0.00016669248509249002</x:v>
      </x:c>
      <x:c r="S102" s="6"/>
      <x:c r="T102" s="6"/>
      <x:c r="U102" s="6"/>
    </x:row>
    <x:row r="103" ht="21.950000762939453" customHeight="1">
      <x:c r="A103" s="14" t="n">
        <x:f>英雄升级调参!$B$18</x:f>
        <x:v>310000</x:v>
      </x:c>
      <x:c r="B103" s="14" t="str">
        <x:f>英雄升级调参!$C$18</x:f>
        <x:v>特歪兔</x:v>
      </x:c>
      <x:c r="C103" s="6" t="str">
        <x:f>英雄升级调参!$D$18</x:f>
        <x:v>战士</x:v>
      </x:c>
      <x:c r="D103" s="6" t="s">
        <x:v>18</x:v>
      </x:c>
      <x:c r="E103" s="6">
        <x:v>35</x:v>
      </x:c>
      <x:c r="F103" s="6" t="n">
        <x:f>英雄升级调参!$C$100</x:f>
        <x:v>7</x:v>
      </x:c>
      <x:c r="G103" s="12">
        <x:f t="shared" si="7"/>
        <x:v>2361</x:v>
      </x:c>
      <x:c r="H103" s="12">
        <x:f t="shared" si="8"/>
        <x:v>21400</x:v>
      </x:c>
      <x:c r="I103" s="12">
        <x:f t="shared" si="4"/>
        <x:v>50525400</x:v>
      </x:c>
      <x:c r="J103" s="12">
        <x:f>ROUND(英雄升级调参!$D$100*英雄升级调参!$J$9*英雄升级调参!$E$18,0)*3</x:f>
        <x:v>228</x:v>
      </x:c>
      <x:c r="K103" s="12">
        <x:f>ROUND(英雄升级调参!$D$100*英雄升级调参!$C$11*英雄升级调参!$J$9*英雄升级调参!$G$18,0)*3</x:f>
        <x:v>2058</x:v>
      </x:c>
      <x:c r="L103" s="12" t="n">
        <x:f>养成消耗调参!$C$182</x:f>
        <x:v>768</x:v>
      </x:c>
      <x:c r="M103" s="12" t="n">
        <x:f>养成消耗调参!$F$182</x:f>
        <x:v>4800</x:v>
      </x:c>
      <x:c r="N103" s="12" t="n">
        <x:f>养成消耗调参!$I$182</x:f>
        <x:v>130</x:v>
      </x:c>
      <x:c r="O103" s="12" t="n">
        <x:f>养成消耗调参!$J$182</x:f>
        <x:v>13224</x:v>
      </x:c>
      <x:c r="P103" s="12" t="n">
        <x:f>养成消耗调参!$M$182</x:f>
        <x:v>77700</x:v>
      </x:c>
      <x:c r="Q103" s="12" t="n">
        <x:f>养成消耗调参!$P$182</x:f>
        <x:v>490</x:v>
      </x:c>
      <x:c r="R103" s="13">
        <x:f>I103/英雄升级调参!$G$100-1</x:f>
        <x:v>0.0006993451586241317</x:v>
      </x:c>
      <x:c r="S103" s="6"/>
      <x:c r="T103" s="6"/>
      <x:c r="U103" s="6"/>
    </x:row>
    <x:row r="104" ht="21.950000762939453" customHeight="1">
      <x:c r="A104" s="14" t="n">
        <x:f>英雄升级调参!$B$18</x:f>
        <x:v>310000</x:v>
      </x:c>
      <x:c r="B104" s="14" t="str">
        <x:f>英雄升级调参!$C$18</x:f>
        <x:v>特歪兔</x:v>
      </x:c>
      <x:c r="C104" s="6" t="str">
        <x:f>英雄升级调参!$D$18</x:f>
        <x:v>战士</x:v>
      </x:c>
      <x:c r="D104" s="6" t="s">
        <x:v>18</x:v>
      </x:c>
      <x:c r="E104" s="6">
        <x:v>36</x:v>
      </x:c>
      <x:c r="F104" s="6" t="n">
        <x:f>英雄升级调参!$C$101</x:f>
        <x:v>8</x:v>
      </x:c>
      <x:c r="G104" s="12">
        <x:f t="shared" si="7"/>
        <x:v>2446</x:v>
      </x:c>
      <x:c r="H104" s="12">
        <x:f t="shared" si="8"/>
        <x:v>22171</x:v>
      </x:c>
      <x:c r="I104" s="12">
        <x:f t="shared" si="4"/>
        <x:v>54230266</x:v>
      </x:c>
      <x:c r="J104" s="12">
        <x:f>ROUND(英雄升级调参!$D$101*英雄升级调参!$J$9*英雄升级调参!$E$18,0)</x:f>
        <x:v>85</x:v>
      </x:c>
      <x:c r="K104" s="12">
        <x:f>ROUND(英雄升级调参!$D$101*英雄升级调参!$C$11*英雄升级调参!$J$9*英雄升级调参!$G$18,0)</x:f>
        <x:v>771</x:v>
      </x:c>
      <x:c r="L104" s="12" t="n">
        <x:f>养成消耗调参!$C$183</x:f>
        <x:v>816</x:v>
      </x:c>
      <x:c r="M104" s="12" t="n">
        <x:f>养成消耗调参!$F$183</x:f>
        <x:v>4800</x:v>
      </x:c>
      <x:c r="N104" s="12" t="n">
        <x:f>养成消耗调参!$I$183</x:f>
        <x:v>0</x:v>
      </x:c>
      <x:c r="O104" s="12" t="n">
        <x:f>养成消耗调参!$J$183</x:f>
        <x:v>14040</x:v>
      </x:c>
      <x:c r="P104" s="12" t="n">
        <x:f>养成消耗调参!$M$183</x:f>
        <x:v>82500</x:v>
      </x:c>
      <x:c r="Q104" s="12" t="n">
        <x:f>养成消耗调参!$P$183</x:f>
        <x:v>490</x:v>
      </x:c>
      <x:c r="R104" s="13">
        <x:f>I104/英雄升级调参!$G$101-1</x:f>
        <x:v>0.0006352148061548046</x:v>
      </x:c>
      <x:c r="S104" s="6"/>
      <x:c r="T104" s="6"/>
      <x:c r="U104" s="6"/>
    </x:row>
    <x:row r="105" ht="21.950000762939453" customHeight="1">
      <x:c r="A105" s="14" t="n">
        <x:f>英雄升级调参!$B$18</x:f>
        <x:v>310000</x:v>
      </x:c>
      <x:c r="B105" s="14" t="str">
        <x:f>英雄升级调参!$C$18</x:f>
        <x:v>特歪兔</x:v>
      </x:c>
      <x:c r="C105" s="6" t="str">
        <x:f>英雄升级调参!$D$18</x:f>
        <x:v>战士</x:v>
      </x:c>
      <x:c r="D105" s="6" t="s">
        <x:v>18</x:v>
      </x:c>
      <x:c r="E105" s="6">
        <x:v>37</x:v>
      </x:c>
      <x:c r="F105" s="6" t="n">
        <x:f>英雄升级调参!$C$102</x:f>
        <x:v>8</x:v>
      </x:c>
      <x:c r="G105" s="12">
        <x:f t="shared" si="7"/>
        <x:v>2531</x:v>
      </x:c>
      <x:c r="H105" s="12">
        <x:f t="shared" si="8"/>
        <x:v>22942</x:v>
      </x:c>
      <x:c r="I105" s="12">
        <x:f t="shared" si="4"/>
        <x:v>58066202</x:v>
      </x:c>
      <x:c r="J105" s="12">
        <x:f>ROUND(英雄升级调参!$D$102*英雄升级调参!$J$9*英雄升级调参!$E$18,0)</x:f>
        <x:v>85</x:v>
      </x:c>
      <x:c r="K105" s="12">
        <x:f>ROUND(英雄升级调参!$D$102*英雄升级调参!$C$11*英雄升级调参!$J$9*英雄升级调参!$G$18,0)</x:f>
        <x:v>771</x:v>
      </x:c>
      <x:c r="L105" s="12" t="n">
        <x:f>养成消耗调参!$C$184</x:f>
        <x:v>816</x:v>
      </x:c>
      <x:c r="M105" s="12" t="n">
        <x:f>养成消耗调参!$F$184</x:f>
        <x:v>5700</x:v>
      </x:c>
      <x:c r="N105" s="12" t="n">
        <x:f>养成消耗调参!$I$184</x:f>
        <x:v>0</x:v>
      </x:c>
      <x:c r="O105" s="12" t="n">
        <x:f>养成消耗调参!$J$184</x:f>
        <x:v>14856</x:v>
      </x:c>
      <x:c r="P105" s="12" t="n">
        <x:f>养成消耗调参!$M$184</x:f>
        <x:v>88200</x:v>
      </x:c>
      <x:c r="Q105" s="12" t="n">
        <x:f>养成消耗调参!$P$184</x:f>
        <x:v>490</x:v>
      </x:c>
      <x:c r="R105" s="13">
        <x:f>I105/英雄升级调参!$G$102-1</x:f>
        <x:v>0.0005753986408723044</x:v>
      </x:c>
      <x:c r="S105" s="6"/>
      <x:c r="T105" s="6"/>
      <x:c r="U105" s="6"/>
    </x:row>
    <x:row r="106" ht="21.950000762939453" customHeight="1">
      <x:c r="A106" s="14" t="n">
        <x:f>英雄升级调参!$B$18</x:f>
        <x:v>310000</x:v>
      </x:c>
      <x:c r="B106" s="14" t="str">
        <x:f>英雄升级调参!$C$18</x:f>
        <x:v>特歪兔</x:v>
      </x:c>
      <x:c r="C106" s="6" t="str">
        <x:f>英雄升级调参!$D$18</x:f>
        <x:v>战士</x:v>
      </x:c>
      <x:c r="D106" s="6" t="s">
        <x:v>18</x:v>
      </x:c>
      <x:c r="E106" s="6">
        <x:v>38</x:v>
      </x:c>
      <x:c r="F106" s="6" t="n">
        <x:f>英雄升级调参!$C$103</x:f>
        <x:v>8</x:v>
      </x:c>
      <x:c r="G106" s="12">
        <x:f t="shared" si="7"/>
        <x:v>2616</x:v>
      </x:c>
      <x:c r="H106" s="12">
        <x:f t="shared" si="8"/>
        <x:v>23713</x:v>
      </x:c>
      <x:c r="I106" s="12">
        <x:f t="shared" si="4"/>
        <x:v>62033208</x:v>
      </x:c>
      <x:c r="J106" s="12">
        <x:f>ROUND(英雄升级调参!$D$103*英雄升级调参!$J$9*英雄升级调参!$E$18,0)</x:f>
        <x:v>85</x:v>
      </x:c>
      <x:c r="K106" s="12">
        <x:f>ROUND(英雄升级调参!$D$103*英雄升级调参!$C$11*英雄升级调参!$J$9*英雄升级调参!$G$18,0)</x:f>
        <x:v>771</x:v>
      </x:c>
      <x:c r="L106" s="12" t="n">
        <x:f>养成消耗调参!$C$185</x:f>
        <x:v>864</x:v>
      </x:c>
      <x:c r="M106" s="12" t="n">
        <x:f>养成消耗调参!$F$185</x:f>
        <x:v>5700</x:v>
      </x:c>
      <x:c r="N106" s="12" t="n">
        <x:f>养成消耗调参!$I$185</x:f>
        <x:v>0</x:v>
      </x:c>
      <x:c r="O106" s="12" t="n">
        <x:f>养成消耗调参!$J$185</x:f>
        <x:v>15720</x:v>
      </x:c>
      <x:c r="P106" s="12" t="n">
        <x:f>养成消耗调参!$M$185</x:f>
        <x:v>93900</x:v>
      </x:c>
      <x:c r="Q106" s="12" t="n">
        <x:f>养成消耗调参!$P$185</x:f>
        <x:v>490</x:v>
      </x:c>
      <x:c r="R106" s="13">
        <x:f>I106/英雄升级调参!$G$103-1</x:f>
        <x:v>0.0005194754923307787</x:v>
      </x:c>
      <x:c r="S106" s="6"/>
      <x:c r="T106" s="6"/>
      <x:c r="U106" s="6"/>
    </x:row>
    <x:row r="107" ht="21.950000762939453" customHeight="1">
      <x:c r="A107" s="14" t="n">
        <x:f>英雄升级调参!$B$18</x:f>
        <x:v>310000</x:v>
      </x:c>
      <x:c r="B107" s="14" t="str">
        <x:f>英雄升级调参!$C$18</x:f>
        <x:v>特歪兔</x:v>
      </x:c>
      <x:c r="C107" s="6" t="str">
        <x:f>英雄升级调参!$D$18</x:f>
        <x:v>战士</x:v>
      </x:c>
      <x:c r="D107" s="6" t="s">
        <x:v>18</x:v>
      </x:c>
      <x:c r="E107" s="6">
        <x:v>39</x:v>
      </x:c>
      <x:c r="F107" s="6" t="n">
        <x:f>英雄升级调参!$C$104</x:f>
        <x:v>8</x:v>
      </x:c>
      <x:c r="G107" s="12">
        <x:f t="shared" si="7"/>
        <x:v>2701</x:v>
      </x:c>
      <x:c r="H107" s="12">
        <x:f t="shared" si="8"/>
        <x:v>24484</x:v>
      </x:c>
      <x:c r="I107" s="12">
        <x:f t="shared" si="4"/>
        <x:v>66131284</x:v>
      </x:c>
      <x:c r="J107" s="12">
        <x:f>ROUND(英雄升级调参!$D$104*英雄升级调参!$J$9*英雄升级调参!$E$18,0)</x:f>
        <x:v>85</x:v>
      </x:c>
      <x:c r="K107" s="12">
        <x:f>ROUND(英雄升级调参!$D$104*英雄升级调参!$C$11*英雄升级调参!$J$9*英雄升级调参!$G$18,0)</x:f>
        <x:v>771</x:v>
      </x:c>
      <x:c r="L107" s="12" t="n">
        <x:f>养成消耗调参!$C$186</x:f>
        <x:v>864</x:v>
      </x:c>
      <x:c r="M107" s="12" t="n">
        <x:f>养成消耗调参!$F$186</x:f>
        <x:v>5700</x:v>
      </x:c>
      <x:c r="N107" s="12" t="n">
        <x:f>养成消耗调参!$I$186</x:f>
        <x:v>0</x:v>
      </x:c>
      <x:c r="O107" s="12" t="n">
        <x:f>养成消耗调参!$J$186</x:f>
        <x:v>16584</x:v>
      </x:c>
      <x:c r="P107" s="12" t="n">
        <x:f>养成消耗调参!$M$186</x:f>
        <x:v>99600</x:v>
      </x:c>
      <x:c r="Q107" s="12" t="n">
        <x:f>养成消耗调参!$P$186</x:f>
        <x:v>490</x:v>
      </x:c>
      <x:c r="R107" s="13">
        <x:f>I107/英雄升级调参!$G$104-1</x:f>
        <x:v>0.00046707728439199236</x:v>
      </x:c>
      <x:c r="S107" s="6"/>
      <x:c r="T107" s="6"/>
      <x:c r="U107" s="6"/>
    </x:row>
    <x:row r="108" ht="21.950000762939453" customHeight="1">
      <x:c r="A108" s="14" t="n">
        <x:f>英雄升级调参!$B$18</x:f>
        <x:v>310000</x:v>
      </x:c>
      <x:c r="B108" s="14" t="str">
        <x:f>英雄升级调参!$C$18</x:f>
        <x:v>特歪兔</x:v>
      </x:c>
      <x:c r="C108" s="6" t="str">
        <x:f>英雄升级调参!$D$18</x:f>
        <x:v>战士</x:v>
      </x:c>
      <x:c r="D108" s="6" t="s">
        <x:v>18</x:v>
      </x:c>
      <x:c r="E108" s="6">
        <x:v>40</x:v>
      </x:c>
      <x:c r="F108" s="6" t="n">
        <x:f>英雄升级调参!$C$105</x:f>
        <x:v>8</x:v>
      </x:c>
      <x:c r="G108" s="12">
        <x:f t="shared" si="7"/>
        <x:v>2956</x:v>
      </x:c>
      <x:c r="H108" s="12">
        <x:f t="shared" si="8"/>
        <x:v>26797</x:v>
      </x:c>
      <x:c r="I108" s="12">
        <x:f t="shared" si="4"/>
        <x:v>79211932</x:v>
      </x:c>
      <x:c r="J108" s="12">
        <x:f>ROUND(英雄升级调参!$D$105*英雄升级调参!$J$9*英雄升级调参!$E$18,0)*3</x:f>
        <x:v>255</x:v>
      </x:c>
      <x:c r="K108" s="12">
        <x:f>ROUND(英雄升级调参!$D$105*英雄升级调参!$C$11*英雄升级调参!$J$9*英雄升级调参!$G$18,0)*3</x:f>
        <x:v>2313</x:v>
      </x:c>
      <x:c r="L108" s="12" t="n">
        <x:f>养成消耗调参!$C$187</x:f>
        <x:v>912</x:v>
      </x:c>
      <x:c r="M108" s="12" t="n">
        <x:f>养成消耗调参!$F$187</x:f>
        <x:v>5700</x:v>
      </x:c>
      <x:c r="N108" s="12" t="n">
        <x:f>养成消耗调参!$I$187</x:f>
        <x:v>150</x:v>
      </x:c>
      <x:c r="O108" s="12" t="n">
        <x:f>养成消耗调参!$J$187</x:f>
        <x:v>17496</x:v>
      </x:c>
      <x:c r="P108" s="12" t="n">
        <x:f>养成消耗调参!$M$187</x:f>
        <x:v>105300</x:v>
      </x:c>
      <x:c r="Q108" s="12" t="n">
        <x:f>养成消耗调参!$P$187</x:f>
        <x:v>640</x:v>
      </x:c>
      <x:c r="R108" s="13">
        <x:f>I108/英雄升级调参!$G$105-1</x:f>
        <x:v>0.0003279874361565849</x:v>
      </x:c>
      <x:c r="S108" s="6"/>
      <x:c r="T108" s="6"/>
      <x:c r="U108" s="6"/>
    </x:row>
    <x:row r="109" ht="21.950000762939453" customHeight="1">
      <x:c r="A109" s="14" t="n">
        <x:f>英雄升级调参!$B$18</x:f>
        <x:v>310000</x:v>
      </x:c>
      <x:c r="B109" s="14" t="str">
        <x:f>英雄升级调参!$C$18</x:f>
        <x:v>特歪兔</x:v>
      </x:c>
      <x:c r="C109" s="6" t="str">
        <x:f>英雄升级调参!$D$18</x:f>
        <x:v>战士</x:v>
      </x:c>
      <x:c r="D109" s="6" t="s">
        <x:v>18</x:v>
      </x:c>
      <x:c r="E109" s="6">
        <x:v>41</x:v>
      </x:c>
      <x:c r="F109" s="6" t="n">
        <x:f>英雄升级调参!$C$106</x:f>
        <x:v>9</x:v>
      </x:c>
      <x:c r="G109" s="12">
        <x:f t="shared" si="7"/>
        <x:v>3051</x:v>
      </x:c>
      <x:c r="H109" s="12">
        <x:f t="shared" si="8"/>
        <x:v>27654</x:v>
      </x:c>
      <x:c r="I109" s="12">
        <x:f t="shared" si="4"/>
        <x:v>84372354</x:v>
      </x:c>
      <x:c r="J109" s="12">
        <x:f>ROUND(英雄升级调参!$D$106*英雄升级调参!$J$9*英雄升级调参!$E$18,0)</x:f>
        <x:v>95</x:v>
      </x:c>
      <x:c r="K109" s="12">
        <x:f>ROUND(英雄升级调参!$D$106*英雄升级调参!$C$11*英雄升级调参!$J$9*英雄升级调参!$G$18,0)</x:f>
        <x:v>857</x:v>
      </x:c>
      <x:c r="L109" s="12" t="n">
        <x:f>养成消耗调参!$C$188</x:f>
        <x:v>912</x:v>
      </x:c>
      <x:c r="M109" s="12" t="n">
        <x:f>养成消耗调参!$F$188</x:f>
        <x:v>5700</x:v>
      </x:c>
      <x:c r="N109" s="12" t="n">
        <x:f>养成消耗调参!$I$188</x:f>
        <x:v>0</x:v>
      </x:c>
      <x:c r="O109" s="12" t="n">
        <x:f>养成消耗调参!$J$188</x:f>
        <x:v>18408</x:v>
      </x:c>
      <x:c r="P109" s="12" t="n">
        <x:f>养成消耗调参!$M$188</x:f>
        <x:v>111000</x:v>
      </x:c>
      <x:c r="Q109" s="12" t="n">
        <x:f>养成消耗调参!$P$188</x:f>
        <x:v>640</x:v>
      </x:c>
      <x:c r="R109" s="13">
        <x:f>I109/英雄升级调参!$G$106-1</x:f>
        <x:v>0.0004766153268218609</x:v>
      </x:c>
      <x:c r="S109" s="6"/>
      <x:c r="T109" s="6"/>
      <x:c r="U109" s="6"/>
    </x:row>
    <x:row r="110" ht="21.950000762939453" customHeight="1">
      <x:c r="A110" s="14" t="n">
        <x:f>英雄升级调参!$B$18</x:f>
        <x:v>310000</x:v>
      </x:c>
      <x:c r="B110" s="14" t="str">
        <x:f>英雄升级调参!$C$18</x:f>
        <x:v>特歪兔</x:v>
      </x:c>
      <x:c r="C110" s="6" t="str">
        <x:f>英雄升级调参!$D$18</x:f>
        <x:v>战士</x:v>
      </x:c>
      <x:c r="D110" s="6" t="s">
        <x:v>18</x:v>
      </x:c>
      <x:c r="E110" s="6">
        <x:v>42</x:v>
      </x:c>
      <x:c r="F110" s="6" t="n">
        <x:f>英雄升级调参!$C$107</x:f>
        <x:v>9</x:v>
      </x:c>
      <x:c r="G110" s="12">
        <x:f t="shared" si="7"/>
        <x:v>3146</x:v>
      </x:c>
      <x:c r="H110" s="12">
        <x:f t="shared" si="8"/>
        <x:v>28511</x:v>
      </x:c>
      <x:c r="I110" s="12">
        <x:f t="shared" si="4"/>
        <x:v>89695606</x:v>
      </x:c>
      <x:c r="J110" s="12">
        <x:f>ROUND(英雄升级调参!$D$107*英雄升级调参!$J$9*英雄升级调参!$E$18,0)</x:f>
        <x:v>95</x:v>
      </x:c>
      <x:c r="K110" s="12">
        <x:f>ROUND(英雄升级调参!$D$107*英雄升级调参!$C$11*英雄升级调参!$J$9*英雄升级调参!$G$18,0)</x:f>
        <x:v>857</x:v>
      </x:c>
      <x:c r="L110" s="12" t="n">
        <x:f>养成消耗调参!$C$189</x:f>
        <x:v>960</x:v>
      </x:c>
      <x:c r="M110" s="12" t="n">
        <x:f>养成消耗调参!$F$189</x:f>
        <x:v>6600</x:v>
      </x:c>
      <x:c r="N110" s="12" t="n">
        <x:f>养成消耗调参!$I$189</x:f>
        <x:v>0</x:v>
      </x:c>
      <x:c r="O110" s="12" t="n">
        <x:f>养成消耗调参!$J$189</x:f>
        <x:v>19368</x:v>
      </x:c>
      <x:c r="P110" s="12" t="n">
        <x:f>养成消耗调参!$M$189</x:f>
        <x:v>117600</x:v>
      </x:c>
      <x:c r="Q110" s="12" t="n">
        <x:f>养成消耗调参!$P$189</x:f>
        <x:v>640</x:v>
      </x:c>
      <x:c r="R110" s="13">
        <x:f>I110/英雄升级调参!$G$107-1</x:f>
        <x:v>0.0006163072080478393</x:v>
      </x:c>
      <x:c r="S110" s="6"/>
      <x:c r="T110" s="6"/>
      <x:c r="U110" s="6"/>
    </x:row>
    <x:row r="111" ht="21.950000762939453" customHeight="1">
      <x:c r="A111" s="14" t="n">
        <x:f>英雄升级调参!$B$18</x:f>
        <x:v>310000</x:v>
      </x:c>
      <x:c r="B111" s="14" t="str">
        <x:f>英雄升级调参!$C$18</x:f>
        <x:v>特歪兔</x:v>
      </x:c>
      <x:c r="C111" s="6" t="str">
        <x:f>英雄升级调参!$D$18</x:f>
        <x:v>战士</x:v>
      </x:c>
      <x:c r="D111" s="6" t="s">
        <x:v>18</x:v>
      </x:c>
      <x:c r="E111" s="6">
        <x:v>43</x:v>
      </x:c>
      <x:c r="F111" s="6" t="n">
        <x:f>英雄升级调参!$C$108</x:f>
        <x:v>9</x:v>
      </x:c>
      <x:c r="G111" s="12">
        <x:f t="shared" si="7"/>
        <x:v>3241</x:v>
      </x:c>
      <x:c r="H111" s="12">
        <x:f t="shared" si="8"/>
        <x:v>29368</x:v>
      </x:c>
      <x:c r="I111" s="12">
        <x:f t="shared" si="4"/>
        <x:v>95181688</x:v>
      </x:c>
      <x:c r="J111" s="12">
        <x:f>ROUND(英雄升级调参!$D$108*英雄升级调参!$J$9*英雄升级调参!$E$18,0)</x:f>
        <x:v>95</x:v>
      </x:c>
      <x:c r="K111" s="12">
        <x:f>ROUND(英雄升级调参!$D$108*英雄升级调参!$C$11*英雄升级调参!$J$9*英雄升级调参!$G$18,0)</x:f>
        <x:v>857</x:v>
      </x:c>
      <x:c r="L111" s="12" t="n">
        <x:f>养成消耗调参!$C$190</x:f>
        <x:v>960</x:v>
      </x:c>
      <x:c r="M111" s="12" t="n">
        <x:f>养成消耗调参!$F$190</x:f>
        <x:v>6600</x:v>
      </x:c>
      <x:c r="N111" s="12" t="n">
        <x:f>养成消耗调参!$I$190</x:f>
        <x:v>0</x:v>
      </x:c>
      <x:c r="O111" s="12" t="n">
        <x:f>养成消耗调参!$J$190</x:f>
        <x:v>20328</x:v>
      </x:c>
      <x:c r="P111" s="12" t="n">
        <x:f>养成消耗调参!$M$190</x:f>
        <x:v>124200</x:v>
      </x:c>
      <x:c r="Q111" s="12" t="n">
        <x:f>养成消耗调参!$P$190</x:f>
        <x:v>640</x:v>
      </x:c>
      <x:c r="R111" s="13">
        <x:f>I111/英雄升级调参!$G$108-1</x:f>
        <x:v>0.0007478454548053293</x:v>
      </x:c>
      <x:c r="S111" s="6"/>
      <x:c r="T111" s="6"/>
      <x:c r="U111" s="6"/>
    </x:row>
    <x:row r="112" ht="21.950000762939453" customHeight="1">
      <x:c r="A112" s="14" t="n">
        <x:f>英雄升级调参!$B$18</x:f>
        <x:v>310000</x:v>
      </x:c>
      <x:c r="B112" s="14" t="str">
        <x:f>英雄升级调参!$C$18</x:f>
        <x:v>特歪兔</x:v>
      </x:c>
      <x:c r="C112" s="6" t="str">
        <x:f>英雄升级调参!$D$18</x:f>
        <x:v>战士</x:v>
      </x:c>
      <x:c r="D112" s="6" t="s">
        <x:v>18</x:v>
      </x:c>
      <x:c r="E112" s="6">
        <x:v>44</x:v>
      </x:c>
      <x:c r="F112" s="6" t="n">
        <x:f>英雄升级调参!$C$109</x:f>
        <x:v>9</x:v>
      </x:c>
      <x:c r="G112" s="12">
        <x:f t="shared" si="7"/>
        <x:v>3336</x:v>
      </x:c>
      <x:c r="H112" s="12">
        <x:f t="shared" si="8"/>
        <x:v>30225</x:v>
      </x:c>
      <x:c r="I112" s="12">
        <x:f t="shared" si="4"/>
        <x:v>100830600</x:v>
      </x:c>
      <x:c r="J112" s="12">
        <x:f>ROUND(英雄升级调参!$D$109*英雄升级调参!$J$9*英雄升级调参!$E$18,0)</x:f>
        <x:v>95</x:v>
      </x:c>
      <x:c r="K112" s="12">
        <x:f>ROUND(英雄升级调参!$D$109*英雄升级调参!$C$11*英雄升级调参!$J$9*英雄升级调参!$G$18,0)</x:f>
        <x:v>857</x:v>
      </x:c>
      <x:c r="L112" s="12" t="n">
        <x:f>养成消耗调参!$C$191</x:f>
        <x:v>1008</x:v>
      </x:c>
      <x:c r="M112" s="12" t="n">
        <x:f>养成消耗调参!$F$191</x:f>
        <x:v>6600</x:v>
      </x:c>
      <x:c r="N112" s="12" t="n">
        <x:f>养成消耗调参!$I$191</x:f>
        <x:v>0</x:v>
      </x:c>
      <x:c r="O112" s="12" t="n">
        <x:f>养成消耗调参!$J$191</x:f>
        <x:v>21336</x:v>
      </x:c>
      <x:c r="P112" s="12" t="n">
        <x:f>养成消耗调参!$M$191</x:f>
        <x:v>130800</x:v>
      </x:c>
      <x:c r="Q112" s="12" t="n">
        <x:f>养成消耗调参!$P$191</x:f>
        <x:v>640</x:v>
      </x:c>
      <x:c r="R112" s="13">
        <x:f>I112/英雄升级调参!$G$109-1</x:f>
        <x:v>0.0008719236995293755</x:v>
      </x:c>
      <x:c r="S112" s="6"/>
      <x:c r="T112" s="6"/>
      <x:c r="U112" s="6"/>
    </x:row>
    <x:row r="113" ht="21.950000762939453" customHeight="1">
      <x:c r="A113" s="14" t="n">
        <x:f>英雄升级调参!$B$18</x:f>
        <x:v>310000</x:v>
      </x:c>
      <x:c r="B113" s="14" t="str">
        <x:f>英雄升级调参!$C$18</x:f>
        <x:v>特歪兔</x:v>
      </x:c>
      <x:c r="C113" s="6" t="str">
        <x:f>英雄升级调参!$D$18</x:f>
        <x:v>战士</x:v>
      </x:c>
      <x:c r="D113" s="6" t="s">
        <x:v>18</x:v>
      </x:c>
      <x:c r="E113" s="6">
        <x:v>45</x:v>
      </x:c>
      <x:c r="F113" s="6" t="n">
        <x:f>英雄升级调参!$C$110</x:f>
        <x:v>9</x:v>
      </x:c>
      <x:c r="G113" s="12">
        <x:f t="shared" si="7"/>
        <x:v>3621</x:v>
      </x:c>
      <x:c r="H113" s="12">
        <x:f t="shared" si="8"/>
        <x:v>32796</x:v>
      </x:c>
      <x:c r="I113" s="12">
        <x:f t="shared" si="4"/>
        <x:v>118754316</x:v>
      </x:c>
      <x:c r="J113" s="12">
        <x:f>ROUND(英雄升级调参!$D$110*英雄升级调参!$J$9*英雄升级调参!$E$18,0)*3</x:f>
        <x:v>285</x:v>
      </x:c>
      <x:c r="K113" s="12">
        <x:f>ROUND(英雄升级调参!$D$110*英雄升级调参!$C$11*英雄升级调参!$J$9*英雄升级调参!$G$18,0)*3</x:f>
        <x:v>2571</x:v>
      </x:c>
      <x:c r="L113" s="12" t="n">
        <x:f>养成消耗调参!$C$192</x:f>
        <x:v>1008</x:v>
      </x:c>
      <x:c r="M113" s="12" t="n">
        <x:f>养成消耗调参!$F$192</x:f>
        <x:v>6600</x:v>
      </x:c>
      <x:c r="N113" s="12" t="n">
        <x:f>养成消耗调参!$I$192</x:f>
        <x:v>170</x:v>
      </x:c>
      <x:c r="O113" s="12" t="n">
        <x:f>养成消耗调参!$J$192</x:f>
        <x:v>22344</x:v>
      </x:c>
      <x:c r="P113" s="12" t="n">
        <x:f>养成消耗调参!$M$192</x:f>
        <x:v>137400</x:v>
      </x:c>
      <x:c r="Q113" s="12" t="n">
        <x:f>养成消耗调参!$P$192</x:f>
        <x:v>810</x:v>
      </x:c>
      <x:c r="R113" s="13">
        <x:f>I113/英雄升级调参!$G$110-1</x:f>
        <x:v>0.0012052471196688508</x:v>
      </x:c>
      <x:c r="S113" s="6"/>
      <x:c r="T113" s="6"/>
      <x:c r="U113" s="6"/>
    </x:row>
    <x:row r="114" ht="21.950000762939453" customHeight="1">
      <x:c r="A114" s="14" t="n">
        <x:f>英雄升级调参!$B$18</x:f>
        <x:v>310000</x:v>
      </x:c>
      <x:c r="B114" s="14" t="str">
        <x:f>英雄升级调参!$C$18</x:f>
        <x:v>特歪兔</x:v>
      </x:c>
      <x:c r="C114" s="6" t="str">
        <x:f>英雄升级调参!$D$18</x:f>
        <x:v>战士</x:v>
      </x:c>
      <x:c r="D114" s="6" t="s">
        <x:v>18</x:v>
      </x:c>
      <x:c r="E114" s="6">
        <x:v>46</x:v>
      </x:c>
      <x:c r="F114" s="6" t="n">
        <x:f>英雄升级调参!$C$111</x:f>
        <x:v>10</x:v>
      </x:c>
      <x:c r="G114" s="12">
        <x:f t="shared" si="7"/>
        <x:v>3725</x:v>
      </x:c>
      <x:c r="H114" s="12">
        <x:f t="shared" si="8"/>
        <x:v>33739</x:v>
      </x:c>
      <x:c r="I114" s="12">
        <x:f t="shared" si="4"/>
        <x:v>125677775</x:v>
      </x:c>
      <x:c r="J114" s="12">
        <x:f>ROUND(英雄升级调参!$D$111*英雄升级调参!$J$9*英雄升级调参!$E$18,0)</x:f>
        <x:v>104</x:v>
      </x:c>
      <x:c r="K114" s="12">
        <x:f>ROUND(英雄升级调参!$D$111*英雄升级调参!$C$11*英雄升级调参!$J$9*英雄升级调参!$G$18,0)</x:f>
        <x:v>943</x:v>
      </x:c>
      <x:c r="L114" s="12" t="n">
        <x:f>养成消耗调参!$C$193</x:f>
        <x:v>1056</x:v>
      </x:c>
      <x:c r="M114" s="12" t="n">
        <x:f>养成消耗调参!$F$193</x:f>
        <x:v>6600</x:v>
      </x:c>
      <x:c r="N114" s="12" t="n">
        <x:f>养成消耗调参!$I$193</x:f>
        <x:v>0</x:v>
      </x:c>
      <x:c r="O114" s="12" t="n">
        <x:f>养成消耗调参!$J$193</x:f>
        <x:v>23400</x:v>
      </x:c>
      <x:c r="P114" s="12" t="n">
        <x:f>养成消耗调参!$M$193</x:f>
        <x:v>144000</x:v>
      </x:c>
      <x:c r="Q114" s="12" t="n">
        <x:f>养成消耗调参!$P$193</x:f>
        <x:v>810</x:v>
      </x:c>
      <x:c r="R114" s="13">
        <x:f>I114/英雄升级调参!$G$111-1</x:f>
        <x:v>0.0011892519379466115</x:v>
      </x:c>
      <x:c r="S114" s="6"/>
      <x:c r="T114" s="6"/>
      <x:c r="U114" s="6"/>
    </x:row>
    <x:row r="115" ht="21.950000762939453" customHeight="1">
      <x:c r="A115" s="14" t="n">
        <x:f>英雄升级调参!$B$18</x:f>
        <x:v>310000</x:v>
      </x:c>
      <x:c r="B115" s="14" t="str">
        <x:f>英雄升级调参!$C$18</x:f>
        <x:v>特歪兔</x:v>
      </x:c>
      <x:c r="C115" s="6" t="str">
        <x:f>英雄升级调参!$D$18</x:f>
        <x:v>战士</x:v>
      </x:c>
      <x:c r="D115" s="6" t="s">
        <x:v>18</x:v>
      </x:c>
      <x:c r="E115" s="6">
        <x:v>47</x:v>
      </x:c>
      <x:c r="F115" s="6" t="n">
        <x:f>英雄升级调参!$C$112</x:f>
        <x:v>10</x:v>
      </x:c>
      <x:c r="G115" s="12">
        <x:f t="shared" si="7"/>
        <x:v>3829</x:v>
      </x:c>
      <x:c r="H115" s="12">
        <x:f t="shared" si="8"/>
        <x:v>34682</x:v>
      </x:c>
      <x:c r="I115" s="12">
        <x:f t="shared" si="4"/>
        <x:v>132797378</x:v>
      </x:c>
      <x:c r="J115" s="12">
        <x:f>ROUND(英雄升级调参!$D$112*英雄升级调参!$J$9*英雄升级调参!$E$18,0)</x:f>
        <x:v>104</x:v>
      </x:c>
      <x:c r="K115" s="12">
        <x:f>ROUND(英雄升级调参!$D$112*英雄升级调参!$C$11*英雄升级调参!$J$9*英雄升级调参!$G$18,0)</x:f>
        <x:v>943</x:v>
      </x:c>
      <x:c r="L115" s="12" t="n">
        <x:f>养成消耗调参!$C$194</x:f>
        <x:v>1056</x:v>
      </x:c>
      <x:c r="M115" s="12" t="n">
        <x:f>养成消耗调参!$F$194</x:f>
        <x:v>7500</x:v>
      </x:c>
      <x:c r="N115" s="12" t="n">
        <x:f>养成消耗调参!$I$194</x:f>
        <x:v>0</x:v>
      </x:c>
      <x:c r="O115" s="12" t="n">
        <x:f>养成消耗调参!$J$194</x:f>
        <x:v>24456</x:v>
      </x:c>
      <x:c r="P115" s="12" t="n">
        <x:f>养成消耗调参!$M$194</x:f>
        <x:v>151500</x:v>
      </x:c>
      <x:c r="Q115" s="12" t="n">
        <x:f>养成消耗调参!$P$194</x:f>
        <x:v>810</x:v>
      </x:c>
      <x:c r="R115" s="13">
        <x:f>I115/英雄升级调参!$G$112-1</x:f>
        <x:v>0.0011741260135202936</x:v>
      </x:c>
      <x:c r="S115" s="6"/>
      <x:c r="T115" s="6"/>
      <x:c r="U115" s="6"/>
    </x:row>
    <x:row r="116" ht="21.950000762939453" customHeight="1">
      <x:c r="A116" s="14" t="n">
        <x:f>英雄升级调参!$B$18</x:f>
        <x:v>310000</x:v>
      </x:c>
      <x:c r="B116" s="14" t="str">
        <x:f>英雄升级调参!$C$18</x:f>
        <x:v>特歪兔</x:v>
      </x:c>
      <x:c r="C116" s="6" t="str">
        <x:f>英雄升级调参!$D$18</x:f>
        <x:v>战士</x:v>
      </x:c>
      <x:c r="D116" s="6" t="s">
        <x:v>18</x:v>
      </x:c>
      <x:c r="E116" s="6">
        <x:v>48</x:v>
      </x:c>
      <x:c r="F116" s="6" t="n">
        <x:f>英雄升级调参!$C$113</x:f>
        <x:v>10</x:v>
      </x:c>
      <x:c r="G116" s="12">
        <x:f t="shared" si="7"/>
        <x:v>3933</x:v>
      </x:c>
      <x:c r="H116" s="12">
        <x:f t="shared" si="8"/>
        <x:v>35625</x:v>
      </x:c>
      <x:c r="I116" s="12">
        <x:f t="shared" si="4"/>
        <x:v>140113125</x:v>
      </x:c>
      <x:c r="J116" s="12">
        <x:f>ROUND(英雄升级调参!$D$113*英雄升级调参!$J$9*英雄升级调参!$E$18,0)</x:f>
        <x:v>104</x:v>
      </x:c>
      <x:c r="K116" s="12">
        <x:f>ROUND(英雄升级调参!$D$113*英雄升级调参!$C$11*英雄升级调参!$J$9*英雄升级调参!$G$18,0)</x:f>
        <x:v>943</x:v>
      </x:c>
      <x:c r="L116" s="12" t="n">
        <x:f>养成消耗调参!$C$195</x:f>
        <x:v>1104</x:v>
      </x:c>
      <x:c r="M116" s="12" t="n">
        <x:f>养成消耗调参!$F$195</x:f>
        <x:v>7500</x:v>
      </x:c>
      <x:c r="N116" s="12" t="n">
        <x:f>养成消耗调参!$I$195</x:f>
        <x:v>0</x:v>
      </x:c>
      <x:c r="O116" s="12" t="n">
        <x:f>养成消耗调参!$J$195</x:f>
        <x:v>25560</x:v>
      </x:c>
      <x:c r="P116" s="12" t="n">
        <x:f>养成消耗调参!$M$195</x:f>
        <x:v>159000</x:v>
      </x:c>
      <x:c r="Q116" s="12" t="n">
        <x:f>养成消耗调参!$P$195</x:f>
        <x:v>810</x:v>
      </x:c>
      <x:c r="R116" s="13">
        <x:f>I116/英雄升级调参!$G$113-1</x:f>
        <x:v>0.0011598003612840468</x:v>
      </x:c>
      <x:c r="S116" s="6"/>
      <x:c r="T116" s="6"/>
      <x:c r="U116" s="6"/>
    </x:row>
    <x:row r="117" ht="21.950000762939453" customHeight="1">
      <x:c r="A117" s="14" t="n">
        <x:f>英雄升级调参!$B$18</x:f>
        <x:v>310000</x:v>
      </x:c>
      <x:c r="B117" s="14" t="str">
        <x:f>英雄升级调参!$C$18</x:f>
        <x:v>特歪兔</x:v>
      </x:c>
      <x:c r="C117" s="6" t="str">
        <x:f>英雄升级调参!$D$18</x:f>
        <x:v>战士</x:v>
      </x:c>
      <x:c r="D117" s="6" t="s">
        <x:v>18</x:v>
      </x:c>
      <x:c r="E117" s="6">
        <x:v>49</x:v>
      </x:c>
      <x:c r="F117" s="6" t="n">
        <x:f>英雄升级调参!$C$114</x:f>
        <x:v>10</x:v>
      </x:c>
      <x:c r="G117" s="12">
        <x:f t="shared" si="7"/>
        <x:v>4037</x:v>
      </x:c>
      <x:c r="H117" s="12">
        <x:f t="shared" si="8"/>
        <x:v>36568</x:v>
      </x:c>
      <x:c r="I117" s="12">
        <x:f t="shared" si="4"/>
        <x:v>147625016</x:v>
      </x:c>
      <x:c r="J117" s="12">
        <x:f>ROUND(英雄升级调参!$D$114*英雄升级调参!$J$9*英雄升级调参!$E$18,0)</x:f>
        <x:v>104</x:v>
      </x:c>
      <x:c r="K117" s="12">
        <x:f>ROUND(英雄升级调参!$D$114*英雄升级调参!$C$11*英雄升级调参!$J$9*英雄升级调参!$G$18,0)</x:f>
        <x:v>943</x:v>
      </x:c>
      <x:c r="L117" s="12" t="n">
        <x:f>养成消耗调参!$C$196</x:f>
        <x:v>1104</x:v>
      </x:c>
      <x:c r="M117" s="12" t="n">
        <x:f>养成消耗调参!$F$196</x:f>
        <x:v>7500</x:v>
      </x:c>
      <x:c r="N117" s="12" t="n">
        <x:f>养成消耗调参!$I$196</x:f>
        <x:v>0</x:v>
      </x:c>
      <x:c r="O117" s="12" t="n">
        <x:f>养成消耗调参!$J$196</x:f>
        <x:v>26664</x:v>
      </x:c>
      <x:c r="P117" s="12" t="n">
        <x:f>养成消耗调参!$M$196</x:f>
        <x:v>166500</x:v>
      </x:c>
      <x:c r="Q117" s="12" t="n">
        <x:f>养成消耗调参!$P$196</x:f>
        <x:v>810</x:v>
      </x:c>
      <x:c r="R117" s="13">
        <x:f>I117/英雄升级调参!$G$114-1</x:f>
        <x:v>0.0011462131076389603</x:v>
      </x:c>
      <x:c r="S117" s="6"/>
      <x:c r="T117" s="6"/>
      <x:c r="U117" s="6"/>
    </x:row>
    <x:row r="118" ht="21.950000762939453" customHeight="1">
      <x:c r="A118" s="14" t="n">
        <x:f>英雄升级调参!$B$18</x:f>
        <x:v>310000</x:v>
      </x:c>
      <x:c r="B118" s="14" t="str">
        <x:f>英雄升级调参!$C$18</x:f>
        <x:v>特歪兔</x:v>
      </x:c>
      <x:c r="C118" s="6" t="str">
        <x:f>英雄升级调参!$D$18</x:f>
        <x:v>战士</x:v>
      </x:c>
      <x:c r="D118" s="6" t="s">
        <x:v>18</x:v>
      </x:c>
      <x:c r="E118" s="6">
        <x:v>50</x:v>
      </x:c>
      <x:c r="F118" s="6" t="n">
        <x:f>英雄升级调参!$C$115</x:f>
        <x:v>10</x:v>
      </x:c>
      <x:c r="G118" s="12">
        <x:f t="shared" si="7"/>
        <x:v>4349</x:v>
      </x:c>
      <x:c r="H118" s="12">
        <x:f t="shared" si="8"/>
        <x:v>39397</x:v>
      </x:c>
      <x:c r="I118" s="12">
        <x:f t="shared" si="4"/>
        <x:v>171337553</x:v>
      </x:c>
      <x:c r="J118" s="12">
        <x:f>ROUND(英雄升级调参!$D$115*英雄升级调参!$J$9*英雄升级调参!$E$18,0)*3</x:f>
        <x:v>312</x:v>
      </x:c>
      <x:c r="K118" s="12">
        <x:f>ROUND(英雄升级调参!$D$115*英雄升级调参!$C$11*英雄升级调参!$J$9*英雄升级调参!$G$18,0)*3</x:f>
        <x:v>2829</x:v>
      </x:c>
      <x:c r="L118" s="12" t="n">
        <x:f>养成消耗调参!$C$197</x:f>
        <x:v>1152</x:v>
      </x:c>
      <x:c r="M118" s="12" t="n">
        <x:f>养成消耗调参!$F$197</x:f>
        <x:v>7500</x:v>
      </x:c>
      <x:c r="N118" s="12" t="n">
        <x:f>养成消耗调参!$I$197</x:f>
        <x:v>190</x:v>
      </x:c>
      <x:c r="O118" s="12" t="n">
        <x:f>养成消耗调参!$J$197</x:f>
        <x:v>27816</x:v>
      </x:c>
      <x:c r="P118" s="12" t="n">
        <x:f>养成消耗调参!$M$197</x:f>
        <x:v>174000</x:v>
      </x:c>
      <x:c r="Q118" s="12" t="n">
        <x:f>养成消耗调参!$P$197</x:f>
        <x:v>1000</x:v>
      </x:c>
      <x:c r="R118" s="13">
        <x:f>I118/英雄升级调参!$G$115-1</x:f>
        <x:v>0.0011093518118765466</x:v>
      </x:c>
      <x:c r="S118" s="6"/>
      <x:c r="T118" s="6"/>
      <x:c r="U118" s="6"/>
    </x:row>
    <x:row r="119" ht="21.950000762939453" customHeight="1">
      <x:c r="A119" s="14" t="n">
        <x:f>英雄升级调参!$B$18</x:f>
        <x:v>310000</x:v>
      </x:c>
      <x:c r="B119" s="14" t="str">
        <x:f>英雄升级调参!$C$18</x:f>
        <x:v>特歪兔</x:v>
      </x:c>
      <x:c r="C119" s="6" t="str">
        <x:f>英雄升级调参!$D$18</x:f>
        <x:v>战士</x:v>
      </x:c>
      <x:c r="D119" s="6" t="s">
        <x:v>22</x:v>
      </x:c>
      <x:c r="E119" s="6">
        <x:v>1</x:v>
      </x:c>
      <x:c r="F119" s="6" t="n">
        <x:f>英雄升级调参!$C$66</x:f>
        <x:v>1</x:v>
      </x:c>
      <x:c r="G119" s="12">
        <x:f>G78-SUM(J120:J123)</x:f>
        <x:v>205</x:v>
      </x:c>
      <x:c r="H119" s="12">
        <x:f>H78-SUM(K120:K123)</x:f>
        <x:v>1854</x:v>
      </x:c>
      <x:c r="I119" s="12">
        <x:f t="shared" si="4"/>
        <x:v>380070</x:v>
      </x:c>
      <x:c r="J119" s="12" t="n">
        <x:f>0</x:f>
        <x:v>0</x:v>
      </x:c>
      <x:c r="K119" s="12" t="n">
        <x:f>0</x:f>
        <x:v>0</x:v>
      </x:c>
      <x:c r="L119" s="12" t="n">
        <x:f>养成消耗调参!$D$148</x:f>
        <x:v>0</x:v>
      </x:c>
      <x:c r="M119" s="12" t="n">
        <x:f>养成消耗调参!$G$148</x:f>
        <x:v>0</x:v>
      </x:c>
      <x:c r="N119" s="12" t="n">
        <x:f>养成消耗调参!$I$148</x:f>
        <x:v>0</x:v>
      </x:c>
      <x:c r="O119" s="12" t="n">
        <x:f>养成消耗调参!$K$148</x:f>
        <x:v>0</x:v>
      </x:c>
      <x:c r="P119" s="12" t="n">
        <x:f>养成消耗调参!$N$148</x:f>
        <x:v>0</x:v>
      </x:c>
      <x:c r="Q119" s="12" t="n">
        <x:f>养成消耗调参!$P$148</x:f>
        <x:v>0</x:v>
      </x:c>
      <x:c r="R119" s="13">
        <x:f>I119/英雄升级调参!$J$66-1</x:f>
        <x:v>-0.0004733727810650734</x:v>
      </x:c>
      <x:c r="S119" s="6"/>
      <x:c r="T119" s="6"/>
      <x:c r="U119" s="6"/>
    </x:row>
    <x:row r="120" ht="21.950000762939453" customHeight="1">
      <x:c r="A120" s="14" t="n">
        <x:f>英雄升级调参!$B$18</x:f>
        <x:v>310000</x:v>
      </x:c>
      <x:c r="B120" s="14" t="str">
        <x:f>英雄升级调参!$C$18</x:f>
        <x:v>特歪兔</x:v>
      </x:c>
      <x:c r="C120" s="6" t="str">
        <x:f>英雄升级调参!$D$18</x:f>
        <x:v>战士</x:v>
      </x:c>
      <x:c r="D120" s="6" t="s">
        <x:v>22</x:v>
      </x:c>
      <x:c r="E120" s="6">
        <x:v>2</x:v>
      </x:c>
      <x:c r="F120" s="6" t="n">
        <x:f>英雄升级调参!$C$67</x:f>
        <x:v>1</x:v>
      </x:c>
      <x:c r="G120" s="12">
        <x:f t="shared" ref="G120:G151" si="9">G119+J120</x:f>
        <x:v>233</x:v>
      </x:c>
      <x:c r="H120" s="12">
        <x:f t="shared" ref="H120:H151" si="10">H119+K120</x:f>
        <x:v>2111</x:v>
      </x:c>
      <x:c r="I120" s="12">
        <x:f t="shared" si="4"/>
        <x:v>491863</x:v>
      </x:c>
      <x:c r="J120" s="12">
        <x:f>ROUND(英雄升级调参!$D$67*英雄升级调参!$J$10*英雄升级调参!$E$18,0)</x:f>
        <x:v>28</x:v>
      </x:c>
      <x:c r="K120" s="12">
        <x:f>ROUND(英雄升级调参!$D$67*英雄升级调参!$C$11*英雄升级调参!$J$10*英雄升级调参!$G$18,0)</x:f>
        <x:v>257</x:v>
      </x:c>
      <x:c r="L120" s="12" t="n">
        <x:f>养成消耗调参!$D$149</x:f>
        <x:v>36</x:v>
      </x:c>
      <x:c r="M120" s="12" t="n">
        <x:f>养成消耗调参!$G$149</x:f>
        <x:v>450</x:v>
      </x:c>
      <x:c r="N120" s="12" t="n">
        <x:f>养成消耗调参!$I$149</x:f>
        <x:v>0</x:v>
      </x:c>
      <x:c r="O120" s="12" t="n">
        <x:f>养成消耗调参!$K$149</x:f>
        <x:v>36</x:v>
      </x:c>
      <x:c r="P120" s="12" t="n">
        <x:f>养成消耗调参!$N$149</x:f>
        <x:v>450</x:v>
      </x:c>
      <x:c r="Q120" s="12" t="n">
        <x:f>养成消耗调参!$P$149</x:f>
        <x:v>0</x:v>
      </x:c>
      <x:c r="R120" s="13">
        <x:f>I120/英雄升级调参!$J$67-1</x:f>
        <x:v>-0.0019823877931985923</x:v>
      </x:c>
      <x:c r="S120" s="6"/>
      <x:c r="T120" s="6"/>
      <x:c r="U120" s="6"/>
    </x:row>
    <x:row r="121" ht="21.950000762939453" customHeight="1">
      <x:c r="A121" s="14" t="n">
        <x:f>英雄升级调参!$B$18</x:f>
        <x:v>310000</x:v>
      </x:c>
      <x:c r="B121" s="14" t="str">
        <x:f>英雄升级调参!$C$18</x:f>
        <x:v>特歪兔</x:v>
      </x:c>
      <x:c r="C121" s="6" t="str">
        <x:f>英雄升级调参!$D$18</x:f>
        <x:v>战士</x:v>
      </x:c>
      <x:c r="D121" s="6" t="s">
        <x:v>22</x:v>
      </x:c>
      <x:c r="E121" s="6">
        <x:v>3</x:v>
      </x:c>
      <x:c r="F121" s="6" t="n">
        <x:f>英雄升级调参!$C$68</x:f>
        <x:v>1</x:v>
      </x:c>
      <x:c r="G121" s="12">
        <x:f t="shared" si="9"/>
        <x:v>261</x:v>
      </x:c>
      <x:c r="H121" s="12">
        <x:f t="shared" si="10"/>
        <x:v>2368</x:v>
      </x:c>
      <x:c r="I121" s="12">
        <x:f t="shared" si="4"/>
        <x:v>618048</x:v>
      </x:c>
      <x:c r="J121" s="12">
        <x:f>ROUND(英雄升级调参!$D$68*英雄升级调参!$J$10*英雄升级调参!$E$18,0)</x:f>
        <x:v>28</x:v>
      </x:c>
      <x:c r="K121" s="12">
        <x:f>ROUND(英雄升级调参!$D$68*英雄升级调参!$C$11*英雄升级调参!$J$10*英雄升级调参!$G$18,0)</x:f>
        <x:v>257</x:v>
      </x:c>
      <x:c r="L121" s="12" t="n">
        <x:f>养成消耗调参!$D$150</x:f>
        <x:v>36</x:v>
      </x:c>
      <x:c r="M121" s="12" t="n">
        <x:f>养成消耗调参!$G$150</x:f>
        <x:v>450</x:v>
      </x:c>
      <x:c r="N121" s="12" t="n">
        <x:f>养成消耗调参!$I$150</x:f>
        <x:v>0</x:v>
      </x:c>
      <x:c r="O121" s="12" t="n">
        <x:f>养成消耗调参!$K$150</x:f>
        <x:v>72</x:v>
      </x:c>
      <x:c r="P121" s="12" t="n">
        <x:f>养成消耗调参!$N$150</x:f>
        <x:v>900</x:v>
      </x:c>
      <x:c r="Q121" s="12" t="n">
        <x:f>养成消耗调参!$P$150</x:f>
        <x:v>0</x:v>
      </x:c>
      <x:c r="R121" s="13">
        <x:f>I121/英雄升级调参!$J$68-1</x:f>
        <x:v>-0.0031644650892727055</x:v>
      </x:c>
      <x:c r="S121" s="6"/>
      <x:c r="T121" s="6"/>
      <x:c r="U121" s="6"/>
    </x:row>
    <x:row r="122" ht="21.950000762939453" customHeight="1">
      <x:c r="A122" s="14" t="n">
        <x:f>英雄升级调参!$B$18</x:f>
        <x:v>310000</x:v>
      </x:c>
      <x:c r="B122" s="14" t="str">
        <x:f>英雄升级调参!$C$18</x:f>
        <x:v>特歪兔</x:v>
      </x:c>
      <x:c r="C122" s="6" t="str">
        <x:f>英雄升级调参!$D$18</x:f>
        <x:v>战士</x:v>
      </x:c>
      <x:c r="D122" s="6" t="s">
        <x:v>22</x:v>
      </x:c>
      <x:c r="E122" s="6">
        <x:v>4</x:v>
      </x:c>
      <x:c r="F122" s="6" t="n">
        <x:f>英雄升级调参!$C$69</x:f>
        <x:v>1</x:v>
      </x:c>
      <x:c r="G122" s="12">
        <x:f t="shared" si="9"/>
        <x:v>289</x:v>
      </x:c>
      <x:c r="H122" s="12">
        <x:f t="shared" si="10"/>
        <x:v>2625</x:v>
      </x:c>
      <x:c r="I122" s="12">
        <x:f t="shared" si="4"/>
        <x:v>758625</x:v>
      </x:c>
      <x:c r="J122" s="12">
        <x:f>ROUND(英雄升级调参!$D$69*英雄升级调参!$J$10*英雄升级调参!$E$18,0)</x:f>
        <x:v>28</x:v>
      </x:c>
      <x:c r="K122" s="12">
        <x:f>ROUND(英雄升级调参!$D$69*英雄升级调参!$C$11*英雄升级调参!$J$10*英雄升级调参!$G$18,0)</x:f>
        <x:v>257</x:v>
      </x:c>
      <x:c r="L122" s="12" t="n">
        <x:f>养成消耗调参!$D$151</x:f>
        <x:v>72</x:v>
      </x:c>
      <x:c r="M122" s="12" t="n">
        <x:f>养成消耗调参!$G$151</x:f>
        <x:v>450</x:v>
      </x:c>
      <x:c r="N122" s="12" t="n">
        <x:f>养成消耗调参!$I$151</x:f>
        <x:v>0</x:v>
      </x:c>
      <x:c r="O122" s="12" t="n">
        <x:f>养成消耗调参!$K$151</x:f>
        <x:v>144</x:v>
      </x:c>
      <x:c r="P122" s="12" t="n">
        <x:f>养成消耗调参!$N$151</x:f>
        <x:v>1350</x:v>
      </x:c>
      <x:c r="Q122" s="12" t="n">
        <x:f>养成消耗调参!$P$151</x:f>
        <x:v>0</x:v>
      </x:c>
      <x:c r="R122" s="13">
        <x:f>I122/英雄升级调参!$J$69-1</x:f>
        <x:v>-0.004115469439193498</x:v>
      </x:c>
      <x:c r="S122" s="6"/>
      <x:c r="T122" s="6"/>
      <x:c r="U122" s="6"/>
    </x:row>
    <x:row r="123" ht="21.950000762939453" customHeight="1">
      <x:c r="A123" s="14" t="n">
        <x:f>英雄升级调参!$B$18</x:f>
        <x:v>310000</x:v>
      </x:c>
      <x:c r="B123" s="14" t="str">
        <x:f>英雄升级调参!$C$18</x:f>
        <x:v>特歪兔</x:v>
      </x:c>
      <x:c r="C123" s="6" t="str">
        <x:f>英雄升级调参!$D$18</x:f>
        <x:v>战士</x:v>
      </x:c>
      <x:c r="D123" s="6" t="s">
        <x:v>22</x:v>
      </x:c>
      <x:c r="E123" s="6">
        <x:v>5</x:v>
      </x:c>
      <x:c r="F123" s="6" t="n">
        <x:f>英雄升级调参!$C$70</x:f>
        <x:v>1</x:v>
      </x:c>
      <x:c r="G123" s="12">
        <x:f t="shared" si="9"/>
        <x:v>373</x:v>
      </x:c>
      <x:c r="H123" s="12">
        <x:f t="shared" si="10"/>
        <x:v>3396</x:v>
      </x:c>
      <x:c r="I123" s="12">
        <x:f t="shared" si="4"/>
        <x:v>1266708</x:v>
      </x:c>
      <x:c r="J123" s="12">
        <x:f>ROUND(英雄升级调参!$D$70*英雄升级调参!$J$10*英雄升级调参!$E$18,0)*3</x:f>
        <x:v>84</x:v>
      </x:c>
      <x:c r="K123" s="12">
        <x:f>ROUND(英雄升级调参!$D$70*英雄升级调参!$C$11*英雄升级调参!$J$10*英雄升级调参!$G$18,0)*3</x:f>
        <x:v>771</x:v>
      </x:c>
      <x:c r="L123" s="12" t="n">
        <x:f>养成消耗调参!$D$152</x:f>
        <x:v>72</x:v>
      </x:c>
      <x:c r="M123" s="12" t="n">
        <x:f>养成消耗调参!$G$152</x:f>
        <x:v>450</x:v>
      </x:c>
      <x:c r="N123" s="12" t="n">
        <x:f>养成消耗调参!$I$152</x:f>
        <x:v>10</x:v>
      </x:c>
      <x:c r="O123" s="12" t="n">
        <x:f>养成消耗调参!$K$152</x:f>
        <x:v>216</x:v>
      </x:c>
      <x:c r="P123" s="12" t="n">
        <x:f>养成消耗调参!$N$152</x:f>
        <x:v>1800</x:v>
      </x:c>
      <x:c r="Q123" s="12" t="n">
        <x:f>养成消耗调参!$P$152</x:f>
        <x:v>10</x:v>
      </x:c>
      <x:c r="R123" s="13">
        <x:f>I123/英雄升级调参!$J$70-1</x:f>
        <x:v>-0.006105971800484888</x:v>
      </x:c>
      <x:c r="S123" s="6"/>
      <x:c r="T123" s="6"/>
      <x:c r="U123" s="6"/>
    </x:row>
    <x:row r="124" ht="21.950000762939453" customHeight="1">
      <x:c r="A124" s="14" t="n">
        <x:f>英雄升级调参!$B$18</x:f>
        <x:v>310000</x:v>
      </x:c>
      <x:c r="B124" s="14" t="str">
        <x:f>英雄升级调参!$C$18</x:f>
        <x:v>特歪兔</x:v>
      </x:c>
      <x:c r="C124" s="6" t="str">
        <x:f>英雄升级调参!$D$18</x:f>
        <x:v>战士</x:v>
      </x:c>
      <x:c r="D124" s="6" t="s">
        <x:v>22</x:v>
      </x:c>
      <x:c r="E124" s="6">
        <x:v>6</x:v>
      </x:c>
      <x:c r="F124" s="6" t="n">
        <x:f>英雄升级调参!$C$71</x:f>
        <x:v>2</x:v>
      </x:c>
      <x:c r="G124" s="12">
        <x:f t="shared" si="9"/>
        <x:v>416</x:v>
      </x:c>
      <x:c r="H124" s="12">
        <x:f t="shared" si="10"/>
        <x:v>3782</x:v>
      </x:c>
      <x:c r="I124" s="12">
        <x:f t="shared" si="4"/>
        <x:v>1573312</x:v>
      </x:c>
      <x:c r="J124" s="12">
        <x:f>ROUND(英雄升级调参!$D$71*英雄升级调参!$J$10*英雄升级调参!$E$18,0)</x:f>
        <x:v>43</x:v>
      </x:c>
      <x:c r="K124" s="12">
        <x:f>ROUND(英雄升级调参!$D$71*英雄升级调参!$C$11*英雄升级调参!$J$10*英雄升级调参!$G$18,0)</x:f>
        <x:v>386</x:v>
      </x:c>
      <x:c r="L124" s="12" t="n">
        <x:f>养成消耗调参!$D$153</x:f>
        <x:v>144</x:v>
      </x:c>
      <x:c r="M124" s="12" t="n">
        <x:f>养成消耗调参!$G$153</x:f>
        <x:v>450</x:v>
      </x:c>
      <x:c r="N124" s="12" t="n">
        <x:f>养成消耗调参!$I$153</x:f>
        <x:v>0</x:v>
      </x:c>
      <x:c r="O124" s="12" t="n">
        <x:f>养成消耗调参!$K$153</x:f>
        <x:v>360</x:v>
      </x:c>
      <x:c r="P124" s="12" t="n">
        <x:f>养成消耗调参!$N$153</x:f>
        <x:v>2250</x:v>
      </x:c>
      <x:c r="Q124" s="12" t="n">
        <x:f>养成消耗调参!$P$153</x:f>
        <x:v>10</x:v>
      </x:c>
      <x:c r="R124" s="13">
        <x:f>I124/英雄升级调参!$J$71-1</x:f>
        <x:v>-0.0055232135520368875</x:v>
      </x:c>
      <x:c r="S124" s="6"/>
      <x:c r="T124" s="6"/>
      <x:c r="U124" s="6"/>
    </x:row>
    <x:row r="125" ht="21.950000762939453" customHeight="1">
      <x:c r="A125" s="14" t="n">
        <x:f>英雄升级调参!$B$18</x:f>
        <x:v>310000</x:v>
      </x:c>
      <x:c r="B125" s="14" t="str">
        <x:f>英雄升级调参!$C$18</x:f>
        <x:v>特歪兔</x:v>
      </x:c>
      <x:c r="C125" s="6" t="str">
        <x:f>英雄升级调参!$D$18</x:f>
        <x:v>战士</x:v>
      </x:c>
      <x:c r="D125" s="6" t="s">
        <x:v>22</x:v>
      </x:c>
      <x:c r="E125" s="6">
        <x:v>7</x:v>
      </x:c>
      <x:c r="F125" s="6" t="n">
        <x:f>英雄升级调参!$C$72</x:f>
        <x:v>2</x:v>
      </x:c>
      <x:c r="G125" s="12">
        <x:f t="shared" si="9"/>
        <x:v>459</x:v>
      </x:c>
      <x:c r="H125" s="12">
        <x:f t="shared" si="10"/>
        <x:v>4168</x:v>
      </x:c>
      <x:c r="I125" s="12">
        <x:f t="shared" si="4"/>
        <x:v>1913112</x:v>
      </x:c>
      <x:c r="J125" s="12">
        <x:f>ROUND(英雄升级调参!$D$72*英雄升级调参!$J$10*英雄升级调参!$E$18,0)</x:f>
        <x:v>43</x:v>
      </x:c>
      <x:c r="K125" s="12">
        <x:f>ROUND(英雄升级调参!$D$72*英雄升级调参!$C$11*英雄升级调参!$J$10*英雄升级调参!$G$18,0)</x:f>
        <x:v>386</x:v>
      </x:c>
      <x:c r="L125" s="12" t="n">
        <x:f>养成消耗调参!$D$154</x:f>
        <x:v>144</x:v>
      </x:c>
      <x:c r="M125" s="12" t="n">
        <x:f>养成消耗调参!$G$154</x:f>
        <x:v>1350</x:v>
      </x:c>
      <x:c r="N125" s="12" t="n">
        <x:f>养成消耗调参!$I$154</x:f>
        <x:v>0</x:v>
      </x:c>
      <x:c r="O125" s="12" t="n">
        <x:f>养成消耗调参!$K$154</x:f>
        <x:v>504</x:v>
      </x:c>
      <x:c r="P125" s="12" t="n">
        <x:f>养成消耗调参!$N$154</x:f>
        <x:v>3600</x:v>
      </x:c>
      <x:c r="Q125" s="12" t="n">
        <x:f>养成消耗调参!$P$154</x:f>
        <x:v>10</x:v>
      </x:c>
      <x:c r="R125" s="13">
        <x:f>I125/英雄升级调参!$J$72-1</x:f>
        <x:v>-0.0050488345242925</x:v>
      </x:c>
      <x:c r="S125" s="6"/>
      <x:c r="T125" s="6"/>
      <x:c r="U125" s="6"/>
    </x:row>
    <x:row r="126" ht="21.950000762939453" customHeight="1">
      <x:c r="A126" s="14" t="n">
        <x:f>英雄升级调参!$B$18</x:f>
        <x:v>310000</x:v>
      </x:c>
      <x:c r="B126" s="14" t="str">
        <x:f>英雄升级调参!$C$18</x:f>
        <x:v>特歪兔</x:v>
      </x:c>
      <x:c r="C126" s="6" t="str">
        <x:f>英雄升级调参!$D$18</x:f>
        <x:v>战士</x:v>
      </x:c>
      <x:c r="D126" s="6" t="s">
        <x:v>22</x:v>
      </x:c>
      <x:c r="E126" s="6">
        <x:v>8</x:v>
      </x:c>
      <x:c r="F126" s="6" t="n">
        <x:f>英雄升级调参!$C$73</x:f>
        <x:v>2</x:v>
      </x:c>
      <x:c r="G126" s="12">
        <x:f t="shared" si="9"/>
        <x:v>502</x:v>
      </x:c>
      <x:c r="H126" s="12">
        <x:f t="shared" si="10"/>
        <x:v>4554</x:v>
      </x:c>
      <x:c r="I126" s="12">
        <x:f t="shared" si="4"/>
        <x:v>2286108</x:v>
      </x:c>
      <x:c r="J126" s="12">
        <x:f>ROUND(英雄升级调参!$D$73*英雄升级调参!$J$10*英雄升级调参!$E$18,0)</x:f>
        <x:v>43</x:v>
      </x:c>
      <x:c r="K126" s="12">
        <x:f>ROUND(英雄升级调参!$D$73*英雄升级调参!$C$11*英雄升级调参!$J$10*英雄升级调参!$G$18,0)</x:f>
        <x:v>386</x:v>
      </x:c>
      <x:c r="L126" s="12" t="n">
        <x:f>养成消耗调参!$D$155</x:f>
        <x:v>216</x:v>
      </x:c>
      <x:c r="M126" s="12" t="n">
        <x:f>养成消耗调参!$G$155</x:f>
        <x:v>1350</x:v>
      </x:c>
      <x:c r="N126" s="12" t="n">
        <x:f>养成消耗调参!$I$155</x:f>
        <x:v>0</x:v>
      </x:c>
      <x:c r="O126" s="12" t="n">
        <x:f>养成消耗调参!$K$155</x:f>
        <x:v>720</x:v>
      </x:c>
      <x:c r="P126" s="12" t="n">
        <x:f>养成消耗调参!$N$155</x:f>
        <x:v>4950</x:v>
      </x:c>
      <x:c r="Q126" s="12" t="n">
        <x:f>养成消耗调参!$P$155</x:f>
        <x:v>10</x:v>
      </x:c>
      <x:c r="R126" s="13">
        <x:f>I126/英雄升级调参!$J$73-1</x:f>
        <x:v>-0.004655172413793096</x:v>
      </x:c>
      <x:c r="S126" s="6"/>
      <x:c r="T126" s="6"/>
      <x:c r="U126" s="6"/>
    </x:row>
    <x:row r="127" ht="21.950000762939453" customHeight="1">
      <x:c r="A127" s="14" t="n">
        <x:f>英雄升级调参!$B$18</x:f>
        <x:v>310000</x:v>
      </x:c>
      <x:c r="B127" s="14" t="str">
        <x:f>英雄升级调参!$C$18</x:f>
        <x:v>特歪兔</x:v>
      </x:c>
      <x:c r="C127" s="6" t="str">
        <x:f>英雄升级调参!$D$18</x:f>
        <x:v>战士</x:v>
      </x:c>
      <x:c r="D127" s="6" t="s">
        <x:v>22</x:v>
      </x:c>
      <x:c r="E127" s="6">
        <x:v>9</x:v>
      </x:c>
      <x:c r="F127" s="6" t="n">
        <x:f>英雄升级调参!$C$74</x:f>
        <x:v>2</x:v>
      </x:c>
      <x:c r="G127" s="12">
        <x:f t="shared" si="9"/>
        <x:v>545</x:v>
      </x:c>
      <x:c r="H127" s="12">
        <x:f t="shared" si="10"/>
        <x:v>4940</x:v>
      </x:c>
      <x:c r="I127" s="12">
        <x:f t="shared" si="4"/>
        <x:v>2692300</x:v>
      </x:c>
      <x:c r="J127" s="12">
        <x:f>ROUND(英雄升级调参!$D$74*英雄升级调参!$J$10*英雄升级调参!$E$18,0)</x:f>
        <x:v>43</x:v>
      </x:c>
      <x:c r="K127" s="12">
        <x:f>ROUND(英雄升级调参!$D$74*英雄升级调参!$C$11*英雄升级调参!$J$10*英雄升级调参!$G$18,0)</x:f>
        <x:v>386</x:v>
      </x:c>
      <x:c r="L127" s="12" t="n">
        <x:f>养成消耗调参!$D$156</x:f>
        <x:v>216</x:v>
      </x:c>
      <x:c r="M127" s="12" t="n">
        <x:f>养成消耗调参!$G$156</x:f>
        <x:v>1350</x:v>
      </x:c>
      <x:c r="N127" s="12" t="n">
        <x:f>养成消耗调参!$I$156</x:f>
        <x:v>0</x:v>
      </x:c>
      <x:c r="O127" s="12" t="n">
        <x:f>养成消耗调参!$K$156</x:f>
        <x:v>936</x:v>
      </x:c>
      <x:c r="P127" s="12" t="n">
        <x:f>养成消耗调参!$N$156</x:f>
        <x:v>6300</x:v>
      </x:c>
      <x:c r="Q127" s="12" t="n">
        <x:f>养成消耗调参!$P$156</x:f>
        <x:v>10</x:v>
      </x:c>
      <x:c r="R127" s="13">
        <x:f>I127/英雄升级调参!$J$74-1</x:f>
        <x:v>-0.00432324084038771</x:v>
      </x:c>
      <x:c r="S127" s="6"/>
      <x:c r="T127" s="6"/>
      <x:c r="U127" s="6"/>
    </x:row>
    <x:row r="128" ht="21.950000762939453" customHeight="1">
      <x:c r="A128" s="14" t="n">
        <x:f>英雄升级调参!$B$18</x:f>
        <x:v>310000</x:v>
      </x:c>
      <x:c r="B128" s="14" t="str">
        <x:f>英雄升级调参!$C$18</x:f>
        <x:v>特歪兔</x:v>
      </x:c>
      <x:c r="C128" s="6" t="str">
        <x:f>英雄升级调参!$D$18</x:f>
        <x:v>战士</x:v>
      </x:c>
      <x:c r="D128" s="6" t="s">
        <x:v>22</x:v>
      </x:c>
      <x:c r="E128" s="6">
        <x:v>10</x:v>
      </x:c>
      <x:c r="F128" s="6" t="n">
        <x:f>英雄升级调参!$C$75</x:f>
        <x:v>2</x:v>
      </x:c>
      <x:c r="G128" s="12">
        <x:f t="shared" si="9"/>
        <x:v>674</x:v>
      </x:c>
      <x:c r="H128" s="12">
        <x:f t="shared" si="10"/>
        <x:v>6098</x:v>
      </x:c>
      <x:c r="I128" s="12">
        <x:f t="shared" si="4"/>
        <x:v>4110052</x:v>
      </x:c>
      <x:c r="J128" s="12">
        <x:f>ROUND(英雄升级调参!$D$75*英雄升级调参!$J$10*英雄升级调参!$E$18,0)*3</x:f>
        <x:v>129</x:v>
      </x:c>
      <x:c r="K128" s="12">
        <x:f>ROUND(英雄升级调参!$D$75*英雄升级调参!$C$11*英雄升级调参!$J$10*英雄升级调参!$G$18,0)*3</x:f>
        <x:v>1158</x:v>
      </x:c>
      <x:c r="L128" s="12" t="n">
        <x:f>养成消耗调参!$D$157</x:f>
        <x:v>288</x:v>
      </x:c>
      <x:c r="M128" s="12" t="n">
        <x:f>养成消耗调参!$G$157</x:f>
        <x:v>1350</x:v>
      </x:c>
      <x:c r="N128" s="12" t="n">
        <x:f>养成消耗调参!$I$157</x:f>
        <x:v>30</x:v>
      </x:c>
      <x:c r="O128" s="12" t="n">
        <x:f>养成消耗调参!$K$157</x:f>
        <x:v>1224</x:v>
      </x:c>
      <x:c r="P128" s="12" t="n">
        <x:f>养成消耗调参!$N$157</x:f>
        <x:v>7650</x:v>
      </x:c>
      <x:c r="Q128" s="12" t="n">
        <x:f>养成消耗调参!$P$157</x:f>
        <x:v>40</x:v>
      </x:c>
      <x:c r="R128" s="13">
        <x:f>I128/英雄升级调参!$J$75-1</x:f>
        <x:v>-0.0035802774424096295</x:v>
      </x:c>
      <x:c r="S128" s="6"/>
      <x:c r="T128" s="6"/>
      <x:c r="U128" s="6"/>
    </x:row>
    <x:row r="129" ht="21.950000762939453" customHeight="1">
      <x:c r="A129" s="14" t="n">
        <x:f>英雄升级调参!$B$18</x:f>
        <x:v>310000</x:v>
      </x:c>
      <x:c r="B129" s="14" t="str">
        <x:f>英雄升级调参!$C$18</x:f>
        <x:v>特歪兔</x:v>
      </x:c>
      <x:c r="C129" s="6" t="str">
        <x:f>英雄升级调参!$D$18</x:f>
        <x:v>战士</x:v>
      </x:c>
      <x:c r="D129" s="6" t="s">
        <x:v>22</x:v>
      </x:c>
      <x:c r="E129" s="6">
        <x:v>11</x:v>
      </x:c>
      <x:c r="F129" s="6" t="n">
        <x:f>英雄升级调参!$C$76</x:f>
        <x:v>3</x:v>
      </x:c>
      <x:c r="G129" s="12">
        <x:f t="shared" si="9"/>
        <x:v>731</x:v>
      </x:c>
      <x:c r="H129" s="12">
        <x:f t="shared" si="10"/>
        <x:v>6612</x:v>
      </x:c>
      <x:c r="I129" s="12">
        <x:f t="shared" si="4"/>
        <x:v>4833372</x:v>
      </x:c>
      <x:c r="J129" s="12">
        <x:f>ROUND(英雄升级调参!$D$76*英雄升级调参!$J$10*英雄升级调参!$E$18,0)</x:f>
        <x:v>57</x:v>
      </x:c>
      <x:c r="K129" s="12">
        <x:f>ROUND(英雄升级调参!$D$76*英雄升级调参!$C$11*英雄升级调参!$J$10*英雄升级调参!$G$18,0)</x:f>
        <x:v>514</x:v>
      </x:c>
      <x:c r="L129" s="12" t="n">
        <x:f>养成消耗调参!$D$158</x:f>
        <x:v>288</x:v>
      </x:c>
      <x:c r="M129" s="12" t="n">
        <x:f>养成消耗调参!$G$158</x:f>
        <x:v>1350</x:v>
      </x:c>
      <x:c r="N129" s="12" t="n">
        <x:f>养成消耗调参!$I$158</x:f>
        <x:v>0</x:v>
      </x:c>
      <x:c r="O129" s="12" t="n">
        <x:f>养成消耗调参!$K$158</x:f>
        <x:v>1512</x:v>
      </x:c>
      <x:c r="P129" s="12" t="n">
        <x:f>养成消耗调参!$N$158</x:f>
        <x:v>9000</x:v>
      </x:c>
      <x:c r="Q129" s="12" t="n">
        <x:f>养成消耗调参!$P$158</x:f>
        <x:v>40</x:v>
      </x:c>
      <x:c r="R129" s="13">
        <x:f>I129/英雄升级调参!$J$76-1</x:f>
        <x:v>-0.002937117466132788</x:v>
      </x:c>
      <x:c r="S129" s="6"/>
      <x:c r="T129" s="6"/>
      <x:c r="U129" s="6"/>
    </x:row>
    <x:row r="130" ht="21.950000762939453" customHeight="1">
      <x:c r="A130" s="14" t="n">
        <x:f>英雄升级调参!$B$18</x:f>
        <x:v>310000</x:v>
      </x:c>
      <x:c r="B130" s="14" t="str">
        <x:f>英雄升级调参!$C$18</x:f>
        <x:v>特歪兔</x:v>
      </x:c>
      <x:c r="C130" s="6" t="str">
        <x:f>英雄升级调参!$D$18</x:f>
        <x:v>战士</x:v>
      </x:c>
      <x:c r="D130" s="6" t="s">
        <x:v>22</x:v>
      </x:c>
      <x:c r="E130" s="6">
        <x:v>12</x:v>
      </x:c>
      <x:c r="F130" s="6" t="n">
        <x:f>英雄升级调参!$C$77</x:f>
        <x:v>3</x:v>
      </x:c>
      <x:c r="G130" s="12">
        <x:f t="shared" si="9"/>
        <x:v>788</x:v>
      </x:c>
      <x:c r="H130" s="12">
        <x:f t="shared" si="10"/>
        <x:v>7126</x:v>
      </x:c>
      <x:c r="I130" s="12">
        <x:f t="shared" si="4"/>
        <x:v>5615288</x:v>
      </x:c>
      <x:c r="J130" s="12">
        <x:f>ROUND(英雄升级调参!$D$77*英雄升级调参!$J$10*英雄升级调参!$E$18,0)</x:f>
        <x:v>57</x:v>
      </x:c>
      <x:c r="K130" s="12">
        <x:f>ROUND(英雄升级调参!$D$77*英雄升级调参!$C$11*英雄升级调参!$J$10*英雄升级调参!$G$18,0)</x:f>
        <x:v>514</x:v>
      </x:c>
      <x:c r="L130" s="12" t="n">
        <x:f>养成消耗调参!$D$159</x:f>
        <x:v>360</x:v>
      </x:c>
      <x:c r="M130" s="12" t="n">
        <x:f>养成消耗调参!$G$159</x:f>
        <x:v>2250</x:v>
      </x:c>
      <x:c r="N130" s="12" t="n">
        <x:f>养成消耗调参!$I$159</x:f>
        <x:v>0</x:v>
      </x:c>
      <x:c r="O130" s="12" t="n">
        <x:f>养成消耗调参!$K$159</x:f>
        <x:v>1872</x:v>
      </x:c>
      <x:c r="P130" s="12" t="n">
        <x:f>养成消耗调参!$N$159</x:f>
        <x:v>11250</x:v>
      </x:c>
      <x:c r="Q130" s="12" t="n">
        <x:f>养成消耗调参!$P$159</x:f>
        <x:v>40</x:v>
      </x:c>
      <x:c r="R130" s="13">
        <x:f>I130/英雄升级调参!$J$77-1</x:f>
        <x:v>-0.002386332949587122</x:v>
      </x:c>
      <x:c r="S130" s="6"/>
      <x:c r="T130" s="6"/>
      <x:c r="U130" s="6"/>
    </x:row>
    <x:row r="131" ht="21.950000762939453" customHeight="1">
      <x:c r="A131" s="14" t="n">
        <x:f>英雄升级调参!$B$18</x:f>
        <x:v>310000</x:v>
      </x:c>
      <x:c r="B131" s="14" t="str">
        <x:f>英雄升级调参!$C$18</x:f>
        <x:v>特歪兔</x:v>
      </x:c>
      <x:c r="C131" s="6" t="str">
        <x:f>英雄升级调参!$D$18</x:f>
        <x:v>战士</x:v>
      </x:c>
      <x:c r="D131" s="6" t="s">
        <x:v>22</x:v>
      </x:c>
      <x:c r="E131" s="6">
        <x:v>13</x:v>
      </x:c>
      <x:c r="F131" s="6" t="n">
        <x:f>英雄升级调参!$C$78</x:f>
        <x:v>3</x:v>
      </x:c>
      <x:c r="G131" s="12">
        <x:f t="shared" si="9"/>
        <x:v>845</x:v>
      </x:c>
      <x:c r="H131" s="12">
        <x:f t="shared" si="10"/>
        <x:v>7640</x:v>
      </x:c>
      <x:c r="I131" s="12">
        <x:f t="shared" si="4"/>
        <x:v>6455800</x:v>
      </x:c>
      <x:c r="J131" s="12">
        <x:f>ROUND(英雄升级调参!$D$78*英雄升级调参!$J$10*英雄升级调参!$E$18,0)</x:f>
        <x:v>57</x:v>
      </x:c>
      <x:c r="K131" s="12">
        <x:f>ROUND(英雄升级调参!$D$78*英雄升级调参!$C$11*英雄升级调参!$J$10*英雄升级调参!$G$18,0)</x:f>
        <x:v>514</x:v>
      </x:c>
      <x:c r="L131" s="12" t="n">
        <x:f>养成消耗调参!$D$160</x:f>
        <x:v>360</x:v>
      </x:c>
      <x:c r="M131" s="12" t="n">
        <x:f>养成消耗调参!$G$160</x:f>
        <x:v>2250</x:v>
      </x:c>
      <x:c r="N131" s="12" t="n">
        <x:f>养成消耗调参!$I$160</x:f>
        <x:v>0</x:v>
      </x:c>
      <x:c r="O131" s="12" t="n">
        <x:f>养成消耗调参!$K$160</x:f>
        <x:v>2232</x:v>
      </x:c>
      <x:c r="P131" s="12" t="n">
        <x:f>养成消耗调参!$N$160</x:f>
        <x:v>13500</x:v>
      </x:c>
      <x:c r="Q131" s="12" t="n">
        <x:f>养成消耗调参!$P$160</x:f>
        <x:v>40</x:v>
      </x:c>
      <x:c r="R131" s="13">
        <x:f>I131/英雄升级调参!$J$78-1</x:f>
        <x:v>-0.001909355843633831</x:v>
      </x:c>
      <x:c r="S131" s="6"/>
      <x:c r="T131" s="6"/>
      <x:c r="U131" s="6"/>
    </x:row>
    <x:row r="132" ht="21.950000762939453" customHeight="1">
      <x:c r="A132" s="14" t="n">
        <x:f>英雄升级调参!$B$18</x:f>
        <x:v>310000</x:v>
      </x:c>
      <x:c r="B132" s="14" t="str">
        <x:f>英雄升级调参!$C$18</x:f>
        <x:v>特歪兔</x:v>
      </x:c>
      <x:c r="C132" s="6" t="str">
        <x:f>英雄升级调参!$D$18</x:f>
        <x:v>战士</x:v>
      </x:c>
      <x:c r="D132" s="6" t="s">
        <x:v>22</x:v>
      </x:c>
      <x:c r="E132" s="6">
        <x:v>14</x:v>
      </x:c>
      <x:c r="F132" s="6" t="n">
        <x:f>英雄升级调参!$C$79</x:f>
        <x:v>3</x:v>
      </x:c>
      <x:c r="G132" s="12">
        <x:f t="shared" si="9"/>
        <x:v>902</x:v>
      </x:c>
      <x:c r="H132" s="12">
        <x:f t="shared" si="10"/>
        <x:v>8154</x:v>
      </x:c>
      <x:c r="I132" s="12">
        <x:f t="shared" si="4"/>
        <x:v>7354908</x:v>
      </x:c>
      <x:c r="J132" s="12">
        <x:f>ROUND(英雄升级调参!$D$79*英雄升级调参!$J$10*英雄升级调参!$E$18,0)</x:f>
        <x:v>57</x:v>
      </x:c>
      <x:c r="K132" s="12">
        <x:f>ROUND(英雄升级调参!$D$79*英雄升级调参!$C$11*英雄升级调参!$J$10*英雄升级调参!$G$18,0)</x:f>
        <x:v>514</x:v>
      </x:c>
      <x:c r="L132" s="12" t="n">
        <x:f>养成消耗调参!$D$161</x:f>
        <x:v>432</x:v>
      </x:c>
      <x:c r="M132" s="12" t="n">
        <x:f>养成消耗调参!$G$161</x:f>
        <x:v>2250</x:v>
      </x:c>
      <x:c r="N132" s="12" t="n">
        <x:f>养成消耗调参!$I$161</x:f>
        <x:v>0</x:v>
      </x:c>
      <x:c r="O132" s="12" t="n">
        <x:f>养成消耗调参!$K$161</x:f>
        <x:v>2664</x:v>
      </x:c>
      <x:c r="P132" s="12" t="n">
        <x:f>养成消耗调参!$N$161</x:f>
        <x:v>15750</x:v>
      </x:c>
      <x:c r="Q132" s="12" t="n">
        <x:f>养成消耗调参!$P$161</x:f>
        <x:v>40</x:v>
      </x:c>
      <x:c r="R132" s="13">
        <x:f>I132/英雄升级调参!$J$79-1</x:f>
        <x:v>-0.0014922820021993077</x:v>
      </x:c>
      <x:c r="S132" s="6"/>
      <x:c r="T132" s="6"/>
      <x:c r="U132" s="6"/>
    </x:row>
    <x:row r="133" ht="21.950000762939453" customHeight="1">
      <x:c r="A133" s="14" t="n">
        <x:f>英雄升级调参!$B$18</x:f>
        <x:v>310000</x:v>
      </x:c>
      <x:c r="B133" s="14" t="str">
        <x:f>英雄升级调参!$C$18</x:f>
        <x:v>特歪兔</x:v>
      </x:c>
      <x:c r="C133" s="6" t="str">
        <x:f>英雄升级调参!$D$18</x:f>
        <x:v>战士</x:v>
      </x:c>
      <x:c r="D133" s="6" t="s">
        <x:v>22</x:v>
      </x:c>
      <x:c r="E133" s="6">
        <x:v>15</x:v>
      </x:c>
      <x:c r="F133" s="6" t="n">
        <x:f>英雄升级调参!$C$80</x:f>
        <x:v>3</x:v>
      </x:c>
      <x:c r="G133" s="12">
        <x:f t="shared" si="9"/>
        <x:v>1073</x:v>
      </x:c>
      <x:c r="H133" s="12">
        <x:f t="shared" si="10"/>
        <x:v>9696</x:v>
      </x:c>
      <x:c r="I133" s="12">
        <x:f t="shared" ref="I133:I196" si="11">G133*H133</x:f>
        <x:v>10403808</x:v>
      </x:c>
      <x:c r="J133" s="12">
        <x:f>ROUND(英雄升级调参!$D$80*英雄升级调参!$J$10*英雄升级调参!$E$18,0)*3</x:f>
        <x:v>171</x:v>
      </x:c>
      <x:c r="K133" s="12">
        <x:f>ROUND(英雄升级调参!$D$80*英雄升级调参!$C$11*英雄升级调参!$J$10*英雄升级调参!$G$18,0)*3</x:f>
        <x:v>1542</x:v>
      </x:c>
      <x:c r="L133" s="12" t="n">
        <x:f>养成消耗调参!$D$162</x:f>
        <x:v>432</x:v>
      </x:c>
      <x:c r="M133" s="12" t="n">
        <x:f>养成消耗调参!$G$162</x:f>
        <x:v>2250</x:v>
      </x:c>
      <x:c r="N133" s="12" t="n">
        <x:f>养成消耗调参!$I$162</x:f>
        <x:v>50</x:v>
      </x:c>
      <x:c r="O133" s="12" t="n">
        <x:f>养成消耗调参!$K$162</x:f>
        <x:v>3096</x:v>
      </x:c>
      <x:c r="P133" s="12" t="n">
        <x:f>养成消耗调参!$N$162</x:f>
        <x:v>18000</x:v>
      </x:c>
      <x:c r="Q133" s="12" t="n">
        <x:f>养成消耗调参!$P$162</x:f>
        <x:v>90</x:v>
      </x:c>
      <x:c r="R133" s="13">
        <x:f>I133/英雄升级调参!$J$80-1</x:f>
        <x:v>-0.0005055206661114253</x:v>
      </x:c>
      <x:c r="S133" s="6"/>
      <x:c r="T133" s="6"/>
      <x:c r="U133" s="6"/>
    </x:row>
    <x:row r="134" ht="21.950000762939453" customHeight="1">
      <x:c r="A134" s="14" t="n">
        <x:f>英雄升级调参!$B$18</x:f>
        <x:v>310000</x:v>
      </x:c>
      <x:c r="B134" s="14" t="str">
        <x:f>英雄升级调参!$C$18</x:f>
        <x:v>特歪兔</x:v>
      </x:c>
      <x:c r="C134" s="6" t="str">
        <x:f>英雄升级调参!$D$18</x:f>
        <x:v>战士</x:v>
      </x:c>
      <x:c r="D134" s="6" t="s">
        <x:v>22</x:v>
      </x:c>
      <x:c r="E134" s="6">
        <x:v>16</x:v>
      </x:c>
      <x:c r="F134" s="6" t="n">
        <x:f>英雄升级调参!$C$81</x:f>
        <x:v>4</x:v>
      </x:c>
      <x:c r="G134" s="12">
        <x:f t="shared" si="9"/>
        <x:v>1144</x:v>
      </x:c>
      <x:c r="H134" s="12">
        <x:f t="shared" si="10"/>
        <x:v>10339</x:v>
      </x:c>
      <x:c r="I134" s="12">
        <x:f t="shared" si="11"/>
        <x:v>11827816</x:v>
      </x:c>
      <x:c r="J134" s="12">
        <x:f>ROUND(英雄升级调参!$D$81*英雄升级调参!$J$10*英雄升级调参!$E$18,0)</x:f>
        <x:v>71</x:v>
      </x:c>
      <x:c r="K134" s="12">
        <x:f>ROUND(英雄升级调参!$D$81*英雄升级调参!$C$11*英雄升级调参!$J$10*英雄升级调参!$G$18,0)</x:f>
        <x:v>643</x:v>
      </x:c>
      <x:c r="L134" s="12" t="n">
        <x:f>养成消耗调参!$D$163</x:f>
        <x:v>504</x:v>
      </x:c>
      <x:c r="M134" s="12" t="n">
        <x:f>养成消耗调参!$G$163</x:f>
        <x:v>2250</x:v>
      </x:c>
      <x:c r="N134" s="12" t="n">
        <x:f>养成消耗调参!$I$163</x:f>
        <x:v>0</x:v>
      </x:c>
      <x:c r="O134" s="12" t="n">
        <x:f>养成消耗调参!$K$163</x:f>
        <x:v>3600</x:v>
      </x:c>
      <x:c r="P134" s="12" t="n">
        <x:f>养成消耗调参!$N$163</x:f>
        <x:v>20250</x:v>
      </x:c>
      <x:c r="Q134" s="12" t="n">
        <x:f>养成消耗调参!$P$163</x:f>
        <x:v>90</x:v>
      </x:c>
      <x:c r="R134" s="13">
        <x:f>I134/英雄升级调参!$J$81-1</x:f>
        <x:v>-0.0008096372514234673</x:v>
      </x:c>
      <x:c r="S134" s="6"/>
      <x:c r="T134" s="6"/>
      <x:c r="U134" s="6"/>
    </x:row>
    <x:row r="135" ht="21.950000762939453" customHeight="1">
      <x:c r="A135" s="14" t="n">
        <x:f>英雄升级调参!$B$18</x:f>
        <x:v>310000</x:v>
      </x:c>
      <x:c r="B135" s="14" t="str">
        <x:f>英雄升级调参!$C$18</x:f>
        <x:v>特歪兔</x:v>
      </x:c>
      <x:c r="C135" s="6" t="str">
        <x:f>英雄升级调参!$D$18</x:f>
        <x:v>战士</x:v>
      </x:c>
      <x:c r="D135" s="6" t="s">
        <x:v>22</x:v>
      </x:c>
      <x:c r="E135" s="6">
        <x:v>17</x:v>
      </x:c>
      <x:c r="F135" s="6" t="n">
        <x:f>英雄升级调参!$C$82</x:f>
        <x:v>4</x:v>
      </x:c>
      <x:c r="G135" s="12">
        <x:f t="shared" si="9"/>
        <x:v>1215</x:v>
      </x:c>
      <x:c r="H135" s="12">
        <x:f t="shared" si="10"/>
        <x:v>10982</x:v>
      </x:c>
      <x:c r="I135" s="12">
        <x:f t="shared" si="11"/>
        <x:v>13343130</x:v>
      </x:c>
      <x:c r="J135" s="12">
        <x:f>ROUND(英雄升级调参!$D$82*英雄升级调参!$J$10*英雄升级调参!$E$18,0)</x:f>
        <x:v>71</x:v>
      </x:c>
      <x:c r="K135" s="12">
        <x:f>ROUND(英雄升级调参!$D$82*英雄升级调参!$C$11*英雄升级调参!$J$10*英雄升级调参!$G$18,0)</x:f>
        <x:v>643</x:v>
      </x:c>
      <x:c r="L135" s="12" t="n">
        <x:f>养成消耗调参!$D$164</x:f>
        <x:v>504</x:v>
      </x:c>
      <x:c r="M135" s="12" t="n">
        <x:f>养成消耗调参!$G$164</x:f>
        <x:v>3150</x:v>
      </x:c>
      <x:c r="N135" s="12" t="n">
        <x:f>养成消耗调参!$I$164</x:f>
        <x:v>0</x:v>
      </x:c>
      <x:c r="O135" s="12" t="n">
        <x:f>养成消耗调参!$K$164</x:f>
        <x:v>4104</x:v>
      </x:c>
      <x:c r="P135" s="12" t="n">
        <x:f>养成消耗调参!$N$164</x:f>
        <x:v>23400</x:v>
      </x:c>
      <x:c r="Q135" s="12" t="n">
        <x:f>养成消耗调参!$P$164</x:f>
        <x:v>90</x:v>
      </x:c>
      <x:c r="R135" s="13">
        <x:f>I135/英雄升级调参!$J$82-1</x:f>
        <x:v>-0.00107804362034003</x:v>
      </x:c>
      <x:c r="S135" s="6"/>
      <x:c r="T135" s="6"/>
      <x:c r="U135" s="6"/>
    </x:row>
    <x:row r="136" ht="21.950000762939453" customHeight="1">
      <x:c r="A136" s="14" t="n">
        <x:f>英雄升级调参!$B$18</x:f>
        <x:v>310000</x:v>
      </x:c>
      <x:c r="B136" s="14" t="str">
        <x:f>英雄升级调参!$C$18</x:f>
        <x:v>特歪兔</x:v>
      </x:c>
      <x:c r="C136" s="6" t="str">
        <x:f>英雄升级调参!$D$18</x:f>
        <x:v>战士</x:v>
      </x:c>
      <x:c r="D136" s="6" t="s">
        <x:v>22</x:v>
      </x:c>
      <x:c r="E136" s="6">
        <x:v>18</x:v>
      </x:c>
      <x:c r="F136" s="6" t="n">
        <x:f>英雄升级调参!$C$83</x:f>
        <x:v>4</x:v>
      </x:c>
      <x:c r="G136" s="12">
        <x:f t="shared" si="9"/>
        <x:v>1286</x:v>
      </x:c>
      <x:c r="H136" s="12">
        <x:f t="shared" si="10"/>
        <x:v>11625</x:v>
      </x:c>
      <x:c r="I136" s="12">
        <x:f t="shared" si="11"/>
        <x:v>14949750</x:v>
      </x:c>
      <x:c r="J136" s="12">
        <x:f>ROUND(英雄升级调参!$D$83*英雄升级调参!$J$10*英雄升级调参!$E$18,0)</x:f>
        <x:v>71</x:v>
      </x:c>
      <x:c r="K136" s="12">
        <x:f>ROUND(英雄升级调参!$D$83*英雄升级调参!$C$11*英雄升级调参!$J$10*英雄升级调参!$G$18,0)</x:f>
        <x:v>643</x:v>
      </x:c>
      <x:c r="L136" s="12" t="n">
        <x:f>养成消耗调参!$D$165</x:f>
        <x:v>576</x:v>
      </x:c>
      <x:c r="M136" s="12" t="n">
        <x:f>养成消耗调参!$G$165</x:f>
        <x:v>3150</x:v>
      </x:c>
      <x:c r="N136" s="12" t="n">
        <x:f>养成消耗调参!$I$165</x:f>
        <x:v>0</x:v>
      </x:c>
      <x:c r="O136" s="12" t="n">
        <x:f>养成消耗调参!$K$165</x:f>
        <x:v>4680</x:v>
      </x:c>
      <x:c r="P136" s="12" t="n">
        <x:f>养成消耗调参!$N$165</x:f>
        <x:v>26550</x:v>
      </x:c>
      <x:c r="Q136" s="12" t="n">
        <x:f>养成消耗调参!$P$165</x:f>
        <x:v>90</x:v>
      </x:c>
      <x:c r="R136" s="13">
        <x:f>I136/英雄升级调参!$J$83-1</x:f>
        <x:v>-0.001316680762031508</x:v>
      </x:c>
      <x:c r="S136" s="6"/>
      <x:c r="T136" s="6"/>
      <x:c r="U136" s="6"/>
    </x:row>
    <x:row r="137" ht="21.950000762939453" customHeight="1">
      <x:c r="A137" s="14" t="n">
        <x:f>英雄升级调参!$B$18</x:f>
        <x:v>310000</x:v>
      </x:c>
      <x:c r="B137" s="14" t="str">
        <x:f>英雄升级调参!$C$18</x:f>
        <x:v>特歪兔</x:v>
      </x:c>
      <x:c r="C137" s="6" t="str">
        <x:f>英雄升级调参!$D$18</x:f>
        <x:v>战士</x:v>
      </x:c>
      <x:c r="D137" s="6" t="s">
        <x:v>22</x:v>
      </x:c>
      <x:c r="E137" s="6">
        <x:v>19</x:v>
      </x:c>
      <x:c r="F137" s="6" t="n">
        <x:f>英雄升级调参!$C$84</x:f>
        <x:v>4</x:v>
      </x:c>
      <x:c r="G137" s="12">
        <x:f t="shared" si="9"/>
        <x:v>1357</x:v>
      </x:c>
      <x:c r="H137" s="12">
        <x:f t="shared" si="10"/>
        <x:v>12268</x:v>
      </x:c>
      <x:c r="I137" s="12">
        <x:f t="shared" si="11"/>
        <x:v>16647676</x:v>
      </x:c>
      <x:c r="J137" s="12">
        <x:f>ROUND(英雄升级调参!$D$84*英雄升级调参!$J$10*英雄升级调参!$E$18,0)</x:f>
        <x:v>71</x:v>
      </x:c>
      <x:c r="K137" s="12">
        <x:f>ROUND(英雄升级调参!$D$84*英雄升级调参!$C$11*英雄升级调参!$J$10*英雄升级调参!$G$18,0)</x:f>
        <x:v>643</x:v>
      </x:c>
      <x:c r="L137" s="12" t="n">
        <x:f>养成消耗调参!$D$166</x:f>
        <x:v>576</x:v>
      </x:c>
      <x:c r="M137" s="12" t="n">
        <x:f>养成消耗调参!$G$166</x:f>
        <x:v>3150</x:v>
      </x:c>
      <x:c r="N137" s="12" t="n">
        <x:f>养成消耗调参!$I$166</x:f>
        <x:v>0</x:v>
      </x:c>
      <x:c r="O137" s="12" t="n">
        <x:f>养成消耗调参!$K$166</x:f>
        <x:v>5256</x:v>
      </x:c>
      <x:c r="P137" s="12" t="n">
        <x:f>养成消耗调参!$N$166</x:f>
        <x:v>29700</x:v>
      </x:c>
      <x:c r="Q137" s="12" t="n">
        <x:f>养成消耗调参!$P$166</x:f>
        <x:v>90</x:v>
      </x:c>
      <x:c r="R137" s="13">
        <x:f>I137/英雄升级调参!$J$84-1</x:f>
        <x:v>-0.0015302410636477415</x:v>
      </x:c>
      <x:c r="S137" s="6"/>
      <x:c r="T137" s="6"/>
      <x:c r="U137" s="6"/>
    </x:row>
    <x:row r="138" ht="21.950000762939453" customHeight="1">
      <x:c r="A138" s="14" t="n">
        <x:f>英雄升级调参!$B$18</x:f>
        <x:v>310000</x:v>
      </x:c>
      <x:c r="B138" s="14" t="str">
        <x:f>英雄升级调参!$C$18</x:f>
        <x:v>特歪兔</x:v>
      </x:c>
      <x:c r="C138" s="6" t="str">
        <x:f>英雄升级调参!$D$18</x:f>
        <x:v>战士</x:v>
      </x:c>
      <x:c r="D138" s="6" t="s">
        <x:v>22</x:v>
      </x:c>
      <x:c r="E138" s="6">
        <x:v>20</x:v>
      </x:c>
      <x:c r="F138" s="6" t="n">
        <x:f>英雄升级调参!$C$85</x:f>
        <x:v>4</x:v>
      </x:c>
      <x:c r="G138" s="12">
        <x:f t="shared" si="9"/>
        <x:v>1570</x:v>
      </x:c>
      <x:c r="H138" s="12">
        <x:f t="shared" si="10"/>
        <x:v>14197</x:v>
      </x:c>
      <x:c r="I138" s="12">
        <x:f t="shared" si="11"/>
        <x:v>22289290</x:v>
      </x:c>
      <x:c r="J138" s="12">
        <x:f>ROUND(英雄升级调参!$D$85*英雄升级调参!$J$10*英雄升级调参!$E$18,0)*3</x:f>
        <x:v>213</x:v>
      </x:c>
      <x:c r="K138" s="12">
        <x:f>ROUND(英雄升级调参!$D$85*英雄升级调参!$C$11*英雄升级调参!$J$10*英雄升级调参!$G$18,0)*3</x:f>
        <x:v>1929</x:v>
      </x:c>
      <x:c r="L138" s="12" t="n">
        <x:f>养成消耗调参!$D$167</x:f>
        <x:v>648</x:v>
      </x:c>
      <x:c r="M138" s="12" t="n">
        <x:f>养成消耗调参!$G$167</x:f>
        <x:v>3150</x:v>
      </x:c>
      <x:c r="N138" s="12" t="n">
        <x:f>养成消耗调参!$I$167</x:f>
        <x:v>70</x:v>
      </x:c>
      <x:c r="O138" s="12" t="n">
        <x:f>养成消耗调参!$K$167</x:f>
        <x:v>5904</x:v>
      </x:c>
      <x:c r="P138" s="12" t="n">
        <x:f>养成消耗调参!$N$167</x:f>
        <x:v>32850</x:v>
      </x:c>
      <x:c r="Q138" s="12" t="n">
        <x:f>养成消耗调参!$P$167</x:f>
        <x:v>160</x:v>
      </x:c>
      <x:c r="R138" s="13">
        <x:f>I138/英雄升级调参!$J$85-1</x:f>
        <x:v>-0.002054606231066902</x:v>
      </x:c>
      <x:c r="S138" s="6"/>
      <x:c r="T138" s="6"/>
      <x:c r="U138" s="6"/>
    </x:row>
    <x:row r="139" ht="21.950000762939453" customHeight="1">
      <x:c r="A139" s="14" t="n">
        <x:f>英雄升级调参!$B$18</x:f>
        <x:v>310000</x:v>
      </x:c>
      <x:c r="B139" s="14" t="str">
        <x:f>英雄升级调参!$C$18</x:f>
        <x:v>特歪兔</x:v>
      </x:c>
      <x:c r="C139" s="6" t="str">
        <x:f>英雄升级调参!$D$18</x:f>
        <x:v>战士</x:v>
      </x:c>
      <x:c r="D139" s="6" t="s">
        <x:v>22</x:v>
      </x:c>
      <x:c r="E139" s="6">
        <x:v>21</x:v>
      </x:c>
      <x:c r="F139" s="6" t="n">
        <x:f>英雄升级调参!$C$86</x:f>
        <x:v>5</x:v>
      </x:c>
      <x:c r="G139" s="12">
        <x:f t="shared" si="9"/>
        <x:v>1655</x:v>
      </x:c>
      <x:c r="H139" s="12">
        <x:f t="shared" si="10"/>
        <x:v>14968</x:v>
      </x:c>
      <x:c r="I139" s="12">
        <x:f t="shared" si="11"/>
        <x:v>24772040</x:v>
      </x:c>
      <x:c r="J139" s="12">
        <x:f>ROUND(英雄升级调参!$D$86*英雄升级调参!$J$10*英雄升级调参!$E$18,0)</x:f>
        <x:v>85</x:v>
      </x:c>
      <x:c r="K139" s="12">
        <x:f>ROUND(英雄升级调参!$D$86*英雄升级调参!$C$11*英雄升级调参!$J$10*英雄升级调参!$G$18,0)</x:f>
        <x:v>771</x:v>
      </x:c>
      <x:c r="L139" s="12" t="n">
        <x:f>养成消耗调参!$D$168</x:f>
        <x:v>648</x:v>
      </x:c>
      <x:c r="M139" s="12" t="n">
        <x:f>养成消耗调参!$G$168</x:f>
        <x:v>3150</x:v>
      </x:c>
      <x:c r="N139" s="12" t="n">
        <x:f>养成消耗调参!$I$168</x:f>
        <x:v>0</x:v>
      </x:c>
      <x:c r="O139" s="12" t="n">
        <x:f>养成消耗调参!$K$168</x:f>
        <x:v>6552</x:v>
      </x:c>
      <x:c r="P139" s="12" t="n">
        <x:f>养成消耗调参!$N$168</x:f>
        <x:v>36000</x:v>
      </x:c>
      <x:c r="Q139" s="12" t="n">
        <x:f>养成消耗调参!$P$168</x:f>
        <x:v>160</x:v>
      </x:c>
      <x:c r="R139" s="13">
        <x:f>I139/英雄升级调参!$J$86-1</x:f>
        <x:v>-0.0020079059281569167</x:v>
      </x:c>
      <x:c r="S139" s="6"/>
      <x:c r="T139" s="6"/>
      <x:c r="U139" s="6"/>
    </x:row>
    <x:row r="140" ht="21.950000762939453" customHeight="1">
      <x:c r="A140" s="14" t="n">
        <x:f>英雄升级调参!$B$18</x:f>
        <x:v>310000</x:v>
      </x:c>
      <x:c r="B140" s="14" t="str">
        <x:f>英雄升级调参!$C$18</x:f>
        <x:v>特歪兔</x:v>
      </x:c>
      <x:c r="C140" s="6" t="str">
        <x:f>英雄升级调参!$D$18</x:f>
        <x:v>战士</x:v>
      </x:c>
      <x:c r="D140" s="6" t="s">
        <x:v>22</x:v>
      </x:c>
      <x:c r="E140" s="6">
        <x:v>22</x:v>
      </x:c>
      <x:c r="F140" s="6" t="n">
        <x:f>英雄升级调参!$C$87</x:f>
        <x:v>5</x:v>
      </x:c>
      <x:c r="G140" s="12">
        <x:f t="shared" si="9"/>
        <x:v>1740</x:v>
      </x:c>
      <x:c r="H140" s="12">
        <x:f t="shared" si="10"/>
        <x:v>15739</x:v>
      </x:c>
      <x:c r="I140" s="12">
        <x:f t="shared" si="11"/>
        <x:v>27385860</x:v>
      </x:c>
      <x:c r="J140" s="12">
        <x:f>ROUND(英雄升级调参!$D$87*英雄升级调参!$J$10*英雄升级调参!$E$18,0)</x:f>
        <x:v>85</x:v>
      </x:c>
      <x:c r="K140" s="12">
        <x:f>ROUND(英雄升级调参!$D$87*英雄升级调参!$C$11*英雄升级调参!$J$10*英雄升级调参!$G$18,0)</x:f>
        <x:v>771</x:v>
      </x:c>
      <x:c r="L140" s="12" t="n">
        <x:f>养成消耗调参!$D$169</x:f>
        <x:v>720</x:v>
      </x:c>
      <x:c r="M140" s="12" t="n">
        <x:f>养成消耗调参!$G$169</x:f>
        <x:v>4500</x:v>
      </x:c>
      <x:c r="N140" s="12" t="n">
        <x:f>养成消耗调参!$I$169</x:f>
        <x:v>0</x:v>
      </x:c>
      <x:c r="O140" s="12" t="n">
        <x:f>养成消耗调参!$K$169</x:f>
        <x:v>7272</x:v>
      </x:c>
      <x:c r="P140" s="12" t="n">
        <x:f>养成消耗调参!$N$169</x:f>
        <x:v>40500</x:v>
      </x:c>
      <x:c r="Q140" s="12" t="n">
        <x:f>养成消耗调参!$P$169</x:f>
        <x:v>160</x:v>
      </x:c>
      <x:c r="R140" s="13">
        <x:f>I140/英雄升级调参!$J$87-1</x:f>
        <x:v>-0.001965757767913745</x:v>
      </x:c>
      <x:c r="S140" s="6"/>
      <x:c r="T140" s="6"/>
      <x:c r="U140" s="6"/>
    </x:row>
    <x:row r="141" ht="21.950000762939453" customHeight="1">
      <x:c r="A141" s="14" t="n">
        <x:f>英雄升级调参!$B$18</x:f>
        <x:v>310000</x:v>
      </x:c>
      <x:c r="B141" s="14" t="str">
        <x:f>英雄升级调参!$C$18</x:f>
        <x:v>特歪兔</x:v>
      </x:c>
      <x:c r="C141" s="6" t="str">
        <x:f>英雄升级调参!$D$18</x:f>
        <x:v>战士</x:v>
      </x:c>
      <x:c r="D141" s="6" t="s">
        <x:v>22</x:v>
      </x:c>
      <x:c r="E141" s="6">
        <x:v>23</x:v>
      </x:c>
      <x:c r="F141" s="6" t="n">
        <x:f>英雄升级调参!$C$88</x:f>
        <x:v>5</x:v>
      </x:c>
      <x:c r="G141" s="12">
        <x:f t="shared" si="9"/>
        <x:v>1825</x:v>
      </x:c>
      <x:c r="H141" s="12">
        <x:f t="shared" si="10"/>
        <x:v>16510</x:v>
      </x:c>
      <x:c r="I141" s="12">
        <x:f t="shared" si="11"/>
        <x:v>30130750</x:v>
      </x:c>
      <x:c r="J141" s="12">
        <x:f>ROUND(英雄升级调参!$D$88*英雄升级调参!$J$10*英雄升级调参!$E$18,0)</x:f>
        <x:v>85</x:v>
      </x:c>
      <x:c r="K141" s="12">
        <x:f>ROUND(英雄升级调参!$D$88*英雄升级调参!$C$11*英雄升级调参!$J$10*英雄升级调参!$G$18,0)</x:f>
        <x:v>771</x:v>
      </x:c>
      <x:c r="L141" s="12" t="n">
        <x:f>养成消耗调参!$D$170</x:f>
        <x:v>720</x:v>
      </x:c>
      <x:c r="M141" s="12" t="n">
        <x:f>养成消耗调参!$G$170</x:f>
        <x:v>4500</x:v>
      </x:c>
      <x:c r="N141" s="12" t="n">
        <x:f>养成消耗调参!$I$170</x:f>
        <x:v>0</x:v>
      </x:c>
      <x:c r="O141" s="12" t="n">
        <x:f>养成消耗调参!$K$170</x:f>
        <x:v>7992</x:v>
      </x:c>
      <x:c r="P141" s="12" t="n">
        <x:f>养成消耗调参!$N$170</x:f>
        <x:v>45000</x:v>
      </x:c>
      <x:c r="Q141" s="12" t="n">
        <x:f>养成消耗调参!$P$170</x:f>
        <x:v>160</x:v>
      </x:c>
      <x:c r="R141" s="13">
        <x:f>I141/英雄升级调参!$J$88-1</x:f>
        <x:v>-0.0019275271009846495</x:v>
      </x:c>
      <x:c r="S141" s="6"/>
      <x:c r="T141" s="6"/>
      <x:c r="U141" s="6"/>
    </x:row>
    <x:row r="142" ht="21.950000762939453" customHeight="1">
      <x:c r="A142" s="14" t="n">
        <x:f>英雄升级调参!$B$18</x:f>
        <x:v>310000</x:v>
      </x:c>
      <x:c r="B142" s="14" t="str">
        <x:f>英雄升级调参!$C$18</x:f>
        <x:v>特歪兔</x:v>
      </x:c>
      <x:c r="C142" s="6" t="str">
        <x:f>英雄升级调参!$D$18</x:f>
        <x:v>战士</x:v>
      </x:c>
      <x:c r="D142" s="6" t="s">
        <x:v>22</x:v>
      </x:c>
      <x:c r="E142" s="6">
        <x:v>24</x:v>
      </x:c>
      <x:c r="F142" s="6" t="n">
        <x:f>英雄升级调参!$C$89</x:f>
        <x:v>5</x:v>
      </x:c>
      <x:c r="G142" s="12">
        <x:f t="shared" si="9"/>
        <x:v>1910</x:v>
      </x:c>
      <x:c r="H142" s="12">
        <x:f t="shared" si="10"/>
        <x:v>17281</x:v>
      </x:c>
      <x:c r="I142" s="12">
        <x:f t="shared" si="11"/>
        <x:v>33006710</x:v>
      </x:c>
      <x:c r="J142" s="12">
        <x:f>ROUND(英雄升级调参!$D$89*英雄升级调参!$J$10*英雄升级调参!$E$18,0)</x:f>
        <x:v>85</x:v>
      </x:c>
      <x:c r="K142" s="12">
        <x:f>ROUND(英雄升级调参!$D$89*英雄升级调参!$C$11*英雄升级调参!$J$10*英雄升级调参!$G$18,0)</x:f>
        <x:v>771</x:v>
      </x:c>
      <x:c r="L142" s="12" t="n">
        <x:f>养成消耗调参!$D$171</x:f>
        <x:v>792</x:v>
      </x:c>
      <x:c r="M142" s="12" t="n">
        <x:f>养成消耗调参!$G$171</x:f>
        <x:v>4500</x:v>
      </x:c>
      <x:c r="N142" s="12" t="n">
        <x:f>养成消耗调参!$I$171</x:f>
        <x:v>0</x:v>
      </x:c>
      <x:c r="O142" s="12" t="n">
        <x:f>养成消耗调参!$K$171</x:f>
        <x:v>8784</x:v>
      </x:c>
      <x:c r="P142" s="12" t="n">
        <x:f>养成消耗调参!$N$171</x:f>
        <x:v>49500</x:v>
      </x:c>
      <x:c r="Q142" s="12" t="n">
        <x:f>养成消耗调参!$P$171</x:f>
        <x:v>160</x:v>
      </x:c>
      <x:c r="R142" s="13">
        <x:f>I142/英雄升级调参!$J$89-1</x:f>
        <x:v>-0.0018926920134384462</x:v>
      </x:c>
      <x:c r="S142" s="6"/>
      <x:c r="T142" s="6"/>
      <x:c r="U142" s="6"/>
    </x:row>
    <x:row r="143" ht="21.950000762939453" customHeight="1">
      <x:c r="A143" s="14" t="n">
        <x:f>英雄升级调参!$B$18</x:f>
        <x:v>310000</x:v>
      </x:c>
      <x:c r="B143" s="14" t="str">
        <x:f>英雄升级调参!$C$18</x:f>
        <x:v>特歪兔</x:v>
      </x:c>
      <x:c r="C143" s="6" t="str">
        <x:f>英雄升级调参!$D$18</x:f>
        <x:v>战士</x:v>
      </x:c>
      <x:c r="D143" s="6" t="s">
        <x:v>22</x:v>
      </x:c>
      <x:c r="E143" s="6">
        <x:v>25</x:v>
      </x:c>
      <x:c r="F143" s="6" t="n">
        <x:f>英雄升级调参!$C$90</x:f>
        <x:v>5</x:v>
      </x:c>
      <x:c r="G143" s="12">
        <x:f t="shared" si="9"/>
        <x:v>2165</x:v>
      </x:c>
      <x:c r="H143" s="12">
        <x:f t="shared" si="10"/>
        <x:v>19594</x:v>
      </x:c>
      <x:c r="I143" s="12">
        <x:f t="shared" si="11"/>
        <x:v>42421010</x:v>
      </x:c>
      <x:c r="J143" s="12">
        <x:f>ROUND(英雄升级调参!$D$90*英雄升级调参!$J$10*英雄升级调参!$E$18,0)*3</x:f>
        <x:v>255</x:v>
      </x:c>
      <x:c r="K143" s="12">
        <x:f>ROUND(英雄升级调参!$D$90*英雄升级调参!$C$11*英雄升级调参!$J$10*英雄升级调参!$G$18,0)*3</x:f>
        <x:v>2313</x:v>
      </x:c>
      <x:c r="L143" s="12" t="n">
        <x:f>养成消耗调参!$D$172</x:f>
        <x:v>792</x:v>
      </x:c>
      <x:c r="M143" s="12" t="n">
        <x:f>养成消耗调参!$G$172</x:f>
        <x:v>4500</x:v>
      </x:c>
      <x:c r="N143" s="12" t="n">
        <x:f>养成消耗调参!$I$172</x:f>
        <x:v>90</x:v>
      </x:c>
      <x:c r="O143" s="12" t="n">
        <x:f>养成消耗调参!$K$172</x:f>
        <x:v>9576</x:v>
      </x:c>
      <x:c r="P143" s="12" t="n">
        <x:f>养成消耗调参!$N$172</x:f>
        <x:v>54000</x:v>
      </x:c>
      <x:c r="Q143" s="12" t="n">
        <x:f>养成消耗调参!$P$172</x:f>
        <x:v>250</x:v>
      </x:c>
      <x:c r="R143" s="13">
        <x:f>I143/英雄升级调参!$J$90-1</x:f>
        <x:v>-0.0018045682472227487</x:v>
      </x:c>
      <x:c r="S143" s="6"/>
      <x:c r="T143" s="6"/>
      <x:c r="U143" s="6"/>
    </x:row>
    <x:row r="144" ht="21.950000762939453" customHeight="1">
      <x:c r="A144" s="14" t="n">
        <x:f>英雄升级调参!$B$18</x:f>
        <x:v>310000</x:v>
      </x:c>
      <x:c r="B144" s="14" t="str">
        <x:f>英雄升级调参!$C$18</x:f>
        <x:v>特歪兔</x:v>
      </x:c>
      <x:c r="C144" s="6" t="str">
        <x:f>英雄升级调参!$D$18</x:f>
        <x:v>战士</x:v>
      </x:c>
      <x:c r="D144" s="6" t="s">
        <x:v>22</x:v>
      </x:c>
      <x:c r="E144" s="6">
        <x:v>26</x:v>
      </x:c>
      <x:c r="F144" s="6" t="n">
        <x:f>英雄升级调参!$C$91</x:f>
        <x:v>6</x:v>
      </x:c>
      <x:c r="G144" s="12">
        <x:f t="shared" si="9"/>
        <x:v>2264</x:v>
      </x:c>
      <x:c r="H144" s="12">
        <x:f t="shared" si="10"/>
        <x:v>20494</x:v>
      </x:c>
      <x:c r="I144" s="12">
        <x:f t="shared" si="11"/>
        <x:v>46398416</x:v>
      </x:c>
      <x:c r="J144" s="12">
        <x:f>ROUND(英雄升级调参!$D$91*英雄升级调参!$J$10*英雄升级调参!$E$18,0)</x:f>
        <x:v>99</x:v>
      </x:c>
      <x:c r="K144" s="12">
        <x:f>ROUND(英雄升级调参!$D$91*英雄升级调参!$C$11*英雄升级调参!$J$10*英雄升级调参!$G$18,0)</x:f>
        <x:v>900</x:v>
      </x:c>
      <x:c r="L144" s="12" t="n">
        <x:f>养成消耗调参!$D$173</x:f>
        <x:v>864</x:v>
      </x:c>
      <x:c r="M144" s="12" t="n">
        <x:f>养成消耗调参!$G$173</x:f>
        <x:v>4500</x:v>
      </x:c>
      <x:c r="N144" s="12" t="n">
        <x:f>养成消耗调参!$I$173</x:f>
        <x:v>0</x:v>
      </x:c>
      <x:c r="O144" s="12" t="n">
        <x:f>养成消耗调参!$K$173</x:f>
        <x:v>10440</x:v>
      </x:c>
      <x:c r="P144" s="12" t="n">
        <x:f>养成消耗调参!$N$173</x:f>
        <x:v>58500</x:v>
      </x:c>
      <x:c r="Q144" s="12" t="n">
        <x:f>养成消耗调参!$P$173</x:f>
        <x:v>250</x:v>
      </x:c>
      <x:c r="R144" s="13">
        <x:f>I144/英雄升级调参!$J$91-1</x:f>
        <x:v>-0.002055835161526187</x:v>
      </x:c>
      <x:c r="S144" s="6"/>
      <x:c r="T144" s="6"/>
      <x:c r="U144" s="6"/>
    </x:row>
    <x:row r="145" ht="21.950000762939453" customHeight="1">
      <x:c r="A145" s="14" t="n">
        <x:f>英雄升级调参!$B$18</x:f>
        <x:v>310000</x:v>
      </x:c>
      <x:c r="B145" s="14" t="str">
        <x:f>英雄升级调参!$C$18</x:f>
        <x:v>特歪兔</x:v>
      </x:c>
      <x:c r="C145" s="6" t="str">
        <x:f>英雄升级调参!$D$18</x:f>
        <x:v>战士</x:v>
      </x:c>
      <x:c r="D145" s="6" t="s">
        <x:v>22</x:v>
      </x:c>
      <x:c r="E145" s="6">
        <x:v>27</x:v>
      </x:c>
      <x:c r="F145" s="6" t="n">
        <x:f>英雄升级调参!$C$92</x:f>
        <x:v>6</x:v>
      </x:c>
      <x:c r="G145" s="12">
        <x:f t="shared" si="9"/>
        <x:v>2363</x:v>
      </x:c>
      <x:c r="H145" s="12">
        <x:f t="shared" si="10"/>
        <x:v>21394</x:v>
      </x:c>
      <x:c r="I145" s="12">
        <x:f t="shared" si="11"/>
        <x:v>50554022</x:v>
      </x:c>
      <x:c r="J145" s="12">
        <x:f>ROUND(英雄升级调参!$D$92*英雄升级调参!$J$10*英雄升级调参!$E$18,0)</x:f>
        <x:v>99</x:v>
      </x:c>
      <x:c r="K145" s="12">
        <x:f>ROUND(英雄升级调参!$D$92*英雄升级调参!$C$11*英雄升级调参!$J$10*英雄升级调参!$G$18,0)</x:f>
        <x:v>900</x:v>
      </x:c>
      <x:c r="L145" s="12" t="n">
        <x:f>养成消耗调参!$D$174</x:f>
        <x:v>864</x:v>
      </x:c>
      <x:c r="M145" s="12" t="n">
        <x:f>养成消耗调参!$G$174</x:f>
        <x:v>5850</x:v>
      </x:c>
      <x:c r="N145" s="12" t="n">
        <x:f>养成消耗调参!$I$174</x:f>
        <x:v>0</x:v>
      </x:c>
      <x:c r="O145" s="12" t="n">
        <x:f>养成消耗调参!$K$174</x:f>
        <x:v>11304</x:v>
      </x:c>
      <x:c r="P145" s="12" t="n">
        <x:f>养成消耗调参!$N$174</x:f>
        <x:v>64350</x:v>
      </x:c>
      <x:c r="Q145" s="12" t="n">
        <x:f>养成消耗调参!$P$174</x:f>
        <x:v>250</x:v>
      </x:c>
      <x:c r="R145" s="13">
        <x:f>I145/英雄升级调参!$J$92-1</x:f>
        <x:v>-0.0022859353244581992</x:v>
      </x:c>
      <x:c r="S145" s="6"/>
      <x:c r="T145" s="6"/>
      <x:c r="U145" s="6"/>
    </x:row>
    <x:row r="146" ht="21.950000762939453" customHeight="1">
      <x:c r="A146" s="14" t="n">
        <x:f>英雄升级调参!$B$18</x:f>
        <x:v>310000</x:v>
      </x:c>
      <x:c r="B146" s="14" t="str">
        <x:f>英雄升级调参!$C$18</x:f>
        <x:v>特歪兔</x:v>
      </x:c>
      <x:c r="C146" s="6" t="str">
        <x:f>英雄升级调参!$D$18</x:f>
        <x:v>战士</x:v>
      </x:c>
      <x:c r="D146" s="6" t="s">
        <x:v>22</x:v>
      </x:c>
      <x:c r="E146" s="6">
        <x:v>28</x:v>
      </x:c>
      <x:c r="F146" s="6" t="n">
        <x:f>英雄升级调参!$C$93</x:f>
        <x:v>6</x:v>
      </x:c>
      <x:c r="G146" s="12">
        <x:f t="shared" si="9"/>
        <x:v>2462</x:v>
      </x:c>
      <x:c r="H146" s="12">
        <x:f t="shared" si="10"/>
        <x:v>22294</x:v>
      </x:c>
      <x:c r="I146" s="12">
        <x:f t="shared" si="11"/>
        <x:v>54887828</x:v>
      </x:c>
      <x:c r="J146" s="12">
        <x:f>ROUND(英雄升级调参!$D$93*英雄升级调参!$J$10*英雄升级调参!$E$18,0)</x:f>
        <x:v>99</x:v>
      </x:c>
      <x:c r="K146" s="12">
        <x:f>ROUND(英雄升级调参!$D$93*英雄升级调参!$C$11*英雄升级调参!$J$10*英雄升级调参!$G$18,0)</x:f>
        <x:v>900</x:v>
      </x:c>
      <x:c r="L146" s="12" t="n">
        <x:f>养成消耗调参!$D$175</x:f>
        <x:v>936</x:v>
      </x:c>
      <x:c r="M146" s="12" t="n">
        <x:f>养成消耗调参!$G$175</x:f>
        <x:v>5850</x:v>
      </x:c>
      <x:c r="N146" s="12" t="n">
        <x:f>养成消耗调参!$I$175</x:f>
        <x:v>0</x:v>
      </x:c>
      <x:c r="O146" s="12" t="n">
        <x:f>养成消耗调参!$K$175</x:f>
        <x:v>12240</x:v>
      </x:c>
      <x:c r="P146" s="12" t="n">
        <x:f>养成消耗调参!$N$175</x:f>
        <x:v>70200</x:v>
      </x:c>
      <x:c r="Q146" s="12" t="n">
        <x:f>养成消耗调参!$P$175</x:f>
        <x:v>250</x:v>
      </x:c>
      <x:c r="R146" s="13">
        <x:f>I146/英雄升级调参!$J$93-1</x:f>
        <x:v>-0.002497435268354109</x:v>
      </x:c>
      <x:c r="S146" s="6"/>
      <x:c r="T146" s="6"/>
      <x:c r="U146" s="6"/>
    </x:row>
    <x:row r="147" ht="21.950000762939453" customHeight="1">
      <x:c r="A147" s="14" t="n">
        <x:f>英雄升级调参!$B$18</x:f>
        <x:v>310000</x:v>
      </x:c>
      <x:c r="B147" s="14" t="str">
        <x:f>英雄升级调参!$C$18</x:f>
        <x:v>特歪兔</x:v>
      </x:c>
      <x:c r="C147" s="6" t="str">
        <x:f>英雄升级调参!$D$18</x:f>
        <x:v>战士</x:v>
      </x:c>
      <x:c r="D147" s="6" t="s">
        <x:v>22</x:v>
      </x:c>
      <x:c r="E147" s="6">
        <x:v>29</x:v>
      </x:c>
      <x:c r="F147" s="6" t="n">
        <x:f>英雄升级调参!$C$94</x:f>
        <x:v>6</x:v>
      </x:c>
      <x:c r="G147" s="12">
        <x:f t="shared" si="9"/>
        <x:v>2561</x:v>
      </x:c>
      <x:c r="H147" s="12">
        <x:f t="shared" si="10"/>
        <x:v>23194</x:v>
      </x:c>
      <x:c r="I147" s="12">
        <x:f t="shared" si="11"/>
        <x:v>59399834</x:v>
      </x:c>
      <x:c r="J147" s="12">
        <x:f>ROUND(英雄升级调参!$D$94*英雄升级调参!$J$10*英雄升级调参!$E$18,0)</x:f>
        <x:v>99</x:v>
      </x:c>
      <x:c r="K147" s="12">
        <x:f>ROUND(英雄升级调参!$D$94*英雄升级调参!$C$11*英雄升级调参!$J$10*英雄升级调参!$G$18,0)</x:f>
        <x:v>900</x:v>
      </x:c>
      <x:c r="L147" s="12" t="n">
        <x:f>养成消耗调参!$D$176</x:f>
        <x:v>936</x:v>
      </x:c>
      <x:c r="M147" s="12" t="n">
        <x:f>养成消耗调参!$G$176</x:f>
        <x:v>5850</x:v>
      </x:c>
      <x:c r="N147" s="12" t="n">
        <x:f>养成消耗调参!$I$176</x:f>
        <x:v>0</x:v>
      </x:c>
      <x:c r="O147" s="12" t="n">
        <x:f>养成消耗调参!$K$176</x:f>
        <x:v>13176</x:v>
      </x:c>
      <x:c r="P147" s="12" t="n">
        <x:f>养成消耗调参!$N$176</x:f>
        <x:v>76050</x:v>
      </x:c>
      <x:c r="Q147" s="12" t="n">
        <x:f>养成消耗调参!$P$176</x:f>
        <x:v>250</x:v>
      </x:c>
      <x:c r="R147" s="13">
        <x:f>I147/英雄升级调参!$J$94-1</x:f>
        <x:v>-0.0026925027115423106</x:v>
      </x:c>
      <x:c r="S147" s="6"/>
      <x:c r="T147" s="6"/>
      <x:c r="U147" s="6"/>
    </x:row>
    <x:row r="148" ht="21.950000762939453" customHeight="1">
      <x:c r="A148" s="14" t="n">
        <x:f>英雄升级调参!$B$18</x:f>
        <x:v>310000</x:v>
      </x:c>
      <x:c r="B148" s="14" t="str">
        <x:f>英雄升级调参!$C$18</x:f>
        <x:v>特歪兔</x:v>
      </x:c>
      <x:c r="C148" s="6" t="str">
        <x:f>英雄升级调参!$D$18</x:f>
        <x:v>战士</x:v>
      </x:c>
      <x:c r="D148" s="6" t="s">
        <x:v>22</x:v>
      </x:c>
      <x:c r="E148" s="6">
        <x:v>30</x:v>
      </x:c>
      <x:c r="F148" s="6" t="n">
        <x:f>英雄升级调参!$C$95</x:f>
        <x:v>6</x:v>
      </x:c>
      <x:c r="G148" s="12">
        <x:f t="shared" si="9"/>
        <x:v>2858</x:v>
      </x:c>
      <x:c r="H148" s="12">
        <x:f t="shared" si="10"/>
        <x:v>25894</x:v>
      </x:c>
      <x:c r="I148" s="12">
        <x:f t="shared" si="11"/>
        <x:v>74005052</x:v>
      </x:c>
      <x:c r="J148" s="12">
        <x:f>ROUND(英雄升级调参!$D$95*英雄升级调参!$J$10*英雄升级调参!$E$18,0)*3</x:f>
        <x:v>297</x:v>
      </x:c>
      <x:c r="K148" s="12">
        <x:f>ROUND(英雄升级调参!$D$95*英雄升级调参!$C$11*英雄升级调参!$J$10*英雄升级调参!$G$18,0)*3</x:f>
        <x:v>2700</x:v>
      </x:c>
      <x:c r="L148" s="12" t="n">
        <x:f>养成消耗调参!$D$177</x:f>
        <x:v>1008</x:v>
      </x:c>
      <x:c r="M148" s="12" t="n">
        <x:f>养成消耗调参!$G$177</x:f>
        <x:v>5850</x:v>
      </x:c>
      <x:c r="N148" s="12" t="n">
        <x:f>养成消耗调参!$I$177</x:f>
        <x:v>110</x:v>
      </x:c>
      <x:c r="O148" s="12" t="n">
        <x:f>养成消耗调参!$K$177</x:f>
        <x:v>14184</x:v>
      </x:c>
      <x:c r="P148" s="12" t="n">
        <x:f>养成消耗调参!$N$177</x:f>
        <x:v>81900</x:v>
      </x:c>
      <x:c r="Q148" s="12" t="n">
        <x:f>养成消耗调参!$P$177</x:f>
        <x:v>360</x:v>
      </x:c>
      <x:c r="R148" s="13">
        <x:f>I148/英雄升级调参!$J$95-1</x:f>
        <x:v>-0.0031962619717721408</x:v>
      </x:c>
      <x:c r="S148" s="6"/>
      <x:c r="T148" s="6"/>
      <x:c r="U148" s="6"/>
    </x:row>
    <x:row r="149" ht="21.950000762939453" customHeight="1">
      <x:c r="A149" s="14" t="n">
        <x:f>英雄升级调参!$B$18</x:f>
        <x:v>310000</x:v>
      </x:c>
      <x:c r="B149" s="14" t="str">
        <x:f>英雄升级调参!$C$18</x:f>
        <x:v>特歪兔</x:v>
      </x:c>
      <x:c r="C149" s="6" t="str">
        <x:f>英雄升级调参!$D$18</x:f>
        <x:v>战士</x:v>
      </x:c>
      <x:c r="D149" s="6" t="s">
        <x:v>22</x:v>
      </x:c>
      <x:c r="E149" s="6">
        <x:v>31</x:v>
      </x:c>
      <x:c r="F149" s="6" t="n">
        <x:f>英雄升级调参!$C$96</x:f>
        <x:v>7</x:v>
      </x:c>
      <x:c r="G149" s="12">
        <x:f t="shared" si="9"/>
        <x:v>2971</x:v>
      </x:c>
      <x:c r="H149" s="12">
        <x:f t="shared" si="10"/>
        <x:v>26923</x:v>
      </x:c>
      <x:c r="I149" s="12">
        <x:f t="shared" si="11"/>
        <x:v>79988233</x:v>
      </x:c>
      <x:c r="J149" s="12">
        <x:f>ROUND(英雄升级调参!$D$96*英雄升级调参!$J$10*英雄升级调参!$E$18,0)</x:f>
        <x:v>113</x:v>
      </x:c>
      <x:c r="K149" s="12">
        <x:f>ROUND(英雄升级调参!$D$96*英雄升级调参!$C$11*英雄升级调参!$J$10*英雄升级调参!$G$18,0)</x:f>
        <x:v>1029</x:v>
      </x:c>
      <x:c r="L149" s="12" t="n">
        <x:f>养成消耗调参!$D$178</x:f>
        <x:v>1008</x:v>
      </x:c>
      <x:c r="M149" s="12" t="n">
        <x:f>养成消耗调参!$G$178</x:f>
        <x:v>5850</x:v>
      </x:c>
      <x:c r="N149" s="12" t="n">
        <x:f>养成消耗调参!$I$178</x:f>
        <x:v>0</x:v>
      </x:c>
      <x:c r="O149" s="12" t="n">
        <x:f>养成消耗调参!$K$178</x:f>
        <x:v>15192</x:v>
      </x:c>
      <x:c r="P149" s="12" t="n">
        <x:f>养成消耗调参!$N$178</x:f>
        <x:v>87750</x:v>
      </x:c>
      <x:c r="Q149" s="12" t="n">
        <x:f>养成消耗调参!$P$178</x:f>
        <x:v>360</x:v>
      </x:c>
      <x:c r="R149" s="13">
        <x:f>I149/英雄升级调参!$J$96-1</x:f>
        <x:v>-0.0031929560237499155</x:v>
      </x:c>
      <x:c r="S149" s="6"/>
      <x:c r="T149" s="6"/>
      <x:c r="U149" s="6"/>
    </x:row>
    <x:row r="150" ht="21.950000762939453" customHeight="1">
      <x:c r="A150" s="14" t="n">
        <x:f>英雄升级调参!$B$18</x:f>
        <x:v>310000</x:v>
      </x:c>
      <x:c r="B150" s="14" t="str">
        <x:f>英雄升级调参!$C$18</x:f>
        <x:v>特歪兔</x:v>
      </x:c>
      <x:c r="C150" s="6" t="str">
        <x:f>英雄升级调参!$D$18</x:f>
        <x:v>战士</x:v>
      </x:c>
      <x:c r="D150" s="6" t="s">
        <x:v>22</x:v>
      </x:c>
      <x:c r="E150" s="6">
        <x:v>32</x:v>
      </x:c>
      <x:c r="F150" s="6" t="n">
        <x:f>英雄升级调参!$C$97</x:f>
        <x:v>7</x:v>
      </x:c>
      <x:c r="G150" s="12">
        <x:f t="shared" si="9"/>
        <x:v>3084</x:v>
      </x:c>
      <x:c r="H150" s="12">
        <x:f t="shared" si="10"/>
        <x:v>27952</x:v>
      </x:c>
      <x:c r="I150" s="12">
        <x:f t="shared" si="11"/>
        <x:v>86203968</x:v>
      </x:c>
      <x:c r="J150" s="12">
        <x:f>ROUND(英雄升级调参!$D$97*英雄升级调参!$J$10*英雄升级调参!$E$18,0)</x:f>
        <x:v>113</x:v>
      </x:c>
      <x:c r="K150" s="12">
        <x:f>ROUND(英雄升级调参!$D$97*英雄升级调参!$C$11*英雄升级调参!$J$10*英雄升级调参!$G$18,0)</x:f>
        <x:v>1029</x:v>
      </x:c>
      <x:c r="L150" s="12" t="n">
        <x:f>养成消耗调参!$D$179</x:f>
        <x:v>1080</x:v>
      </x:c>
      <x:c r="M150" s="12" t="n">
        <x:f>养成消耗调参!$G$179</x:f>
        <x:v>7200</x:v>
      </x:c>
      <x:c r="N150" s="12" t="n">
        <x:f>养成消耗调参!$I$179</x:f>
        <x:v>0</x:v>
      </x:c>
      <x:c r="O150" s="12" t="n">
        <x:f>养成消耗调参!$K$179</x:f>
        <x:v>16272</x:v>
      </x:c>
      <x:c r="P150" s="12" t="n">
        <x:f>养成消耗调参!$N$179</x:f>
        <x:v>94950</x:v>
      </x:c>
      <x:c r="Q150" s="12" t="n">
        <x:f>养成消耗调参!$P$179</x:f>
        <x:v>360</x:v>
      </x:c>
      <x:c r="R150" s="13">
        <x:f>I150/英雄升级调参!$J$97-1</x:f>
        <x:v>-0.0031898998876385143</x:v>
      </x:c>
      <x:c r="S150" s="6"/>
      <x:c r="T150" s="6"/>
      <x:c r="U150" s="6"/>
    </x:row>
    <x:row r="151" ht="21" customHeight="1">
      <x:c r="A151" s="14" t="n">
        <x:f>英雄升级调参!$B$18</x:f>
        <x:v>310000</x:v>
      </x:c>
      <x:c r="B151" s="14" t="str">
        <x:f>英雄升级调参!$C$18</x:f>
        <x:v>特歪兔</x:v>
      </x:c>
      <x:c r="C151" s="6" t="str">
        <x:f>英雄升级调参!$D$18</x:f>
        <x:v>战士</x:v>
      </x:c>
      <x:c r="D151" s="6" t="s">
        <x:v>22</x:v>
      </x:c>
      <x:c r="E151" s="6">
        <x:v>33</x:v>
      </x:c>
      <x:c r="F151" s="6" t="n">
        <x:f>英雄升级调参!$C$98</x:f>
        <x:v>7</x:v>
      </x:c>
      <x:c r="G151" s="12">
        <x:f t="shared" si="9"/>
        <x:v>3197</x:v>
      </x:c>
      <x:c r="H151" s="12">
        <x:f t="shared" si="10"/>
        <x:v>28981</x:v>
      </x:c>
      <x:c r="I151" s="12">
        <x:f t="shared" si="11"/>
        <x:v>92652257</x:v>
      </x:c>
      <x:c r="J151" s="12">
        <x:f>ROUND(英雄升级调参!$D$98*英雄升级调参!$J$10*英雄升级调参!$E$18,0)</x:f>
        <x:v>113</x:v>
      </x:c>
      <x:c r="K151" s="12">
        <x:f>ROUND(英雄升级调参!$D$98*英雄升级调参!$C$11*英雄升级调参!$J$10*英雄升级调参!$G$18,0)</x:f>
        <x:v>1029</x:v>
      </x:c>
      <x:c r="L151" s="12" t="n">
        <x:f>养成消耗调参!$D$180</x:f>
        <x:v>1080</x:v>
      </x:c>
      <x:c r="M151" s="12" t="n">
        <x:f>养成消耗调参!$G$180</x:f>
        <x:v>7200</x:v>
      </x:c>
      <x:c r="N151" s="12" t="n">
        <x:f>养成消耗调参!$I$180</x:f>
        <x:v>0</x:v>
      </x:c>
      <x:c r="O151" s="12" t="n">
        <x:f>养成消耗调参!$K$180</x:f>
        <x:v>17352</x:v>
      </x:c>
      <x:c r="P151" s="12" t="n">
        <x:f>养成消耗调参!$N$180</x:f>
        <x:v>102150</x:v>
      </x:c>
      <x:c r="Q151" s="12" t="n">
        <x:f>养成消耗调参!$P$180</x:f>
        <x:v>360</x:v>
      </x:c>
      <x:c r="R151" s="13">
        <x:f>I151/英雄升级调参!$J$98-1</x:f>
        <x:v>-0.003187066298763974</x:v>
      </x:c>
      <x:c r="S151" s="6"/>
      <x:c r="T151" s="6"/>
      <x:c r="U151" s="6"/>
    </x:row>
    <x:row r="152" ht="21" customHeight="1">
      <x:c r="A152" s="14" t="n">
        <x:f>英雄升级调参!$B$18</x:f>
        <x:v>310000</x:v>
      </x:c>
      <x:c r="B152" s="14" t="str">
        <x:f>英雄升级调参!$C$18</x:f>
        <x:v>特歪兔</x:v>
      </x:c>
      <x:c r="C152" s="6" t="str">
        <x:f>英雄升级调参!$D$18</x:f>
        <x:v>战士</x:v>
      </x:c>
      <x:c r="D152" s="6" t="s">
        <x:v>22</x:v>
      </x:c>
      <x:c r="E152" s="6">
        <x:v>34</x:v>
      </x:c>
      <x:c r="F152" s="6" t="n">
        <x:f>英雄升级调参!$C$99</x:f>
        <x:v>7</x:v>
      </x:c>
      <x:c r="G152" s="12">
        <x:f t="shared" ref="G152:G168" si="12">G151+J152</x:f>
        <x:v>3310</x:v>
      </x:c>
      <x:c r="H152" s="12">
        <x:f t="shared" ref="H152:H168" si="13">H151+K152</x:f>
        <x:v>30010</x:v>
      </x:c>
      <x:c r="I152" s="12">
        <x:f t="shared" si="11"/>
        <x:v>99333100</x:v>
      </x:c>
      <x:c r="J152" s="12">
        <x:f>ROUND(英雄升级调参!$D$99*英雄升级调参!$J$10*英雄升级调参!$E$18,0)</x:f>
        <x:v>113</x:v>
      </x:c>
      <x:c r="K152" s="12">
        <x:f>ROUND(英雄升级调参!$D$99*英雄升级调参!$C$11*英雄升级调参!$J$10*英雄升级调参!$G$18,0)</x:f>
        <x:v>1029</x:v>
      </x:c>
      <x:c r="L152" s="12" t="n">
        <x:f>养成消耗调参!$D$181</x:f>
        <x:v>1152</x:v>
      </x:c>
      <x:c r="M152" s="12" t="n">
        <x:f>养成消耗调参!$G$181</x:f>
        <x:v>7200</x:v>
      </x:c>
      <x:c r="N152" s="12" t="n">
        <x:f>养成消耗调参!$I$181</x:f>
        <x:v>0</x:v>
      </x:c>
      <x:c r="O152" s="12" t="n">
        <x:f>养成消耗调参!$K$181</x:f>
        <x:v>18504</x:v>
      </x:c>
      <x:c r="P152" s="12" t="n">
        <x:f>养成消耗调参!$N$181</x:f>
        <x:v>109350</x:v>
      </x:c>
      <x:c r="Q152" s="12" t="n">
        <x:f>养成消耗调参!$P$181</x:f>
        <x:v>360</x:v>
      </x:c>
      <x:c r="R152" s="13">
        <x:f>I152/英雄升级调参!$J$99-1</x:f>
        <x:v>-0.0031844318183072984</x:v>
      </x:c>
      <x:c r="S152" s="6"/>
      <x:c r="T152" s="6"/>
      <x:c r="U152" s="6"/>
    </x:row>
    <x:row r="153" ht="21" customHeight="1">
      <x:c r="A153" s="14" t="n">
        <x:f>英雄升级调参!$B$18</x:f>
        <x:v>310000</x:v>
      </x:c>
      <x:c r="B153" s="14" t="str">
        <x:f>英雄升级调参!$C$18</x:f>
        <x:v>特歪兔</x:v>
      </x:c>
      <x:c r="C153" s="6" t="str">
        <x:f>英雄升级调参!$D$18</x:f>
        <x:v>战士</x:v>
      </x:c>
      <x:c r="D153" s="6" t="s">
        <x:v>22</x:v>
      </x:c>
      <x:c r="E153" s="6">
        <x:v>35</x:v>
      </x:c>
      <x:c r="F153" s="6" t="n">
        <x:f>英雄升级调参!$C$100</x:f>
        <x:v>7</x:v>
      </x:c>
      <x:c r="G153" s="12">
        <x:f t="shared" si="12"/>
        <x:v>3649</x:v>
      </x:c>
      <x:c r="H153" s="12">
        <x:f t="shared" si="13"/>
        <x:v>33097</x:v>
      </x:c>
      <x:c r="I153" s="12">
        <x:f t="shared" si="11"/>
        <x:v>120770953</x:v>
      </x:c>
      <x:c r="J153" s="12">
        <x:f>ROUND(英雄升级调参!$D$100*英雄升级调参!$J$10*英雄升级调参!$E$18,0)*3</x:f>
        <x:v>339</x:v>
      </x:c>
      <x:c r="K153" s="12">
        <x:f>ROUND(英雄升级调参!$D$100*英雄升级调参!$C$11*英雄升级调参!$J$10*英雄升级调参!$G$18,0)*3</x:f>
        <x:v>3087</x:v>
      </x:c>
      <x:c r="L153" s="12" t="n">
        <x:f>养成消耗调参!$D$182</x:f>
        <x:v>1152</x:v>
      </x:c>
      <x:c r="M153" s="12" t="n">
        <x:f>养成消耗调参!$G$182</x:f>
        <x:v>7200</x:v>
      </x:c>
      <x:c r="N153" s="12" t="n">
        <x:f>养成消耗调参!$I$182</x:f>
        <x:v>130</x:v>
      </x:c>
      <x:c r="O153" s="12" t="n">
        <x:f>养成消耗调参!$K$182</x:f>
        <x:v>19656</x:v>
      </x:c>
      <x:c r="P153" s="12" t="n">
        <x:f>养成消耗调参!$N$182</x:f>
        <x:v>116550</x:v>
      </x:c>
      <x:c r="Q153" s="12" t="n">
        <x:f>养成消耗调参!$P$182</x:f>
        <x:v>490</x:v>
      </x:c>
      <x:c r="R153" s="13">
        <x:f>I153/英雄升级调参!$J$100-1</x:f>
        <x:v>-0.003177533282935463</x:v>
      </x:c>
      <x:c r="S153" s="6"/>
      <x:c r="T153" s="6"/>
      <x:c r="U153" s="6"/>
    </x:row>
    <x:row r="154" ht="21" customHeight="1">
      <x:c r="A154" s="14" t="n">
        <x:f>英雄升级调参!$B$18</x:f>
        <x:v>310000</x:v>
      </x:c>
      <x:c r="B154" s="14" t="str">
        <x:f>英雄升级调参!$C$18</x:f>
        <x:v>特歪兔</x:v>
      </x:c>
      <x:c r="C154" s="6" t="str">
        <x:f>英雄升级调参!$D$18</x:f>
        <x:v>战士</x:v>
      </x:c>
      <x:c r="D154" s="6" t="s">
        <x:v>22</x:v>
      </x:c>
      <x:c r="E154" s="6">
        <x:v>36</x:v>
      </x:c>
      <x:c r="F154" s="6" t="n">
        <x:f>英雄升级调参!$C$101</x:f>
        <x:v>8</x:v>
      </x:c>
      <x:c r="G154" s="12">
        <x:f t="shared" si="12"/>
        <x:v>3777</x:v>
      </x:c>
      <x:c r="H154" s="12">
        <x:f t="shared" si="13"/>
        <x:v>34254</x:v>
      </x:c>
      <x:c r="I154" s="12">
        <x:f t="shared" si="11"/>
        <x:v>129377358</x:v>
      </x:c>
      <x:c r="J154" s="12">
        <x:f>ROUND(英雄升级调参!$D$101*英雄升级调参!$J$10*英雄升级调参!$E$18,0)</x:f>
        <x:v>128</x:v>
      </x:c>
      <x:c r="K154" s="12">
        <x:f>ROUND(英雄升级调参!$D$101*英雄升级调参!$C$11*英雄升级调参!$J$10*英雄升级调参!$G$18,0)</x:f>
        <x:v>1157</x:v>
      </x:c>
      <x:c r="L154" s="12" t="n">
        <x:f>养成消耗调参!$D$183</x:f>
        <x:v>1224</x:v>
      </x:c>
      <x:c r="M154" s="12" t="n">
        <x:f>养成消耗调参!$G$183</x:f>
        <x:v>7200</x:v>
      </x:c>
      <x:c r="N154" s="12" t="n">
        <x:f>养成消耗调参!$I$183</x:f>
        <x:v>0</x:v>
      </x:c>
      <x:c r="O154" s="12" t="n">
        <x:f>养成消耗调参!$K$183</x:f>
        <x:v>20880</x:v>
      </x:c>
      <x:c r="P154" s="12" t="n">
        <x:f>养成消耗调参!$N$183</x:f>
        <x:v>123750</x:v>
      </x:c>
      <x:c r="Q154" s="12" t="n">
        <x:f>养成消耗调参!$P$183</x:f>
        <x:v>490</x:v>
      </x:c>
      <x:c r="R154" s="13">
        <x:f>I154/英雄升级调参!$J$101-1</x:f>
        <x:v>-0.003100652983177077</x:v>
      </x:c>
      <x:c r="S154" s="6"/>
      <x:c r="T154" s="6"/>
      <x:c r="U154" s="6"/>
    </x:row>
    <x:row r="155" ht="21" customHeight="1">
      <x:c r="A155" s="14" t="n">
        <x:f>英雄升级调参!$B$18</x:f>
        <x:v>310000</x:v>
      </x:c>
      <x:c r="B155" s="14" t="str">
        <x:f>英雄升级调参!$C$18</x:f>
        <x:v>特歪兔</x:v>
      </x:c>
      <x:c r="C155" s="6" t="str">
        <x:f>英雄升级调参!$D$18</x:f>
        <x:v>战士</x:v>
      </x:c>
      <x:c r="D155" s="6" t="s">
        <x:v>22</x:v>
      </x:c>
      <x:c r="E155" s="6">
        <x:v>37</x:v>
      </x:c>
      <x:c r="F155" s="6" t="n">
        <x:f>英雄升级调参!$C$102</x:f>
        <x:v>8</x:v>
      </x:c>
      <x:c r="G155" s="12">
        <x:f t="shared" si="12"/>
        <x:v>3905</x:v>
      </x:c>
      <x:c r="H155" s="12">
        <x:f t="shared" si="13"/>
        <x:v>35411</x:v>
      </x:c>
      <x:c r="I155" s="12">
        <x:f t="shared" si="11"/>
        <x:v>138279955</x:v>
      </x:c>
      <x:c r="J155" s="12">
        <x:f>ROUND(英雄升级调参!$D$102*英雄升级调参!$J$10*英雄升级调参!$E$18,0)</x:f>
        <x:v>128</x:v>
      </x:c>
      <x:c r="K155" s="12">
        <x:f>ROUND(英雄升级调参!$D$102*英雄升级调参!$C$11*英雄升级调参!$J$10*英雄升级调参!$G$18,0)</x:f>
        <x:v>1157</x:v>
      </x:c>
      <x:c r="L155" s="12" t="n">
        <x:f>养成消耗调参!$D$184</x:f>
        <x:v>1224</x:v>
      </x:c>
      <x:c r="M155" s="12" t="n">
        <x:f>养成消耗调参!$G$184</x:f>
        <x:v>8550</x:v>
      </x:c>
      <x:c r="N155" s="12" t="n">
        <x:f>养成消耗调参!$I$184</x:f>
        <x:v>0</x:v>
      </x:c>
      <x:c r="O155" s="12" t="n">
        <x:f>养成消耗调参!$K$184</x:f>
        <x:v>22104</x:v>
      </x:c>
      <x:c r="P155" s="12" t="n">
        <x:f>养成消耗调参!$N$184</x:f>
        <x:v>132300</x:v>
      </x:c>
      <x:c r="Q155" s="12" t="n">
        <x:f>养成消耗调参!$P$184</x:f>
        <x:v>490</x:v>
      </x:c>
      <x:c r="R155" s="13">
        <x:f>I155/英雄升级调参!$J$102-1</x:f>
        <x:v>-0.0030288020804606353</x:v>
      </x:c>
      <x:c r="S155" s="6"/>
      <x:c r="T155" s="6"/>
      <x:c r="U155" s="6"/>
    </x:row>
    <x:row r="156" ht="21" customHeight="1">
      <x:c r="A156" s="14" t="n">
        <x:f>英雄升级调参!$B$18</x:f>
        <x:v>310000</x:v>
      </x:c>
      <x:c r="B156" s="14" t="str">
        <x:f>英雄升级调参!$C$18</x:f>
        <x:v>特歪兔</x:v>
      </x:c>
      <x:c r="C156" s="6" t="str">
        <x:f>英雄升级调参!$D$18</x:f>
        <x:v>战士</x:v>
      </x:c>
      <x:c r="D156" s="6" t="s">
        <x:v>22</x:v>
      </x:c>
      <x:c r="E156" s="6">
        <x:v>38</x:v>
      </x:c>
      <x:c r="F156" s="6" t="n">
        <x:f>英雄升级调参!$C$103</x:f>
        <x:v>8</x:v>
      </x:c>
      <x:c r="G156" s="12">
        <x:f t="shared" si="12"/>
        <x:v>4033</x:v>
      </x:c>
      <x:c r="H156" s="12">
        <x:f t="shared" si="13"/>
        <x:v>36568</x:v>
      </x:c>
      <x:c r="I156" s="12">
        <x:f t="shared" si="11"/>
        <x:v>147478744</x:v>
      </x:c>
      <x:c r="J156" s="12">
        <x:f>ROUND(英雄升级调参!$D$103*英雄升级调参!$J$10*英雄升级调参!$E$18,0)</x:f>
        <x:v>128</x:v>
      </x:c>
      <x:c r="K156" s="12">
        <x:f>ROUND(英雄升级调参!$D$103*英雄升级调参!$C$11*英雄升级调参!$J$10*英雄升级调参!$G$18,0)</x:f>
        <x:v>1157</x:v>
      </x:c>
      <x:c r="L156" s="12" t="n">
        <x:f>养成消耗调参!$D$185</x:f>
        <x:v>1296</x:v>
      </x:c>
      <x:c r="M156" s="12" t="n">
        <x:f>养成消耗调参!$G$185</x:f>
        <x:v>8550</x:v>
      </x:c>
      <x:c r="N156" s="12" t="n">
        <x:f>养成消耗调参!$I$185</x:f>
        <x:v>0</x:v>
      </x:c>
      <x:c r="O156" s="12" t="n">
        <x:f>养成消耗调参!$K$185</x:f>
        <x:v>23400</x:v>
      </x:c>
      <x:c r="P156" s="12" t="n">
        <x:f>养成消耗调参!$N$185</x:f>
        <x:v>140850</x:v>
      </x:c>
      <x:c r="Q156" s="12" t="n">
        <x:f>养成消耗调参!$P$185</x:f>
        <x:v>490</x:v>
      </x:c>
      <x:c r="R156" s="13">
        <x:f>I156/英雄升级调参!$J$103-1</x:f>
        <x:v>-0.002961502682589101</x:v>
      </x:c>
      <x:c r="S156" s="6"/>
      <x:c r="T156" s="6"/>
      <x:c r="U156" s="6"/>
    </x:row>
    <x:row r="157" ht="21" customHeight="1">
      <x:c r="A157" s="14" t="n">
        <x:f>英雄升级调参!$B$18</x:f>
        <x:v>310000</x:v>
      </x:c>
      <x:c r="B157" s="14" t="str">
        <x:f>英雄升级调参!$C$18</x:f>
        <x:v>特歪兔</x:v>
      </x:c>
      <x:c r="C157" s="6" t="str">
        <x:f>英雄升级调参!$D$18</x:f>
        <x:v>战士</x:v>
      </x:c>
      <x:c r="D157" s="6" t="s">
        <x:v>22</x:v>
      </x:c>
      <x:c r="E157" s="6">
        <x:v>39</x:v>
      </x:c>
      <x:c r="F157" s="6" t="n">
        <x:f>英雄升级调参!$C$104</x:f>
        <x:v>8</x:v>
      </x:c>
      <x:c r="G157" s="12">
        <x:f t="shared" si="12"/>
        <x:v>4161</x:v>
      </x:c>
      <x:c r="H157" s="12">
        <x:f t="shared" si="13"/>
        <x:v>37725</x:v>
      </x:c>
      <x:c r="I157" s="12">
        <x:f t="shared" si="11"/>
        <x:v>156973725</x:v>
      </x:c>
      <x:c r="J157" s="12">
        <x:f>ROUND(英雄升级调参!$D$104*英雄升级调参!$J$10*英雄升级调参!$E$18,0)</x:f>
        <x:v>128</x:v>
      </x:c>
      <x:c r="K157" s="12">
        <x:f>ROUND(英雄升级调参!$D$104*英雄升级调参!$C$11*英雄升级调参!$J$10*英雄升级调参!$G$18,0)</x:f>
        <x:v>1157</x:v>
      </x:c>
      <x:c r="L157" s="12" t="n">
        <x:f>养成消耗调参!$D$186</x:f>
        <x:v>1296</x:v>
      </x:c>
      <x:c r="M157" s="12" t="n">
        <x:f>养成消耗调参!$G$186</x:f>
        <x:v>8550</x:v>
      </x:c>
      <x:c r="N157" s="12" t="n">
        <x:f>养成消耗调参!$I$186</x:f>
        <x:v>0</x:v>
      </x:c>
      <x:c r="O157" s="12" t="n">
        <x:f>养成消耗调参!$K$186</x:f>
        <x:v>24696</x:v>
      </x:c>
      <x:c r="P157" s="12" t="n">
        <x:f>养成消耗调参!$N$186</x:f>
        <x:v>149400</x:v>
      </x:c>
      <x:c r="Q157" s="12" t="n">
        <x:f>养成消耗调参!$P$186</x:f>
        <x:v>490</x:v>
      </x:c>
      <x:c r="R157" s="13">
        <x:f>I157/英雄升级调参!$J$104-1</x:f>
        <x:v>-0.0028983355841748493</x:v>
      </x:c>
      <x:c r="S157" s="6"/>
      <x:c r="T157" s="6"/>
      <x:c r="U157" s="6"/>
    </x:row>
    <x:row r="158" ht="21" customHeight="1">
      <x:c r="A158" s="14" t="n">
        <x:f>英雄升级调参!$B$18</x:f>
        <x:v>310000</x:v>
      </x:c>
      <x:c r="B158" s="14" t="str">
        <x:f>英雄升级调参!$C$18</x:f>
        <x:v>特歪兔</x:v>
      </x:c>
      <x:c r="C158" s="6" t="str">
        <x:f>英雄升级调参!$D$18</x:f>
        <x:v>战士</x:v>
      </x:c>
      <x:c r="D158" s="6" t="s">
        <x:v>22</x:v>
      </x:c>
      <x:c r="E158" s="6">
        <x:v>40</x:v>
      </x:c>
      <x:c r="F158" s="6" t="n">
        <x:f>英雄升级调参!$C$105</x:f>
        <x:v>8</x:v>
      </x:c>
      <x:c r="G158" s="12">
        <x:f t="shared" si="12"/>
        <x:v>4545</x:v>
      </x:c>
      <x:c r="H158" s="12">
        <x:f t="shared" si="13"/>
        <x:v>41196</x:v>
      </x:c>
      <x:c r="I158" s="12">
        <x:f t="shared" si="11"/>
        <x:v>187235820</x:v>
      </x:c>
      <x:c r="J158" s="12">
        <x:f>ROUND(英雄升级调参!$D$105*英雄升级调参!$J$10*英雄升级调参!$E$18,0)*3</x:f>
        <x:v>384</x:v>
      </x:c>
      <x:c r="K158" s="12">
        <x:f>ROUND(英雄升级调参!$D$105*英雄升级调参!$C$11*英雄升级调参!$J$10*英雄升级调参!$G$18,0)*3</x:f>
        <x:v>3471</x:v>
      </x:c>
      <x:c r="L158" s="12" t="n">
        <x:f>养成消耗调参!$D$187</x:f>
        <x:v>1368</x:v>
      </x:c>
      <x:c r="M158" s="12" t="n">
        <x:f>养成消耗调参!$G$187</x:f>
        <x:v>8550</x:v>
      </x:c>
      <x:c r="N158" s="12" t="n">
        <x:f>养成消耗调参!$I$187</x:f>
        <x:v>150</x:v>
      </x:c>
      <x:c r="O158" s="12" t="n">
        <x:f>养成消耗调参!$K$187</x:f>
        <x:v>26064</x:v>
      </x:c>
      <x:c r="P158" s="12" t="n">
        <x:f>养成消耗调参!$N$187</x:f>
        <x:v>157950</x:v>
      </x:c>
      <x:c r="Q158" s="12" t="n">
        <x:f>养成消耗调参!$P$187</x:f>
        <x:v>640</x:v>
      </x:c>
      <x:c r="R158" s="13">
        <x:f>I158/英雄升级调参!$J$105-1</x:f>
        <x:v>-0.002730143106412619</x:v>
      </x:c>
      <x:c r="S158" s="6"/>
      <x:c r="T158" s="6"/>
      <x:c r="U158" s="6"/>
    </x:row>
    <x:row r="159" ht="21" customHeight="1">
      <x:c r="A159" s="14" t="n">
        <x:f>英雄升级调参!$B$18</x:f>
        <x:v>310000</x:v>
      </x:c>
      <x:c r="B159" s="14" t="str">
        <x:f>英雄升级调参!$C$18</x:f>
        <x:v>特歪兔</x:v>
      </x:c>
      <x:c r="C159" s="6" t="str">
        <x:f>英雄升级调参!$D$18</x:f>
        <x:v>战士</x:v>
      </x:c>
      <x:c r="D159" s="6" t="s">
        <x:v>22</x:v>
      </x:c>
      <x:c r="E159" s="6">
        <x:v>41</x:v>
      </x:c>
      <x:c r="F159" s="6" t="n">
        <x:f>英雄升级调参!$C$106</x:f>
        <x:v>9</x:v>
      </x:c>
      <x:c r="G159" s="12">
        <x:f t="shared" si="12"/>
        <x:v>4687</x:v>
      </x:c>
      <x:c r="H159" s="12">
        <x:f t="shared" si="13"/>
        <x:v>42482</x:v>
      </x:c>
      <x:c r="I159" s="12">
        <x:f t="shared" si="11"/>
        <x:v>199113134</x:v>
      </x:c>
      <x:c r="J159" s="12">
        <x:f>ROUND(英雄升级调参!$D$106*英雄升级调参!$J$10*英雄升级调参!$E$18,0)</x:f>
        <x:v>142</x:v>
      </x:c>
      <x:c r="K159" s="12">
        <x:f>ROUND(英雄升级调参!$D$106*英雄升级调参!$C$11*英雄升级调参!$J$10*英雄升级调参!$G$18,0)</x:f>
        <x:v>1286</x:v>
      </x:c>
      <x:c r="L159" s="12" t="n">
        <x:f>养成消耗调参!$D$188</x:f>
        <x:v>1368</x:v>
      </x:c>
      <x:c r="M159" s="12" t="n">
        <x:f>养成消耗调参!$G$188</x:f>
        <x:v>8550</x:v>
      </x:c>
      <x:c r="N159" s="12" t="n">
        <x:f>养成消耗调参!$I$188</x:f>
        <x:v>0</x:v>
      </x:c>
      <x:c r="O159" s="12" t="n">
        <x:f>养成消耗调参!$K$188</x:f>
        <x:v>27432</x:v>
      </x:c>
      <x:c r="P159" s="12" t="n">
        <x:f>养成消耗调参!$N$188</x:f>
        <x:v>166500</x:v>
      </x:c>
      <x:c r="Q159" s="12" t="n">
        <x:f>养成消耗调参!$P$188</x:f>
        <x:v>640</x:v>
      </x:c>
      <x:c r="R159" s="13">
        <x:f>I159/英雄升级调参!$J$106-1</x:f>
        <x:v>-0.0025878707958107983</x:v>
      </x:c>
      <x:c r="S159" s="6"/>
      <x:c r="T159" s="6"/>
      <x:c r="U159" s="6"/>
    </x:row>
    <x:row r="160" ht="21" customHeight="1">
      <x:c r="A160" s="14" t="n">
        <x:f>英雄升级调参!$B$18</x:f>
        <x:v>310000</x:v>
      </x:c>
      <x:c r="B160" s="14" t="str">
        <x:f>英雄升级调参!$C$18</x:f>
        <x:v>特歪兔</x:v>
      </x:c>
      <x:c r="C160" s="6" t="str">
        <x:f>英雄升级调参!$D$18</x:f>
        <x:v>战士</x:v>
      </x:c>
      <x:c r="D160" s="6" t="s">
        <x:v>22</x:v>
      </x:c>
      <x:c r="E160" s="6">
        <x:v>42</x:v>
      </x:c>
      <x:c r="F160" s="6" t="n">
        <x:f>英雄升级调参!$C$107</x:f>
        <x:v>9</x:v>
      </x:c>
      <x:c r="G160" s="12">
        <x:f t="shared" si="12"/>
        <x:v>4829</x:v>
      </x:c>
      <x:c r="H160" s="12">
        <x:f t="shared" si="13"/>
        <x:v>43768</x:v>
      </x:c>
      <x:c r="I160" s="12">
        <x:f t="shared" si="11"/>
        <x:v>211355672</x:v>
      </x:c>
      <x:c r="J160" s="12">
        <x:f>ROUND(英雄升级调参!$D$107*英雄升级调参!$J$10*英雄升级调参!$E$18,0)</x:f>
        <x:v>142</x:v>
      </x:c>
      <x:c r="K160" s="12">
        <x:f>ROUND(英雄升级调参!$D$107*英雄升级调参!$C$11*英雄升级调参!$J$10*英雄升级调参!$G$18,0)</x:f>
        <x:v>1286</x:v>
      </x:c>
      <x:c r="L160" s="12" t="n">
        <x:f>养成消耗调参!$D$189</x:f>
        <x:v>1440</x:v>
      </x:c>
      <x:c r="M160" s="12" t="n">
        <x:f>养成消耗调参!$G$189</x:f>
        <x:v>9900</x:v>
      </x:c>
      <x:c r="N160" s="12" t="n">
        <x:f>养成消耗调参!$I$189</x:f>
        <x:v>0</x:v>
      </x:c>
      <x:c r="O160" s="12" t="n">
        <x:f>养成消耗调参!$K$189</x:f>
        <x:v>28872</x:v>
      </x:c>
      <x:c r="P160" s="12" t="n">
        <x:f>养成消耗调参!$N$189</x:f>
        <x:v>176400</x:v>
      </x:c>
      <x:c r="Q160" s="12" t="n">
        <x:f>养成消耗调参!$P$189</x:f>
        <x:v>640</x:v>
      </x:c>
      <x:c r="R160" s="13">
        <x:f>I160/英雄升级调参!$J$107-1</x:f>
        <x:v>-0.002453930513943048</x:v>
      </x:c>
      <x:c r="S160" s="6"/>
      <x:c r="T160" s="6"/>
      <x:c r="U160" s="6"/>
    </x:row>
    <x:row r="161" ht="21" customHeight="1">
      <x:c r="A161" s="14" t="n">
        <x:f>英雄升级调参!$B$18</x:f>
        <x:v>310000</x:v>
      </x:c>
      <x:c r="B161" s="14" t="str">
        <x:f>英雄升级调参!$C$18</x:f>
        <x:v>特歪兔</x:v>
      </x:c>
      <x:c r="C161" s="6" t="str">
        <x:f>英雄升级调参!$D$18</x:f>
        <x:v>战士</x:v>
      </x:c>
      <x:c r="D161" s="6" t="s">
        <x:v>22</x:v>
      </x:c>
      <x:c r="E161" s="6">
        <x:v>43</x:v>
      </x:c>
      <x:c r="F161" s="6" t="n">
        <x:f>英雄升级调参!$C$108</x:f>
        <x:v>9</x:v>
      </x:c>
      <x:c r="G161" s="12">
        <x:f t="shared" si="12"/>
        <x:v>4971</x:v>
      </x:c>
      <x:c r="H161" s="12">
        <x:f t="shared" si="13"/>
        <x:v>45054</x:v>
      </x:c>
      <x:c r="I161" s="12">
        <x:f t="shared" si="11"/>
        <x:v>223963434</x:v>
      </x:c>
      <x:c r="J161" s="12">
        <x:f>ROUND(英雄升级调参!$D$108*英雄升级调参!$J$10*英雄升级调参!$E$18,0)</x:f>
        <x:v>142</x:v>
      </x:c>
      <x:c r="K161" s="12">
        <x:f>ROUND(英雄升级调参!$D$108*英雄升级调参!$C$11*英雄升级调参!$J$10*英雄升级调参!$G$18,0)</x:f>
        <x:v>1286</x:v>
      </x:c>
      <x:c r="L161" s="12" t="n">
        <x:f>养成消耗调参!$D$190</x:f>
        <x:v>1440</x:v>
      </x:c>
      <x:c r="M161" s="12" t="n">
        <x:f>养成消耗调参!$G$190</x:f>
        <x:v>9900</x:v>
      </x:c>
      <x:c r="N161" s="12" t="n">
        <x:f>养成消耗调参!$I$190</x:f>
        <x:v>0</x:v>
      </x:c>
      <x:c r="O161" s="12" t="n">
        <x:f>养成消耗调参!$K$190</x:f>
        <x:v>30312</x:v>
      </x:c>
      <x:c r="P161" s="12" t="n">
        <x:f>养成消耗调参!$N$190</x:f>
        <x:v>186300</x:v>
      </x:c>
      <x:c r="Q161" s="12" t="n">
        <x:f>养成消耗调参!$P$190</x:f>
        <x:v>640</x:v>
      </x:c>
      <x:c r="R161" s="13">
        <x:f>I161/英雄升级调参!$J$108-1</x:f>
        <x:v>-0.0023276111489383133</x:v>
      </x:c>
      <x:c r="S161" s="6"/>
      <x:c r="T161" s="6"/>
      <x:c r="U161" s="6"/>
    </x:row>
    <x:row r="162" ht="21" customHeight="1">
      <x:c r="A162" s="14" t="n">
        <x:f>英雄升级调参!$B$18</x:f>
        <x:v>310000</x:v>
      </x:c>
      <x:c r="B162" s="14" t="str">
        <x:f>英雄升级调参!$C$18</x:f>
        <x:v>特歪兔</x:v>
      </x:c>
      <x:c r="C162" s="6" t="str">
        <x:f>英雄升级调参!$D$18</x:f>
        <x:v>战士</x:v>
      </x:c>
      <x:c r="D162" s="6" t="s">
        <x:v>22</x:v>
      </x:c>
      <x:c r="E162" s="6">
        <x:v>44</x:v>
      </x:c>
      <x:c r="F162" s="6" t="n">
        <x:f>英雄升级调参!$C$109</x:f>
        <x:v>9</x:v>
      </x:c>
      <x:c r="G162" s="12">
        <x:f t="shared" si="12"/>
        <x:v>5113</x:v>
      </x:c>
      <x:c r="H162" s="12">
        <x:f t="shared" si="13"/>
        <x:v>46340</x:v>
      </x:c>
      <x:c r="I162" s="12">
        <x:f t="shared" si="11"/>
        <x:v>236936420</x:v>
      </x:c>
      <x:c r="J162" s="12">
        <x:f>ROUND(英雄升级调参!$D$109*英雄升级调参!$J$10*英雄升级调参!$E$18,0)</x:f>
        <x:v>142</x:v>
      </x:c>
      <x:c r="K162" s="12">
        <x:f>ROUND(英雄升级调参!$D$109*英雄升级调参!$C$11*英雄升级调参!$J$10*英雄升级调参!$G$18,0)</x:f>
        <x:v>1286</x:v>
      </x:c>
      <x:c r="L162" s="12" t="n">
        <x:f>养成消耗调参!$D$191</x:f>
        <x:v>1512</x:v>
      </x:c>
      <x:c r="M162" s="12" t="n">
        <x:f>养成消耗调参!$G$191</x:f>
        <x:v>9900</x:v>
      </x:c>
      <x:c r="N162" s="12" t="n">
        <x:f>养成消耗调参!$I$191</x:f>
        <x:v>0</x:v>
      </x:c>
      <x:c r="O162" s="12" t="n">
        <x:f>养成消耗调参!$K$191</x:f>
        <x:v>31824</x:v>
      </x:c>
      <x:c r="P162" s="12" t="n">
        <x:f>养成消耗调参!$N$191</x:f>
        <x:v>196200</x:v>
      </x:c>
      <x:c r="Q162" s="12" t="n">
        <x:f>养成消耗调参!$P$191</x:f>
        <x:v>640</x:v>
      </x:c>
      <x:c r="R162" s="13">
        <x:f>I162/英雄升级调参!$J$109-1</x:f>
        <x:v>-0.0022082802719438632</x:v>
      </x:c>
      <x:c r="S162" s="6"/>
      <x:c r="T162" s="6"/>
      <x:c r="U162" s="6"/>
    </x:row>
    <x:row r="163" ht="21" customHeight="1">
      <x:c r="A163" s="14" t="n">
        <x:f>英雄升级调参!$B$18</x:f>
        <x:v>310000</x:v>
      </x:c>
      <x:c r="B163" s="14" t="str">
        <x:f>英雄升级调参!$C$18</x:f>
        <x:v>特歪兔</x:v>
      </x:c>
      <x:c r="C163" s="6" t="str">
        <x:f>英雄升级调参!$D$18</x:f>
        <x:v>战士</x:v>
      </x:c>
      <x:c r="D163" s="6" t="s">
        <x:v>22</x:v>
      </x:c>
      <x:c r="E163" s="6">
        <x:v>45</x:v>
      </x:c>
      <x:c r="F163" s="6" t="n">
        <x:f>英雄升级调参!$C$110</x:f>
        <x:v>9</x:v>
      </x:c>
      <x:c r="G163" s="12">
        <x:f t="shared" si="12"/>
        <x:v>5539</x:v>
      </x:c>
      <x:c r="H163" s="12">
        <x:f t="shared" si="13"/>
        <x:v>50198</x:v>
      </x:c>
      <x:c r="I163" s="12">
        <x:f t="shared" si="11"/>
        <x:v>278046722</x:v>
      </x:c>
      <x:c r="J163" s="12">
        <x:f>ROUND(英雄升级调参!$D$110*英雄升级调参!$J$10*英雄升级调参!$E$18,0)*3</x:f>
        <x:v>426</x:v>
      </x:c>
      <x:c r="K163" s="12">
        <x:f>ROUND(英雄升级调参!$D$110*英雄升级调参!$C$11*英雄升级调参!$J$10*英雄升级调参!$G$18,0)*3</x:f>
        <x:v>3858</x:v>
      </x:c>
      <x:c r="L163" s="12" t="n">
        <x:f>养成消耗调参!$D$192</x:f>
        <x:v>1512</x:v>
      </x:c>
      <x:c r="M163" s="12" t="n">
        <x:f>养成消耗调参!$G$192</x:f>
        <x:v>9900</x:v>
      </x:c>
      <x:c r="N163" s="12" t="n">
        <x:f>养成消耗调参!$I$192</x:f>
        <x:v>170</x:v>
      </x:c>
      <x:c r="O163" s="12" t="n">
        <x:f>养成消耗调参!$K$192</x:f>
        <x:v>33336</x:v>
      </x:c>
      <x:c r="P163" s="12" t="n">
        <x:f>养成消耗调参!$N$192</x:f>
        <x:v>206100</x:v>
      </x:c>
      <x:c r="Q163" s="12" t="n">
        <x:f>养成消耗调参!$P$192</x:f>
        <x:v>810</x:v>
      </x:c>
      <x:c r="R163" s="13">
        <x:f>I163/英雄升级调参!$J$110-1</x:f>
        <x:v>-0.0018868635024258396</x:v>
      </x:c>
      <x:c r="S163" s="6"/>
      <x:c r="T163" s="6"/>
      <x:c r="U163" s="6"/>
    </x:row>
    <x:row r="164" ht="21" customHeight="1">
      <x:c r="A164" s="14" t="n">
        <x:f>英雄升级调参!$B$18</x:f>
        <x:v>310000</x:v>
      </x:c>
      <x:c r="B164" s="14" t="str">
        <x:f>英雄升级调参!$C$18</x:f>
        <x:v>特歪兔</x:v>
      </x:c>
      <x:c r="C164" s="6" t="str">
        <x:f>英雄升级调参!$D$18</x:f>
        <x:v>战士</x:v>
      </x:c>
      <x:c r="D164" s="6" t="s">
        <x:v>22</x:v>
      </x:c>
      <x:c r="E164" s="6">
        <x:v>46</x:v>
      </x:c>
      <x:c r="F164" s="6" t="n">
        <x:f>英雄升级调参!$C$111</x:f>
        <x:v>10</x:v>
      </x:c>
      <x:c r="G164" s="12">
        <x:f t="shared" si="12"/>
        <x:v>5695</x:v>
      </x:c>
      <x:c r="H164" s="12">
        <x:f t="shared" si="13"/>
        <x:v>51612</x:v>
      </x:c>
      <x:c r="I164" s="12">
        <x:f t="shared" si="11"/>
        <x:v>293930340</x:v>
      </x:c>
      <x:c r="J164" s="12">
        <x:f>ROUND(英雄升级调参!$D$111*英雄升级调参!$J$10*英雄升级调参!$E$18,0)</x:f>
        <x:v>156</x:v>
      </x:c>
      <x:c r="K164" s="12">
        <x:f>ROUND(英雄升级调参!$D$111*英雄升级调参!$C$11*英雄升级调参!$J$10*英雄升级调参!$G$18,0)</x:f>
        <x:v>1414</x:v>
      </x:c>
      <x:c r="L164" s="12" t="n">
        <x:f>养成消耗调参!$D$193</x:f>
        <x:v>1584</x:v>
      </x:c>
      <x:c r="M164" s="12" t="n">
        <x:f>养成消耗调参!$G$193</x:f>
        <x:v>9900</x:v>
      </x:c>
      <x:c r="N164" s="12" t="n">
        <x:f>养成消耗调参!$I$193</x:f>
        <x:v>0</x:v>
      </x:c>
      <x:c r="O164" s="12" t="n">
        <x:f>养成消耗调参!$K$193</x:f>
        <x:v>34920</x:v>
      </x:c>
      <x:c r="P164" s="12" t="n">
        <x:f>养成消耗调参!$N$193</x:f>
        <x:v>216000</x:v>
      </x:c>
      <x:c r="Q164" s="12" t="n">
        <x:f>养成消耗调参!$P$193</x:f>
        <x:v>810</x:v>
      </x:c>
      <x:c r="R164" s="13">
        <x:f>I164/英雄升级调参!$J$111-1</x:f>
        <x:v>-0.0019195191453265092</x:v>
      </x:c>
      <x:c r="S164" s="6"/>
      <x:c r="T164" s="6"/>
      <x:c r="U164" s="6"/>
    </x:row>
    <x:row r="165" ht="21" customHeight="1">
      <x:c r="A165" s="14" t="n">
        <x:f>英雄升级调参!$B$18</x:f>
        <x:v>310000</x:v>
      </x:c>
      <x:c r="B165" s="14" t="str">
        <x:f>英雄升级调参!$C$18</x:f>
        <x:v>特歪兔</x:v>
      </x:c>
      <x:c r="C165" s="6" t="str">
        <x:f>英雄升级调参!$D$18</x:f>
        <x:v>战士</x:v>
      </x:c>
      <x:c r="D165" s="6" t="s">
        <x:v>22</x:v>
      </x:c>
      <x:c r="E165" s="6">
        <x:v>47</x:v>
      </x:c>
      <x:c r="F165" s="6" t="n">
        <x:f>英雄升级调参!$C$112</x:f>
        <x:v>10</x:v>
      </x:c>
      <x:c r="G165" s="12">
        <x:f t="shared" si="12"/>
        <x:v>5851</x:v>
      </x:c>
      <x:c r="H165" s="12">
        <x:f t="shared" si="13"/>
        <x:v>53026</x:v>
      </x:c>
      <x:c r="I165" s="12">
        <x:f t="shared" si="11"/>
        <x:v>310255126</x:v>
      </x:c>
      <x:c r="J165" s="12">
        <x:f>ROUND(英雄升级调参!$D$112*英雄升级调参!$J$10*英雄升级调参!$E$18,0)</x:f>
        <x:v>156</x:v>
      </x:c>
      <x:c r="K165" s="12">
        <x:f>ROUND(英雄升级调参!$D$112*英雄升级调参!$C$11*英雄升级调参!$J$10*英雄升级调参!$G$18,0)</x:f>
        <x:v>1414</x:v>
      </x:c>
      <x:c r="L165" s="12" t="n">
        <x:f>养成消耗调参!$D$194</x:f>
        <x:v>1584</x:v>
      </x:c>
      <x:c r="M165" s="12" t="n">
        <x:f>养成消耗调参!$G$194</x:f>
        <x:v>11250</x:v>
      </x:c>
      <x:c r="N165" s="12" t="n">
        <x:f>养成消耗调参!$I$194</x:f>
        <x:v>0</x:v>
      </x:c>
      <x:c r="O165" s="12" t="n">
        <x:f>养成消耗调参!$K$194</x:f>
        <x:v>36504</x:v>
      </x:c>
      <x:c r="P165" s="12" t="n">
        <x:f>养成消耗调参!$N$194</x:f>
        <x:v>227250</x:v>
      </x:c>
      <x:c r="Q165" s="12" t="n">
        <x:f>养成消耗调参!$P$194</x:f>
        <x:v>810</x:v>
      </x:c>
      <x:c r="R165" s="13">
        <x:f>I165/英雄升级调参!$J$112-1</x:f>
        <x:v>-0.0019504316778562458</x:v>
      </x:c>
      <x:c r="S165" s="6"/>
      <x:c r="T165" s="6"/>
      <x:c r="U165" s="6"/>
    </x:row>
    <x:row r="166" ht="21" customHeight="1">
      <x:c r="A166" s="14" t="n">
        <x:f>英雄升级调参!$B$18</x:f>
        <x:v>310000</x:v>
      </x:c>
      <x:c r="B166" s="14" t="str">
        <x:f>英雄升级调参!$C$18</x:f>
        <x:v>特歪兔</x:v>
      </x:c>
      <x:c r="C166" s="6" t="str">
        <x:f>英雄升级调参!$D$18</x:f>
        <x:v>战士</x:v>
      </x:c>
      <x:c r="D166" s="6" t="s">
        <x:v>22</x:v>
      </x:c>
      <x:c r="E166" s="6">
        <x:v>48</x:v>
      </x:c>
      <x:c r="F166" s="6" t="n">
        <x:f>英雄升级调参!$C$113</x:f>
        <x:v>10</x:v>
      </x:c>
      <x:c r="G166" s="12">
        <x:f t="shared" si="12"/>
        <x:v>6007</x:v>
      </x:c>
      <x:c r="H166" s="12">
        <x:f t="shared" si="13"/>
        <x:v>54440</x:v>
      </x:c>
      <x:c r="I166" s="12">
        <x:f t="shared" si="11"/>
        <x:v>327021080</x:v>
      </x:c>
      <x:c r="J166" s="12">
        <x:f>ROUND(英雄升级调参!$D$113*英雄升级调参!$J$10*英雄升级调参!$E$18,0)</x:f>
        <x:v>156</x:v>
      </x:c>
      <x:c r="K166" s="12">
        <x:f>ROUND(英雄升级调参!$D$113*英雄升级调参!$C$11*英雄升级调参!$J$10*英雄升级调参!$G$18,0)</x:f>
        <x:v>1414</x:v>
      </x:c>
      <x:c r="L166" s="12" t="n">
        <x:f>养成消耗调参!$D$195</x:f>
        <x:v>1656</x:v>
      </x:c>
      <x:c r="M166" s="12" t="n">
        <x:f>养成消耗调参!$G$195</x:f>
        <x:v>11250</x:v>
      </x:c>
      <x:c r="N166" s="12" t="n">
        <x:f>养成消耗调参!$I$195</x:f>
        <x:v>0</x:v>
      </x:c>
      <x:c r="O166" s="12" t="n">
        <x:f>养成消耗调参!$K$195</x:f>
        <x:v>38160</x:v>
      </x:c>
      <x:c r="P166" s="12" t="n">
        <x:f>养成消耗调参!$N$195</x:f>
        <x:v>238500</x:v>
      </x:c>
      <x:c r="Q166" s="12" t="n">
        <x:f>养成消耗调参!$P$195</x:f>
        <x:v>810</x:v>
      </x:c>
      <x:c r="R166" s="13">
        <x:f>I166/英雄升级调参!$J$113-1</x:f>
        <x:v>-0.0019797370389176283</x:v>
      </x:c>
      <x:c r="S166" s="6"/>
      <x:c r="T166" s="6"/>
      <x:c r="U166" s="6"/>
    </x:row>
    <x:row r="167" ht="21" customHeight="1">
      <x:c r="A167" s="14" t="n">
        <x:f>英雄升级调参!$B$18</x:f>
        <x:v>310000</x:v>
      </x:c>
      <x:c r="B167" s="14" t="str">
        <x:f>英雄升级调参!$C$18</x:f>
        <x:v>特歪兔</x:v>
      </x:c>
      <x:c r="C167" s="6" t="str">
        <x:f>英雄升级调参!$D$18</x:f>
        <x:v>战士</x:v>
      </x:c>
      <x:c r="D167" s="6" t="s">
        <x:v>22</x:v>
      </x:c>
      <x:c r="E167" s="6">
        <x:v>49</x:v>
      </x:c>
      <x:c r="F167" s="6" t="n">
        <x:f>英雄升级调参!$C$114</x:f>
        <x:v>10</x:v>
      </x:c>
      <x:c r="G167" s="12">
        <x:f t="shared" si="12"/>
        <x:v>6163</x:v>
      </x:c>
      <x:c r="H167" s="12">
        <x:f t="shared" si="13"/>
        <x:v>55854</x:v>
      </x:c>
      <x:c r="I167" s="12">
        <x:f t="shared" si="11"/>
        <x:v>344228202</x:v>
      </x:c>
      <x:c r="J167" s="12">
        <x:f>ROUND(英雄升级调参!$D$114*英雄升级调参!$J$10*英雄升级调参!$E$18,0)</x:f>
        <x:v>156</x:v>
      </x:c>
      <x:c r="K167" s="12">
        <x:f>ROUND(英雄升级调参!$D$114*英雄升级调参!$C$11*英雄升级调参!$J$10*英雄升级调参!$G$18,0)</x:f>
        <x:v>1414</x:v>
      </x:c>
      <x:c r="L167" s="12" t="n">
        <x:f>养成消耗调参!$D$196</x:f>
        <x:v>1656</x:v>
      </x:c>
      <x:c r="M167" s="12" t="n">
        <x:f>养成消耗调参!$G$196</x:f>
        <x:v>11250</x:v>
      </x:c>
      <x:c r="N167" s="12" t="n">
        <x:f>养成消耗调参!$I$196</x:f>
        <x:v>0</x:v>
      </x:c>
      <x:c r="O167" s="12" t="n">
        <x:f>养成消耗调参!$K$196</x:f>
        <x:v>39816</x:v>
      </x:c>
      <x:c r="P167" s="12" t="n">
        <x:f>养成消耗调参!$N$196</x:f>
        <x:v>249750</x:v>
      </x:c>
      <x:c r="Q167" s="12" t="n">
        <x:f>养成消耗调参!$P$196</x:f>
        <x:v>810</x:v>
      </x:c>
      <x:c r="R167" s="13">
        <x:f>I167/英雄升级调参!$J$114-1</x:f>
        <x:v>-0.0020075573903737265</x:v>
      </x:c>
      <x:c r="S167" s="6"/>
      <x:c r="T167" s="6"/>
      <x:c r="U167" s="6"/>
    </x:row>
    <x:row r="168" ht="21" customHeight="1">
      <x:c r="A168" s="14" t="n">
        <x:f>英雄升级调参!$B$18</x:f>
        <x:v>310000</x:v>
      </x:c>
      <x:c r="B168" s="14" t="str">
        <x:f>英雄升级调参!$C$18</x:f>
        <x:v>特歪兔</x:v>
      </x:c>
      <x:c r="C168" s="6" t="str">
        <x:f>英雄升级调参!$D$18</x:f>
        <x:v>战士</x:v>
      </x:c>
      <x:c r="D168" s="6" t="s">
        <x:v>22</x:v>
      </x:c>
      <x:c r="E168" s="6">
        <x:v>50</x:v>
      </x:c>
      <x:c r="F168" s="6" t="n">
        <x:f>英雄升级调参!$C$115</x:f>
        <x:v>10</x:v>
      </x:c>
      <x:c r="G168" s="12">
        <x:f t="shared" si="12"/>
        <x:v>6631</x:v>
      </x:c>
      <x:c r="H168" s="12">
        <x:f t="shared" si="13"/>
        <x:v>60096</x:v>
      </x:c>
      <x:c r="I168" s="12">
        <x:f t="shared" si="11"/>
        <x:v>398496576</x:v>
      </x:c>
      <x:c r="J168" s="12">
        <x:f>ROUND(英雄升级调参!$D$115*英雄升级调参!$J$10*英雄升级调参!$E$18,0)*3</x:f>
        <x:v>468</x:v>
      </x:c>
      <x:c r="K168" s="12">
        <x:f>ROUND(英雄升级调参!$D$115*英雄升级调参!$C$11*英雄升级调参!$J$10*英雄升级调参!$G$18,0)*3</x:f>
        <x:v>4242</x:v>
      </x:c>
      <x:c r="L168" s="12" t="n">
        <x:f>养成消耗调参!$D$197</x:f>
        <x:v>1728</x:v>
      </x:c>
      <x:c r="M168" s="12" t="n">
        <x:f>养成消耗调参!$G$197</x:f>
        <x:v>11250</x:v>
      </x:c>
      <x:c r="N168" s="12" t="n">
        <x:f>养成消耗调参!$I$197</x:f>
        <x:v>190</x:v>
      </x:c>
      <x:c r="O168" s="12" t="n">
        <x:f>养成消耗调参!$K$197</x:f>
        <x:v>41544</x:v>
      </x:c>
      <x:c r="P168" s="12" t="n">
        <x:f>养成消耗调参!$N$197</x:f>
        <x:v>261000</x:v>
      </x:c>
      <x:c r="Q168" s="12" t="n">
        <x:f>养成消耗调参!$P$197</x:f>
        <x:v>1000</x:v>
      </x:c>
      <x:c r="R168" s="13">
        <x:f>I168/英雄升级调参!$J$115-1</x:f>
        <x:v>-0.0020831574129807073</x:v>
      </x:c>
      <x:c r="S168" s="6"/>
      <x:c r="T168" s="6"/>
      <x:c r="U168" s="6"/>
    </x:row>
    <x:row r="169" ht="21" customHeight="1">
      <x:c r="A169" s="14" t="n">
        <x:f>英雄升级调参!$B$18</x:f>
        <x:v>310000</x:v>
      </x:c>
      <x:c r="B169" s="14" t="str">
        <x:f>英雄升级调参!$C$18</x:f>
        <x:v>特歪兔</x:v>
      </x:c>
      <x:c r="C169" s="6" t="str">
        <x:f>英雄升级调参!$D$18</x:f>
        <x:v>战士</x:v>
      </x:c>
      <x:c r="D169" s="6" t="s">
        <x:v>25</x:v>
      </x:c>
      <x:c r="E169" s="6">
        <x:v>1</x:v>
      </x:c>
      <x:c r="F169" s="6" t="n">
        <x:f>英雄升级调参!$C$66</x:f>
        <x:v>1</x:v>
      </x:c>
      <x:c r="G169" s="12">
        <x:f>G78</x:f>
        <x:v>373</x:v>
      </x:c>
      <x:c r="H169" s="12">
        <x:f>H78</x:f>
        <x:v>3396</x:v>
      </x:c>
      <x:c r="I169" s="12">
        <x:f t="shared" si="11"/>
        <x:v>1266708</x:v>
      </x:c>
      <x:c r="J169" s="12" t="n">
        <x:f>0</x:f>
        <x:v>0</x:v>
      </x:c>
      <x:c r="K169" s="12" t="n">
        <x:f>0</x:f>
        <x:v>0</x:v>
      </x:c>
      <x:c r="L169" s="12" t="n">
        <x:f>养成消耗调参!$E$148</x:f>
        <x:v>0</x:v>
      </x:c>
      <x:c r="M169" s="12" t="n">
        <x:f>养成消耗调参!$H$148</x:f>
        <x:v>0</x:v>
      </x:c>
      <x:c r="N169" s="12" t="n">
        <x:f>养成消耗调参!$I$148</x:f>
        <x:v>0</x:v>
      </x:c>
      <x:c r="O169" s="12" t="n">
        <x:f>养成消耗调参!$L$148</x:f>
        <x:v>0</x:v>
      </x:c>
      <x:c r="P169" s="12" t="n">
        <x:f>养成消耗调参!$O$148</x:f>
        <x:v>0</x:v>
      </x:c>
      <x:c r="Q169" s="12" t="n">
        <x:f>养成消耗调参!$P$148</x:f>
        <x:v>0</x:v>
      </x:c>
      <x:c r="R169" s="13">
        <x:f>I169/英雄升级调参!$M$66-1</x:f>
        <x:v>-0.006105971800484888</x:v>
      </x:c>
      <x:c r="S169" s="6"/>
      <x:c r="T169" s="6"/>
      <x:c r="U169" s="6"/>
    </x:row>
    <x:row r="170" ht="21" customHeight="1">
      <x:c r="A170" s="14" t="n">
        <x:f>英雄升级调参!$B$18</x:f>
        <x:v>310000</x:v>
      </x:c>
      <x:c r="B170" s="14" t="str">
        <x:f>英雄升级调参!$C$18</x:f>
        <x:v>特歪兔</x:v>
      </x:c>
      <x:c r="C170" s="6" t="str">
        <x:f>英雄升级调参!$D$18</x:f>
        <x:v>战士</x:v>
      </x:c>
      <x:c r="D170" s="6" t="s">
        <x:v>25</x:v>
      </x:c>
      <x:c r="E170" s="6">
        <x:v>2</x:v>
      </x:c>
      <x:c r="F170" s="6" t="n">
        <x:f>英雄升级调参!$C$67</x:f>
        <x:v>1</x:v>
      </x:c>
      <x:c r="G170" s="12">
        <x:f t="shared" ref="G170:G201" si="14">G169+J170</x:f>
        <x:v>420</x:v>
      </x:c>
      <x:c r="H170" s="12">
        <x:f t="shared" ref="H170:H201" si="15">H169+K170</x:f>
        <x:v>3825</x:v>
      </x:c>
      <x:c r="I170" s="12">
        <x:f t="shared" si="11"/>
        <x:v>1606500</x:v>
      </x:c>
      <x:c r="J170" s="12">
        <x:f>ROUND(英雄升级调参!$D$67*英雄升级调参!$J$11*英雄升级调参!$E$18,0)</x:f>
        <x:v>47</x:v>
      </x:c>
      <x:c r="K170" s="12">
        <x:f>ROUND(英雄升级调参!$D$67*英雄升级调参!$C$11*英雄升级调参!$J$11*英雄升级调参!$G$18,0)</x:f>
        <x:v>429</x:v>
      </x:c>
      <x:c r="L170" s="12" t="n">
        <x:f>养成消耗调参!$E$149</x:f>
        <x:v>48</x:v>
      </x:c>
      <x:c r="M170" s="12" t="n">
        <x:f>养成消耗调参!$H$149</x:f>
        <x:v>600</x:v>
      </x:c>
      <x:c r="N170" s="12" t="n">
        <x:f>养成消耗调参!$I$149</x:f>
        <x:v>0</x:v>
      </x:c>
      <x:c r="O170" s="12" t="n">
        <x:f>养成消耗调参!$L$149</x:f>
        <x:v>48</x:v>
      </x:c>
      <x:c r="P170" s="12" t="n">
        <x:f>养成消耗调参!$O$149</x:f>
        <x:v>600</x:v>
      </x:c>
      <x:c r="Q170" s="12" t="n">
        <x:f>养成消耗调参!$P$149</x:f>
        <x:v>0</x:v>
      </x:c>
      <x:c r="R170" s="13">
        <x:f>I170/英雄升级调参!$M$67-1</x:f>
        <x:v>-0.005903319224771719</x:v>
      </x:c>
      <x:c r="S170" s="6"/>
      <x:c r="T170" s="6"/>
      <x:c r="U170" s="6"/>
    </x:row>
    <x:row r="171" ht="21" customHeight="1">
      <x:c r="A171" s="14" t="n">
        <x:f>英雄升级调参!$B$18</x:f>
        <x:v>310000</x:v>
      </x:c>
      <x:c r="B171" s="14" t="str">
        <x:f>英雄升级调参!$C$18</x:f>
        <x:v>特歪兔</x:v>
      </x:c>
      <x:c r="C171" s="6" t="str">
        <x:f>英雄升级调参!$D$18</x:f>
        <x:v>战士</x:v>
      </x:c>
      <x:c r="D171" s="6" t="s">
        <x:v>25</x:v>
      </x:c>
      <x:c r="E171" s="6">
        <x:v>3</x:v>
      </x:c>
      <x:c r="F171" s="6" t="n">
        <x:f>英雄升级调参!$C$68</x:f>
        <x:v>1</x:v>
      </x:c>
      <x:c r="G171" s="12">
        <x:f t="shared" si="14"/>
        <x:v>467</x:v>
      </x:c>
      <x:c r="H171" s="12">
        <x:f t="shared" si="15"/>
        <x:v>4254</x:v>
      </x:c>
      <x:c r="I171" s="12">
        <x:f t="shared" si="11"/>
        <x:v>1986618</x:v>
      </x:c>
      <x:c r="J171" s="12">
        <x:f>ROUND(英雄升级调参!$D$68*英雄升级调参!$J$11*英雄升级调参!$E$18,0)</x:f>
        <x:v>47</x:v>
      </x:c>
      <x:c r="K171" s="12">
        <x:f>ROUND(英雄升级调参!$D$68*英雄升级调参!$C$11*英雄升级调参!$J$11*英雄升级调参!$G$18,0)</x:f>
        <x:v>429</x:v>
      </x:c>
      <x:c r="L171" s="12" t="n">
        <x:f>养成消耗调参!$E$150</x:f>
        <x:v>48</x:v>
      </x:c>
      <x:c r="M171" s="12" t="n">
        <x:f>养成消耗调参!$H$150</x:f>
        <x:v>600</x:v>
      </x:c>
      <x:c r="N171" s="12" t="n">
        <x:f>养成消耗调参!$I$150</x:f>
        <x:v>0</x:v>
      </x:c>
      <x:c r="O171" s="12" t="n">
        <x:f>养成消耗调参!$L$150</x:f>
        <x:v>96</x:v>
      </x:c>
      <x:c r="P171" s="12" t="n">
        <x:f>养成消耗调参!$O$150</x:f>
        <x:v>1200</x:v>
      </x:c>
      <x:c r="Q171" s="12" t="n">
        <x:f>养成消耗调参!$P$150</x:f>
        <x:v>0</x:v>
      </x:c>
      <x:c r="R171" s="13">
        <x:f>I171/英雄升级调参!$M$68-1</x:f>
        <x:v>-0.005741483116376123</x:v>
      </x:c>
      <x:c r="S171" s="6"/>
      <x:c r="T171" s="6"/>
      <x:c r="U171" s="6"/>
    </x:row>
    <x:row r="172" ht="21" customHeight="1">
      <x:c r="A172" s="14" t="n">
        <x:f>英雄升级调参!$B$18</x:f>
        <x:v>310000</x:v>
      </x:c>
      <x:c r="B172" s="14" t="str">
        <x:f>英雄升级调参!$C$18</x:f>
        <x:v>特歪兔</x:v>
      </x:c>
      <x:c r="C172" s="6" t="str">
        <x:f>英雄升级调参!$D$18</x:f>
        <x:v>战士</x:v>
      </x:c>
      <x:c r="D172" s="6" t="s">
        <x:v>25</x:v>
      </x:c>
      <x:c r="E172" s="6">
        <x:v>4</x:v>
      </x:c>
      <x:c r="F172" s="6" t="n">
        <x:f>英雄升级调参!$C$69</x:f>
        <x:v>1</x:v>
      </x:c>
      <x:c r="G172" s="12">
        <x:f t="shared" si="14"/>
        <x:v>514</x:v>
      </x:c>
      <x:c r="H172" s="12">
        <x:f t="shared" si="15"/>
        <x:v>4683</x:v>
      </x:c>
      <x:c r="I172" s="12">
        <x:f t="shared" si="11"/>
        <x:v>2407062</x:v>
      </x:c>
      <x:c r="J172" s="12">
        <x:f>ROUND(英雄升级调参!$D$69*英雄升级调参!$J$11*英雄升级调参!$E$18,0)</x:f>
        <x:v>47</x:v>
      </x:c>
      <x:c r="K172" s="12">
        <x:f>ROUND(英雄升级调参!$D$69*英雄升级调参!$C$11*英雄升级调参!$J$11*英雄升级调参!$G$18,0)</x:f>
        <x:v>429</x:v>
      </x:c>
      <x:c r="L172" s="12" t="n">
        <x:f>养成消耗调参!$E$151</x:f>
        <x:v>96</x:v>
      </x:c>
      <x:c r="M172" s="12" t="n">
        <x:f>养成消耗调参!$H$151</x:f>
        <x:v>600</x:v>
      </x:c>
      <x:c r="N172" s="12" t="n">
        <x:f>养成消耗调参!$I$151</x:f>
        <x:v>0</x:v>
      </x:c>
      <x:c r="O172" s="12" t="n">
        <x:f>养成消耗调参!$L$151</x:f>
        <x:v>192</x:v>
      </x:c>
      <x:c r="P172" s="12" t="n">
        <x:f>养成消耗调参!$O$151</x:f>
        <x:v>1800</x:v>
      </x:c>
      <x:c r="Q172" s="12" t="n">
        <x:f>养成消耗调参!$P$151</x:f>
        <x:v>0</x:v>
      </x:c>
      <x:c r="R172" s="13">
        <x:f>I172/英雄升级调参!$M$69-1</x:f>
        <x:v>-0.005609260360896262</x:v>
      </x:c>
      <x:c r="S172" s="6"/>
      <x:c r="T172" s="6"/>
      <x:c r="U172" s="6"/>
    </x:row>
    <x:row r="173" ht="21" customHeight="1">
      <x:c r="A173" s="14" t="n">
        <x:f>英雄升级调参!$B$18</x:f>
        <x:v>310000</x:v>
      </x:c>
      <x:c r="B173" s="14" t="str">
        <x:f>英雄升级调参!$C$18</x:f>
        <x:v>特歪兔</x:v>
      </x:c>
      <x:c r="C173" s="6" t="str">
        <x:f>英雄升级调参!$D$18</x:f>
        <x:v>战士</x:v>
      </x:c>
      <x:c r="D173" s="6" t="s">
        <x:v>25</x:v>
      </x:c>
      <x:c r="E173" s="6">
        <x:v>5</x:v>
      </x:c>
      <x:c r="F173" s="6" t="n">
        <x:f>英雄升级调参!$C$70</x:f>
        <x:v>1</x:v>
      </x:c>
      <x:c r="G173" s="12">
        <x:f t="shared" si="14"/>
        <x:v>655</x:v>
      </x:c>
      <x:c r="H173" s="12">
        <x:f t="shared" si="15"/>
        <x:v>5970</x:v>
      </x:c>
      <x:c r="I173" s="12">
        <x:f t="shared" si="11"/>
        <x:v>3910350</x:v>
      </x:c>
      <x:c r="J173" s="12">
        <x:f>ROUND(英雄升级调参!$D$70*英雄升级调参!$J$11*英雄升级调参!$E$18,0)*3</x:f>
        <x:v>141</x:v>
      </x:c>
      <x:c r="K173" s="12">
        <x:f>ROUND(英雄升级调参!$D$70*英雄升级调参!$C$11*英雄升级调参!$J$11*英雄升级调参!$G$18,0)*3</x:f>
        <x:v>1287</x:v>
      </x:c>
      <x:c r="L173" s="12" t="n">
        <x:f>养成消耗调参!$E$152</x:f>
        <x:v>96</x:v>
      </x:c>
      <x:c r="M173" s="12" t="n">
        <x:f>养成消耗调参!$H$152</x:f>
        <x:v>600</x:v>
      </x:c>
      <x:c r="N173" s="12" t="n">
        <x:f>养成消耗调参!$I$152</x:f>
        <x:v>10</x:v>
      </x:c>
      <x:c r="O173" s="12" t="n">
        <x:f>养成消耗调参!$L$152</x:f>
        <x:v>288</x:v>
      </x:c>
      <x:c r="P173" s="12" t="n">
        <x:f>养成消耗调参!$O$152</x:f>
        <x:v>2400</x:v>
      </x:c>
      <x:c r="Q173" s="12" t="n">
        <x:f>养成消耗调参!$P$152</x:f>
        <x:v>10</x:v>
      </x:c>
      <x:c r="R173" s="13">
        <x:f>I173/英雄升级调参!$M$70-1</x:f>
        <x:v>-0.005326495883030802</x:v>
      </x:c>
      <x:c r="S173" s="6"/>
      <x:c r="T173" s="6"/>
      <x:c r="U173" s="6"/>
    </x:row>
    <x:row r="174" ht="21" customHeight="1">
      <x:c r="A174" s="14" t="n">
        <x:f>英雄升级调参!$B$18</x:f>
        <x:v>310000</x:v>
      </x:c>
      <x:c r="B174" s="14" t="str">
        <x:f>英雄升级调参!$C$18</x:f>
        <x:v>特歪兔</x:v>
      </x:c>
      <x:c r="C174" s="6" t="str">
        <x:f>英雄升级调参!$D$18</x:f>
        <x:v>战士</x:v>
      </x:c>
      <x:c r="D174" s="6" t="s">
        <x:v>25</x:v>
      </x:c>
      <x:c r="E174" s="6">
        <x:v>6</x:v>
      </x:c>
      <x:c r="F174" s="6" t="n">
        <x:f>英雄升级调参!$C$71</x:f>
        <x:v>2</x:v>
      </x:c>
      <x:c r="G174" s="12">
        <x:f t="shared" si="14"/>
        <x:v>726</x:v>
      </x:c>
      <x:c r="H174" s="12">
        <x:f t="shared" si="15"/>
        <x:v>6613</x:v>
      </x:c>
      <x:c r="I174" s="12">
        <x:f t="shared" si="11"/>
        <x:v>4801038</x:v>
      </x:c>
      <x:c r="J174" s="12">
        <x:f>ROUND(英雄升级调参!$D$71*英雄升级调参!$J$11*英雄升级调参!$E$18,0)</x:f>
        <x:v>71</x:v>
      </x:c>
      <x:c r="K174" s="12">
        <x:f>ROUND(英雄升级调参!$D$71*英雄升级调参!$C$11*英雄升级调参!$J$11*英雄升级调参!$G$18,0)</x:f>
        <x:v>643</x:v>
      </x:c>
      <x:c r="L174" s="12" t="n">
        <x:f>养成消耗调参!$E$153</x:f>
        <x:v>192</x:v>
      </x:c>
      <x:c r="M174" s="12" t="n">
        <x:f>养成消耗调参!$H$153</x:f>
        <x:v>600</x:v>
      </x:c>
      <x:c r="N174" s="12" t="n">
        <x:f>养成消耗调参!$I$153</x:f>
        <x:v>0</x:v>
      </x:c>
      <x:c r="O174" s="12" t="n">
        <x:f>养成消耗调参!$L$153</x:f>
        <x:v>480</x:v>
      </x:c>
      <x:c r="P174" s="12" t="n">
        <x:f>养成消耗调参!$O$153</x:f>
        <x:v>3000</x:v>
      </x:c>
      <x:c r="Q174" s="12" t="n">
        <x:f>养成消耗调参!$P$153</x:f>
        <x:v>10</x:v>
      </x:c>
      <x:c r="R174" s="13">
        <x:f>I174/英雄升级调参!$M$71-1</x:f>
        <x:v>-0.005332131702845078</x:v>
      </x:c>
      <x:c r="S174" s="6"/>
      <x:c r="T174" s="6"/>
      <x:c r="U174" s="6"/>
    </x:row>
    <x:row r="175" ht="21" customHeight="1">
      <x:c r="A175" s="14" t="n">
        <x:f>英雄升级调参!$B$18</x:f>
        <x:v>310000</x:v>
      </x:c>
      <x:c r="B175" s="14" t="str">
        <x:f>英雄升级调参!$C$18</x:f>
        <x:v>特歪兔</x:v>
      </x:c>
      <x:c r="C175" s="6" t="str">
        <x:f>英雄升级调参!$D$18</x:f>
        <x:v>战士</x:v>
      </x:c>
      <x:c r="D175" s="6" t="s">
        <x:v>25</x:v>
      </x:c>
      <x:c r="E175" s="6">
        <x:v>7</x:v>
      </x:c>
      <x:c r="F175" s="6" t="n">
        <x:f>英雄升级调参!$C$72</x:f>
        <x:v>2</x:v>
      </x:c>
      <x:c r="G175" s="12">
        <x:f t="shared" si="14"/>
        <x:v>797</x:v>
      </x:c>
      <x:c r="H175" s="12">
        <x:f t="shared" si="15"/>
        <x:v>7256</x:v>
      </x:c>
      <x:c r="I175" s="12">
        <x:f t="shared" si="11"/>
        <x:v>5783032</x:v>
      </x:c>
      <x:c r="J175" s="12">
        <x:f>ROUND(英雄升级调参!$D$72*英雄升级调参!$J$11*英雄升级调参!$E$18,0)</x:f>
        <x:v>71</x:v>
      </x:c>
      <x:c r="K175" s="12">
        <x:f>ROUND(英雄升级调参!$D$72*英雄升级调参!$C$11*英雄升级调参!$J$11*英雄升级调参!$G$18,0)</x:f>
        <x:v>643</x:v>
      </x:c>
      <x:c r="L175" s="12" t="n">
        <x:f>养成消耗调参!$E$154</x:f>
        <x:v>192</x:v>
      </x:c>
      <x:c r="M175" s="12" t="n">
        <x:f>养成消耗调参!$H$154</x:f>
        <x:v>1800</x:v>
      </x:c>
      <x:c r="N175" s="12" t="n">
        <x:f>养成消耗调参!$I$154</x:f>
        <x:v>0</x:v>
      </x:c>
      <x:c r="O175" s="12" t="n">
        <x:f>养成消耗调参!$L$154</x:f>
        <x:v>672</x:v>
      </x:c>
      <x:c r="P175" s="12" t="n">
        <x:f>养成消耗调参!$O$154</x:f>
        <x:v>4800</x:v>
      </x:c>
      <x:c r="Q175" s="12" t="n">
        <x:f>养成消耗调参!$P$154</x:f>
        <x:v>10</x:v>
      </x:c>
      <x:c r="R175" s="13">
        <x:f>I175/英雄升级调参!$M$72-1</x:f>
        <x:v>-0.00533671823132198</x:v>
      </x:c>
      <x:c r="S175" s="6"/>
      <x:c r="T175" s="6"/>
      <x:c r="U175" s="6"/>
    </x:row>
    <x:row r="176" ht="21" customHeight="1">
      <x:c r="A176" s="14" t="n">
        <x:f>英雄升级调参!$B$18</x:f>
        <x:v>310000</x:v>
      </x:c>
      <x:c r="B176" s="14" t="str">
        <x:f>英雄升级调参!$C$18</x:f>
        <x:v>特歪兔</x:v>
      </x:c>
      <x:c r="C176" s="6" t="str">
        <x:f>英雄升级调参!$D$18</x:f>
        <x:v>战士</x:v>
      </x:c>
      <x:c r="D176" s="6" t="s">
        <x:v>25</x:v>
      </x:c>
      <x:c r="E176" s="6">
        <x:v>8</x:v>
      </x:c>
      <x:c r="F176" s="6" t="n">
        <x:f>英雄升级调参!$C$73</x:f>
        <x:v>2</x:v>
      </x:c>
      <x:c r="G176" s="12">
        <x:f t="shared" si="14"/>
        <x:v>868</x:v>
      </x:c>
      <x:c r="H176" s="12">
        <x:f t="shared" si="15"/>
        <x:v>7899</x:v>
      </x:c>
      <x:c r="I176" s="12">
        <x:f t="shared" si="11"/>
        <x:v>6856332</x:v>
      </x:c>
      <x:c r="J176" s="12">
        <x:f>ROUND(英雄升级调参!$D$73*英雄升级调参!$J$11*英雄升级调参!$E$18,0)</x:f>
        <x:v>71</x:v>
      </x:c>
      <x:c r="K176" s="12">
        <x:f>ROUND(英雄升级调参!$D$73*英雄升级调参!$C$11*英雄升级调参!$J$11*英雄升级调参!$G$18,0)</x:f>
        <x:v>643</x:v>
      </x:c>
      <x:c r="L176" s="12" t="n">
        <x:f>养成消耗调参!$E$155</x:f>
        <x:v>288</x:v>
      </x:c>
      <x:c r="M176" s="12" t="n">
        <x:f>养成消耗调参!$H$155</x:f>
        <x:v>1800</x:v>
      </x:c>
      <x:c r="N176" s="12" t="n">
        <x:f>养成消耗调参!$I$155</x:f>
        <x:v>0</x:v>
      </x:c>
      <x:c r="O176" s="12" t="n">
        <x:f>养成消耗调参!$L$155</x:f>
        <x:v>960</x:v>
      </x:c>
      <x:c r="P176" s="12" t="n">
        <x:f>养成消耗调参!$O$155</x:f>
        <x:v>6600</x:v>
      </x:c>
      <x:c r="Q176" s="12" t="n">
        <x:f>养成消耗调参!$P$155</x:f>
        <x:v>10</x:v>
      </x:c>
      <x:c r="R176" s="13">
        <x:f>I176/英雄升级调参!$M$73-1</x:f>
        <x:v>-0.005340523084890858</x:v>
      </x:c>
      <x:c r="S176" s="6"/>
      <x:c r="T176" s="6"/>
      <x:c r="U176" s="6"/>
    </x:row>
    <x:row r="177" ht="21" customHeight="1">
      <x:c r="A177" s="14" t="n">
        <x:f>英雄升级调参!$B$18</x:f>
        <x:v>310000</x:v>
      </x:c>
      <x:c r="B177" s="14" t="str">
        <x:f>英雄升级调参!$C$18</x:f>
        <x:v>特歪兔</x:v>
      </x:c>
      <x:c r="C177" s="6" t="str">
        <x:f>英雄升级调参!$D$18</x:f>
        <x:v>战士</x:v>
      </x:c>
      <x:c r="D177" s="6" t="s">
        <x:v>25</x:v>
      </x:c>
      <x:c r="E177" s="6">
        <x:v>9</x:v>
      </x:c>
      <x:c r="F177" s="6" t="n">
        <x:f>英雄升级调参!$C$74</x:f>
        <x:v>2</x:v>
      </x:c>
      <x:c r="G177" s="12">
        <x:f t="shared" si="14"/>
        <x:v>939</x:v>
      </x:c>
      <x:c r="H177" s="12">
        <x:f t="shared" si="15"/>
        <x:v>8542</x:v>
      </x:c>
      <x:c r="I177" s="12">
        <x:f t="shared" si="11"/>
        <x:v>8020938</x:v>
      </x:c>
      <x:c r="J177" s="12">
        <x:f>ROUND(英雄升级调参!$D$74*英雄升级调参!$J$11*英雄升级调参!$E$18,0)</x:f>
        <x:v>71</x:v>
      </x:c>
      <x:c r="K177" s="12">
        <x:f>ROUND(英雄升级调参!$D$74*英雄升级调参!$C$11*英雄升级调参!$J$11*英雄升级调参!$G$18,0)</x:f>
        <x:v>643</x:v>
      </x:c>
      <x:c r="L177" s="12" t="n">
        <x:f>养成消耗调参!$E$156</x:f>
        <x:v>288</x:v>
      </x:c>
      <x:c r="M177" s="12" t="n">
        <x:f>养成消耗调参!$H$156</x:f>
        <x:v>1800</x:v>
      </x:c>
      <x:c r="N177" s="12" t="n">
        <x:f>养成消耗调参!$I$156</x:f>
        <x:v>0</x:v>
      </x:c>
      <x:c r="O177" s="12" t="n">
        <x:f>养成消耗调参!$L$156</x:f>
        <x:v>1248</x:v>
      </x:c>
      <x:c r="P177" s="12" t="n">
        <x:f>养成消耗调参!$O$156</x:f>
        <x:v>8400</x:v>
      </x:c>
      <x:c r="Q177" s="12" t="n">
        <x:f>养成消耗调参!$P$156</x:f>
        <x:v>10</x:v>
      </x:c>
      <x:c r="R177" s="13">
        <x:f>I177/英雄升级调参!$M$74-1</x:f>
        <x:v>-0.005343730120051626</x:v>
      </x:c>
      <x:c r="S177" s="6"/>
      <x:c r="T177" s="6"/>
      <x:c r="U177" s="6"/>
    </x:row>
    <x:row r="178" ht="21" customHeight="1">
      <x:c r="A178" s="14" t="n">
        <x:f>英雄升级调参!$B$18</x:f>
        <x:v>310000</x:v>
      </x:c>
      <x:c r="B178" s="14" t="str">
        <x:f>英雄升级调参!$C$18</x:f>
        <x:v>特歪兔</x:v>
      </x:c>
      <x:c r="C178" s="6" t="str">
        <x:f>英雄升级调参!$D$18</x:f>
        <x:v>战士</x:v>
      </x:c>
      <x:c r="D178" s="6" t="s">
        <x:v>25</x:v>
      </x:c>
      <x:c r="E178" s="6">
        <x:v>10</x:v>
      </x:c>
      <x:c r="F178" s="6" t="n">
        <x:f>英雄升级调参!$C$75</x:f>
        <x:v>2</x:v>
      </x:c>
      <x:c r="G178" s="12">
        <x:f t="shared" si="14"/>
        <x:v>1152</x:v>
      </x:c>
      <x:c r="H178" s="12">
        <x:f t="shared" si="15"/>
        <x:v>10471</x:v>
      </x:c>
      <x:c r="I178" s="12">
        <x:f t="shared" si="11"/>
        <x:v>12062592</x:v>
      </x:c>
      <x:c r="J178" s="12">
        <x:f>ROUND(英雄升级调参!$D$75*英雄升级调参!$J$11*英雄升级调参!$E$18,0)*3</x:f>
        <x:v>213</x:v>
      </x:c>
      <x:c r="K178" s="12">
        <x:f>ROUND(英雄升级调参!$D$75*英雄升级调参!$C$11*英雄升级调参!$J$11*英雄升级调参!$G$18,0)*3</x:f>
        <x:v>1929</x:v>
      </x:c>
      <x:c r="L178" s="12" t="n">
        <x:f>养成消耗调参!$E$157</x:f>
        <x:v>384</x:v>
      </x:c>
      <x:c r="M178" s="12" t="n">
        <x:f>养成消耗调参!$H$157</x:f>
        <x:v>1800</x:v>
      </x:c>
      <x:c r="N178" s="12" t="n">
        <x:f>养成消耗调参!$I$157</x:f>
        <x:v>30</x:v>
      </x:c>
      <x:c r="O178" s="12" t="n">
        <x:f>养成消耗调参!$L$157</x:f>
        <x:v>1632</x:v>
      </x:c>
      <x:c r="P178" s="12" t="n">
        <x:f>养成消耗调参!$O$157</x:f>
        <x:v>10200</x:v>
      </x:c>
      <x:c r="Q178" s="12" t="n">
        <x:f>养成消耗调参!$P$157</x:f>
        <x:v>40</x:v>
      </x:c>
      <x:c r="R178" s="13">
        <x:f>I178/英雄升级调参!$M$75-1</x:f>
        <x:v>-0.005350903340634927</x:v>
      </x:c>
      <x:c r="S178" s="6"/>
      <x:c r="T178" s="6"/>
      <x:c r="U178" s="6"/>
    </x:row>
    <x:row r="179" ht="21" customHeight="1">
      <x:c r="A179" s="14" t="n">
        <x:f>英雄升级调参!$B$18</x:f>
        <x:v>310000</x:v>
      </x:c>
      <x:c r="B179" s="14" t="str">
        <x:f>英雄升级调参!$C$18</x:f>
        <x:v>特歪兔</x:v>
      </x:c>
      <x:c r="C179" s="6" t="str">
        <x:f>英雄升级调参!$D$18</x:f>
        <x:v>战士</x:v>
      </x:c>
      <x:c r="D179" s="6" t="s">
        <x:v>25</x:v>
      </x:c>
      <x:c r="E179" s="6">
        <x:v>11</x:v>
      </x:c>
      <x:c r="F179" s="6" t="n">
        <x:f>英雄升级调参!$C$76</x:f>
        <x:v>3</x:v>
      </x:c>
      <x:c r="G179" s="12">
        <x:f t="shared" si="14"/>
        <x:v>1247</x:v>
      </x:c>
      <x:c r="H179" s="12">
        <x:f t="shared" si="15"/>
        <x:v>11328</x:v>
      </x:c>
      <x:c r="I179" s="12">
        <x:f t="shared" si="11"/>
        <x:v>14126016</x:v>
      </x:c>
      <x:c r="J179" s="12">
        <x:f>ROUND(英雄升级调参!$D$76*英雄升级调参!$J$11*英雄升级调参!$E$18,0)</x:f>
        <x:v>95</x:v>
      </x:c>
      <x:c r="K179" s="12">
        <x:f>ROUND(英雄升级调参!$D$76*英雄升级调参!$C$11*英雄升级调参!$J$11*英雄升级调参!$G$18,0)</x:f>
        <x:v>857</x:v>
      </x:c>
      <x:c r="L179" s="12" t="n">
        <x:f>养成消耗调参!$E$158</x:f>
        <x:v>384</x:v>
      </x:c>
      <x:c r="M179" s="12" t="n">
        <x:f>养成消耗调参!$H$158</x:f>
        <x:v>1800</x:v>
      </x:c>
      <x:c r="N179" s="12" t="n">
        <x:f>养成消耗调参!$I$158</x:f>
        <x:v>0</x:v>
      </x:c>
      <x:c r="O179" s="12" t="n">
        <x:f>养成消耗调参!$L$158</x:f>
        <x:v>2016</x:v>
      </x:c>
      <x:c r="P179" s="12" t="n">
        <x:f>养成消耗调参!$O$158</x:f>
        <x:v>12000</x:v>
      </x:c>
      <x:c r="Q179" s="12" t="n">
        <x:f>养成消耗调参!$P$158</x:f>
        <x:v>40</x:v>
      </x:c>
      <x:c r="R179" s="13">
        <x:f>I179/英雄升级调参!$M$76-1</x:f>
        <x:v>-0.00456065172099962</x:v>
      </x:c>
      <x:c r="S179" s="6"/>
      <x:c r="T179" s="6"/>
      <x:c r="U179" s="6"/>
    </x:row>
    <x:row r="180" ht="21" customHeight="1">
      <x:c r="A180" s="14" t="n">
        <x:f>英雄升级调参!$B$18</x:f>
        <x:v>310000</x:v>
      </x:c>
      <x:c r="B180" s="14" t="str">
        <x:f>英雄升级调参!$C$18</x:f>
        <x:v>特歪兔</x:v>
      </x:c>
      <x:c r="C180" s="6" t="str">
        <x:f>英雄升级调参!$D$18</x:f>
        <x:v>战士</x:v>
      </x:c>
      <x:c r="D180" s="6" t="s">
        <x:v>25</x:v>
      </x:c>
      <x:c r="E180" s="6">
        <x:v>12</x:v>
      </x:c>
      <x:c r="F180" s="6" t="n">
        <x:f>英雄升级调参!$C$77</x:f>
        <x:v>3</x:v>
      </x:c>
      <x:c r="G180" s="12">
        <x:f t="shared" si="14"/>
        <x:v>1342</x:v>
      </x:c>
      <x:c r="H180" s="12">
        <x:f t="shared" si="15"/>
        <x:v>12185</x:v>
      </x:c>
      <x:c r="I180" s="12">
        <x:f t="shared" si="11"/>
        <x:v>16352270</x:v>
      </x:c>
      <x:c r="J180" s="12">
        <x:f>ROUND(英雄升级调参!$D$77*英雄升级调参!$J$11*英雄升级调参!$E$18,0)</x:f>
        <x:v>95</x:v>
      </x:c>
      <x:c r="K180" s="12">
        <x:f>ROUND(英雄升级调参!$D$77*英雄升级调参!$C$11*英雄升级调参!$J$11*英雄升级调参!$G$18,0)</x:f>
        <x:v>857</x:v>
      </x:c>
      <x:c r="L180" s="12" t="n">
        <x:f>养成消耗调参!$E$159</x:f>
        <x:v>480</x:v>
      </x:c>
      <x:c r="M180" s="12" t="n">
        <x:f>养成消耗调参!$H$159</x:f>
        <x:v>3000</x:v>
      </x:c>
      <x:c r="N180" s="12" t="n">
        <x:f>养成消耗调参!$I$159</x:f>
        <x:v>0</x:v>
      </x:c>
      <x:c r="O180" s="12" t="n">
        <x:f>养成消耗调参!$L$159</x:f>
        <x:v>2496</x:v>
      </x:c>
      <x:c r="P180" s="12" t="n">
        <x:f>养成消耗调参!$O$159</x:f>
        <x:v>15000</x:v>
      </x:c>
      <x:c r="Q180" s="12" t="n">
        <x:f>养成消耗调参!$P$159</x:f>
        <x:v>40</x:v>
      </x:c>
      <x:c r="R180" s="13">
        <x:f>I180/英雄升级调参!$M$77-1</x:f>
        <x:v>-0.003881277912961001</x:v>
      </x:c>
      <x:c r="S180" s="6"/>
      <x:c r="T180" s="6"/>
      <x:c r="U180" s="6"/>
    </x:row>
    <x:row r="181" ht="21" customHeight="1">
      <x:c r="A181" s="14" t="n">
        <x:f>英雄升级调参!$B$18</x:f>
        <x:v>310000</x:v>
      </x:c>
      <x:c r="B181" s="14" t="str">
        <x:f>英雄升级调参!$C$18</x:f>
        <x:v>特歪兔</x:v>
      </x:c>
      <x:c r="C181" s="6" t="str">
        <x:f>英雄升级调参!$D$18</x:f>
        <x:v>战士</x:v>
      </x:c>
      <x:c r="D181" s="6" t="s">
        <x:v>25</x:v>
      </x:c>
      <x:c r="E181" s="6">
        <x:v>13</x:v>
      </x:c>
      <x:c r="F181" s="6" t="n">
        <x:f>英雄升级调参!$C$78</x:f>
        <x:v>3</x:v>
      </x:c>
      <x:c r="G181" s="12">
        <x:f t="shared" si="14"/>
        <x:v>1437</x:v>
      </x:c>
      <x:c r="H181" s="12">
        <x:f t="shared" si="15"/>
        <x:v>13042</x:v>
      </x:c>
      <x:c r="I181" s="12">
        <x:f t="shared" si="11"/>
        <x:v>18741354</x:v>
      </x:c>
      <x:c r="J181" s="12">
        <x:f>ROUND(英雄升级调参!$D$78*英雄升级调参!$J$11*英雄升级调参!$E$18,0)</x:f>
        <x:v>95</x:v>
      </x:c>
      <x:c r="K181" s="12">
        <x:f>ROUND(英雄升级调参!$D$78*英雄升级调参!$C$11*英雄升级调参!$J$11*英雄升级调参!$G$18,0)</x:f>
        <x:v>857</x:v>
      </x:c>
      <x:c r="L181" s="12" t="n">
        <x:f>养成消耗调参!$E$160</x:f>
        <x:v>480</x:v>
      </x:c>
      <x:c r="M181" s="12" t="n">
        <x:f>养成消耗调参!$H$160</x:f>
        <x:v>3000</x:v>
      </x:c>
      <x:c r="N181" s="12" t="n">
        <x:f>养成消耗调参!$I$160</x:f>
        <x:v>0</x:v>
      </x:c>
      <x:c r="O181" s="12" t="n">
        <x:f>养成消耗调参!$L$160</x:f>
        <x:v>2976</x:v>
      </x:c>
      <x:c r="P181" s="12" t="n">
        <x:f>养成消耗调参!$O$160</x:f>
        <x:v>18000</x:v>
      </x:c>
      <x:c r="Q181" s="12" t="n">
        <x:f>养成消耗调参!$P$160</x:f>
        <x:v>40</x:v>
      </x:c>
      <x:c r="R181" s="13">
        <x:f>I181/英雄升级调参!$M$78-1</x:f>
        <x:v>-0.0032909762602020276</x:v>
      </x:c>
      <x:c r="S181" s="6"/>
      <x:c r="T181" s="6"/>
      <x:c r="U181" s="6"/>
    </x:row>
    <x:row r="182" ht="21" customHeight="1">
      <x:c r="A182" s="14" t="n">
        <x:f>英雄升级调参!$B$18</x:f>
        <x:v>310000</x:v>
      </x:c>
      <x:c r="B182" s="14" t="str">
        <x:f>英雄升级调参!$C$18</x:f>
        <x:v>特歪兔</x:v>
      </x:c>
      <x:c r="C182" s="6" t="str">
        <x:f>英雄升级调参!$D$18</x:f>
        <x:v>战士</x:v>
      </x:c>
      <x:c r="D182" s="6" t="s">
        <x:v>25</x:v>
      </x:c>
      <x:c r="E182" s="6">
        <x:v>14</x:v>
      </x:c>
      <x:c r="F182" s="6" t="n">
        <x:f>英雄升级调参!$C$79</x:f>
        <x:v>3</x:v>
      </x:c>
      <x:c r="G182" s="12">
        <x:f t="shared" si="14"/>
        <x:v>1532</x:v>
      </x:c>
      <x:c r="H182" s="12">
        <x:f t="shared" si="15"/>
        <x:v>13899</x:v>
      </x:c>
      <x:c r="I182" s="12">
        <x:f t="shared" si="11"/>
        <x:v>21293268</x:v>
      </x:c>
      <x:c r="J182" s="12">
        <x:f>ROUND(英雄升级调参!$D$79*英雄升级调参!$J$11*英雄升级调参!$E$18,0)</x:f>
        <x:v>95</x:v>
      </x:c>
      <x:c r="K182" s="12">
        <x:f>ROUND(英雄升级调参!$D$79*英雄升级调参!$C$11*英雄升级调参!$J$11*英雄升级调参!$G$18,0)</x:f>
        <x:v>857</x:v>
      </x:c>
      <x:c r="L182" s="12" t="n">
        <x:f>养成消耗调参!$E$161</x:f>
        <x:v>576</x:v>
      </x:c>
      <x:c r="M182" s="12" t="n">
        <x:f>养成消耗调参!$H$161</x:f>
        <x:v>3000</x:v>
      </x:c>
      <x:c r="N182" s="12" t="n">
        <x:f>养成消耗调参!$I$161</x:f>
        <x:v>0</x:v>
      </x:c>
      <x:c r="O182" s="12" t="n">
        <x:f>养成消耗调参!$L$161</x:f>
        <x:v>3552</x:v>
      </x:c>
      <x:c r="P182" s="12" t="n">
        <x:f>养成消耗调参!$O$161</x:f>
        <x:v>21000</x:v>
      </x:c>
      <x:c r="Q182" s="12" t="n">
        <x:f>养成消耗调参!$P$161</x:f>
        <x:v>40</x:v>
      </x:c>
      <x:c r="R182" s="13">
        <x:f>I182/英雄升级调参!$M$79-1</x:f>
        <x:v>-0.002773307181810458</x:v>
      </x:c>
      <x:c r="S182" s="6"/>
      <x:c r="T182" s="6"/>
      <x:c r="U182" s="6"/>
    </x:row>
    <x:row r="183" ht="21" customHeight="1">
      <x:c r="A183" s="14" t="n">
        <x:f>英雄升级调参!$B$18</x:f>
        <x:v>310000</x:v>
      </x:c>
      <x:c r="B183" s="14" t="str">
        <x:f>英雄升级调参!$C$18</x:f>
        <x:v>特歪兔</x:v>
      </x:c>
      <x:c r="C183" s="6" t="str">
        <x:f>英雄升级调参!$D$18</x:f>
        <x:v>战士</x:v>
      </x:c>
      <x:c r="D183" s="6" t="s">
        <x:v>25</x:v>
      </x:c>
      <x:c r="E183" s="6">
        <x:v>15</x:v>
      </x:c>
      <x:c r="F183" s="6" t="n">
        <x:f>英雄升级调参!$C$80</x:f>
        <x:v>3</x:v>
      </x:c>
      <x:c r="G183" s="12">
        <x:f t="shared" si="14"/>
        <x:v>1817</x:v>
      </x:c>
      <x:c r="H183" s="12">
        <x:f t="shared" si="15"/>
        <x:v>16470</x:v>
      </x:c>
      <x:c r="I183" s="12">
        <x:f t="shared" si="11"/>
        <x:v>29925990</x:v>
      </x:c>
      <x:c r="J183" s="12">
        <x:f>ROUND(英雄升级调参!$D$80*英雄升级调参!$J$11*英雄升级调参!$E$18,0)*3</x:f>
        <x:v>285</x:v>
      </x:c>
      <x:c r="K183" s="12">
        <x:f>ROUND(英雄升级调参!$D$80*英雄升级调参!$C$11*英雄升级调参!$J$11*英雄升级调参!$G$18,0)*3</x:f>
        <x:v>2571</x:v>
      </x:c>
      <x:c r="L183" s="12" t="n">
        <x:f>养成消耗调参!$E$162</x:f>
        <x:v>576</x:v>
      </x:c>
      <x:c r="M183" s="12" t="n">
        <x:f>养成消耗调参!$H$162</x:f>
        <x:v>3000</x:v>
      </x:c>
      <x:c r="N183" s="12" t="n">
        <x:f>养成消耗调参!$I$162</x:f>
        <x:v>50</x:v>
      </x:c>
      <x:c r="O183" s="12" t="n">
        <x:f>养成消耗调参!$L$162</x:f>
        <x:v>4128</x:v>
      </x:c>
      <x:c r="P183" s="12" t="n">
        <x:f>养成消耗调参!$O$162</x:f>
        <x:v>24000</x:v>
      </x:c>
      <x:c r="Q183" s="12" t="n">
        <x:f>养成消耗调参!$P$162</x:f>
        <x:v>90</x:v>
      </x:c>
      <x:c r="R183" s="13">
        <x:f>I183/英雄升级调参!$M$80-1</x:f>
        <x:v>-0.0015429279798453432</x:v>
      </x:c>
      <x:c r="S183" s="6"/>
      <x:c r="T183" s="6"/>
      <x:c r="U183" s="6"/>
    </x:row>
    <x:row r="184" ht="21" customHeight="1">
      <x:c r="A184" s="14" t="n">
        <x:f>英雄升级调参!$B$18</x:f>
        <x:v>310000</x:v>
      </x:c>
      <x:c r="B184" s="14" t="str">
        <x:f>英雄升级调参!$C$18</x:f>
        <x:v>特歪兔</x:v>
      </x:c>
      <x:c r="C184" s="6" t="str">
        <x:f>英雄升级调参!$D$18</x:f>
        <x:v>战士</x:v>
      </x:c>
      <x:c r="D184" s="6" t="s">
        <x:v>25</x:v>
      </x:c>
      <x:c r="E184" s="6">
        <x:v>16</x:v>
      </x:c>
      <x:c r="F184" s="6" t="n">
        <x:f>英雄升级调参!$C$81</x:f>
        <x:v>4</x:v>
      </x:c>
      <x:c r="G184" s="12">
        <x:f t="shared" si="14"/>
        <x:v>1935</x:v>
      </x:c>
      <x:c r="H184" s="12">
        <x:f t="shared" si="15"/>
        <x:v>17541</x:v>
      </x:c>
      <x:c r="I184" s="12">
        <x:f t="shared" si="11"/>
        <x:v>33941835</x:v>
      </x:c>
      <x:c r="J184" s="12">
        <x:f>ROUND(英雄升级调参!$D$81*英雄升级调参!$J$11*英雄升级调参!$E$18,0)</x:f>
        <x:v>118</x:v>
      </x:c>
      <x:c r="K184" s="12">
        <x:f>ROUND(英雄升级调参!$D$81*英雄升级调参!$C$11*英雄升级调参!$J$11*英雄升级调参!$G$18,0)</x:f>
        <x:v>1071</x:v>
      </x:c>
      <x:c r="L184" s="12" t="n">
        <x:f>养成消耗调参!$E$163</x:f>
        <x:v>672</x:v>
      </x:c>
      <x:c r="M184" s="12" t="n">
        <x:f>养成消耗调参!$H$163</x:f>
        <x:v>3000</x:v>
      </x:c>
      <x:c r="N184" s="12" t="n">
        <x:f>养成消耗调参!$I$163</x:f>
        <x:v>0</x:v>
      </x:c>
      <x:c r="O184" s="12" t="n">
        <x:f>养成消耗调参!$L$163</x:f>
        <x:v>4800</x:v>
      </x:c>
      <x:c r="P184" s="12" t="n">
        <x:f>养成消耗调参!$O$163</x:f>
        <x:v>27000</x:v>
      </x:c>
      <x:c r="Q184" s="12" t="n">
        <x:f>养成消耗调参!$P$163</x:f>
        <x:v>90</x:v>
      </x:c>
      <x:c r="R184" s="13">
        <x:f>I184/英雄升级调参!$M$81-1</x:f>
        <x:v>-0.0018082057869642787</x:v>
      </x:c>
      <x:c r="S184" s="6"/>
      <x:c r="T184" s="6"/>
      <x:c r="U184" s="6"/>
    </x:row>
    <x:row r="185" ht="21" customHeight="1">
      <x:c r="A185" s="14" t="n">
        <x:f>英雄升级调参!$B$18</x:f>
        <x:v>310000</x:v>
      </x:c>
      <x:c r="B185" s="14" t="str">
        <x:f>英雄升级调参!$C$18</x:f>
        <x:v>特歪兔</x:v>
      </x:c>
      <x:c r="C185" s="6" t="str">
        <x:f>英雄升级调参!$D$18</x:f>
        <x:v>战士</x:v>
      </x:c>
      <x:c r="D185" s="6" t="s">
        <x:v>25</x:v>
      </x:c>
      <x:c r="E185" s="6">
        <x:v>17</x:v>
      </x:c>
      <x:c r="F185" s="6" t="n">
        <x:f>英雄升级调参!$C$82</x:f>
        <x:v>4</x:v>
      </x:c>
      <x:c r="G185" s="12">
        <x:f t="shared" si="14"/>
        <x:v>2053</x:v>
      </x:c>
      <x:c r="H185" s="12">
        <x:f t="shared" si="15"/>
        <x:v>18612</x:v>
      </x:c>
      <x:c r="I185" s="12">
        <x:f t="shared" si="11"/>
        <x:v>38210436</x:v>
      </x:c>
      <x:c r="J185" s="12">
        <x:f>ROUND(英雄升级调参!$D$82*英雄升级调参!$J$11*英雄升级调参!$E$18,0)</x:f>
        <x:v>118</x:v>
      </x:c>
      <x:c r="K185" s="12">
        <x:f>ROUND(英雄升级调参!$D$82*英雄升级调参!$C$11*英雄升级调参!$J$11*英雄升级调参!$G$18,0)</x:f>
        <x:v>1071</x:v>
      </x:c>
      <x:c r="L185" s="12" t="n">
        <x:f>养成消耗调参!$E$164</x:f>
        <x:v>672</x:v>
      </x:c>
      <x:c r="M185" s="12" t="n">
        <x:f>养成消耗调参!$H$164</x:f>
        <x:v>4200</x:v>
      </x:c>
      <x:c r="N185" s="12" t="n">
        <x:f>养成消耗调参!$I$164</x:f>
        <x:v>0</x:v>
      </x:c>
      <x:c r="O185" s="12" t="n">
        <x:f>养成消耗调参!$L$164</x:f>
        <x:v>5472</x:v>
      </x:c>
      <x:c r="P185" s="12" t="n">
        <x:f>养成消耗调参!$O$164</x:f>
        <x:v>31200</x:v>
      </x:c>
      <x:c r="Q185" s="12" t="n">
        <x:f>养成消耗调参!$P$164</x:f>
        <x:v>90</x:v>
      </x:c>
      <x:c r="R185" s="13">
        <x:f>I185/英雄升级调参!$M$82-1</x:f>
        <x:v>-0.0020428766693424416</x:v>
      </x:c>
      <x:c r="S185" s="6"/>
      <x:c r="T185" s="6"/>
      <x:c r="U185" s="6"/>
    </x:row>
    <x:row r="186" ht="21" customHeight="1">
      <x:c r="A186" s="14" t="n">
        <x:f>英雄升级调参!$B$18</x:f>
        <x:v>310000</x:v>
      </x:c>
      <x:c r="B186" s="14" t="str">
        <x:f>英雄升级调参!$C$18</x:f>
        <x:v>特歪兔</x:v>
      </x:c>
      <x:c r="C186" s="6" t="str">
        <x:f>英雄升级调参!$D$18</x:f>
        <x:v>战士</x:v>
      </x:c>
      <x:c r="D186" s="6" t="s">
        <x:v>25</x:v>
      </x:c>
      <x:c r="E186" s="6">
        <x:v>18</x:v>
      </x:c>
      <x:c r="F186" s="6" t="n">
        <x:f>英雄升级调参!$C$83</x:f>
        <x:v>4</x:v>
      </x:c>
      <x:c r="G186" s="12">
        <x:f t="shared" si="14"/>
        <x:v>2171</x:v>
      </x:c>
      <x:c r="H186" s="12">
        <x:f t="shared" si="15"/>
        <x:v>19683</x:v>
      </x:c>
      <x:c r="I186" s="12">
        <x:f t="shared" si="11"/>
        <x:v>42731793</x:v>
      </x:c>
      <x:c r="J186" s="12">
        <x:f>ROUND(英雄升级调参!$D$83*英雄升级调参!$J$11*英雄升级调参!$E$18,0)</x:f>
        <x:v>118</x:v>
      </x:c>
      <x:c r="K186" s="12">
        <x:f>ROUND(英雄升级调参!$D$83*英雄升级调参!$C$11*英雄升级调参!$J$11*英雄升级调参!$G$18,0)</x:f>
        <x:v>1071</x:v>
      </x:c>
      <x:c r="L186" s="12" t="n">
        <x:f>养成消耗调参!$E$165</x:f>
        <x:v>768</x:v>
      </x:c>
      <x:c r="M186" s="12" t="n">
        <x:f>养成消耗调参!$H$165</x:f>
        <x:v>4200</x:v>
      </x:c>
      <x:c r="N186" s="12" t="n">
        <x:f>养成消耗调参!$I$165</x:f>
        <x:v>0</x:v>
      </x:c>
      <x:c r="O186" s="12" t="n">
        <x:f>养成消耗调参!$L$165</x:f>
        <x:v>6240</x:v>
      </x:c>
      <x:c r="P186" s="12" t="n">
        <x:f>养成消耗调参!$O$165</x:f>
        <x:v>35400</x:v>
      </x:c>
      <x:c r="Q186" s="12" t="n">
        <x:f>养成消耗调参!$P$165</x:f>
        <x:v>90</x:v>
      </x:c>
      <x:c r="R186" s="13">
        <x:f>I186/英雄升级调参!$M$83-1</x:f>
        <x:v>-0.002251948714212859</x:v>
      </x:c>
      <x:c r="S186" s="6"/>
      <x:c r="T186" s="6"/>
      <x:c r="U186" s="6"/>
    </x:row>
    <x:row r="187" ht="21" customHeight="1">
      <x:c r="A187" s="14" t="n">
        <x:f>英雄升级调参!$B$18</x:f>
        <x:v>310000</x:v>
      </x:c>
      <x:c r="B187" s="14" t="str">
        <x:f>英雄升级调参!$C$18</x:f>
        <x:v>特歪兔</x:v>
      </x:c>
      <x:c r="C187" s="6" t="str">
        <x:f>英雄升级调参!$D$18</x:f>
        <x:v>战士</x:v>
      </x:c>
      <x:c r="D187" s="6" t="s">
        <x:v>25</x:v>
      </x:c>
      <x:c r="E187" s="6">
        <x:v>19</x:v>
      </x:c>
      <x:c r="F187" s="6" t="n">
        <x:f>英雄升级调参!$C$84</x:f>
        <x:v>4</x:v>
      </x:c>
      <x:c r="G187" s="12">
        <x:f t="shared" si="14"/>
        <x:v>2289</x:v>
      </x:c>
      <x:c r="H187" s="12">
        <x:f t="shared" si="15"/>
        <x:v>20754</x:v>
      </x:c>
      <x:c r="I187" s="12">
        <x:f t="shared" si="11"/>
        <x:v>47505906</x:v>
      </x:c>
      <x:c r="J187" s="12">
        <x:f>ROUND(英雄升级调参!$D$84*英雄升级调参!$J$11*英雄升级调参!$E$18,0)</x:f>
        <x:v>118</x:v>
      </x:c>
      <x:c r="K187" s="12">
        <x:f>ROUND(英雄升级调参!$D$84*英雄升级调参!$C$11*英雄升级调参!$J$11*英雄升级调参!$G$18,0)</x:f>
        <x:v>1071</x:v>
      </x:c>
      <x:c r="L187" s="12" t="n">
        <x:f>养成消耗调参!$E$166</x:f>
        <x:v>768</x:v>
      </x:c>
      <x:c r="M187" s="12" t="n">
        <x:f>养成消耗调参!$H$166</x:f>
        <x:v>4200</x:v>
      </x:c>
      <x:c r="N187" s="12" t="n">
        <x:f>养成消耗调参!$I$166</x:f>
        <x:v>0</x:v>
      </x:c>
      <x:c r="O187" s="12" t="n">
        <x:f>养成消耗调参!$L$166</x:f>
        <x:v>7008</x:v>
      </x:c>
      <x:c r="P187" s="12" t="n">
        <x:f>养成消耗调参!$O$166</x:f>
        <x:v>39600</x:v>
      </x:c>
      <x:c r="Q187" s="12" t="n">
        <x:f>养成消耗调参!$P$166</x:f>
        <x:v>90</x:v>
      </x:c>
      <x:c r="R187" s="13">
        <x:f>I187/英雄升级调参!$M$84-1</x:f>
        <x:v>-0.002439393915531829</x:v>
      </x:c>
      <x:c r="S187" s="6"/>
      <x:c r="T187" s="6"/>
      <x:c r="U187" s="6"/>
    </x:row>
    <x:row r="188" ht="21" customHeight="1">
      <x:c r="A188" s="14" t="n">
        <x:f>英雄升级调参!$B$18</x:f>
        <x:v>310000</x:v>
      </x:c>
      <x:c r="B188" s="14" t="str">
        <x:f>英雄升级调参!$C$18</x:f>
        <x:v>特歪兔</x:v>
      </x:c>
      <x:c r="C188" s="6" t="str">
        <x:f>英雄升级调参!$D$18</x:f>
        <x:v>战士</x:v>
      </x:c>
      <x:c r="D188" s="6" t="s">
        <x:v>25</x:v>
      </x:c>
      <x:c r="E188" s="6">
        <x:v>20</x:v>
      </x:c>
      <x:c r="F188" s="6" t="n">
        <x:f>英雄升级调参!$C$85</x:f>
        <x:v>4</x:v>
      </x:c>
      <x:c r="G188" s="12">
        <x:f t="shared" si="14"/>
        <x:v>2643</x:v>
      </x:c>
      <x:c r="H188" s="12">
        <x:f t="shared" si="15"/>
        <x:v>23967</x:v>
      </x:c>
      <x:c r="I188" s="12">
        <x:f t="shared" si="11"/>
        <x:v>63344781</x:v>
      </x:c>
      <x:c r="J188" s="12">
        <x:f>ROUND(英雄升级调参!$D$85*英雄升级调参!$J$11*英雄升级调参!$E$18,0)*3</x:f>
        <x:v>354</x:v>
      </x:c>
      <x:c r="K188" s="12">
        <x:f>ROUND(英雄升级调参!$D$85*英雄升级调参!$C$11*英雄升级调参!$J$11*英雄升级调参!$G$18,0)*3</x:f>
        <x:v>3213</x:v>
      </x:c>
      <x:c r="L188" s="12" t="n">
        <x:f>养成消耗调参!$E$167</x:f>
        <x:v>864</x:v>
      </x:c>
      <x:c r="M188" s="12" t="n">
        <x:f>养成消耗调参!$H$167</x:f>
        <x:v>4200</x:v>
      </x:c>
      <x:c r="N188" s="12" t="n">
        <x:f>养成消耗调参!$I$167</x:f>
        <x:v>70</x:v>
      </x:c>
      <x:c r="O188" s="12" t="n">
        <x:f>养成消耗调参!$L$167</x:f>
        <x:v>7872</x:v>
      </x:c>
      <x:c r="P188" s="12" t="n">
        <x:f>养成消耗调参!$O$167</x:f>
        <x:v>43800</x:v>
      </x:c>
      <x:c r="Q188" s="12" t="n">
        <x:f>养成消耗调参!$P$167</x:f>
        <x:v>160</x:v>
      </x:c>
      <x:c r="R188" s="13">
        <x:f>I188/英雄升级调参!$M$85-1</x:f>
        <x:v>-0.002901017927538052</x:v>
      </x:c>
      <x:c r="S188" s="6"/>
      <x:c r="T188" s="6"/>
      <x:c r="U188" s="6"/>
    </x:row>
    <x:row r="189" ht="21" customHeight="1">
      <x:c r="A189" s="14" t="n">
        <x:f>英雄升级调参!$B$18</x:f>
        <x:v>310000</x:v>
      </x:c>
      <x:c r="B189" s="14" t="str">
        <x:f>英雄升级调参!$C$18</x:f>
        <x:v>特歪兔</x:v>
      </x:c>
      <x:c r="C189" s="6" t="str">
        <x:f>英雄升级调参!$D$18</x:f>
        <x:v>战士</x:v>
      </x:c>
      <x:c r="D189" s="6" t="s">
        <x:v>25</x:v>
      </x:c>
      <x:c r="E189" s="6">
        <x:v>21</x:v>
      </x:c>
      <x:c r="F189" s="6" t="n">
        <x:f>英雄升级调参!$C$86</x:f>
        <x:v>5</x:v>
      </x:c>
      <x:c r="G189" s="12">
        <x:f t="shared" si="14"/>
        <x:v>2785</x:v>
      </x:c>
      <x:c r="H189" s="12">
        <x:f t="shared" si="15"/>
        <x:v>25253</x:v>
      </x:c>
      <x:c r="I189" s="12">
        <x:f t="shared" si="11"/>
        <x:v>70329605</x:v>
      </x:c>
      <x:c r="J189" s="12">
        <x:f>ROUND(英雄升级调参!$D$86*英雄升级调参!$J$11*英雄升级调参!$E$18,0)</x:f>
        <x:v>142</x:v>
      </x:c>
      <x:c r="K189" s="12">
        <x:f>ROUND(英雄升级调参!$D$86*英雄升级调参!$C$11*英雄升级调参!$J$11*英雄升级调参!$G$18,0)</x:f>
        <x:v>1286</x:v>
      </x:c>
      <x:c r="L189" s="12" t="n">
        <x:f>养成消耗调参!$E$168</x:f>
        <x:v>864</x:v>
      </x:c>
      <x:c r="M189" s="12" t="n">
        <x:f>养成消耗调参!$H$168</x:f>
        <x:v>4200</x:v>
      </x:c>
      <x:c r="N189" s="12" t="n">
        <x:f>养成消耗调参!$I$168</x:f>
        <x:v>0</x:v>
      </x:c>
      <x:c r="O189" s="12" t="n">
        <x:f>养成消耗调参!$L$168</x:f>
        <x:v>8736</x:v>
      </x:c>
      <x:c r="P189" s="12" t="n">
        <x:f>养成消耗调参!$O$168</x:f>
        <x:v>48000</x:v>
      </x:c>
      <x:c r="Q189" s="12" t="n">
        <x:f>养成消耗调参!$P$168</x:f>
        <x:v>160</x:v>
      </x:c>
      <x:c r="R189" s="13">
        <x:f>I189/英雄升级调参!$M$86-1</x:f>
        <x:v>-0.0026529184300791986</x:v>
      </x:c>
      <x:c r="S189" s="6"/>
      <x:c r="T189" s="6"/>
      <x:c r="U189" s="6"/>
    </x:row>
    <x:row r="190" ht="21" customHeight="1">
      <x:c r="A190" s="14" t="n">
        <x:f>英雄升级调参!$B$18</x:f>
        <x:v>310000</x:v>
      </x:c>
      <x:c r="B190" s="14" t="str">
        <x:f>英雄升级调参!$C$18</x:f>
        <x:v>特歪兔</x:v>
      </x:c>
      <x:c r="C190" s="6" t="str">
        <x:f>英雄升级调参!$D$18</x:f>
        <x:v>战士</x:v>
      </x:c>
      <x:c r="D190" s="6" t="s">
        <x:v>25</x:v>
      </x:c>
      <x:c r="E190" s="6">
        <x:v>22</x:v>
      </x:c>
      <x:c r="F190" s="6" t="n">
        <x:f>英雄升级调参!$C$87</x:f>
        <x:v>5</x:v>
      </x:c>
      <x:c r="G190" s="12">
        <x:f t="shared" si="14"/>
        <x:v>2927</x:v>
      </x:c>
      <x:c r="H190" s="12">
        <x:f t="shared" si="15"/>
        <x:v>26539</x:v>
      </x:c>
      <x:c r="I190" s="12">
        <x:f t="shared" si="11"/>
        <x:v>77679653</x:v>
      </x:c>
      <x:c r="J190" s="12">
        <x:f>ROUND(英雄升级调参!$D$87*英雄升级调参!$J$11*英雄升级调参!$E$18,0)</x:f>
        <x:v>142</x:v>
      </x:c>
      <x:c r="K190" s="12">
        <x:f>ROUND(英雄升级调参!$D$87*英雄升级调参!$C$11*英雄升级调参!$J$11*英雄升级调参!$G$18,0)</x:f>
        <x:v>1286</x:v>
      </x:c>
      <x:c r="L190" s="12" t="n">
        <x:f>养成消耗调参!$E$169</x:f>
        <x:v>960</x:v>
      </x:c>
      <x:c r="M190" s="12" t="n">
        <x:f>养成消耗调参!$H$169</x:f>
        <x:v>6000</x:v>
      </x:c>
      <x:c r="N190" s="12" t="n">
        <x:f>养成消耗调参!$I$169</x:f>
        <x:v>0</x:v>
      </x:c>
      <x:c r="O190" s="12" t="n">
        <x:f>养成消耗调参!$L$169</x:f>
        <x:v>9696</x:v>
      </x:c>
      <x:c r="P190" s="12" t="n">
        <x:f>养成消耗调参!$O$169</x:f>
        <x:v>54000</x:v>
      </x:c>
      <x:c r="Q190" s="12" t="n">
        <x:f>养成消耗调参!$P$169</x:f>
        <x:v>160</x:v>
      </x:c>
      <x:c r="R190" s="13">
        <x:f>I190/英雄升级调参!$M$87-1</x:f>
        <x:v>-0.0024287911021593223</x:v>
      </x:c>
      <x:c r="S190" s="6"/>
      <x:c r="T190" s="6"/>
      <x:c r="U190" s="6"/>
    </x:row>
    <x:row r="191" ht="21" customHeight="1">
      <x:c r="A191" s="14" t="n">
        <x:f>英雄升级调参!$B$18</x:f>
        <x:v>310000</x:v>
      </x:c>
      <x:c r="B191" s="14" t="str">
        <x:f>英雄升级调参!$C$18</x:f>
        <x:v>特歪兔</x:v>
      </x:c>
      <x:c r="C191" s="6" t="str">
        <x:f>英雄升级调参!$D$18</x:f>
        <x:v>战士</x:v>
      </x:c>
      <x:c r="D191" s="6" t="s">
        <x:v>25</x:v>
      </x:c>
      <x:c r="E191" s="6">
        <x:v>23</x:v>
      </x:c>
      <x:c r="F191" s="6" t="n">
        <x:f>英雄升级调参!$C$88</x:f>
        <x:v>5</x:v>
      </x:c>
      <x:c r="G191" s="12">
        <x:f t="shared" si="14"/>
        <x:v>3069</x:v>
      </x:c>
      <x:c r="H191" s="12">
        <x:f t="shared" si="15"/>
        <x:v>27825</x:v>
      </x:c>
      <x:c r="I191" s="12">
        <x:f t="shared" si="11"/>
        <x:v>85394925</x:v>
      </x:c>
      <x:c r="J191" s="12">
        <x:f>ROUND(英雄升级调参!$D$88*英雄升级调参!$J$11*英雄升级调参!$E$18,0)</x:f>
        <x:v>142</x:v>
      </x:c>
      <x:c r="K191" s="12">
        <x:f>ROUND(英雄升级调参!$D$88*英雄升级调参!$C$11*英雄升级调参!$J$11*英雄升级调参!$G$18,0)</x:f>
        <x:v>1286</x:v>
      </x:c>
      <x:c r="L191" s="12" t="n">
        <x:f>养成消耗调参!$E$170</x:f>
        <x:v>960</x:v>
      </x:c>
      <x:c r="M191" s="12" t="n">
        <x:f>养成消耗调参!$H$170</x:f>
        <x:v>6000</x:v>
      </x:c>
      <x:c r="N191" s="12" t="n">
        <x:f>养成消耗调参!$I$170</x:f>
        <x:v>0</x:v>
      </x:c>
      <x:c r="O191" s="12" t="n">
        <x:f>养成消耗调参!$L$170</x:f>
        <x:v>10656</x:v>
      </x:c>
      <x:c r="P191" s="12" t="n">
        <x:f>养成消耗调参!$O$170</x:f>
        <x:v>60000</x:v>
      </x:c>
      <x:c r="Q191" s="12" t="n">
        <x:f>养成消耗调参!$P$170</x:f>
        <x:v>160</x:v>
      </x:c>
      <x:c r="R191" s="13">
        <x:f>I191/英雄升级调参!$M$88-1</x:f>
        <x:v>-0.002225321661246338</x:v>
      </x:c>
      <x:c r="S191" s="6"/>
      <x:c r="T191" s="6"/>
      <x:c r="U191" s="6"/>
    </x:row>
    <x:row r="192" ht="21" customHeight="1">
      <x:c r="A192" s="14" t="n">
        <x:f>英雄升级调参!$B$18</x:f>
        <x:v>310000</x:v>
      </x:c>
      <x:c r="B192" s="14" t="str">
        <x:f>英雄升级调参!$C$18</x:f>
        <x:v>特歪兔</x:v>
      </x:c>
      <x:c r="C192" s="6" t="str">
        <x:f>英雄升级调参!$D$18</x:f>
        <x:v>战士</x:v>
      </x:c>
      <x:c r="D192" s="6" t="s">
        <x:v>25</x:v>
      </x:c>
      <x:c r="E192" s="6">
        <x:v>24</x:v>
      </x:c>
      <x:c r="F192" s="6" t="n">
        <x:f>英雄升级调参!$C$89</x:f>
        <x:v>5</x:v>
      </x:c>
      <x:c r="G192" s="12">
        <x:f t="shared" si="14"/>
        <x:v>3211</x:v>
      </x:c>
      <x:c r="H192" s="12">
        <x:f t="shared" si="15"/>
        <x:v>29111</x:v>
      </x:c>
      <x:c r="I192" s="12">
        <x:f t="shared" si="11"/>
        <x:v>93475421</x:v>
      </x:c>
      <x:c r="J192" s="12">
        <x:f>ROUND(英雄升级调参!$D$89*英雄升级调参!$J$11*英雄升级调参!$E$18,0)</x:f>
        <x:v>142</x:v>
      </x:c>
      <x:c r="K192" s="12">
        <x:f>ROUND(英雄升级调参!$D$89*英雄升级调参!$C$11*英雄升级调参!$J$11*英雄升级调参!$G$18,0)</x:f>
        <x:v>1286</x:v>
      </x:c>
      <x:c r="L192" s="12" t="n">
        <x:f>养成消耗调参!$E$171</x:f>
        <x:v>1056</x:v>
      </x:c>
      <x:c r="M192" s="12" t="n">
        <x:f>养成消耗调参!$H$171</x:f>
        <x:v>6000</x:v>
      </x:c>
      <x:c r="N192" s="12" t="n">
        <x:f>养成消耗调参!$I$171</x:f>
        <x:v>0</x:v>
      </x:c>
      <x:c r="O192" s="12" t="n">
        <x:f>养成消耗调参!$L$171</x:f>
        <x:v>11712</x:v>
      </x:c>
      <x:c r="P192" s="12" t="n">
        <x:f>养成消耗调参!$O$171</x:f>
        <x:v>66000</x:v>
      </x:c>
      <x:c r="Q192" s="12" t="n">
        <x:f>养成消耗调参!$P$171</x:f>
        <x:v>160</x:v>
      </x:c>
      <x:c r="R192" s="13">
        <x:f>I192/英雄升级调参!$M$89-1</x:f>
        <x:v>-0.0020397798657534327</x:v>
      </x:c>
      <x:c r="S192" s="6"/>
      <x:c r="T192" s="6"/>
      <x:c r="U192" s="6"/>
    </x:row>
    <x:row r="193" ht="21" customHeight="1">
      <x:c r="A193" s="14" t="n">
        <x:f>英雄升级调参!$B$18</x:f>
        <x:v>310000</x:v>
      </x:c>
      <x:c r="B193" s="14" t="str">
        <x:f>英雄升级调参!$C$18</x:f>
        <x:v>特歪兔</x:v>
      </x:c>
      <x:c r="C193" s="6" t="str">
        <x:f>英雄升级调参!$D$18</x:f>
        <x:v>战士</x:v>
      </x:c>
      <x:c r="D193" s="6" t="s">
        <x:v>25</x:v>
      </x:c>
      <x:c r="E193" s="6">
        <x:v>25</x:v>
      </x:c>
      <x:c r="F193" s="6" t="n">
        <x:f>英雄升级调参!$C$90</x:f>
        <x:v>5</x:v>
      </x:c>
      <x:c r="G193" s="12">
        <x:f t="shared" si="14"/>
        <x:v>3637</x:v>
      </x:c>
      <x:c r="H193" s="12">
        <x:f t="shared" si="15"/>
        <x:v>32969</x:v>
      </x:c>
      <x:c r="I193" s="12">
        <x:f t="shared" si="11"/>
        <x:v>119908253</x:v>
      </x:c>
      <x:c r="J193" s="12">
        <x:f>ROUND(英雄升级调参!$D$90*英雄升级调参!$J$11*英雄升级调参!$E$18,0)*3</x:f>
        <x:v>426</x:v>
      </x:c>
      <x:c r="K193" s="12">
        <x:f>ROUND(英雄升级调参!$D$90*英雄升级调参!$C$11*英雄升级调参!$J$11*英雄升级调参!$G$18,0)*3</x:f>
        <x:v>3858</x:v>
      </x:c>
      <x:c r="L193" s="12" t="n">
        <x:f>养成消耗调参!$E$172</x:f>
        <x:v>1056</x:v>
      </x:c>
      <x:c r="M193" s="12" t="n">
        <x:f>养成消耗调参!$H$172</x:f>
        <x:v>6000</x:v>
      </x:c>
      <x:c r="N193" s="12" t="n">
        <x:f>养成消耗调参!$I$172</x:f>
        <x:v>90</x:v>
      </x:c>
      <x:c r="O193" s="12" t="n">
        <x:f>养成消耗调参!$L$172</x:f>
        <x:v>12768</x:v>
      </x:c>
      <x:c r="P193" s="12" t="n">
        <x:f>养成消耗调参!$O$172</x:f>
        <x:v>72000</x:v>
      </x:c>
      <x:c r="Q193" s="12" t="n">
        <x:f>养成消耗调参!$P$172</x:f>
        <x:v>250</x:v>
      </x:c>
      <x:c r="R193" s="13">
        <x:f>I193/英雄升级调参!$M$90-1</x:f>
        <x:v>-0.0015697922958467503</x:v>
      </x:c>
      <x:c r="S193" s="6"/>
      <x:c r="T193" s="6"/>
      <x:c r="U193" s="6"/>
    </x:row>
    <x:row r="194" ht="21" customHeight="1">
      <x:c r="A194" s="14" t="n">
        <x:f>英雄升级调参!$B$18</x:f>
        <x:v>310000</x:v>
      </x:c>
      <x:c r="B194" s="14" t="str">
        <x:f>英雄升级调参!$C$18</x:f>
        <x:v>特歪兔</x:v>
      </x:c>
      <x:c r="C194" s="6" t="str">
        <x:f>英雄升级调参!$D$18</x:f>
        <x:v>战士</x:v>
      </x:c>
      <x:c r="D194" s="6" t="s">
        <x:v>25</x:v>
      </x:c>
      <x:c r="E194" s="6">
        <x:v>26</x:v>
      </x:c>
      <x:c r="F194" s="6" t="n">
        <x:f>英雄升级调参!$C$91</x:f>
        <x:v>6</x:v>
      </x:c>
      <x:c r="G194" s="12">
        <x:f t="shared" si="14"/>
        <x:v>3802</x:v>
      </x:c>
      <x:c r="H194" s="12">
        <x:f t="shared" si="15"/>
        <x:v>34469</x:v>
      </x:c>
      <x:c r="I194" s="12">
        <x:f t="shared" si="11"/>
        <x:v>131051138</x:v>
      </x:c>
      <x:c r="J194" s="12">
        <x:f>ROUND(英雄升级调参!$D$91*英雄升级调参!$J$11*英雄升级调参!$E$18,0)</x:f>
        <x:v>165</x:v>
      </x:c>
      <x:c r="K194" s="12">
        <x:f>ROUND(英雄升级调参!$D$91*英雄升级调参!$C$11*英雄升级调参!$J$11*英雄升级调参!$G$18,0)</x:f>
        <x:v>1500</x:v>
      </x:c>
      <x:c r="L194" s="12" t="n">
        <x:f>养成消耗调参!$E$173</x:f>
        <x:v>1152</x:v>
      </x:c>
      <x:c r="M194" s="12" t="n">
        <x:f>养成消耗调参!$H$173</x:f>
        <x:v>6000</x:v>
      </x:c>
      <x:c r="N194" s="12" t="n">
        <x:f>养成消耗调参!$I$173</x:f>
        <x:v>0</x:v>
      </x:c>
      <x:c r="O194" s="12" t="n">
        <x:f>养成消耗调参!$L$173</x:f>
        <x:v>13920</x:v>
      </x:c>
      <x:c r="P194" s="12" t="n">
        <x:f>养成消耗调参!$O$173</x:f>
        <x:v>78000</x:v>
      </x:c>
      <x:c r="Q194" s="12" t="n">
        <x:f>养成消耗调参!$P$173</x:f>
        <x:v>250</x:v>
      </x:c>
      <x:c r="R194" s="13">
        <x:f>I194/英雄升级调参!$M$91-1</x:f>
        <x:v>-0.0017377230136076394</x:v>
      </x:c>
      <x:c r="S194" s="6"/>
      <x:c r="T194" s="6"/>
      <x:c r="U194" s="6"/>
    </x:row>
    <x:row r="195" ht="21" customHeight="1">
      <x:c r="A195" s="14" t="n">
        <x:f>英雄升级调参!$B$18</x:f>
        <x:v>310000</x:v>
      </x:c>
      <x:c r="B195" s="14" t="str">
        <x:f>英雄升级调参!$C$18</x:f>
        <x:v>特歪兔</x:v>
      </x:c>
      <x:c r="C195" s="6" t="str">
        <x:f>英雄升级调参!$D$18</x:f>
        <x:v>战士</x:v>
      </x:c>
      <x:c r="D195" s="6" t="s">
        <x:v>25</x:v>
      </x:c>
      <x:c r="E195" s="6">
        <x:v>27</x:v>
      </x:c>
      <x:c r="F195" s="6" t="n">
        <x:f>英雄升级调参!$C$92</x:f>
        <x:v>6</x:v>
      </x:c>
      <x:c r="G195" s="12">
        <x:f t="shared" si="14"/>
        <x:v>3967</x:v>
      </x:c>
      <x:c r="H195" s="12">
        <x:f t="shared" si="15"/>
        <x:v>35969</x:v>
      </x:c>
      <x:c r="I195" s="12">
        <x:f t="shared" si="11"/>
        <x:v>142689023</x:v>
      </x:c>
      <x:c r="J195" s="12">
        <x:f>ROUND(英雄升级调参!$D$92*英雄升级调参!$J$11*英雄升级调参!$E$18,0)</x:f>
        <x:v>165</x:v>
      </x:c>
      <x:c r="K195" s="12">
        <x:f>ROUND(英雄升级调参!$D$92*英雄升级调参!$C$11*英雄升级调参!$J$11*英雄升级调参!$G$18,0)</x:f>
        <x:v>1500</x:v>
      </x:c>
      <x:c r="L195" s="12" t="n">
        <x:f>养成消耗调参!$E$174</x:f>
        <x:v>1152</x:v>
      </x:c>
      <x:c r="M195" s="12" t="n">
        <x:f>养成消耗调参!$H$174</x:f>
        <x:v>7800</x:v>
      </x:c>
      <x:c r="N195" s="12" t="n">
        <x:f>养成消耗调参!$I$174</x:f>
        <x:v>0</x:v>
      </x:c>
      <x:c r="O195" s="12" t="n">
        <x:f>养成消耗调参!$L$174</x:f>
        <x:v>15072</x:v>
      </x:c>
      <x:c r="P195" s="12" t="n">
        <x:f>养成消耗调参!$O$174</x:f>
        <x:v>85800</x:v>
      </x:c>
      <x:c r="Q195" s="12" t="n">
        <x:f>养成消耗调参!$P$174</x:f>
        <x:v>250</x:v>
      </x:c>
      <x:c r="R195" s="13">
        <x:f>I195/英雄升级调参!$M$92-1</x:f>
        <x:v>-0.0018916343060917384</x:v>
      </x:c>
      <x:c r="S195" s="6"/>
      <x:c r="T195" s="6"/>
      <x:c r="U195" s="6"/>
    </x:row>
    <x:row r="196" ht="21" customHeight="1">
      <x:c r="A196" s="14" t="n">
        <x:f>英雄升级调参!$B$18</x:f>
        <x:v>310000</x:v>
      </x:c>
      <x:c r="B196" s="14" t="str">
        <x:f>英雄升级调参!$C$18</x:f>
        <x:v>特歪兔</x:v>
      </x:c>
      <x:c r="C196" s="6" t="str">
        <x:f>英雄升级调参!$D$18</x:f>
        <x:v>战士</x:v>
      </x:c>
      <x:c r="D196" s="6" t="s">
        <x:v>25</x:v>
      </x:c>
      <x:c r="E196" s="6">
        <x:v>28</x:v>
      </x:c>
      <x:c r="F196" s="6" t="n">
        <x:f>英雄升级调参!$C$93</x:f>
        <x:v>6</x:v>
      </x:c>
      <x:c r="G196" s="12">
        <x:f t="shared" si="14"/>
        <x:v>4132</x:v>
      </x:c>
      <x:c r="H196" s="12">
        <x:f t="shared" si="15"/>
        <x:v>37469</x:v>
      </x:c>
      <x:c r="I196" s="12">
        <x:f t="shared" si="11"/>
        <x:v>154821908</x:v>
      </x:c>
      <x:c r="J196" s="12">
        <x:f>ROUND(英雄升级调参!$D$93*英雄升级调参!$J$11*英雄升级调参!$E$18,0)</x:f>
        <x:v>165</x:v>
      </x:c>
      <x:c r="K196" s="12">
        <x:f>ROUND(英雄升级调参!$D$93*英雄升级调参!$C$11*英雄升级调参!$J$11*英雄升级调参!$G$18,0)</x:f>
        <x:v>1500</x:v>
      </x:c>
      <x:c r="L196" s="12" t="n">
        <x:f>养成消耗调参!$E$175</x:f>
        <x:v>1248</x:v>
      </x:c>
      <x:c r="M196" s="12" t="n">
        <x:f>养成消耗调参!$H$175</x:f>
        <x:v>7800</x:v>
      </x:c>
      <x:c r="N196" s="12" t="n">
        <x:f>养成消耗调参!$I$175</x:f>
        <x:v>0</x:v>
      </x:c>
      <x:c r="O196" s="12" t="n">
        <x:f>养成消耗调参!$L$175</x:f>
        <x:v>16320</x:v>
      </x:c>
      <x:c r="P196" s="12" t="n">
        <x:f>养成消耗调参!$O$175</x:f>
        <x:v>93600</x:v>
      </x:c>
      <x:c r="Q196" s="12" t="n">
        <x:f>养成消耗调参!$P$175</x:f>
        <x:v>250</x:v>
      </x:c>
      <x:c r="R196" s="13">
        <x:f>I196/英雄升级调参!$M$93-1</x:f>
        <x:v>-0.0020332114123270406</x:v>
      </x:c>
      <x:c r="S196" s="6"/>
      <x:c r="T196" s="6"/>
      <x:c r="U196" s="6"/>
    </x:row>
    <x:row r="197" ht="21" customHeight="1">
      <x:c r="A197" s="14" t="n">
        <x:f>英雄升级调参!$B$18</x:f>
        <x:v>310000</x:v>
      </x:c>
      <x:c r="B197" s="14" t="str">
        <x:f>英雄升级调参!$C$18</x:f>
        <x:v>特歪兔</x:v>
      </x:c>
      <x:c r="C197" s="6" t="str">
        <x:f>英雄升级调参!$D$18</x:f>
        <x:v>战士</x:v>
      </x:c>
      <x:c r="D197" s="6" t="s">
        <x:v>25</x:v>
      </x:c>
      <x:c r="E197" s="6">
        <x:v>29</x:v>
      </x:c>
      <x:c r="F197" s="6" t="n">
        <x:f>英雄升级调参!$C$94</x:f>
        <x:v>6</x:v>
      </x:c>
      <x:c r="G197" s="12">
        <x:f t="shared" si="14"/>
        <x:v>4297</x:v>
      </x:c>
      <x:c r="H197" s="12">
        <x:f t="shared" si="15"/>
        <x:v>38969</x:v>
      </x:c>
      <x:c r="I197" s="12">
        <x:f t="shared" ref="I197:I260" si="16">G197*H197</x:f>
        <x:v>167449793</x:v>
      </x:c>
      <x:c r="J197" s="12">
        <x:f>ROUND(英雄升级调参!$D$94*英雄升级调参!$J$11*英雄升级调参!$E$18,0)</x:f>
        <x:v>165</x:v>
      </x:c>
      <x:c r="K197" s="12">
        <x:f>ROUND(英雄升级调参!$D$94*英雄升级调参!$C$11*英雄升级调参!$J$11*英雄升级调参!$G$18,0)</x:f>
        <x:v>1500</x:v>
      </x:c>
      <x:c r="L197" s="12" t="n">
        <x:f>养成消耗调参!$E$176</x:f>
        <x:v>1248</x:v>
      </x:c>
      <x:c r="M197" s="12" t="n">
        <x:f>养成消耗调参!$H$176</x:f>
        <x:v>7800</x:v>
      </x:c>
      <x:c r="N197" s="12" t="n">
        <x:f>养成消耗调参!$I$176</x:f>
        <x:v>0</x:v>
      </x:c>
      <x:c r="O197" s="12" t="n">
        <x:f>养成消耗调参!$L$176</x:f>
        <x:v>17568</x:v>
      </x:c>
      <x:c r="P197" s="12" t="n">
        <x:f>养成消耗调参!$O$176</x:f>
        <x:v>101400</x:v>
      </x:c>
      <x:c r="Q197" s="12" t="n">
        <x:f>养成消耗调参!$P$176</x:f>
        <x:v>250</x:v>
      </x:c>
      <x:c r="R197" s="13">
        <x:f>I197/英雄升级调参!$M$94-1</x:f>
        <x:v>-0.002163879872896568</x:v>
      </x:c>
      <x:c r="S197" s="6"/>
      <x:c r="T197" s="6"/>
      <x:c r="U197" s="6"/>
    </x:row>
    <x:row r="198" ht="21" customHeight="1">
      <x:c r="A198" s="14" t="n">
        <x:f>英雄升级调参!$B$18</x:f>
        <x:v>310000</x:v>
      </x:c>
      <x:c r="B198" s="14" t="str">
        <x:f>英雄升级调参!$C$18</x:f>
        <x:v>特歪兔</x:v>
      </x:c>
      <x:c r="C198" s="6" t="str">
        <x:f>英雄升级调参!$D$18</x:f>
        <x:v>战士</x:v>
      </x:c>
      <x:c r="D198" s="6" t="s">
        <x:v>25</x:v>
      </x:c>
      <x:c r="E198" s="6">
        <x:v>30</x:v>
      </x:c>
      <x:c r="F198" s="6" t="n">
        <x:f>英雄升级调参!$C$95</x:f>
        <x:v>6</x:v>
      </x:c>
      <x:c r="G198" s="12">
        <x:f t="shared" si="14"/>
        <x:v>4792</x:v>
      </x:c>
      <x:c r="H198" s="12">
        <x:f t="shared" si="15"/>
        <x:v>43469</x:v>
      </x:c>
      <x:c r="I198" s="12">
        <x:f t="shared" si="16"/>
        <x:v>208303448</x:v>
      </x:c>
      <x:c r="J198" s="12">
        <x:f>ROUND(英雄升级调参!$D$95*英雄升级调参!$J$11*英雄升级调参!$E$18,0)*3</x:f>
        <x:v>495</x:v>
      </x:c>
      <x:c r="K198" s="12">
        <x:f>ROUND(英雄升级调参!$D$95*英雄升级调参!$C$11*英雄升级调参!$J$11*英雄升级调参!$G$18,0)*3</x:f>
        <x:v>4500</x:v>
      </x:c>
      <x:c r="L198" s="12" t="n">
        <x:f>养成消耗调参!$E$177</x:f>
        <x:v>1344</x:v>
      </x:c>
      <x:c r="M198" s="12" t="n">
        <x:f>养成消耗调参!$H$177</x:f>
        <x:v>7800</x:v>
      </x:c>
      <x:c r="N198" s="12" t="n">
        <x:f>养成消耗调参!$I$177</x:f>
        <x:v>110</x:v>
      </x:c>
      <x:c r="O198" s="12" t="n">
        <x:f>养成消耗调参!$L$177</x:f>
        <x:v>18912</x:v>
      </x:c>
      <x:c r="P198" s="12" t="n">
        <x:f>养成消耗调参!$O$177</x:f>
        <x:v>109200</x:v>
      </x:c>
      <x:c r="Q198" s="12" t="n">
        <x:f>养成消耗调参!$P$177</x:f>
        <x:v>360</x:v>
      </x:c>
      <x:c r="R198" s="13">
        <x:f>I198/英雄升级调参!$M$95-1</x:f>
        <x:v>-0.0025017349981174553</x:v>
      </x:c>
      <x:c r="S198" s="6"/>
      <x:c r="T198" s="6"/>
      <x:c r="U198" s="6"/>
    </x:row>
    <x:row r="199" ht="21" customHeight="1">
      <x:c r="A199" s="14" t="n">
        <x:f>英雄升级调参!$B$18</x:f>
        <x:v>310000</x:v>
      </x:c>
      <x:c r="B199" s="14" t="str">
        <x:f>英雄升级调参!$C$18</x:f>
        <x:v>特歪兔</x:v>
      </x:c>
      <x:c r="C199" s="6" t="str">
        <x:f>英雄升级调参!$D$18</x:f>
        <x:v>战士</x:v>
      </x:c>
      <x:c r="D199" s="6" t="s">
        <x:v>25</x:v>
      </x:c>
      <x:c r="E199" s="6">
        <x:v>31</x:v>
      </x:c>
      <x:c r="F199" s="6" t="n">
        <x:f>英雄升级调参!$C$96</x:f>
        <x:v>7</x:v>
      </x:c>
      <x:c r="G199" s="12">
        <x:f t="shared" si="14"/>
        <x:v>4981</x:v>
      </x:c>
      <x:c r="H199" s="12">
        <x:f t="shared" si="15"/>
        <x:v>45183</x:v>
      </x:c>
      <x:c r="I199" s="12">
        <x:f t="shared" si="16"/>
        <x:v>225056523</x:v>
      </x:c>
      <x:c r="J199" s="12">
        <x:f>ROUND(英雄升级调参!$D$96*英雄升级调参!$J$11*英雄升级调参!$E$18,0)</x:f>
        <x:v>189</x:v>
      </x:c>
      <x:c r="K199" s="12">
        <x:f>ROUND(英雄升级调参!$D$96*英雄升级调参!$C$11*英雄升级调参!$J$11*英雄升级调参!$G$18,0)</x:f>
        <x:v>1714</x:v>
      </x:c>
      <x:c r="L199" s="12" t="n">
        <x:f>养成消耗调参!$E$178</x:f>
        <x:v>1344</x:v>
      </x:c>
      <x:c r="M199" s="12" t="n">
        <x:f>养成消耗调参!$H$178</x:f>
        <x:v>7800</x:v>
      </x:c>
      <x:c r="N199" s="12" t="n">
        <x:f>养成消耗调参!$I$178</x:f>
        <x:v>0</x:v>
      </x:c>
      <x:c r="O199" s="12" t="n">
        <x:f>养成消耗调参!$L$178</x:f>
        <x:v>20256</x:v>
      </x:c>
      <x:c r="P199" s="12" t="n">
        <x:f>养成消耗调参!$O$178</x:f>
        <x:v>117000</x:v>
      </x:c>
      <x:c r="Q199" s="12" t="n">
        <x:f>养成消耗调参!$P$178</x:f>
        <x:v>360</x:v>
      </x:c>
      <x:c r="R199" s="13">
        <x:f>I199/英雄升级调参!$M$96-1</x:f>
        <x:v>-0.002413340633833694</x:v>
      </x:c>
      <x:c r="S199" s="6"/>
      <x:c r="T199" s="6"/>
      <x:c r="U199" s="6"/>
    </x:row>
    <x:row r="200" ht="21" customHeight="1">
      <x:c r="A200" s="14" t="n">
        <x:f>英雄升级调参!$B$18</x:f>
        <x:v>310000</x:v>
      </x:c>
      <x:c r="B200" s="14" t="str">
        <x:f>英雄升级调参!$C$18</x:f>
        <x:v>特歪兔</x:v>
      </x:c>
      <x:c r="C200" s="6" t="str">
        <x:f>英雄升级调参!$D$18</x:f>
        <x:v>战士</x:v>
      </x:c>
      <x:c r="D200" s="6" t="s">
        <x:v>25</x:v>
      </x:c>
      <x:c r="E200" s="6">
        <x:v>32</x:v>
      </x:c>
      <x:c r="F200" s="6" t="n">
        <x:f>英雄升级调参!$C$97</x:f>
        <x:v>7</x:v>
      </x:c>
      <x:c r="G200" s="12">
        <x:f t="shared" si="14"/>
        <x:v>5170</x:v>
      </x:c>
      <x:c r="H200" s="12">
        <x:f t="shared" si="15"/>
        <x:v>46897</x:v>
      </x:c>
      <x:c r="I200" s="12">
        <x:f t="shared" si="16"/>
        <x:v>242457490</x:v>
      </x:c>
      <x:c r="J200" s="12">
        <x:f>ROUND(英雄升级调参!$D$97*英雄升级调参!$J$11*英雄升级调参!$E$18,0)</x:f>
        <x:v>189</x:v>
      </x:c>
      <x:c r="K200" s="12">
        <x:f>ROUND(英雄升级调参!$D$97*英雄升级调参!$C$11*英雄升级调参!$J$11*英雄升级调参!$G$18,0)</x:f>
        <x:v>1714</x:v>
      </x:c>
      <x:c r="L200" s="12" t="n">
        <x:f>养成消耗调参!$E$179</x:f>
        <x:v>1440</x:v>
      </x:c>
      <x:c r="M200" s="12" t="n">
        <x:f>养成消耗调参!$H$179</x:f>
        <x:v>9600</x:v>
      </x:c>
      <x:c r="N200" s="12" t="n">
        <x:f>养成消耗调参!$I$179</x:f>
        <x:v>0</x:v>
      </x:c>
      <x:c r="O200" s="12" t="n">
        <x:f>养成消耗调参!$L$179</x:f>
        <x:v>21696</x:v>
      </x:c>
      <x:c r="P200" s="12" t="n">
        <x:f>养成消耗调参!$O$179</x:f>
        <x:v>126600</x:v>
      </x:c>
      <x:c r="Q200" s="12" t="n">
        <x:f>养成消耗调参!$P$179</x:f>
        <x:v>360</x:v>
      </x:c>
      <x:c r="R200" s="13">
        <x:f>I200/英雄升级调参!$M$97-1</x:f>
        <x:v>-0.002331394533648612</x:v>
      </x:c>
      <x:c r="S200" s="6"/>
      <x:c r="T200" s="6"/>
      <x:c r="U200" s="6"/>
    </x:row>
    <x:row r="201" ht="21" customHeight="1">
      <x:c r="A201" s="14" t="n">
        <x:f>英雄升级调参!$B$18</x:f>
        <x:v>310000</x:v>
      </x:c>
      <x:c r="B201" s="14" t="str">
        <x:f>英雄升级调参!$C$18</x:f>
        <x:v>特歪兔</x:v>
      </x:c>
      <x:c r="C201" s="6" t="str">
        <x:f>英雄升级调参!$D$18</x:f>
        <x:v>战士</x:v>
      </x:c>
      <x:c r="D201" s="6" t="s">
        <x:v>25</x:v>
      </x:c>
      <x:c r="E201" s="6">
        <x:v>33</x:v>
      </x:c>
      <x:c r="F201" s="6" t="n">
        <x:f>英雄升级调参!$C$98</x:f>
        <x:v>7</x:v>
      </x:c>
      <x:c r="G201" s="12">
        <x:f t="shared" si="14"/>
        <x:v>5359</x:v>
      </x:c>
      <x:c r="H201" s="12">
        <x:f t="shared" si="15"/>
        <x:v>48611</x:v>
      </x:c>
      <x:c r="I201" s="12">
        <x:f t="shared" si="16"/>
        <x:v>260506349</x:v>
      </x:c>
      <x:c r="J201" s="12">
        <x:f>ROUND(英雄升级调参!$D$98*英雄升级调参!$J$11*英雄升级调参!$E$18,0)</x:f>
        <x:v>189</x:v>
      </x:c>
      <x:c r="K201" s="12">
        <x:f>ROUND(英雄升级调参!$D$98*英雄升级调参!$C$11*英雄升级调参!$J$11*英雄升级调参!$G$18,0)</x:f>
        <x:v>1714</x:v>
      </x:c>
      <x:c r="L201" s="12" t="n">
        <x:f>养成消耗调参!$E$180</x:f>
        <x:v>1440</x:v>
      </x:c>
      <x:c r="M201" s="12" t="n">
        <x:f>养成消耗调参!$H$180</x:f>
        <x:v>9600</x:v>
      </x:c>
      <x:c r="N201" s="12" t="n">
        <x:f>养成消耗调参!$I$180</x:f>
        <x:v>0</x:v>
      </x:c>
      <x:c r="O201" s="12" t="n">
        <x:f>养成消耗调参!$L$180</x:f>
        <x:v>23136</x:v>
      </x:c>
      <x:c r="P201" s="12" t="n">
        <x:f>养成消耗调参!$O$180</x:f>
        <x:v>136200</x:v>
      </x:c>
      <x:c r="Q201" s="12" t="n">
        <x:f>养成消耗调参!$P$180</x:f>
        <x:v>360</x:v>
      </x:c>
      <x:c r="R201" s="13">
        <x:f>I201/英雄升级调参!$M$98-1</x:f>
        <x:v>-0.0022552159380195835</x:v>
      </x:c>
      <x:c r="S201" s="6"/>
      <x:c r="T201" s="6"/>
      <x:c r="U201" s="6"/>
    </x:row>
    <x:row r="202" ht="21" customHeight="1">
      <x:c r="A202" s="14" t="n">
        <x:f>英雄升级调参!$B$18</x:f>
        <x:v>310000</x:v>
      </x:c>
      <x:c r="B202" s="14" t="str">
        <x:f>英雄升级调参!$C$18</x:f>
        <x:v>特歪兔</x:v>
      </x:c>
      <x:c r="C202" s="6" t="str">
        <x:f>英雄升级调参!$D$18</x:f>
        <x:v>战士</x:v>
      </x:c>
      <x:c r="D202" s="6" t="s">
        <x:v>25</x:v>
      </x:c>
      <x:c r="E202" s="6">
        <x:v>34</x:v>
      </x:c>
      <x:c r="F202" s="6" t="n">
        <x:f>英雄升级调参!$C$99</x:f>
        <x:v>7</x:v>
      </x:c>
      <x:c r="G202" s="12">
        <x:f t="shared" ref="G202:G218" si="17">G201+J202</x:f>
        <x:v>5548</x:v>
      </x:c>
      <x:c r="H202" s="12">
        <x:f t="shared" ref="H202:H218" si="18">H201+K202</x:f>
        <x:v>50325</x:v>
      </x:c>
      <x:c r="I202" s="12">
        <x:f t="shared" si="16"/>
        <x:v>279203100</x:v>
      </x:c>
      <x:c r="J202" s="12">
        <x:f>ROUND(英雄升级调参!$D$99*英雄升级调参!$J$11*英雄升级调参!$E$18,0)</x:f>
        <x:v>189</x:v>
      </x:c>
      <x:c r="K202" s="12">
        <x:f>ROUND(英雄升级调参!$D$99*英雄升级调参!$C$11*英雄升级调参!$J$11*英雄升级调参!$G$18,0)</x:f>
        <x:v>1714</x:v>
      </x:c>
      <x:c r="L202" s="12" t="n">
        <x:f>养成消耗调参!$E$181</x:f>
        <x:v>1536</x:v>
      </x:c>
      <x:c r="M202" s="12" t="n">
        <x:f>养成消耗调参!$H$181</x:f>
        <x:v>9600</x:v>
      </x:c>
      <x:c r="N202" s="12" t="n">
        <x:f>养成消耗调参!$I$181</x:f>
        <x:v>0</x:v>
      </x:c>
      <x:c r="O202" s="12" t="n">
        <x:f>养成消耗调参!$L$181</x:f>
        <x:v>24672</x:v>
      </x:c>
      <x:c r="P202" s="12" t="n">
        <x:f>养成消耗调参!$O$181</x:f>
        <x:v>145800</x:v>
      </x:c>
      <x:c r="Q202" s="12" t="n">
        <x:f>养成消耗调参!$P$181</x:f>
        <x:v>360</x:v>
      </x:c>
      <x:c r="R202" s="13">
        <x:f>I202/英雄升级调参!$M$99-1</x:f>
        <x:v>-0.0021842166558514453</x:v>
      </x:c>
      <x:c r="S202" s="6"/>
      <x:c r="T202" s="6"/>
      <x:c r="U202" s="6"/>
    </x:row>
    <x:row r="203" ht="21" customHeight="1">
      <x:c r="A203" s="14" t="n">
        <x:f>英雄升级调参!$B$18</x:f>
        <x:v>310000</x:v>
      </x:c>
      <x:c r="B203" s="14" t="str">
        <x:f>英雄升级调参!$C$18</x:f>
        <x:v>特歪兔</x:v>
      </x:c>
      <x:c r="C203" s="6" t="str">
        <x:f>英雄升级调参!$D$18</x:f>
        <x:v>战士</x:v>
      </x:c>
      <x:c r="D203" s="6" t="s">
        <x:v>25</x:v>
      </x:c>
      <x:c r="E203" s="6">
        <x:v>35</x:v>
      </x:c>
      <x:c r="F203" s="6" t="n">
        <x:f>英雄升级调参!$C$100</x:f>
        <x:v>7</x:v>
      </x:c>
      <x:c r="G203" s="12">
        <x:f t="shared" si="17"/>
        <x:v>6115</x:v>
      </x:c>
      <x:c r="H203" s="12">
        <x:f t="shared" si="18"/>
        <x:v>55467</x:v>
      </x:c>
      <x:c r="I203" s="12">
        <x:f t="shared" si="16"/>
        <x:v>339180705</x:v>
      </x:c>
      <x:c r="J203" s="12">
        <x:f>ROUND(英雄升级调参!$D$100*英雄升级调参!$J$11*英雄升级调参!$E$18,0)*3</x:f>
        <x:v>567</x:v>
      </x:c>
      <x:c r="K203" s="12">
        <x:f>ROUND(英雄升级调参!$D$100*英雄升级调参!$C$11*英雄升级调参!$J$11*英雄升级调参!$G$18,0)*3</x:f>
        <x:v>5142</x:v>
      </x:c>
      <x:c r="L203" s="12" t="n">
        <x:f>养成消耗调参!$E$182</x:f>
        <x:v>1536</x:v>
      </x:c>
      <x:c r="M203" s="12" t="n">
        <x:f>养成消耗调参!$H$182</x:f>
        <x:v>9600</x:v>
      </x:c>
      <x:c r="N203" s="12" t="n">
        <x:f>养成消耗调参!$I$182</x:f>
        <x:v>130</x:v>
      </x:c>
      <x:c r="O203" s="12" t="n">
        <x:f>养成消耗调参!$L$182</x:f>
        <x:v>26208</x:v>
      </x:c>
      <x:c r="P203" s="12" t="n">
        <x:f>养成消耗调参!$O$182</x:f>
        <x:v>155400</x:v>
      </x:c>
      <x:c r="Q203" s="12" t="n">
        <x:f>养成消耗调参!$P$182</x:f>
        <x:v>490</x:v>
      </x:c>
      <x:c r="R203" s="13">
        <x:f>I203/英雄升级调参!$M$100-1</x:f>
        <x:v>-0.00199750146806954</x:v>
      </x:c>
      <x:c r="S203" s="6"/>
      <x:c r="T203" s="6"/>
      <x:c r="U203" s="6"/>
    </x:row>
    <x:row r="204" ht="21" customHeight="1">
      <x:c r="A204" s="14" t="n">
        <x:f>英雄升级调参!$B$18</x:f>
        <x:v>310000</x:v>
      </x:c>
      <x:c r="B204" s="14" t="str">
        <x:f>英雄升级调参!$C$18</x:f>
        <x:v>特歪兔</x:v>
      </x:c>
      <x:c r="C204" s="6" t="str">
        <x:f>英雄升级调参!$D$18</x:f>
        <x:v>战士</x:v>
      </x:c>
      <x:c r="D204" s="6" t="s">
        <x:v>25</x:v>
      </x:c>
      <x:c r="E204" s="6">
        <x:v>36</x:v>
      </x:c>
      <x:c r="F204" s="6" t="n">
        <x:f>英雄升级调参!$C$101</x:f>
        <x:v>8</x:v>
      </x:c>
      <x:c r="G204" s="12">
        <x:f t="shared" si="17"/>
        <x:v>6328</x:v>
      </x:c>
      <x:c r="H204" s="12">
        <x:f t="shared" si="18"/>
        <x:v>57396</x:v>
      </x:c>
      <x:c r="I204" s="12">
        <x:f t="shared" si="16"/>
        <x:v>363201888</x:v>
      </x:c>
      <x:c r="J204" s="12">
        <x:f>ROUND(英雄升级调参!$D$101*英雄升级调参!$J$11*英雄升级调参!$E$18,0)</x:f>
        <x:v>213</x:v>
      </x:c>
      <x:c r="K204" s="12">
        <x:f>ROUND(英雄升级调参!$D$101*英雄升级调参!$C$11*英雄升级调参!$J$11*英雄升级调参!$G$18,0)</x:f>
        <x:v>1929</x:v>
      </x:c>
      <x:c r="L204" s="12" t="n">
        <x:f>养成消耗调参!$E$183</x:f>
        <x:v>1632</x:v>
      </x:c>
      <x:c r="M204" s="12" t="n">
        <x:f>养成消耗调参!$H$183</x:f>
        <x:v>9600</x:v>
      </x:c>
      <x:c r="N204" s="12" t="n">
        <x:f>养成消耗调参!$I$183</x:f>
        <x:v>0</x:v>
      </x:c>
      <x:c r="O204" s="12" t="n">
        <x:f>养成消耗调参!$L$183</x:f>
        <x:v>27840</x:v>
      </x:c>
      <x:c r="P204" s="12" t="n">
        <x:f>养成消耗调参!$O$183</x:f>
        <x:v>165000</x:v>
      </x:c>
      <x:c r="Q204" s="12" t="n">
        <x:f>养成消耗调参!$P$183</x:f>
        <x:v>490</x:v>
      </x:c>
      <x:c r="R204" s="13">
        <x:f>I204/英雄升级调参!$M$101-1</x:f>
        <x:v>-0.0019465568242016396</x:v>
      </x:c>
      <x:c r="S204" s="6"/>
      <x:c r="T204" s="6"/>
      <x:c r="U204" s="6"/>
    </x:row>
    <x:row r="205" ht="21" customHeight="1">
      <x:c r="A205" s="14" t="n">
        <x:f>英雄升级调参!$B$18</x:f>
        <x:v>310000</x:v>
      </x:c>
      <x:c r="B205" s="14" t="str">
        <x:f>英雄升级调参!$C$18</x:f>
        <x:v>特歪兔</x:v>
      </x:c>
      <x:c r="C205" s="6" t="str">
        <x:f>英雄升级调参!$D$18</x:f>
        <x:v>战士</x:v>
      </x:c>
      <x:c r="D205" s="6" t="s">
        <x:v>25</x:v>
      </x:c>
      <x:c r="E205" s="6">
        <x:v>37</x:v>
      </x:c>
      <x:c r="F205" s="6" t="n">
        <x:f>英雄升级调参!$C$102</x:f>
        <x:v>8</x:v>
      </x:c>
      <x:c r="G205" s="12">
        <x:f t="shared" si="17"/>
        <x:v>6541</x:v>
      </x:c>
      <x:c r="H205" s="12">
        <x:f t="shared" si="18"/>
        <x:v>59325</x:v>
      </x:c>
      <x:c r="I205" s="12">
        <x:f t="shared" si="16"/>
        <x:v>388044825</x:v>
      </x:c>
      <x:c r="J205" s="12">
        <x:f>ROUND(英雄升级调参!$D$102*英雄升级调参!$J$11*英雄升级调参!$E$18,0)</x:f>
        <x:v>213</x:v>
      </x:c>
      <x:c r="K205" s="12">
        <x:f>ROUND(英雄升级调参!$D$102*英雄升级调参!$C$11*英雄升级调参!$J$11*英雄升级调参!$G$18,0)</x:f>
        <x:v>1929</x:v>
      </x:c>
      <x:c r="L205" s="12" t="n">
        <x:f>养成消耗调参!$E$184</x:f>
        <x:v>1632</x:v>
      </x:c>
      <x:c r="M205" s="12" t="n">
        <x:f>养成消耗调参!$H$184</x:f>
        <x:v>11400</x:v>
      </x:c>
      <x:c r="N205" s="12" t="n">
        <x:f>养成消耗调参!$I$184</x:f>
        <x:v>0</x:v>
      </x:c>
      <x:c r="O205" s="12" t="n">
        <x:f>养成消耗调参!$L$184</x:f>
        <x:v>29472</x:v>
      </x:c>
      <x:c r="P205" s="12" t="n">
        <x:f>养成消耗调参!$O$184</x:f>
        <x:v>176400</x:v>
      </x:c>
      <x:c r="Q205" s="12" t="n">
        <x:f>养成消耗调参!$P$184</x:f>
        <x:v>490</x:v>
      </x:c>
      <x:c r="R205" s="13">
        <x:f>I205/英雄升级调参!$M$102-1</x:f>
        <x:v>-0.0018989251577412603</x:v>
      </x:c>
      <x:c r="S205" s="6"/>
      <x:c r="T205" s="6"/>
      <x:c r="U205" s="6"/>
    </x:row>
    <x:row r="206" ht="21" customHeight="1">
      <x:c r="A206" s="14" t="n">
        <x:f>英雄升级调参!$B$18</x:f>
        <x:v>310000</x:v>
      </x:c>
      <x:c r="B206" s="14" t="str">
        <x:f>英雄升级调参!$C$18</x:f>
        <x:v>特歪兔</x:v>
      </x:c>
      <x:c r="C206" s="6" t="str">
        <x:f>英雄升级调参!$D$18</x:f>
        <x:v>战士</x:v>
      </x:c>
      <x:c r="D206" s="6" t="s">
        <x:v>25</x:v>
      </x:c>
      <x:c r="E206" s="6">
        <x:v>38</x:v>
      </x:c>
      <x:c r="F206" s="6" t="n">
        <x:f>英雄升级调参!$C$103</x:f>
        <x:v>8</x:v>
      </x:c>
      <x:c r="G206" s="12">
        <x:f t="shared" si="17"/>
        <x:v>6754</x:v>
      </x:c>
      <x:c r="H206" s="12">
        <x:f t="shared" si="18"/>
        <x:v>61254</x:v>
      </x:c>
      <x:c r="I206" s="12">
        <x:f t="shared" si="16"/>
        <x:v>413709516</x:v>
      </x:c>
      <x:c r="J206" s="12">
        <x:f>ROUND(英雄升级调参!$D$103*英雄升级调参!$J$11*英雄升级调参!$E$18,0)</x:f>
        <x:v>213</x:v>
      </x:c>
      <x:c r="K206" s="12">
        <x:f>ROUND(英雄升级调参!$D$103*英雄升级调参!$C$11*英雄升级调参!$J$11*英雄升级调参!$G$18,0)</x:f>
        <x:v>1929</x:v>
      </x:c>
      <x:c r="L206" s="12" t="n">
        <x:f>养成消耗调参!$E$185</x:f>
        <x:v>1728</x:v>
      </x:c>
      <x:c r="M206" s="12" t="n">
        <x:f>养成消耗调参!$H$185</x:f>
        <x:v>11400</x:v>
      </x:c>
      <x:c r="N206" s="12" t="n">
        <x:f>养成消耗调参!$I$185</x:f>
        <x:v>0</x:v>
      </x:c>
      <x:c r="O206" s="12" t="n">
        <x:f>养成消耗调参!$L$185</x:f>
        <x:v>31200</x:v>
      </x:c>
      <x:c r="P206" s="12" t="n">
        <x:f>养成消耗调参!$O$185</x:f>
        <x:v>187800</x:v>
      </x:c>
      <x:c r="Q206" s="12" t="n">
        <x:f>养成消耗调参!$P$185</x:f>
        <x:v>490</x:v>
      </x:c>
      <x:c r="R206" s="13">
        <x:f>I206/英雄升级调参!$M$103-1</x:f>
        <x:v>-0.0018542934767503683</x:v>
      </x:c>
      <x:c r="S206" s="6"/>
      <x:c r="T206" s="6"/>
      <x:c r="U206" s="6"/>
    </x:row>
    <x:row r="207" ht="21" customHeight="1">
      <x:c r="A207" s="14" t="n">
        <x:f>英雄升级调参!$B$18</x:f>
        <x:v>310000</x:v>
      </x:c>
      <x:c r="B207" s="14" t="str">
        <x:f>英雄升级调参!$C$18</x:f>
        <x:v>特歪兔</x:v>
      </x:c>
      <x:c r="C207" s="6" t="str">
        <x:f>英雄升级调参!$D$18</x:f>
        <x:v>战士</x:v>
      </x:c>
      <x:c r="D207" s="6" t="s">
        <x:v>25</x:v>
      </x:c>
      <x:c r="E207" s="6">
        <x:v>39</x:v>
      </x:c>
      <x:c r="F207" s="6" t="n">
        <x:f>英雄升级调参!$C$104</x:f>
        <x:v>8</x:v>
      </x:c>
      <x:c r="G207" s="12">
        <x:f t="shared" si="17"/>
        <x:v>6967</x:v>
      </x:c>
      <x:c r="H207" s="12">
        <x:f t="shared" si="18"/>
        <x:v>63183</x:v>
      </x:c>
      <x:c r="I207" s="12">
        <x:f t="shared" si="16"/>
        <x:v>440195961</x:v>
      </x:c>
      <x:c r="J207" s="12">
        <x:f>ROUND(英雄升级调参!$D$104*英雄升级调参!$J$11*英雄升级调参!$E$18,0)</x:f>
        <x:v>213</x:v>
      </x:c>
      <x:c r="K207" s="12">
        <x:f>ROUND(英雄升级调参!$D$104*英雄升级调参!$C$11*英雄升级调参!$J$11*英雄升级调参!$G$18,0)</x:f>
        <x:v>1929</x:v>
      </x:c>
      <x:c r="L207" s="12" t="n">
        <x:f>养成消耗调参!$E$186</x:f>
        <x:v>1728</x:v>
      </x:c>
      <x:c r="M207" s="12" t="n">
        <x:f>养成消耗调参!$H$186</x:f>
        <x:v>11400</x:v>
      </x:c>
      <x:c r="N207" s="12" t="n">
        <x:f>养成消耗调参!$I$186</x:f>
        <x:v>0</x:v>
      </x:c>
      <x:c r="O207" s="12" t="n">
        <x:f>养成消耗调参!$L$186</x:f>
        <x:v>32928</x:v>
      </x:c>
      <x:c r="P207" s="12" t="n">
        <x:f>养成消耗调参!$O$186</x:f>
        <x:v>199200</x:v>
      </x:c>
      <x:c r="Q207" s="12" t="n">
        <x:f>养成消耗调参!$P$186</x:f>
        <x:v>490</x:v>
      </x:c>
      <x:c r="R207" s="13">
        <x:f>I207/英雄升级调参!$M$104-1</x:f>
        <x:v>-0.0018123870119542973</x:v>
      </x:c>
      <x:c r="S207" s="6"/>
      <x:c r="T207" s="6"/>
      <x:c r="U207" s="6"/>
    </x:row>
    <x:row r="208" ht="21" customHeight="1">
      <x:c r="A208" s="14" t="n">
        <x:f>英雄升级调参!$B$18</x:f>
        <x:v>310000</x:v>
      </x:c>
      <x:c r="B208" s="14" t="str">
        <x:f>英雄升级调参!$C$18</x:f>
        <x:v>特歪兔</x:v>
      </x:c>
      <x:c r="C208" s="6" t="str">
        <x:f>英雄升级调参!$D$18</x:f>
        <x:v>战士</x:v>
      </x:c>
      <x:c r="D208" s="6" t="s">
        <x:v>25</x:v>
      </x:c>
      <x:c r="E208" s="6">
        <x:v>40</x:v>
      </x:c>
      <x:c r="F208" s="6" t="n">
        <x:f>英雄升级调参!$C$105</x:f>
        <x:v>8</x:v>
      </x:c>
      <x:c r="G208" s="12">
        <x:f t="shared" si="17"/>
        <x:v>7606</x:v>
      </x:c>
      <x:c r="H208" s="12">
        <x:f t="shared" si="18"/>
        <x:v>68970</x:v>
      </x:c>
      <x:c r="I208" s="12">
        <x:f t="shared" si="16"/>
        <x:v>524585820</x:v>
      </x:c>
      <x:c r="J208" s="12">
        <x:f>ROUND(英雄升级调参!$D$105*英雄升级调参!$J$11*英雄升级调参!$E$18,0)*3</x:f>
        <x:v>639</x:v>
      </x:c>
      <x:c r="K208" s="12">
        <x:f>ROUND(英雄升级调参!$D$105*英雄升级调参!$C$11*英雄升级调参!$J$11*英雄升级调参!$G$18,0)*3</x:f>
        <x:v>5787</x:v>
      </x:c>
      <x:c r="L208" s="12" t="n">
        <x:f>养成消耗调参!$E$187</x:f>
        <x:v>1824</x:v>
      </x:c>
      <x:c r="M208" s="12" t="n">
        <x:f>养成消耗调参!$H$187</x:f>
        <x:v>11400</x:v>
      </x:c>
      <x:c r="N208" s="12" t="n">
        <x:f>养成消耗调参!$I$187</x:f>
        <x:v>150</x:v>
      </x:c>
      <x:c r="O208" s="12" t="n">
        <x:f>养成消耗调参!$L$187</x:f>
        <x:v>34752</x:v>
      </x:c>
      <x:c r="P208" s="12" t="n">
        <x:f>养成消耗调参!$O$187</x:f>
        <x:v>210600</x:v>
      </x:c>
      <x:c r="Q208" s="12" t="n">
        <x:f>养成消耗调参!$P$187</x:f>
        <x:v>640</x:v>
      </x:c>
      <x:c r="R208" s="13">
        <x:f>I208/英雄升级调参!$M$105-1</x:f>
        <x:v>-0.0017007323139824893</x:v>
      </x:c>
      <x:c r="S208" s="6"/>
      <x:c r="T208" s="6"/>
      <x:c r="U208" s="6"/>
    </x:row>
    <x:row r="209" ht="21" customHeight="1">
      <x:c r="A209" s="14" t="n">
        <x:f>英雄升级调参!$B$18</x:f>
        <x:v>310000</x:v>
      </x:c>
      <x:c r="B209" s="14" t="str">
        <x:f>英雄升级调参!$C$18</x:f>
        <x:v>特歪兔</x:v>
      </x:c>
      <x:c r="C209" s="6" t="str">
        <x:f>英雄升级调参!$D$18</x:f>
        <x:v>战士</x:v>
      </x:c>
      <x:c r="D209" s="6" t="s">
        <x:v>25</x:v>
      </x:c>
      <x:c r="E209" s="6">
        <x:v>41</x:v>
      </x:c>
      <x:c r="F209" s="6" t="n">
        <x:f>英雄升级调参!$C$106</x:f>
        <x:v>9</x:v>
      </x:c>
      <x:c r="G209" s="12">
        <x:f t="shared" si="17"/>
        <x:v>7842</x:v>
      </x:c>
      <x:c r="H209" s="12">
        <x:f t="shared" si="18"/>
        <x:v>71113</x:v>
      </x:c>
      <x:c r="I209" s="12">
        <x:f t="shared" si="16"/>
        <x:v>557668146</x:v>
      </x:c>
      <x:c r="J209" s="12">
        <x:f>ROUND(英雄升级调参!$D$106*英雄升级调参!$J$11*英雄升级调参!$E$18,0)</x:f>
        <x:v>236</x:v>
      </x:c>
      <x:c r="K209" s="12">
        <x:f>ROUND(英雄升级调参!$D$106*英雄升级调参!$C$11*英雄升级调参!$J$11*英雄升级调参!$G$18,0)</x:f>
        <x:v>2143</x:v>
      </x:c>
      <x:c r="L209" s="12" t="n">
        <x:f>养成消耗调参!$E$188</x:f>
        <x:v>1824</x:v>
      </x:c>
      <x:c r="M209" s="12" t="n">
        <x:f>养成消耗调参!$H$188</x:f>
        <x:v>11400</x:v>
      </x:c>
      <x:c r="N209" s="12" t="n">
        <x:f>养成消耗调参!$I$188</x:f>
        <x:v>0</x:v>
      </x:c>
      <x:c r="O209" s="12" t="n">
        <x:f>养成消耗调参!$L$188</x:f>
        <x:v>36576</x:v>
      </x:c>
      <x:c r="P209" s="12" t="n">
        <x:f>养成消耗调参!$O$188</x:f>
        <x:v>222000</x:v>
      </x:c>
      <x:c r="Q209" s="12" t="n">
        <x:f>养成消耗调参!$P$188</x:f>
        <x:v>640</x:v>
      </x:c>
      <x:c r="R209" s="13">
        <x:f>I209/英雄升级调参!$M$106-1</x:f>
        <x:v>-0.0016794011280969467</x:v>
      </x:c>
      <x:c r="S209" s="6"/>
      <x:c r="T209" s="6"/>
      <x:c r="U209" s="6"/>
    </x:row>
    <x:row r="210" ht="21" customHeight="1">
      <x:c r="A210" s="14" t="n">
        <x:f>英雄升级调参!$B$18</x:f>
        <x:v>310000</x:v>
      </x:c>
      <x:c r="B210" s="14" t="str">
        <x:f>英雄升级调参!$C$18</x:f>
        <x:v>特歪兔</x:v>
      </x:c>
      <x:c r="C210" s="6" t="str">
        <x:f>英雄升级调参!$D$18</x:f>
        <x:v>战士</x:v>
      </x:c>
      <x:c r="D210" s="6" t="s">
        <x:v>25</x:v>
      </x:c>
      <x:c r="E210" s="6">
        <x:v>42</x:v>
      </x:c>
      <x:c r="F210" s="6" t="n">
        <x:f>英雄升级调参!$C$107</x:f>
        <x:v>9</x:v>
      </x:c>
      <x:c r="G210" s="12">
        <x:f t="shared" si="17"/>
        <x:v>8078</x:v>
      </x:c>
      <x:c r="H210" s="12">
        <x:f t="shared" si="18"/>
        <x:v>73256</x:v>
      </x:c>
      <x:c r="I210" s="12">
        <x:f t="shared" si="16"/>
        <x:v>591761968</x:v>
      </x:c>
      <x:c r="J210" s="12">
        <x:f>ROUND(英雄升级调参!$D$107*英雄升级调参!$J$11*英雄升级调参!$E$18,0)</x:f>
        <x:v>236</x:v>
      </x:c>
      <x:c r="K210" s="12">
        <x:f>ROUND(英雄升级调参!$D$107*英雄升级调参!$C$11*英雄升级调参!$J$11*英雄升级调参!$G$18,0)</x:f>
        <x:v>2143</x:v>
      </x:c>
      <x:c r="L210" s="12" t="n">
        <x:f>养成消耗调参!$E$189</x:f>
        <x:v>1920</x:v>
      </x:c>
      <x:c r="M210" s="12" t="n">
        <x:f>养成消耗调参!$H$189</x:f>
        <x:v>13200</x:v>
      </x:c>
      <x:c r="N210" s="12" t="n">
        <x:f>养成消耗调参!$I$189</x:f>
        <x:v>0</x:v>
      </x:c>
      <x:c r="O210" s="12" t="n">
        <x:f>养成消耗调参!$L$189</x:f>
        <x:v>38496</x:v>
      </x:c>
      <x:c r="P210" s="12" t="n">
        <x:f>养成消耗调参!$O$189</x:f>
        <x:v>235200</x:v>
      </x:c>
      <x:c r="Q210" s="12" t="n">
        <x:f>养成消耗调参!$P$189</x:f>
        <x:v>640</x:v>
      </x:c>
      <x:c r="R210" s="13">
        <x:f>I210/英雄升级调参!$M$107-1</x:f>
        <x:v>-0.0016593157886709564</x:v>
      </x:c>
      <x:c r="S210" s="6"/>
      <x:c r="T210" s="6"/>
      <x:c r="U210" s="6"/>
    </x:row>
    <x:row r="211" ht="21" customHeight="1">
      <x:c r="A211" s="14" t="n">
        <x:f>英雄升级调参!$B$18</x:f>
        <x:v>310000</x:v>
      </x:c>
      <x:c r="B211" s="14" t="str">
        <x:f>英雄升级调参!$C$18</x:f>
        <x:v>特歪兔</x:v>
      </x:c>
      <x:c r="C211" s="6" t="str">
        <x:f>英雄升级调参!$D$18</x:f>
        <x:v>战士</x:v>
      </x:c>
      <x:c r="D211" s="6" t="s">
        <x:v>25</x:v>
      </x:c>
      <x:c r="E211" s="6">
        <x:v>43</x:v>
      </x:c>
      <x:c r="F211" s="6" t="n">
        <x:f>英雄升级调参!$C$108</x:f>
        <x:v>9</x:v>
      </x:c>
      <x:c r="G211" s="12">
        <x:f t="shared" si="17"/>
        <x:v>8314</x:v>
      </x:c>
      <x:c r="H211" s="12">
        <x:f t="shared" si="18"/>
        <x:v>75399</x:v>
      </x:c>
      <x:c r="I211" s="12">
        <x:f t="shared" si="16"/>
        <x:v>626867286</x:v>
      </x:c>
      <x:c r="J211" s="12">
        <x:f>ROUND(英雄升级调参!$D$108*英雄升级调参!$J$11*英雄升级调参!$E$18,0)</x:f>
        <x:v>236</x:v>
      </x:c>
      <x:c r="K211" s="12">
        <x:f>ROUND(英雄升级调参!$D$108*英雄升级调参!$C$11*英雄升级调参!$J$11*英雄升级调参!$G$18,0)</x:f>
        <x:v>2143</x:v>
      </x:c>
      <x:c r="L211" s="12" t="n">
        <x:f>养成消耗调参!$E$190</x:f>
        <x:v>1920</x:v>
      </x:c>
      <x:c r="M211" s="12" t="n">
        <x:f>养成消耗调参!$H$190</x:f>
        <x:v>13200</x:v>
      </x:c>
      <x:c r="N211" s="12" t="n">
        <x:f>养成消耗调参!$I$190</x:f>
        <x:v>0</x:v>
      </x:c>
      <x:c r="O211" s="12" t="n">
        <x:f>养成消耗调参!$L$190</x:f>
        <x:v>40416</x:v>
      </x:c>
      <x:c r="P211" s="12" t="n">
        <x:f>养成消耗调参!$O$190</x:f>
        <x:v>248400</x:v>
      </x:c>
      <x:c r="Q211" s="12" t="n">
        <x:f>养成消耗调参!$P$190</x:f>
        <x:v>640</x:v>
      </x:c>
      <x:c r="R211" s="13">
        <x:f>I211/英雄升级调参!$M$108-1</x:f>
        <x:v>-0.0016403702471903259</x:v>
      </x:c>
      <x:c r="S211" s="6"/>
      <x:c r="T211" s="6"/>
      <x:c r="U211" s="6"/>
    </x:row>
    <x:row r="212" ht="21" customHeight="1">
      <x:c r="A212" s="14" t="n">
        <x:f>英雄升级调参!$B$18</x:f>
        <x:v>310000</x:v>
      </x:c>
      <x:c r="B212" s="14" t="str">
        <x:f>英雄升级调参!$C$18</x:f>
        <x:v>特歪兔</x:v>
      </x:c>
      <x:c r="C212" s="6" t="str">
        <x:f>英雄升级调参!$D$18</x:f>
        <x:v>战士</x:v>
      </x:c>
      <x:c r="D212" s="6" t="s">
        <x:v>25</x:v>
      </x:c>
      <x:c r="E212" s="6">
        <x:v>44</x:v>
      </x:c>
      <x:c r="F212" s="6" t="n">
        <x:f>英雄升级调参!$C$109</x:f>
        <x:v>9</x:v>
      </x:c>
      <x:c r="G212" s="12">
        <x:f t="shared" si="17"/>
        <x:v>8550</x:v>
      </x:c>
      <x:c r="H212" s="12">
        <x:f t="shared" si="18"/>
        <x:v>77542</x:v>
      </x:c>
      <x:c r="I212" s="12">
        <x:f t="shared" si="16"/>
        <x:v>662984100</x:v>
      </x:c>
      <x:c r="J212" s="12">
        <x:f>ROUND(英雄升级调参!$D$109*英雄升级调参!$J$11*英雄升级调参!$E$18,0)</x:f>
        <x:v>236</x:v>
      </x:c>
      <x:c r="K212" s="12">
        <x:f>ROUND(英雄升级调参!$D$109*英雄升级调参!$C$11*英雄升级调参!$J$11*英雄升级调参!$G$18,0)</x:f>
        <x:v>2143</x:v>
      </x:c>
      <x:c r="L212" s="12" t="n">
        <x:f>养成消耗调参!$E$191</x:f>
        <x:v>2016</x:v>
      </x:c>
      <x:c r="M212" s="12" t="n">
        <x:f>养成消耗调参!$H$191</x:f>
        <x:v>13200</x:v>
      </x:c>
      <x:c r="N212" s="12" t="n">
        <x:f>养成消耗调参!$I$191</x:f>
        <x:v>0</x:v>
      </x:c>
      <x:c r="O212" s="12" t="n">
        <x:f>养成消耗调参!$L$191</x:f>
        <x:v>42432</x:v>
      </x:c>
      <x:c r="P212" s="12" t="n">
        <x:f>养成消耗调参!$O$191</x:f>
        <x:v>261600</x:v>
      </x:c>
      <x:c r="Q212" s="12" t="n">
        <x:f>养成消耗调参!$P$191</x:f>
        <x:v>640</x:v>
      </x:c>
      <x:c r="R212" s="13">
        <x:f>I212/英雄升级调参!$M$109-1</x:f>
        <x:v>-0.001622470159090117</x:v>
      </x:c>
      <x:c r="S212" s="6"/>
      <x:c r="T212" s="6"/>
      <x:c r="U212" s="6"/>
    </x:row>
    <x:row r="213" ht="21" customHeight="1">
      <x:c r="A213" s="14" t="n">
        <x:f>英雄升级调参!$B$18</x:f>
        <x:v>310000</x:v>
      </x:c>
      <x:c r="B213" s="14" t="str">
        <x:f>英雄升级调参!$C$18</x:f>
        <x:v>特歪兔</x:v>
      </x:c>
      <x:c r="C213" s="6" t="str">
        <x:f>英雄升级调参!$D$18</x:f>
        <x:v>战士</x:v>
      </x:c>
      <x:c r="D213" s="6" t="s">
        <x:v>25</x:v>
      </x:c>
      <x:c r="E213" s="6">
        <x:v>45</x:v>
      </x:c>
      <x:c r="F213" s="6" t="n">
        <x:f>英雄升级调参!$C$110</x:f>
        <x:v>9</x:v>
      </x:c>
      <x:c r="G213" s="12">
        <x:f t="shared" si="17"/>
        <x:v>9258</x:v>
      </x:c>
      <x:c r="H213" s="12">
        <x:f t="shared" si="18"/>
        <x:v>83971</x:v>
      </x:c>
      <x:c r="I213" s="12">
        <x:f t="shared" si="16"/>
        <x:v>777403518</x:v>
      </x:c>
      <x:c r="J213" s="12">
        <x:f>ROUND(英雄升级调参!$D$110*英雄升级调参!$J$11*英雄升级调参!$E$18,0)*3</x:f>
        <x:v>708</x:v>
      </x:c>
      <x:c r="K213" s="12">
        <x:f>ROUND(英雄升级调参!$D$110*英雄升级调参!$C$11*英雄升级调参!$J$11*英雄升级调参!$G$18,0)*3</x:f>
        <x:v>6429</x:v>
      </x:c>
      <x:c r="L213" s="12" t="n">
        <x:f>养成消耗调参!$E$192</x:f>
        <x:v>2016</x:v>
      </x:c>
      <x:c r="M213" s="12" t="n">
        <x:f>养成消耗调参!$H$192</x:f>
        <x:v>13200</x:v>
      </x:c>
      <x:c r="N213" s="12" t="n">
        <x:f>养成消耗调参!$I$192</x:f>
        <x:v>170</x:v>
      </x:c>
      <x:c r="O213" s="12" t="n">
        <x:f>养成消耗调参!$L$192</x:f>
        <x:v>44448</x:v>
      </x:c>
      <x:c r="P213" s="12" t="n">
        <x:f>养成消耗调参!$O$192</x:f>
        <x:v>274800</x:v>
      </x:c>
      <x:c r="Q213" s="12" t="n">
        <x:f>养成消耗调参!$P$192</x:f>
        <x:v>810</x:v>
      </x:c>
      <x:c r="R213" s="13">
        <x:f>I213/英雄升级调参!$M$110-1</x:f>
        <x:v>-0.0015742434136851724</x:v>
      </x:c>
      <x:c r="S213" s="6"/>
      <x:c r="T213" s="6"/>
      <x:c r="U213" s="6"/>
    </x:row>
    <x:row r="214" ht="21" customHeight="1">
      <x:c r="A214" s="14" t="n">
        <x:f>英雄升级调参!$B$18</x:f>
        <x:v>310000</x:v>
      </x:c>
      <x:c r="B214" s="14" t="str">
        <x:f>英雄升级调参!$C$18</x:f>
        <x:v>特歪兔</x:v>
      </x:c>
      <x:c r="C214" s="6" t="str">
        <x:f>英雄升级调参!$D$18</x:f>
        <x:v>战士</x:v>
      </x:c>
      <x:c r="D214" s="6" t="s">
        <x:v>25</x:v>
      </x:c>
      <x:c r="E214" s="6">
        <x:v>46</x:v>
      </x:c>
      <x:c r="F214" s="6" t="n">
        <x:f>英雄升级调参!$C$111</x:f>
        <x:v>10</x:v>
      </x:c>
      <x:c r="G214" s="12">
        <x:f t="shared" si="17"/>
        <x:v>9518</x:v>
      </x:c>
      <x:c r="H214" s="12">
        <x:f t="shared" si="18"/>
        <x:v>86328</x:v>
      </x:c>
      <x:c r="I214" s="12">
        <x:f t="shared" si="16"/>
        <x:v>821669904</x:v>
      </x:c>
      <x:c r="J214" s="12">
        <x:f>ROUND(英雄升级调参!$D$111*英雄升级调参!$J$11*英雄升级调参!$E$18,0)</x:f>
        <x:v>260</x:v>
      </x:c>
      <x:c r="K214" s="12">
        <x:f>ROUND(英雄升级调参!$D$111*英雄升级调参!$C$11*英雄升级调参!$J$11*英雄升级调参!$G$18,0)</x:f>
        <x:v>2357</x:v>
      </x:c>
      <x:c r="L214" s="12" t="n">
        <x:f>养成消耗调参!$E$193</x:f>
        <x:v>2112</x:v>
      </x:c>
      <x:c r="M214" s="12" t="n">
        <x:f>养成消耗调参!$H$193</x:f>
        <x:v>13200</x:v>
      </x:c>
      <x:c r="N214" s="12" t="n">
        <x:f>养成消耗调参!$I$193</x:f>
        <x:v>0</x:v>
      </x:c>
      <x:c r="O214" s="12" t="n">
        <x:f>养成消耗调参!$L$193</x:f>
        <x:v>46560</x:v>
      </x:c>
      <x:c r="P214" s="12" t="n">
        <x:f>养成消耗调参!$O$193</x:f>
        <x:v>288000</x:v>
      </x:c>
      <x:c r="Q214" s="12" t="n">
        <x:f>养成消耗调参!$P$193</x:f>
        <x:v>810</x:v>
      </x:c>
      <x:c r="R214" s="13">
        <x:f>I214/英雄升级调参!$M$111-1</x:f>
        <x:v>-0.0015748537252674444</x:v>
      </x:c>
      <x:c r="S214" s="6"/>
      <x:c r="T214" s="6"/>
      <x:c r="U214" s="6"/>
    </x:row>
    <x:row r="215" ht="21" customHeight="1">
      <x:c r="A215" s="14" t="n">
        <x:f>英雄升级调参!$B$18</x:f>
        <x:v>310000</x:v>
      </x:c>
      <x:c r="B215" s="14" t="str">
        <x:f>英雄升级调参!$C$18</x:f>
        <x:v>特歪兔</x:v>
      </x:c>
      <x:c r="C215" s="6" t="str">
        <x:f>英雄升级调参!$D$18</x:f>
        <x:v>战士</x:v>
      </x:c>
      <x:c r="D215" s="6" t="s">
        <x:v>25</x:v>
      </x:c>
      <x:c r="E215" s="6">
        <x:v>47</x:v>
      </x:c>
      <x:c r="F215" s="6" t="n">
        <x:f>英雄升级调参!$C$112</x:f>
        <x:v>10</x:v>
      </x:c>
      <x:c r="G215" s="12">
        <x:f t="shared" si="17"/>
        <x:v>9778</x:v>
      </x:c>
      <x:c r="H215" s="12">
        <x:f t="shared" si="18"/>
        <x:v>88685</x:v>
      </x:c>
      <x:c r="I215" s="12">
        <x:f t="shared" si="16"/>
        <x:v>867161930</x:v>
      </x:c>
      <x:c r="J215" s="12">
        <x:f>ROUND(英雄升级调参!$D$112*英雄升级调参!$J$11*英雄升级调参!$E$18,0)</x:f>
        <x:v>260</x:v>
      </x:c>
      <x:c r="K215" s="12">
        <x:f>ROUND(英雄升级调参!$D$112*英雄升级调参!$C$11*英雄升级调参!$J$11*英雄升级调参!$G$18,0)</x:f>
        <x:v>2357</x:v>
      </x:c>
      <x:c r="L215" s="12" t="n">
        <x:f>养成消耗调参!$E$194</x:f>
        <x:v>2112</x:v>
      </x:c>
      <x:c r="M215" s="12" t="n">
        <x:f>养成消耗调参!$H$194</x:f>
        <x:v>15000</x:v>
      </x:c>
      <x:c r="N215" s="12" t="n">
        <x:f>养成消耗调参!$I$194</x:f>
        <x:v>0</x:v>
      </x:c>
      <x:c r="O215" s="12" t="n">
        <x:f>养成消耗调参!$L$194</x:f>
        <x:v>48672</x:v>
      </x:c>
      <x:c r="P215" s="12" t="n">
        <x:f>养成消耗调参!$O$194</x:f>
        <x:v>303000</x:v>
      </x:c>
      <x:c r="Q215" s="12" t="n">
        <x:f>养成消耗调参!$P$194</x:f>
        <x:v>810</x:v>
      </x:c>
      <x:c r="R215" s="13">
        <x:f>I215/英雄升级调参!$M$112-1</x:f>
        <x:v>-0.0015754316165202953</x:v>
      </x:c>
      <x:c r="S215" s="6"/>
      <x:c r="T215" s="6"/>
      <x:c r="U215" s="6"/>
    </x:row>
    <x:row r="216" ht="21" customHeight="1">
      <x:c r="A216" s="14" t="n">
        <x:f>英雄升级调参!$B$18</x:f>
        <x:v>310000</x:v>
      </x:c>
      <x:c r="B216" s="14" t="str">
        <x:f>英雄升级调参!$C$18</x:f>
        <x:v>特歪兔</x:v>
      </x:c>
      <x:c r="C216" s="6" t="str">
        <x:f>英雄升级调参!$D$18</x:f>
        <x:v>战士</x:v>
      </x:c>
      <x:c r="D216" s="6" t="s">
        <x:v>25</x:v>
      </x:c>
      <x:c r="E216" s="6">
        <x:v>48</x:v>
      </x:c>
      <x:c r="F216" s="6" t="n">
        <x:f>英雄升级调参!$C$113</x:f>
        <x:v>10</x:v>
      </x:c>
      <x:c r="G216" s="12">
        <x:f t="shared" si="17"/>
        <x:v>10038</x:v>
      </x:c>
      <x:c r="H216" s="12">
        <x:f t="shared" si="18"/>
        <x:v>91042</x:v>
      </x:c>
      <x:c r="I216" s="12">
        <x:f t="shared" si="16"/>
        <x:v>913879596</x:v>
      </x:c>
      <x:c r="J216" s="12">
        <x:f>ROUND(英雄升级调参!$D$113*英雄升级调参!$J$11*英雄升级调参!$E$18,0)</x:f>
        <x:v>260</x:v>
      </x:c>
      <x:c r="K216" s="12">
        <x:f>ROUND(英雄升级调参!$D$113*英雄升级调参!$C$11*英雄升级调参!$J$11*英雄升级调参!$G$18,0)</x:f>
        <x:v>2357</x:v>
      </x:c>
      <x:c r="L216" s="12" t="n">
        <x:f>养成消耗调参!$E$195</x:f>
        <x:v>2208</x:v>
      </x:c>
      <x:c r="M216" s="12" t="n">
        <x:f>养成消耗调参!$H$195</x:f>
        <x:v>15000</x:v>
      </x:c>
      <x:c r="N216" s="12" t="n">
        <x:f>养成消耗调参!$I$195</x:f>
        <x:v>0</x:v>
      </x:c>
      <x:c r="O216" s="12" t="n">
        <x:f>养成消耗调参!$L$195</x:f>
        <x:v>50880</x:v>
      </x:c>
      <x:c r="P216" s="12" t="n">
        <x:f>养成消耗调参!$O$195</x:f>
        <x:v>318000</x:v>
      </x:c>
      <x:c r="Q216" s="12" t="n">
        <x:f>养成消耗调参!$P$195</x:f>
        <x:v>810</x:v>
      </x:c>
      <x:c r="R216" s="13">
        <x:f>I216/英雄升级调参!$M$113-1</x:f>
        <x:v>-0.001575979603901767</x:v>
      </x:c>
      <x:c r="S216" s="6"/>
      <x:c r="T216" s="6"/>
      <x:c r="U216" s="6"/>
    </x:row>
    <x:row r="217" ht="21" customHeight="1">
      <x:c r="A217" s="14" t="n">
        <x:f>英雄升级调参!$B$18</x:f>
        <x:v>310000</x:v>
      </x:c>
      <x:c r="B217" s="14" t="str">
        <x:f>英雄升级调参!$C$18</x:f>
        <x:v>特歪兔</x:v>
      </x:c>
      <x:c r="C217" s="6" t="str">
        <x:f>英雄升级调参!$D$18</x:f>
        <x:v>战士</x:v>
      </x:c>
      <x:c r="D217" s="6" t="s">
        <x:v>25</x:v>
      </x:c>
      <x:c r="E217" s="6">
        <x:v>49</x:v>
      </x:c>
      <x:c r="F217" s="6" t="n">
        <x:f>英雄升级调参!$C$114</x:f>
        <x:v>10</x:v>
      </x:c>
      <x:c r="G217" s="12">
        <x:f t="shared" si="17"/>
        <x:v>10298</x:v>
      </x:c>
      <x:c r="H217" s="12">
        <x:f t="shared" si="18"/>
        <x:v>93399</x:v>
      </x:c>
      <x:c r="I217" s="12">
        <x:f t="shared" si="16"/>
        <x:v>961822902</x:v>
      </x:c>
      <x:c r="J217" s="12">
        <x:f>ROUND(英雄升级调参!$D$114*英雄升级调参!$J$11*英雄升级调参!$E$18,0)</x:f>
        <x:v>260</x:v>
      </x:c>
      <x:c r="K217" s="12">
        <x:f>ROUND(英雄升级调参!$D$114*英雄升级调参!$C$11*英雄升级调参!$J$11*英雄升级调参!$G$18,0)</x:f>
        <x:v>2357</x:v>
      </x:c>
      <x:c r="L217" s="12" t="n">
        <x:f>养成消耗调参!$E$196</x:f>
        <x:v>2208</x:v>
      </x:c>
      <x:c r="M217" s="12" t="n">
        <x:f>养成消耗调参!$H$196</x:f>
        <x:v>15000</x:v>
      </x:c>
      <x:c r="N217" s="12" t="n">
        <x:f>养成消耗调参!$I$196</x:f>
        <x:v>0</x:v>
      </x:c>
      <x:c r="O217" s="12" t="n">
        <x:f>养成消耗调参!$L$196</x:f>
        <x:v>53088</x:v>
      </x:c>
      <x:c r="P217" s="12" t="n">
        <x:f>养成消耗调参!$O$196</x:f>
        <x:v>333000</x:v>
      </x:c>
      <x:c r="Q217" s="12" t="n">
        <x:f>养成消耗调参!$P$196</x:f>
        <x:v>810</x:v>
      </x:c>
      <x:c r="R217" s="13">
        <x:f>I217/英雄升级调参!$M$114-1</x:f>
        <x:v>-0.001576499950002197</x:v>
      </x:c>
      <x:c r="S217" s="6"/>
      <x:c r="T217" s="6"/>
      <x:c r="U217" s="6"/>
    </x:row>
    <x:row r="218" ht="21" customHeight="1">
      <x:c r="A218" s="14" t="n">
        <x:f>英雄升级调参!$B$18</x:f>
        <x:v>310000</x:v>
      </x:c>
      <x:c r="B218" s="14" t="str">
        <x:f>英雄升级调参!$C$18</x:f>
        <x:v>特歪兔</x:v>
      </x:c>
      <x:c r="C218" s="6" t="str">
        <x:f>英雄升级调参!$D$18</x:f>
        <x:v>战士</x:v>
      </x:c>
      <x:c r="D218" s="6" t="s">
        <x:v>25</x:v>
      </x:c>
      <x:c r="E218" s="6">
        <x:v>50</x:v>
      </x:c>
      <x:c r="F218" s="6" t="n">
        <x:f>英雄升级调参!$C$115</x:f>
        <x:v>10</x:v>
      </x:c>
      <x:c r="G218" s="12">
        <x:f t="shared" si="17"/>
        <x:v>11078</x:v>
      </x:c>
      <x:c r="H218" s="12">
        <x:f t="shared" si="18"/>
        <x:v>100470</x:v>
      </x:c>
      <x:c r="I218" s="12">
        <x:f t="shared" si="16"/>
        <x:v>1113006660</x:v>
      </x:c>
      <x:c r="J218" s="12">
        <x:f>ROUND(英雄升级调参!$D$115*英雄升级调参!$J$11*英雄升级调参!$E$18,0)*3</x:f>
        <x:v>780</x:v>
      </x:c>
      <x:c r="K218" s="12">
        <x:f>ROUND(英雄升级调参!$D$115*英雄升级调参!$C$11*英雄升级调参!$J$11*英雄升级调参!$G$18,0)*3</x:f>
        <x:v>7071</x:v>
      </x:c>
      <x:c r="L218" s="12" t="n">
        <x:f>养成消耗调参!$E$197</x:f>
        <x:v>2304</x:v>
      </x:c>
      <x:c r="M218" s="12" t="n">
        <x:f>养成消耗调参!$H$197</x:f>
        <x:v>15000</x:v>
      </x:c>
      <x:c r="N218" s="12" t="n">
        <x:f>养成消耗调参!$I$197</x:f>
        <x:v>190</x:v>
      </x:c>
      <x:c r="O218" s="12" t="n">
        <x:f>养成消耗调参!$L$197</x:f>
        <x:v>55392</x:v>
      </x:c>
      <x:c r="P218" s="12" t="n">
        <x:f>养成消耗调参!$O$197</x:f>
        <x:v>348000</x:v>
      </x:c>
      <x:c r="Q218" s="12" t="n">
        <x:f>养成消耗调参!$P$197</x:f>
        <x:v>1000</x:v>
      </x:c>
      <x:c r="R218" s="13">
        <x:f>I218/英雄升级调参!$M$115-1</x:f>
        <x:v>-0.0015779145835101982</x:v>
      </x:c>
      <x:c r="S218" s="6"/>
      <x:c r="T218" s="6"/>
      <x:c r="U218" s="6"/>
    </x:row>
    <x:row r="219" ht="21" customHeight="1">
      <x:c r="A219" s="14" t="n">
        <x:f>英雄升级调参!$B$19</x:f>
        <x:v>310001</x:v>
      </x:c>
      <x:c r="B219" s="14" t="str">
        <x:f>英雄升级调参!$C$19</x:f>
        <x:v>墨伊喵</x:v>
      </x:c>
      <x:c r="C219" s="6" t="str">
        <x:f>英雄升级调参!$D$19</x:f>
        <x:v>探险家</x:v>
      </x:c>
      <x:c r="D219" s="6" t="s">
        <x:v>18</x:v>
      </x:c>
      <x:c r="E219" s="6">
        <x:v>1</x:v>
      </x:c>
      <x:c r="F219" s="6" t="n">
        <x:f>英雄升级调参!$C$66</x:f>
        <x:v>1</x:v>
      </x:c>
      <x:c r="G219" s="12" t="n">
        <x:f>ROUND(英雄升级调参!$E$66*英雄升级调参!$E$19,0)</x:f>
        <x:v>66</x:v>
      </x:c>
      <x:c r="H219" s="12" t="n">
        <x:f>ROUND(英雄升级调参!$F$66*英雄升级调参!$G$19,0)</x:f>
        <x:v>545</x:v>
      </x:c>
      <x:c r="I219" s="12">
        <x:f t="shared" si="16"/>
        <x:v>35970</x:v>
      </x:c>
      <x:c r="J219" s="12" t="n">
        <x:f>0</x:f>
        <x:v>0</x:v>
      </x:c>
      <x:c r="K219" s="12" t="n">
        <x:f>0</x:f>
        <x:v>0</x:v>
      </x:c>
      <x:c r="L219" s="12" t="n">
        <x:f>养成消耗调参!$C$148</x:f>
        <x:v>0</x:v>
      </x:c>
      <x:c r="M219" s="12" t="n">
        <x:f>养成消耗调参!$F$148</x:f>
        <x:v>0</x:v>
      </x:c>
      <x:c r="N219" s="12" t="n">
        <x:f>养成消耗调参!$I$148</x:f>
        <x:v>0</x:v>
      </x:c>
      <x:c r="O219" s="12" t="n">
        <x:f>养成消耗调参!$J$148</x:f>
        <x:v>0</x:v>
      </x:c>
      <x:c r="P219" s="12" t="n">
        <x:f>养成消耗调参!$M$148</x:f>
        <x:v>0</x:v>
      </x:c>
      <x:c r="Q219" s="12" t="n">
        <x:f>养成消耗调参!$P$148</x:f>
        <x:v>0</x:v>
      </x:c>
      <x:c r="R219" s="13" t="n">
        <x:f>I219/英雄升级调参!$G$66-1</x:f>
        <x:v>-0.0008333333333333526</x:v>
      </x:c>
      <x:c r="S219" s="6"/>
      <x:c r="T219" s="6"/>
      <x:c r="U219" s="6"/>
    </x:row>
    <x:row r="220" ht="21" customHeight="1">
      <x:c r="A220" s="14" t="n">
        <x:f>英雄升级调参!$B$19</x:f>
        <x:v>310001</x:v>
      </x:c>
      <x:c r="B220" s="14" t="str">
        <x:f>英雄升级调参!$C$19</x:f>
        <x:v>墨伊喵</x:v>
      </x:c>
      <x:c r="C220" s="6" t="str">
        <x:f>英雄升级调参!$D$19</x:f>
        <x:v>探险家</x:v>
      </x:c>
      <x:c r="D220" s="6" t="s">
        <x:v>18</x:v>
      </x:c>
      <x:c r="E220" s="6">
        <x:v>2</x:v>
      </x:c>
      <x:c r="F220" s="6" t="n">
        <x:f>英雄升级调参!$C$67</x:f>
        <x:v>1</x:v>
      </x:c>
      <x:c r="G220" s="12">
        <x:f t="shared" ref="G220:G251" si="19">G219+J220</x:f>
        <x:v>86</x:v>
      </x:c>
      <x:c r="H220" s="12">
        <x:f t="shared" ref="H220:H251" si="20">H219+K220</x:f>
        <x:v>709</x:v>
      </x:c>
      <x:c r="I220" s="12">
        <x:f t="shared" si="16"/>
        <x:v>60974</x:v>
      </x:c>
      <x:c r="J220" s="12">
        <x:f>ROUND(英雄升级调参!$D$67*英雄升级调参!$J$9*英雄升级调参!$E$19,0)</x:f>
        <x:v>20</x:v>
      </x:c>
      <x:c r="K220" s="12">
        <x:f>ROUND(英雄升级调参!$D$67*英雄升级调参!$C$11*英雄升级调参!$J$9*英雄升级调参!$G$19,0)</x:f>
        <x:v>164</x:v>
      </x:c>
      <x:c r="L220" s="12" t="n">
        <x:f>养成消耗调参!$C$149</x:f>
        <x:v>24</x:v>
      </x:c>
      <x:c r="M220" s="12" t="n">
        <x:f>养成消耗调参!$F$149</x:f>
        <x:v>300</x:v>
      </x:c>
      <x:c r="N220" s="12" t="n">
        <x:f>养成消耗调参!$I$149</x:f>
        <x:v>0</x:v>
      </x:c>
      <x:c r="O220" s="12" t="n">
        <x:f>养成消耗调参!$J$149</x:f>
        <x:v>24</x:v>
      </x:c>
      <x:c r="P220" s="12" t="n">
        <x:f>养成消耗调参!$M$149</x:f>
        <x:v>300</x:v>
      </x:c>
      <x:c r="Q220" s="12" t="n">
        <x:f>养成消耗调参!$P$149</x:f>
        <x:v>0</x:v>
      </x:c>
      <x:c r="R220" s="13">
        <x:f>I220/英雄升级调参!$G$67-1</x:f>
        <x:v>0.002202498356344451</x:v>
      </x:c>
      <x:c r="S220" s="6"/>
      <x:c r="T220" s="6"/>
      <x:c r="U220" s="6"/>
    </x:row>
    <x:row r="221" ht="21" customHeight="1">
      <x:c r="A221" s="14" t="n">
        <x:f>英雄升级调参!$B$19</x:f>
        <x:v>310001</x:v>
      </x:c>
      <x:c r="B221" s="14" t="str">
        <x:f>英雄升级调参!$C$19</x:f>
        <x:v>墨伊喵</x:v>
      </x:c>
      <x:c r="C221" s="6" t="str">
        <x:f>英雄升级调参!$D$19</x:f>
        <x:v>探险家</x:v>
      </x:c>
      <x:c r="D221" s="6" t="s">
        <x:v>18</x:v>
      </x:c>
      <x:c r="E221" s="6">
        <x:v>3</x:v>
      </x:c>
      <x:c r="F221" s="6" t="n">
        <x:f>英雄升级调参!$C$68</x:f>
        <x:v>1</x:v>
      </x:c>
      <x:c r="G221" s="12">
        <x:f t="shared" si="19"/>
        <x:v>106</x:v>
      </x:c>
      <x:c r="H221" s="12">
        <x:f t="shared" si="20"/>
        <x:v>873</x:v>
      </x:c>
      <x:c r="I221" s="12">
        <x:f t="shared" si="16"/>
        <x:v>92538</x:v>
      </x:c>
      <x:c r="J221" s="12">
        <x:f>ROUND(英雄升级调参!$D$68*英雄升级调参!$J$9*英雄升级调参!$E$19,0)</x:f>
        <x:v>20</x:v>
      </x:c>
      <x:c r="K221" s="12">
        <x:f>ROUND(英雄升级调参!$D$68*英雄升级调参!$C$11*英雄升级调参!$J$9*英雄升级调参!$G$19,0)</x:f>
        <x:v>164</x:v>
      </x:c>
      <x:c r="L221" s="12" t="n">
        <x:f>养成消耗调参!$C$150</x:f>
        <x:v>24</x:v>
      </x:c>
      <x:c r="M221" s="12" t="n">
        <x:f>养成消耗调参!$F$150</x:f>
        <x:v>300</x:v>
      </x:c>
      <x:c r="N221" s="12" t="n">
        <x:f>养成消耗调参!$I$150</x:f>
        <x:v>0</x:v>
      </x:c>
      <x:c r="O221" s="12" t="n">
        <x:f>养成消耗调参!$J$150</x:f>
        <x:v>48</x:v>
      </x:c>
      <x:c r="P221" s="12" t="n">
        <x:f>养成消耗调参!$M$150</x:f>
        <x:v>600</x:v>
      </x:c>
      <x:c r="Q221" s="12" t="n">
        <x:f>养成消耗调参!$P$150</x:f>
        <x:v>0</x:v>
      </x:c>
      <x:c r="R221" s="13">
        <x:f>I221/英雄升级调参!$G$68-1</x:f>
        <x:v>0.004101562500000044</x:v>
      </x:c>
      <x:c r="S221" s="6"/>
      <x:c r="T221" s="6"/>
      <x:c r="U221" s="6"/>
    </x:row>
    <x:row r="222" ht="21" customHeight="1">
      <x:c r="A222" s="14" t="n">
        <x:f>英雄升级调参!$B$19</x:f>
        <x:v>310001</x:v>
      </x:c>
      <x:c r="B222" s="14" t="str">
        <x:f>英雄升级调参!$C$19</x:f>
        <x:v>墨伊喵</x:v>
      </x:c>
      <x:c r="C222" s="6" t="str">
        <x:f>英雄升级调参!$D$19</x:f>
        <x:v>探险家</x:v>
      </x:c>
      <x:c r="D222" s="6" t="s">
        <x:v>18</x:v>
      </x:c>
      <x:c r="E222" s="6">
        <x:v>4</x:v>
      </x:c>
      <x:c r="F222" s="6" t="n">
        <x:f>英雄升级调参!$C$69</x:f>
        <x:v>1</x:v>
      </x:c>
      <x:c r="G222" s="12">
        <x:f t="shared" si="19"/>
        <x:v>126</x:v>
      </x:c>
      <x:c r="H222" s="12">
        <x:f t="shared" si="20"/>
        <x:v>1037</x:v>
      </x:c>
      <x:c r="I222" s="12">
        <x:f t="shared" si="16"/>
        <x:v>130662</x:v>
      </x:c>
      <x:c r="J222" s="12">
        <x:f>ROUND(英雄升级调参!$D$69*英雄升级调参!$J$9*英雄升级调参!$E$19,0)</x:f>
        <x:v>20</x:v>
      </x:c>
      <x:c r="K222" s="12">
        <x:f>ROUND(英雄升级调参!$D$69*英雄升级调参!$C$11*英雄升级调参!$J$9*英雄升级调参!$G$19,0)</x:f>
        <x:v>164</x:v>
      </x:c>
      <x:c r="L222" s="12" t="n">
        <x:f>养成消耗调参!$C$151</x:f>
        <x:v>48</x:v>
      </x:c>
      <x:c r="M222" s="12" t="n">
        <x:f>养成消耗调参!$F$151</x:f>
        <x:v>300</x:v>
      </x:c>
      <x:c r="N222" s="12" t="n">
        <x:f>养成消耗调参!$I$151</x:f>
        <x:v>0</x:v>
      </x:c>
      <x:c r="O222" s="12" t="n">
        <x:f>养成消耗调参!$J$151</x:f>
        <x:v>96</x:v>
      </x:c>
      <x:c r="P222" s="12" t="n">
        <x:f>养成消耗调参!$M$151</x:f>
        <x:v>900</x:v>
      </x:c>
      <x:c r="Q222" s="12" t="n">
        <x:f>养成消耗调参!$P$151</x:f>
        <x:v>0</x:v>
      </x:c>
      <x:c r="R222" s="13">
        <x:f>I222/英雄升级调参!$G$69-1</x:f>
        <x:v>0.005401662049861589</x:v>
      </x:c>
      <x:c r="S222" s="6"/>
      <x:c r="T222" s="6"/>
      <x:c r="U222" s="6"/>
    </x:row>
    <x:row r="223" ht="21" customHeight="1">
      <x:c r="A223" s="14" t="n">
        <x:f>英雄升级调参!$B$19</x:f>
        <x:v>310001</x:v>
      </x:c>
      <x:c r="B223" s="14" t="str">
        <x:f>英雄升级调参!$C$19</x:f>
        <x:v>墨伊喵</x:v>
      </x:c>
      <x:c r="C223" s="6" t="str">
        <x:f>英雄升级调参!$D$19</x:f>
        <x:v>探险家</x:v>
      </x:c>
      <x:c r="D223" s="6" t="s">
        <x:v>18</x:v>
      </x:c>
      <x:c r="E223" s="6">
        <x:v>5</x:v>
      </x:c>
      <x:c r="F223" s="6" t="n">
        <x:f>英雄升级调参!$C$70</x:f>
        <x:v>1</x:v>
      </x:c>
      <x:c r="G223" s="12">
        <x:f t="shared" si="19"/>
        <x:v>186</x:v>
      </x:c>
      <x:c r="H223" s="12">
        <x:f t="shared" si="20"/>
        <x:v>1529</x:v>
      </x:c>
      <x:c r="I223" s="12">
        <x:f t="shared" si="16"/>
        <x:v>284394</x:v>
      </x:c>
      <x:c r="J223" s="12">
        <x:f>ROUND(英雄升级调参!$D$70*英雄升级调参!$J$9*英雄升级调参!$E$19,0)*3</x:f>
        <x:v>60</x:v>
      </x:c>
      <x:c r="K223" s="12">
        <x:f>ROUND(英雄升级调参!$D$70*英雄升级调参!$C$11*英雄升级调参!$J$9*英雄升级调参!$G$19,0)*3</x:f>
        <x:v>492</x:v>
      </x:c>
      <x:c r="L223" s="12" t="n">
        <x:f>养成消耗调参!$C$152</x:f>
        <x:v>72</x:v>
      </x:c>
      <x:c r="M223" s="12" t="n">
        <x:f>养成消耗调参!$F$152</x:f>
        <x:v>300</x:v>
      </x:c>
      <x:c r="N223" s="12" t="n">
        <x:f>养成消耗调参!$I$152</x:f>
        <x:v>10</x:v>
      </x:c>
      <x:c r="O223" s="12" t="n">
        <x:f>养成消耗调参!$J$152</x:f>
        <x:v>168</x:v>
      </x:c>
      <x:c r="P223" s="12" t="n">
        <x:f>养成消耗调参!$M$152</x:f>
        <x:v>1200</x:v>
      </x:c>
      <x:c r="Q223" s="12" t="n">
        <x:f>养成消耗调参!$P$152</x:f>
        <x:v>10</x:v>
      </x:c>
      <x:c r="R223" s="13">
        <x:f>I223/英雄升级调参!$G$70-1</x:f>
        <x:v>0.007631802721088432</x:v>
      </x:c>
      <x:c r="S223" s="6"/>
      <x:c r="T223" s="6"/>
      <x:c r="U223" s="6"/>
    </x:row>
    <x:row r="224" ht="21" customHeight="1">
      <x:c r="A224" s="14" t="n">
        <x:f>英雄升级调参!$B$19</x:f>
        <x:v>310001</x:v>
      </x:c>
      <x:c r="B224" s="14" t="str">
        <x:f>英雄升级调参!$C$19</x:f>
        <x:v>墨伊喵</x:v>
      </x:c>
      <x:c r="C224" s="6" t="str">
        <x:f>英雄升级调参!$D$19</x:f>
        <x:v>探险家</x:v>
      </x:c>
      <x:c r="D224" s="6" t="s">
        <x:v>18</x:v>
      </x:c>
      <x:c r="E224" s="6">
        <x:v>6</x:v>
      </x:c>
      <x:c r="F224" s="6" t="n">
        <x:f>英雄升级调参!$C$71</x:f>
        <x:v>2</x:v>
      </x:c>
      <x:c r="G224" s="12">
        <x:f t="shared" si="19"/>
        <x:v>216</x:v>
      </x:c>
      <x:c r="H224" s="12">
        <x:f t="shared" si="20"/>
        <x:v>1774</x:v>
      </x:c>
      <x:c r="I224" s="12">
        <x:f t="shared" si="16"/>
        <x:v>383184</x:v>
      </x:c>
      <x:c r="J224" s="12">
        <x:f>ROUND(英雄升级调参!$D$71*英雄升级调参!$J$9*英雄升级调参!$E$19,0)</x:f>
        <x:v>30</x:v>
      </x:c>
      <x:c r="K224" s="12">
        <x:f>ROUND(英雄升级调参!$D$71*英雄升级调参!$C$11*英雄升级调参!$J$9*英雄升级调参!$G$19,0)</x:f>
        <x:v>245</x:v>
      </x:c>
      <x:c r="L224" s="12" t="n">
        <x:f>养成消耗调参!$C$153</x:f>
        <x:v>120</x:v>
      </x:c>
      <x:c r="M224" s="12" t="n">
        <x:f>养成消耗调参!$F$153</x:f>
        <x:v>300</x:v>
      </x:c>
      <x:c r="N224" s="12" t="n">
        <x:f>养成消耗调参!$I$153</x:f>
        <x:v>0</x:v>
      </x:c>
      <x:c r="O224" s="12" t="n">
        <x:f>养成消耗调参!$J$153</x:f>
        <x:v>288</x:v>
      </x:c>
      <x:c r="P224" s="12" t="n">
        <x:f>养成消耗调参!$M$153</x:f>
        <x:v>1500</x:v>
      </x:c>
      <x:c r="Q224" s="12" t="n">
        <x:f>养成消耗调参!$P$153</x:f>
        <x:v>10</x:v>
      </x:c>
      <x:c r="R224" s="13">
        <x:f>I224/英雄升级调参!$G$71-1</x:f>
        <x:v>0.0077159763313610075</x:v>
      </x:c>
      <x:c r="S224" s="6"/>
      <x:c r="T224" s="6"/>
      <x:c r="U224" s="6"/>
    </x:row>
    <x:row r="225" ht="21" customHeight="1">
      <x:c r="A225" s="14" t="n">
        <x:f>英雄升级调参!$B$19</x:f>
        <x:v>310001</x:v>
      </x:c>
      <x:c r="B225" s="14" t="str">
        <x:f>英雄升级调参!$C$19</x:f>
        <x:v>墨伊喵</x:v>
      </x:c>
      <x:c r="C225" s="6" t="str">
        <x:f>英雄升级调参!$D$19</x:f>
        <x:v>探险家</x:v>
      </x:c>
      <x:c r="D225" s="6" t="s">
        <x:v>18</x:v>
      </x:c>
      <x:c r="E225" s="6">
        <x:v>7</x:v>
      </x:c>
      <x:c r="F225" s="6" t="n">
        <x:f>英雄升级调参!$C$72</x:f>
        <x:v>2</x:v>
      </x:c>
      <x:c r="G225" s="12">
        <x:f t="shared" si="19"/>
        <x:v>246</x:v>
      </x:c>
      <x:c r="H225" s="12">
        <x:f t="shared" si="20"/>
        <x:v>2019</x:v>
      </x:c>
      <x:c r="I225" s="12">
        <x:f t="shared" si="16"/>
        <x:v>496674</x:v>
      </x:c>
      <x:c r="J225" s="12">
        <x:f>ROUND(英雄升级调参!$D$72*英雄升级调参!$J$9*英雄升级调参!$E$19,0)</x:f>
        <x:v>30</x:v>
      </x:c>
      <x:c r="K225" s="12">
        <x:f>ROUND(英雄升级调参!$D$72*英雄升级调参!$C$11*英雄升级调参!$J$9*英雄升级调参!$G$19,0)</x:f>
        <x:v>245</x:v>
      </x:c>
      <x:c r="L225" s="12" t="n">
        <x:f>养成消耗调参!$C$154</x:f>
        <x:v>120</x:v>
      </x:c>
      <x:c r="M225" s="12" t="n">
        <x:f>养成消耗调参!$F$154</x:f>
        <x:v>900</x:v>
      </x:c>
      <x:c r="N225" s="12" t="n">
        <x:f>养成消耗调参!$I$154</x:f>
        <x:v>0</x:v>
      </x:c>
      <x:c r="O225" s="12" t="n">
        <x:f>养成消耗调参!$J$154</x:f>
        <x:v>408</x:v>
      </x:c>
      <x:c r="P225" s="12" t="n">
        <x:f>养成消耗调参!$M$154</x:f>
        <x:v>2400</x:v>
      </x:c>
      <x:c r="Q225" s="12" t="n">
        <x:f>养成消耗调参!$P$154</x:f>
        <x:v>10</x:v>
      </x:c>
      <x:c r="R225" s="13">
        <x:f>I225/英雄升级调参!$G$72-1</x:f>
        <x:v>0.007779401022644183</x:v>
      </x:c>
      <x:c r="S225" s="6"/>
      <x:c r="T225" s="6"/>
      <x:c r="U225" s="6"/>
    </x:row>
    <x:row r="226" ht="21" customHeight="1">
      <x:c r="A226" s="14" t="n">
        <x:f>英雄升级调参!$B$19</x:f>
        <x:v>310001</x:v>
      </x:c>
      <x:c r="B226" s="14" t="str">
        <x:f>英雄升级调参!$C$19</x:f>
        <x:v>墨伊喵</x:v>
      </x:c>
      <x:c r="C226" s="6" t="str">
        <x:f>英雄升级调参!$D$19</x:f>
        <x:v>探险家</x:v>
      </x:c>
      <x:c r="D226" s="6" t="s">
        <x:v>18</x:v>
      </x:c>
      <x:c r="E226" s="6">
        <x:v>8</x:v>
      </x:c>
      <x:c r="F226" s="6" t="n">
        <x:f>英雄升级调参!$C$73</x:f>
        <x:v>2</x:v>
      </x:c>
      <x:c r="G226" s="12">
        <x:f t="shared" si="19"/>
        <x:v>276</x:v>
      </x:c>
      <x:c r="H226" s="12">
        <x:f t="shared" si="20"/>
        <x:v>2264</x:v>
      </x:c>
      <x:c r="I226" s="12">
        <x:f t="shared" si="16"/>
        <x:v>624864</x:v>
      </x:c>
      <x:c r="J226" s="12">
        <x:f>ROUND(英雄升级调参!$D$73*英雄升级调参!$J$9*英雄升级调参!$E$19,0)</x:f>
        <x:v>30</x:v>
      </x:c>
      <x:c r="K226" s="12">
        <x:f>ROUND(英雄升级调参!$D$73*英雄升级调参!$C$11*英雄升级调参!$J$9*英雄升级调参!$G$19,0)</x:f>
        <x:v>245</x:v>
      </x:c>
      <x:c r="L226" s="12" t="n">
        <x:f>养成消耗调参!$C$155</x:f>
        <x:v>144</x:v>
      </x:c>
      <x:c r="M226" s="12" t="n">
        <x:f>养成消耗调参!$F$155</x:f>
        <x:v>900</x:v>
      </x:c>
      <x:c r="N226" s="12" t="n">
        <x:f>养成消耗调参!$I$155</x:f>
        <x:v>0</x:v>
      </x:c>
      <x:c r="O226" s="12" t="n">
        <x:f>养成消耗调参!$J$155</x:f>
        <x:v>552</x:v>
      </x:c>
      <x:c r="P226" s="12" t="n">
        <x:f>养成消耗调参!$M$155</x:f>
        <x:v>3300</x:v>
      </x:c>
      <x:c r="Q226" s="12" t="n">
        <x:f>养成消耗调参!$P$155</x:f>
        <x:v>10</x:v>
      </x:c>
      <x:c r="R226" s="13">
        <x:f>I226/英雄升级调参!$G$73-1</x:f>
        <x:v>0.007828905985387324</x:v>
      </x:c>
      <x:c r="S226" s="6"/>
      <x:c r="T226" s="6"/>
      <x:c r="U226" s="6"/>
    </x:row>
    <x:row r="227" ht="21" customHeight="1">
      <x:c r="A227" s="14" t="n">
        <x:f>英雄升级调参!$B$19</x:f>
        <x:v>310001</x:v>
      </x:c>
      <x:c r="B227" s="14" t="str">
        <x:f>英雄升级调参!$C$19</x:f>
        <x:v>墨伊喵</x:v>
      </x:c>
      <x:c r="C227" s="6" t="str">
        <x:f>英雄升级调参!$D$19</x:f>
        <x:v>探险家</x:v>
      </x:c>
      <x:c r="D227" s="6" t="s">
        <x:v>18</x:v>
      </x:c>
      <x:c r="E227" s="6">
        <x:v>9</x:v>
      </x:c>
      <x:c r="F227" s="6" t="n">
        <x:f>英雄升级调参!$C$74</x:f>
        <x:v>2</x:v>
      </x:c>
      <x:c r="G227" s="12">
        <x:f t="shared" si="19"/>
        <x:v>306</x:v>
      </x:c>
      <x:c r="H227" s="12">
        <x:f t="shared" si="20"/>
        <x:v>2509</x:v>
      </x:c>
      <x:c r="I227" s="12">
        <x:f t="shared" si="16"/>
        <x:v>767754</x:v>
      </x:c>
      <x:c r="J227" s="12">
        <x:f>ROUND(英雄升级调参!$D$74*英雄升级调参!$J$9*英雄升级调参!$E$19,0)</x:f>
        <x:v>30</x:v>
      </x:c>
      <x:c r="K227" s="12">
        <x:f>ROUND(英雄升级调参!$D$74*英雄升级调参!$C$11*英雄升级调参!$J$9*英雄升级调参!$G$19,0)</x:f>
        <x:v>245</x:v>
      </x:c>
      <x:c r="L227" s="12" t="n">
        <x:f>养成消耗调参!$C$156</x:f>
        <x:v>144</x:v>
      </x:c>
      <x:c r="M227" s="12" t="n">
        <x:f>养成消耗调参!$F$156</x:f>
        <x:v>900</x:v>
      </x:c>
      <x:c r="N227" s="12" t="n">
        <x:f>养成消耗调参!$I$156</x:f>
        <x:v>0</x:v>
      </x:c>
      <x:c r="O227" s="12" t="n">
        <x:f>养成消耗调参!$J$156</x:f>
        <x:v>696</x:v>
      </x:c>
      <x:c r="P227" s="12" t="n">
        <x:f>养成消耗调参!$M$156</x:f>
        <x:v>4200</x:v>
      </x:c>
      <x:c r="Q227" s="12" t="n">
        <x:f>养成消耗调参!$P$156</x:f>
        <x:v>10</x:v>
      </x:c>
      <x:c r="R227" s="13">
        <x:f>I227/英雄升级调参!$G$74-1</x:f>
        <x:v>0.007868620037807084</x:v>
      </x:c>
      <x:c r="S227" s="6"/>
      <x:c r="T227" s="6"/>
      <x:c r="U227" s="6"/>
    </x:row>
    <x:row r="228" ht="21" customHeight="1">
      <x:c r="A228" s="14" t="n">
        <x:f>英雄升级调参!$B$19</x:f>
        <x:v>310001</x:v>
      </x:c>
      <x:c r="B228" s="14" t="str">
        <x:f>英雄升级调参!$C$19</x:f>
        <x:v>墨伊喵</x:v>
      </x:c>
      <x:c r="C228" s="6" t="str">
        <x:f>英雄升级调参!$D$19</x:f>
        <x:v>探险家</x:v>
      </x:c>
      <x:c r="D228" s="6" t="s">
        <x:v>18</x:v>
      </x:c>
      <x:c r="E228" s="6">
        <x:v>10</x:v>
      </x:c>
      <x:c r="F228" s="6" t="n">
        <x:f>英雄升级调参!$C$75</x:f>
        <x:v>2</x:v>
      </x:c>
      <x:c r="G228" s="12">
        <x:f t="shared" si="19"/>
        <x:v>396</x:v>
      </x:c>
      <x:c r="H228" s="12">
        <x:f t="shared" si="20"/>
        <x:v>3244</x:v>
      </x:c>
      <x:c r="I228" s="12">
        <x:f t="shared" si="16"/>
        <x:v>1284624</x:v>
      </x:c>
      <x:c r="J228" s="12">
        <x:f>ROUND(英雄升级调参!$D$75*英雄升级调参!$J$9*英雄升级调参!$E$19,0)*3</x:f>
        <x:v>90</x:v>
      </x:c>
      <x:c r="K228" s="12">
        <x:f>ROUND(英雄升级调参!$D$75*英雄升级调参!$C$11*英雄升级调参!$J$9*英雄升级调参!$G$19,0)*3</x:f>
        <x:v>735</x:v>
      </x:c>
      <x:c r="L228" s="12" t="n">
        <x:f>养成消耗调参!$C$157</x:f>
        <x:v>216</x:v>
      </x:c>
      <x:c r="M228" s="12" t="n">
        <x:f>养成消耗调参!$F$157</x:f>
        <x:v>900</x:v>
      </x:c>
      <x:c r="N228" s="12" t="n">
        <x:f>养成消耗调参!$I$157</x:f>
        <x:v>30</x:v>
      </x:c>
      <x:c r="O228" s="12" t="n">
        <x:f>养成消耗调参!$J$157</x:f>
        <x:v>912</x:v>
      </x:c>
      <x:c r="P228" s="12" t="n">
        <x:f>养成消耗调参!$M$157</x:f>
        <x:v>5100</x:v>
      </x:c>
      <x:c r="Q228" s="12" t="n">
        <x:f>养成消耗调参!$P$157</x:f>
        <x:v>40</x:v>
      </x:c>
      <x:c r="R228" s="13">
        <x:f>I228/英雄升级调参!$G$75-1</x:f>
        <x:v>0.007951415860461886</x:v>
      </x:c>
      <x:c r="S228" s="6"/>
      <x:c r="T228" s="6"/>
      <x:c r="U228" s="6"/>
    </x:row>
    <x:row r="229" ht="21" customHeight="1">
      <x:c r="A229" s="14" t="n">
        <x:f>英雄升级调参!$B$19</x:f>
        <x:v>310001</x:v>
      </x:c>
      <x:c r="B229" s="14" t="str">
        <x:f>英雄升级调参!$C$19</x:f>
        <x:v>墨伊喵</x:v>
      </x:c>
      <x:c r="C229" s="6" t="str">
        <x:f>英雄升级调参!$D$19</x:f>
        <x:v>探险家</x:v>
      </x:c>
      <x:c r="D229" s="6" t="s">
        <x:v>18</x:v>
      </x:c>
      <x:c r="E229" s="6">
        <x:v>11</x:v>
      </x:c>
      <x:c r="F229" s="6" t="n">
        <x:f>英雄升级调参!$C$76</x:f>
        <x:v>3</x:v>
      </x:c>
      <x:c r="G229" s="12">
        <x:f t="shared" si="19"/>
        <x:v>436</x:v>
      </x:c>
      <x:c r="H229" s="12">
        <x:f t="shared" si="20"/>
        <x:v>3571</x:v>
      </x:c>
      <x:c r="I229" s="12">
        <x:f t="shared" si="16"/>
        <x:v>1556956</x:v>
      </x:c>
      <x:c r="J229" s="12">
        <x:f>ROUND(英雄升级调参!$D$76*英雄升级调参!$J$9*英雄升级调参!$E$19,0)</x:f>
        <x:v>40</x:v>
      </x:c>
      <x:c r="K229" s="12">
        <x:f>ROUND(英雄升级调参!$D$76*英雄升级调参!$C$11*英雄升级调参!$J$9*英雄升级调参!$G$19,0)</x:f>
        <x:v>327</x:v>
      </x:c>
      <x:c r="L229" s="12" t="n">
        <x:f>养成消耗调参!$C$158</x:f>
        <x:v>216</x:v>
      </x:c>
      <x:c r="M229" s="12" t="n">
        <x:f>养成消耗调参!$F$158</x:f>
        <x:v>900</x:v>
      </x:c>
      <x:c r="N229" s="12" t="n">
        <x:f>养成消耗调参!$I$158</x:f>
        <x:v>0</x:v>
      </x:c>
      <x:c r="O229" s="12" t="n">
        <x:f>养成消耗调参!$J$158</x:f>
        <x:v>1128</x:v>
      </x:c>
      <x:c r="P229" s="12" t="n">
        <x:f>养成消耗调参!$M$158</x:f>
        <x:v>6000</x:v>
      </x:c>
      <x:c r="Q229" s="12" t="n">
        <x:f>养成消耗调参!$P$158</x:f>
        <x:v>40</x:v>
      </x:c>
      <x:c r="R229" s="13">
        <x:f>I229/英雄升级调参!$G$76-1</x:f>
        <x:v>0.008071272717855127</x:v>
      </x:c>
      <x:c r="S229" s="6"/>
      <x:c r="T229" s="6"/>
      <x:c r="U229" s="6"/>
    </x:row>
    <x:row r="230" ht="21" customHeight="1">
      <x:c r="A230" s="14" t="n">
        <x:f>英雄升级调参!$B$19</x:f>
        <x:v>310001</x:v>
      </x:c>
      <x:c r="B230" s="14" t="str">
        <x:f>英雄升级调参!$C$19</x:f>
        <x:v>墨伊喵</x:v>
      </x:c>
      <x:c r="C230" s="6" t="str">
        <x:f>英雄升级调参!$D$19</x:f>
        <x:v>探险家</x:v>
      </x:c>
      <x:c r="D230" s="6" t="s">
        <x:v>18</x:v>
      </x:c>
      <x:c r="E230" s="6">
        <x:v>12</x:v>
      </x:c>
      <x:c r="F230" s="6" t="n">
        <x:f>英雄升级调参!$C$77</x:f>
        <x:v>3</x:v>
      </x:c>
      <x:c r="G230" s="12">
        <x:f t="shared" si="19"/>
        <x:v>476</x:v>
      </x:c>
      <x:c r="H230" s="12">
        <x:f t="shared" si="20"/>
        <x:v>3898</x:v>
      </x:c>
      <x:c r="I230" s="12">
        <x:f t="shared" si="16"/>
        <x:v>1855448</x:v>
      </x:c>
      <x:c r="J230" s="12">
        <x:f>ROUND(英雄升级调参!$D$77*英雄升级调参!$J$9*英雄升级调参!$E$19,0)</x:f>
        <x:v>40</x:v>
      </x:c>
      <x:c r="K230" s="12">
        <x:f>ROUND(英雄升级调参!$D$77*英雄升级调参!$C$11*英雄升级调参!$J$9*英雄升级调参!$G$19,0)</x:f>
        <x:v>327</x:v>
      </x:c>
      <x:c r="L230" s="12" t="n">
        <x:f>养成消耗调参!$C$159</x:f>
        <x:v>240</x:v>
      </x:c>
      <x:c r="M230" s="12" t="n">
        <x:f>养成消耗调参!$F$159</x:f>
        <x:v>1500</x:v>
      </x:c>
      <x:c r="N230" s="12" t="n">
        <x:f>养成消耗调参!$I$159</x:f>
        <x:v>0</x:v>
      </x:c>
      <x:c r="O230" s="12" t="n">
        <x:f>养成消耗调参!$J$159</x:f>
        <x:v>1368</x:v>
      </x:c>
      <x:c r="P230" s="12" t="n">
        <x:f>养成消耗调参!$M$159</x:f>
        <x:v>7500</x:v>
      </x:c>
      <x:c r="Q230" s="12" t="n">
        <x:f>养成消耗调参!$P$159</x:f>
        <x:v>40</x:v>
      </x:c>
      <x:c r="R230" s="13">
        <x:f>I230/英雄升级调参!$G$77-1</x:f>
        <x:v>0.008171005373802664</x:v>
      </x:c>
      <x:c r="S230" s="6"/>
      <x:c r="T230" s="6"/>
      <x:c r="U230" s="6"/>
    </x:row>
    <x:row r="231" ht="21" customHeight="1">
      <x:c r="A231" s="14" t="n">
        <x:f>英雄升级调参!$B$19</x:f>
        <x:v>310001</x:v>
      </x:c>
      <x:c r="B231" s="14" t="str">
        <x:f>英雄升级调参!$C$19</x:f>
        <x:v>墨伊喵</x:v>
      </x:c>
      <x:c r="C231" s="6" t="str">
        <x:f>英雄升级调参!$D$19</x:f>
        <x:v>探险家</x:v>
      </x:c>
      <x:c r="D231" s="6" t="s">
        <x:v>18</x:v>
      </x:c>
      <x:c r="E231" s="6">
        <x:v>13</x:v>
      </x:c>
      <x:c r="F231" s="6" t="n">
        <x:f>英雄升级调参!$C$78</x:f>
        <x:v>3</x:v>
      </x:c>
      <x:c r="G231" s="12">
        <x:f t="shared" si="19"/>
        <x:v>516</x:v>
      </x:c>
      <x:c r="H231" s="12">
        <x:f t="shared" si="20"/>
        <x:v>4225</x:v>
      </x:c>
      <x:c r="I231" s="12">
        <x:f t="shared" si="16"/>
        <x:v>2180100</x:v>
      </x:c>
      <x:c r="J231" s="12">
        <x:f>ROUND(英雄升级调参!$D$78*英雄升级调参!$J$9*英雄升级调参!$E$19,0)</x:f>
        <x:v>40</x:v>
      </x:c>
      <x:c r="K231" s="12">
        <x:f>ROUND(英雄升级调参!$D$78*英雄升级调参!$C$11*英雄升级调参!$J$9*英雄升级调参!$G$19,0)</x:f>
        <x:v>327</x:v>
      </x:c>
      <x:c r="L231" s="12" t="n">
        <x:f>养成消耗调参!$C$160</x:f>
        <x:v>240</x:v>
      </x:c>
      <x:c r="M231" s="12" t="n">
        <x:f>养成消耗调参!$F$160</x:f>
        <x:v>1500</x:v>
      </x:c>
      <x:c r="N231" s="12" t="n">
        <x:f>养成消耗调参!$I$160</x:f>
        <x:v>0</x:v>
      </x:c>
      <x:c r="O231" s="12" t="n">
        <x:f>养成消耗调参!$J$160</x:f>
        <x:v>1608</x:v>
      </x:c>
      <x:c r="P231" s="12" t="n">
        <x:f>养成消耗调参!$M$160</x:f>
        <x:v>9000</x:v>
      </x:c>
      <x:c r="Q231" s="12" t="n">
        <x:f>养成消耗调参!$P$160</x:f>
        <x:v>40</x:v>
      </x:c>
      <x:c r="R231" s="13">
        <x:f>I231/英雄升级调参!$G$78-1</x:f>
        <x:v>0.008255289628858797</x:v>
      </x:c>
      <x:c r="S231" s="6"/>
      <x:c r="T231" s="6"/>
      <x:c r="U231" s="6"/>
    </x:row>
    <x:row r="232" ht="21" customHeight="1">
      <x:c r="A232" s="14" t="n">
        <x:f>英雄升级调参!$B$19</x:f>
        <x:v>310001</x:v>
      </x:c>
      <x:c r="B232" s="14" t="str">
        <x:f>英雄升级调参!$C$19</x:f>
        <x:v>墨伊喵</x:v>
      </x:c>
      <x:c r="C232" s="6" t="str">
        <x:f>英雄升级调参!$D$19</x:f>
        <x:v>探险家</x:v>
      </x:c>
      <x:c r="D232" s="6" t="s">
        <x:v>18</x:v>
      </x:c>
      <x:c r="E232" s="6">
        <x:v>14</x:v>
      </x:c>
      <x:c r="F232" s="6" t="n">
        <x:f>英雄升级调参!$C$79</x:f>
        <x:v>3</x:v>
      </x:c>
      <x:c r="G232" s="12">
        <x:f t="shared" si="19"/>
        <x:v>556</x:v>
      </x:c>
      <x:c r="H232" s="12">
        <x:f t="shared" si="20"/>
        <x:v>4552</x:v>
      </x:c>
      <x:c r="I232" s="12">
        <x:f t="shared" si="16"/>
        <x:v>2530912</x:v>
      </x:c>
      <x:c r="J232" s="12">
        <x:f>ROUND(英雄升级调参!$D$79*英雄升级调参!$J$9*英雄升级调参!$E$19,0)</x:f>
        <x:v>40</x:v>
      </x:c>
      <x:c r="K232" s="12">
        <x:f>ROUND(英雄升级调参!$D$79*英雄升级调参!$C$11*英雄升级调参!$J$9*英雄升级调参!$G$19,0)</x:f>
        <x:v>327</x:v>
      </x:c>
      <x:c r="L232" s="12" t="n">
        <x:f>养成消耗调参!$C$161</x:f>
        <x:v>288</x:v>
      </x:c>
      <x:c r="M232" s="12" t="n">
        <x:f>养成消耗调参!$F$161</x:f>
        <x:v>1500</x:v>
      </x:c>
      <x:c r="N232" s="12" t="n">
        <x:f>养成消耗调参!$I$161</x:f>
        <x:v>0</x:v>
      </x:c>
      <x:c r="O232" s="12" t="n">
        <x:f>养成消耗调参!$J$161</x:f>
        <x:v>1896</x:v>
      </x:c>
      <x:c r="P232" s="12" t="n">
        <x:f>养成消耗调参!$M$161</x:f>
        <x:v>10500</x:v>
      </x:c>
      <x:c r="Q232" s="12" t="n">
        <x:f>养成消耗调参!$P$161</x:f>
        <x:v>40</x:v>
      </x:c>
      <x:c r="R232" s="13">
        <x:f>I232/英雄升级调参!$G$79-1</x:f>
        <x:v>0.008327456862721627</x:v>
      </x:c>
      <x:c r="S232" s="6"/>
      <x:c r="T232" s="6"/>
      <x:c r="U232" s="6"/>
    </x:row>
    <x:row r="233" ht="21" customHeight="1">
      <x:c r="A233" s="14" t="n">
        <x:f>英雄升级调参!$B$19</x:f>
        <x:v>310001</x:v>
      </x:c>
      <x:c r="B233" s="14" t="str">
        <x:f>英雄升级调参!$C$19</x:f>
        <x:v>墨伊喵</x:v>
      </x:c>
      <x:c r="C233" s="6" t="str">
        <x:f>英雄升级调参!$D$19</x:f>
        <x:v>探险家</x:v>
      </x:c>
      <x:c r="D233" s="6" t="s">
        <x:v>18</x:v>
      </x:c>
      <x:c r="E233" s="6">
        <x:v>15</x:v>
      </x:c>
      <x:c r="F233" s="6" t="n">
        <x:f>英雄升级调参!$C$80</x:f>
        <x:v>3</x:v>
      </x:c>
      <x:c r="G233" s="12">
        <x:f t="shared" si="19"/>
        <x:v>676</x:v>
      </x:c>
      <x:c r="H233" s="12">
        <x:f t="shared" si="20"/>
        <x:v>5533</x:v>
      </x:c>
      <x:c r="I233" s="12">
        <x:f t="shared" si="16"/>
        <x:v>3740308</x:v>
      </x:c>
      <x:c r="J233" s="12">
        <x:f>ROUND(英雄升级调参!$D$80*英雄升级调参!$J$9*英雄升级调参!$E$19,0)*3</x:f>
        <x:v>120</x:v>
      </x:c>
      <x:c r="K233" s="12">
        <x:f>ROUND(英雄升级调参!$D$80*英雄升级调参!$C$11*英雄升级调参!$J$9*英雄升级调参!$G$19,0)*3</x:f>
        <x:v>981</x:v>
      </x:c>
      <x:c r="L233" s="12" t="n">
        <x:f>养成消耗调参!$C$162</x:f>
        <x:v>288</x:v>
      </x:c>
      <x:c r="M233" s="12" t="n">
        <x:f>养成消耗调参!$F$162</x:f>
        <x:v>1500</x:v>
      </x:c>
      <x:c r="N233" s="12" t="n">
        <x:f>养成消耗调参!$I$162</x:f>
        <x:v>50</x:v>
      </x:c>
      <x:c r="O233" s="12" t="n">
        <x:f>养成消耗调参!$J$162</x:f>
        <x:v>2184</x:v>
      </x:c>
      <x:c r="P233" s="12" t="n">
        <x:f>养成消耗调参!$M$162</x:f>
        <x:v>12000</x:v>
      </x:c>
      <x:c r="Q233" s="12" t="n">
        <x:f>养成消耗调参!$P$162</x:f>
        <x:v>90</x:v>
      </x:c>
      <x:c r="R233" s="13">
        <x:f>I233/英雄升级调参!$G$80-1</x:f>
        <x:v>0.008492751044135494</x:v>
      </x:c>
      <x:c r="S233" s="6"/>
      <x:c r="T233" s="6"/>
      <x:c r="U233" s="6"/>
    </x:row>
    <x:row r="234" ht="21" customHeight="1">
      <x:c r="A234" s="14" t="n">
        <x:f>英雄升级调参!$B$19</x:f>
        <x:v>310001</x:v>
      </x:c>
      <x:c r="B234" s="14" t="str">
        <x:f>英雄升级调参!$C$19</x:f>
        <x:v>墨伊喵</x:v>
      </x:c>
      <x:c r="C234" s="6" t="str">
        <x:f>英雄升级调参!$D$19</x:f>
        <x:v>探险家</x:v>
      </x:c>
      <x:c r="D234" s="6" t="s">
        <x:v>18</x:v>
      </x:c>
      <x:c r="E234" s="6">
        <x:v>16</x:v>
      </x:c>
      <x:c r="F234" s="6" t="n">
        <x:f>英雄升级调参!$C$81</x:f>
        <x:v>4</x:v>
      </x:c>
      <x:c r="G234" s="12">
        <x:f t="shared" si="19"/>
        <x:v>726</x:v>
      </x:c>
      <x:c r="H234" s="12">
        <x:f t="shared" si="20"/>
        <x:v>5942</x:v>
      </x:c>
      <x:c r="I234" s="12">
        <x:f t="shared" si="16"/>
        <x:v>4313892</x:v>
      </x:c>
      <x:c r="J234" s="12">
        <x:f>ROUND(英雄升级调参!$D$81*英雄升级调参!$J$9*英雄升级调参!$E$19,0)</x:f>
        <x:v>50</x:v>
      </x:c>
      <x:c r="K234" s="12">
        <x:f>ROUND(英雄升级调参!$D$81*英雄升级调参!$C$11*英雄升级调参!$J$9*英雄升级调参!$G$19,0)</x:f>
        <x:v>409</x:v>
      </x:c>
      <x:c r="L234" s="12" t="n">
        <x:f>养成消耗调参!$C$163</x:f>
        <x:v>336</x:v>
      </x:c>
      <x:c r="M234" s="12" t="n">
        <x:f>养成消耗调参!$F$163</x:f>
        <x:v>1500</x:v>
      </x:c>
      <x:c r="N234" s="12" t="n">
        <x:f>养成消耗调参!$I$163</x:f>
        <x:v>0</x:v>
      </x:c>
      <x:c r="O234" s="12" t="n">
        <x:f>养成消耗调参!$J$163</x:f>
        <x:v>2520</x:v>
      </x:c>
      <x:c r="P234" s="12" t="n">
        <x:f>养成消耗调参!$M$163</x:f>
        <x:v>13500</x:v>
      </x:c>
      <x:c r="Q234" s="12" t="n">
        <x:f>养成消耗调参!$P$163</x:f>
        <x:v>90</x:v>
      </x:c>
      <x:c r="R234" s="13">
        <x:f>I234/英雄升级调参!$G$81-1</x:f>
        <x:v>0.008587941531296384</x:v>
      </x:c>
      <x:c r="S234" s="6"/>
      <x:c r="T234" s="6"/>
      <x:c r="U234" s="6"/>
    </x:row>
    <x:row r="235" ht="21" customHeight="1">
      <x:c r="A235" s="14" t="n">
        <x:f>英雄升级调参!$B$19</x:f>
        <x:v>310001</x:v>
      </x:c>
      <x:c r="B235" s="14" t="str">
        <x:f>英雄升级调参!$C$19</x:f>
        <x:v>墨伊喵</x:v>
      </x:c>
      <x:c r="C235" s="6" t="str">
        <x:f>英雄升级调参!$D$19</x:f>
        <x:v>探险家</x:v>
      </x:c>
      <x:c r="D235" s="6" t="s">
        <x:v>18</x:v>
      </x:c>
      <x:c r="E235" s="6">
        <x:v>17</x:v>
      </x:c>
      <x:c r="F235" s="6" t="n">
        <x:f>英雄升级调参!$C$82</x:f>
        <x:v>4</x:v>
      </x:c>
      <x:c r="G235" s="12">
        <x:f t="shared" si="19"/>
        <x:v>776</x:v>
      </x:c>
      <x:c r="H235" s="12">
        <x:f t="shared" si="20"/>
        <x:v>6351</x:v>
      </x:c>
      <x:c r="I235" s="12">
        <x:f t="shared" si="16"/>
        <x:v>4928376</x:v>
      </x:c>
      <x:c r="J235" s="12">
        <x:f>ROUND(英雄升级调参!$D$82*英雄升级调参!$J$9*英雄升级调参!$E$19,0)</x:f>
        <x:v>50</x:v>
      </x:c>
      <x:c r="K235" s="12">
        <x:f>ROUND(英雄升级调参!$D$82*英雄升级调参!$C$11*英雄升级调参!$J$9*英雄升级调参!$G$19,0)</x:f>
        <x:v>409</x:v>
      </x:c>
      <x:c r="L235" s="12" t="n">
        <x:f>养成消耗调参!$C$164</x:f>
        <x:v>336</x:v>
      </x:c>
      <x:c r="M235" s="12" t="n">
        <x:f>养成消耗调参!$F$164</x:f>
        <x:v>2100</x:v>
      </x:c>
      <x:c r="N235" s="12" t="n">
        <x:f>养成消耗调参!$I$164</x:f>
        <x:v>0</x:v>
      </x:c>
      <x:c r="O235" s="12" t="n">
        <x:f>养成消耗调参!$J$164</x:f>
        <x:v>2856</x:v>
      </x:c>
      <x:c r="P235" s="12" t="n">
        <x:f>养成消耗调参!$M$164</x:f>
        <x:v>15600</x:v>
      </x:c>
      <x:c r="Q235" s="12" t="n">
        <x:f>养成消耗调参!$P$164</x:f>
        <x:v>90</x:v>
      </x:c>
      <x:c r="R235" s="13">
        <x:f>I235/英雄升级调参!$G$82-1</x:f>
        <x:v>0.008670878692430106</x:v>
      </x:c>
      <x:c r="S235" s="6"/>
      <x:c r="T235" s="6"/>
      <x:c r="U235" s="6"/>
    </x:row>
    <x:row r="236" ht="21" customHeight="1">
      <x:c r="A236" s="14" t="n">
        <x:f>英雄升级调参!$B$19</x:f>
        <x:v>310001</x:v>
      </x:c>
      <x:c r="B236" s="14" t="str">
        <x:f>英雄升级调参!$C$19</x:f>
        <x:v>墨伊喵</x:v>
      </x:c>
      <x:c r="C236" s="6" t="str">
        <x:f>英雄升级调参!$D$19</x:f>
        <x:v>探险家</x:v>
      </x:c>
      <x:c r="D236" s="6" t="s">
        <x:v>18</x:v>
      </x:c>
      <x:c r="E236" s="6">
        <x:v>18</x:v>
      </x:c>
      <x:c r="F236" s="6" t="n">
        <x:f>英雄升级调参!$C$83</x:f>
        <x:v>4</x:v>
      </x:c>
      <x:c r="G236" s="12">
        <x:f t="shared" si="19"/>
        <x:v>826</x:v>
      </x:c>
      <x:c r="H236" s="12">
        <x:f t="shared" si="20"/>
        <x:v>6760</x:v>
      </x:c>
      <x:c r="I236" s="12">
        <x:f t="shared" si="16"/>
        <x:v>5583760</x:v>
      </x:c>
      <x:c r="J236" s="12">
        <x:f>ROUND(英雄升级调参!$D$83*英雄升级调参!$J$9*英雄升级调参!$E$19,0)</x:f>
        <x:v>50</x:v>
      </x:c>
      <x:c r="K236" s="12">
        <x:f>ROUND(英雄升级调参!$D$83*英雄升级调参!$C$11*英雄升级调参!$J$9*英雄升级调参!$G$19,0)</x:f>
        <x:v>409</x:v>
      </x:c>
      <x:c r="L236" s="12" t="n">
        <x:f>养成消耗调参!$C$165</x:f>
        <x:v>384</x:v>
      </x:c>
      <x:c r="M236" s="12" t="n">
        <x:f>养成消耗调参!$F$165</x:f>
        <x:v>2100</x:v>
      </x:c>
      <x:c r="N236" s="12" t="n">
        <x:f>养成消耗调参!$I$165</x:f>
        <x:v>0</x:v>
      </x:c>
      <x:c r="O236" s="12" t="n">
        <x:f>养成消耗调参!$J$165</x:f>
        <x:v>3240</x:v>
      </x:c>
      <x:c r="P236" s="12" t="n">
        <x:f>养成消耗调参!$M$165</x:f>
        <x:v>17700</x:v>
      </x:c>
      <x:c r="Q236" s="12" t="n">
        <x:f>养成消耗调参!$P$165</x:f>
        <x:v>90</x:v>
      </x:c>
      <x:c r="R236" s="13">
        <x:f>I236/英雄升级调参!$G$83-1</x:f>
        <x:v>0.008743785408717786</x:v>
      </x:c>
      <x:c r="S236" s="6"/>
      <x:c r="T236" s="6"/>
      <x:c r="U236" s="6"/>
    </x:row>
    <x:row r="237" ht="21" customHeight="1">
      <x:c r="A237" s="14" t="n">
        <x:f>英雄升级调参!$B$19</x:f>
        <x:v>310001</x:v>
      </x:c>
      <x:c r="B237" s="14" t="str">
        <x:f>英雄升级调参!$C$19</x:f>
        <x:v>墨伊喵</x:v>
      </x:c>
      <x:c r="C237" s="6" t="str">
        <x:f>英雄升级调参!$D$19</x:f>
        <x:v>探险家</x:v>
      </x:c>
      <x:c r="D237" s="6" t="s">
        <x:v>18</x:v>
      </x:c>
      <x:c r="E237" s="6">
        <x:v>19</x:v>
      </x:c>
      <x:c r="F237" s="6" t="n">
        <x:f>英雄升级调参!$C$84</x:f>
        <x:v>4</x:v>
      </x:c>
      <x:c r="G237" s="12">
        <x:f t="shared" si="19"/>
        <x:v>876</x:v>
      </x:c>
      <x:c r="H237" s="12">
        <x:f t="shared" si="20"/>
        <x:v>7169</x:v>
      </x:c>
      <x:c r="I237" s="12">
        <x:f t="shared" si="16"/>
        <x:v>6280044</x:v>
      </x:c>
      <x:c r="J237" s="12">
        <x:f>ROUND(英雄升级调参!$D$84*英雄升级调参!$J$9*英雄升级调参!$E$19,0)</x:f>
        <x:v>50</x:v>
      </x:c>
      <x:c r="K237" s="12">
        <x:f>ROUND(英雄升级调参!$D$84*英雄升级调参!$C$11*英雄升级调参!$J$9*英雄升级调参!$G$19,0)</x:f>
        <x:v>409</x:v>
      </x:c>
      <x:c r="L237" s="12" t="n">
        <x:f>养成消耗调参!$C$166</x:f>
        <x:v>384</x:v>
      </x:c>
      <x:c r="M237" s="12" t="n">
        <x:f>养成消耗调参!$F$166</x:f>
        <x:v>2100</x:v>
      </x:c>
      <x:c r="N237" s="12" t="n">
        <x:f>养成消耗调参!$I$166</x:f>
        <x:v>0</x:v>
      </x:c>
      <x:c r="O237" s="12" t="n">
        <x:f>养成消耗调参!$J$166</x:f>
        <x:v>3624</x:v>
      </x:c>
      <x:c r="P237" s="12" t="n">
        <x:f>养成消耗调参!$M$166</x:f>
        <x:v>19800</x:v>
      </x:c>
      <x:c r="Q237" s="12" t="n">
        <x:f>养成消耗调参!$P$166</x:f>
        <x:v>90</x:v>
      </x:c>
      <x:c r="R237" s="13">
        <x:f>I237/英雄升级调参!$G$84-1</x:f>
        <x:v>0.008808377548709112</x:v>
      </x:c>
      <x:c r="S237" s="6"/>
      <x:c r="T237" s="6"/>
      <x:c r="U237" s="6"/>
    </x:row>
    <x:row r="238" ht="21" customHeight="1">
      <x:c r="A238" s="14" t="n">
        <x:f>英雄升级调参!$B$19</x:f>
        <x:v>310001</x:v>
      </x:c>
      <x:c r="B238" s="14" t="str">
        <x:f>英雄升级调参!$C$19</x:f>
        <x:v>墨伊喵</x:v>
      </x:c>
      <x:c r="C238" s="6" t="str">
        <x:f>英雄升级调参!$D$19</x:f>
        <x:v>探险家</x:v>
      </x:c>
      <x:c r="D238" s="6" t="s">
        <x:v>18</x:v>
      </x:c>
      <x:c r="E238" s="6">
        <x:v>20</x:v>
      </x:c>
      <x:c r="F238" s="6" t="n">
        <x:f>英雄升级调参!$C$85</x:f>
        <x:v>4</x:v>
      </x:c>
      <x:c r="G238" s="12">
        <x:f t="shared" si="19"/>
        <x:v>1026</x:v>
      </x:c>
      <x:c r="H238" s="12">
        <x:f t="shared" si="20"/>
        <x:v>8396</x:v>
      </x:c>
      <x:c r="I238" s="12">
        <x:f t="shared" si="16"/>
        <x:v>8614296</x:v>
      </x:c>
      <x:c r="J238" s="12">
        <x:f>ROUND(英雄升级调参!$D$85*英雄升级调参!$J$9*英雄升级调参!$E$19,0)*3</x:f>
        <x:v>150</x:v>
      </x:c>
      <x:c r="K238" s="12">
        <x:f>ROUND(英雄升级调参!$D$85*英雄升级调参!$C$11*英雄升级调参!$J$9*英雄升级调参!$G$19,0)*3</x:f>
        <x:v>1227</x:v>
      </x:c>
      <x:c r="L238" s="12" t="n">
        <x:f>养成消耗调参!$C$167</x:f>
        <x:v>432</x:v>
      </x:c>
      <x:c r="M238" s="12" t="n">
        <x:f>养成消耗调参!$F$167</x:f>
        <x:v>2100</x:v>
      </x:c>
      <x:c r="N238" s="12" t="n">
        <x:f>养成消耗调参!$I$167</x:f>
        <x:v>70</x:v>
      </x:c>
      <x:c r="O238" s="12" t="n">
        <x:f>养成消耗调参!$J$167</x:f>
        <x:v>4056</x:v>
      </x:c>
      <x:c r="P238" s="12" t="n">
        <x:f>养成消耗调参!$M$167</x:f>
        <x:v>21900</x:v>
      </x:c>
      <x:c r="Q238" s="12" t="n">
        <x:f>养成消耗调参!$P$167</x:f>
        <x:v>160</x:v>
      </x:c>
      <x:c r="R238" s="13">
        <x:f>I238/英雄升级调参!$G$85-1</x:f>
        <x:v>0.008964412211165396</x:v>
      </x:c>
      <x:c r="S238" s="6"/>
      <x:c r="T238" s="6"/>
      <x:c r="U238" s="6"/>
    </x:row>
    <x:row r="239" ht="21" customHeight="1">
      <x:c r="A239" s="14" t="n">
        <x:f>英雄升级调参!$B$19</x:f>
        <x:v>310001</x:v>
      </x:c>
      <x:c r="B239" s="14" t="str">
        <x:f>英雄升级调参!$C$19</x:f>
        <x:v>墨伊喵</x:v>
      </x:c>
      <x:c r="C239" s="6" t="str">
        <x:f>英雄升级调参!$D$19</x:f>
        <x:v>探险家</x:v>
      </x:c>
      <x:c r="D239" s="6" t="s">
        <x:v>18</x:v>
      </x:c>
      <x:c r="E239" s="6">
        <x:v>21</x:v>
      </x:c>
      <x:c r="F239" s="6" t="n">
        <x:f>英雄升级调参!$C$86</x:f>
        <x:v>5</x:v>
      </x:c>
      <x:c r="G239" s="12">
        <x:f t="shared" si="19"/>
        <x:v>1085</x:v>
      </x:c>
      <x:c r="H239" s="12">
        <x:f t="shared" si="20"/>
        <x:v>8887</x:v>
      </x:c>
      <x:c r="I239" s="12">
        <x:f t="shared" si="16"/>
        <x:v>9642395</x:v>
      </x:c>
      <x:c r="J239" s="12">
        <x:f>ROUND(英雄升级调参!$D$86*英雄升级调参!$J$9*英雄升级调参!$E$19,0)</x:f>
        <x:v>59</x:v>
      </x:c>
      <x:c r="K239" s="12">
        <x:f>ROUND(英雄升级调参!$D$86*英雄升级调参!$C$11*英雄升级调参!$J$9*英雄升级调参!$G$19,0)</x:f>
        <x:v>491</x:v>
      </x:c>
      <x:c r="L239" s="12" t="n">
        <x:f>养成消耗调参!$C$168</x:f>
        <x:v>432</x:v>
      </x:c>
      <x:c r="M239" s="12" t="n">
        <x:f>养成消耗调参!$F$168</x:f>
        <x:v>2100</x:v>
      </x:c>
      <x:c r="N239" s="12" t="n">
        <x:f>养成消耗调参!$I$168</x:f>
        <x:v>0</x:v>
      </x:c>
      <x:c r="O239" s="12" t="n">
        <x:f>养成消耗调参!$J$168</x:f>
        <x:v>4488</x:v>
      </x:c>
      <x:c r="P239" s="12" t="n">
        <x:f>养成消耗调参!$M$168</x:f>
        <x:v>24000</x:v>
      </x:c>
      <x:c r="Q239" s="12" t="n">
        <x:f>养成消耗调参!$P$168</x:f>
        <x:v>160</x:v>
      </x:c>
      <x:c r="R239" s="13">
        <x:f>I239/英雄升级调参!$G$86-1</x:f>
        <x:v>0.008108342638246002</x:v>
      </x:c>
      <x:c r="S239" s="6"/>
      <x:c r="T239" s="6"/>
      <x:c r="U239" s="6"/>
    </x:row>
    <x:row r="240" ht="21" customHeight="1">
      <x:c r="A240" s="14" t="n">
        <x:f>英雄升级调参!$B$19</x:f>
        <x:v>310001</x:v>
      </x:c>
      <x:c r="B240" s="14" t="str">
        <x:f>英雄升级调参!$C$19</x:f>
        <x:v>墨伊喵</x:v>
      </x:c>
      <x:c r="C240" s="6" t="str">
        <x:f>英雄升级调参!$D$19</x:f>
        <x:v>探险家</x:v>
      </x:c>
      <x:c r="D240" s="6" t="s">
        <x:v>18</x:v>
      </x:c>
      <x:c r="E240" s="6">
        <x:v>22</x:v>
      </x:c>
      <x:c r="F240" s="6" t="n">
        <x:f>英雄升级调参!$C$87</x:f>
        <x:v>5</x:v>
      </x:c>
      <x:c r="G240" s="12">
        <x:f t="shared" si="19"/>
        <x:v>1144</x:v>
      </x:c>
      <x:c r="H240" s="12">
        <x:f t="shared" si="20"/>
        <x:v>9378</x:v>
      </x:c>
      <x:c r="I240" s="12">
        <x:f t="shared" si="16"/>
        <x:v>10728432</x:v>
      </x:c>
      <x:c r="J240" s="12">
        <x:f>ROUND(英雄升级调参!$D$87*英雄升级调参!$J$9*英雄升级调参!$E$19,0)</x:f>
        <x:v>59</x:v>
      </x:c>
      <x:c r="K240" s="12">
        <x:f>ROUND(英雄升级调参!$D$87*英雄升级调参!$C$11*英雄升级调参!$J$9*英雄升级调参!$G$19,0)</x:f>
        <x:v>491</x:v>
      </x:c>
      <x:c r="L240" s="12" t="n">
        <x:f>养成消耗调参!$C$169</x:f>
        <x:v>480</x:v>
      </x:c>
      <x:c r="M240" s="12" t="n">
        <x:f>养成消耗调参!$F$169</x:f>
        <x:v>3000</x:v>
      </x:c>
      <x:c r="N240" s="12" t="n">
        <x:f>养成消耗调参!$I$169</x:f>
        <x:v>0</x:v>
      </x:c>
      <x:c r="O240" s="12" t="n">
        <x:f>养成消耗调参!$J$169</x:f>
        <x:v>4968</x:v>
      </x:c>
      <x:c r="P240" s="12" t="n">
        <x:f>养成消耗调参!$M$169</x:f>
        <x:v>27000</x:v>
      </x:c>
      <x:c r="Q240" s="12" t="n">
        <x:f>养成消耗调参!$P$169</x:f>
        <x:v>160</x:v>
      </x:c>
      <x:c r="R240" s="13">
        <x:f>I240/英雄升级调参!$G$87-1</x:f>
        <x:v>0.00734180638182802</x:v>
      </x:c>
      <x:c r="S240" s="6"/>
      <x:c r="T240" s="6"/>
      <x:c r="U240" s="6"/>
    </x:row>
    <x:row r="241" ht="21" customHeight="1">
      <x:c r="A241" s="14" t="n">
        <x:f>英雄升级调参!$B$19</x:f>
        <x:v>310001</x:v>
      </x:c>
      <x:c r="B241" s="14" t="str">
        <x:f>英雄升级调参!$C$19</x:f>
        <x:v>墨伊喵</x:v>
      </x:c>
      <x:c r="C241" s="6" t="str">
        <x:f>英雄升级调参!$D$19</x:f>
        <x:v>探险家</x:v>
      </x:c>
      <x:c r="D241" s="6" t="s">
        <x:v>18</x:v>
      </x:c>
      <x:c r="E241" s="6">
        <x:v>23</x:v>
      </x:c>
      <x:c r="F241" s="6" t="n">
        <x:f>英雄升级调参!$C$88</x:f>
        <x:v>5</x:v>
      </x:c>
      <x:c r="G241" s="12">
        <x:f t="shared" si="19"/>
        <x:v>1203</x:v>
      </x:c>
      <x:c r="H241" s="12">
        <x:f t="shared" si="20"/>
        <x:v>9869</x:v>
      </x:c>
      <x:c r="I241" s="12">
        <x:f t="shared" si="16"/>
        <x:v>11872407</x:v>
      </x:c>
      <x:c r="J241" s="12">
        <x:f>ROUND(英雄升级调参!$D$88*英雄升级调参!$J$9*英雄升级调参!$E$19,0)</x:f>
        <x:v>59</x:v>
      </x:c>
      <x:c r="K241" s="12">
        <x:f>ROUND(英雄升级调参!$D$88*英雄升级调参!$C$11*英雄升级调参!$J$9*英雄升级调参!$G$19,0)</x:f>
        <x:v>491</x:v>
      </x:c>
      <x:c r="L241" s="12" t="n">
        <x:f>养成消耗调参!$C$170</x:f>
        <x:v>480</x:v>
      </x:c>
      <x:c r="M241" s="12" t="n">
        <x:f>养成消耗调参!$F$170</x:f>
        <x:v>3000</x:v>
      </x:c>
      <x:c r="N241" s="12" t="n">
        <x:f>养成消耗调参!$I$170</x:f>
        <x:v>0</x:v>
      </x:c>
      <x:c r="O241" s="12" t="n">
        <x:f>养成消耗调参!$J$170</x:f>
        <x:v>5448</x:v>
      </x:c>
      <x:c r="P241" s="12" t="n">
        <x:f>养成消耗调参!$M$170</x:f>
        <x:v>30000</x:v>
      </x:c>
      <x:c r="Q241" s="12" t="n">
        <x:f>养成消耗调参!$P$170</x:f>
        <x:v>160</x:v>
      </x:c>
      <x:c r="R241" s="13">
        <x:f>I241/英雄升级调参!$G$88-1</x:f>
        <x:v>0.006651455490776614</x:v>
      </x:c>
      <x:c r="S241" s="6"/>
      <x:c r="T241" s="6"/>
      <x:c r="U241" s="6"/>
    </x:row>
    <x:row r="242" ht="21" customHeight="1">
      <x:c r="A242" s="14" t="n">
        <x:f>英雄升级调参!$B$19</x:f>
        <x:v>310001</x:v>
      </x:c>
      <x:c r="B242" s="14" t="str">
        <x:f>英雄升级调参!$C$19</x:f>
        <x:v>墨伊喵</x:v>
      </x:c>
      <x:c r="C242" s="6" t="str">
        <x:f>英雄升级调参!$D$19</x:f>
        <x:v>探险家</x:v>
      </x:c>
      <x:c r="D242" s="6" t="s">
        <x:v>18</x:v>
      </x:c>
      <x:c r="E242" s="6">
        <x:v>24</x:v>
      </x:c>
      <x:c r="F242" s="6" t="n">
        <x:f>英雄升级调参!$C$89</x:f>
        <x:v>5</x:v>
      </x:c>
      <x:c r="G242" s="12">
        <x:f t="shared" si="19"/>
        <x:v>1262</x:v>
      </x:c>
      <x:c r="H242" s="12">
        <x:f t="shared" si="20"/>
        <x:v>10360</x:v>
      </x:c>
      <x:c r="I242" s="12">
        <x:f t="shared" si="16"/>
        <x:v>13074320</x:v>
      </x:c>
      <x:c r="J242" s="12">
        <x:f>ROUND(英雄升级调参!$D$89*英雄升级调参!$J$9*英雄升级调参!$E$19,0)</x:f>
        <x:v>59</x:v>
      </x:c>
      <x:c r="K242" s="12">
        <x:f>ROUND(英雄升级调参!$D$89*英雄升级调参!$C$11*英雄升级调参!$J$9*英雄升级调参!$G$19,0)</x:f>
        <x:v>491</x:v>
      </x:c>
      <x:c r="L242" s="12" t="n">
        <x:f>养成消耗调参!$C$171</x:f>
        <x:v>528</x:v>
      </x:c>
      <x:c r="M242" s="12" t="n">
        <x:f>养成消耗调参!$F$171</x:f>
        <x:v>3000</x:v>
      </x:c>
      <x:c r="N242" s="12" t="n">
        <x:f>养成消耗调参!$I$171</x:f>
        <x:v>0</x:v>
      </x:c>
      <x:c r="O242" s="12" t="n">
        <x:f>养成消耗调参!$J$171</x:f>
        <x:v>5976</x:v>
      </x:c>
      <x:c r="P242" s="12" t="n">
        <x:f>养成消耗调参!$M$171</x:f>
        <x:v>33000</x:v>
      </x:c>
      <x:c r="Q242" s="12" t="n">
        <x:f>养成消耗调参!$P$171</x:f>
        <x:v>160</x:v>
      </x:c>
      <x:c r="R242" s="13">
        <x:f>I242/英雄升级调参!$G$89-1</x:f>
        <x:v>0.006026469682979485</x:v>
      </x:c>
      <x:c r="S242" s="6"/>
      <x:c r="T242" s="6"/>
      <x:c r="U242" s="6"/>
    </x:row>
    <x:row r="243" ht="21" customHeight="1">
      <x:c r="A243" s="14" t="n">
        <x:f>英雄升级调参!$B$19</x:f>
        <x:v>310001</x:v>
      </x:c>
      <x:c r="B243" s="14" t="str">
        <x:f>英雄升级调参!$C$19</x:f>
        <x:v>墨伊喵</x:v>
      </x:c>
      <x:c r="C243" s="6" t="str">
        <x:f>英雄升级调参!$D$19</x:f>
        <x:v>探险家</x:v>
      </x:c>
      <x:c r="D243" s="6" t="s">
        <x:v>18</x:v>
      </x:c>
      <x:c r="E243" s="6">
        <x:v>25</x:v>
      </x:c>
      <x:c r="F243" s="6" t="n">
        <x:f>英雄升级调参!$C$90</x:f>
        <x:v>5</x:v>
      </x:c>
      <x:c r="G243" s="12">
        <x:f t="shared" si="19"/>
        <x:v>1439</x:v>
      </x:c>
      <x:c r="H243" s="12">
        <x:f t="shared" si="20"/>
        <x:v>11833</x:v>
      </x:c>
      <x:c r="I243" s="12">
        <x:f t="shared" si="16"/>
        <x:v>17027687</x:v>
      </x:c>
      <x:c r="J243" s="12">
        <x:f>ROUND(英雄升级调参!$D$90*英雄升级调参!$J$9*英雄升级调参!$E$19,0)*3</x:f>
        <x:v>177</x:v>
      </x:c>
      <x:c r="K243" s="12">
        <x:f>ROUND(英雄升级调参!$D$90*英雄升级调参!$C$11*英雄升级调参!$J$9*英雄升级调参!$G$19,0)*3</x:f>
        <x:v>1473</x:v>
      </x:c>
      <x:c r="L243" s="12" t="n">
        <x:f>养成消耗调参!$C$172</x:f>
        <x:v>528</x:v>
      </x:c>
      <x:c r="M243" s="12" t="n">
        <x:f>养成消耗调参!$F$172</x:f>
        <x:v>3000</x:v>
      </x:c>
      <x:c r="N243" s="12" t="n">
        <x:f>养成消耗调参!$I$172</x:f>
        <x:v>90</x:v>
      </x:c>
      <x:c r="O243" s="12" t="n">
        <x:f>养成消耗调参!$J$172</x:f>
        <x:v>6504</x:v>
      </x:c>
      <x:c r="P243" s="12" t="n">
        <x:f>养成消耗调参!$M$172</x:f>
        <x:v>36000</x:v>
      </x:c>
      <x:c r="Q243" s="12" t="n">
        <x:f>养成消耗调参!$P$172</x:f>
        <x:v>250</x:v>
      </x:c>
      <x:c r="R243" s="13">
        <x:f>I243/英雄升级调参!$G$90-1</x:f>
        <x:v>0.004462412783358127</x:v>
      </x:c>
      <x:c r="S243" s="6"/>
      <x:c r="T243" s="6"/>
      <x:c r="U243" s="6"/>
    </x:row>
    <x:row r="244" ht="21" customHeight="1">
      <x:c r="A244" s="14" t="n">
        <x:f>英雄升级调参!$B$19</x:f>
        <x:v>310001</x:v>
      </x:c>
      <x:c r="B244" s="14" t="str">
        <x:f>英雄升级调参!$C$19</x:f>
        <x:v>墨伊喵</x:v>
      </x:c>
      <x:c r="C244" s="6" t="str">
        <x:f>英雄升级调参!$D$19</x:f>
        <x:v>探险家</x:v>
      </x:c>
      <x:c r="D244" s="6" t="s">
        <x:v>18</x:v>
      </x:c>
      <x:c r="E244" s="6">
        <x:v>26</x:v>
      </x:c>
      <x:c r="F244" s="6" t="n">
        <x:f>英雄升级调参!$C$91</x:f>
        <x:v>6</x:v>
      </x:c>
      <x:c r="G244" s="12">
        <x:f t="shared" si="19"/>
        <x:v>1508</x:v>
      </x:c>
      <x:c r="H244" s="12">
        <x:f t="shared" si="20"/>
        <x:v>12406</x:v>
      </x:c>
      <x:c r="I244" s="12">
        <x:f t="shared" si="16"/>
        <x:v>18708248</x:v>
      </x:c>
      <x:c r="J244" s="12">
        <x:f>ROUND(英雄升级调参!$D$91*英雄升级调参!$J$9*英雄升级调参!$E$19,0)</x:f>
        <x:v>69</x:v>
      </x:c>
      <x:c r="K244" s="12">
        <x:f>ROUND(英雄升级调参!$D$91*英雄升级调参!$C$11*英雄升级调参!$J$9*英雄升级调参!$G$19,0)</x:f>
        <x:v>573</x:v>
      </x:c>
      <x:c r="L244" s="12" t="n">
        <x:f>养成消耗调参!$C$173</x:f>
        <x:v>576</x:v>
      </x:c>
      <x:c r="M244" s="12" t="n">
        <x:f>养成消耗调参!$F$173</x:f>
        <x:v>3000</x:v>
      </x:c>
      <x:c r="N244" s="12" t="n">
        <x:f>养成消耗调参!$I$173</x:f>
        <x:v>0</x:v>
      </x:c>
      <x:c r="O244" s="12" t="n">
        <x:f>养成消耗调参!$J$173</x:f>
        <x:v>7080</x:v>
      </x:c>
      <x:c r="P244" s="12" t="n">
        <x:f>养成消耗调参!$M$173</x:f>
        <x:v>39000</x:v>
      </x:c>
      <x:c r="Q244" s="12" t="n">
        <x:f>养成消耗调参!$P$173</x:f>
        <x:v>250</x:v>
      </x:c>
      <x:c r="R244" s="13">
        <x:f>I244/英雄升级调参!$G$91-1</x:f>
        <x:v>0.004078841793127452</x:v>
      </x:c>
      <x:c r="S244" s="6"/>
      <x:c r="T244" s="6"/>
      <x:c r="U244" s="6"/>
    </x:row>
    <x:row r="245" ht="21" customHeight="1">
      <x:c r="A245" s="14" t="n">
        <x:f>英雄升级调参!$B$19</x:f>
        <x:v>310001</x:v>
      </x:c>
      <x:c r="B245" s="14" t="str">
        <x:f>英雄升级调参!$C$19</x:f>
        <x:v>墨伊喵</x:v>
      </x:c>
      <x:c r="C245" s="6" t="str">
        <x:f>英雄升级调参!$D$19</x:f>
        <x:v>探险家</x:v>
      </x:c>
      <x:c r="D245" s="6" t="s">
        <x:v>18</x:v>
      </x:c>
      <x:c r="E245" s="6">
        <x:v>27</x:v>
      </x:c>
      <x:c r="F245" s="6" t="n">
        <x:f>英雄升级调参!$C$92</x:f>
        <x:v>6</x:v>
      </x:c>
      <x:c r="G245" s="12">
        <x:f t="shared" si="19"/>
        <x:v>1577</x:v>
      </x:c>
      <x:c r="H245" s="12">
        <x:f t="shared" si="20"/>
        <x:v>12979</x:v>
      </x:c>
      <x:c r="I245" s="12">
        <x:f t="shared" si="16"/>
        <x:v>20467883</x:v>
      </x:c>
      <x:c r="J245" s="12">
        <x:f>ROUND(英雄升级调参!$D$92*英雄升级调参!$J$9*英雄升级调参!$E$19,0)</x:f>
        <x:v>69</x:v>
      </x:c>
      <x:c r="K245" s="12">
        <x:f>ROUND(英雄升级调参!$D$92*英雄升级调参!$C$11*英雄升级调参!$J$9*英雄升级调参!$G$19,0)</x:f>
        <x:v>573</x:v>
      </x:c>
      <x:c r="L245" s="12" t="n">
        <x:f>养成消耗调参!$C$174</x:f>
        <x:v>576</x:v>
      </x:c>
      <x:c r="M245" s="12" t="n">
        <x:f>养成消耗调参!$F$174</x:f>
        <x:v>3900</x:v>
      </x:c>
      <x:c r="N245" s="12" t="n">
        <x:f>养成消耗调参!$I$174</x:f>
        <x:v>0</x:v>
      </x:c>
      <x:c r="O245" s="12" t="n">
        <x:f>养成消耗调参!$J$174</x:f>
        <x:v>7656</x:v>
      </x:c>
      <x:c r="P245" s="12" t="n">
        <x:f>养成消耗调参!$M$174</x:f>
        <x:v>42900</x:v>
      </x:c>
      <x:c r="Q245" s="12" t="n">
        <x:f>养成消耗调参!$P$174</x:f>
        <x:v>250</x:v>
      </x:c>
      <x:c r="R245" s="13">
        <x:f>I245/英雄升级调参!$G$92-1</x:f>
        <x:v>0.003729089675085673</x:v>
      </x:c>
      <x:c r="S245" s="6"/>
      <x:c r="T245" s="6"/>
      <x:c r="U245" s="6"/>
    </x:row>
    <x:row r="246" ht="21" customHeight="1">
      <x:c r="A246" s="14" t="n">
        <x:f>英雄升级调参!$B$19</x:f>
        <x:v>310001</x:v>
      </x:c>
      <x:c r="B246" s="14" t="str">
        <x:f>英雄升级调参!$C$19</x:f>
        <x:v>墨伊喵</x:v>
      </x:c>
      <x:c r="C246" s="6" t="str">
        <x:f>英雄升级调参!$D$19</x:f>
        <x:v>探险家</x:v>
      </x:c>
      <x:c r="D246" s="6" t="s">
        <x:v>18</x:v>
      </x:c>
      <x:c r="E246" s="6">
        <x:v>28</x:v>
      </x:c>
      <x:c r="F246" s="6" t="n">
        <x:f>英雄升级调参!$C$93</x:f>
        <x:v>6</x:v>
      </x:c>
      <x:c r="G246" s="12">
        <x:f t="shared" si="19"/>
        <x:v>1646</x:v>
      </x:c>
      <x:c r="H246" s="12">
        <x:f t="shared" si="20"/>
        <x:v>13552</x:v>
      </x:c>
      <x:c r="I246" s="12">
        <x:f t="shared" si="16"/>
        <x:v>22306592</x:v>
      </x:c>
      <x:c r="J246" s="12">
        <x:f>ROUND(英雄升级调参!$D$93*英雄升级调参!$J$9*英雄升级调参!$E$19,0)</x:f>
        <x:v>69</x:v>
      </x:c>
      <x:c r="K246" s="12">
        <x:f>ROUND(英雄升级调参!$D$93*英雄升级调参!$C$11*英雄升级调参!$J$9*英雄升级调参!$G$19,0)</x:f>
        <x:v>573</x:v>
      </x:c>
      <x:c r="L246" s="12" t="n">
        <x:f>养成消耗调参!$C$175</x:f>
        <x:v>624</x:v>
      </x:c>
      <x:c r="M246" s="12" t="n">
        <x:f>养成消耗调参!$F$175</x:f>
        <x:v>3900</x:v>
      </x:c>
      <x:c r="N246" s="12" t="n">
        <x:f>养成消耗调参!$I$175</x:f>
        <x:v>0</x:v>
      </x:c>
      <x:c r="O246" s="12" t="n">
        <x:f>养成消耗调参!$J$175</x:f>
        <x:v>8280</x:v>
      </x:c>
      <x:c r="P246" s="12" t="n">
        <x:f>养成消耗调参!$M$175</x:f>
        <x:v>46800</x:v>
      </x:c>
      <x:c r="Q246" s="12" t="n">
        <x:f>养成消耗调参!$P$175</x:f>
        <x:v>250</x:v>
      </x:c>
      <x:c r="R246" s="13">
        <x:f>I246/英雄升级调参!$G$93-1</x:f>
        <x:v>0.0034088726411678483</x:v>
      </x:c>
      <x:c r="S246" s="6"/>
      <x:c r="T246" s="6"/>
      <x:c r="U246" s="6"/>
    </x:row>
    <x:row r="247" ht="21" customHeight="1">
      <x:c r="A247" s="14" t="n">
        <x:f>英雄升级调参!$B$19</x:f>
        <x:v>310001</x:v>
      </x:c>
      <x:c r="B247" s="14" t="str">
        <x:f>英雄升级调参!$C$19</x:f>
        <x:v>墨伊喵</x:v>
      </x:c>
      <x:c r="C247" s="6" t="str">
        <x:f>英雄升级调参!$D$19</x:f>
        <x:v>探险家</x:v>
      </x:c>
      <x:c r="D247" s="6" t="s">
        <x:v>18</x:v>
      </x:c>
      <x:c r="E247" s="6">
        <x:v>29</x:v>
      </x:c>
      <x:c r="F247" s="6" t="n">
        <x:f>英雄升级调参!$C$94</x:f>
        <x:v>6</x:v>
      </x:c>
      <x:c r="G247" s="12">
        <x:f t="shared" si="19"/>
        <x:v>1715</x:v>
      </x:c>
      <x:c r="H247" s="12">
        <x:f t="shared" si="20"/>
        <x:v>14125</x:v>
      </x:c>
      <x:c r="I247" s="12">
        <x:f t="shared" si="16"/>
        <x:v>24224375</x:v>
      </x:c>
      <x:c r="J247" s="12">
        <x:f>ROUND(英雄升级调参!$D$94*英雄升级调参!$J$9*英雄升级调参!$E$19,0)</x:f>
        <x:v>69</x:v>
      </x:c>
      <x:c r="K247" s="12">
        <x:f>ROUND(英雄升级调参!$D$94*英雄升级调参!$C$11*英雄升级调参!$J$9*英雄升级调参!$G$19,0)</x:f>
        <x:v>573</x:v>
      </x:c>
      <x:c r="L247" s="12" t="n">
        <x:f>养成消耗调参!$C$176</x:f>
        <x:v>624</x:v>
      </x:c>
      <x:c r="M247" s="12" t="n">
        <x:f>养成消耗调参!$F$176</x:f>
        <x:v>3900</x:v>
      </x:c>
      <x:c r="N247" s="12" t="n">
        <x:f>养成消耗调参!$I$176</x:f>
        <x:v>0</x:v>
      </x:c>
      <x:c r="O247" s="12" t="n">
        <x:f>养成消耗调参!$J$176</x:f>
        <x:v>8904</x:v>
      </x:c>
      <x:c r="P247" s="12" t="n">
        <x:f>养成消耗调参!$M$176</x:f>
        <x:v>50700</x:v>
      </x:c>
      <x:c r="Q247" s="12" t="n">
        <x:f>养成消耗调参!$P$176</x:f>
        <x:v>250</x:v>
      </x:c>
      <x:c r="R247" s="13">
        <x:f>I247/英雄升级调参!$G$94-1</x:f>
        <x:v>0.0031146010875739982</x:v>
      </x:c>
      <x:c r="S247" s="6"/>
      <x:c r="T247" s="6"/>
      <x:c r="U247" s="6"/>
    </x:row>
    <x:row r="248" ht="21" customHeight="1">
      <x:c r="A248" s="14" t="n">
        <x:f>英雄升级调参!$B$19</x:f>
        <x:v>310001</x:v>
      </x:c>
      <x:c r="B248" s="14" t="str">
        <x:f>英雄升级调参!$C$19</x:f>
        <x:v>墨伊喵</x:v>
      </x:c>
      <x:c r="C248" s="6" t="str">
        <x:f>英雄升级调参!$D$19</x:f>
        <x:v>探险家</x:v>
      </x:c>
      <x:c r="D248" s="6" t="s">
        <x:v>18</x:v>
      </x:c>
      <x:c r="E248" s="6">
        <x:v>30</x:v>
      </x:c>
      <x:c r="F248" s="6" t="n">
        <x:f>英雄升级调参!$C$95</x:f>
        <x:v>6</x:v>
      </x:c>
      <x:c r="G248" s="12">
        <x:f t="shared" si="19"/>
        <x:v>1922</x:v>
      </x:c>
      <x:c r="H248" s="12">
        <x:f t="shared" si="20"/>
        <x:v>15844</x:v>
      </x:c>
      <x:c r="I248" s="12">
        <x:f t="shared" si="16"/>
        <x:v>30452168</x:v>
      </x:c>
      <x:c r="J248" s="12">
        <x:f>ROUND(英雄升级调参!$D$95*英雄升级调参!$J$9*英雄升级调参!$E$19,0)*3</x:f>
        <x:v>207</x:v>
      </x:c>
      <x:c r="K248" s="12">
        <x:f>ROUND(英雄升级调参!$D$95*英雄升级调参!$C$11*英雄升级调参!$J$9*英雄升级调参!$G$19,0)*3</x:f>
        <x:v>1719</x:v>
      </x:c>
      <x:c r="L248" s="12" t="n">
        <x:f>养成消耗调参!$C$177</x:f>
        <x:v>672</x:v>
      </x:c>
      <x:c r="M248" s="12" t="n">
        <x:f>养成消耗调参!$F$177</x:f>
        <x:v>3900</x:v>
      </x:c>
      <x:c r="N248" s="12" t="n">
        <x:f>养成消耗调参!$I$177</x:f>
        <x:v>110</x:v>
      </x:c>
      <x:c r="O248" s="12" t="n">
        <x:f>养成消耗调参!$J$177</x:f>
        <x:v>9576</x:v>
      </x:c>
      <x:c r="P248" s="12" t="n">
        <x:f>养成消耗调参!$M$177</x:f>
        <x:v>54600</x:v>
      </x:c>
      <x:c r="Q248" s="12" t="n">
        <x:f>养成消耗调参!$P$177</x:f>
        <x:v>360</x:v>
      </x:c>
      <x:c r="R248" s="13">
        <x:f>I248/英雄升级调参!$G$95-1</x:f>
        <x:v>0.0023593431179023128</x:v>
      </x:c>
      <x:c r="S248" s="6"/>
      <x:c r="T248" s="6"/>
      <x:c r="U248" s="6"/>
    </x:row>
    <x:row r="249" ht="21" customHeight="1">
      <x:c r="A249" s="14" t="n">
        <x:f>英雄升级调参!$B$19</x:f>
        <x:v>310001</x:v>
      </x:c>
      <x:c r="B249" s="14" t="str">
        <x:f>英雄升级调参!$C$19</x:f>
        <x:v>墨伊喵</x:v>
      </x:c>
      <x:c r="C249" s="6" t="str">
        <x:f>英雄升级调参!$D$19</x:f>
        <x:v>探险家</x:v>
      </x:c>
      <x:c r="D249" s="6" t="s">
        <x:v>18</x:v>
      </x:c>
      <x:c r="E249" s="6">
        <x:v>31</x:v>
      </x:c>
      <x:c r="F249" s="6" t="n">
        <x:f>英雄升级调参!$C$96</x:f>
        <x:v>7</x:v>
      </x:c>
      <x:c r="G249" s="12">
        <x:f t="shared" si="19"/>
        <x:v>2001</x:v>
      </x:c>
      <x:c r="H249" s="12">
        <x:f t="shared" si="20"/>
        <x:v>16499</x:v>
      </x:c>
      <x:c r="I249" s="12">
        <x:f t="shared" si="16"/>
        <x:v>33014499</x:v>
      </x:c>
      <x:c r="J249" s="12">
        <x:f>ROUND(英雄升级调参!$D$96*英雄升级调参!$J$9*英雄升级调参!$E$19,0)</x:f>
        <x:v>79</x:v>
      </x:c>
      <x:c r="K249" s="12">
        <x:f>ROUND(英雄升级调参!$D$96*英雄升级调参!$C$11*英雄升级调参!$J$9*英雄升级调参!$G$19,0)</x:f>
        <x:v>655</x:v>
      </x:c>
      <x:c r="L249" s="12" t="n">
        <x:f>养成消耗调参!$C$178</x:f>
        <x:v>672</x:v>
      </x:c>
      <x:c r="M249" s="12" t="n">
        <x:f>养成消耗调参!$F$178</x:f>
        <x:v>3900</x:v>
      </x:c>
      <x:c r="N249" s="12" t="n">
        <x:f>养成消耗调参!$I$178</x:f>
        <x:v>0</x:v>
      </x:c>
      <x:c r="O249" s="12" t="n">
        <x:f>养成消耗调参!$J$178</x:f>
        <x:v>10248</x:v>
      </x:c>
      <x:c r="P249" s="12" t="n">
        <x:f>养成消耗调参!$M$178</x:f>
        <x:v>58500</x:v>
      </x:c>
      <x:c r="Q249" s="12" t="n">
        <x:f>养成消耗调参!$P$178</x:f>
        <x:v>360</x:v>
      </x:c>
      <x:c r="R249" s="13">
        <x:f>I249/英雄升级调参!$G$96-1</x:f>
        <x:v>0.002193201739407513</x:v>
      </x:c>
      <x:c r="S249" s="6"/>
      <x:c r="T249" s="6"/>
      <x:c r="U249" s="6"/>
    </x:row>
    <x:row r="250" ht="21" customHeight="1">
      <x:c r="A250" s="14" t="n">
        <x:f>英雄升级调参!$B$19</x:f>
        <x:v>310001</x:v>
      </x:c>
      <x:c r="B250" s="14" t="str">
        <x:f>英雄升级调参!$C$19</x:f>
        <x:v>墨伊喵</x:v>
      </x:c>
      <x:c r="C250" s="6" t="str">
        <x:f>英雄升级调参!$D$19</x:f>
        <x:v>探险家</x:v>
      </x:c>
      <x:c r="D250" s="6" t="s">
        <x:v>18</x:v>
      </x:c>
      <x:c r="E250" s="6">
        <x:v>32</x:v>
      </x:c>
      <x:c r="F250" s="6" t="n">
        <x:f>英雄升级调参!$C$97</x:f>
        <x:v>7</x:v>
      </x:c>
      <x:c r="G250" s="12">
        <x:f t="shared" si="19"/>
        <x:v>2080</x:v>
      </x:c>
      <x:c r="H250" s="12">
        <x:f t="shared" si="20"/>
        <x:v>17154</x:v>
      </x:c>
      <x:c r="I250" s="12">
        <x:f t="shared" si="16"/>
        <x:v>35680320</x:v>
      </x:c>
      <x:c r="J250" s="12">
        <x:f>ROUND(英雄升级调参!$D$97*英雄升级调参!$J$9*英雄升级调参!$E$19,0)</x:f>
        <x:v>79</x:v>
      </x:c>
      <x:c r="K250" s="12">
        <x:f>ROUND(英雄升级调参!$D$97*英雄升级调参!$C$11*英雄升级调参!$J$9*英雄升级调参!$G$19,0)</x:f>
        <x:v>655</x:v>
      </x:c>
      <x:c r="L250" s="12" t="n">
        <x:f>养成消耗调参!$C$179</x:f>
        <x:v>720</x:v>
      </x:c>
      <x:c r="M250" s="12" t="n">
        <x:f>养成消耗调参!$F$179</x:f>
        <x:v>4800</x:v>
      </x:c>
      <x:c r="N250" s="12" t="n">
        <x:f>养成消耗调参!$I$179</x:f>
        <x:v>0</x:v>
      </x:c>
      <x:c r="O250" s="12" t="n">
        <x:f>养成消耗调参!$J$179</x:f>
        <x:v>10968</x:v>
      </x:c>
      <x:c r="P250" s="12" t="n">
        <x:f>养成消耗调参!$M$179</x:f>
        <x:v>63300</x:v>
      </x:c>
      <x:c r="Q250" s="12" t="n">
        <x:f>养成消耗调参!$P$179</x:f>
        <x:v>360</x:v>
      </x:c>
      <x:c r="R250" s="13">
        <x:f>I250/英雄升级调参!$G$97-1</x:f>
        <x:v>0.0020397279351735964</x:v>
      </x:c>
      <x:c r="S250" s="6"/>
      <x:c r="T250" s="6"/>
      <x:c r="U250" s="6"/>
    </x:row>
    <x:row r="251" ht="21" customHeight="1">
      <x:c r="A251" s="14" t="n">
        <x:f>英雄升级调参!$B$19</x:f>
        <x:v>310001</x:v>
      </x:c>
      <x:c r="B251" s="14" t="str">
        <x:f>英雄升级调参!$C$19</x:f>
        <x:v>墨伊喵</x:v>
      </x:c>
      <x:c r="C251" s="6" t="str">
        <x:f>英雄升级调参!$D$19</x:f>
        <x:v>探险家</x:v>
      </x:c>
      <x:c r="D251" s="6" t="s">
        <x:v>18</x:v>
      </x:c>
      <x:c r="E251" s="6">
        <x:v>33</x:v>
      </x:c>
      <x:c r="F251" s="6" t="n">
        <x:f>英雄升级调参!$C$98</x:f>
        <x:v>7</x:v>
      </x:c>
      <x:c r="G251" s="12">
        <x:f t="shared" si="19"/>
        <x:v>2159</x:v>
      </x:c>
      <x:c r="H251" s="12">
        <x:f t="shared" si="20"/>
        <x:v>17809</x:v>
      </x:c>
      <x:c r="I251" s="12">
        <x:f t="shared" si="16"/>
        <x:v>38449631</x:v>
      </x:c>
      <x:c r="J251" s="12">
        <x:f>ROUND(英雄升级调参!$D$98*英雄升级调参!$J$9*英雄升级调参!$E$19,0)</x:f>
        <x:v>79</x:v>
      </x:c>
      <x:c r="K251" s="12">
        <x:f>ROUND(英雄升级调参!$D$98*英雄升级调参!$C$11*英雄升级调参!$J$9*英雄升级调参!$G$19,0)</x:f>
        <x:v>655</x:v>
      </x:c>
      <x:c r="L251" s="12" t="n">
        <x:f>养成消耗调参!$C$180</x:f>
        <x:v>720</x:v>
      </x:c>
      <x:c r="M251" s="12" t="n">
        <x:f>养成消耗调参!$F$180</x:f>
        <x:v>4800</x:v>
      </x:c>
      <x:c r="N251" s="12" t="n">
        <x:f>养成消耗调参!$I$180</x:f>
        <x:v>0</x:v>
      </x:c>
      <x:c r="O251" s="12" t="n">
        <x:f>养成消耗调参!$J$180</x:f>
        <x:v>11688</x:v>
      </x:c>
      <x:c r="P251" s="12" t="n">
        <x:f>养成消耗调参!$M$180</x:f>
        <x:v>68100</x:v>
      </x:c>
      <x:c r="Q251" s="12" t="n">
        <x:f>养成消耗调参!$P$180</x:f>
        <x:v>360</x:v>
      </x:c>
      <x:c r="R251" s="13">
        <x:f>I251/英雄升级调参!$G$98-1</x:f>
        <x:v>0.0018975261362266238</x:v>
      </x:c>
      <x:c r="S251" s="6"/>
      <x:c r="T251" s="6"/>
      <x:c r="U251" s="6"/>
    </x:row>
    <x:row r="252" ht="21" customHeight="1">
      <x:c r="A252" s="14" t="n">
        <x:f>英雄升级调参!$B$19</x:f>
        <x:v>310001</x:v>
      </x:c>
      <x:c r="B252" s="14" t="str">
        <x:f>英雄升级调参!$C$19</x:f>
        <x:v>墨伊喵</x:v>
      </x:c>
      <x:c r="C252" s="6" t="str">
        <x:f>英雄升级调参!$D$19</x:f>
        <x:v>探险家</x:v>
      </x:c>
      <x:c r="D252" s="6" t="s">
        <x:v>18</x:v>
      </x:c>
      <x:c r="E252" s="6">
        <x:v>34</x:v>
      </x:c>
      <x:c r="F252" s="6" t="n">
        <x:f>英雄升级调参!$C$99</x:f>
        <x:v>7</x:v>
      </x:c>
      <x:c r="G252" s="12">
        <x:f t="shared" ref="G252:G268" si="21">G251+J252</x:f>
        <x:v>2238</x:v>
      </x:c>
      <x:c r="H252" s="12">
        <x:f t="shared" ref="H252:H268" si="22">H251+K252</x:f>
        <x:v>18464</x:v>
      </x:c>
      <x:c r="I252" s="12">
        <x:f t="shared" si="16"/>
        <x:v>41322432</x:v>
      </x:c>
      <x:c r="J252" s="12">
        <x:f>ROUND(英雄升级调参!$D$99*英雄升级调参!$J$9*英雄升级调参!$E$19,0)</x:f>
        <x:v>79</x:v>
      </x:c>
      <x:c r="K252" s="12">
        <x:f>ROUND(英雄升级调参!$D$99*英雄升级调参!$C$11*英雄升级调参!$J$9*英雄升级调参!$G$19,0)</x:f>
        <x:v>655</x:v>
      </x:c>
      <x:c r="L252" s="12" t="n">
        <x:f>养成消耗调参!$C$181</x:f>
        <x:v>768</x:v>
      </x:c>
      <x:c r="M252" s="12" t="n">
        <x:f>养成消耗调参!$F$181</x:f>
        <x:v>4800</x:v>
      </x:c>
      <x:c r="N252" s="12" t="n">
        <x:f>养成消耗调参!$I$181</x:f>
        <x:v>0</x:v>
      </x:c>
      <x:c r="O252" s="12" t="n">
        <x:f>养成消耗调参!$J$181</x:f>
        <x:v>12456</x:v>
      </x:c>
      <x:c r="P252" s="12" t="n">
        <x:f>养成消耗调参!$M$181</x:f>
        <x:v>72900</x:v>
      </x:c>
      <x:c r="Q252" s="12" t="n">
        <x:f>养成消耗调参!$P$181</x:f>
        <x:v>360</x:v>
      </x:c>
      <x:c r="R252" s="13">
        <x:f>I252/英雄升级调参!$G$99-1</x:f>
        <x:v>0.0017653985092223046</x:v>
      </x:c>
      <x:c r="S252" s="6"/>
      <x:c r="T252" s="6"/>
      <x:c r="U252" s="6"/>
    </x:row>
    <x:row r="253" ht="21" customHeight="1">
      <x:c r="A253" s="14" t="n">
        <x:f>英雄升级调参!$B$19</x:f>
        <x:v>310001</x:v>
      </x:c>
      <x:c r="B253" s="14" t="str">
        <x:f>英雄升级调参!$C$19</x:f>
        <x:v>墨伊喵</x:v>
      </x:c>
      <x:c r="C253" s="6" t="str">
        <x:f>英雄升级调参!$D$19</x:f>
        <x:v>探险家</x:v>
      </x:c>
      <x:c r="D253" s="6" t="s">
        <x:v>18</x:v>
      </x:c>
      <x:c r="E253" s="6">
        <x:v>35</x:v>
      </x:c>
      <x:c r="F253" s="6" t="n">
        <x:f>英雄升级调参!$C$100</x:f>
        <x:v>7</x:v>
      </x:c>
      <x:c r="G253" s="12">
        <x:f t="shared" si="21"/>
        <x:v>2475</x:v>
      </x:c>
      <x:c r="H253" s="12">
        <x:f t="shared" si="22"/>
        <x:v>20429</x:v>
      </x:c>
      <x:c r="I253" s="12">
        <x:f t="shared" si="16"/>
        <x:v>50561775</x:v>
      </x:c>
      <x:c r="J253" s="12">
        <x:f>ROUND(英雄升级调参!$D$100*英雄升级调参!$J$9*英雄升级调参!$E$19,0)*3</x:f>
        <x:v>237</x:v>
      </x:c>
      <x:c r="K253" s="12">
        <x:f>ROUND(英雄升级调参!$D$100*英雄升级调参!$C$11*英雄升级调参!$J$9*英雄升级调参!$G$19,0)*3</x:f>
        <x:v>1965</x:v>
      </x:c>
      <x:c r="L253" s="12" t="n">
        <x:f>养成消耗调参!$C$182</x:f>
        <x:v>768</x:v>
      </x:c>
      <x:c r="M253" s="12" t="n">
        <x:f>养成消耗调参!$F$182</x:f>
        <x:v>4800</x:v>
      </x:c>
      <x:c r="N253" s="12" t="n">
        <x:f>养成消耗调参!$I$182</x:f>
        <x:v>130</x:v>
      </x:c>
      <x:c r="O253" s="12" t="n">
        <x:f>养成消耗调参!$J$182</x:f>
        <x:v>13224</x:v>
      </x:c>
      <x:c r="P253" s="12" t="n">
        <x:f>养成消耗调参!$M$182</x:f>
        <x:v>77700</x:v>
      </x:c>
      <x:c r="Q253" s="12" t="n">
        <x:f>养成消耗调参!$P$182</x:f>
        <x:v>490</x:v>
      </x:c>
      <x:c r="R253" s="13">
        <x:f>I253/英雄升级调参!$G$100-1</x:f>
        <x:v>0.0014197835654481405</x:v>
      </x:c>
      <x:c r="S253" s="6"/>
      <x:c r="T253" s="6"/>
      <x:c r="U253" s="6"/>
    </x:row>
    <x:row r="254" ht="21" customHeight="1">
      <x:c r="A254" s="14" t="n">
        <x:f>英雄升级调参!$B$19</x:f>
        <x:v>310001</x:v>
      </x:c>
      <x:c r="B254" s="14" t="str">
        <x:f>英雄升级调参!$C$19</x:f>
        <x:v>墨伊喵</x:v>
      </x:c>
      <x:c r="C254" s="6" t="str">
        <x:f>英雄升级调参!$D$19</x:f>
        <x:v>探险家</x:v>
      </x:c>
      <x:c r="D254" s="6" t="s">
        <x:v>18</x:v>
      </x:c>
      <x:c r="E254" s="6">
        <x:v>36</x:v>
      </x:c>
      <x:c r="F254" s="6" t="n">
        <x:f>英雄升级调参!$C$101</x:f>
        <x:v>8</x:v>
      </x:c>
      <x:c r="G254" s="12">
        <x:f t="shared" si="21"/>
        <x:v>2564</x:v>
      </x:c>
      <x:c r="H254" s="12">
        <x:f t="shared" si="22"/>
        <x:v>21165</x:v>
      </x:c>
      <x:c r="I254" s="12">
        <x:f t="shared" si="16"/>
        <x:v>54267060</x:v>
      </x:c>
      <x:c r="J254" s="12">
        <x:f>ROUND(英雄升级调参!$D$101*英雄升级调参!$J$9*英雄升级调参!$E$19,0)</x:f>
        <x:v>89</x:v>
      </x:c>
      <x:c r="K254" s="12">
        <x:f>ROUND(英雄升级调参!$D$101*英雄升级调参!$C$11*英雄升级调参!$J$9*英雄升级调参!$G$19,0)</x:f>
        <x:v>736</x:v>
      </x:c>
      <x:c r="L254" s="12" t="n">
        <x:f>养成消耗调参!$C$183</x:f>
        <x:v>816</x:v>
      </x:c>
      <x:c r="M254" s="12" t="n">
        <x:f>养成消耗调参!$F$183</x:f>
        <x:v>4800</x:v>
      </x:c>
      <x:c r="N254" s="12" t="n">
        <x:f>养成消耗调参!$I$183</x:f>
        <x:v>0</x:v>
      </x:c>
      <x:c r="O254" s="12" t="n">
        <x:f>养成消耗调参!$J$183</x:f>
        <x:v>14040</x:v>
      </x:c>
      <x:c r="P254" s="12" t="n">
        <x:f>养成消耗调参!$M$183</x:f>
        <x:v>82500</x:v>
      </x:c>
      <x:c r="Q254" s="12" t="n">
        <x:f>养成消耗调参!$P$183</x:f>
        <x:v>490</x:v>
      </x:c>
      <x:c r="R254" s="13">
        <x:f>I254/英雄升级调参!$G$101-1</x:f>
        <x:v>0.0013141230027986506</x:v>
      </x:c>
      <x:c r="S254" s="6"/>
      <x:c r="T254" s="6"/>
      <x:c r="U254" s="6"/>
    </x:row>
    <x:row r="255" ht="21" customHeight="1">
      <x:c r="A255" s="14" t="n">
        <x:f>英雄升级调参!$B$19</x:f>
        <x:v>310001</x:v>
      </x:c>
      <x:c r="B255" s="14" t="str">
        <x:f>英雄升级调参!$C$19</x:f>
        <x:v>墨伊喵</x:v>
      </x:c>
      <x:c r="C255" s="6" t="str">
        <x:f>英雄升级调参!$D$19</x:f>
        <x:v>探险家</x:v>
      </x:c>
      <x:c r="D255" s="6" t="s">
        <x:v>18</x:v>
      </x:c>
      <x:c r="E255" s="6">
        <x:v>37</x:v>
      </x:c>
      <x:c r="F255" s="6" t="n">
        <x:f>英雄升级调参!$C$102</x:f>
        <x:v>8</x:v>
      </x:c>
      <x:c r="G255" s="12">
        <x:f t="shared" si="21"/>
        <x:v>2653</x:v>
      </x:c>
      <x:c r="H255" s="12">
        <x:f t="shared" si="22"/>
        <x:v>21901</x:v>
      </x:c>
      <x:c r="I255" s="12">
        <x:f t="shared" si="16"/>
        <x:v>58103353</x:v>
      </x:c>
      <x:c r="J255" s="12">
        <x:f>ROUND(英雄升级调参!$D$102*英雄升级调参!$J$9*英雄升级调参!$E$19,0)</x:f>
        <x:v>89</x:v>
      </x:c>
      <x:c r="K255" s="12">
        <x:f>ROUND(英雄升级调参!$D$102*英雄升级调参!$C$11*英雄升级调参!$J$9*英雄升级调参!$G$19,0)</x:f>
        <x:v>736</x:v>
      </x:c>
      <x:c r="L255" s="12" t="n">
        <x:f>养成消耗调参!$C$184</x:f>
        <x:v>816</x:v>
      </x:c>
      <x:c r="M255" s="12" t="n">
        <x:f>养成消耗调参!$F$184</x:f>
        <x:v>5700</x:v>
      </x:c>
      <x:c r="N255" s="12" t="n">
        <x:f>养成消耗调参!$I$184</x:f>
        <x:v>0</x:v>
      </x:c>
      <x:c r="O255" s="12" t="n">
        <x:f>养成消耗调参!$J$184</x:f>
        <x:v>14856</x:v>
      </x:c>
      <x:c r="P255" s="12" t="n">
        <x:f>养成消耗调参!$M$184</x:f>
        <x:v>88200</x:v>
      </x:c>
      <x:c r="Q255" s="12" t="n">
        <x:f>养成消耗调参!$P$184</x:f>
        <x:v>490</x:v>
      </x:c>
      <x:c r="R255" s="13">
        <x:f>I255/英雄升级调参!$G$102-1</x:f>
        <x:v>0.0012155709847585516</x:v>
      </x:c>
      <x:c r="S255" s="6"/>
      <x:c r="T255" s="6"/>
      <x:c r="U255" s="6"/>
    </x:row>
    <x:row r="256" ht="21" customHeight="1">
      <x:c r="A256" s="14" t="n">
        <x:f>英雄升级调参!$B$19</x:f>
        <x:v>310001</x:v>
      </x:c>
      <x:c r="B256" s="14" t="str">
        <x:f>英雄升级调参!$C$19</x:f>
        <x:v>墨伊喵</x:v>
      </x:c>
      <x:c r="C256" s="6" t="str">
        <x:f>英雄升级调参!$D$19</x:f>
        <x:v>探险家</x:v>
      </x:c>
      <x:c r="D256" s="6" t="s">
        <x:v>18</x:v>
      </x:c>
      <x:c r="E256" s="6">
        <x:v>38</x:v>
      </x:c>
      <x:c r="F256" s="6" t="n">
        <x:f>英雄升级调参!$C$103</x:f>
        <x:v>8</x:v>
      </x:c>
      <x:c r="G256" s="12">
        <x:f t="shared" si="21"/>
        <x:v>2742</x:v>
      </x:c>
      <x:c r="H256" s="12">
        <x:f t="shared" si="22"/>
        <x:v>22637</x:v>
      </x:c>
      <x:c r="I256" s="12">
        <x:f t="shared" si="16"/>
        <x:v>62070654</x:v>
      </x:c>
      <x:c r="J256" s="12">
        <x:f>ROUND(英雄升级调参!$D$103*英雄升级调参!$J$9*英雄升级调参!$E$19,0)</x:f>
        <x:v>89</x:v>
      </x:c>
      <x:c r="K256" s="12">
        <x:f>ROUND(英雄升级调参!$D$103*英雄升级调参!$C$11*英雄升级调参!$J$9*英雄升级调参!$G$19,0)</x:f>
        <x:v>736</x:v>
      </x:c>
      <x:c r="L256" s="12" t="n">
        <x:f>养成消耗调参!$C$185</x:f>
        <x:v>864</x:v>
      </x:c>
      <x:c r="M256" s="12" t="n">
        <x:f>养成消耗调参!$F$185</x:f>
        <x:v>5700</x:v>
      </x:c>
      <x:c r="N256" s="12" t="n">
        <x:f>养成消耗调参!$I$185</x:f>
        <x:v>0</x:v>
      </x:c>
      <x:c r="O256" s="12" t="n">
        <x:f>养成消耗调参!$J$185</x:f>
        <x:v>15720</x:v>
      </x:c>
      <x:c r="P256" s="12" t="n">
        <x:f>养成消耗调参!$M$185</x:f>
        <x:v>93900</x:v>
      </x:c>
      <x:c r="Q256" s="12" t="n">
        <x:f>养成消耗调参!$P$185</x:f>
        <x:v>490</x:v>
      </x:c>
      <x:c r="R256" s="13">
        <x:f>I256/英雄升级调参!$G$103-1</x:f>
        <x:v>0.0011234334930081413</x:v>
      </x:c>
      <x:c r="S256" s="6"/>
      <x:c r="T256" s="6"/>
      <x:c r="U256" s="6"/>
    </x:row>
    <x:row r="257" ht="21" customHeight="1">
      <x:c r="A257" s="14" t="n">
        <x:f>英雄升级调参!$B$19</x:f>
        <x:v>310001</x:v>
      </x:c>
      <x:c r="B257" s="14" t="str">
        <x:f>英雄升级调参!$C$19</x:f>
        <x:v>墨伊喵</x:v>
      </x:c>
      <x:c r="C257" s="6" t="str">
        <x:f>英雄升级调参!$D$19</x:f>
        <x:v>探险家</x:v>
      </x:c>
      <x:c r="D257" s="6" t="s">
        <x:v>18</x:v>
      </x:c>
      <x:c r="E257" s="6">
        <x:v>39</x:v>
      </x:c>
      <x:c r="F257" s="6" t="n">
        <x:f>英雄升级调参!$C$104</x:f>
        <x:v>8</x:v>
      </x:c>
      <x:c r="G257" s="12">
        <x:f t="shared" si="21"/>
        <x:v>2831</x:v>
      </x:c>
      <x:c r="H257" s="12">
        <x:f t="shared" si="22"/>
        <x:v>23373</x:v>
      </x:c>
      <x:c r="I257" s="12">
        <x:f t="shared" si="16"/>
        <x:v>66168963</x:v>
      </x:c>
      <x:c r="J257" s="12">
        <x:f>ROUND(英雄升级调参!$D$104*英雄升级调参!$J$9*英雄升级调参!$E$19,0)</x:f>
        <x:v>89</x:v>
      </x:c>
      <x:c r="K257" s="12">
        <x:f>ROUND(英雄升级调参!$D$104*英雄升级调参!$C$11*英雄升级调参!$J$9*英雄升级调参!$G$19,0)</x:f>
        <x:v>736</x:v>
      </x:c>
      <x:c r="L257" s="12" t="n">
        <x:f>养成消耗调参!$C$186</x:f>
        <x:v>864</x:v>
      </x:c>
      <x:c r="M257" s="12" t="n">
        <x:f>养成消耗调参!$F$186</x:f>
        <x:v>5700</x:v>
      </x:c>
      <x:c r="N257" s="12" t="n">
        <x:f>养成消耗调参!$I$186</x:f>
        <x:v>0</x:v>
      </x:c>
      <x:c r="O257" s="12" t="n">
        <x:f>养成消耗调参!$J$186</x:f>
        <x:v>16584</x:v>
      </x:c>
      <x:c r="P257" s="12" t="n">
        <x:f>养成消耗调参!$M$186</x:f>
        <x:v>99600</x:v>
      </x:c>
      <x:c r="Q257" s="12" t="n">
        <x:f>养成消耗调参!$P$186</x:f>
        <x:v>490</x:v>
      </x:c>
      <x:c r="R257" s="13">
        <x:f>I257/英雄升级调参!$G$104-1</x:f>
        <x:v>0.001037104005860101</x:v>
      </x:c>
      <x:c r="S257" s="6"/>
      <x:c r="T257" s="6"/>
      <x:c r="U257" s="6"/>
    </x:row>
    <x:row r="258" ht="21" customHeight="1">
      <x:c r="A258" s="14" t="n">
        <x:f>英雄升级调参!$B$19</x:f>
        <x:v>310001</x:v>
      </x:c>
      <x:c r="B258" s="14" t="str">
        <x:f>英雄升级调参!$C$19</x:f>
        <x:v>墨伊喵</x:v>
      </x:c>
      <x:c r="C258" s="6" t="str">
        <x:f>英雄升级调参!$D$19</x:f>
        <x:v>探险家</x:v>
      </x:c>
      <x:c r="D258" s="6" t="s">
        <x:v>18</x:v>
      </x:c>
      <x:c r="E258" s="6">
        <x:v>40</x:v>
      </x:c>
      <x:c r="F258" s="6" t="n">
        <x:f>英雄升级调参!$C$105</x:f>
        <x:v>8</x:v>
      </x:c>
      <x:c r="G258" s="12">
        <x:f t="shared" si="21"/>
        <x:v>3098</x:v>
      </x:c>
      <x:c r="H258" s="12">
        <x:f t="shared" si="22"/>
        <x:v>25581</x:v>
      </x:c>
      <x:c r="I258" s="12">
        <x:f t="shared" si="16"/>
        <x:v>79249938</x:v>
      </x:c>
      <x:c r="J258" s="12">
        <x:f>ROUND(英雄升级调参!$D$105*英雄升级调参!$J$9*英雄升级调参!$E$19,0)*3</x:f>
        <x:v>267</x:v>
      </x:c>
      <x:c r="K258" s="12">
        <x:f>ROUND(英雄升级调参!$D$105*英雄升级调参!$C$11*英雄升级调参!$J$9*英雄升级调参!$G$19,0)*3</x:f>
        <x:v>2208</x:v>
      </x:c>
      <x:c r="L258" s="12" t="n">
        <x:f>养成消耗调参!$C$187</x:f>
        <x:v>912</x:v>
      </x:c>
      <x:c r="M258" s="12" t="n">
        <x:f>养成消耗调参!$F$187</x:f>
        <x:v>5700</x:v>
      </x:c>
      <x:c r="N258" s="12" t="n">
        <x:f>养成消耗调参!$I$187</x:f>
        <x:v>150</x:v>
      </x:c>
      <x:c r="O258" s="12" t="n">
        <x:f>养成消耗调参!$J$187</x:f>
        <x:v>17496</x:v>
      </x:c>
      <x:c r="P258" s="12" t="n">
        <x:f>养成消耗调参!$M$187</x:f>
        <x:v>105300</x:v>
      </x:c>
      <x:c r="Q258" s="12" t="n">
        <x:f>养成消耗调参!$P$187</x:f>
        <x:v>640</x:v>
      </x:c>
      <x:c r="R258" s="13">
        <x:f>I258/英雄升级调参!$G$105-1</x:f>
        <x:v>0.0008079462571395357</x:v>
      </x:c>
      <x:c r="S258" s="6"/>
      <x:c r="T258" s="6"/>
      <x:c r="U258" s="6"/>
    </x:row>
    <x:row r="259" ht="21" customHeight="1">
      <x:c r="A259" s="14" t="n">
        <x:f>英雄升级调参!$B$19</x:f>
        <x:v>310001</x:v>
      </x:c>
      <x:c r="B259" s="14" t="str">
        <x:f>英雄升级调参!$C$19</x:f>
        <x:v>墨伊喵</x:v>
      </x:c>
      <x:c r="C259" s="6" t="str">
        <x:f>英雄升级调参!$D$19</x:f>
        <x:v>探险家</x:v>
      </x:c>
      <x:c r="D259" s="6" t="s">
        <x:v>18</x:v>
      </x:c>
      <x:c r="E259" s="6">
        <x:v>41</x:v>
      </x:c>
      <x:c r="F259" s="6" t="n">
        <x:f>英雄升级调参!$C$106</x:f>
        <x:v>9</x:v>
      </x:c>
      <x:c r="G259" s="12">
        <x:f t="shared" si="21"/>
        <x:v>3197</x:v>
      </x:c>
      <x:c r="H259" s="12">
        <x:f t="shared" si="22"/>
        <x:v>26399</x:v>
      </x:c>
      <x:c r="I259" s="12">
        <x:f t="shared" si="16"/>
        <x:v>84397603</x:v>
      </x:c>
      <x:c r="J259" s="12">
        <x:f>ROUND(英雄升级调参!$D$106*英雄升级调参!$J$9*英雄升级调参!$E$19,0)</x:f>
        <x:v>99</x:v>
      </x:c>
      <x:c r="K259" s="12">
        <x:f>ROUND(英雄升级调参!$D$106*英雄升级调参!$C$11*英雄升级调参!$J$9*英雄升级调参!$G$19,0)</x:f>
        <x:v>818</x:v>
      </x:c>
      <x:c r="L259" s="12" t="n">
        <x:f>养成消耗调参!$C$188</x:f>
        <x:v>912</x:v>
      </x:c>
      <x:c r="M259" s="12" t="n">
        <x:f>养成消耗调参!$F$188</x:f>
        <x:v>5700</x:v>
      </x:c>
      <x:c r="N259" s="12" t="n">
        <x:f>养成消耗调参!$I$188</x:f>
        <x:v>0</x:v>
      </x:c>
      <x:c r="O259" s="12" t="n">
        <x:f>养成消耗调参!$J$188</x:f>
        <x:v>18408</x:v>
      </x:c>
      <x:c r="P259" s="12" t="n">
        <x:f>养成消耗调参!$M$188</x:f>
        <x:v>111000</x:v>
      </x:c>
      <x:c r="Q259" s="12" t="n">
        <x:f>养成消耗调参!$P$188</x:f>
        <x:v>640</x:v>
      </x:c>
      <x:c r="R259" s="13">
        <x:f>I259/英雄升级调参!$G$106-1</x:f>
        <x:v>0.0007760147492961167</x:v>
      </x:c>
      <x:c r="S259" s="6"/>
      <x:c r="T259" s="6"/>
      <x:c r="U259" s="6"/>
    </x:row>
    <x:row r="260" ht="21" customHeight="1">
      <x:c r="A260" s="14" t="n">
        <x:f>英雄升级调参!$B$19</x:f>
        <x:v>310001</x:v>
      </x:c>
      <x:c r="B260" s="14" t="str">
        <x:f>英雄升级调参!$C$19</x:f>
        <x:v>墨伊喵</x:v>
      </x:c>
      <x:c r="C260" s="6" t="str">
        <x:f>英雄升级调参!$D$19</x:f>
        <x:v>探险家</x:v>
      </x:c>
      <x:c r="D260" s="6" t="s">
        <x:v>18</x:v>
      </x:c>
      <x:c r="E260" s="6">
        <x:v>42</x:v>
      </x:c>
      <x:c r="F260" s="6" t="n">
        <x:f>英雄升级调参!$C$107</x:f>
        <x:v>9</x:v>
      </x:c>
      <x:c r="G260" s="12">
        <x:f t="shared" si="21"/>
        <x:v>3296</x:v>
      </x:c>
      <x:c r="H260" s="12">
        <x:f t="shared" si="22"/>
        <x:v>27217</x:v>
      </x:c>
      <x:c r="I260" s="12">
        <x:f t="shared" si="16"/>
        <x:v>89707232</x:v>
      </x:c>
      <x:c r="J260" s="12">
        <x:f>ROUND(英雄升级调参!$D$107*英雄升级调参!$J$9*英雄升级调参!$E$19,0)</x:f>
        <x:v>99</x:v>
      </x:c>
      <x:c r="K260" s="12">
        <x:f>ROUND(英雄升级调参!$D$107*英雄升级调参!$C$11*英雄升级调参!$J$9*英雄升级调参!$G$19,0)</x:f>
        <x:v>818</x:v>
      </x:c>
      <x:c r="L260" s="12" t="n">
        <x:f>养成消耗调参!$C$189</x:f>
        <x:v>960</x:v>
      </x:c>
      <x:c r="M260" s="12" t="n">
        <x:f>养成消耗调参!$F$189</x:f>
        <x:v>6600</x:v>
      </x:c>
      <x:c r="N260" s="12" t="n">
        <x:f>养成消耗调参!$I$189</x:f>
        <x:v>0</x:v>
      </x:c>
      <x:c r="O260" s="12" t="n">
        <x:f>养成消耗调参!$J$189</x:f>
        <x:v>19368</x:v>
      </x:c>
      <x:c r="P260" s="12" t="n">
        <x:f>养成消耗调参!$M$189</x:f>
        <x:v>117600</x:v>
      </x:c>
      <x:c r="Q260" s="12" t="n">
        <x:f>养成消耗调参!$P$189</x:f>
        <x:v>640</x:v>
      </x:c>
      <x:c r="R260" s="13">
        <x:f>I260/英雄升级调参!$G$107-1</x:f>
        <x:v>0.0007460032512141002</x:v>
      </x:c>
      <x:c r="S260" s="6"/>
      <x:c r="T260" s="6"/>
      <x:c r="U260" s="6"/>
    </x:row>
    <x:row r="261" ht="21" customHeight="1">
      <x:c r="A261" s="14" t="n">
        <x:f>英雄升级调参!$B$19</x:f>
        <x:v>310001</x:v>
      </x:c>
      <x:c r="B261" s="14" t="str">
        <x:f>英雄升级调参!$C$19</x:f>
        <x:v>墨伊喵</x:v>
      </x:c>
      <x:c r="C261" s="6" t="str">
        <x:f>英雄升级调参!$D$19</x:f>
        <x:v>探险家</x:v>
      </x:c>
      <x:c r="D261" s="6" t="s">
        <x:v>18</x:v>
      </x:c>
      <x:c r="E261" s="6">
        <x:v>43</x:v>
      </x:c>
      <x:c r="F261" s="6" t="n">
        <x:f>英雄升级调参!$C$108</x:f>
        <x:v>9</x:v>
      </x:c>
      <x:c r="G261" s="12">
        <x:f t="shared" si="21"/>
        <x:v>3395</x:v>
      </x:c>
      <x:c r="H261" s="12">
        <x:f t="shared" si="22"/>
        <x:v>28035</x:v>
      </x:c>
      <x:c r="I261" s="12">
        <x:f t="shared" ref="I261:I324" si="23">G261*H261</x:f>
        <x:v>95178825</x:v>
      </x:c>
      <x:c r="J261" s="12">
        <x:f>ROUND(英雄升级调参!$D$108*英雄升级调参!$J$9*英雄升级调参!$E$19,0)</x:f>
        <x:v>99</x:v>
      </x:c>
      <x:c r="K261" s="12">
        <x:f>ROUND(英雄升级调参!$D$108*英雄升级调参!$C$11*英雄升级调参!$J$9*英雄升级调参!$G$19,0)</x:f>
        <x:v>818</x:v>
      </x:c>
      <x:c r="L261" s="12" t="n">
        <x:f>养成消耗调参!$C$190</x:f>
        <x:v>960</x:v>
      </x:c>
      <x:c r="M261" s="12" t="n">
        <x:f>养成消耗调参!$F$190</x:f>
        <x:v>6600</x:v>
      </x:c>
      <x:c r="N261" s="12" t="n">
        <x:f>养成消耗调参!$I$190</x:f>
        <x:v>0</x:v>
      </x:c>
      <x:c r="O261" s="12" t="n">
        <x:f>养成消耗调参!$J$190</x:f>
        <x:v>20328</x:v>
      </x:c>
      <x:c r="P261" s="12" t="n">
        <x:f>养成消耗调参!$M$190</x:f>
        <x:v>124200</x:v>
      </x:c>
      <x:c r="Q261" s="12" t="n">
        <x:f>养成消耗调参!$P$190</x:f>
        <x:v>640</x:v>
      </x:c>
      <x:c r="R261" s="13">
        <x:f>I261/英雄升级调参!$G$108-1</x:f>
        <x:v>0.0007177436448697616</x:v>
      </x:c>
      <x:c r="S261" s="6"/>
      <x:c r="T261" s="6"/>
      <x:c r="U261" s="6"/>
    </x:row>
    <x:row r="262" ht="21" customHeight="1">
      <x:c r="A262" s="14" t="n">
        <x:f>英雄升级调参!$B$19</x:f>
        <x:v>310001</x:v>
      </x:c>
      <x:c r="B262" s="14" t="str">
        <x:f>英雄升级调参!$C$19</x:f>
        <x:v>墨伊喵</x:v>
      </x:c>
      <x:c r="C262" s="6" t="str">
        <x:f>英雄升级调参!$D$19</x:f>
        <x:v>探险家</x:v>
      </x:c>
      <x:c r="D262" s="6" t="s">
        <x:v>18</x:v>
      </x:c>
      <x:c r="E262" s="6">
        <x:v>44</x:v>
      </x:c>
      <x:c r="F262" s="6" t="n">
        <x:f>英雄升级调参!$C$109</x:f>
        <x:v>9</x:v>
      </x:c>
      <x:c r="G262" s="12">
        <x:f t="shared" si="21"/>
        <x:v>3494</x:v>
      </x:c>
      <x:c r="H262" s="12">
        <x:f t="shared" si="22"/>
        <x:v>28853</x:v>
      </x:c>
      <x:c r="I262" s="12">
        <x:f t="shared" si="23"/>
        <x:v>100812382</x:v>
      </x:c>
      <x:c r="J262" s="12">
        <x:f>ROUND(英雄升级调参!$D$109*英雄升级调参!$J$9*英雄升级调参!$E$19,0)</x:f>
        <x:v>99</x:v>
      </x:c>
      <x:c r="K262" s="12">
        <x:f>ROUND(英雄升级调参!$D$109*英雄升级调参!$C$11*英雄升级调参!$J$9*英雄升级调参!$G$19,0)</x:f>
        <x:v>818</x:v>
      </x:c>
      <x:c r="L262" s="12" t="n">
        <x:f>养成消耗调参!$C$191</x:f>
        <x:v>1008</x:v>
      </x:c>
      <x:c r="M262" s="12" t="n">
        <x:f>养成消耗调参!$F$191</x:f>
        <x:v>6600</x:v>
      </x:c>
      <x:c r="N262" s="12" t="n">
        <x:f>养成消耗调参!$I$191</x:f>
        <x:v>0</x:v>
      </x:c>
      <x:c r="O262" s="12" t="n">
        <x:f>养成消耗调参!$J$191</x:f>
        <x:v>21336</x:v>
      </x:c>
      <x:c r="P262" s="12" t="n">
        <x:f>养成消耗调参!$M$191</x:f>
        <x:v>130800</x:v>
      </x:c>
      <x:c r="Q262" s="12" t="n">
        <x:f>养成消耗调参!$P$191</x:f>
        <x:v>640</x:v>
      </x:c>
      <x:c r="R262" s="13">
        <x:f>I262/英雄升级调参!$G$109-1</x:f>
        <x:v>0.0006910868830674044</x:v>
      </x:c>
      <x:c r="S262" s="6"/>
      <x:c r="T262" s="6"/>
      <x:c r="U262" s="6"/>
    </x:row>
    <x:row r="263" ht="21" customHeight="1">
      <x:c r="A263" s="14" t="n">
        <x:f>英雄升级调参!$B$19</x:f>
        <x:v>310001</x:v>
      </x:c>
      <x:c r="B263" s="14" t="str">
        <x:f>英雄升级调参!$C$19</x:f>
        <x:v>墨伊喵</x:v>
      </x:c>
      <x:c r="C263" s="6" t="str">
        <x:f>英雄升级调参!$D$19</x:f>
        <x:v>探险家</x:v>
      </x:c>
      <x:c r="D263" s="6" t="s">
        <x:v>18</x:v>
      </x:c>
      <x:c r="E263" s="6">
        <x:v>45</x:v>
      </x:c>
      <x:c r="F263" s="6" t="n">
        <x:f>英雄升级调参!$C$110</x:f>
        <x:v>9</x:v>
      </x:c>
      <x:c r="G263" s="12">
        <x:f t="shared" si="21"/>
        <x:v>3791</x:v>
      </x:c>
      <x:c r="H263" s="12">
        <x:f t="shared" si="22"/>
        <x:v>31307</x:v>
      </x:c>
      <x:c r="I263" s="12">
        <x:f t="shared" si="23"/>
        <x:v>118684837</x:v>
      </x:c>
      <x:c r="J263" s="12">
        <x:f>ROUND(英雄升级调参!$D$110*英雄升级调参!$J$9*英雄升级调参!$E$19,0)*3</x:f>
        <x:v>297</x:v>
      </x:c>
      <x:c r="K263" s="12">
        <x:f>ROUND(英雄升级调参!$D$110*英雄升级调参!$C$11*英雄升级调参!$J$9*英雄升级调参!$G$19,0)*3</x:f>
        <x:v>2454</x:v>
      </x:c>
      <x:c r="L263" s="12" t="n">
        <x:f>养成消耗调参!$C$192</x:f>
        <x:v>1008</x:v>
      </x:c>
      <x:c r="M263" s="12" t="n">
        <x:f>养成消耗调参!$F$192</x:f>
        <x:v>6600</x:v>
      </x:c>
      <x:c r="N263" s="12" t="n">
        <x:f>养成消耗调参!$I$192</x:f>
        <x:v>170</x:v>
      </x:c>
      <x:c r="O263" s="12" t="n">
        <x:f>养成消耗调参!$J$192</x:f>
        <x:v>22344</x:v>
      </x:c>
      <x:c r="P263" s="12" t="n">
        <x:f>养成消耗调参!$M$192</x:f>
        <x:v>137400</x:v>
      </x:c>
      <x:c r="Q263" s="12" t="n">
        <x:f>养成消耗调参!$P$192</x:f>
        <x:v>810</x:v>
      </x:c>
      <x:c r="R263" s="13">
        <x:f>I263/英雄升级调参!$G$110-1</x:f>
        <x:v>0.0006194769202545469</x:v>
      </x:c>
      <x:c r="S263" s="6"/>
      <x:c r="T263" s="6"/>
      <x:c r="U263" s="6"/>
    </x:row>
    <x:row r="264" ht="21" customHeight="1">
      <x:c r="A264" s="14" t="n">
        <x:f>英雄升级调参!$B$19</x:f>
        <x:v>310001</x:v>
      </x:c>
      <x:c r="B264" s="14" t="str">
        <x:f>英雄升级调参!$C$19</x:f>
        <x:v>墨伊喵</x:v>
      </x:c>
      <x:c r="C264" s="6" t="str">
        <x:f>英雄升级调参!$D$19</x:f>
        <x:v>探险家</x:v>
      </x:c>
      <x:c r="D264" s="6" t="s">
        <x:v>18</x:v>
      </x:c>
      <x:c r="E264" s="6">
        <x:v>46</x:v>
      </x:c>
      <x:c r="F264" s="6" t="n">
        <x:f>英雄升级调参!$C$111</x:f>
        <x:v>10</x:v>
      </x:c>
      <x:c r="G264" s="12">
        <x:f t="shared" si="21"/>
        <x:v>3900</x:v>
      </x:c>
      <x:c r="H264" s="12">
        <x:f t="shared" si="22"/>
        <x:v>32207</x:v>
      </x:c>
      <x:c r="I264" s="12">
        <x:f t="shared" si="23"/>
        <x:v>125607300</x:v>
      </x:c>
      <x:c r="J264" s="12">
        <x:f>ROUND(英雄升级调参!$D$111*英雄升级调参!$J$9*英雄升级调参!$E$19,0)</x:f>
        <x:v>109</x:v>
      </x:c>
      <x:c r="K264" s="12">
        <x:f>ROUND(英雄升级调参!$D$111*英雄升级调参!$C$11*英雄升级调参!$J$9*英雄升级调参!$G$19,0)</x:f>
        <x:v>900</x:v>
      </x:c>
      <x:c r="L264" s="12" t="n">
        <x:f>养成消耗调参!$C$193</x:f>
        <x:v>1056</x:v>
      </x:c>
      <x:c r="M264" s="12" t="n">
        <x:f>养成消耗调参!$F$193</x:f>
        <x:v>6600</x:v>
      </x:c>
      <x:c r="N264" s="12" t="n">
        <x:f>养成消耗调参!$I$193</x:f>
        <x:v>0</x:v>
      </x:c>
      <x:c r="O264" s="12" t="n">
        <x:f>养成消耗调参!$J$193</x:f>
        <x:v>23400</x:v>
      </x:c>
      <x:c r="P264" s="12" t="n">
        <x:f>养成消耗调参!$M$193</x:f>
        <x:v>144000</x:v>
      </x:c>
      <x:c r="Q264" s="12" t="n">
        <x:f>养成消耗调参!$P$193</x:f>
        <x:v>810</x:v>
      </x:c>
      <x:c r="R264" s="13">
        <x:f>I264/英雄升级调参!$G$111-1</x:f>
        <x:v>0.0006278256035741059</x:v>
      </x:c>
      <x:c r="S264" s="6"/>
      <x:c r="T264" s="6"/>
      <x:c r="U264" s="6"/>
    </x:row>
    <x:row r="265" ht="21" customHeight="1">
      <x:c r="A265" s="14" t="n">
        <x:f>英雄升级调参!$B$19</x:f>
        <x:v>310001</x:v>
      </x:c>
      <x:c r="B265" s="14" t="str">
        <x:f>英雄升级调参!$C$19</x:f>
        <x:v>墨伊喵</x:v>
      </x:c>
      <x:c r="C265" s="6" t="str">
        <x:f>英雄升级调参!$D$19</x:f>
        <x:v>探险家</x:v>
      </x:c>
      <x:c r="D265" s="6" t="s">
        <x:v>18</x:v>
      </x:c>
      <x:c r="E265" s="6">
        <x:v>47</x:v>
      </x:c>
      <x:c r="F265" s="6" t="n">
        <x:f>英雄升级调参!$C$112</x:f>
        <x:v>10</x:v>
      </x:c>
      <x:c r="G265" s="12">
        <x:f t="shared" si="21"/>
        <x:v>4009</x:v>
      </x:c>
      <x:c r="H265" s="12">
        <x:f t="shared" si="22"/>
        <x:v>33107</x:v>
      </x:c>
      <x:c r="I265" s="12">
        <x:f t="shared" si="23"/>
        <x:v>132725963</x:v>
      </x:c>
      <x:c r="J265" s="12">
        <x:f>ROUND(英雄升级调参!$D$112*英雄升级调参!$J$9*英雄升级调参!$E$19,0)</x:f>
        <x:v>109</x:v>
      </x:c>
      <x:c r="K265" s="12">
        <x:f>ROUND(英雄升级调参!$D$112*英雄升级调参!$C$11*英雄升级调参!$J$9*英雄升级调参!$G$19,0)</x:f>
        <x:v>900</x:v>
      </x:c>
      <x:c r="L265" s="12" t="n">
        <x:f>养成消耗调参!$C$194</x:f>
        <x:v>1056</x:v>
      </x:c>
      <x:c r="M265" s="12" t="n">
        <x:f>养成消耗调参!$F$194</x:f>
        <x:v>7500</x:v>
      </x:c>
      <x:c r="N265" s="12" t="n">
        <x:f>养成消耗调参!$I$194</x:f>
        <x:v>0</x:v>
      </x:c>
      <x:c r="O265" s="12" t="n">
        <x:f>养成消耗调参!$J$194</x:f>
        <x:v>24456</x:v>
      </x:c>
      <x:c r="P265" s="12" t="n">
        <x:f>养成消耗调参!$M$194</x:f>
        <x:v>151500</x:v>
      </x:c>
      <x:c r="Q265" s="12" t="n">
        <x:f>养成消耗调参!$P$194</x:f>
        <x:v>810</x:v>
      </x:c>
      <x:c r="R265" s="13">
        <x:f>I265/英雄升级调参!$G$112-1</x:f>
        <x:v>0.0006357204268583327</x:v>
      </x:c>
      <x:c r="S265" s="6"/>
      <x:c r="T265" s="6"/>
      <x:c r="U265" s="6"/>
    </x:row>
    <x:row r="266" ht="21" customHeight="1">
      <x:c r="A266" s="14" t="n">
        <x:f>英雄升级调参!$B$19</x:f>
        <x:v>310001</x:v>
      </x:c>
      <x:c r="B266" s="14" t="str">
        <x:f>英雄升级调参!$C$19</x:f>
        <x:v>墨伊喵</x:v>
      </x:c>
      <x:c r="C266" s="6" t="str">
        <x:f>英雄升级调参!$D$19</x:f>
        <x:v>探险家</x:v>
      </x:c>
      <x:c r="D266" s="6" t="s">
        <x:v>18</x:v>
      </x:c>
      <x:c r="E266" s="6">
        <x:v>48</x:v>
      </x:c>
      <x:c r="F266" s="6" t="n">
        <x:f>英雄升级调参!$C$113</x:f>
        <x:v>10</x:v>
      </x:c>
      <x:c r="G266" s="12">
        <x:f t="shared" si="21"/>
        <x:v>4118</x:v>
      </x:c>
      <x:c r="H266" s="12">
        <x:f t="shared" si="22"/>
        <x:v>34007</x:v>
      </x:c>
      <x:c r="I266" s="12">
        <x:f t="shared" si="23"/>
        <x:v>140040826</x:v>
      </x:c>
      <x:c r="J266" s="12">
        <x:f>ROUND(英雄升级调参!$D$113*英雄升级调参!$J$9*英雄升级调参!$E$19,0)</x:f>
        <x:v>109</x:v>
      </x:c>
      <x:c r="K266" s="12">
        <x:f>ROUND(英雄升级调参!$D$113*英雄升级调参!$C$11*英雄升级调参!$J$9*英雄升级调参!$G$19,0)</x:f>
        <x:v>900</x:v>
      </x:c>
      <x:c r="L266" s="12" t="n">
        <x:f>养成消耗调参!$C$195</x:f>
        <x:v>1104</x:v>
      </x:c>
      <x:c r="M266" s="12" t="n">
        <x:f>养成消耗调参!$F$195</x:f>
        <x:v>7500</x:v>
      </x:c>
      <x:c r="N266" s="12" t="n">
        <x:f>养成消耗调参!$I$195</x:f>
        <x:v>0</x:v>
      </x:c>
      <x:c r="O266" s="12" t="n">
        <x:f>养成消耗调参!$J$195</x:f>
        <x:v>25560</x:v>
      </x:c>
      <x:c r="P266" s="12" t="n">
        <x:f>养成消耗调参!$M$195</x:f>
        <x:v>159000</x:v>
      </x:c>
      <x:c r="Q266" s="12" t="n">
        <x:f>养成消耗调参!$P$195</x:f>
        <x:v>810</x:v>
      </x:c>
      <x:c r="R266" s="13">
        <x:f>I266/英雄升级调参!$G$113-1</x:f>
        <x:v>0.0006431974205793889</x:v>
      </x:c>
      <x:c r="S266" s="6"/>
      <x:c r="T266" s="6"/>
      <x:c r="U266" s="6"/>
    </x:row>
    <x:row r="267" ht="21" customHeight="1">
      <x:c r="A267" s="14" t="n">
        <x:f>英雄升级调参!$B$19</x:f>
        <x:v>310001</x:v>
      </x:c>
      <x:c r="B267" s="14" t="str">
        <x:f>英雄升级调参!$C$19</x:f>
        <x:v>墨伊喵</x:v>
      </x:c>
      <x:c r="C267" s="6" t="str">
        <x:f>英雄升级调参!$D$19</x:f>
        <x:v>探险家</x:v>
      </x:c>
      <x:c r="D267" s="6" t="s">
        <x:v>18</x:v>
      </x:c>
      <x:c r="E267" s="6">
        <x:v>49</x:v>
      </x:c>
      <x:c r="F267" s="6" t="n">
        <x:f>英雄升级调参!$C$114</x:f>
        <x:v>10</x:v>
      </x:c>
      <x:c r="G267" s="12">
        <x:f t="shared" si="21"/>
        <x:v>4227</x:v>
      </x:c>
      <x:c r="H267" s="12">
        <x:f t="shared" si="22"/>
        <x:v>34907</x:v>
      </x:c>
      <x:c r="I267" s="12">
        <x:f t="shared" si="23"/>
        <x:v>147551889</x:v>
      </x:c>
      <x:c r="J267" s="12">
        <x:f>ROUND(英雄升级调参!$D$114*英雄升级调参!$J$9*英雄升级调参!$E$19,0)</x:f>
        <x:v>109</x:v>
      </x:c>
      <x:c r="K267" s="12">
        <x:f>ROUND(英雄升级调参!$D$114*英雄升级调参!$C$11*英雄升级调参!$J$9*英雄升级调参!$G$19,0)</x:f>
        <x:v>900</x:v>
      </x:c>
      <x:c r="L267" s="12" t="n">
        <x:f>养成消耗调参!$C$196</x:f>
        <x:v>1104</x:v>
      </x:c>
      <x:c r="M267" s="12" t="n">
        <x:f>养成消耗调参!$F$196</x:f>
        <x:v>7500</x:v>
      </x:c>
      <x:c r="N267" s="12" t="n">
        <x:f>养成消耗调参!$I$196</x:f>
        <x:v>0</x:v>
      </x:c>
      <x:c r="O267" s="12" t="n">
        <x:f>养成消耗调参!$J$196</x:f>
        <x:v>26664</x:v>
      </x:c>
      <x:c r="P267" s="12" t="n">
        <x:f>养成消耗调参!$M$196</x:f>
        <x:v>166500</x:v>
      </x:c>
      <x:c r="Q267" s="12" t="n">
        <x:f>养成消耗调参!$P$196</x:f>
        <x:v>810</x:v>
      </x:c>
      <x:c r="R267" s="13">
        <x:f>I267/英雄升级调参!$G$114-1</x:f>
        <x:v>0.000650288899739504</x:v>
      </x:c>
      <x:c r="S267" s="6"/>
      <x:c r="T267" s="6"/>
      <x:c r="U267" s="6"/>
    </x:row>
    <x:row r="268" ht="21" customHeight="1">
      <x:c r="A268" s="14" t="n">
        <x:f>英雄升级调参!$B$19</x:f>
        <x:v>310001</x:v>
      </x:c>
      <x:c r="B268" s="14" t="str">
        <x:f>英雄升级调参!$C$19</x:f>
        <x:v>墨伊喵</x:v>
      </x:c>
      <x:c r="C268" s="6" t="str">
        <x:f>英雄升级调参!$D$19</x:f>
        <x:v>探险家</x:v>
      </x:c>
      <x:c r="D268" s="6" t="s">
        <x:v>18</x:v>
      </x:c>
      <x:c r="E268" s="6">
        <x:v>50</x:v>
      </x:c>
      <x:c r="F268" s="6" t="n">
        <x:f>英雄升级调参!$C$115</x:f>
        <x:v>10</x:v>
      </x:c>
      <x:c r="G268" s="12">
        <x:f t="shared" si="21"/>
        <x:v>4554</x:v>
      </x:c>
      <x:c r="H268" s="12">
        <x:f t="shared" si="22"/>
        <x:v>37607</x:v>
      </x:c>
      <x:c r="I268" s="12">
        <x:f t="shared" si="23"/>
        <x:v>171262278</x:v>
      </x:c>
      <x:c r="J268" s="12">
        <x:f>ROUND(英雄升级调参!$D$115*英雄升级调参!$J$9*英雄升级调参!$E$19,0)*3</x:f>
        <x:v>327</x:v>
      </x:c>
      <x:c r="K268" s="12">
        <x:f>ROUND(英雄升级调参!$D$115*英雄升级调参!$C$11*英雄升级调参!$J$9*英雄升级调参!$G$19,0)*3</x:f>
        <x:v>2700</x:v>
      </x:c>
      <x:c r="L268" s="12" t="n">
        <x:f>养成消耗调参!$C$197</x:f>
        <x:v>1152</x:v>
      </x:c>
      <x:c r="M268" s="12" t="n">
        <x:f>养成消耗调参!$F$197</x:f>
        <x:v>7500</x:v>
      </x:c>
      <x:c r="N268" s="12" t="n">
        <x:f>养成消耗调参!$I$197</x:f>
        <x:v>190</x:v>
      </x:c>
      <x:c r="O268" s="12" t="n">
        <x:f>养成消耗调参!$J$197</x:f>
        <x:v>27816</x:v>
      </x:c>
      <x:c r="P268" s="12" t="n">
        <x:f>养成消耗调参!$M$197</x:f>
        <x:v>174000</x:v>
      </x:c>
      <x:c r="Q268" s="12" t="n">
        <x:f>养成消耗调参!$P$197</x:f>
        <x:v>1000</x:v>
      </x:c>
      <x:c r="R268" s="13">
        <x:f>I268/英雄升级调参!$G$115-1</x:f>
        <x:v>0.0006695270032566203</x:v>
      </x:c>
      <x:c r="S268" s="6"/>
      <x:c r="T268" s="6"/>
      <x:c r="U268" s="6"/>
    </x:row>
    <x:row r="269" ht="21" customHeight="1">
      <x:c r="A269" s="14" t="n">
        <x:f>英雄升级调参!$B$19</x:f>
        <x:v>310001</x:v>
      </x:c>
      <x:c r="B269" s="14" t="str">
        <x:f>英雄升级调参!$C$19</x:f>
        <x:v>墨伊喵</x:v>
      </x:c>
      <x:c r="C269" s="6" t="str">
        <x:f>英雄升级调参!$D$19</x:f>
        <x:v>探险家</x:v>
      </x:c>
      <x:c r="D269" s="6" t="s">
        <x:v>22</x:v>
      </x:c>
      <x:c r="E269" s="6">
        <x:v>1</x:v>
      </x:c>
      <x:c r="F269" s="6" t="n">
        <x:f>英雄升级调参!$C$66</x:f>
        <x:v>1</x:v>
      </x:c>
      <x:c r="G269" s="12">
        <x:f>G228-SUM(J270:J273)</x:f>
        <x:v>216</x:v>
      </x:c>
      <x:c r="H269" s="12">
        <x:f>H228-SUM(K270:K273)</x:f>
        <x:v>1774</x:v>
      </x:c>
      <x:c r="I269" s="12">
        <x:f t="shared" si="23"/>
        <x:v>383184</x:v>
      </x:c>
      <x:c r="J269" s="12" t="n">
        <x:f>0</x:f>
        <x:v>0</x:v>
      </x:c>
      <x:c r="K269" s="12" t="n">
        <x:f>0</x:f>
        <x:v>0</x:v>
      </x:c>
      <x:c r="L269" s="12" t="n">
        <x:f>养成消耗调参!$D$148</x:f>
        <x:v>0</x:v>
      </x:c>
      <x:c r="M269" s="12" t="n">
        <x:f>养成消耗调参!$G$148</x:f>
        <x:v>0</x:v>
      </x:c>
      <x:c r="N269" s="12" t="n">
        <x:f>养成消耗调参!$I$148</x:f>
        <x:v>0</x:v>
      </x:c>
      <x:c r="O269" s="12" t="n">
        <x:f>养成消耗调参!$K$148</x:f>
        <x:v>0</x:v>
      </x:c>
      <x:c r="P269" s="12" t="n">
        <x:f>养成消耗调参!$N$148</x:f>
        <x:v>0</x:v>
      </x:c>
      <x:c r="Q269" s="12" t="n">
        <x:f>养成消耗调参!$P$148</x:f>
        <x:v>0</x:v>
      </x:c>
      <x:c r="R269" s="13">
        <x:f>I269/英雄升级调参!$J$66-1</x:f>
        <x:v>0.0077159763313610075</x:v>
      </x:c>
      <x:c r="S269" s="6"/>
      <x:c r="T269" s="6"/>
      <x:c r="U269" s="6"/>
    </x:row>
    <x:row r="270" ht="21" customHeight="1">
      <x:c r="A270" s="14" t="n">
        <x:f>英雄升级调参!$B$19</x:f>
        <x:v>310001</x:v>
      </x:c>
      <x:c r="B270" s="14" t="str">
        <x:f>英雄升级调参!$C$19</x:f>
        <x:v>墨伊喵</x:v>
      </x:c>
      <x:c r="C270" s="6" t="str">
        <x:f>英雄升级调参!$D$19</x:f>
        <x:v>探险家</x:v>
      </x:c>
      <x:c r="D270" s="6" t="s">
        <x:v>22</x:v>
      </x:c>
      <x:c r="E270" s="6">
        <x:v>2</x:v>
      </x:c>
      <x:c r="F270" s="6" t="n">
        <x:f>英雄升级调参!$C$67</x:f>
        <x:v>1</x:v>
      </x:c>
      <x:c r="G270" s="12">
        <x:f t="shared" ref="G270:G301" si="24">G269+J270</x:f>
        <x:v>246</x:v>
      </x:c>
      <x:c r="H270" s="12">
        <x:f t="shared" ref="H270:H301" si="25">H269+K270</x:f>
        <x:v>2019</x:v>
      </x:c>
      <x:c r="I270" s="12">
        <x:f t="shared" si="23"/>
        <x:v>496674</x:v>
      </x:c>
      <x:c r="J270" s="12">
        <x:f>ROUND(英雄升级调参!$D$67*英雄升级调参!$J$10*英雄升级调参!$E$19,0)</x:f>
        <x:v>30</x:v>
      </x:c>
      <x:c r="K270" s="12">
        <x:f>ROUND(英雄升级调参!$D$67*英雄升级调参!$C$11*英雄升级调参!$J$10*英雄升级调参!$G$19,0)</x:f>
        <x:v>245</x:v>
      </x:c>
      <x:c r="L270" s="12" t="n">
        <x:f>养成消耗调参!$D$149</x:f>
        <x:v>36</x:v>
      </x:c>
      <x:c r="M270" s="12" t="n">
        <x:f>养成消耗调参!$G$149</x:f>
        <x:v>450</x:v>
      </x:c>
      <x:c r="N270" s="12" t="n">
        <x:f>养成消耗调参!$I$149</x:f>
        <x:v>0</x:v>
      </x:c>
      <x:c r="O270" s="12" t="n">
        <x:f>养成消耗调参!$K$149</x:f>
        <x:v>36</x:v>
      </x:c>
      <x:c r="P270" s="12" t="n">
        <x:f>养成消耗调参!$N$149</x:f>
        <x:v>450</x:v>
      </x:c>
      <x:c r="Q270" s="12" t="n">
        <x:f>养成消耗调参!$P$149</x:f>
        <x:v>0</x:v>
      </x:c>
      <x:c r="R270" s="13">
        <x:f>I270/英雄升级调参!$J$67-1</x:f>
        <x:v>0.007779401022644183</x:v>
      </x:c>
      <x:c r="S270" s="6"/>
      <x:c r="T270" s="6"/>
      <x:c r="U270" s="6"/>
    </x:row>
    <x:row r="271" ht="21" customHeight="1">
      <x:c r="A271" s="14" t="n">
        <x:f>英雄升级调参!$B$19</x:f>
        <x:v>310001</x:v>
      </x:c>
      <x:c r="B271" s="14" t="str">
        <x:f>英雄升级调参!$C$19</x:f>
        <x:v>墨伊喵</x:v>
      </x:c>
      <x:c r="C271" s="6" t="str">
        <x:f>英雄升级调参!$D$19</x:f>
        <x:v>探险家</x:v>
      </x:c>
      <x:c r="D271" s="6" t="s">
        <x:v>22</x:v>
      </x:c>
      <x:c r="E271" s="6">
        <x:v>3</x:v>
      </x:c>
      <x:c r="F271" s="6" t="n">
        <x:f>英雄升级调参!$C$68</x:f>
        <x:v>1</x:v>
      </x:c>
      <x:c r="G271" s="12">
        <x:f t="shared" si="24"/>
        <x:v>276</x:v>
      </x:c>
      <x:c r="H271" s="12">
        <x:f t="shared" si="25"/>
        <x:v>2264</x:v>
      </x:c>
      <x:c r="I271" s="12">
        <x:f t="shared" si="23"/>
        <x:v>624864</x:v>
      </x:c>
      <x:c r="J271" s="12">
        <x:f>ROUND(英雄升级调参!$D$68*英雄升级调参!$J$10*英雄升级调参!$E$19,0)</x:f>
        <x:v>30</x:v>
      </x:c>
      <x:c r="K271" s="12">
        <x:f>ROUND(英雄升级调参!$D$68*英雄升级调参!$C$11*英雄升级调参!$J$10*英雄升级调参!$G$19,0)</x:f>
        <x:v>245</x:v>
      </x:c>
      <x:c r="L271" s="12" t="n">
        <x:f>养成消耗调参!$D$150</x:f>
        <x:v>36</x:v>
      </x:c>
      <x:c r="M271" s="12" t="n">
        <x:f>养成消耗调参!$G$150</x:f>
        <x:v>450</x:v>
      </x:c>
      <x:c r="N271" s="12" t="n">
        <x:f>养成消耗调参!$I$150</x:f>
        <x:v>0</x:v>
      </x:c>
      <x:c r="O271" s="12" t="n">
        <x:f>养成消耗调参!$K$150</x:f>
        <x:v>72</x:v>
      </x:c>
      <x:c r="P271" s="12" t="n">
        <x:f>养成消耗调参!$N$150</x:f>
        <x:v>900</x:v>
      </x:c>
      <x:c r="Q271" s="12" t="n">
        <x:f>养成消耗调参!$P$150</x:f>
        <x:v>0</x:v>
      </x:c>
      <x:c r="R271" s="13">
        <x:f>I271/英雄升级调参!$J$68-1</x:f>
        <x:v>0.007828905985387324</x:v>
      </x:c>
      <x:c r="S271" s="6"/>
      <x:c r="T271" s="6"/>
      <x:c r="U271" s="6"/>
    </x:row>
    <x:row r="272" ht="21" customHeight="1">
      <x:c r="A272" s="14" t="n">
        <x:f>英雄升级调参!$B$19</x:f>
        <x:v>310001</x:v>
      </x:c>
      <x:c r="B272" s="14" t="str">
        <x:f>英雄升级调参!$C$19</x:f>
        <x:v>墨伊喵</x:v>
      </x:c>
      <x:c r="C272" s="6" t="str">
        <x:f>英雄升级调参!$D$19</x:f>
        <x:v>探险家</x:v>
      </x:c>
      <x:c r="D272" s="6" t="s">
        <x:v>22</x:v>
      </x:c>
      <x:c r="E272" s="6">
        <x:v>4</x:v>
      </x:c>
      <x:c r="F272" s="6" t="n">
        <x:f>英雄升级调参!$C$69</x:f>
        <x:v>1</x:v>
      </x:c>
      <x:c r="G272" s="12">
        <x:f t="shared" si="24"/>
        <x:v>306</x:v>
      </x:c>
      <x:c r="H272" s="12">
        <x:f t="shared" si="25"/>
        <x:v>2509</x:v>
      </x:c>
      <x:c r="I272" s="12">
        <x:f t="shared" si="23"/>
        <x:v>767754</x:v>
      </x:c>
      <x:c r="J272" s="12">
        <x:f>ROUND(英雄升级调参!$D$69*英雄升级调参!$J$10*英雄升级调参!$E$19,0)</x:f>
        <x:v>30</x:v>
      </x:c>
      <x:c r="K272" s="12">
        <x:f>ROUND(英雄升级调参!$D$69*英雄升级调参!$C$11*英雄升级调参!$J$10*英雄升级调参!$G$19,0)</x:f>
        <x:v>245</x:v>
      </x:c>
      <x:c r="L272" s="12" t="n">
        <x:f>养成消耗调参!$D$151</x:f>
        <x:v>72</x:v>
      </x:c>
      <x:c r="M272" s="12" t="n">
        <x:f>养成消耗调参!$G$151</x:f>
        <x:v>450</x:v>
      </x:c>
      <x:c r="N272" s="12" t="n">
        <x:f>养成消耗调参!$I$151</x:f>
        <x:v>0</x:v>
      </x:c>
      <x:c r="O272" s="12" t="n">
        <x:f>养成消耗调参!$K$151</x:f>
        <x:v>144</x:v>
      </x:c>
      <x:c r="P272" s="12" t="n">
        <x:f>养成消耗调参!$N$151</x:f>
        <x:v>1350</x:v>
      </x:c>
      <x:c r="Q272" s="12" t="n">
        <x:f>养成消耗调参!$P$151</x:f>
        <x:v>0</x:v>
      </x:c>
      <x:c r="R272" s="13">
        <x:f>I272/英雄升级调参!$J$69-1</x:f>
        <x:v>0.007868620037807084</x:v>
      </x:c>
      <x:c r="S272" s="6"/>
      <x:c r="T272" s="6"/>
      <x:c r="U272" s="6"/>
    </x:row>
    <x:row r="273" ht="21" customHeight="1">
      <x:c r="A273" s="14" t="n">
        <x:f>英雄升级调参!$B$19</x:f>
        <x:v>310001</x:v>
      </x:c>
      <x:c r="B273" s="14" t="str">
        <x:f>英雄升级调参!$C$19</x:f>
        <x:v>墨伊喵</x:v>
      </x:c>
      <x:c r="C273" s="6" t="str">
        <x:f>英雄升级调参!$D$19</x:f>
        <x:v>探险家</x:v>
      </x:c>
      <x:c r="D273" s="6" t="s">
        <x:v>22</x:v>
      </x:c>
      <x:c r="E273" s="6">
        <x:v>5</x:v>
      </x:c>
      <x:c r="F273" s="6" t="n">
        <x:f>英雄升级调参!$C$70</x:f>
        <x:v>1</x:v>
      </x:c>
      <x:c r="G273" s="12">
        <x:f t="shared" si="24"/>
        <x:v>396</x:v>
      </x:c>
      <x:c r="H273" s="12">
        <x:f t="shared" si="25"/>
        <x:v>3244</x:v>
      </x:c>
      <x:c r="I273" s="12">
        <x:f t="shared" si="23"/>
        <x:v>1284624</x:v>
      </x:c>
      <x:c r="J273" s="12">
        <x:f>ROUND(英雄升级调参!$D$70*英雄升级调参!$J$10*英雄升级调参!$E$19,0)*3</x:f>
        <x:v>90</x:v>
      </x:c>
      <x:c r="K273" s="12">
        <x:f>ROUND(英雄升级调参!$D$70*英雄升级调参!$C$11*英雄升级调参!$J$10*英雄升级调参!$G$19,0)*3</x:f>
        <x:v>735</x:v>
      </x:c>
      <x:c r="L273" s="12" t="n">
        <x:f>养成消耗调参!$D$152</x:f>
        <x:v>72</x:v>
      </x:c>
      <x:c r="M273" s="12" t="n">
        <x:f>养成消耗调参!$G$152</x:f>
        <x:v>450</x:v>
      </x:c>
      <x:c r="N273" s="12" t="n">
        <x:f>养成消耗调参!$I$152</x:f>
        <x:v>10</x:v>
      </x:c>
      <x:c r="O273" s="12" t="n">
        <x:f>养成消耗调参!$K$152</x:f>
        <x:v>216</x:v>
      </x:c>
      <x:c r="P273" s="12" t="n">
        <x:f>养成消耗调参!$N$152</x:f>
        <x:v>1800</x:v>
      </x:c>
      <x:c r="Q273" s="12" t="n">
        <x:f>养成消耗调参!$P$152</x:f>
        <x:v>10</x:v>
      </x:c>
      <x:c r="R273" s="13">
        <x:f>I273/英雄升级调参!$J$70-1</x:f>
        <x:v>0.007951415860461886</x:v>
      </x:c>
      <x:c r="S273" s="6"/>
      <x:c r="T273" s="6"/>
      <x:c r="U273" s="6"/>
    </x:row>
    <x:row r="274" ht="21" customHeight="1">
      <x:c r="A274" s="14" t="n">
        <x:f>英雄升级调参!$B$19</x:f>
        <x:v>310001</x:v>
      </x:c>
      <x:c r="B274" s="14" t="str">
        <x:f>英雄升级调参!$C$19</x:f>
        <x:v>墨伊喵</x:v>
      </x:c>
      <x:c r="C274" s="6" t="str">
        <x:f>英雄升级调参!$D$19</x:f>
        <x:v>探险家</x:v>
      </x:c>
      <x:c r="D274" s="6" t="s">
        <x:v>22</x:v>
      </x:c>
      <x:c r="E274" s="6">
        <x:v>6</x:v>
      </x:c>
      <x:c r="F274" s="6" t="n">
        <x:f>英雄升级调参!$C$71</x:f>
        <x:v>2</x:v>
      </x:c>
      <x:c r="G274" s="12">
        <x:f t="shared" si="24"/>
        <x:v>441</x:v>
      </x:c>
      <x:c r="H274" s="12">
        <x:f t="shared" si="25"/>
        <x:v>3612</x:v>
      </x:c>
      <x:c r="I274" s="12">
        <x:f t="shared" si="23"/>
        <x:v>1592892</x:v>
      </x:c>
      <x:c r="J274" s="12">
        <x:f>ROUND(英雄升级调参!$D$71*英雄升级调参!$J$10*英雄升级调参!$E$19,0)</x:f>
        <x:v>45</x:v>
      </x:c>
      <x:c r="K274" s="12">
        <x:f>ROUND(英雄升级调参!$D$71*英雄升级调参!$C$11*英雄升级调参!$J$10*英雄升级调参!$G$19,0)</x:f>
        <x:v>368</x:v>
      </x:c>
      <x:c r="L274" s="12" t="n">
        <x:f>养成消耗调参!$D$153</x:f>
        <x:v>144</x:v>
      </x:c>
      <x:c r="M274" s="12" t="n">
        <x:f>养成消耗调参!$G$153</x:f>
        <x:v>450</x:v>
      </x:c>
      <x:c r="N274" s="12" t="n">
        <x:f>养成消耗调参!$I$153</x:f>
        <x:v>0</x:v>
      </x:c>
      <x:c r="O274" s="12" t="n">
        <x:f>养成消耗调参!$K$153</x:f>
        <x:v>360</x:v>
      </x:c>
      <x:c r="P274" s="12" t="n">
        <x:f>养成消耗调参!$N$153</x:f>
        <x:v>2250</x:v>
      </x:c>
      <x:c r="Q274" s="12" t="n">
        <x:f>养成消耗调参!$P$153</x:f>
        <x:v>10</x:v>
      </x:c>
      <x:c r="R274" s="13">
        <x:f>I274/英雄升级调参!$J$71-1</x:f>
        <x:v>0.006853133592490845</x:v>
      </x:c>
      <x:c r="S274" s="6"/>
      <x:c r="T274" s="6"/>
      <x:c r="U274" s="6"/>
    </x:row>
    <x:row r="275" ht="21" customHeight="1">
      <x:c r="A275" s="14" t="n">
        <x:f>英雄升级调参!$B$19</x:f>
        <x:v>310001</x:v>
      </x:c>
      <x:c r="B275" s="14" t="str">
        <x:f>英雄升级调参!$C$19</x:f>
        <x:v>墨伊喵</x:v>
      </x:c>
      <x:c r="C275" s="6" t="str">
        <x:f>英雄升级调参!$D$19</x:f>
        <x:v>探险家</x:v>
      </x:c>
      <x:c r="D275" s="6" t="s">
        <x:v>22</x:v>
      </x:c>
      <x:c r="E275" s="6">
        <x:v>7</x:v>
      </x:c>
      <x:c r="F275" s="6" t="n">
        <x:f>英雄升级调参!$C$72</x:f>
        <x:v>2</x:v>
      </x:c>
      <x:c r="G275" s="12">
        <x:f t="shared" si="24"/>
        <x:v>486</x:v>
      </x:c>
      <x:c r="H275" s="12">
        <x:f t="shared" si="25"/>
        <x:v>3980</x:v>
      </x:c>
      <x:c r="I275" s="12">
        <x:f t="shared" si="23"/>
        <x:v>1934280</x:v>
      </x:c>
      <x:c r="J275" s="12">
        <x:f>ROUND(英雄升级调参!$D$72*英雄升级调参!$J$10*英雄升级调参!$E$19,0)</x:f>
        <x:v>45</x:v>
      </x:c>
      <x:c r="K275" s="12">
        <x:f>ROUND(英雄升级调参!$D$72*英雄升级调参!$C$11*英雄升级调参!$J$10*英雄升级调参!$G$19,0)</x:f>
        <x:v>368</x:v>
      </x:c>
      <x:c r="L275" s="12" t="n">
        <x:f>养成消耗调参!$D$154</x:f>
        <x:v>144</x:v>
      </x:c>
      <x:c r="M275" s="12" t="n">
        <x:f>养成消耗调参!$G$154</x:f>
        <x:v>1350</x:v>
      </x:c>
      <x:c r="N275" s="12" t="n">
        <x:f>养成消耗调参!$I$154</x:f>
        <x:v>0</x:v>
      </x:c>
      <x:c r="O275" s="12" t="n">
        <x:f>养成消耗调参!$K$154</x:f>
        <x:v>504</x:v>
      </x:c>
      <x:c r="P275" s="12" t="n">
        <x:f>养成消耗调参!$N$154</x:f>
        <x:v>3600</x:v>
      </x:c>
      <x:c r="Q275" s="12" t="n">
        <x:f>养成消耗调参!$P$154</x:f>
        <x:v>10</x:v>
      </x:c>
      <x:c r="R275" s="13">
        <x:f>I275/英雄升级调参!$J$72-1</x:f>
        <x:v>0.0059599962554997</x:v>
      </x:c>
      <x:c r="S275" s="6"/>
      <x:c r="T275" s="6"/>
      <x:c r="U275" s="6"/>
    </x:row>
    <x:row r="276" ht="21" customHeight="1">
      <x:c r="A276" s="14" t="n">
        <x:f>英雄升级调参!$B$19</x:f>
        <x:v>310001</x:v>
      </x:c>
      <x:c r="B276" s="14" t="str">
        <x:f>英雄升级调参!$C$19</x:f>
        <x:v>墨伊喵</x:v>
      </x:c>
      <x:c r="C276" s="6" t="str">
        <x:f>英雄升级调参!$D$19</x:f>
        <x:v>探险家</x:v>
      </x:c>
      <x:c r="D276" s="6" t="s">
        <x:v>22</x:v>
      </x:c>
      <x:c r="E276" s="6">
        <x:v>8</x:v>
      </x:c>
      <x:c r="F276" s="6" t="n">
        <x:f>英雄升级调参!$C$73</x:f>
        <x:v>2</x:v>
      </x:c>
      <x:c r="G276" s="12">
        <x:f t="shared" si="24"/>
        <x:v>531</x:v>
      </x:c>
      <x:c r="H276" s="12">
        <x:f t="shared" si="25"/>
        <x:v>4348</x:v>
      </x:c>
      <x:c r="I276" s="12">
        <x:f t="shared" si="23"/>
        <x:v>2308788</x:v>
      </x:c>
      <x:c r="J276" s="12">
        <x:f>ROUND(英雄升级调参!$D$73*英雄升级调参!$J$10*英雄升级调参!$E$19,0)</x:f>
        <x:v>45</x:v>
      </x:c>
      <x:c r="K276" s="12">
        <x:f>ROUND(英雄升级调参!$D$73*英雄升级调参!$C$11*英雄升级调参!$J$10*英雄升级调参!$G$19,0)</x:f>
        <x:v>368</x:v>
      </x:c>
      <x:c r="L276" s="12" t="n">
        <x:f>养成消耗调参!$D$155</x:f>
        <x:v>216</x:v>
      </x:c>
      <x:c r="M276" s="12" t="n">
        <x:f>养成消耗调参!$G$155</x:f>
        <x:v>1350</x:v>
      </x:c>
      <x:c r="N276" s="12" t="n">
        <x:f>养成消耗调参!$I$155</x:f>
        <x:v>0</x:v>
      </x:c>
      <x:c r="O276" s="12" t="n">
        <x:f>养成消耗调参!$K$155</x:f>
        <x:v>720</x:v>
      </x:c>
      <x:c r="P276" s="12" t="n">
        <x:f>养成消耗调参!$N$155</x:f>
        <x:v>4950</x:v>
      </x:c>
      <x:c r="Q276" s="12" t="n">
        <x:f>养成消耗调参!$P$155</x:f>
        <x:v>10</x:v>
      </x:c>
      <x:c r="R276" s="13">
        <x:f>I276/英雄升级调参!$J$73-1</x:f>
        <x:v>0.005219435736677047</x:v>
      </x:c>
      <x:c r="S276" s="6"/>
      <x:c r="T276" s="6"/>
      <x:c r="U276" s="6"/>
    </x:row>
    <x:row r="277" ht="21" customHeight="1">
      <x:c r="A277" s="14" t="n">
        <x:f>英雄升级调参!$B$19</x:f>
        <x:v>310001</x:v>
      </x:c>
      <x:c r="B277" s="14" t="str">
        <x:f>英雄升级调参!$C$19</x:f>
        <x:v>墨伊喵</x:v>
      </x:c>
      <x:c r="C277" s="6" t="str">
        <x:f>英雄升级调参!$D$19</x:f>
        <x:v>探险家</x:v>
      </x:c>
      <x:c r="D277" s="6" t="s">
        <x:v>22</x:v>
      </x:c>
      <x:c r="E277" s="6">
        <x:v>9</x:v>
      </x:c>
      <x:c r="F277" s="6" t="n">
        <x:f>英雄升级调参!$C$74</x:f>
        <x:v>2</x:v>
      </x:c>
      <x:c r="G277" s="12">
        <x:f t="shared" si="24"/>
        <x:v>576</x:v>
      </x:c>
      <x:c r="H277" s="12">
        <x:f t="shared" si="25"/>
        <x:v>4716</x:v>
      </x:c>
      <x:c r="I277" s="12">
        <x:f t="shared" si="23"/>
        <x:v>2716416</x:v>
      </x:c>
      <x:c r="J277" s="12">
        <x:f>ROUND(英雄升级调参!$D$74*英雄升级调参!$J$10*英雄升级调参!$E$19,0)</x:f>
        <x:v>45</x:v>
      </x:c>
      <x:c r="K277" s="12">
        <x:f>ROUND(英雄升级调参!$D$74*英雄升级调参!$C$11*英雄升级调参!$J$10*英雄升级调参!$G$19,0)</x:f>
        <x:v>368</x:v>
      </x:c>
      <x:c r="L277" s="12" t="n">
        <x:f>养成消耗调参!$D$156</x:f>
        <x:v>216</x:v>
      </x:c>
      <x:c r="M277" s="12" t="n">
        <x:f>养成消耗调参!$G$156</x:f>
        <x:v>1350</x:v>
      </x:c>
      <x:c r="N277" s="12" t="n">
        <x:f>养成消耗调参!$I$156</x:f>
        <x:v>0</x:v>
      </x:c>
      <x:c r="O277" s="12" t="n">
        <x:f>养成消耗调参!$K$156</x:f>
        <x:v>936</x:v>
      </x:c>
      <x:c r="P277" s="12" t="n">
        <x:f>养成消耗调参!$N$156</x:f>
        <x:v>6300</x:v>
      </x:c>
      <x:c r="Q277" s="12" t="n">
        <x:f>养成消耗调参!$P$156</x:f>
        <x:v>10</x:v>
      </x:c>
      <x:c r="R277" s="13">
        <x:f>I277/英雄升级调参!$J$74-1</x:f>
        <x:v>0.00459543119612138</x:v>
      </x:c>
      <x:c r="S277" s="6"/>
      <x:c r="T277" s="6"/>
      <x:c r="U277" s="6"/>
    </x:row>
    <x:row r="278" ht="21" customHeight="1">
      <x:c r="A278" s="14" t="n">
        <x:f>英雄升级调参!$B$19</x:f>
        <x:v>310001</x:v>
      </x:c>
      <x:c r="B278" s="14" t="str">
        <x:f>英雄升级调参!$C$19</x:f>
        <x:v>墨伊喵</x:v>
      </x:c>
      <x:c r="C278" s="6" t="str">
        <x:f>英雄升级调参!$D$19</x:f>
        <x:v>探险家</x:v>
      </x:c>
      <x:c r="D278" s="6" t="s">
        <x:v>22</x:v>
      </x:c>
      <x:c r="E278" s="6">
        <x:v>10</x:v>
      </x:c>
      <x:c r="F278" s="6" t="n">
        <x:f>英雄升级调参!$C$75</x:f>
        <x:v>2</x:v>
      </x:c>
      <x:c r="G278" s="12">
        <x:f t="shared" si="24"/>
        <x:v>711</x:v>
      </x:c>
      <x:c r="H278" s="12">
        <x:f t="shared" si="25"/>
        <x:v>5820</x:v>
      </x:c>
      <x:c r="I278" s="12">
        <x:f t="shared" si="23"/>
        <x:v>4138020</x:v>
      </x:c>
      <x:c r="J278" s="12">
        <x:f>ROUND(英雄升级调参!$D$75*英雄升级调参!$J$10*英雄升级调参!$E$19,0)*3</x:f>
        <x:v>135</x:v>
      </x:c>
      <x:c r="K278" s="12">
        <x:f>ROUND(英雄升级调参!$D$75*英雄升级调参!$C$11*英雄升级调参!$J$10*英雄升级调参!$G$19,0)*3</x:f>
        <x:v>1104</x:v>
      </x:c>
      <x:c r="L278" s="12" t="n">
        <x:f>养成消耗调参!$D$157</x:f>
        <x:v>288</x:v>
      </x:c>
      <x:c r="M278" s="12" t="n">
        <x:f>养成消耗调参!$G$157</x:f>
        <x:v>1350</x:v>
      </x:c>
      <x:c r="N278" s="12" t="n">
        <x:f>养成消耗调参!$I$157</x:f>
        <x:v>30</x:v>
      </x:c>
      <x:c r="O278" s="12" t="n">
        <x:f>养成消耗调参!$K$157</x:f>
        <x:v>1224</x:v>
      </x:c>
      <x:c r="P278" s="12" t="n">
        <x:f>养成消耗调参!$N$157</x:f>
        <x:v>7650</x:v>
      </x:c>
      <x:c r="Q278" s="12" t="n">
        <x:f>养成消耗调参!$P$157</x:f>
        <x:v>40</x:v>
      </x:c>
      <x:c r="R278" s="13">
        <x:f>I278/英雄升级调参!$J$75-1</x:f>
        <x:v>0.0032001396424570228</x:v>
      </x:c>
      <x:c r="S278" s="6"/>
      <x:c r="T278" s="6"/>
      <x:c r="U278" s="6"/>
    </x:row>
    <x:row r="279" ht="21" customHeight="1">
      <x:c r="A279" s="14" t="n">
        <x:f>英雄升级调参!$B$19</x:f>
        <x:v>310001</x:v>
      </x:c>
      <x:c r="B279" s="14" t="str">
        <x:f>英雄升级调参!$C$19</x:f>
        <x:v>墨伊喵</x:v>
      </x:c>
      <x:c r="C279" s="6" t="str">
        <x:f>英雄升级调参!$D$19</x:f>
        <x:v>探险家</x:v>
      </x:c>
      <x:c r="D279" s="6" t="s">
        <x:v>22</x:v>
      </x:c>
      <x:c r="E279" s="6">
        <x:v>11</x:v>
      </x:c>
      <x:c r="F279" s="6" t="n">
        <x:f>英雄升级调参!$C$76</x:f>
        <x:v>3</x:v>
      </x:c>
      <x:c r="G279" s="12">
        <x:f t="shared" si="24"/>
        <x:v>770</x:v>
      </x:c>
      <x:c r="H279" s="12">
        <x:f t="shared" si="25"/>
        <x:v>6311</x:v>
      </x:c>
      <x:c r="I279" s="12">
        <x:f t="shared" si="23"/>
        <x:v>4859470</x:v>
      </x:c>
      <x:c r="J279" s="12">
        <x:f>ROUND(英雄升级调参!$D$76*英雄升级调参!$J$10*英雄升级调参!$E$19,0)</x:f>
        <x:v>59</x:v>
      </x:c>
      <x:c r="K279" s="12">
        <x:f>ROUND(英雄升级调参!$D$76*英雄升级调参!$C$11*英雄升级调参!$J$10*英雄升级调参!$G$19,0)</x:f>
        <x:v>491</x:v>
      </x:c>
      <x:c r="L279" s="12" t="n">
        <x:f>养成消耗调参!$D$158</x:f>
        <x:v>288</x:v>
      </x:c>
      <x:c r="M279" s="12" t="n">
        <x:f>养成消耗调参!$G$158</x:f>
        <x:v>1350</x:v>
      </x:c>
      <x:c r="N279" s="12" t="n">
        <x:f>养成消耗调参!$I$158</x:f>
        <x:v>0</x:v>
      </x:c>
      <x:c r="O279" s="12" t="n">
        <x:f>养成消耗调参!$K$158</x:f>
        <x:v>1512</x:v>
      </x:c>
      <x:c r="P279" s="12" t="n">
        <x:f>养成消耗调参!$N$158</x:f>
        <x:v>9000</x:v>
      </x:c>
      <x:c r="Q279" s="12" t="n">
        <x:f>养成消耗调参!$P$158</x:f>
        <x:v>40</x:v>
      </x:c>
      <x:c r="R279" s="13">
        <x:f>I279/英雄升级调参!$J$76-1</x:f>
        <x:v>0.00244656645233432</x:v>
      </x:c>
      <x:c r="S279" s="6"/>
      <x:c r="T279" s="6"/>
      <x:c r="U279" s="6"/>
    </x:row>
    <x:row r="280" ht="21" customHeight="1">
      <x:c r="A280" s="14" t="n">
        <x:f>英雄升级调参!$B$19</x:f>
        <x:v>310001</x:v>
      </x:c>
      <x:c r="B280" s="14" t="str">
        <x:f>英雄升级调参!$C$19</x:f>
        <x:v>墨伊喵</x:v>
      </x:c>
      <x:c r="C280" s="6" t="str">
        <x:f>英雄升级调参!$D$19</x:f>
        <x:v>探险家</x:v>
      </x:c>
      <x:c r="D280" s="6" t="s">
        <x:v>22</x:v>
      </x:c>
      <x:c r="E280" s="6">
        <x:v>12</x:v>
      </x:c>
      <x:c r="F280" s="6" t="n">
        <x:f>英雄升级调参!$C$77</x:f>
        <x:v>3</x:v>
      </x:c>
      <x:c r="G280" s="12">
        <x:f t="shared" si="24"/>
        <x:v>829</x:v>
      </x:c>
      <x:c r="H280" s="12">
        <x:f t="shared" si="25"/>
        <x:v>6802</x:v>
      </x:c>
      <x:c r="I280" s="12">
        <x:f t="shared" si="23"/>
        <x:v>5638858</x:v>
      </x:c>
      <x:c r="J280" s="12">
        <x:f>ROUND(英雄升级调参!$D$77*英雄升级调参!$J$10*英雄升级调参!$E$19,0)</x:f>
        <x:v>59</x:v>
      </x:c>
      <x:c r="K280" s="12">
        <x:f>ROUND(英雄升级调参!$D$77*英雄升级调参!$C$11*英雄升级调参!$J$10*英雄升级调参!$G$19,0)</x:f>
        <x:v>491</x:v>
      </x:c>
      <x:c r="L280" s="12" t="n">
        <x:f>养成消耗调参!$D$159</x:f>
        <x:v>360</x:v>
      </x:c>
      <x:c r="M280" s="12" t="n">
        <x:f>养成消耗调参!$G$159</x:f>
        <x:v>2250</x:v>
      </x:c>
      <x:c r="N280" s="12" t="n">
        <x:f>养成消耗调参!$I$159</x:f>
        <x:v>0</x:v>
      </x:c>
      <x:c r="O280" s="12" t="n">
        <x:f>养成消耗调参!$K$159</x:f>
        <x:v>1872</x:v>
      </x:c>
      <x:c r="P280" s="12" t="n">
        <x:f>养成消耗调参!$N$159</x:f>
        <x:v>11250</x:v>
      </x:c>
      <x:c r="Q280" s="12" t="n">
        <x:f>养成消耗调参!$P$159</x:f>
        <x:v>40</x:v>
      </x:c>
      <x:c r="R280" s="13">
        <x:f>I280/英雄升级调参!$J$77-1</x:f>
        <x:v>0.0018011199704373038</x:v>
      </x:c>
      <x:c r="S280" s="6"/>
      <x:c r="T280" s="6"/>
      <x:c r="U280" s="6"/>
    </x:row>
    <x:row r="281" ht="21" customHeight="1">
      <x:c r="A281" s="14" t="n">
        <x:f>英雄升级调参!$B$19</x:f>
        <x:v>310001</x:v>
      </x:c>
      <x:c r="B281" s="14" t="str">
        <x:f>英雄升级调参!$C$19</x:f>
        <x:v>墨伊喵</x:v>
      </x:c>
      <x:c r="C281" s="6" t="str">
        <x:f>英雄升级调参!$D$19</x:f>
        <x:v>探险家</x:v>
      </x:c>
      <x:c r="D281" s="6" t="s">
        <x:v>22</x:v>
      </x:c>
      <x:c r="E281" s="6">
        <x:v>13</x:v>
      </x:c>
      <x:c r="F281" s="6" t="n">
        <x:f>英雄升级调参!$C$78</x:f>
        <x:v>3</x:v>
      </x:c>
      <x:c r="G281" s="12">
        <x:f t="shared" si="24"/>
        <x:v>888</x:v>
      </x:c>
      <x:c r="H281" s="12">
        <x:f t="shared" si="25"/>
        <x:v>7293</x:v>
      </x:c>
      <x:c r="I281" s="12">
        <x:f t="shared" si="23"/>
        <x:v>6476184</x:v>
      </x:c>
      <x:c r="J281" s="12">
        <x:f>ROUND(英雄升级调参!$D$78*英雄升级调参!$J$10*英雄升级调参!$E$19,0)</x:f>
        <x:v>59</x:v>
      </x:c>
      <x:c r="K281" s="12">
        <x:f>ROUND(英雄升级调参!$D$78*英雄升级调参!$C$11*英雄升级调参!$J$10*英雄升级调参!$G$19,0)</x:f>
        <x:v>491</x:v>
      </x:c>
      <x:c r="L281" s="12" t="n">
        <x:f>养成消耗调参!$D$160</x:f>
        <x:v>360</x:v>
      </x:c>
      <x:c r="M281" s="12" t="n">
        <x:f>养成消耗调参!$G$160</x:f>
        <x:v>2250</x:v>
      </x:c>
      <x:c r="N281" s="12" t="n">
        <x:f>养成消耗调参!$I$160</x:f>
        <x:v>0</x:v>
      </x:c>
      <x:c r="O281" s="12" t="n">
        <x:f>养成消耗调参!$K$160</x:f>
        <x:v>2232</x:v>
      </x:c>
      <x:c r="P281" s="12" t="n">
        <x:f>养成消耗调参!$N$160</x:f>
        <x:v>13500</x:v>
      </x:c>
      <x:c r="Q281" s="12" t="n">
        <x:f>养成消耗调参!$P$160</x:f>
        <x:v>40</x:v>
      </x:c>
      <x:c r="R281" s="13">
        <x:f>I281/英雄升级调参!$J$78-1</x:f>
        <x:v>0.001242086222490224</x:v>
      </x:c>
      <x:c r="S281" s="6"/>
      <x:c r="T281" s="6"/>
      <x:c r="U281" s="6"/>
    </x:row>
    <x:row r="282" ht="21" customHeight="1">
      <x:c r="A282" s="14" t="n">
        <x:f>英雄升级调参!$B$19</x:f>
        <x:v>310001</x:v>
      </x:c>
      <x:c r="B282" s="14" t="str">
        <x:f>英雄升级调参!$C$19</x:f>
        <x:v>墨伊喵</x:v>
      </x:c>
      <x:c r="C282" s="6" t="str">
        <x:f>英雄升级调参!$D$19</x:f>
        <x:v>探险家</x:v>
      </x:c>
      <x:c r="D282" s="6" t="s">
        <x:v>22</x:v>
      </x:c>
      <x:c r="E282" s="6">
        <x:v>14</x:v>
      </x:c>
      <x:c r="F282" s="6" t="n">
        <x:f>英雄升级调参!$C$79</x:f>
        <x:v>3</x:v>
      </x:c>
      <x:c r="G282" s="12">
        <x:f t="shared" si="24"/>
        <x:v>947</x:v>
      </x:c>
      <x:c r="H282" s="12">
        <x:f t="shared" si="25"/>
        <x:v>7784</x:v>
      </x:c>
      <x:c r="I282" s="12">
        <x:f t="shared" si="23"/>
        <x:v>7371448</x:v>
      </x:c>
      <x:c r="J282" s="12">
        <x:f>ROUND(英雄升级调参!$D$79*英雄升级调参!$J$10*英雄升级调参!$E$19,0)</x:f>
        <x:v>59</x:v>
      </x:c>
      <x:c r="K282" s="12">
        <x:f>ROUND(英雄升级调参!$D$79*英雄升级调参!$C$11*英雄升级调参!$J$10*英雄升级调参!$G$19,0)</x:f>
        <x:v>491</x:v>
      </x:c>
      <x:c r="L282" s="12" t="n">
        <x:f>养成消耗调参!$D$161</x:f>
        <x:v>432</x:v>
      </x:c>
      <x:c r="M282" s="12" t="n">
        <x:f>养成消耗调参!$G$161</x:f>
        <x:v>2250</x:v>
      </x:c>
      <x:c r="N282" s="12" t="n">
        <x:f>养成消耗调参!$I$161</x:f>
        <x:v>0</x:v>
      </x:c>
      <x:c r="O282" s="12" t="n">
        <x:f>养成消耗调参!$K$161</x:f>
        <x:v>2664</x:v>
      </x:c>
      <x:c r="P282" s="12" t="n">
        <x:f>养成消耗调参!$N$161</x:f>
        <x:v>15750</x:v>
      </x:c>
      <x:c r="Q282" s="12" t="n">
        <x:f>养成消耗调参!$P$161</x:f>
        <x:v>40</x:v>
      </x:c>
      <x:c r="R282" s="13">
        <x:f>I282/英雄升级调参!$J$79-1</x:f>
        <x:v>0.000753200559334255</x:v>
      </x:c>
      <x:c r="S282" s="6"/>
      <x:c r="T282" s="6"/>
      <x:c r="U282" s="6"/>
    </x:row>
    <x:row r="283" ht="21" customHeight="1">
      <x:c r="A283" s="14" t="n">
        <x:f>英雄升级调参!$B$19</x:f>
        <x:v>310001</x:v>
      </x:c>
      <x:c r="B283" s="14" t="str">
        <x:f>英雄升级调参!$C$19</x:f>
        <x:v>墨伊喵</x:v>
      </x:c>
      <x:c r="C283" s="6" t="str">
        <x:f>英雄升级调参!$D$19</x:f>
        <x:v>探险家</x:v>
      </x:c>
      <x:c r="D283" s="6" t="s">
        <x:v>22</x:v>
      </x:c>
      <x:c r="E283" s="6">
        <x:v>15</x:v>
      </x:c>
      <x:c r="F283" s="6" t="n">
        <x:f>英雄升级调参!$C$80</x:f>
        <x:v>3</x:v>
      </x:c>
      <x:c r="G283" s="12">
        <x:f t="shared" si="24"/>
        <x:v>1124</x:v>
      </x:c>
      <x:c r="H283" s="12">
        <x:f t="shared" si="25"/>
        <x:v>9257</x:v>
      </x:c>
      <x:c r="I283" s="12">
        <x:f t="shared" si="23"/>
        <x:v>10404868</x:v>
      </x:c>
      <x:c r="J283" s="12">
        <x:f>ROUND(英雄升级调参!$D$80*英雄升级调参!$J$10*英雄升级调参!$E$19,0)*3</x:f>
        <x:v>177</x:v>
      </x:c>
      <x:c r="K283" s="12">
        <x:f>ROUND(英雄升级调参!$D$80*英雄升级调参!$C$11*英雄升级调参!$J$10*英雄升级调参!$G$19,0)*3</x:f>
        <x:v>1473</x:v>
      </x:c>
      <x:c r="L283" s="12" t="n">
        <x:f>养成消耗调参!$D$162</x:f>
        <x:v>432</x:v>
      </x:c>
      <x:c r="M283" s="12" t="n">
        <x:f>养成消耗调参!$G$162</x:f>
        <x:v>2250</x:v>
      </x:c>
      <x:c r="N283" s="12" t="n">
        <x:f>养成消耗调参!$I$162</x:f>
        <x:v>50</x:v>
      </x:c>
      <x:c r="O283" s="12" t="n">
        <x:f>养成消耗调参!$K$162</x:f>
        <x:v>3096</x:v>
      </x:c>
      <x:c r="P283" s="12" t="n">
        <x:f>养成消耗调参!$N$162</x:f>
        <x:v>18000</x:v>
      </x:c>
      <x:c r="Q283" s="12" t="n">
        <x:f>养成消耗调参!$P$162</x:f>
        <x:v>90</x:v>
      </x:c>
      <x:c r="R283" s="13">
        <x:f>I283/英雄升级调参!$J$80-1</x:f>
        <x:v>-0.0004036864004181018</x:v>
      </x:c>
      <x:c r="S283" s="6"/>
      <x:c r="T283" s="6"/>
      <x:c r="U283" s="6"/>
    </x:row>
    <x:row r="284" ht="21" customHeight="1">
      <x:c r="A284" s="14" t="n">
        <x:f>英雄升级调参!$B$19</x:f>
        <x:v>310001</x:v>
      </x:c>
      <x:c r="B284" s="14" t="str">
        <x:f>英雄升级调参!$C$19</x:f>
        <x:v>墨伊喵</x:v>
      </x:c>
      <x:c r="C284" s="6" t="str">
        <x:f>英雄升级调参!$D$19</x:f>
        <x:v>探险家</x:v>
      </x:c>
      <x:c r="D284" s="6" t="s">
        <x:v>22</x:v>
      </x:c>
      <x:c r="E284" s="6">
        <x:v>16</x:v>
      </x:c>
      <x:c r="F284" s="6" t="n">
        <x:f>英雄升级调参!$C$81</x:f>
        <x:v>4</x:v>
      </x:c>
      <x:c r="G284" s="12">
        <x:f t="shared" si="24"/>
        <x:v>1198</x:v>
      </x:c>
      <x:c r="H284" s="12">
        <x:f t="shared" si="25"/>
        <x:v>9871</x:v>
      </x:c>
      <x:c r="I284" s="12">
        <x:f t="shared" si="23"/>
        <x:v>11825458</x:v>
      </x:c>
      <x:c r="J284" s="12">
        <x:f>ROUND(英雄升级调参!$D$81*英雄升级调参!$J$10*英雄升级调参!$E$19,0)</x:f>
        <x:v>74</x:v>
      </x:c>
      <x:c r="K284" s="12">
        <x:f>ROUND(英雄升级调参!$D$81*英雄升级调参!$C$11*英雄升级调参!$J$10*英雄升级调参!$G$19,0)</x:f>
        <x:v>614</x:v>
      </x:c>
      <x:c r="L284" s="12" t="n">
        <x:f>养成消耗调参!$D$163</x:f>
        <x:v>504</x:v>
      </x:c>
      <x:c r="M284" s="12" t="n">
        <x:f>养成消耗调参!$G$163</x:f>
        <x:v>2250</x:v>
      </x:c>
      <x:c r="N284" s="12" t="n">
        <x:f>养成消耗调参!$I$163</x:f>
        <x:v>0</x:v>
      </x:c>
      <x:c r="O284" s="12" t="n">
        <x:f>养成消耗调参!$K$163</x:f>
        <x:v>3600</x:v>
      </x:c>
      <x:c r="P284" s="12" t="n">
        <x:f>养成消耗调参!$N$163</x:f>
        <x:v>20250</x:v>
      </x:c>
      <x:c r="Q284" s="12" t="n">
        <x:f>养成消耗调参!$P$163</x:f>
        <x:v>90</x:v>
      </x:c>
      <x:c r="R284" s="13">
        <x:f>I284/英雄升级调参!$J$81-1</x:f>
        <x:v>-0.001008836399885138</x:v>
      </x:c>
      <x:c r="S284" s="6"/>
      <x:c r="T284" s="6"/>
      <x:c r="U284" s="6"/>
    </x:row>
    <x:row r="285" ht="21" customHeight="1">
      <x:c r="A285" s="14" t="n">
        <x:f>英雄升级调参!$B$19</x:f>
        <x:v>310001</x:v>
      </x:c>
      <x:c r="B285" s="14" t="str">
        <x:f>英雄升级调参!$C$19</x:f>
        <x:v>墨伊喵</x:v>
      </x:c>
      <x:c r="C285" s="6" t="str">
        <x:f>英雄升级调参!$D$19</x:f>
        <x:v>探险家</x:v>
      </x:c>
      <x:c r="D285" s="6" t="s">
        <x:v>22</x:v>
      </x:c>
      <x:c r="E285" s="6">
        <x:v>17</x:v>
      </x:c>
      <x:c r="F285" s="6" t="n">
        <x:f>英雄升级调参!$C$82</x:f>
        <x:v>4</x:v>
      </x:c>
      <x:c r="G285" s="12">
        <x:f t="shared" si="24"/>
        <x:v>1272</x:v>
      </x:c>
      <x:c r="H285" s="12">
        <x:f t="shared" si="25"/>
        <x:v>10485</x:v>
      </x:c>
      <x:c r="I285" s="12">
        <x:f t="shared" si="23"/>
        <x:v>13336920</x:v>
      </x:c>
      <x:c r="J285" s="12">
        <x:f>ROUND(英雄升级调参!$D$82*英雄升级调参!$J$10*英雄升级调参!$E$19,0)</x:f>
        <x:v>74</x:v>
      </x:c>
      <x:c r="K285" s="12">
        <x:f>ROUND(英雄升级调参!$D$82*英雄升级调参!$C$11*英雄升级调参!$J$10*英雄升级调参!$G$19,0)</x:f>
        <x:v>614</x:v>
      </x:c>
      <x:c r="L285" s="12" t="n">
        <x:f>养成消耗调参!$D$164</x:f>
        <x:v>504</x:v>
      </x:c>
      <x:c r="M285" s="12" t="n">
        <x:f>养成消耗调参!$G$164</x:f>
        <x:v>3150</x:v>
      </x:c>
      <x:c r="N285" s="12" t="n">
        <x:f>养成消耗调参!$I$164</x:f>
        <x:v>0</x:v>
      </x:c>
      <x:c r="O285" s="12" t="n">
        <x:f>养成消耗调参!$K$164</x:f>
        <x:v>4104</x:v>
      </x:c>
      <x:c r="P285" s="12" t="n">
        <x:f>养成消耗调参!$N$164</x:f>
        <x:v>23400</x:v>
      </x:c>
      <x:c r="Q285" s="12" t="n">
        <x:f>养成消耗调参!$P$164</x:f>
        <x:v>90</x:v>
      </x:c>
      <x:c r="R285" s="13">
        <x:f>I285/英雄升级调参!$J$82-1</x:f>
        <x:v>-0.0015429499316116368</x:v>
      </x:c>
      <x:c r="S285" s="6"/>
      <x:c r="T285" s="6"/>
      <x:c r="U285" s="6"/>
    </x:row>
    <x:row r="286" ht="21" customHeight="1">
      <x:c r="A286" s="14" t="n">
        <x:f>英雄升级调参!$B$19</x:f>
        <x:v>310001</x:v>
      </x:c>
      <x:c r="B286" s="14" t="str">
        <x:f>英雄升级调参!$C$19</x:f>
        <x:v>墨伊喵</x:v>
      </x:c>
      <x:c r="C286" s="6" t="str">
        <x:f>英雄升级调参!$D$19</x:f>
        <x:v>探险家</x:v>
      </x:c>
      <x:c r="D286" s="6" t="s">
        <x:v>22</x:v>
      </x:c>
      <x:c r="E286" s="6">
        <x:v>18</x:v>
      </x:c>
      <x:c r="F286" s="6" t="n">
        <x:f>英雄升级调参!$C$83</x:f>
        <x:v>4</x:v>
      </x:c>
      <x:c r="G286" s="12">
        <x:f t="shared" si="24"/>
        <x:v>1346</x:v>
      </x:c>
      <x:c r="H286" s="12">
        <x:f t="shared" si="25"/>
        <x:v>11099</x:v>
      </x:c>
      <x:c r="I286" s="12">
        <x:f t="shared" si="23"/>
        <x:v>14939254</x:v>
      </x:c>
      <x:c r="J286" s="12">
        <x:f>ROUND(英雄升级调参!$D$83*英雄升级调参!$J$10*英雄升级调参!$E$19,0)</x:f>
        <x:v>74</x:v>
      </x:c>
      <x:c r="K286" s="12">
        <x:f>ROUND(英雄升级调参!$D$83*英雄升级调参!$C$11*英雄升级调参!$J$10*英雄升级调参!$G$19,0)</x:f>
        <x:v>614</x:v>
      </x:c>
      <x:c r="L286" s="12" t="n">
        <x:f>养成消耗调参!$D$165</x:f>
        <x:v>576</x:v>
      </x:c>
      <x:c r="M286" s="12" t="n">
        <x:f>养成消耗调参!$G$165</x:f>
        <x:v>3150</x:v>
      </x:c>
      <x:c r="N286" s="12" t="n">
        <x:f>养成消耗调参!$I$165</x:f>
        <x:v>0</x:v>
      </x:c>
      <x:c r="O286" s="12" t="n">
        <x:f>养成消耗调参!$K$165</x:f>
        <x:v>4680</x:v>
      </x:c>
      <x:c r="P286" s="12" t="n">
        <x:f>养成消耗调参!$N$165</x:f>
        <x:v>26550</x:v>
      </x:c>
      <x:c r="Q286" s="12" t="n">
        <x:f>养成消耗调参!$P$165</x:f>
        <x:v>90</x:v>
      </x:c>
      <x:c r="R286" s="13">
        <x:f>I286/英雄升级调参!$J$83-1</x:f>
        <x:v>-0.002017841658950914</x:v>
      </x:c>
      <x:c r="S286" s="6"/>
      <x:c r="T286" s="6"/>
      <x:c r="U286" s="6"/>
    </x:row>
    <x:row r="287" ht="21" customHeight="1">
      <x:c r="A287" s="14" t="n">
        <x:f>英雄升级调参!$B$19</x:f>
        <x:v>310001</x:v>
      </x:c>
      <x:c r="B287" s="14" t="str">
        <x:f>英雄升级调参!$C$19</x:f>
        <x:v>墨伊喵</x:v>
      </x:c>
      <x:c r="C287" s="6" t="str">
        <x:f>英雄升级调参!$D$19</x:f>
        <x:v>探险家</x:v>
      </x:c>
      <x:c r="D287" s="6" t="s">
        <x:v>22</x:v>
      </x:c>
      <x:c r="E287" s="6">
        <x:v>19</x:v>
      </x:c>
      <x:c r="F287" s="6" t="n">
        <x:f>英雄升级调参!$C$84</x:f>
        <x:v>4</x:v>
      </x:c>
      <x:c r="G287" s="12">
        <x:f t="shared" si="24"/>
        <x:v>1420</x:v>
      </x:c>
      <x:c r="H287" s="12">
        <x:f t="shared" si="25"/>
        <x:v>11713</x:v>
      </x:c>
      <x:c r="I287" s="12">
        <x:f t="shared" si="23"/>
        <x:v>16632460</x:v>
      </x:c>
      <x:c r="J287" s="12">
        <x:f>ROUND(英雄升级调参!$D$84*英雄升级调参!$J$10*英雄升级调参!$E$19,0)</x:f>
        <x:v>74</x:v>
      </x:c>
      <x:c r="K287" s="12">
        <x:f>ROUND(英雄升级调参!$D$84*英雄升级调参!$C$11*英雄升级调参!$J$10*英雄升级调参!$G$19,0)</x:f>
        <x:v>614</x:v>
      </x:c>
      <x:c r="L287" s="12" t="n">
        <x:f>养成消耗调参!$D$166</x:f>
        <x:v>576</x:v>
      </x:c>
      <x:c r="M287" s="12" t="n">
        <x:f>养成消耗调参!$G$166</x:f>
        <x:v>3150</x:v>
      </x:c>
      <x:c r="N287" s="12" t="n">
        <x:f>养成消耗调参!$I$166</x:f>
        <x:v>0</x:v>
      </x:c>
      <x:c r="O287" s="12" t="n">
        <x:f>养成消耗调参!$K$166</x:f>
        <x:v>5256</x:v>
      </x:c>
      <x:c r="P287" s="12" t="n">
        <x:f>养成消耗调参!$N$166</x:f>
        <x:v>29700</x:v>
      </x:c>
      <x:c r="Q287" s="12" t="n">
        <x:f>养成消耗调参!$P$166</x:f>
        <x:v>90</x:v>
      </x:c>
      <x:c r="R287" s="13">
        <x:f>I287/英雄升级调参!$J$84-1</x:f>
        <x:v>-0.002442843870908873</x:v>
      </x:c>
      <x:c r="S287" s="6"/>
      <x:c r="T287" s="6"/>
      <x:c r="U287" s="6"/>
    </x:row>
    <x:row r="288" ht="21" customHeight="1">
      <x:c r="A288" s="14" t="n">
        <x:f>英雄升级调参!$B$19</x:f>
        <x:v>310001</x:v>
      </x:c>
      <x:c r="B288" s="14" t="str">
        <x:f>英雄升级调参!$C$19</x:f>
        <x:v>墨伊喵</x:v>
      </x:c>
      <x:c r="C288" s="6" t="str">
        <x:f>英雄升级调参!$D$19</x:f>
        <x:v>探险家</x:v>
      </x:c>
      <x:c r="D288" s="6" t="s">
        <x:v>22</x:v>
      </x:c>
      <x:c r="E288" s="6">
        <x:v>20</x:v>
      </x:c>
      <x:c r="F288" s="6" t="n">
        <x:f>英雄升级调参!$C$85</x:f>
        <x:v>4</x:v>
      </x:c>
      <x:c r="G288" s="12">
        <x:f t="shared" si="24"/>
        <x:v>1642</x:v>
      </x:c>
      <x:c r="H288" s="12">
        <x:f t="shared" si="25"/>
        <x:v>13555</x:v>
      </x:c>
      <x:c r="I288" s="12">
        <x:f t="shared" si="23"/>
        <x:v>22257310</x:v>
      </x:c>
      <x:c r="J288" s="12">
        <x:f>ROUND(英雄升级调参!$D$85*英雄升级调参!$J$10*英雄升级调参!$E$19,0)*3</x:f>
        <x:v>222</x:v>
      </x:c>
      <x:c r="K288" s="12">
        <x:f>ROUND(英雄升级调参!$D$85*英雄升级调参!$C$11*英雄升级调参!$J$10*英雄升级调参!$G$19,0)*3</x:f>
        <x:v>1842</x:v>
      </x:c>
      <x:c r="L288" s="12" t="n">
        <x:f>养成消耗调参!$D$167</x:f>
        <x:v>648</x:v>
      </x:c>
      <x:c r="M288" s="12" t="n">
        <x:f>养成消耗调参!$G$167</x:f>
        <x:v>3150</x:v>
      </x:c>
      <x:c r="N288" s="12" t="n">
        <x:f>养成消耗调参!$I$167</x:f>
        <x:v>70</x:v>
      </x:c>
      <x:c r="O288" s="12" t="n">
        <x:f>养成消耗调参!$K$167</x:f>
        <x:v>5904</x:v>
      </x:c>
      <x:c r="P288" s="12" t="n">
        <x:f>养成消耗调参!$N$167</x:f>
        <x:v>32850</x:v>
      </x:c>
      <x:c r="Q288" s="12" t="n">
        <x:f>养成消耗调参!$P$167</x:f>
        <x:v>160</x:v>
      </x:c>
      <x:c r="R288" s="13">
        <x:f>I288/英雄升级调参!$J$85-1</x:f>
        <x:v>-0.003486428137136177</x:v>
      </x:c>
      <x:c r="S288" s="6"/>
      <x:c r="T288" s="6"/>
      <x:c r="U288" s="6"/>
    </x:row>
    <x:row r="289" ht="21" customHeight="1">
      <x:c r="A289" s="14" t="n">
        <x:f>英雄升级调参!$B$19</x:f>
        <x:v>310001</x:v>
      </x:c>
      <x:c r="B289" s="14" t="str">
        <x:f>英雄升级调参!$C$19</x:f>
        <x:v>墨伊喵</x:v>
      </x:c>
      <x:c r="C289" s="6" t="str">
        <x:f>英雄升级调参!$D$19</x:f>
        <x:v>探险家</x:v>
      </x:c>
      <x:c r="D289" s="6" t="s">
        <x:v>22</x:v>
      </x:c>
      <x:c r="E289" s="6">
        <x:v>21</x:v>
      </x:c>
      <x:c r="F289" s="6" t="n">
        <x:f>英雄升级调参!$C$86</x:f>
        <x:v>5</x:v>
      </x:c>
      <x:c r="G289" s="12">
        <x:f t="shared" si="24"/>
        <x:v>1731</x:v>
      </x:c>
      <x:c r="H289" s="12">
        <x:f t="shared" si="25"/>
        <x:v>14291</x:v>
      </x:c>
      <x:c r="I289" s="12">
        <x:f t="shared" si="23"/>
        <x:v>24737721</x:v>
      </x:c>
      <x:c r="J289" s="12">
        <x:f>ROUND(英雄升级调参!$D$86*英雄升级调参!$J$10*英雄升级调参!$E$19,0)</x:f>
        <x:v>89</x:v>
      </x:c>
      <x:c r="K289" s="12">
        <x:f>ROUND(英雄升级调参!$D$86*英雄升级调参!$C$11*英雄升级调参!$J$10*英雄升级调参!$G$19,0)</x:f>
        <x:v>736</x:v>
      </x:c>
      <x:c r="L289" s="12" t="n">
        <x:f>养成消耗调参!$D$168</x:f>
        <x:v>648</x:v>
      </x:c>
      <x:c r="M289" s="12" t="n">
        <x:f>养成消耗调参!$G$168</x:f>
        <x:v>3150</x:v>
      </x:c>
      <x:c r="N289" s="12" t="n">
        <x:f>养成消耗调参!$I$168</x:f>
        <x:v>0</x:v>
      </x:c>
      <x:c r="O289" s="12" t="n">
        <x:f>养成消耗调参!$K$168</x:f>
        <x:v>6552</x:v>
      </x:c>
      <x:c r="P289" s="12" t="n">
        <x:f>养成消耗调参!$N$168</x:f>
        <x:v>36000</x:v>
      </x:c>
      <x:c r="Q289" s="12" t="n">
        <x:f>养成消耗调参!$P$168</x:f>
        <x:v>160</x:v>
      </x:c>
      <x:c r="R289" s="13">
        <x:f>I289/英雄升级调参!$J$86-1</x:f>
        <x:v>-0.0033905167537672254</x:v>
      </x:c>
      <x:c r="S289" s="6"/>
      <x:c r="T289" s="6"/>
      <x:c r="U289" s="6"/>
    </x:row>
    <x:row r="290" ht="21" customHeight="1">
      <x:c r="A290" s="14" t="n">
        <x:f>英雄升级调参!$B$19</x:f>
        <x:v>310001</x:v>
      </x:c>
      <x:c r="B290" s="14" t="str">
        <x:f>英雄升级调参!$C$19</x:f>
        <x:v>墨伊喵</x:v>
      </x:c>
      <x:c r="C290" s="6" t="str">
        <x:f>英雄升级调参!$D$19</x:f>
        <x:v>探险家</x:v>
      </x:c>
      <x:c r="D290" s="6" t="s">
        <x:v>22</x:v>
      </x:c>
      <x:c r="E290" s="6">
        <x:v>22</x:v>
      </x:c>
      <x:c r="F290" s="6" t="n">
        <x:f>英雄升级调参!$C$87</x:f>
        <x:v>5</x:v>
      </x:c>
      <x:c r="G290" s="12">
        <x:f t="shared" si="24"/>
        <x:v>1820</x:v>
      </x:c>
      <x:c r="H290" s="12">
        <x:f t="shared" si="25"/>
        <x:v>15027</x:v>
      </x:c>
      <x:c r="I290" s="12">
        <x:f t="shared" si="23"/>
        <x:v>27349140</x:v>
      </x:c>
      <x:c r="J290" s="12">
        <x:f>ROUND(英雄升级调参!$D$87*英雄升级调参!$J$10*英雄升级调参!$E$19,0)</x:f>
        <x:v>89</x:v>
      </x:c>
      <x:c r="K290" s="12">
        <x:f>ROUND(英雄升级调参!$D$87*英雄升级调参!$C$11*英雄升级调参!$J$10*英雄升级调参!$G$19,0)</x:f>
        <x:v>736</x:v>
      </x:c>
      <x:c r="L290" s="12" t="n">
        <x:f>养成消耗调参!$D$169</x:f>
        <x:v>720</x:v>
      </x:c>
      <x:c r="M290" s="12" t="n">
        <x:f>养成消耗调参!$G$169</x:f>
        <x:v>4500</x:v>
      </x:c>
      <x:c r="N290" s="12" t="n">
        <x:f>养成消耗调参!$I$169</x:f>
        <x:v>0</x:v>
      </x:c>
      <x:c r="O290" s="12" t="n">
        <x:f>养成消耗调参!$K$169</x:f>
        <x:v>7272</x:v>
      </x:c>
      <x:c r="P290" s="12" t="n">
        <x:f>养成消耗调参!$N$169</x:f>
        <x:v>40500</x:v>
      </x:c>
      <x:c r="Q290" s="12" t="n">
        <x:f>养成消耗调参!$P$169</x:f>
        <x:v>160</x:v>
      </x:c>
      <x:c r="R290" s="13">
        <x:f>I290/英雄升级调参!$J$87-1</x:f>
        <x:v>-0.0033039599413989817</x:v>
      </x:c>
      <x:c r="S290" s="6"/>
      <x:c r="T290" s="6"/>
      <x:c r="U290" s="6"/>
    </x:row>
    <x:row r="291" ht="21" customHeight="1">
      <x:c r="A291" s="14" t="n">
        <x:f>英雄升级调参!$B$19</x:f>
        <x:v>310001</x:v>
      </x:c>
      <x:c r="B291" s="14" t="str">
        <x:f>英雄升级调参!$C$19</x:f>
        <x:v>墨伊喵</x:v>
      </x:c>
      <x:c r="C291" s="6" t="str">
        <x:f>英雄升级调参!$D$19</x:f>
        <x:v>探险家</x:v>
      </x:c>
      <x:c r="D291" s="6" t="s">
        <x:v>22</x:v>
      </x:c>
      <x:c r="E291" s="6">
        <x:v>23</x:v>
      </x:c>
      <x:c r="F291" s="6" t="n">
        <x:f>英雄升级调参!$C$88</x:f>
        <x:v>5</x:v>
      </x:c>
      <x:c r="G291" s="12">
        <x:f t="shared" si="24"/>
        <x:v>1909</x:v>
      </x:c>
      <x:c r="H291" s="12">
        <x:f t="shared" si="25"/>
        <x:v>15763</x:v>
      </x:c>
      <x:c r="I291" s="12">
        <x:f t="shared" si="23"/>
        <x:v>30091567</x:v>
      </x:c>
      <x:c r="J291" s="12">
        <x:f>ROUND(英雄升级调参!$D$88*英雄升级调参!$J$10*英雄升级调参!$E$19,0)</x:f>
        <x:v>89</x:v>
      </x:c>
      <x:c r="K291" s="12">
        <x:f>ROUND(英雄升级调参!$D$88*英雄升级调参!$C$11*英雄升级调参!$J$10*英雄升级调参!$G$19,0)</x:f>
        <x:v>736</x:v>
      </x:c>
      <x:c r="L291" s="12" t="n">
        <x:f>养成消耗调参!$D$170</x:f>
        <x:v>720</x:v>
      </x:c>
      <x:c r="M291" s="12" t="n">
        <x:f>养成消耗调参!$G$170</x:f>
        <x:v>4500</x:v>
      </x:c>
      <x:c r="N291" s="12" t="n">
        <x:f>养成消耗调参!$I$170</x:f>
        <x:v>0</x:v>
      </x:c>
      <x:c r="O291" s="12" t="n">
        <x:f>养成消耗调参!$K$170</x:f>
        <x:v>7992</x:v>
      </x:c>
      <x:c r="P291" s="12" t="n">
        <x:f>养成消耗调参!$N$170</x:f>
        <x:v>45000</x:v>
      </x:c>
      <x:c r="Q291" s="12" t="n">
        <x:f>养成消耗调参!$P$170</x:f>
        <x:v>160</x:v>
      </x:c>
      <x:c r="R291" s="13">
        <x:f>I291/英雄升级调参!$J$88-1</x:f>
        <x:v>-0.0032254527651517373</x:v>
      </x:c>
      <x:c r="S291" s="6"/>
      <x:c r="T291" s="6"/>
      <x:c r="U291" s="6"/>
    </x:row>
    <x:row r="292" ht="21" customHeight="1">
      <x:c r="A292" s="14" t="n">
        <x:f>英雄升级调参!$B$19</x:f>
        <x:v>310001</x:v>
      </x:c>
      <x:c r="B292" s="14" t="str">
        <x:f>英雄升级调参!$C$19</x:f>
        <x:v>墨伊喵</x:v>
      </x:c>
      <x:c r="C292" s="6" t="str">
        <x:f>英雄升级调参!$D$19</x:f>
        <x:v>探险家</x:v>
      </x:c>
      <x:c r="D292" s="6" t="s">
        <x:v>22</x:v>
      </x:c>
      <x:c r="E292" s="6">
        <x:v>24</x:v>
      </x:c>
      <x:c r="F292" s="6" t="n">
        <x:f>英雄升级调参!$C$89</x:f>
        <x:v>5</x:v>
      </x:c>
      <x:c r="G292" s="12">
        <x:f t="shared" si="24"/>
        <x:v>1998</x:v>
      </x:c>
      <x:c r="H292" s="12">
        <x:f t="shared" si="25"/>
        <x:v>16499</x:v>
      </x:c>
      <x:c r="I292" s="12">
        <x:f t="shared" si="23"/>
        <x:v>32965002</x:v>
      </x:c>
      <x:c r="J292" s="12">
        <x:f>ROUND(英雄升级调参!$D$89*英雄升级调参!$J$10*英雄升级调参!$E$19,0)</x:f>
        <x:v>89</x:v>
      </x:c>
      <x:c r="K292" s="12">
        <x:f>ROUND(英雄升级调参!$D$89*英雄升级调参!$C$11*英雄升级调参!$J$10*英雄升级调参!$G$19,0)</x:f>
        <x:v>736</x:v>
      </x:c>
      <x:c r="L292" s="12" t="n">
        <x:f>养成消耗调参!$D$171</x:f>
        <x:v>792</x:v>
      </x:c>
      <x:c r="M292" s="12" t="n">
        <x:f>养成消耗调参!$G$171</x:f>
        <x:v>4500</x:v>
      </x:c>
      <x:c r="N292" s="12" t="n">
        <x:f>养成消耗调参!$I$171</x:f>
        <x:v>0</x:v>
      </x:c>
      <x:c r="O292" s="12" t="n">
        <x:f>养成消耗调参!$K$171</x:f>
        <x:v>8784</x:v>
      </x:c>
      <x:c r="P292" s="12" t="n">
        <x:f>养成消耗调参!$N$171</x:f>
        <x:v>49500</x:v>
      </x:c>
      <x:c r="Q292" s="12" t="n">
        <x:f>养成消耗调参!$P$171</x:f>
        <x:v>160</x:v>
      </x:c>
      <x:c r="R292" s="13">
        <x:f>I292/英雄升级调参!$J$89-1</x:f>
        <x:v>-0.0031539222178879056</x:v>
      </x:c>
      <x:c r="S292" s="6"/>
      <x:c r="T292" s="6"/>
      <x:c r="U292" s="6"/>
    </x:row>
    <x:row r="293" ht="21" customHeight="1">
      <x:c r="A293" s="14" t="n">
        <x:f>英雄升级调参!$B$19</x:f>
        <x:v>310001</x:v>
      </x:c>
      <x:c r="B293" s="14" t="str">
        <x:f>英雄升级调参!$C$19</x:f>
        <x:v>墨伊喵</x:v>
      </x:c>
      <x:c r="C293" s="6" t="str">
        <x:f>英雄升级调参!$D$19</x:f>
        <x:v>探险家</x:v>
      </x:c>
      <x:c r="D293" s="6" t="s">
        <x:v>22</x:v>
      </x:c>
      <x:c r="E293" s="6">
        <x:v>25</x:v>
      </x:c>
      <x:c r="F293" s="6" t="n">
        <x:f>英雄升级调参!$C$90</x:f>
        <x:v>5</x:v>
      </x:c>
      <x:c r="G293" s="12">
        <x:f t="shared" si="24"/>
        <x:v>2265</x:v>
      </x:c>
      <x:c r="H293" s="12">
        <x:f t="shared" si="25"/>
        <x:v>18707</x:v>
      </x:c>
      <x:c r="I293" s="12">
        <x:f t="shared" si="23"/>
        <x:v>42371355</x:v>
      </x:c>
      <x:c r="J293" s="12">
        <x:f>ROUND(英雄升级调参!$D$90*英雄升级调参!$J$10*英雄升级调参!$E$19,0)*3</x:f>
        <x:v>267</x:v>
      </x:c>
      <x:c r="K293" s="12">
        <x:f>ROUND(英雄升级调参!$D$90*英雄升级调参!$C$11*英雄升级调参!$J$10*英雄升级调参!$G$19,0)*3</x:f>
        <x:v>2208</x:v>
      </x:c>
      <x:c r="L293" s="12" t="n">
        <x:f>养成消耗调参!$D$172</x:f>
        <x:v>792</x:v>
      </x:c>
      <x:c r="M293" s="12" t="n">
        <x:f>养成消耗调参!$G$172</x:f>
        <x:v>4500</x:v>
      </x:c>
      <x:c r="N293" s="12" t="n">
        <x:f>养成消耗调参!$I$172</x:f>
        <x:v>90</x:v>
      </x:c>
      <x:c r="O293" s="12" t="n">
        <x:f>养成消耗调参!$K$172</x:f>
        <x:v>9576</x:v>
      </x:c>
      <x:c r="P293" s="12" t="n">
        <x:f>养成消耗调参!$N$172</x:f>
        <x:v>54000</x:v>
      </x:c>
      <x:c r="Q293" s="12" t="n">
        <x:f>养成消耗调参!$P$172</x:f>
        <x:v>250</x:v>
      </x:c>
      <x:c r="R293" s="13">
        <x:f>I293/英雄升级调参!$J$90-1</x:f>
        <x:v>-0.0029729844203333355</x:v>
      </x:c>
      <x:c r="S293" s="6"/>
      <x:c r="T293" s="6"/>
      <x:c r="U293" s="6"/>
    </x:row>
    <x:row r="294" ht="21" customHeight="1">
      <x:c r="A294" s="14" t="n">
        <x:f>英雄升级调参!$B$19</x:f>
        <x:v>310001</x:v>
      </x:c>
      <x:c r="B294" s="14" t="str">
        <x:f>英雄升级调参!$C$19</x:f>
        <x:v>墨伊喵</x:v>
      </x:c>
      <x:c r="C294" s="6" t="str">
        <x:f>英雄升级调参!$D$19</x:f>
        <x:v>探险家</x:v>
      </x:c>
      <x:c r="D294" s="6" t="s">
        <x:v>22</x:v>
      </x:c>
      <x:c r="E294" s="6">
        <x:v>26</x:v>
      </x:c>
      <x:c r="F294" s="6" t="n">
        <x:f>英雄升级调参!$C$91</x:f>
        <x:v>6</x:v>
      </x:c>
      <x:c r="G294" s="12">
        <x:f t="shared" si="24"/>
        <x:v>2369</x:v>
      </x:c>
      <x:c r="H294" s="12">
        <x:f t="shared" si="25"/>
        <x:v>19566</x:v>
      </x:c>
      <x:c r="I294" s="12">
        <x:f t="shared" si="23"/>
        <x:v>46351854</x:v>
      </x:c>
      <x:c r="J294" s="12">
        <x:f>ROUND(英雄升级调参!$D$91*英雄升级调参!$J$10*英雄升级调参!$E$19,0)</x:f>
        <x:v>104</x:v>
      </x:c>
      <x:c r="K294" s="12">
        <x:f>ROUND(英雄升级调参!$D$91*英雄升级调参!$C$11*英雄升级调参!$J$10*英雄升级调参!$G$19,0)</x:f>
        <x:v>859</x:v>
      </x:c>
      <x:c r="L294" s="12" t="n">
        <x:f>养成消耗调参!$D$173</x:f>
        <x:v>864</x:v>
      </x:c>
      <x:c r="M294" s="12" t="n">
        <x:f>养成消耗调参!$G$173</x:f>
        <x:v>4500</x:v>
      </x:c>
      <x:c r="N294" s="12" t="n">
        <x:f>养成消耗调参!$I$173</x:f>
        <x:v>0</x:v>
      </x:c>
      <x:c r="O294" s="12" t="n">
        <x:f>养成消耗调参!$K$173</x:f>
        <x:v>10440</x:v>
      </x:c>
      <x:c r="P294" s="12" t="n">
        <x:f>养成消耗调参!$N$173</x:f>
        <x:v>58500</x:v>
      </x:c>
      <x:c r="Q294" s="12" t="n">
        <x:f>养成消耗调参!$P$173</x:f>
        <x:v>250</x:v>
      </x:c>
      <x:c r="R294" s="13">
        <x:f>I294/英雄升级调参!$J$91-1</x:f>
        <x:v>-0.003057297715834295</x:v>
      </x:c>
      <x:c r="S294" s="6"/>
      <x:c r="T294" s="6"/>
      <x:c r="U294" s="6"/>
    </x:row>
    <x:row r="295" ht="21" customHeight="1">
      <x:c r="A295" s="14" t="n">
        <x:f>英雄升级调参!$B$19</x:f>
        <x:v>310001</x:v>
      </x:c>
      <x:c r="B295" s="14" t="str">
        <x:f>英雄升级调参!$C$19</x:f>
        <x:v>墨伊喵</x:v>
      </x:c>
      <x:c r="C295" s="6" t="str">
        <x:f>英雄升级调参!$D$19</x:f>
        <x:v>探险家</x:v>
      </x:c>
      <x:c r="D295" s="6" t="s">
        <x:v>22</x:v>
      </x:c>
      <x:c r="E295" s="6">
        <x:v>27</x:v>
      </x:c>
      <x:c r="F295" s="6" t="n">
        <x:f>英雄升级调参!$C$92</x:f>
        <x:v>6</x:v>
      </x:c>
      <x:c r="G295" s="12">
        <x:f t="shared" si="24"/>
        <x:v>2473</x:v>
      </x:c>
      <x:c r="H295" s="12">
        <x:f t="shared" si="25"/>
        <x:v>20425</x:v>
      </x:c>
      <x:c r="I295" s="12">
        <x:f t="shared" si="23"/>
        <x:v>50511025</x:v>
      </x:c>
      <x:c r="J295" s="12">
        <x:f>ROUND(英雄升级调参!$D$92*英雄升级调参!$J$10*英雄升级调参!$E$19,0)</x:f>
        <x:v>104</x:v>
      </x:c>
      <x:c r="K295" s="12">
        <x:f>ROUND(英雄升级调参!$D$92*英雄升级调参!$C$11*英雄升级调参!$J$10*英雄升级调参!$G$19,0)</x:f>
        <x:v>859</x:v>
      </x:c>
      <x:c r="L295" s="12" t="n">
        <x:f>养成消耗调参!$D$174</x:f>
        <x:v>864</x:v>
      </x:c>
      <x:c r="M295" s="12" t="n">
        <x:f>养成消耗调参!$G$174</x:f>
        <x:v>5850</x:v>
      </x:c>
      <x:c r="N295" s="12" t="n">
        <x:f>养成消耗调参!$I$174</x:f>
        <x:v>0</x:v>
      </x:c>
      <x:c r="O295" s="12" t="n">
        <x:f>养成消耗调参!$K$174</x:f>
        <x:v>11304</x:v>
      </x:c>
      <x:c r="P295" s="12" t="n">
        <x:f>养成消耗调参!$N$174</x:f>
        <x:v>64350</x:v>
      </x:c>
      <x:c r="Q295" s="12" t="n">
        <x:f>养成消耗调参!$P$174</x:f>
        <x:v>250</x:v>
      </x:c>
      <x:c r="R295" s="13">
        <x:f>I295/英雄升级调参!$J$92-1</x:f>
        <x:v>-0.003134507009592502</x:v>
      </x:c>
      <x:c r="S295" s="6"/>
      <x:c r="T295" s="6"/>
      <x:c r="U295" s="6"/>
    </x:row>
    <x:row r="296" ht="21" customHeight="1">
      <x:c r="A296" s="14" t="n">
        <x:f>英雄升级调参!$B$19</x:f>
        <x:v>310001</x:v>
      </x:c>
      <x:c r="B296" s="14" t="str">
        <x:f>英雄升级调参!$C$19</x:f>
        <x:v>墨伊喵</x:v>
      </x:c>
      <x:c r="C296" s="6" t="str">
        <x:f>英雄升级调参!$D$19</x:f>
        <x:v>探险家</x:v>
      </x:c>
      <x:c r="D296" s="6" t="s">
        <x:v>22</x:v>
      </x:c>
      <x:c r="E296" s="6">
        <x:v>28</x:v>
      </x:c>
      <x:c r="F296" s="6" t="n">
        <x:f>英雄升级调参!$C$93</x:f>
        <x:v>6</x:v>
      </x:c>
      <x:c r="G296" s="12">
        <x:f t="shared" si="24"/>
        <x:v>2577</x:v>
      </x:c>
      <x:c r="H296" s="12">
        <x:f t="shared" si="25"/>
        <x:v>21284</x:v>
      </x:c>
      <x:c r="I296" s="12">
        <x:f t="shared" si="23"/>
        <x:v>54848868</x:v>
      </x:c>
      <x:c r="J296" s="12">
        <x:f>ROUND(英雄升级调参!$D$93*英雄升级调参!$J$10*英雄升级调参!$E$19,0)</x:f>
        <x:v>104</x:v>
      </x:c>
      <x:c r="K296" s="12">
        <x:f>ROUND(英雄升级调参!$D$93*英雄升级调参!$C$11*英雄升级调参!$J$10*英雄升级调参!$G$19,0)</x:f>
        <x:v>859</x:v>
      </x:c>
      <x:c r="L296" s="12" t="n">
        <x:f>养成消耗调参!$D$175</x:f>
        <x:v>936</x:v>
      </x:c>
      <x:c r="M296" s="12" t="n">
        <x:f>养成消耗调参!$G$175</x:f>
        <x:v>5850</x:v>
      </x:c>
      <x:c r="N296" s="12" t="n">
        <x:f>养成消耗调参!$I$175</x:f>
        <x:v>0</x:v>
      </x:c>
      <x:c r="O296" s="12" t="n">
        <x:f>养成消耗调参!$K$175</x:f>
        <x:v>12240</x:v>
      </x:c>
      <x:c r="P296" s="12" t="n">
        <x:f>养成消耗调参!$N$175</x:f>
        <x:v>70200</x:v>
      </x:c>
      <x:c r="Q296" s="12" t="n">
        <x:f>养成消耗调参!$P$175</x:f>
        <x:v>250</x:v>
      </x:c>
      <x:c r="R296" s="13">
        <x:f>I296/英雄升级调参!$J$93-1</x:f>
        <x:v>-0.003205473850641294</x:v>
      </x:c>
      <x:c r="S296" s="6"/>
      <x:c r="T296" s="6"/>
      <x:c r="U296" s="6"/>
    </x:row>
    <x:row r="297" ht="21" customHeight="1">
      <x:c r="A297" s="14" t="n">
        <x:f>英雄升级调参!$B$19</x:f>
        <x:v>310001</x:v>
      </x:c>
      <x:c r="B297" s="14" t="str">
        <x:f>英雄升级调参!$C$19</x:f>
        <x:v>墨伊喵</x:v>
      </x:c>
      <x:c r="C297" s="6" t="str">
        <x:f>英雄升级调参!$D$19</x:f>
        <x:v>探险家</x:v>
      </x:c>
      <x:c r="D297" s="6" t="s">
        <x:v>22</x:v>
      </x:c>
      <x:c r="E297" s="6">
        <x:v>29</x:v>
      </x:c>
      <x:c r="F297" s="6" t="n">
        <x:f>英雄升级调参!$C$94</x:f>
        <x:v>6</x:v>
      </x:c>
      <x:c r="G297" s="12">
        <x:f t="shared" si="24"/>
        <x:v>2681</x:v>
      </x:c>
      <x:c r="H297" s="12">
        <x:f t="shared" si="25"/>
        <x:v>22143</x:v>
      </x:c>
      <x:c r="I297" s="12">
        <x:f t="shared" si="23"/>
        <x:v>59365383</x:v>
      </x:c>
      <x:c r="J297" s="12">
        <x:f>ROUND(英雄升级调参!$D$94*英雄升级调参!$J$10*英雄升级调参!$E$19,0)</x:f>
        <x:v>104</x:v>
      </x:c>
      <x:c r="K297" s="12">
        <x:f>ROUND(英雄升级调参!$D$94*英雄升级调参!$C$11*英雄升级调参!$J$10*英雄升级调参!$G$19,0)</x:f>
        <x:v>859</x:v>
      </x:c>
      <x:c r="L297" s="12" t="n">
        <x:f>养成消耗调参!$D$176</x:f>
        <x:v>936</x:v>
      </x:c>
      <x:c r="M297" s="12" t="n">
        <x:f>养成消耗调参!$G$176</x:f>
        <x:v>5850</x:v>
      </x:c>
      <x:c r="N297" s="12" t="n">
        <x:f>养成消耗调参!$I$176</x:f>
        <x:v>0</x:v>
      </x:c>
      <x:c r="O297" s="12" t="n">
        <x:f>养成消耗调参!$K$176</x:f>
        <x:v>13176</x:v>
      </x:c>
      <x:c r="P297" s="12" t="n">
        <x:f>养成消耗调参!$N$176</x:f>
        <x:v>76050</x:v>
      </x:c>
      <x:c r="Q297" s="12" t="n">
        <x:f>养成消耗调参!$P$176</x:f>
        <x:v>250</x:v>
      </x:c>
      <x:c r="R297" s="13">
        <x:f>I297/英雄升级调参!$J$94-1</x:f>
        <x:v>-0.0032709258867499313</x:v>
      </x:c>
      <x:c r="S297" s="6"/>
      <x:c r="T297" s="6"/>
      <x:c r="U297" s="6"/>
    </x:row>
    <x:row r="298" ht="21" customHeight="1">
      <x:c r="A298" s="14" t="n">
        <x:f>英雄升级调参!$B$19</x:f>
        <x:v>310001</x:v>
      </x:c>
      <x:c r="B298" s="14" t="str">
        <x:f>英雄升级调参!$C$19</x:f>
        <x:v>墨伊喵</x:v>
      </x:c>
      <x:c r="C298" s="6" t="str">
        <x:f>英雄升级调参!$D$19</x:f>
        <x:v>探险家</x:v>
      </x:c>
      <x:c r="D298" s="6" t="s">
        <x:v>22</x:v>
      </x:c>
      <x:c r="E298" s="6">
        <x:v>30</x:v>
      </x:c>
      <x:c r="F298" s="6" t="n">
        <x:f>英雄升级调参!$C$95</x:f>
        <x:v>6</x:v>
      </x:c>
      <x:c r="G298" s="12">
        <x:f t="shared" si="24"/>
        <x:v>2993</x:v>
      </x:c>
      <x:c r="H298" s="12">
        <x:f t="shared" si="25"/>
        <x:v>24720</x:v>
      </x:c>
      <x:c r="I298" s="12">
        <x:f t="shared" si="23"/>
        <x:v>73986960</x:v>
      </x:c>
      <x:c r="J298" s="12">
        <x:f>ROUND(英雄升级调参!$D$95*英雄升级调参!$J$10*英雄升级调参!$E$19,0)*3</x:f>
        <x:v>312</x:v>
      </x:c>
      <x:c r="K298" s="12">
        <x:f>ROUND(英雄升级调参!$D$95*英雄升级调参!$C$11*英雄升级调参!$J$10*英雄升级调参!$G$19,0)*3</x:f>
        <x:v>2577</x:v>
      </x:c>
      <x:c r="L298" s="12" t="n">
        <x:f>养成消耗调参!$D$177</x:f>
        <x:v>1008</x:v>
      </x:c>
      <x:c r="M298" s="12" t="n">
        <x:f>养成消耗调参!$G$177</x:f>
        <x:v>5850</x:v>
      </x:c>
      <x:c r="N298" s="12" t="n">
        <x:f>养成消耗调参!$I$177</x:f>
        <x:v>110</x:v>
      </x:c>
      <x:c r="O298" s="12" t="n">
        <x:f>养成消耗调参!$K$177</x:f>
        <x:v>14184</x:v>
      </x:c>
      <x:c r="P298" s="12" t="n">
        <x:f>养成消耗调参!$N$177</x:f>
        <x:v>81900</x:v>
      </x:c>
      <x:c r="Q298" s="12" t="n">
        <x:f>养成消耗调参!$P$177</x:f>
        <x:v>360</x:v>
      </x:c>
      <x:c r="R298" s="13">
        <x:f>I298/英雄升级调参!$J$95-1</x:f>
        <x:v>-0.003439950378725909</x:v>
      </x:c>
      <x:c r="S298" s="6"/>
      <x:c r="T298" s="6"/>
      <x:c r="U298" s="6"/>
    </x:row>
    <x:row r="299" ht="21" customHeight="1">
      <x:c r="A299" s="14" t="n">
        <x:f>英雄升级调参!$B$19</x:f>
        <x:v>310001</x:v>
      </x:c>
      <x:c r="B299" s="14" t="str">
        <x:f>英雄升级调参!$C$19</x:f>
        <x:v>墨伊喵</x:v>
      </x:c>
      <x:c r="C299" s="6" t="str">
        <x:f>英雄升级调参!$D$19</x:f>
        <x:v>探险家</x:v>
      </x:c>
      <x:c r="D299" s="6" t="s">
        <x:v>22</x:v>
      </x:c>
      <x:c r="E299" s="6">
        <x:v>31</x:v>
      </x:c>
      <x:c r="F299" s="6" t="n">
        <x:f>英雄升级调参!$C$96</x:f>
        <x:v>7</x:v>
      </x:c>
      <x:c r="G299" s="12">
        <x:f t="shared" si="24"/>
        <x:v>3112</x:v>
      </x:c>
      <x:c r="H299" s="12">
        <x:f t="shared" si="25"/>
        <x:v>25702</x:v>
      </x:c>
      <x:c r="I299" s="12">
        <x:f t="shared" si="23"/>
        <x:v>79984624</x:v>
      </x:c>
      <x:c r="J299" s="12">
        <x:f>ROUND(英雄升级调参!$D$96*英雄升级调参!$J$10*英雄升级调参!$E$19,0)</x:f>
        <x:v>119</x:v>
      </x:c>
      <x:c r="K299" s="12">
        <x:f>ROUND(英雄升级调参!$D$96*英雄升级调参!$C$11*英雄升级调参!$J$10*英雄升级调参!$G$19,0)</x:f>
        <x:v>982</x:v>
      </x:c>
      <x:c r="L299" s="12" t="n">
        <x:f>养成消耗调参!$D$178</x:f>
        <x:v>1008</x:v>
      </x:c>
      <x:c r="M299" s="12" t="n">
        <x:f>养成消耗调参!$G$178</x:f>
        <x:v>5850</x:v>
      </x:c>
      <x:c r="N299" s="12" t="n">
        <x:f>养成消耗调参!$I$178</x:f>
        <x:v>0</x:v>
      </x:c>
      <x:c r="O299" s="12" t="n">
        <x:f>养成消耗调参!$K$178</x:f>
        <x:v>15192</x:v>
      </x:c>
      <x:c r="P299" s="12" t="n">
        <x:f>养成消耗调参!$N$178</x:f>
        <x:v>87750</x:v>
      </x:c>
      <x:c r="Q299" s="12" t="n">
        <x:f>养成消耗调参!$P$178</x:f>
        <x:v>360</x:v>
      </x:c>
      <x:c r="R299" s="13">
        <x:f>I299/英雄升级调参!$J$96-1</x:f>
        <x:v>-0.003237931096792379</x:v>
      </x:c>
      <x:c r="S299" s="6"/>
      <x:c r="T299" s="6"/>
      <x:c r="U299" s="6"/>
    </x:row>
    <x:row r="300" ht="21" customHeight="1">
      <x:c r="A300" s="14" t="n">
        <x:f>英雄升级调参!$B$19</x:f>
        <x:v>310001</x:v>
      </x:c>
      <x:c r="B300" s="14" t="str">
        <x:f>英雄升级调参!$C$19</x:f>
        <x:v>墨伊喵</x:v>
      </x:c>
      <x:c r="C300" s="6" t="str">
        <x:f>英雄升级调参!$D$19</x:f>
        <x:v>探险家</x:v>
      </x:c>
      <x:c r="D300" s="6" t="s">
        <x:v>22</x:v>
      </x:c>
      <x:c r="E300" s="6">
        <x:v>32</x:v>
      </x:c>
      <x:c r="F300" s="6" t="n">
        <x:f>英雄升级调参!$C$97</x:f>
        <x:v>7</x:v>
      </x:c>
      <x:c r="G300" s="12">
        <x:f t="shared" si="24"/>
        <x:v>3231</x:v>
      </x:c>
      <x:c r="H300" s="12">
        <x:f t="shared" si="25"/>
        <x:v>26684</x:v>
      </x:c>
      <x:c r="I300" s="12">
        <x:f t="shared" si="23"/>
        <x:v>86216004</x:v>
      </x:c>
      <x:c r="J300" s="12">
        <x:f>ROUND(英雄升级调参!$D$97*英雄升级调参!$J$10*英雄升级调参!$E$19,0)</x:f>
        <x:v>119</x:v>
      </x:c>
      <x:c r="K300" s="12">
        <x:f>ROUND(英雄升级调参!$D$97*英雄升级调参!$C$11*英雄升级调参!$J$10*英雄升级调参!$G$19,0)</x:f>
        <x:v>982</x:v>
      </x:c>
      <x:c r="L300" s="12" t="n">
        <x:f>养成消耗调参!$D$179</x:f>
        <x:v>1080</x:v>
      </x:c>
      <x:c r="M300" s="12" t="n">
        <x:f>养成消耗调参!$G$179</x:f>
        <x:v>7200</x:v>
      </x:c>
      <x:c r="N300" s="12" t="n">
        <x:f>养成消耗调参!$I$179</x:f>
        <x:v>0</x:v>
      </x:c>
      <x:c r="O300" s="12" t="n">
        <x:f>养成消耗调参!$K$179</x:f>
        <x:v>16272</x:v>
      </x:c>
      <x:c r="P300" s="12" t="n">
        <x:f>养成消耗调参!$N$179</x:f>
        <x:v>94950</x:v>
      </x:c>
      <x:c r="Q300" s="12" t="n">
        <x:f>养成消耗调参!$P$179</x:f>
        <x:v>360</x:v>
      </x:c>
      <x:c r="R300" s="13">
        <x:f>I300/英雄升级调参!$J$97-1</x:f>
        <x:v>-0.0030507229257966673</x:v>
      </x:c>
      <x:c r="S300" s="6"/>
      <x:c r="T300" s="6"/>
      <x:c r="U300" s="6"/>
    </x:row>
    <x:row r="301" ht="21" customHeight="1">
      <x:c r="A301" s="14" t="n">
        <x:f>英雄升级调参!$B$19</x:f>
        <x:v>310001</x:v>
      </x:c>
      <x:c r="B301" s="14" t="str">
        <x:f>英雄升级调参!$C$19</x:f>
        <x:v>墨伊喵</x:v>
      </x:c>
      <x:c r="C301" s="6" t="str">
        <x:f>英雄升级调参!$D$19</x:f>
        <x:v>探险家</x:v>
      </x:c>
      <x:c r="D301" s="6" t="s">
        <x:v>22</x:v>
      </x:c>
      <x:c r="E301" s="6">
        <x:v>33</x:v>
      </x:c>
      <x:c r="F301" s="6" t="n">
        <x:f>英雄升级调参!$C$98</x:f>
        <x:v>7</x:v>
      </x:c>
      <x:c r="G301" s="12">
        <x:f t="shared" si="24"/>
        <x:v>3350</x:v>
      </x:c>
      <x:c r="H301" s="12">
        <x:f t="shared" si="25"/>
        <x:v>27666</x:v>
      </x:c>
      <x:c r="I301" s="12">
        <x:f t="shared" si="23"/>
        <x:v>92681100</x:v>
      </x:c>
      <x:c r="J301" s="12">
        <x:f>ROUND(英雄升级调参!$D$98*英雄升级调参!$J$10*英雄升级调参!$E$19,0)</x:f>
        <x:v>119</x:v>
      </x:c>
      <x:c r="K301" s="12">
        <x:f>ROUND(英雄升级调参!$D$98*英雄升级调参!$C$11*英雄升级调参!$J$10*英雄升级调参!$G$19,0)</x:f>
        <x:v>982</x:v>
      </x:c>
      <x:c r="L301" s="12" t="n">
        <x:f>养成消耗调参!$D$180</x:f>
        <x:v>1080</x:v>
      </x:c>
      <x:c r="M301" s="12" t="n">
        <x:f>养成消耗调参!$G$180</x:f>
        <x:v>7200</x:v>
      </x:c>
      <x:c r="N301" s="12" t="n">
        <x:f>养成消耗调参!$I$180</x:f>
        <x:v>0</x:v>
      </x:c>
      <x:c r="O301" s="12" t="n">
        <x:f>养成消耗调参!$K$180</x:f>
        <x:v>17352</x:v>
      </x:c>
      <x:c r="P301" s="12" t="n">
        <x:f>养成消耗调参!$N$180</x:f>
        <x:v>102150</x:v>
      </x:c>
      <x:c r="Q301" s="12" t="n">
        <x:f>养成消耗调参!$P$180</x:f>
        <x:v>360</x:v>
      </x:c>
      <x:c r="R301" s="13">
        <x:f>I301/英雄升级调参!$J$98-1</x:f>
        <x:v>-0.0028767546411996303</x:v>
      </x:c>
      <x:c r="S301" s="6"/>
      <x:c r="T301" s="6"/>
      <x:c r="U301" s="6"/>
    </x:row>
    <x:row r="302" ht="21" customHeight="1">
      <x:c r="A302" s="14" t="n">
        <x:f>英雄升级调参!$B$19</x:f>
        <x:v>310001</x:v>
      </x:c>
      <x:c r="B302" s="14" t="str">
        <x:f>英雄升级调参!$C$19</x:f>
        <x:v>墨伊喵</x:v>
      </x:c>
      <x:c r="C302" s="6" t="str">
        <x:f>英雄升级调参!$D$19</x:f>
        <x:v>探险家</x:v>
      </x:c>
      <x:c r="D302" s="6" t="s">
        <x:v>22</x:v>
      </x:c>
      <x:c r="E302" s="6">
        <x:v>34</x:v>
      </x:c>
      <x:c r="F302" s="6" t="n">
        <x:f>英雄升级调参!$C$99</x:f>
        <x:v>7</x:v>
      </x:c>
      <x:c r="G302" s="12">
        <x:f t="shared" ref="G302:G318" si="26">G301+J302</x:f>
        <x:v>3469</x:v>
      </x:c>
      <x:c r="H302" s="12">
        <x:f t="shared" ref="H302:H318" si="27">H301+K302</x:f>
        <x:v>28648</x:v>
      </x:c>
      <x:c r="I302" s="12">
        <x:f t="shared" si="23"/>
        <x:v>99379912</x:v>
      </x:c>
      <x:c r="J302" s="12">
        <x:f>ROUND(英雄升级调参!$D$99*英雄升级调参!$J$10*英雄升级调参!$E$19,0)</x:f>
        <x:v>119</x:v>
      </x:c>
      <x:c r="K302" s="12">
        <x:f>ROUND(英雄升级调参!$D$99*英雄升级调参!$C$11*英雄升级调参!$J$10*英雄升级调参!$G$19,0)</x:f>
        <x:v>982</x:v>
      </x:c>
      <x:c r="L302" s="12" t="n">
        <x:f>养成消耗调参!$D$181</x:f>
        <x:v>1152</x:v>
      </x:c>
      <x:c r="M302" s="12" t="n">
        <x:f>养成消耗调参!$G$181</x:f>
        <x:v>7200</x:v>
      </x:c>
      <x:c r="N302" s="12" t="n">
        <x:f>养成消耗调参!$I$181</x:f>
        <x:v>0</x:v>
      </x:c>
      <x:c r="O302" s="12" t="n">
        <x:f>养成消耗调参!$K$181</x:f>
        <x:v>18504</x:v>
      </x:c>
      <x:c r="P302" s="12" t="n">
        <x:f>养成消耗调参!$N$181</x:f>
        <x:v>109350</x:v>
      </x:c>
      <x:c r="Q302" s="12" t="n">
        <x:f>养成消耗调参!$P$181</x:f>
        <x:v>360</x:v>
      </x:c>
      <x:c r="R302" s="13">
        <x:f>I302/英雄升级调参!$J$99-1</x:f>
        <x:v>-0.002714669670768055</x:v>
      </x:c>
      <x:c r="S302" s="6"/>
      <x:c r="T302" s="6"/>
      <x:c r="U302" s="6"/>
    </x:row>
    <x:row r="303" ht="21" customHeight="1">
      <x:c r="A303" s="14" t="n">
        <x:f>英雄升级调参!$B$19</x:f>
        <x:v>310001</x:v>
      </x:c>
      <x:c r="B303" s="14" t="str">
        <x:f>英雄升级调参!$C$19</x:f>
        <x:v>墨伊喵</x:v>
      </x:c>
      <x:c r="C303" s="6" t="str">
        <x:f>英雄升级调参!$D$19</x:f>
        <x:v>探险家</x:v>
      </x:c>
      <x:c r="D303" s="6" t="s">
        <x:v>22</x:v>
      </x:c>
      <x:c r="E303" s="6">
        <x:v>35</x:v>
      </x:c>
      <x:c r="F303" s="6" t="n">
        <x:f>英雄升级调参!$C$100</x:f>
        <x:v>7</x:v>
      </x:c>
      <x:c r="G303" s="12">
        <x:f t="shared" si="26"/>
        <x:v>3826</x:v>
      </x:c>
      <x:c r="H303" s="12">
        <x:f t="shared" si="27"/>
        <x:v>31594</x:v>
      </x:c>
      <x:c r="I303" s="12">
        <x:f t="shared" si="23"/>
        <x:v>120878644</x:v>
      </x:c>
      <x:c r="J303" s="12">
        <x:f>ROUND(英雄升级调参!$D$100*英雄升级调参!$J$10*英雄升级调参!$E$19,0)*3</x:f>
        <x:v>357</x:v>
      </x:c>
      <x:c r="K303" s="12">
        <x:f>ROUND(英雄升级调参!$D$100*英雄升级调参!$C$11*英雄升级调参!$J$10*英雄升级调参!$G$19,0)*3</x:f>
        <x:v>2946</x:v>
      </x:c>
      <x:c r="L303" s="12" t="n">
        <x:f>养成消耗调参!$D$182</x:f>
        <x:v>1152</x:v>
      </x:c>
      <x:c r="M303" s="12" t="n">
        <x:f>养成消耗调参!$G$182</x:f>
        <x:v>7200</x:v>
      </x:c>
      <x:c r="N303" s="12" t="n">
        <x:f>养成消耗调参!$I$182</x:f>
        <x:v>130</x:v>
      </x:c>
      <x:c r="O303" s="12" t="n">
        <x:f>养成消耗调参!$K$182</x:f>
        <x:v>19656</x:v>
      </x:c>
      <x:c r="P303" s="12" t="n">
        <x:f>养成消耗调参!$N$182</x:f>
        <x:v>116550</x:v>
      </x:c>
      <x:c r="Q303" s="12" t="n">
        <x:f>养成消耗调参!$P$182</x:f>
        <x:v>490</x:v>
      </x:c>
      <x:c r="R303" s="13">
        <x:f>I303/英雄升级调参!$J$100-1</x:f>
        <x:v>-0.0022886704761376775</x:v>
      </x:c>
      <x:c r="S303" s="6"/>
      <x:c r="T303" s="6"/>
      <x:c r="U303" s="6"/>
    </x:row>
    <x:row r="304" ht="21" customHeight="1">
      <x:c r="A304" s="14" t="n">
        <x:f>英雄升级调参!$B$19</x:f>
        <x:v>310001</x:v>
      </x:c>
      <x:c r="B304" s="14" t="str">
        <x:f>英雄升级调参!$C$19</x:f>
        <x:v>墨伊喵</x:v>
      </x:c>
      <x:c r="C304" s="6" t="str">
        <x:f>英雄升级调参!$D$19</x:f>
        <x:v>探险家</x:v>
      </x:c>
      <x:c r="D304" s="6" t="s">
        <x:v>22</x:v>
      </x:c>
      <x:c r="E304" s="6">
        <x:v>36</x:v>
      </x:c>
      <x:c r="F304" s="6" t="n">
        <x:f>英雄升级调参!$C$101</x:f>
        <x:v>8</x:v>
      </x:c>
      <x:c r="G304" s="12">
        <x:f t="shared" si="26"/>
        <x:v>3960</x:v>
      </x:c>
      <x:c r="H304" s="12">
        <x:f t="shared" si="27"/>
        <x:v>32699</x:v>
      </x:c>
      <x:c r="I304" s="12">
        <x:f t="shared" si="23"/>
        <x:v>129488040</x:v>
      </x:c>
      <x:c r="J304" s="12">
        <x:f>ROUND(英雄升级调参!$D$101*英雄升级调参!$J$10*英雄升级调参!$E$19,0)</x:f>
        <x:v>134</x:v>
      </x:c>
      <x:c r="K304" s="12">
        <x:f>ROUND(英雄升级调参!$D$101*英雄升级调参!$C$11*英雄升级调参!$J$10*英雄升级调参!$G$19,0)</x:f>
        <x:v>1105</x:v>
      </x:c>
      <x:c r="L304" s="12" t="n">
        <x:f>养成消耗调参!$D$183</x:f>
        <x:v>1224</x:v>
      </x:c>
      <x:c r="M304" s="12" t="n">
        <x:f>养成消耗调参!$G$183</x:f>
        <x:v>7200</x:v>
      </x:c>
      <x:c r="N304" s="12" t="n">
        <x:f>养成消耗调参!$I$183</x:f>
        <x:v>0</x:v>
      </x:c>
      <x:c r="O304" s="12" t="n">
        <x:f>养成消耗调参!$K$183</x:f>
        <x:v>20880</x:v>
      </x:c>
      <x:c r="P304" s="12" t="n">
        <x:f>养成消耗调参!$N$183</x:f>
        <x:v>123750</x:v>
      </x:c>
      <x:c r="Q304" s="12" t="n">
        <x:f>养成消耗调参!$P$183</x:f>
        <x:v>490</x:v>
      </x:c>
      <x:c r="R304" s="13">
        <x:f>I304/英雄升级调参!$J$101-1</x:f>
        <x:v>-0.0022478081327935717</x:v>
      </x:c>
      <x:c r="S304" s="6"/>
      <x:c r="T304" s="6"/>
      <x:c r="U304" s="6"/>
    </x:row>
    <x:row r="305" ht="21" customHeight="1">
      <x:c r="A305" s="14" t="n">
        <x:f>英雄升级调参!$B$19</x:f>
        <x:v>310001</x:v>
      </x:c>
      <x:c r="B305" s="14" t="str">
        <x:f>英雄升级调参!$C$19</x:f>
        <x:v>墨伊喵</x:v>
      </x:c>
      <x:c r="C305" s="6" t="str">
        <x:f>英雄升级调参!$D$19</x:f>
        <x:v>探险家</x:v>
      </x:c>
      <x:c r="D305" s="6" t="s">
        <x:v>22</x:v>
      </x:c>
      <x:c r="E305" s="6">
        <x:v>37</x:v>
      </x:c>
      <x:c r="F305" s="6" t="n">
        <x:f>英雄升级调参!$C$102</x:f>
        <x:v>8</x:v>
      </x:c>
      <x:c r="G305" s="12">
        <x:f t="shared" si="26"/>
        <x:v>4094</x:v>
      </x:c>
      <x:c r="H305" s="12">
        <x:f t="shared" si="27"/>
        <x:v>33804</x:v>
      </x:c>
      <x:c r="I305" s="12">
        <x:f t="shared" si="23"/>
        <x:v>138393576</x:v>
      </x:c>
      <x:c r="J305" s="12">
        <x:f>ROUND(英雄升级调参!$D$102*英雄升级调参!$J$10*英雄升级调参!$E$19,0)</x:f>
        <x:v>134</x:v>
      </x:c>
      <x:c r="K305" s="12">
        <x:f>ROUND(英雄升级调参!$D$102*英雄升级调参!$C$11*英雄升级调参!$J$10*英雄升级调参!$G$19,0)</x:f>
        <x:v>1105</x:v>
      </x:c>
      <x:c r="L305" s="12" t="n">
        <x:f>养成消耗调参!$D$184</x:f>
        <x:v>1224</x:v>
      </x:c>
      <x:c r="M305" s="12" t="n">
        <x:f>养成消耗调参!$G$184</x:f>
        <x:v>8550</x:v>
      </x:c>
      <x:c r="N305" s="12" t="n">
        <x:f>养成消耗调参!$I$184</x:f>
        <x:v>0</x:v>
      </x:c>
      <x:c r="O305" s="12" t="n">
        <x:f>养成消耗调参!$K$184</x:f>
        <x:v>22104</x:v>
      </x:c>
      <x:c r="P305" s="12" t="n">
        <x:f>养成消耗调参!$N$184</x:f>
        <x:v>132300</x:v>
      </x:c>
      <x:c r="Q305" s="12" t="n">
        <x:f>养成消耗调参!$P$184</x:f>
        <x:v>490</x:v>
      </x:c>
      <x:c r="R305" s="13">
        <x:f>I305/英雄升级调参!$J$102-1</x:f>
        <x:v>-0.0022096170837717644</x:v>
      </x:c>
      <x:c r="S305" s="6"/>
      <x:c r="T305" s="6"/>
      <x:c r="U305" s="6"/>
    </x:row>
    <x:row r="306" ht="21" customHeight="1">
      <x:c r="A306" s="14" t="n">
        <x:f>英雄升级调参!$B$19</x:f>
        <x:v>310001</x:v>
      </x:c>
      <x:c r="B306" s="14" t="str">
        <x:f>英雄升级调参!$C$19</x:f>
        <x:v>墨伊喵</x:v>
      </x:c>
      <x:c r="C306" s="6" t="str">
        <x:f>英雄升级调参!$D$19</x:f>
        <x:v>探险家</x:v>
      </x:c>
      <x:c r="D306" s="6" t="s">
        <x:v>22</x:v>
      </x:c>
      <x:c r="E306" s="6">
        <x:v>38</x:v>
      </x:c>
      <x:c r="F306" s="6" t="n">
        <x:f>英雄升级调参!$C$103</x:f>
        <x:v>8</x:v>
      </x:c>
      <x:c r="G306" s="12">
        <x:f t="shared" si="26"/>
        <x:v>4228</x:v>
      </x:c>
      <x:c r="H306" s="12">
        <x:f t="shared" si="27"/>
        <x:v>34909</x:v>
      </x:c>
      <x:c r="I306" s="12">
        <x:f t="shared" si="23"/>
        <x:v>147595252</x:v>
      </x:c>
      <x:c r="J306" s="12">
        <x:f>ROUND(英雄升级调参!$D$103*英雄升级调参!$J$10*英雄升级调参!$E$19,0)</x:f>
        <x:v>134</x:v>
      </x:c>
      <x:c r="K306" s="12">
        <x:f>ROUND(英雄升级调参!$D$103*英雄升级调参!$C$11*英雄升级调参!$J$10*英雄升级调参!$G$19,0)</x:f>
        <x:v>1105</x:v>
      </x:c>
      <x:c r="L306" s="12" t="n">
        <x:f>养成消耗调参!$D$185</x:f>
        <x:v>1296</x:v>
      </x:c>
      <x:c r="M306" s="12" t="n">
        <x:f>养成消耗调参!$G$185</x:f>
        <x:v>8550</x:v>
      </x:c>
      <x:c r="N306" s="12" t="n">
        <x:f>养成消耗调参!$I$185</x:f>
        <x:v>0</x:v>
      </x:c>
      <x:c r="O306" s="12" t="n">
        <x:f>养成消耗调参!$K$185</x:f>
        <x:v>23400</x:v>
      </x:c>
      <x:c r="P306" s="12" t="n">
        <x:f>养成消耗调参!$N$185</x:f>
        <x:v>140850</x:v>
      </x:c>
      <x:c r="Q306" s="12" t="n">
        <x:f>养成消耗调参!$P$185</x:f>
        <x:v>490</x:v>
      </x:c>
      <x:c r="R306" s="13">
        <x:f>I306/英雄升级调参!$J$103-1</x:f>
        <x:v>-0.00217384367428175</x:v>
      </x:c>
      <x:c r="S306" s="6"/>
      <x:c r="T306" s="6"/>
      <x:c r="U306" s="6"/>
    </x:row>
    <x:row r="307" ht="21" customHeight="1">
      <x:c r="A307" s="14" t="n">
        <x:f>英雄升级调参!$B$19</x:f>
        <x:v>310001</x:v>
      </x:c>
      <x:c r="B307" s="14" t="str">
        <x:f>英雄升级调参!$C$19</x:f>
        <x:v>墨伊喵</x:v>
      </x:c>
      <x:c r="C307" s="6" t="str">
        <x:f>英雄升级调参!$D$19</x:f>
        <x:v>探险家</x:v>
      </x:c>
      <x:c r="D307" s="6" t="s">
        <x:v>22</x:v>
      </x:c>
      <x:c r="E307" s="6">
        <x:v>39</x:v>
      </x:c>
      <x:c r="F307" s="6" t="n">
        <x:f>英雄升级调参!$C$104</x:f>
        <x:v>8</x:v>
      </x:c>
      <x:c r="G307" s="12">
        <x:f t="shared" si="26"/>
        <x:v>4362</x:v>
      </x:c>
      <x:c r="H307" s="12">
        <x:f t="shared" si="27"/>
        <x:v>36014</x:v>
      </x:c>
      <x:c r="I307" s="12">
        <x:f t="shared" si="23"/>
        <x:v>157093068</x:v>
      </x:c>
      <x:c r="J307" s="12">
        <x:f>ROUND(英雄升级调参!$D$104*英雄升级调参!$J$10*英雄升级调参!$E$19,0)</x:f>
        <x:v>134</x:v>
      </x:c>
      <x:c r="K307" s="12">
        <x:f>ROUND(英雄升级调参!$D$104*英雄升级调参!$C$11*英雄升级调参!$J$10*英雄升级调参!$G$19,0)</x:f>
        <x:v>1105</x:v>
      </x:c>
      <x:c r="L307" s="12" t="n">
        <x:f>养成消耗调参!$D$186</x:f>
        <x:v>1296</x:v>
      </x:c>
      <x:c r="M307" s="12" t="n">
        <x:f>养成消耗调参!$G$186</x:f>
        <x:v>8550</x:v>
      </x:c>
      <x:c r="N307" s="12" t="n">
        <x:f>养成消耗调参!$I$186</x:f>
        <x:v>0</x:v>
      </x:c>
      <x:c r="O307" s="12" t="n">
        <x:f>养成消耗调参!$K$186</x:f>
        <x:v>24696</x:v>
      </x:c>
      <x:c r="P307" s="12" t="n">
        <x:f>养成消耗调参!$N$186</x:f>
        <x:v>149400</x:v>
      </x:c>
      <x:c r="Q307" s="12" t="n">
        <x:f>养成消耗调参!$P$186</x:f>
        <x:v>490</x:v>
      </x:c>
      <x:c r="R307" s="13">
        <x:f>I307/英雄升级调参!$J$104-1</x:f>
        <x:v>-0.0021402653788816783</x:v>
      </x:c>
      <x:c r="S307" s="6"/>
      <x:c r="T307" s="6"/>
      <x:c r="U307" s="6"/>
    </x:row>
    <x:row r="308" ht="21" customHeight="1">
      <x:c r="A308" s="14" t="n">
        <x:f>英雄升级调参!$B$19</x:f>
        <x:v>310001</x:v>
      </x:c>
      <x:c r="B308" s="14" t="str">
        <x:f>英雄升级调参!$C$19</x:f>
        <x:v>墨伊喵</x:v>
      </x:c>
      <x:c r="C308" s="6" t="str">
        <x:f>英雄升级调参!$D$19</x:f>
        <x:v>探险家</x:v>
      </x:c>
      <x:c r="D308" s="6" t="s">
        <x:v>22</x:v>
      </x:c>
      <x:c r="E308" s="6">
        <x:v>40</x:v>
      </x:c>
      <x:c r="F308" s="6" t="n">
        <x:f>英雄升级调参!$C$105</x:f>
        <x:v>8</x:v>
      </x:c>
      <x:c r="G308" s="12">
        <x:f t="shared" si="26"/>
        <x:v>4764</x:v>
      </x:c>
      <x:c r="H308" s="12">
        <x:f t="shared" si="27"/>
        <x:v>39329</x:v>
      </x:c>
      <x:c r="I308" s="12">
        <x:f t="shared" si="23"/>
        <x:v>187363356</x:v>
      </x:c>
      <x:c r="J308" s="12">
        <x:f>ROUND(英雄升级调参!$D$105*英雄升级调参!$J$10*英雄升级调参!$E$19,0)*3</x:f>
        <x:v>402</x:v>
      </x:c>
      <x:c r="K308" s="12">
        <x:f>ROUND(英雄升级调参!$D$105*英雄升级调参!$C$11*英雄升级调参!$J$10*英雄升级调参!$G$19,0)*3</x:f>
        <x:v>3315</x:v>
      </x:c>
      <x:c r="L308" s="12" t="n">
        <x:f>养成消耗调参!$D$187</x:f>
        <x:v>1368</x:v>
      </x:c>
      <x:c r="M308" s="12" t="n">
        <x:f>养成消耗调参!$G$187</x:f>
        <x:v>8550</x:v>
      </x:c>
      <x:c r="N308" s="12" t="n">
        <x:f>养成消耗调参!$I$187</x:f>
        <x:v>150</x:v>
      </x:c>
      <x:c r="O308" s="12" t="n">
        <x:f>养成消耗调参!$K$187</x:f>
        <x:v>26064</x:v>
      </x:c>
      <x:c r="P308" s="12" t="n">
        <x:f>养成消耗调参!$N$187</x:f>
        <x:v>157950</x:v>
      </x:c>
      <x:c r="Q308" s="12" t="n">
        <x:f>养成消耗调参!$P$187</x:f>
        <x:v>640</x:v>
      </x:c>
      <x:c r="R308" s="13">
        <x:f>I308/英雄升级调参!$J$105-1</x:f>
        <x:v>-0.0020508510325520923</x:v>
      </x:c>
      <x:c r="S308" s="6"/>
      <x:c r="T308" s="6"/>
      <x:c r="U308" s="6"/>
    </x:row>
    <x:row r="309" ht="21" customHeight="1">
      <x:c r="A309" s="14" t="n">
        <x:f>英雄升级调参!$B$19</x:f>
        <x:v>310001</x:v>
      </x:c>
      <x:c r="B309" s="14" t="str">
        <x:f>英雄升级调参!$C$19</x:f>
        <x:v>墨伊喵</x:v>
      </x:c>
      <x:c r="C309" s="6" t="str">
        <x:f>英雄升级调参!$D$19</x:f>
        <x:v>探险家</x:v>
      </x:c>
      <x:c r="D309" s="6" t="s">
        <x:v>22</x:v>
      </x:c>
      <x:c r="E309" s="6">
        <x:v>41</x:v>
      </x:c>
      <x:c r="F309" s="6" t="n">
        <x:f>英雄升级调参!$C$106</x:f>
        <x:v>9</x:v>
      </x:c>
      <x:c r="G309" s="12">
        <x:f t="shared" si="26"/>
        <x:v>4913</x:v>
      </x:c>
      <x:c r="H309" s="12">
        <x:f t="shared" si="27"/>
        <x:v>40556</x:v>
      </x:c>
      <x:c r="I309" s="12">
        <x:f t="shared" si="23"/>
        <x:v>199251628</x:v>
      </x:c>
      <x:c r="J309" s="12">
        <x:f>ROUND(英雄升级调参!$D$106*英雄升级调参!$J$10*英雄升级调参!$E$19,0)</x:f>
        <x:v>149</x:v>
      </x:c>
      <x:c r="K309" s="12">
        <x:f>ROUND(英雄升级调参!$D$106*英雄升级调参!$C$11*英雄升级调参!$J$10*英雄升级调参!$G$19,0)</x:f>
        <x:v>1227</x:v>
      </x:c>
      <x:c r="L309" s="12" t="n">
        <x:f>养成消耗调参!$D$188</x:f>
        <x:v>1368</x:v>
      </x:c>
      <x:c r="M309" s="12" t="n">
        <x:f>养成消耗调参!$G$188</x:f>
        <x:v>8550</x:v>
      </x:c>
      <x:c r="N309" s="12" t="n">
        <x:f>养成消耗调参!$I$188</x:f>
        <x:v>0</x:v>
      </x:c>
      <x:c r="O309" s="12" t="n">
        <x:f>养成消耗调参!$K$188</x:f>
        <x:v>27432</x:v>
      </x:c>
      <x:c r="P309" s="12" t="n">
        <x:f>养成消耗调参!$N$188</x:f>
        <x:v>166500</x:v>
      </x:c>
      <x:c r="Q309" s="12" t="n">
        <x:f>养成消耗调参!$P$188</x:f>
        <x:v>640</x:v>
      </x:c>
      <x:c r="R309" s="13">
        <x:f>I309/英雄升级调参!$J$106-1</x:f>
        <x:v>-0.0018941164831394186</x:v>
      </x:c>
      <x:c r="S309" s="6"/>
      <x:c r="T309" s="6"/>
      <x:c r="U309" s="6"/>
    </x:row>
    <x:row r="310" ht="21" customHeight="1">
      <x:c r="A310" s="14" t="n">
        <x:f>英雄升级调参!$B$19</x:f>
        <x:v>310001</x:v>
      </x:c>
      <x:c r="B310" s="14" t="str">
        <x:f>英雄升级调参!$C$19</x:f>
        <x:v>墨伊喵</x:v>
      </x:c>
      <x:c r="C310" s="6" t="str">
        <x:f>英雄升级调参!$D$19</x:f>
        <x:v>探险家</x:v>
      </x:c>
      <x:c r="D310" s="6" t="s">
        <x:v>22</x:v>
      </x:c>
      <x:c r="E310" s="6">
        <x:v>42</x:v>
      </x:c>
      <x:c r="F310" s="6" t="n">
        <x:f>英雄升级调参!$C$107</x:f>
        <x:v>9</x:v>
      </x:c>
      <x:c r="G310" s="12">
        <x:f t="shared" si="26"/>
        <x:v>5062</x:v>
      </x:c>
      <x:c r="H310" s="12">
        <x:f t="shared" si="27"/>
        <x:v>41783</x:v>
      </x:c>
      <x:c r="I310" s="12">
        <x:f t="shared" si="23"/>
        <x:v>211505546</x:v>
      </x:c>
      <x:c r="J310" s="12">
        <x:f>ROUND(英雄升级调参!$D$107*英雄升级调参!$J$10*英雄升级调参!$E$19,0)</x:f>
        <x:v>149</x:v>
      </x:c>
      <x:c r="K310" s="12">
        <x:f>ROUND(英雄升级调参!$D$107*英雄升级调参!$C$11*英雄升级调参!$J$10*英雄升级调参!$G$19,0)</x:f>
        <x:v>1227</x:v>
      </x:c>
      <x:c r="L310" s="12" t="n">
        <x:f>养成消耗调参!$D$189</x:f>
        <x:v>1440</x:v>
      </x:c>
      <x:c r="M310" s="12" t="n">
        <x:f>养成消耗调参!$G$189</x:f>
        <x:v>9900</x:v>
      </x:c>
      <x:c r="N310" s="12" t="n">
        <x:f>养成消耗调参!$I$189</x:f>
        <x:v>0</x:v>
      </x:c>
      <x:c r="O310" s="12" t="n">
        <x:f>养成消耗调参!$K$189</x:f>
        <x:v>28872</x:v>
      </x:c>
      <x:c r="P310" s="12" t="n">
        <x:f>养成消耗调参!$N$189</x:f>
        <x:v>176400</x:v>
      </x:c>
      <x:c r="Q310" s="12" t="n">
        <x:f>养成消耗调参!$P$189</x:f>
        <x:v>640</x:v>
      </x:c>
      <x:c r="R310" s="13">
        <x:f>I310/英雄升级调参!$J$107-1</x:f>
        <x:v>-0.0017465626056044625</x:v>
      </x:c>
      <x:c r="S310" s="6"/>
      <x:c r="T310" s="6"/>
      <x:c r="U310" s="6"/>
    </x:row>
    <x:row r="311" ht="21" customHeight="1">
      <x:c r="A311" s="14" t="n">
        <x:f>英雄升级调参!$B$19</x:f>
        <x:v>310001</x:v>
      </x:c>
      <x:c r="B311" s="14" t="str">
        <x:f>英雄升级调参!$C$19</x:f>
        <x:v>墨伊喵</x:v>
      </x:c>
      <x:c r="C311" s="6" t="str">
        <x:f>英雄升级调参!$D$19</x:f>
        <x:v>探险家</x:v>
      </x:c>
      <x:c r="D311" s="6" t="s">
        <x:v>22</x:v>
      </x:c>
      <x:c r="E311" s="6">
        <x:v>43</x:v>
      </x:c>
      <x:c r="F311" s="6" t="n">
        <x:f>英雄升级调参!$C$108</x:f>
        <x:v>9</x:v>
      </x:c>
      <x:c r="G311" s="12">
        <x:f t="shared" si="26"/>
        <x:v>5211</x:v>
      </x:c>
      <x:c r="H311" s="12">
        <x:f t="shared" si="27"/>
        <x:v>43010</x:v>
      </x:c>
      <x:c r="I311" s="12">
        <x:f t="shared" si="23"/>
        <x:v>224125110</x:v>
      </x:c>
      <x:c r="J311" s="12">
        <x:f>ROUND(英雄升级调参!$D$108*英雄升级调参!$J$10*英雄升级调参!$E$19,0)</x:f>
        <x:v>149</x:v>
      </x:c>
      <x:c r="K311" s="12">
        <x:f>ROUND(英雄升级调参!$D$108*英雄升级调参!$C$11*英雄升级调参!$J$10*英雄升级调参!$G$19,0)</x:f>
        <x:v>1227</x:v>
      </x:c>
      <x:c r="L311" s="12" t="n">
        <x:f>养成消耗调参!$D$190</x:f>
        <x:v>1440</x:v>
      </x:c>
      <x:c r="M311" s="12" t="n">
        <x:f>养成消耗调参!$G$190</x:f>
        <x:v>9900</x:v>
      </x:c>
      <x:c r="N311" s="12" t="n">
        <x:f>养成消耗调参!$I$190</x:f>
        <x:v>0</x:v>
      </x:c>
      <x:c r="O311" s="12" t="n">
        <x:f>养成消耗调参!$K$190</x:f>
        <x:v>30312</x:v>
      </x:c>
      <x:c r="P311" s="12" t="n">
        <x:f>养成消耗调参!$N$190</x:f>
        <x:v>186300</x:v>
      </x:c>
      <x:c r="Q311" s="12" t="n">
        <x:f>养成消耗调参!$P$190</x:f>
        <x:v>640</x:v>
      </x:c>
      <x:c r="R311" s="13">
        <x:f>I311/英雄升级调参!$J$108-1</x:f>
        <x:v>-0.0016074057196007185</x:v>
      </x:c>
      <x:c r="S311" s="6"/>
      <x:c r="T311" s="6"/>
      <x:c r="U311" s="6"/>
    </x:row>
    <x:row r="312" ht="21" customHeight="1">
      <x:c r="A312" s="14" t="n">
        <x:f>英雄升级调参!$B$19</x:f>
        <x:v>310001</x:v>
      </x:c>
      <x:c r="B312" s="14" t="str">
        <x:f>英雄升级调参!$C$19</x:f>
        <x:v>墨伊喵</x:v>
      </x:c>
      <x:c r="C312" s="6" t="str">
        <x:f>英雄升级调参!$D$19</x:f>
        <x:v>探险家</x:v>
      </x:c>
      <x:c r="D312" s="6" t="s">
        <x:v>22</x:v>
      </x:c>
      <x:c r="E312" s="6">
        <x:v>44</x:v>
      </x:c>
      <x:c r="F312" s="6" t="n">
        <x:f>英雄升级调参!$C$109</x:f>
        <x:v>9</x:v>
      </x:c>
      <x:c r="G312" s="12">
        <x:f t="shared" si="26"/>
        <x:v>5360</x:v>
      </x:c>
      <x:c r="H312" s="12">
        <x:f t="shared" si="27"/>
        <x:v>44237</x:v>
      </x:c>
      <x:c r="I312" s="12">
        <x:f t="shared" si="23"/>
        <x:v>237110320</x:v>
      </x:c>
      <x:c r="J312" s="12">
        <x:f>ROUND(英雄升级调参!$D$109*英雄升级调参!$J$10*英雄升级调参!$E$19,0)</x:f>
        <x:v>149</x:v>
      </x:c>
      <x:c r="K312" s="12">
        <x:f>ROUND(英雄升级调参!$D$109*英雄升级调参!$C$11*英雄升级调参!$J$10*英雄升级调参!$G$19,0)</x:f>
        <x:v>1227</x:v>
      </x:c>
      <x:c r="L312" s="12" t="n">
        <x:f>养成消耗调参!$D$191</x:f>
        <x:v>1512</x:v>
      </x:c>
      <x:c r="M312" s="12" t="n">
        <x:f>养成消耗调参!$G$191</x:f>
        <x:v>9900</x:v>
      </x:c>
      <x:c r="N312" s="12" t="n">
        <x:f>养成消耗调参!$I$191</x:f>
        <x:v>0</x:v>
      </x:c>
      <x:c r="O312" s="12" t="n">
        <x:f>养成消耗调参!$K$191</x:f>
        <x:v>31824</x:v>
      </x:c>
      <x:c r="P312" s="12" t="n">
        <x:f>养成消耗调参!$N$191</x:f>
        <x:v>196200</x:v>
      </x:c>
      <x:c r="Q312" s="12" t="n">
        <x:f>养成消耗调参!$P$191</x:f>
        <x:v>640</x:v>
      </x:c>
      <x:c r="R312" s="13">
        <x:f>I312/英雄升级调参!$J$109-1</x:f>
        <x:v>-0.001475948872403321</x:v>
      </x:c>
      <x:c r="S312" s="6"/>
      <x:c r="T312" s="6"/>
      <x:c r="U312" s="6"/>
    </x:row>
    <x:row r="313" ht="21" customHeight="1">
      <x:c r="A313" s="14" t="n">
        <x:f>英雄升级调参!$B$19</x:f>
        <x:v>310001</x:v>
      </x:c>
      <x:c r="B313" s="14" t="str">
        <x:f>英雄升级调参!$C$19</x:f>
        <x:v>墨伊喵</x:v>
      </x:c>
      <x:c r="C313" s="6" t="str">
        <x:f>英雄升级调参!$D$19</x:f>
        <x:v>探险家</x:v>
      </x:c>
      <x:c r="D313" s="6" t="s">
        <x:v>22</x:v>
      </x:c>
      <x:c r="E313" s="6">
        <x:v>45</x:v>
      </x:c>
      <x:c r="F313" s="6" t="n">
        <x:f>英雄升级调参!$C$110</x:f>
        <x:v>9</x:v>
      </x:c>
      <x:c r="G313" s="12">
        <x:f t="shared" si="26"/>
        <x:v>5807</x:v>
      </x:c>
      <x:c r="H313" s="12">
        <x:f t="shared" si="27"/>
        <x:v>47918</x:v>
      </x:c>
      <x:c r="I313" s="12">
        <x:f t="shared" si="23"/>
        <x:v>278259826</x:v>
      </x:c>
      <x:c r="J313" s="12">
        <x:f>ROUND(英雄升级调参!$D$110*英雄升级调参!$J$10*英雄升级调参!$E$19,0)*3</x:f>
        <x:v>447</x:v>
      </x:c>
      <x:c r="K313" s="12">
        <x:f>ROUND(英雄升级调参!$D$110*英雄升级调参!$C$11*英雄升级调参!$J$10*英雄升级调参!$G$19,0)*3</x:f>
        <x:v>3681</x:v>
      </x:c>
      <x:c r="L313" s="12" t="n">
        <x:f>养成消耗调参!$D$192</x:f>
        <x:v>1512</x:v>
      </x:c>
      <x:c r="M313" s="12" t="n">
        <x:f>养成消耗调参!$G$192</x:f>
        <x:v>9900</x:v>
      </x:c>
      <x:c r="N313" s="12" t="n">
        <x:f>养成消耗调参!$I$192</x:f>
        <x:v>170</x:v>
      </x:c>
      <x:c r="O313" s="12" t="n">
        <x:f>养成消耗调参!$K$192</x:f>
        <x:v>33336</x:v>
      </x:c>
      <x:c r="P313" s="12" t="n">
        <x:f>养成消耗调参!$N$192</x:f>
        <x:v>206100</x:v>
      </x:c>
      <x:c r="Q313" s="12" t="n">
        <x:f>养成消耗调参!$P$192</x:f>
        <x:v>810</x:v>
      </x:c>
      <x:c r="R313" s="13">
        <x:f>I313/英雄升级调参!$J$110-1</x:f>
        <x:v>-0.0011218773148160555</x:v>
      </x:c>
      <x:c r="S313" s="6"/>
      <x:c r="T313" s="6"/>
      <x:c r="U313" s="6"/>
    </x:row>
    <x:row r="314" ht="21" customHeight="1">
      <x:c r="A314" s="14" t="n">
        <x:f>英雄升级调参!$B$19</x:f>
        <x:v>310001</x:v>
      </x:c>
      <x:c r="B314" s="14" t="str">
        <x:f>英雄升级调参!$C$19</x:f>
        <x:v>墨伊喵</x:v>
      </x:c>
      <x:c r="C314" s="6" t="str">
        <x:f>英雄升级调参!$D$19</x:f>
        <x:v>探险家</x:v>
      </x:c>
      <x:c r="D314" s="6" t="s">
        <x:v>22</x:v>
      </x:c>
      <x:c r="E314" s="6">
        <x:v>46</x:v>
      </x:c>
      <x:c r="F314" s="6" t="n">
        <x:f>英雄升级调参!$C$111</x:f>
        <x:v>10</x:v>
      </x:c>
      <x:c r="G314" s="12">
        <x:f t="shared" si="26"/>
        <x:v>5970</x:v>
      </x:c>
      <x:c r="H314" s="12">
        <x:f t="shared" si="27"/>
        <x:v>49268</x:v>
      </x:c>
      <x:c r="I314" s="12">
        <x:f t="shared" si="23"/>
        <x:v>294129960</x:v>
      </x:c>
      <x:c r="J314" s="12">
        <x:f>ROUND(英雄升级调参!$D$111*英雄升级调参!$J$10*英雄升级调参!$E$19,0)</x:f>
        <x:v>163</x:v>
      </x:c>
      <x:c r="K314" s="12">
        <x:f>ROUND(英雄升级调参!$D$111*英雄升级调参!$C$11*英雄升级调参!$J$10*英雄升级调参!$G$19,0)</x:f>
        <x:v>1350</x:v>
      </x:c>
      <x:c r="L314" s="12" t="n">
        <x:f>养成消耗调参!$D$193</x:f>
        <x:v>1584</x:v>
      </x:c>
      <x:c r="M314" s="12" t="n">
        <x:f>养成消耗调参!$G$193</x:f>
        <x:v>9900</x:v>
      </x:c>
      <x:c r="N314" s="12" t="n">
        <x:f>养成消耗调参!$I$193</x:f>
        <x:v>0</x:v>
      </x:c>
      <x:c r="O314" s="12" t="n">
        <x:f>养成消耗调参!$K$193</x:f>
        <x:v>34920</x:v>
      </x:c>
      <x:c r="P314" s="12" t="n">
        <x:f>养成消耗调参!$N$193</x:f>
        <x:v>216000</x:v>
      </x:c>
      <x:c r="Q314" s="12" t="n">
        <x:f>养成消耗调参!$P$193</x:f>
        <x:v>810</x:v>
      </x:c>
      <x:c r="R314" s="13">
        <x:f>I314/英雄升级调参!$J$111-1</x:f>
        <x:v>-0.0012416822619745194</x:v>
      </x:c>
      <x:c r="S314" s="6"/>
      <x:c r="T314" s="6"/>
      <x:c r="U314" s="6"/>
    </x:row>
    <x:row r="315" ht="21" customHeight="1">
      <x:c r="A315" s="14" t="n">
        <x:f>英雄升级调参!$B$19</x:f>
        <x:v>310001</x:v>
      </x:c>
      <x:c r="B315" s="14" t="str">
        <x:f>英雄升级调参!$C$19</x:f>
        <x:v>墨伊喵</x:v>
      </x:c>
      <x:c r="C315" s="6" t="str">
        <x:f>英雄升级调参!$D$19</x:f>
        <x:v>探险家</x:v>
      </x:c>
      <x:c r="D315" s="6" t="s">
        <x:v>22</x:v>
      </x:c>
      <x:c r="E315" s="6">
        <x:v>47</x:v>
      </x:c>
      <x:c r="F315" s="6" t="n">
        <x:f>英雄升级调参!$C$112</x:f>
        <x:v>10</x:v>
      </x:c>
      <x:c r="G315" s="12">
        <x:f t="shared" si="26"/>
        <x:v>6133</x:v>
      </x:c>
      <x:c r="H315" s="12">
        <x:f t="shared" si="27"/>
        <x:v>50618</x:v>
      </x:c>
      <x:c r="I315" s="12">
        <x:f t="shared" si="23"/>
        <x:v>310440194</x:v>
      </x:c>
      <x:c r="J315" s="12">
        <x:f>ROUND(英雄升级调参!$D$112*英雄升级调参!$J$10*英雄升级调参!$E$19,0)</x:f>
        <x:v>163</x:v>
      </x:c>
      <x:c r="K315" s="12">
        <x:f>ROUND(英雄升级调参!$D$112*英雄升级调参!$C$11*英雄升级调参!$J$10*英雄升级调参!$G$19,0)</x:f>
        <x:v>1350</x:v>
      </x:c>
      <x:c r="L315" s="12" t="n">
        <x:f>养成消耗调参!$D$194</x:f>
        <x:v>1584</x:v>
      </x:c>
      <x:c r="M315" s="12" t="n">
        <x:f>养成消耗调参!$G$194</x:f>
        <x:v>11250</x:v>
      </x:c>
      <x:c r="N315" s="12" t="n">
        <x:f>养成消耗调参!$I$194</x:f>
        <x:v>0</x:v>
      </x:c>
      <x:c r="O315" s="12" t="n">
        <x:f>养成消耗调参!$K$194</x:f>
        <x:v>36504</x:v>
      </x:c>
      <x:c r="P315" s="12" t="n">
        <x:f>养成消耗调参!$N$194</x:f>
        <x:v>227250</x:v>
      </x:c>
      <x:c r="Q315" s="12" t="n">
        <x:f>养成消耗调参!$P$194</x:f>
        <x:v>810</x:v>
      </x:c>
      <x:c r="R315" s="13">
        <x:f>I315/英雄升级调参!$J$112-1</x:f>
        <x:v>-0.0013550924810745713</x:v>
      </x:c>
      <x:c r="S315" s="6"/>
      <x:c r="T315" s="6"/>
      <x:c r="U315" s="6"/>
    </x:row>
    <x:row r="316" ht="21" customHeight="1">
      <x:c r="A316" s="14" t="n">
        <x:f>英雄升级调参!$B$19</x:f>
        <x:v>310001</x:v>
      </x:c>
      <x:c r="B316" s="14" t="str">
        <x:f>英雄升级调参!$C$19</x:f>
        <x:v>墨伊喵</x:v>
      </x:c>
      <x:c r="C316" s="6" t="str">
        <x:f>英雄升级调参!$D$19</x:f>
        <x:v>探险家</x:v>
      </x:c>
      <x:c r="D316" s="6" t="s">
        <x:v>22</x:v>
      </x:c>
      <x:c r="E316" s="6">
        <x:v>48</x:v>
      </x:c>
      <x:c r="F316" s="6" t="n">
        <x:f>英雄升级调参!$C$113</x:f>
        <x:v>10</x:v>
      </x:c>
      <x:c r="G316" s="12">
        <x:f t="shared" si="26"/>
        <x:v>6296</x:v>
      </x:c>
      <x:c r="H316" s="12">
        <x:f t="shared" si="27"/>
        <x:v>51968</x:v>
      </x:c>
      <x:c r="I316" s="12">
        <x:f t="shared" si="23"/>
        <x:v>327190528</x:v>
      </x:c>
      <x:c r="J316" s="12">
        <x:f>ROUND(英雄升级调参!$D$113*英雄升级调参!$J$10*英雄升级调参!$E$19,0)</x:f>
        <x:v>163</x:v>
      </x:c>
      <x:c r="K316" s="12">
        <x:f>ROUND(英雄升级调参!$D$113*英雄升级调参!$C$11*英雄升级调参!$J$10*英雄升级调参!$G$19,0)</x:f>
        <x:v>1350</x:v>
      </x:c>
      <x:c r="L316" s="12" t="n">
        <x:f>养成消耗调参!$D$195</x:f>
        <x:v>1656</x:v>
      </x:c>
      <x:c r="M316" s="12" t="n">
        <x:f>养成消耗调参!$G$195</x:f>
        <x:v>11250</x:v>
      </x:c>
      <x:c r="N316" s="12" t="n">
        <x:f>养成消耗调参!$I$195</x:f>
        <x:v>0</x:v>
      </x:c>
      <x:c r="O316" s="12" t="n">
        <x:f>养成消耗调参!$K$195</x:f>
        <x:v>38160</x:v>
      </x:c>
      <x:c r="P316" s="12" t="n">
        <x:f>养成消耗调参!$N$195</x:f>
        <x:v>238500</x:v>
      </x:c>
      <x:c r="Q316" s="12" t="n">
        <x:f>养成消耗调参!$P$195</x:f>
        <x:v>810</x:v>
      </x:c>
      <x:c r="R316" s="13">
        <x:f>I316/英雄升级调参!$J$113-1</x:f>
        <x:v>-0.0014626066523436565</x:v>
      </x:c>
      <x:c r="S316" s="6"/>
      <x:c r="T316" s="6"/>
      <x:c r="U316" s="6"/>
    </x:row>
    <x:row r="317" ht="21" customHeight="1">
      <x:c r="A317" s="14" t="n">
        <x:f>英雄升级调参!$B$19</x:f>
        <x:v>310001</x:v>
      </x:c>
      <x:c r="B317" s="14" t="str">
        <x:f>英雄升级调参!$C$19</x:f>
        <x:v>墨伊喵</x:v>
      </x:c>
      <x:c r="C317" s="6" t="str">
        <x:f>英雄升级调参!$D$19</x:f>
        <x:v>探险家</x:v>
      </x:c>
      <x:c r="D317" s="6" t="s">
        <x:v>22</x:v>
      </x:c>
      <x:c r="E317" s="6">
        <x:v>49</x:v>
      </x:c>
      <x:c r="F317" s="6" t="n">
        <x:f>英雄升级调参!$C$114</x:f>
        <x:v>10</x:v>
      </x:c>
      <x:c r="G317" s="12">
        <x:f t="shared" si="26"/>
        <x:v>6459</x:v>
      </x:c>
      <x:c r="H317" s="12">
        <x:f t="shared" si="27"/>
        <x:v>53318</x:v>
      </x:c>
      <x:c r="I317" s="12">
        <x:f t="shared" si="23"/>
        <x:v>344380962</x:v>
      </x:c>
      <x:c r="J317" s="12">
        <x:f>ROUND(英雄升级调参!$D$114*英雄升级调参!$J$10*英雄升级调参!$E$19,0)</x:f>
        <x:v>163</x:v>
      </x:c>
      <x:c r="K317" s="12">
        <x:f>ROUND(英雄升级调参!$D$114*英雄升级调参!$C$11*英雄升级调参!$J$10*英雄升级调参!$G$19,0)</x:f>
        <x:v>1350</x:v>
      </x:c>
      <x:c r="L317" s="12" t="n">
        <x:f>养成消耗调参!$D$196</x:f>
        <x:v>1656</x:v>
      </x:c>
      <x:c r="M317" s="12" t="n">
        <x:f>养成消耗调参!$G$196</x:f>
        <x:v>11250</x:v>
      </x:c>
      <x:c r="N317" s="12" t="n">
        <x:f>养成消耗调参!$I$196</x:f>
        <x:v>0</x:v>
      </x:c>
      <x:c r="O317" s="12" t="n">
        <x:f>养成消耗调参!$K$196</x:f>
        <x:v>39816</x:v>
      </x:c>
      <x:c r="P317" s="12" t="n">
        <x:f>养成消耗调参!$N$196</x:f>
        <x:v>249750</x:v>
      </x:c>
      <x:c r="Q317" s="12" t="n">
        <x:f>养成消耗调参!$P$196</x:f>
        <x:v>810</x:v>
      </x:c>
      <x:c r="R317" s="13">
        <x:f>I317/英雄升级调参!$J$114-1</x:f>
        <x:v>-0.0015646729182494656</x:v>
      </x:c>
      <x:c r="S317" s="6"/>
      <x:c r="T317" s="6"/>
      <x:c r="U317" s="6"/>
    </x:row>
    <x:row r="318" ht="21" customHeight="1">
      <x:c r="A318" s="14" t="n">
        <x:f>英雄升级调参!$B$19</x:f>
        <x:v>310001</x:v>
      </x:c>
      <x:c r="B318" s="14" t="str">
        <x:f>英雄升级调参!$C$19</x:f>
        <x:v>墨伊喵</x:v>
      </x:c>
      <x:c r="C318" s="6" t="str">
        <x:f>英雄升级调参!$D$19</x:f>
        <x:v>探险家</x:v>
      </x:c>
      <x:c r="D318" s="6" t="s">
        <x:v>22</x:v>
      </x:c>
      <x:c r="E318" s="6">
        <x:v>50</x:v>
      </x:c>
      <x:c r="F318" s="6" t="n">
        <x:f>英雄升级调参!$C$115</x:f>
        <x:v>10</x:v>
      </x:c>
      <x:c r="G318" s="12">
        <x:f t="shared" si="26"/>
        <x:v>6948</x:v>
      </x:c>
      <x:c r="H318" s="12">
        <x:f t="shared" si="27"/>
        <x:v>57368</x:v>
      </x:c>
      <x:c r="I318" s="12">
        <x:f t="shared" si="23"/>
        <x:v>398592864</x:v>
      </x:c>
      <x:c r="J318" s="12">
        <x:f>ROUND(英雄升级调参!$D$115*英雄升级调参!$J$10*英雄升级调参!$E$19,0)*3</x:f>
        <x:v>489</x:v>
      </x:c>
      <x:c r="K318" s="12">
        <x:f>ROUND(英雄升级调参!$D$115*英雄升级调参!$C$11*英雄升级调参!$J$10*英雄升级调参!$G$19,0)*3</x:f>
        <x:v>4050</x:v>
      </x:c>
      <x:c r="L318" s="12" t="n">
        <x:f>养成消耗调参!$D$197</x:f>
        <x:v>1728</x:v>
      </x:c>
      <x:c r="M318" s="12" t="n">
        <x:f>养成消耗调参!$G$197</x:f>
        <x:v>11250</x:v>
      </x:c>
      <x:c r="N318" s="12" t="n">
        <x:f>养成消耗调参!$I$197</x:f>
        <x:v>190</x:v>
      </x:c>
      <x:c r="O318" s="12" t="n">
        <x:f>养成消耗调参!$K$197</x:f>
        <x:v>41544</x:v>
      </x:c>
      <x:c r="P318" s="12" t="n">
        <x:f>养成消耗调参!$N$197</x:f>
        <x:v>261000</x:v>
      </x:c>
      <x:c r="Q318" s="12" t="n">
        <x:f>养成消耗调参!$P$197</x:f>
        <x:v>1000</x:v>
      </x:c>
      <x:c r="R318" s="13">
        <x:f>I318/英雄升级调参!$J$115-1</x:f>
        <x:v>-0.0018420325885128985</x:v>
      </x:c>
      <x:c r="S318" s="6"/>
      <x:c r="T318" s="6"/>
      <x:c r="U318" s="6"/>
    </x:row>
    <x:row r="319" ht="21" customHeight="1">
      <x:c r="A319" s="14" t="n">
        <x:f>英雄升级调参!$B$19</x:f>
        <x:v>310001</x:v>
      </x:c>
      <x:c r="B319" s="14" t="str">
        <x:f>英雄升级调参!$C$19</x:f>
        <x:v>墨伊喵</x:v>
      </x:c>
      <x:c r="C319" s="6" t="str">
        <x:f>英雄升级调参!$D$19</x:f>
        <x:v>探险家</x:v>
      </x:c>
      <x:c r="D319" s="6" t="s">
        <x:v>25</x:v>
      </x:c>
      <x:c r="E319" s="6">
        <x:v>1</x:v>
      </x:c>
      <x:c r="F319" s="6" t="n">
        <x:f>英雄升级调参!$C$66</x:f>
        <x:v>1</x:v>
      </x:c>
      <x:c r="G319" s="12">
        <x:f>G228</x:f>
        <x:v>396</x:v>
      </x:c>
      <x:c r="H319" s="12">
        <x:f>H228</x:f>
        <x:v>3244</x:v>
      </x:c>
      <x:c r="I319" s="12">
        <x:f t="shared" si="23"/>
        <x:v>1284624</x:v>
      </x:c>
      <x:c r="J319" s="12" t="n">
        <x:f>0</x:f>
        <x:v>0</x:v>
      </x:c>
      <x:c r="K319" s="12" t="n">
        <x:f>0</x:f>
        <x:v>0</x:v>
      </x:c>
      <x:c r="L319" s="12" t="n">
        <x:f>养成消耗调参!$E$148</x:f>
        <x:v>0</x:v>
      </x:c>
      <x:c r="M319" s="12" t="n">
        <x:f>养成消耗调参!$H$148</x:f>
        <x:v>0</x:v>
      </x:c>
      <x:c r="N319" s="12" t="n">
        <x:f>养成消耗调参!$I$148</x:f>
        <x:v>0</x:v>
      </x:c>
      <x:c r="O319" s="12" t="n">
        <x:f>养成消耗调参!$L$148</x:f>
        <x:v>0</x:v>
      </x:c>
      <x:c r="P319" s="12" t="n">
        <x:f>养成消耗调参!$O$148</x:f>
        <x:v>0</x:v>
      </x:c>
      <x:c r="Q319" s="12" t="n">
        <x:f>养成消耗调参!$P$148</x:f>
        <x:v>0</x:v>
      </x:c>
      <x:c r="R319" s="13">
        <x:f>I319/英雄升级调参!$M$66-1</x:f>
        <x:v>0.007951415860461886</x:v>
      </x:c>
      <x:c r="S319" s="6"/>
      <x:c r="T319" s="6"/>
      <x:c r="U319" s="6"/>
    </x:row>
    <x:row r="320" ht="21" customHeight="1">
      <x:c r="A320" s="14" t="n">
        <x:f>英雄升级调参!$B$19</x:f>
        <x:v>310001</x:v>
      </x:c>
      <x:c r="B320" s="14" t="str">
        <x:f>英雄升级调参!$C$19</x:f>
        <x:v>墨伊喵</x:v>
      </x:c>
      <x:c r="C320" s="6" t="str">
        <x:f>英雄升级调参!$D$19</x:f>
        <x:v>探险家</x:v>
      </x:c>
      <x:c r="D320" s="6" t="s">
        <x:v>25</x:v>
      </x:c>
      <x:c r="E320" s="6">
        <x:v>2</x:v>
      </x:c>
      <x:c r="F320" s="6" t="n">
        <x:f>英雄升级调参!$C$67</x:f>
        <x:v>1</x:v>
      </x:c>
      <x:c r="G320" s="12">
        <x:f t="shared" ref="G320:G351" si="28">G319+J320</x:f>
        <x:v>446</x:v>
      </x:c>
      <x:c r="H320" s="12">
        <x:f t="shared" ref="H320:H351" si="29">H319+K320</x:f>
        <x:v>3653</x:v>
      </x:c>
      <x:c r="I320" s="12">
        <x:f t="shared" si="23"/>
        <x:v>1629238</x:v>
      </x:c>
      <x:c r="J320" s="12">
        <x:f>ROUND(英雄升级调参!$D$67*英雄升级调参!$J$11*英雄升级调参!$E$19,0)</x:f>
        <x:v>50</x:v>
      </x:c>
      <x:c r="K320" s="12">
        <x:f>ROUND(英雄升级调参!$D$67*英雄升级调参!$C$11*英雄升级调参!$J$11*英雄升级调参!$G$19,0)</x:f>
        <x:v>409</x:v>
      </x:c>
      <x:c r="L320" s="12" t="n">
        <x:f>养成消耗调参!$E$149</x:f>
        <x:v>48</x:v>
      </x:c>
      <x:c r="M320" s="12" t="n">
        <x:f>养成消耗调参!$H$149</x:f>
        <x:v>600</x:v>
      </x:c>
      <x:c r="N320" s="12" t="n">
        <x:f>养成消耗调参!$I$149</x:f>
        <x:v>0</x:v>
      </x:c>
      <x:c r="O320" s="12" t="n">
        <x:f>养成消耗调参!$L$149</x:f>
        <x:v>48</x:v>
      </x:c>
      <x:c r="P320" s="12" t="n">
        <x:f>养成消耗调参!$O$149</x:f>
        <x:v>600</x:v>
      </x:c>
      <x:c r="Q320" s="12" t="n">
        <x:f>养成消耗调参!$P$149</x:f>
        <x:v>0</x:v>
      </x:c>
      <x:c r="R320" s="13">
        <x:f>I320/英雄升级调参!$M$67-1</x:f>
        <x:v>0.008166877057498523</x:v>
      </x:c>
      <x:c r="S320" s="6"/>
      <x:c r="T320" s="6"/>
      <x:c r="U320" s="6"/>
    </x:row>
    <x:row r="321" ht="21" customHeight="1">
      <x:c r="A321" s="14" t="n">
        <x:f>英雄升级调参!$B$19</x:f>
        <x:v>310001</x:v>
      </x:c>
      <x:c r="B321" s="14" t="str">
        <x:f>英雄升级调参!$C$19</x:f>
        <x:v>墨伊喵</x:v>
      </x:c>
      <x:c r="C321" s="6" t="str">
        <x:f>英雄升级调参!$D$19</x:f>
        <x:v>探险家</x:v>
      </x:c>
      <x:c r="D321" s="6" t="s">
        <x:v>25</x:v>
      </x:c>
      <x:c r="E321" s="6">
        <x:v>3</x:v>
      </x:c>
      <x:c r="F321" s="6" t="n">
        <x:f>英雄升级调参!$C$68</x:f>
        <x:v>1</x:v>
      </x:c>
      <x:c r="G321" s="12">
        <x:f t="shared" si="28"/>
        <x:v>496</x:v>
      </x:c>
      <x:c r="H321" s="12">
        <x:f t="shared" si="29"/>
        <x:v>4062</x:v>
      </x:c>
      <x:c r="I321" s="12">
        <x:f t="shared" si="23"/>
        <x:v>2014752</x:v>
      </x:c>
      <x:c r="J321" s="12">
        <x:f>ROUND(英雄升级调参!$D$68*英雄升级调参!$J$11*英雄升级调参!$E$19,0)</x:f>
        <x:v>50</x:v>
      </x:c>
      <x:c r="K321" s="12">
        <x:f>ROUND(英雄升级调参!$D$68*英雄升级调参!$C$11*英雄升级调参!$J$11*英雄升级调参!$G$19,0)</x:f>
        <x:v>409</x:v>
      </x:c>
      <x:c r="L321" s="12" t="n">
        <x:f>养成消耗调参!$E$150</x:f>
        <x:v>48</x:v>
      </x:c>
      <x:c r="M321" s="12" t="n">
        <x:f>养成消耗调参!$H$150</x:f>
        <x:v>600</x:v>
      </x:c>
      <x:c r="N321" s="12" t="n">
        <x:f>养成消耗调参!$I$150</x:f>
        <x:v>0</x:v>
      </x:c>
      <x:c r="O321" s="12" t="n">
        <x:f>养成消耗调参!$L$150</x:f>
        <x:v>96</x:v>
      </x:c>
      <x:c r="P321" s="12" t="n">
        <x:f>养成消耗调参!$O$150</x:f>
        <x:v>1200</x:v>
      </x:c>
      <x:c r="Q321" s="12" t="n">
        <x:f>养成消耗调参!$P$150</x:f>
        <x:v>0</x:v>
      </x:c>
      <x:c r="R321" s="13">
        <x:f>I321/英雄升级调参!$M$68-1</x:f>
        <x:v>0.008338963710343483</x:v>
      </x:c>
      <x:c r="S321" s="6"/>
      <x:c r="T321" s="6"/>
      <x:c r="U321" s="6"/>
    </x:row>
    <x:row r="322" ht="21" customHeight="1">
      <x:c r="A322" s="14" t="n">
        <x:f>英雄升级调参!$B$19</x:f>
        <x:v>310001</x:v>
      </x:c>
      <x:c r="B322" s="14" t="str">
        <x:f>英雄升级调参!$C$19</x:f>
        <x:v>墨伊喵</x:v>
      </x:c>
      <x:c r="C322" s="6" t="str">
        <x:f>英雄升级调参!$D$19</x:f>
        <x:v>探险家</x:v>
      </x:c>
      <x:c r="D322" s="6" t="s">
        <x:v>25</x:v>
      </x:c>
      <x:c r="E322" s="6">
        <x:v>4</x:v>
      </x:c>
      <x:c r="F322" s="6" t="n">
        <x:f>英雄升级调参!$C$69</x:f>
        <x:v>1</x:v>
      </x:c>
      <x:c r="G322" s="12">
        <x:f t="shared" si="28"/>
        <x:v>546</x:v>
      </x:c>
      <x:c r="H322" s="12">
        <x:f t="shared" si="29"/>
        <x:v>4471</x:v>
      </x:c>
      <x:c r="I322" s="12">
        <x:f t="shared" si="23"/>
        <x:v>2441166</x:v>
      </x:c>
      <x:c r="J322" s="12">
        <x:f>ROUND(英雄升级调参!$D$69*英雄升级调参!$J$11*英雄升级调参!$E$19,0)</x:f>
        <x:v>50</x:v>
      </x:c>
      <x:c r="K322" s="12">
        <x:f>ROUND(英雄升级调参!$D$69*英雄升级调参!$C$11*英雄升级调参!$J$11*英雄升级调参!$G$19,0)</x:f>
        <x:v>409</x:v>
      </x:c>
      <x:c r="L322" s="12" t="n">
        <x:f>养成消耗调参!$E$151</x:f>
        <x:v>96</x:v>
      </x:c>
      <x:c r="M322" s="12" t="n">
        <x:f>养成消耗调参!$H$151</x:f>
        <x:v>600</x:v>
      </x:c>
      <x:c r="N322" s="12" t="n">
        <x:f>养成消耗调参!$I$151</x:f>
        <x:v>0</x:v>
      </x:c>
      <x:c r="O322" s="12" t="n">
        <x:f>养成消耗调参!$L$151</x:f>
        <x:v>192</x:v>
      </x:c>
      <x:c r="P322" s="12" t="n">
        <x:f>养成消耗调参!$O$151</x:f>
        <x:v>1800</x:v>
      </x:c>
      <x:c r="Q322" s="12" t="n">
        <x:f>养成消耗调参!$P$151</x:f>
        <x:v>0</x:v>
      </x:c>
      <x:c r="R322" s="13">
        <x:f>I322/英雄升级调参!$M$69-1</x:f>
        <x:v>0.008479575649414928</x:v>
      </x:c>
      <x:c r="S322" s="6"/>
      <x:c r="T322" s="6"/>
      <x:c r="U322" s="6"/>
    </x:row>
    <x:row r="323" ht="21" customHeight="1">
      <x:c r="A323" s="14" t="n">
        <x:f>英雄升级调参!$B$19</x:f>
        <x:v>310001</x:v>
      </x:c>
      <x:c r="B323" s="14" t="str">
        <x:f>英雄升级调参!$C$19</x:f>
        <x:v>墨伊喵</x:v>
      </x:c>
      <x:c r="C323" s="6" t="str">
        <x:f>英雄升级调参!$D$19</x:f>
        <x:v>探险家</x:v>
      </x:c>
      <x:c r="D323" s="6" t="s">
        <x:v>25</x:v>
      </x:c>
      <x:c r="E323" s="6">
        <x:v>5</x:v>
      </x:c>
      <x:c r="F323" s="6" t="n">
        <x:f>英雄升级调参!$C$70</x:f>
        <x:v>1</x:v>
      </x:c>
      <x:c r="G323" s="12">
        <x:f t="shared" si="28"/>
        <x:v>696</x:v>
      </x:c>
      <x:c r="H323" s="12">
        <x:f t="shared" si="29"/>
        <x:v>5698</x:v>
      </x:c>
      <x:c r="I323" s="12">
        <x:f t="shared" si="23"/>
        <x:v>3965808</x:v>
      </x:c>
      <x:c r="J323" s="12">
        <x:f>ROUND(英雄升级调参!$D$70*英雄升级调参!$J$11*英雄升级调参!$E$19,0)*3</x:f>
        <x:v>150</x:v>
      </x:c>
      <x:c r="K323" s="12">
        <x:f>ROUND(英雄升级调参!$D$70*英雄升级调参!$C$11*英雄升级调参!$J$11*英雄升级调参!$G$19,0)*3</x:f>
        <x:v>1227</x:v>
      </x:c>
      <x:c r="L323" s="12" t="n">
        <x:f>养成消耗调参!$E$152</x:f>
        <x:v>96</x:v>
      </x:c>
      <x:c r="M323" s="12" t="n">
        <x:f>养成消耗调参!$H$152</x:f>
        <x:v>600</x:v>
      </x:c>
      <x:c r="N323" s="12" t="n">
        <x:f>养成消耗调参!$I$152</x:f>
        <x:v>10</x:v>
      </x:c>
      <x:c r="O323" s="12" t="n">
        <x:f>养成消耗调参!$L$152</x:f>
        <x:v>288</x:v>
      </x:c>
      <x:c r="P323" s="12" t="n">
        <x:f>养成消耗调参!$O$152</x:f>
        <x:v>2400</x:v>
      </x:c>
      <x:c r="Q323" s="12" t="n">
        <x:f>养成消耗调参!$P$152</x:f>
        <x:v>10</x:v>
      </x:c>
      <x:c r="R323" s="13">
        <x:f>I323/英雄升级调参!$M$70-1</x:f>
        <x:v>0.008780324015781105</x:v>
      </x:c>
      <x:c r="S323" s="6"/>
      <x:c r="T323" s="6"/>
      <x:c r="U323" s="6"/>
    </x:row>
    <x:row r="324" ht="21" customHeight="1">
      <x:c r="A324" s="14" t="n">
        <x:f>英雄升级调参!$B$19</x:f>
        <x:v>310001</x:v>
      </x:c>
      <x:c r="B324" s="14" t="str">
        <x:f>英雄升级调参!$C$19</x:f>
        <x:v>墨伊喵</x:v>
      </x:c>
      <x:c r="C324" s="6" t="str">
        <x:f>英雄升级调参!$D$19</x:f>
        <x:v>探险家</x:v>
      </x:c>
      <x:c r="D324" s="6" t="s">
        <x:v>25</x:v>
      </x:c>
      <x:c r="E324" s="6">
        <x:v>6</x:v>
      </x:c>
      <x:c r="F324" s="6" t="n">
        <x:f>英雄升级调参!$C$71</x:f>
        <x:v>2</x:v>
      </x:c>
      <x:c r="G324" s="12">
        <x:f t="shared" si="28"/>
        <x:v>770</x:v>
      </x:c>
      <x:c r="H324" s="12">
        <x:f t="shared" si="29"/>
        <x:v>6312</x:v>
      </x:c>
      <x:c r="I324" s="12">
        <x:f t="shared" si="23"/>
        <x:v>4860240</x:v>
      </x:c>
      <x:c r="J324" s="12">
        <x:f>ROUND(英雄升级调参!$D$71*英雄升级调参!$J$11*英雄升级调参!$E$19,0)</x:f>
        <x:v>74</x:v>
      </x:c>
      <x:c r="K324" s="12">
        <x:f>ROUND(英雄升级调参!$D$71*英雄升级调参!$C$11*英雄升级调参!$J$11*英雄升级调参!$G$19,0)</x:f>
        <x:v>614</x:v>
      </x:c>
      <x:c r="L324" s="12" t="n">
        <x:f>养成消耗调参!$E$153</x:f>
        <x:v>192</x:v>
      </x:c>
      <x:c r="M324" s="12" t="n">
        <x:f>养成消耗调参!$H$153</x:f>
        <x:v>600</x:v>
      </x:c>
      <x:c r="N324" s="12" t="n">
        <x:f>养成消耗调参!$I$153</x:f>
        <x:v>0</x:v>
      </x:c>
      <x:c r="O324" s="12" t="n">
        <x:f>养成消耗调参!$L$153</x:f>
        <x:v>480</x:v>
      </x:c>
      <x:c r="P324" s="12" t="n">
        <x:f>养成消耗调参!$O$153</x:f>
        <x:v>3000</x:v>
      </x:c>
      <x:c r="Q324" s="12" t="n">
        <x:f>养成消耗调参!$P$153</x:f>
        <x:v>10</x:v>
      </x:c>
      <x:c r="R324" s="13">
        <x:f>I324/英雄升级调参!$M$71-1</x:f>
        <x:v>0.0069332007396243345</x:v>
      </x:c>
      <x:c r="S324" s="6"/>
      <x:c r="T324" s="6"/>
      <x:c r="U324" s="6"/>
    </x:row>
    <x:row r="325" ht="21" customHeight="1">
      <x:c r="A325" s="14" t="n">
        <x:f>英雄升级调参!$B$19</x:f>
        <x:v>310001</x:v>
      </x:c>
      <x:c r="B325" s="14" t="str">
        <x:f>英雄升级调参!$C$19</x:f>
        <x:v>墨伊喵</x:v>
      </x:c>
      <x:c r="C325" s="6" t="str">
        <x:f>英雄升级调参!$D$19</x:f>
        <x:v>探险家</x:v>
      </x:c>
      <x:c r="D325" s="6" t="s">
        <x:v>25</x:v>
      </x:c>
      <x:c r="E325" s="6">
        <x:v>7</x:v>
      </x:c>
      <x:c r="F325" s="6" t="n">
        <x:f>英雄升级调参!$C$72</x:f>
        <x:v>2</x:v>
      </x:c>
      <x:c r="G325" s="12">
        <x:f t="shared" si="28"/>
        <x:v>844</x:v>
      </x:c>
      <x:c r="H325" s="12">
        <x:f t="shared" si="29"/>
        <x:v>6926</x:v>
      </x:c>
      <x:c r="I325" s="12">
        <x:f t="shared" ref="I325:I388" si="30">G325*H325</x:f>
        <x:v>5845544</x:v>
      </x:c>
      <x:c r="J325" s="12">
        <x:f>ROUND(英雄升级调参!$D$72*英雄升级调参!$J$11*英雄升级调参!$E$19,0)</x:f>
        <x:v>74</x:v>
      </x:c>
      <x:c r="K325" s="12">
        <x:f>ROUND(英雄升级调参!$D$72*英雄升级调参!$C$11*英雄升级调参!$J$11*英雄升级调参!$G$19,0)</x:f>
        <x:v>614</x:v>
      </x:c>
      <x:c r="L325" s="12" t="n">
        <x:f>养成消耗调参!$E$154</x:f>
        <x:v>192</x:v>
      </x:c>
      <x:c r="M325" s="12" t="n">
        <x:f>养成消耗调参!$H$154</x:f>
        <x:v>1800</x:v>
      </x:c>
      <x:c r="N325" s="12" t="n">
        <x:f>养成消耗调参!$I$154</x:f>
        <x:v>0</x:v>
      </x:c>
      <x:c r="O325" s="12" t="n">
        <x:f>养成消耗调参!$L$154</x:f>
        <x:v>672</x:v>
      </x:c>
      <x:c r="P325" s="12" t="n">
        <x:f>养成消耗调参!$O$154</x:f>
        <x:v>4800</x:v>
      </x:c>
      <x:c r="Q325" s="12" t="n">
        <x:f>养成消耗调参!$P$154</x:f>
        <x:v>10</x:v>
      </x:c>
      <x:c r="R325" s="13">
        <x:f>I325/英雄升级调参!$M$72-1</x:f>
        <x:v>0.005415148794474023</x:v>
      </x:c>
      <x:c r="S325" s="6"/>
      <x:c r="T325" s="6"/>
      <x:c r="U325" s="6"/>
    </x:row>
    <x:row r="326" ht="21" customHeight="1">
      <x:c r="A326" s="14" t="n">
        <x:f>英雄升级调参!$B$19</x:f>
        <x:v>310001</x:v>
      </x:c>
      <x:c r="B326" s="14" t="str">
        <x:f>英雄升级调参!$C$19</x:f>
        <x:v>墨伊喵</x:v>
      </x:c>
      <x:c r="C326" s="6" t="str">
        <x:f>英雄升级调参!$D$19</x:f>
        <x:v>探险家</x:v>
      </x:c>
      <x:c r="D326" s="6" t="s">
        <x:v>25</x:v>
      </x:c>
      <x:c r="E326" s="6">
        <x:v>8</x:v>
      </x:c>
      <x:c r="F326" s="6" t="n">
        <x:f>英雄升级调参!$C$73</x:f>
        <x:v>2</x:v>
      </x:c>
      <x:c r="G326" s="12">
        <x:f t="shared" si="28"/>
        <x:v>918</x:v>
      </x:c>
      <x:c r="H326" s="12">
        <x:f t="shared" si="29"/>
        <x:v>7540</x:v>
      </x:c>
      <x:c r="I326" s="12">
        <x:f t="shared" si="30"/>
        <x:v>6921720</x:v>
      </x:c>
      <x:c r="J326" s="12">
        <x:f>ROUND(英雄升级调参!$D$73*英雄升级调参!$J$11*英雄升级调参!$E$19,0)</x:f>
        <x:v>74</x:v>
      </x:c>
      <x:c r="K326" s="12">
        <x:f>ROUND(英雄升级调参!$D$73*英雄升级调参!$C$11*英雄升级调参!$J$11*英雄升级调参!$G$19,0)</x:f>
        <x:v>614</x:v>
      </x:c>
      <x:c r="L326" s="12" t="n">
        <x:f>养成消耗调参!$E$155</x:f>
        <x:v>288</x:v>
      </x:c>
      <x:c r="M326" s="12" t="n">
        <x:f>养成消耗调参!$H$155</x:f>
        <x:v>1800</x:v>
      </x:c>
      <x:c r="N326" s="12" t="n">
        <x:f>养成消耗调参!$I$155</x:f>
        <x:v>0</x:v>
      </x:c>
      <x:c r="O326" s="12" t="n">
        <x:f>养成消耗调参!$L$155</x:f>
        <x:v>960</x:v>
      </x:c>
      <x:c r="P326" s="12" t="n">
        <x:f>养成消耗调参!$O$155</x:f>
        <x:v>6600</x:v>
      </x:c>
      <x:c r="Q326" s="12" t="n">
        <x:f>养成消耗调参!$P$155</x:f>
        <x:v>10</x:v>
      </x:c>
      <x:c r="R326" s="13">
        <x:f>I326/英雄升级调参!$M$73-1</x:f>
        <x:v>0.004145422735195581</x:v>
      </x:c>
      <x:c r="S326" s="6"/>
      <x:c r="T326" s="6"/>
      <x:c r="U326" s="6"/>
    </x:row>
    <x:row r="327" ht="21" customHeight="1">
      <x:c r="A327" s="14" t="n">
        <x:f>英雄升级调参!$B$19</x:f>
        <x:v>310001</x:v>
      </x:c>
      <x:c r="B327" s="14" t="str">
        <x:f>英雄升级调参!$C$19</x:f>
        <x:v>墨伊喵</x:v>
      </x:c>
      <x:c r="C327" s="6" t="str">
        <x:f>英雄升级调参!$D$19</x:f>
        <x:v>探险家</x:v>
      </x:c>
      <x:c r="D327" s="6" t="s">
        <x:v>25</x:v>
      </x:c>
      <x:c r="E327" s="6">
        <x:v>9</x:v>
      </x:c>
      <x:c r="F327" s="6" t="n">
        <x:f>英雄升级调参!$C$74</x:f>
        <x:v>2</x:v>
      </x:c>
      <x:c r="G327" s="12">
        <x:f t="shared" si="28"/>
        <x:v>992</x:v>
      </x:c>
      <x:c r="H327" s="12">
        <x:f t="shared" si="29"/>
        <x:v>8154</x:v>
      </x:c>
      <x:c r="I327" s="12">
        <x:f t="shared" si="30"/>
        <x:v>8088768</x:v>
      </x:c>
      <x:c r="J327" s="12">
        <x:f>ROUND(英雄升级调参!$D$74*英雄升级调参!$J$11*英雄升级调参!$E$19,0)</x:f>
        <x:v>74</x:v>
      </x:c>
      <x:c r="K327" s="12">
        <x:f>ROUND(英雄升级调参!$D$74*英雄升级调参!$C$11*英雄升级调参!$J$11*英雄升级调参!$G$19,0)</x:f>
        <x:v>614</x:v>
      </x:c>
      <x:c r="L327" s="12" t="n">
        <x:f>养成消耗调参!$E$156</x:f>
        <x:v>288</x:v>
      </x:c>
      <x:c r="M327" s="12" t="n">
        <x:f>养成消耗调参!$H$156</x:f>
        <x:v>1800</x:v>
      </x:c>
      <x:c r="N327" s="12" t="n">
        <x:f>养成消耗调参!$I$156</x:f>
        <x:v>0</x:v>
      </x:c>
      <x:c r="O327" s="12" t="n">
        <x:f>养成消耗调参!$L$156</x:f>
        <x:v>1248</x:v>
      </x:c>
      <x:c r="P327" s="12" t="n">
        <x:f>养成消耗调参!$O$156</x:f>
        <x:v>8400</x:v>
      </x:c>
      <x:c r="Q327" s="12" t="n">
        <x:f>养成消耗调参!$P$156</x:f>
        <x:v>10</x:v>
      </x:c>
      <x:c r="R327" s="13">
        <x:f>I327/英雄升级调参!$M$74-1</x:f>
        <x:v>0.0030676969207703575</x:v>
      </x:c>
      <x:c r="S327" s="6"/>
      <x:c r="T327" s="6"/>
      <x:c r="U327" s="6"/>
    </x:row>
    <x:row r="328" ht="21" customHeight="1">
      <x:c r="A328" s="14" t="n">
        <x:f>英雄升级调参!$B$19</x:f>
        <x:v>310001</x:v>
      </x:c>
      <x:c r="B328" s="14" t="str">
        <x:f>英雄升级调参!$C$19</x:f>
        <x:v>墨伊喵</x:v>
      </x:c>
      <x:c r="C328" s="6" t="str">
        <x:f>英雄升级调参!$D$19</x:f>
        <x:v>探险家</x:v>
      </x:c>
      <x:c r="D328" s="6" t="s">
        <x:v>25</x:v>
      </x:c>
      <x:c r="E328" s="6">
        <x:v>10</x:v>
      </x:c>
      <x:c r="F328" s="6" t="n">
        <x:f>英雄升级调参!$C$75</x:f>
        <x:v>2</x:v>
      </x:c>
      <x:c r="G328" s="12">
        <x:f t="shared" si="28"/>
        <x:v>1214</x:v>
      </x:c>
      <x:c r="H328" s="12">
        <x:f t="shared" si="29"/>
        <x:v>9996</x:v>
      </x:c>
      <x:c r="I328" s="12">
        <x:f t="shared" si="30"/>
        <x:v>12135144</x:v>
      </x:c>
      <x:c r="J328" s="12">
        <x:f>ROUND(英雄升级调参!$D$75*英雄升级调参!$J$11*英雄升级调参!$E$19,0)*3</x:f>
        <x:v>222</x:v>
      </x:c>
      <x:c r="K328" s="12">
        <x:f>ROUND(英雄升级调参!$D$75*英雄升级调参!$C$11*英雄升级调参!$J$11*英雄升级调参!$G$19,0)*3</x:f>
        <x:v>1842</x:v>
      </x:c>
      <x:c r="L328" s="12" t="n">
        <x:f>养成消耗调参!$E$157</x:f>
        <x:v>384</x:v>
      </x:c>
      <x:c r="M328" s="12" t="n">
        <x:f>养成消耗调参!$H$157</x:f>
        <x:v>1800</x:v>
      </x:c>
      <x:c r="N328" s="12" t="n">
        <x:f>养成消耗调参!$I$157</x:f>
        <x:v>30</x:v>
      </x:c>
      <x:c r="O328" s="12" t="n">
        <x:f>养成消耗调参!$L$157</x:f>
        <x:v>1632</x:v>
      </x:c>
      <x:c r="P328" s="12" t="n">
        <x:f>养成消耗调参!$O$157</x:f>
        <x:v>10200</x:v>
      </x:c>
      <x:c r="Q328" s="12" t="n">
        <x:f>养成消耗调参!$P$157</x:f>
        <x:v>40</x:v>
      </x:c>
      <x:c r="R328" s="13">
        <x:f>I328/英雄升级调参!$M$75-1</x:f>
        <x:v>0.0006315406698091941</x:v>
      </x:c>
      <x:c r="S328" s="6"/>
      <x:c r="T328" s="6"/>
      <x:c r="U328" s="6"/>
    </x:row>
    <x:row r="329" ht="21" customHeight="1">
      <x:c r="A329" s="14" t="n">
        <x:f>英雄升级调参!$B$19</x:f>
        <x:v>310001</x:v>
      </x:c>
      <x:c r="B329" s="14" t="str">
        <x:f>英雄升级调参!$C$19</x:f>
        <x:v>墨伊喵</x:v>
      </x:c>
      <x:c r="C329" s="6" t="str">
        <x:f>英雄升级调参!$D$19</x:f>
        <x:v>探险家</x:v>
      </x:c>
      <x:c r="D329" s="6" t="s">
        <x:v>25</x:v>
      </x:c>
      <x:c r="E329" s="6">
        <x:v>11</x:v>
      </x:c>
      <x:c r="F329" s="6" t="n">
        <x:f>英雄升级调参!$C$76</x:f>
        <x:v>3</x:v>
      </x:c>
      <x:c r="G329" s="12">
        <x:f t="shared" si="28"/>
        <x:v>1313</x:v>
      </x:c>
      <x:c r="H329" s="12">
        <x:f t="shared" si="29"/>
        <x:v>10814</x:v>
      </x:c>
      <x:c r="I329" s="12">
        <x:f t="shared" si="30"/>
        <x:v>14198782</x:v>
      </x:c>
      <x:c r="J329" s="12">
        <x:f>ROUND(英雄升级调参!$D$76*英雄升级调参!$J$11*英雄升级调参!$E$19,0)</x:f>
        <x:v>99</x:v>
      </x:c>
      <x:c r="K329" s="12">
        <x:f>ROUND(英雄升级调参!$D$76*英雄升级调参!$C$11*英雄升级调参!$J$11*英雄升级调参!$G$19,0)</x:f>
        <x:v>818</x:v>
      </x:c>
      <x:c r="L329" s="12" t="n">
        <x:f>养成消耗调参!$E$158</x:f>
        <x:v>384</x:v>
      </x:c>
      <x:c r="M329" s="12" t="n">
        <x:f>养成消耗调参!$H$158</x:f>
        <x:v>1800</x:v>
      </x:c>
      <x:c r="N329" s="12" t="n">
        <x:f>养成消耗调参!$I$158</x:f>
        <x:v>0</x:v>
      </x:c>
      <x:c r="O329" s="12" t="n">
        <x:f>养成消耗调参!$L$158</x:f>
        <x:v>2016</x:v>
      </x:c>
      <x:c r="P329" s="12" t="n">
        <x:f>养成消耗调参!$O$158</x:f>
        <x:v>12000</x:v>
      </x:c>
      <x:c r="Q329" s="12" t="n">
        <x:f>养成消耗调参!$P$158</x:f>
        <x:v>40</x:v>
      </x:c>
      <x:c r="R329" s="13">
        <x:f>I329/英雄升级调参!$M$76-1</x:f>
        <x:v>0.0005670601276115406</x:v>
      </x:c>
      <x:c r="S329" s="6"/>
      <x:c r="T329" s="6"/>
      <x:c r="U329" s="6"/>
    </x:row>
    <x:row r="330" ht="21" customHeight="1">
      <x:c r="A330" s="14" t="n">
        <x:f>英雄升级调参!$B$19</x:f>
        <x:v>310001</x:v>
      </x:c>
      <x:c r="B330" s="14" t="str">
        <x:f>英雄升级调参!$C$19</x:f>
        <x:v>墨伊喵</x:v>
      </x:c>
      <x:c r="C330" s="6" t="str">
        <x:f>英雄升级调参!$D$19</x:f>
        <x:v>探险家</x:v>
      </x:c>
      <x:c r="D330" s="6" t="s">
        <x:v>25</x:v>
      </x:c>
      <x:c r="E330" s="6">
        <x:v>12</x:v>
      </x:c>
      <x:c r="F330" s="6" t="n">
        <x:f>英雄升级调参!$C$77</x:f>
        <x:v>3</x:v>
      </x:c>
      <x:c r="G330" s="12">
        <x:f t="shared" si="28"/>
        <x:v>1412</x:v>
      </x:c>
      <x:c r="H330" s="12">
        <x:f t="shared" si="29"/>
        <x:v>11632</x:v>
      </x:c>
      <x:c r="I330" s="12">
        <x:f t="shared" si="30"/>
        <x:v>16424384</x:v>
      </x:c>
      <x:c r="J330" s="12">
        <x:f>ROUND(英雄升级调参!$D$77*英雄升级调参!$J$11*英雄升级调参!$E$19,0)</x:f>
        <x:v>99</x:v>
      </x:c>
      <x:c r="K330" s="12">
        <x:f>ROUND(英雄升级调参!$D$77*英雄升级调参!$C$11*英雄升级调参!$J$11*英雄升级调参!$G$19,0)</x:f>
        <x:v>818</x:v>
      </x:c>
      <x:c r="L330" s="12" t="n">
        <x:f>养成消耗调参!$E$159</x:f>
        <x:v>480</x:v>
      </x:c>
      <x:c r="M330" s="12" t="n">
        <x:f>养成消耗调参!$H$159</x:f>
        <x:v>3000</x:v>
      </x:c>
      <x:c r="N330" s="12" t="n">
        <x:f>养成消耗调参!$I$159</x:f>
        <x:v>0</x:v>
      </x:c>
      <x:c r="O330" s="12" t="n">
        <x:f>养成消耗调参!$L$159</x:f>
        <x:v>2496</x:v>
      </x:c>
      <x:c r="P330" s="12" t="n">
        <x:f>养成消耗调参!$O$159</x:f>
        <x:v>15000</x:v>
      </x:c>
      <x:c r="Q330" s="12" t="n">
        <x:f>养成消耗调参!$P$159</x:f>
        <x:v>40</x:v>
      </x:c>
      <x:c r="R330" s="13">
        <x:f>I330/英雄升级调参!$M$77-1</x:f>
        <x:v>0.0005116354577565652</x:v>
      </x:c>
      <x:c r="S330" s="6"/>
      <x:c r="T330" s="6"/>
      <x:c r="U330" s="6"/>
    </x:row>
    <x:row r="331" ht="21" customHeight="1">
      <x:c r="A331" s="14" t="n">
        <x:f>英雄升级调参!$B$19</x:f>
        <x:v>310001</x:v>
      </x:c>
      <x:c r="B331" s="14" t="str">
        <x:f>英雄升级调参!$C$19</x:f>
        <x:v>墨伊喵</x:v>
      </x:c>
      <x:c r="C331" s="6" t="str">
        <x:f>英雄升级调参!$D$19</x:f>
        <x:v>探险家</x:v>
      </x:c>
      <x:c r="D331" s="6" t="s">
        <x:v>25</x:v>
      </x:c>
      <x:c r="E331" s="6">
        <x:v>13</x:v>
      </x:c>
      <x:c r="F331" s="6" t="n">
        <x:f>英雄升级调参!$C$78</x:f>
        <x:v>3</x:v>
      </x:c>
      <x:c r="G331" s="12">
        <x:f t="shared" si="28"/>
        <x:v>1511</x:v>
      </x:c>
      <x:c r="H331" s="12">
        <x:f t="shared" si="29"/>
        <x:v>12450</x:v>
      </x:c>
      <x:c r="I331" s="12">
        <x:f t="shared" si="30"/>
        <x:v>18811950</x:v>
      </x:c>
      <x:c r="J331" s="12">
        <x:f>ROUND(英雄升级调参!$D$78*英雄升级调参!$J$11*英雄升级调参!$E$19,0)</x:f>
        <x:v>99</x:v>
      </x:c>
      <x:c r="K331" s="12">
        <x:f>ROUND(英雄升级调参!$D$78*英雄升级调参!$C$11*英雄升级调参!$J$11*英雄升级调参!$G$19,0)</x:f>
        <x:v>818</x:v>
      </x:c>
      <x:c r="L331" s="12" t="n">
        <x:f>养成消耗调参!$E$160</x:f>
        <x:v>480</x:v>
      </x:c>
      <x:c r="M331" s="12" t="n">
        <x:f>养成消耗调参!$H$160</x:f>
        <x:v>3000</x:v>
      </x:c>
      <x:c r="N331" s="12" t="n">
        <x:f>养成消耗调参!$I$160</x:f>
        <x:v>0</x:v>
      </x:c>
      <x:c r="O331" s="12" t="n">
        <x:f>养成消耗调参!$L$160</x:f>
        <x:v>2976</x:v>
      </x:c>
      <x:c r="P331" s="12" t="n">
        <x:f>养成消耗调参!$O$160</x:f>
        <x:v>18000</x:v>
      </x:c>
      <x:c r="Q331" s="12" t="n">
        <x:f>养成消耗调参!$P$160</x:f>
        <x:v>40</x:v>
      </x:c>
      <x:c r="R331" s="13">
        <x:f>I331/英雄升级调参!$M$78-1</x:f>
        <x:v>0.00046348407601137787</x:v>
      </x:c>
      <x:c r="S331" s="6"/>
      <x:c r="T331" s="6"/>
      <x:c r="U331" s="6"/>
    </x:row>
    <x:row r="332" ht="21" customHeight="1">
      <x:c r="A332" s="14" t="n">
        <x:f>英雄升级调参!$B$19</x:f>
        <x:v>310001</x:v>
      </x:c>
      <x:c r="B332" s="14" t="str">
        <x:f>英雄升级调参!$C$19</x:f>
        <x:v>墨伊喵</x:v>
      </x:c>
      <x:c r="C332" s="6" t="str">
        <x:f>英雄升级调参!$D$19</x:f>
        <x:v>探险家</x:v>
      </x:c>
      <x:c r="D332" s="6" t="s">
        <x:v>25</x:v>
      </x:c>
      <x:c r="E332" s="6">
        <x:v>14</x:v>
      </x:c>
      <x:c r="F332" s="6" t="n">
        <x:f>英雄升级调参!$C$79</x:f>
        <x:v>3</x:v>
      </x:c>
      <x:c r="G332" s="12">
        <x:f t="shared" si="28"/>
        <x:v>1610</x:v>
      </x:c>
      <x:c r="H332" s="12">
        <x:f t="shared" si="29"/>
        <x:v>13268</x:v>
      </x:c>
      <x:c r="I332" s="12">
        <x:f t="shared" si="30"/>
        <x:v>21361480</x:v>
      </x:c>
      <x:c r="J332" s="12">
        <x:f>ROUND(英雄升级调参!$D$79*英雄升级调参!$J$11*英雄升级调参!$E$19,0)</x:f>
        <x:v>99</x:v>
      </x:c>
      <x:c r="K332" s="12">
        <x:f>ROUND(英雄升级调参!$D$79*英雄升级调参!$C$11*英雄升级调参!$J$11*英雄升级调参!$G$19,0)</x:f>
        <x:v>818</x:v>
      </x:c>
      <x:c r="L332" s="12" t="n">
        <x:f>养成消耗调参!$E$161</x:f>
        <x:v>576</x:v>
      </x:c>
      <x:c r="M332" s="12" t="n">
        <x:f>养成消耗调参!$H$161</x:f>
        <x:v>3000</x:v>
      </x:c>
      <x:c r="N332" s="12" t="n">
        <x:f>养成消耗调参!$I$161</x:f>
        <x:v>0</x:v>
      </x:c>
      <x:c r="O332" s="12" t="n">
        <x:f>养成消耗调参!$L$161</x:f>
        <x:v>3552</x:v>
      </x:c>
      <x:c r="P332" s="12" t="n">
        <x:f>养成消耗调参!$O$161</x:f>
        <x:v>21000</x:v>
      </x:c>
      <x:c r="Q332" s="12" t="n">
        <x:f>养成消耗调参!$P$161</x:f>
        <x:v>40</x:v>
      </x:c>
      <x:c r="R332" s="13">
        <x:f>I332/英雄升级调参!$M$79-1</x:f>
        <x:v>0.00042126244322382433</x:v>
      </x:c>
      <x:c r="S332" s="6"/>
      <x:c r="T332" s="6"/>
      <x:c r="U332" s="6"/>
    </x:row>
    <x:row r="333" ht="21" customHeight="1">
      <x:c r="A333" s="14" t="n">
        <x:f>英雄升级调参!$B$19</x:f>
        <x:v>310001</x:v>
      </x:c>
      <x:c r="B333" s="14" t="str">
        <x:f>英雄升级调参!$C$19</x:f>
        <x:v>墨伊喵</x:v>
      </x:c>
      <x:c r="C333" s="6" t="str">
        <x:f>英雄升级调参!$D$19</x:f>
        <x:v>探险家</x:v>
      </x:c>
      <x:c r="D333" s="6" t="s">
        <x:v>25</x:v>
      </x:c>
      <x:c r="E333" s="6">
        <x:v>15</x:v>
      </x:c>
      <x:c r="F333" s="6" t="n">
        <x:f>英雄升级调参!$C$80</x:f>
        <x:v>3</x:v>
      </x:c>
      <x:c r="G333" s="12">
        <x:f t="shared" si="28"/>
        <x:v>1907</x:v>
      </x:c>
      <x:c r="H333" s="12">
        <x:f t="shared" si="29"/>
        <x:v>15722</x:v>
      </x:c>
      <x:c r="I333" s="12">
        <x:f t="shared" si="30"/>
        <x:v>29981854</x:v>
      </x:c>
      <x:c r="J333" s="12">
        <x:f>ROUND(英雄升级调参!$D$80*英雄升级调参!$J$11*英雄升级调参!$E$19,0)*3</x:f>
        <x:v>297</x:v>
      </x:c>
      <x:c r="K333" s="12">
        <x:f>ROUND(英雄升级调参!$D$80*英雄升级调参!$C$11*英雄升级调参!$J$11*英雄升级调参!$G$19,0)*3</x:f>
        <x:v>2454</x:v>
      </x:c>
      <x:c r="L333" s="12" t="n">
        <x:f>养成消耗调参!$E$162</x:f>
        <x:v>576</x:v>
      </x:c>
      <x:c r="M333" s="12" t="n">
        <x:f>养成消耗调参!$H$162</x:f>
        <x:v>3000</x:v>
      </x:c>
      <x:c r="N333" s="12" t="n">
        <x:f>养成消耗调参!$I$162</x:f>
        <x:v>50</x:v>
      </x:c>
      <x:c r="O333" s="12" t="n">
        <x:f>养成消耗调参!$L$162</x:f>
        <x:v>4128</x:v>
      </x:c>
      <x:c r="P333" s="12" t="n">
        <x:f>养成消耗调参!$O$162</x:f>
        <x:v>24000</x:v>
      </x:c>
      <x:c r="Q333" s="12" t="n">
        <x:f>养成消耗调参!$P$162</x:f>
        <x:v>90</x:v>
      </x:c>
      <x:c r="R333" s="13">
        <x:f>I333/英雄升级调参!$M$80-1</x:f>
        <x:v>0.00032093035437630313</x:v>
      </x:c>
      <x:c r="S333" s="6"/>
      <x:c r="T333" s="6"/>
      <x:c r="U333" s="6"/>
    </x:row>
    <x:row r="334" ht="21" customHeight="1">
      <x:c r="A334" s="14" t="n">
        <x:f>英雄升级调参!$B$19</x:f>
        <x:v>310001</x:v>
      </x:c>
      <x:c r="B334" s="14" t="str">
        <x:f>英雄升级调参!$C$19</x:f>
        <x:v>墨伊喵</x:v>
      </x:c>
      <x:c r="C334" s="6" t="str">
        <x:f>英雄升级调参!$D$19</x:f>
        <x:v>探险家</x:v>
      </x:c>
      <x:c r="D334" s="6" t="s">
        <x:v>25</x:v>
      </x:c>
      <x:c r="E334" s="6">
        <x:v>16</x:v>
      </x:c>
      <x:c r="F334" s="6" t="n">
        <x:f>英雄升级调参!$C$81</x:f>
        <x:v>4</x:v>
      </x:c>
      <x:c r="G334" s="12">
        <x:f t="shared" si="28"/>
        <x:v>2031</x:v>
      </x:c>
      <x:c r="H334" s="12">
        <x:f t="shared" si="29"/>
        <x:v>16745</x:v>
      </x:c>
      <x:c r="I334" s="12">
        <x:f t="shared" si="30"/>
        <x:v>34009095</x:v>
      </x:c>
      <x:c r="J334" s="12">
        <x:f>ROUND(英雄升级调参!$D$81*英雄升级调参!$J$11*英雄升级调参!$E$19,0)</x:f>
        <x:v>124</x:v>
      </x:c>
      <x:c r="K334" s="12">
        <x:f>ROUND(英雄升级调参!$D$81*英雄升级调参!$C$11*英雄升级调参!$J$11*英雄升级调参!$G$19,0)</x:f>
        <x:v>1023</x:v>
      </x:c>
      <x:c r="L334" s="12" t="n">
        <x:f>养成消耗调参!$E$163</x:f>
        <x:v>672</x:v>
      </x:c>
      <x:c r="M334" s="12" t="n">
        <x:f>养成消耗调参!$H$163</x:f>
        <x:v>3000</x:v>
      </x:c>
      <x:c r="N334" s="12" t="n">
        <x:f>养成消耗调参!$I$163</x:f>
        <x:v>0</x:v>
      </x:c>
      <x:c r="O334" s="12" t="n">
        <x:f>养成消耗调参!$L$163</x:f>
        <x:v>4800</x:v>
      </x:c>
      <x:c r="P334" s="12" t="n">
        <x:f>养成消耗调参!$O$163</x:f>
        <x:v>27000</x:v>
      </x:c>
      <x:c r="Q334" s="12" t="n">
        <x:f>养成消耗调参!$P$163</x:f>
        <x:v>90</x:v>
      </x:c>
      <x:c r="R334" s="13">
        <x:f>I334/英雄升级调参!$M$81-1</x:f>
        <x:v>0.00016983635715561718</x:v>
      </x:c>
      <x:c r="S334" s="6"/>
      <x:c r="T334" s="6"/>
      <x:c r="U334" s="6"/>
    </x:row>
    <x:row r="335" ht="21" customHeight="1">
      <x:c r="A335" s="14" t="n">
        <x:f>英雄升级调参!$B$19</x:f>
        <x:v>310001</x:v>
      </x:c>
      <x:c r="B335" s="14" t="str">
        <x:f>英雄升级调参!$C$19</x:f>
        <x:v>墨伊喵</x:v>
      </x:c>
      <x:c r="C335" s="6" t="str">
        <x:f>英雄升级调参!$D$19</x:f>
        <x:v>探险家</x:v>
      </x:c>
      <x:c r="D335" s="6" t="s">
        <x:v>25</x:v>
      </x:c>
      <x:c r="E335" s="6">
        <x:v>17</x:v>
      </x:c>
      <x:c r="F335" s="6" t="n">
        <x:f>英雄升级调参!$C$82</x:f>
        <x:v>4</x:v>
      </x:c>
      <x:c r="G335" s="12">
        <x:f t="shared" si="28"/>
        <x:v>2155</x:v>
      </x:c>
      <x:c r="H335" s="12">
        <x:f t="shared" si="29"/>
        <x:v>17768</x:v>
      </x:c>
      <x:c r="I335" s="12">
        <x:f t="shared" si="30"/>
        <x:v>38290040</x:v>
      </x:c>
      <x:c r="J335" s="12">
        <x:f>ROUND(英雄升级调参!$D$82*英雄升级调参!$J$11*英雄升级调参!$E$19,0)</x:f>
        <x:v>124</x:v>
      </x:c>
      <x:c r="K335" s="12">
        <x:f>ROUND(英雄升级调参!$D$82*英雄升级调参!$C$11*英雄升级调参!$J$11*英雄升级调参!$G$19,0)</x:f>
        <x:v>1023</x:v>
      </x:c>
      <x:c r="L335" s="12" t="n">
        <x:f>养成消耗调参!$E$164</x:f>
        <x:v>672</x:v>
      </x:c>
      <x:c r="M335" s="12" t="n">
        <x:f>养成消耗调参!$H$164</x:f>
        <x:v>4200</x:v>
      </x:c>
      <x:c r="N335" s="12" t="n">
        <x:f>养成消耗调参!$I$164</x:f>
        <x:v>0</x:v>
      </x:c>
      <x:c r="O335" s="12" t="n">
        <x:f>养成消耗调参!$L$164</x:f>
        <x:v>5472</x:v>
      </x:c>
      <x:c r="P335" s="12" t="n">
        <x:f>养成消耗调参!$O$164</x:f>
        <x:v>31200</x:v>
      </x:c>
      <x:c r="Q335" s="12" t="n">
        <x:f>养成消耗调参!$P$164</x:f>
        <x:v>90</x:v>
      </x:c>
      <x:c r="R335" s="13">
        <x:f>I335/英雄升级调参!$M$82-1</x:f>
        <x:v>3.6172594728212104e-05</x:v>
      </x:c>
      <x:c r="S335" s="6"/>
      <x:c r="T335" s="6"/>
      <x:c r="U335" s="6"/>
    </x:row>
    <x:row r="336" ht="21" customHeight="1">
      <x:c r="A336" s="14" t="n">
        <x:f>英雄升级调参!$B$19</x:f>
        <x:v>310001</x:v>
      </x:c>
      <x:c r="B336" s="14" t="str">
        <x:f>英雄升级调参!$C$19</x:f>
        <x:v>墨伊喵</x:v>
      </x:c>
      <x:c r="C336" s="6" t="str">
        <x:f>英雄升级调参!$D$19</x:f>
        <x:v>探险家</x:v>
      </x:c>
      <x:c r="D336" s="6" t="s">
        <x:v>25</x:v>
      </x:c>
      <x:c r="E336" s="6">
        <x:v>18</x:v>
      </x:c>
      <x:c r="F336" s="6" t="n">
        <x:f>英雄升级调参!$C$83</x:f>
        <x:v>4</x:v>
      </x:c>
      <x:c r="G336" s="12">
        <x:f t="shared" si="28"/>
        <x:v>2279</x:v>
      </x:c>
      <x:c r="H336" s="12">
        <x:f t="shared" si="29"/>
        <x:v>18791</x:v>
      </x:c>
      <x:c r="I336" s="12">
        <x:f t="shared" si="30"/>
        <x:v>42824689</x:v>
      </x:c>
      <x:c r="J336" s="12">
        <x:f>ROUND(英雄升级调参!$D$83*英雄升级调参!$J$11*英雄升级调参!$E$19,0)</x:f>
        <x:v>124</x:v>
      </x:c>
      <x:c r="K336" s="12">
        <x:f>ROUND(英雄升级调参!$D$83*英雄升级调参!$C$11*英雄升级调参!$J$11*英雄升级调参!$G$19,0)</x:f>
        <x:v>1023</x:v>
      </x:c>
      <x:c r="L336" s="12" t="n">
        <x:f>养成消耗调参!$E$165</x:f>
        <x:v>768</x:v>
      </x:c>
      <x:c r="M336" s="12" t="n">
        <x:f>养成消耗调参!$H$165</x:f>
        <x:v>4200</x:v>
      </x:c>
      <x:c r="N336" s="12" t="n">
        <x:f>养成消耗调参!$I$165</x:f>
        <x:v>0</x:v>
      </x:c>
      <x:c r="O336" s="12" t="n">
        <x:f>养成消耗调参!$L$165</x:f>
        <x:v>6240</x:v>
      </x:c>
      <x:c r="P336" s="12" t="n">
        <x:f>养成消耗调参!$O$165</x:f>
        <x:v>35400</x:v>
      </x:c>
      <x:c r="Q336" s="12" t="n">
        <x:f>养成消耗调参!$P$165</x:f>
        <x:v>90</x:v>
      </x:c>
      <x:c r="R336" s="13">
        <x:f>I336/英雄升级调参!$M$83-1</x:f>
        <x:v>-8.291258291259762e-05</x:v>
      </x:c>
      <x:c r="S336" s="6"/>
      <x:c r="T336" s="6"/>
      <x:c r="U336" s="6"/>
    </x:row>
    <x:row r="337" ht="21" customHeight="1">
      <x:c r="A337" s="14" t="n">
        <x:f>英雄升级调参!$B$19</x:f>
        <x:v>310001</x:v>
      </x:c>
      <x:c r="B337" s="14" t="str">
        <x:f>英雄升级调参!$C$19</x:f>
        <x:v>墨伊喵</x:v>
      </x:c>
      <x:c r="C337" s="6" t="str">
        <x:f>英雄升级调参!$D$19</x:f>
        <x:v>探险家</x:v>
      </x:c>
      <x:c r="D337" s="6" t="s">
        <x:v>25</x:v>
      </x:c>
      <x:c r="E337" s="6">
        <x:v>19</x:v>
      </x:c>
      <x:c r="F337" s="6" t="n">
        <x:f>英雄升级调参!$C$84</x:f>
        <x:v>4</x:v>
      </x:c>
      <x:c r="G337" s="12">
        <x:f t="shared" si="28"/>
        <x:v>2403</x:v>
      </x:c>
      <x:c r="H337" s="12">
        <x:f t="shared" si="29"/>
        <x:v>19814</x:v>
      </x:c>
      <x:c r="I337" s="12">
        <x:f t="shared" si="30"/>
        <x:v>47613042</x:v>
      </x:c>
      <x:c r="J337" s="12">
        <x:f>ROUND(英雄升级调参!$D$84*英雄升级调参!$J$11*英雄升级调参!$E$19,0)</x:f>
        <x:v>124</x:v>
      </x:c>
      <x:c r="K337" s="12">
        <x:f>ROUND(英雄升级调参!$D$84*英雄升级调参!$C$11*英雄升级调参!$J$11*英雄升级调参!$G$19,0)</x:f>
        <x:v>1023</x:v>
      </x:c>
      <x:c r="L337" s="12" t="n">
        <x:f>养成消耗调参!$E$166</x:f>
        <x:v>768</x:v>
      </x:c>
      <x:c r="M337" s="12" t="n">
        <x:f>养成消耗调参!$H$166</x:f>
        <x:v>4200</x:v>
      </x:c>
      <x:c r="N337" s="12" t="n">
        <x:f>养成消耗调参!$I$166</x:f>
        <x:v>0</x:v>
      </x:c>
      <x:c r="O337" s="12" t="n">
        <x:f>养成消耗调参!$L$166</x:f>
        <x:v>7008</x:v>
      </x:c>
      <x:c r="P337" s="12" t="n">
        <x:f>养成消耗调参!$O$166</x:f>
        <x:v>39600</x:v>
      </x:c>
      <x:c r="Q337" s="12" t="n">
        <x:f>养成消耗调参!$P$166</x:f>
        <x:v>90</x:v>
      </x:c>
      <x:c r="R337" s="13">
        <x:f>I337/英雄升级调参!$M$84-1</x:f>
        <x:v>-0.0001896809410342204</x:v>
      </x:c>
      <x:c r="S337" s="6"/>
      <x:c r="T337" s="6"/>
      <x:c r="U337" s="6"/>
    </x:row>
    <x:row r="338" ht="21" customHeight="1">
      <x:c r="A338" s="14" t="n">
        <x:f>英雄升级调参!$B$19</x:f>
        <x:v>310001</x:v>
      </x:c>
      <x:c r="B338" s="14" t="str">
        <x:f>英雄升级调参!$C$19</x:f>
        <x:v>墨伊喵</x:v>
      </x:c>
      <x:c r="C338" s="6" t="str">
        <x:f>英雄升级调参!$D$19</x:f>
        <x:v>探险家</x:v>
      </x:c>
      <x:c r="D338" s="6" t="s">
        <x:v>25</x:v>
      </x:c>
      <x:c r="E338" s="6">
        <x:v>20</x:v>
      </x:c>
      <x:c r="F338" s="6" t="n">
        <x:f>英雄升级调参!$C$85</x:f>
        <x:v>4</x:v>
      </x:c>
      <x:c r="G338" s="12">
        <x:f t="shared" si="28"/>
        <x:v>2775</x:v>
      </x:c>
      <x:c r="H338" s="12">
        <x:f t="shared" si="29"/>
        <x:v>22883</x:v>
      </x:c>
      <x:c r="I338" s="12">
        <x:f t="shared" si="30"/>
        <x:v>63500325</x:v>
      </x:c>
      <x:c r="J338" s="12">
        <x:f>ROUND(英雄升级调参!$D$85*英雄升级调参!$J$11*英雄升级调参!$E$19,0)*3</x:f>
        <x:v>372</x:v>
      </x:c>
      <x:c r="K338" s="12">
        <x:f>ROUND(英雄升级调参!$D$85*英雄升级调参!$C$11*英雄升级调参!$J$11*英雄升级调参!$G$19,0)*3</x:f>
        <x:v>3069</x:v>
      </x:c>
      <x:c r="L338" s="12" t="n">
        <x:f>养成消耗调参!$E$167</x:f>
        <x:v>864</x:v>
      </x:c>
      <x:c r="M338" s="12" t="n">
        <x:f>养成消耗调参!$H$167</x:f>
        <x:v>4200</x:v>
      </x:c>
      <x:c r="N338" s="12" t="n">
        <x:f>养成消耗调参!$I$167</x:f>
        <x:v>70</x:v>
      </x:c>
      <x:c r="O338" s="12" t="n">
        <x:f>养成消耗调参!$L$167</x:f>
        <x:v>7872</x:v>
      </x:c>
      <x:c r="P338" s="12" t="n">
        <x:f>养成消耗调参!$O$167</x:f>
        <x:v>43800</x:v>
      </x:c>
      <x:c r="Q338" s="12" t="n">
        <x:f>养成消耗调参!$P$167</x:f>
        <x:v>160</x:v>
      </x:c>
      <x:c r="R338" s="13">
        <x:f>I338/英雄升级调参!$M$85-1</x:f>
        <x:v>-0.00045262736372064793</x:v>
      </x:c>
      <x:c r="S338" s="6"/>
      <x:c r="T338" s="6"/>
      <x:c r="U338" s="6"/>
    </x:row>
    <x:row r="339" ht="21" customHeight="1">
      <x:c r="A339" s="14" t="n">
        <x:f>英雄升级调参!$B$19</x:f>
        <x:v>310001</x:v>
      </x:c>
      <x:c r="B339" s="14" t="str">
        <x:f>英雄升级调参!$C$19</x:f>
        <x:v>墨伊喵</x:v>
      </x:c>
      <x:c r="C339" s="6" t="str">
        <x:f>英雄升级调参!$D$19</x:f>
        <x:v>探险家</x:v>
      </x:c>
      <x:c r="D339" s="6" t="s">
        <x:v>25</x:v>
      </x:c>
      <x:c r="E339" s="6">
        <x:v>21</x:v>
      </x:c>
      <x:c r="F339" s="6" t="n">
        <x:f>英雄升级调参!$C$86</x:f>
        <x:v>5</x:v>
      </x:c>
      <x:c r="G339" s="12">
        <x:f t="shared" si="28"/>
        <x:v>2924</x:v>
      </x:c>
      <x:c r="H339" s="12">
        <x:f t="shared" si="29"/>
        <x:v>24110</x:v>
      </x:c>
      <x:c r="I339" s="12">
        <x:f t="shared" si="30"/>
        <x:v>70497640</x:v>
      </x:c>
      <x:c r="J339" s="12">
        <x:f>ROUND(英雄升级调参!$D$86*英雄升级调参!$J$11*英雄升级调参!$E$19,0)</x:f>
        <x:v>149</x:v>
      </x:c>
      <x:c r="K339" s="12">
        <x:f>ROUND(英雄升级调参!$D$86*英雄升级调参!$C$11*英雄升级调参!$J$11*英雄升级调参!$G$19,0)</x:f>
        <x:v>1227</x:v>
      </x:c>
      <x:c r="L339" s="12" t="n">
        <x:f>养成消耗调参!$E$168</x:f>
        <x:v>864</x:v>
      </x:c>
      <x:c r="M339" s="12" t="n">
        <x:f>养成消耗调参!$H$168</x:f>
        <x:v>4200</x:v>
      </x:c>
      <x:c r="N339" s="12" t="n">
        <x:f>养成消耗调参!$I$168</x:f>
        <x:v>0</x:v>
      </x:c>
      <x:c r="O339" s="12" t="n">
        <x:f>养成消耗调参!$L$168</x:f>
        <x:v>8736</x:v>
      </x:c>
      <x:c r="P339" s="12" t="n">
        <x:f>养成消耗调参!$O$168</x:f>
        <x:v>48000</x:v>
      </x:c>
      <x:c r="Q339" s="12" t="n">
        <x:f>养成消耗调参!$P$168</x:f>
        <x:v>160</x:v>
      </x:c>
      <x:c r="R339" s="13">
        <x:f>I339/英雄升级调参!$M$86-1</x:f>
        <x:v>-0.0002700070394692222</x:v>
      </x:c>
      <x:c r="S339" s="6"/>
      <x:c r="T339" s="6"/>
      <x:c r="U339" s="6"/>
    </x:row>
    <x:row r="340" ht="21" customHeight="1">
      <x:c r="A340" s="14" t="n">
        <x:f>英雄升级调参!$B$19</x:f>
        <x:v>310001</x:v>
      </x:c>
      <x:c r="B340" s="14" t="str">
        <x:f>英雄升级调参!$C$19</x:f>
        <x:v>墨伊喵</x:v>
      </x:c>
      <x:c r="C340" s="6" t="str">
        <x:f>英雄升级调参!$D$19</x:f>
        <x:v>探险家</x:v>
      </x:c>
      <x:c r="D340" s="6" t="s">
        <x:v>25</x:v>
      </x:c>
      <x:c r="E340" s="6">
        <x:v>22</x:v>
      </x:c>
      <x:c r="F340" s="6" t="n">
        <x:f>英雄升级调参!$C$87</x:f>
        <x:v>5</x:v>
      </x:c>
      <x:c r="G340" s="12">
        <x:f t="shared" si="28"/>
        <x:v>3073</x:v>
      </x:c>
      <x:c r="H340" s="12">
        <x:f t="shared" si="29"/>
        <x:v>25337</x:v>
      </x:c>
      <x:c r="I340" s="12">
        <x:f t="shared" si="30"/>
        <x:v>77860601</x:v>
      </x:c>
      <x:c r="J340" s="12">
        <x:f>ROUND(英雄升级调参!$D$87*英雄升级调参!$J$11*英雄升级调参!$E$19,0)</x:f>
        <x:v>149</x:v>
      </x:c>
      <x:c r="K340" s="12">
        <x:f>ROUND(英雄升级调参!$D$87*英雄升级调参!$C$11*英雄升级调参!$J$11*英雄升级调参!$G$19,0)</x:f>
        <x:v>1227</x:v>
      </x:c>
      <x:c r="L340" s="12" t="n">
        <x:f>养成消耗调参!$E$169</x:f>
        <x:v>960</x:v>
      </x:c>
      <x:c r="M340" s="12" t="n">
        <x:f>养成消耗调参!$H$169</x:f>
        <x:v>6000</x:v>
      </x:c>
      <x:c r="N340" s="12" t="n">
        <x:f>养成消耗调参!$I$169</x:f>
        <x:v>0</x:v>
      </x:c>
      <x:c r="O340" s="12" t="n">
        <x:f>养成消耗调参!$L$169</x:f>
        <x:v>9696</x:v>
      </x:c>
      <x:c r="P340" s="12" t="n">
        <x:f>养成消耗调参!$O$169</x:f>
        <x:v>54000</x:v>
      </x:c>
      <x:c r="Q340" s="12" t="n">
        <x:f>养成消耗调参!$P$169</x:f>
        <x:v>160</x:v>
      </x:c>
      <x:c r="R340" s="13">
        <x:f>I340/英雄升级调参!$M$87-1</x:f>
        <x:v>-0.00010503567668584957</x:v>
      </x:c>
      <x:c r="S340" s="6"/>
      <x:c r="T340" s="6"/>
      <x:c r="U340" s="6"/>
    </x:row>
    <x:row r="341" ht="21" customHeight="1">
      <x:c r="A341" s="14" t="n">
        <x:f>英雄升级调参!$B$19</x:f>
        <x:v>310001</x:v>
      </x:c>
      <x:c r="B341" s="14" t="str">
        <x:f>英雄升级调参!$C$19</x:f>
        <x:v>墨伊喵</x:v>
      </x:c>
      <x:c r="C341" s="6" t="str">
        <x:f>英雄升级调参!$D$19</x:f>
        <x:v>探险家</x:v>
      </x:c>
      <x:c r="D341" s="6" t="s">
        <x:v>25</x:v>
      </x:c>
      <x:c r="E341" s="6">
        <x:v>23</x:v>
      </x:c>
      <x:c r="F341" s="6" t="n">
        <x:f>英雄升级调参!$C$88</x:f>
        <x:v>5</x:v>
      </x:c>
      <x:c r="G341" s="12">
        <x:f t="shared" si="28"/>
        <x:v>3222</x:v>
      </x:c>
      <x:c r="H341" s="12">
        <x:f t="shared" si="29"/>
        <x:v>26564</x:v>
      </x:c>
      <x:c r="I341" s="12">
        <x:f t="shared" si="30"/>
        <x:v>85589208</x:v>
      </x:c>
      <x:c r="J341" s="12">
        <x:f>ROUND(英雄升级调参!$D$88*英雄升级调参!$J$11*英雄升级调参!$E$19,0)</x:f>
        <x:v>149</x:v>
      </x:c>
      <x:c r="K341" s="12">
        <x:f>ROUND(英雄升级调参!$D$88*英雄升级调参!$C$11*英雄升级调参!$J$11*英雄升级调参!$G$19,0)</x:f>
        <x:v>1227</x:v>
      </x:c>
      <x:c r="L341" s="12" t="n">
        <x:f>养成消耗调参!$E$170</x:f>
        <x:v>960</x:v>
      </x:c>
      <x:c r="M341" s="12" t="n">
        <x:f>养成消耗调参!$H$170</x:f>
        <x:v>6000</x:v>
      </x:c>
      <x:c r="N341" s="12" t="n">
        <x:f>养成消耗调参!$I$170</x:f>
        <x:v>0</x:v>
      </x:c>
      <x:c r="O341" s="12" t="n">
        <x:f>养成消耗调参!$L$170</x:f>
        <x:v>10656</x:v>
      </x:c>
      <x:c r="P341" s="12" t="n">
        <x:f>养成消耗调参!$O$170</x:f>
        <x:v>60000</x:v>
      </x:c>
      <x:c r="Q341" s="12" t="n">
        <x:f>养成消耗调参!$P$170</x:f>
        <x:v>160</x:v>
      </x:c>
      <x:c r="R341" s="13">
        <x:f>I341/英雄升级调参!$M$88-1</x:f>
        <x:v>4.4727265334332245e-05</x:v>
      </x:c>
      <x:c r="S341" s="6"/>
      <x:c r="T341" s="6"/>
      <x:c r="U341" s="6"/>
    </x:row>
    <x:row r="342" ht="21" customHeight="1">
      <x:c r="A342" s="14" t="n">
        <x:f>英雄升级调参!$B$19</x:f>
        <x:v>310001</x:v>
      </x:c>
      <x:c r="B342" s="14" t="str">
        <x:f>英雄升级调参!$C$19</x:f>
        <x:v>墨伊喵</x:v>
      </x:c>
      <x:c r="C342" s="6" t="str">
        <x:f>英雄升级调参!$D$19</x:f>
        <x:v>探险家</x:v>
      </x:c>
      <x:c r="D342" s="6" t="s">
        <x:v>25</x:v>
      </x:c>
      <x:c r="E342" s="6">
        <x:v>24</x:v>
      </x:c>
      <x:c r="F342" s="6" t="n">
        <x:f>英雄升级调参!$C$89</x:f>
        <x:v>5</x:v>
      </x:c>
      <x:c r="G342" s="12">
        <x:f t="shared" si="28"/>
        <x:v>3371</x:v>
      </x:c>
      <x:c r="H342" s="12">
        <x:f t="shared" si="29"/>
        <x:v>27791</x:v>
      </x:c>
      <x:c r="I342" s="12">
        <x:f t="shared" si="30"/>
        <x:v>93683461</x:v>
      </x:c>
      <x:c r="J342" s="12">
        <x:f>ROUND(英雄升级调参!$D$89*英雄升级调参!$J$11*英雄升级调参!$E$19,0)</x:f>
        <x:v>149</x:v>
      </x:c>
      <x:c r="K342" s="12">
        <x:f>ROUND(英雄升级调参!$D$89*英雄升级调参!$C$11*英雄升级调参!$J$11*英雄升级调参!$G$19,0)</x:f>
        <x:v>1227</x:v>
      </x:c>
      <x:c r="L342" s="12" t="n">
        <x:f>养成消耗调参!$E$171</x:f>
        <x:v>1056</x:v>
      </x:c>
      <x:c r="M342" s="12" t="n">
        <x:f>养成消耗调参!$H$171</x:f>
        <x:v>6000</x:v>
      </x:c>
      <x:c r="N342" s="12" t="n">
        <x:f>养成消耗调参!$I$171</x:f>
        <x:v>0</x:v>
      </x:c>
      <x:c r="O342" s="12" t="n">
        <x:f>养成消耗调参!$L$171</x:f>
        <x:v>11712</x:v>
      </x:c>
      <x:c r="P342" s="12" t="n">
        <x:f>养成消耗调参!$O$171</x:f>
        <x:v>66000</x:v>
      </x:c>
      <x:c r="Q342" s="12" t="n">
        <x:f>养成消耗调参!$P$171</x:f>
        <x:v>160</x:v>
      </x:c>
      <x:c r="R342" s="13">
        <x:f>I342/英雄升级调参!$M$89-1</x:f>
        <x:v>0.00018129217624074379</x:v>
      </x:c>
      <x:c r="S342" s="6"/>
      <x:c r="T342" s="6"/>
      <x:c r="U342" s="6"/>
    </x:row>
    <x:row r="343" ht="21" customHeight="1">
      <x:c r="A343" s="14" t="n">
        <x:f>英雄升级调参!$B$19</x:f>
        <x:v>310001</x:v>
      </x:c>
      <x:c r="B343" s="14" t="str">
        <x:f>英雄升级调参!$C$19</x:f>
        <x:v>墨伊喵</x:v>
      </x:c>
      <x:c r="C343" s="6" t="str">
        <x:f>英雄升级调参!$D$19</x:f>
        <x:v>探险家</x:v>
      </x:c>
      <x:c r="D343" s="6" t="s">
        <x:v>25</x:v>
      </x:c>
      <x:c r="E343" s="6">
        <x:v>25</x:v>
      </x:c>
      <x:c r="F343" s="6" t="n">
        <x:f>英雄升级调参!$C$90</x:f>
        <x:v>5</x:v>
      </x:c>
      <x:c r="G343" s="12">
        <x:f t="shared" si="28"/>
        <x:v>3818</x:v>
      </x:c>
      <x:c r="H343" s="12">
        <x:f t="shared" si="29"/>
        <x:v>31472</x:v>
      </x:c>
      <x:c r="I343" s="12">
        <x:f t="shared" si="30"/>
        <x:v>120160096</x:v>
      </x:c>
      <x:c r="J343" s="12">
        <x:f>ROUND(英雄升级调参!$D$90*英雄升级调参!$J$11*英雄升级调参!$E$19,0)*3</x:f>
        <x:v>447</x:v>
      </x:c>
      <x:c r="K343" s="12">
        <x:f>ROUND(英雄升级调参!$D$90*英雄升级调参!$C$11*英雄升级调参!$J$11*英雄升级调参!$G$19,0)*3</x:f>
        <x:v>3681</x:v>
      </x:c>
      <x:c r="L343" s="12" t="n">
        <x:f>养成消耗调参!$E$172</x:f>
        <x:v>1056</x:v>
      </x:c>
      <x:c r="M343" s="12" t="n">
        <x:f>养成消耗调参!$H$172</x:f>
        <x:v>6000</x:v>
      </x:c>
      <x:c r="N343" s="12" t="n">
        <x:f>养成消耗调参!$I$172</x:f>
        <x:v>90</x:v>
      </x:c>
      <x:c r="O343" s="12" t="n">
        <x:f>养成消耗调参!$L$172</x:f>
        <x:v>12768</x:v>
      </x:c>
      <x:c r="P343" s="12" t="n">
        <x:f>养成消耗调参!$O$172</x:f>
        <x:v>72000</x:v>
      </x:c>
      <x:c r="Q343" s="12" t="n">
        <x:f>养成消耗调参!$P$172</x:f>
        <x:v>250</x:v>
      </x:c>
      <x:c r="R343" s="13">
        <x:f>I343/英雄升级调参!$M$90-1</x:f>
        <x:v>0.000527208139968538</x:v>
      </x:c>
      <x:c r="S343" s="6"/>
      <x:c r="T343" s="6"/>
      <x:c r="U343" s="6"/>
    </x:row>
    <x:row r="344" ht="21" customHeight="1">
      <x:c r="A344" s="14" t="n">
        <x:f>英雄升级调参!$B$19</x:f>
        <x:v>310001</x:v>
      </x:c>
      <x:c r="B344" s="14" t="str">
        <x:f>英雄升级调参!$C$19</x:f>
        <x:v>墨伊喵</x:v>
      </x:c>
      <x:c r="C344" s="6" t="str">
        <x:f>英雄升级调参!$D$19</x:f>
        <x:v>探险家</x:v>
      </x:c>
      <x:c r="D344" s="6" t="s">
        <x:v>25</x:v>
      </x:c>
      <x:c r="E344" s="6">
        <x:v>26</x:v>
      </x:c>
      <x:c r="F344" s="6" t="n">
        <x:f>英雄升级调参!$C$91</x:f>
        <x:v>6</x:v>
      </x:c>
      <x:c r="G344" s="12">
        <x:f t="shared" si="28"/>
        <x:v>3991</x:v>
      </x:c>
      <x:c r="H344" s="12">
        <x:f t="shared" si="29"/>
        <x:v>32904</x:v>
      </x:c>
      <x:c r="I344" s="12">
        <x:f t="shared" si="30"/>
        <x:v>131319864</x:v>
      </x:c>
      <x:c r="J344" s="12">
        <x:f>ROUND(英雄升级调参!$D$91*英雄升级调参!$J$11*英雄升级调参!$E$19,0)</x:f>
        <x:v>173</x:v>
      </x:c>
      <x:c r="K344" s="12">
        <x:f>ROUND(英雄升级调参!$D$91*英雄升级调参!$C$11*英雄升级调参!$J$11*英雄升级调参!$G$19,0)</x:f>
        <x:v>1432</x:v>
      </x:c>
      <x:c r="L344" s="12" t="n">
        <x:f>养成消耗调参!$E$173</x:f>
        <x:v>1152</x:v>
      </x:c>
      <x:c r="M344" s="12" t="n">
        <x:f>养成消耗调参!$H$173</x:f>
        <x:v>6000</x:v>
      </x:c>
      <x:c r="N344" s="12" t="n">
        <x:f>养成消耗调参!$I$173</x:f>
        <x:v>0</x:v>
      </x:c>
      <x:c r="O344" s="12" t="n">
        <x:f>养成消耗调参!$L$173</x:f>
        <x:v>13920</x:v>
      </x:c>
      <x:c r="P344" s="12" t="n">
        <x:f>养成消耗调参!$O$173</x:f>
        <x:v>78000</x:v>
      </x:c>
      <x:c r="Q344" s="12" t="n">
        <x:f>养成消耗调参!$P$173</x:f>
        <x:v>250</x:v>
      </x:c>
      <x:c r="R344" s="13">
        <x:f>I344/英雄升级调参!$M$91-1</x:f>
        <x:v>0.0003092567588642847</x:v>
      </x:c>
      <x:c r="S344" s="6"/>
      <x:c r="T344" s="6"/>
      <x:c r="U344" s="6"/>
    </x:row>
    <x:row r="345" ht="21" customHeight="1">
      <x:c r="A345" s="14" t="n">
        <x:f>英雄升级调参!$B$19</x:f>
        <x:v>310001</x:v>
      </x:c>
      <x:c r="B345" s="14" t="str">
        <x:f>英雄升级调参!$C$19</x:f>
        <x:v>墨伊喵</x:v>
      </x:c>
      <x:c r="C345" s="6" t="str">
        <x:f>英雄升级调参!$D$19</x:f>
        <x:v>探险家</x:v>
      </x:c>
      <x:c r="D345" s="6" t="s">
        <x:v>25</x:v>
      </x:c>
      <x:c r="E345" s="6">
        <x:v>27</x:v>
      </x:c>
      <x:c r="F345" s="6" t="n">
        <x:f>英雄升级调参!$C$92</x:f>
        <x:v>6</x:v>
      </x:c>
      <x:c r="G345" s="12">
        <x:f t="shared" si="28"/>
        <x:v>4164</x:v>
      </x:c>
      <x:c r="H345" s="12">
        <x:f t="shared" si="29"/>
        <x:v>34336</x:v>
      </x:c>
      <x:c r="I345" s="12">
        <x:f t="shared" si="30"/>
        <x:v>142975104</x:v>
      </x:c>
      <x:c r="J345" s="12">
        <x:f>ROUND(英雄升级调参!$D$92*英雄升级调参!$J$11*英雄升级调参!$E$19,0)</x:f>
        <x:v>173</x:v>
      </x:c>
      <x:c r="K345" s="12">
        <x:f>ROUND(英雄升级调参!$D$92*英雄升级调参!$C$11*英雄升级调参!$J$11*英雄升级调参!$G$19,0)</x:f>
        <x:v>1432</x:v>
      </x:c>
      <x:c r="L345" s="12" t="n">
        <x:f>养成消耗调参!$E$174</x:f>
        <x:v>1152</x:v>
      </x:c>
      <x:c r="M345" s="12" t="n">
        <x:f>养成消耗调参!$H$174</x:f>
        <x:v>7800</x:v>
      </x:c>
      <x:c r="N345" s="12" t="n">
        <x:f>养成消耗调参!$I$174</x:f>
        <x:v>0</x:v>
      </x:c>
      <x:c r="O345" s="12" t="n">
        <x:f>养成消耗调参!$L$174</x:f>
        <x:v>15072</x:v>
      </x:c>
      <x:c r="P345" s="12" t="n">
        <x:f>养成消耗调参!$O$174</x:f>
        <x:v>85800</x:v>
      </x:c>
      <x:c r="Q345" s="12" t="n">
        <x:f>养成消耗调参!$P$174</x:f>
        <x:v>250</x:v>
      </x:c>
      <x:c r="R345" s="13">
        <x:f>I345/英雄升级调参!$M$92-1</x:f>
        <x:v>0.00010949958187445041</x:v>
      </x:c>
      <x:c r="S345" s="6"/>
      <x:c r="T345" s="6"/>
      <x:c r="U345" s="6"/>
    </x:row>
    <x:row r="346" ht="21" customHeight="1">
      <x:c r="A346" s="14" t="n">
        <x:f>英雄升级调参!$B$19</x:f>
        <x:v>310001</x:v>
      </x:c>
      <x:c r="B346" s="14" t="str">
        <x:f>英雄升级调参!$C$19</x:f>
        <x:v>墨伊喵</x:v>
      </x:c>
      <x:c r="C346" s="6" t="str">
        <x:f>英雄升级调参!$D$19</x:f>
        <x:v>探险家</x:v>
      </x:c>
      <x:c r="D346" s="6" t="s">
        <x:v>25</x:v>
      </x:c>
      <x:c r="E346" s="6">
        <x:v>28</x:v>
      </x:c>
      <x:c r="F346" s="6" t="n">
        <x:f>英雄升级调参!$C$93</x:f>
        <x:v>6</x:v>
      </x:c>
      <x:c r="G346" s="12">
        <x:f t="shared" si="28"/>
        <x:v>4337</x:v>
      </x:c>
      <x:c r="H346" s="12">
        <x:f t="shared" si="29"/>
        <x:v>35768</x:v>
      </x:c>
      <x:c r="I346" s="12">
        <x:f t="shared" si="30"/>
        <x:v>155125816</x:v>
      </x:c>
      <x:c r="J346" s="12">
        <x:f>ROUND(英雄升级调参!$D$93*英雄升级调参!$J$11*英雄升级调参!$E$19,0)</x:f>
        <x:v>173</x:v>
      </x:c>
      <x:c r="K346" s="12">
        <x:f>ROUND(英雄升级调参!$D$93*英雄升级调参!$C$11*英雄升级调参!$J$11*英雄升级调参!$G$19,0)</x:f>
        <x:v>1432</x:v>
      </x:c>
      <x:c r="L346" s="12" t="n">
        <x:f>养成消耗调参!$E$175</x:f>
        <x:v>1248</x:v>
      </x:c>
      <x:c r="M346" s="12" t="n">
        <x:f>养成消耗调参!$H$175</x:f>
        <x:v>7800</x:v>
      </x:c>
      <x:c r="N346" s="12" t="n">
        <x:f>养成消耗调参!$I$175</x:f>
        <x:v>0</x:v>
      </x:c>
      <x:c r="O346" s="12" t="n">
        <x:f>养成消耗调参!$L$175</x:f>
        <x:v>16320</x:v>
      </x:c>
      <x:c r="P346" s="12" t="n">
        <x:f>养成消耗调参!$O$175</x:f>
        <x:v>93600</x:v>
      </x:c>
      <x:c r="Q346" s="12" t="n">
        <x:f>养成消耗调参!$P$175</x:f>
        <x:v>250</x:v>
      </x:c>
      <x:c r="R346" s="13">
        <x:f>I346/英雄升级调参!$M$93-1</x:f>
        <x:v>-7.425034083508031e-05</x:v>
      </x:c>
      <x:c r="S346" s="6"/>
      <x:c r="T346" s="6"/>
      <x:c r="U346" s="6"/>
    </x:row>
    <x:row r="347" ht="21" customHeight="1">
      <x:c r="A347" s="14" t="n">
        <x:f>英雄升级调参!$B$19</x:f>
        <x:v>310001</x:v>
      </x:c>
      <x:c r="B347" s="14" t="str">
        <x:f>英雄升级调参!$C$19</x:f>
        <x:v>墨伊喵</x:v>
      </x:c>
      <x:c r="C347" s="6" t="str">
        <x:f>英雄升级调参!$D$19</x:f>
        <x:v>探险家</x:v>
      </x:c>
      <x:c r="D347" s="6" t="s">
        <x:v>25</x:v>
      </x:c>
      <x:c r="E347" s="6">
        <x:v>29</x:v>
      </x:c>
      <x:c r="F347" s="6" t="n">
        <x:f>英雄升级调参!$C$94</x:f>
        <x:v>6</x:v>
      </x:c>
      <x:c r="G347" s="12">
        <x:f t="shared" si="28"/>
        <x:v>4510</x:v>
      </x:c>
      <x:c r="H347" s="12">
        <x:f t="shared" si="29"/>
        <x:v>37200</x:v>
      </x:c>
      <x:c r="I347" s="12">
        <x:f t="shared" si="30"/>
        <x:v>167772000</x:v>
      </x:c>
      <x:c r="J347" s="12">
        <x:f>ROUND(英雄升级调参!$D$94*英雄升级调参!$J$11*英雄升级调参!$E$19,0)</x:f>
        <x:v>173</x:v>
      </x:c>
      <x:c r="K347" s="12">
        <x:f>ROUND(英雄升级调参!$D$94*英雄升级调参!$C$11*英雄升级调参!$J$11*英雄升级调参!$G$19,0)</x:f>
        <x:v>1432</x:v>
      </x:c>
      <x:c r="L347" s="12" t="n">
        <x:f>养成消耗调参!$E$176</x:f>
        <x:v>1248</x:v>
      </x:c>
      <x:c r="M347" s="12" t="n">
        <x:f>养成消耗调参!$H$176</x:f>
        <x:v>7800</x:v>
      </x:c>
      <x:c r="N347" s="12" t="n">
        <x:f>养成消耗调参!$I$176</x:f>
        <x:v>0</x:v>
      </x:c>
      <x:c r="O347" s="12" t="n">
        <x:f>养成消耗调参!$L$176</x:f>
        <x:v>17568</x:v>
      </x:c>
      <x:c r="P347" s="12" t="n">
        <x:f>养成消耗调参!$O$176</x:f>
        <x:v>101400</x:v>
      </x:c>
      <x:c r="Q347" s="12" t="n">
        <x:f>养成消耗调参!$P$176</x:f>
        <x:v>250</x:v>
      </x:c>
      <x:c r="R347" s="13">
        <x:f>I347/英雄升级调参!$M$94-1</x:f>
        <x:v>-0.00024384296513046966</x:v>
      </x:c>
      <x:c r="S347" s="6"/>
      <x:c r="T347" s="6"/>
      <x:c r="U347" s="6"/>
    </x:row>
    <x:row r="348" ht="21" customHeight="1">
      <x:c r="A348" s="14" t="n">
        <x:f>英雄升级调参!$B$19</x:f>
        <x:v>310001</x:v>
      </x:c>
      <x:c r="B348" s="14" t="str">
        <x:f>英雄升级调参!$C$19</x:f>
        <x:v>墨伊喵</x:v>
      </x:c>
      <x:c r="C348" s="6" t="str">
        <x:f>英雄升级调参!$D$19</x:f>
        <x:v>探险家</x:v>
      </x:c>
      <x:c r="D348" s="6" t="s">
        <x:v>25</x:v>
      </x:c>
      <x:c r="E348" s="6">
        <x:v>30</x:v>
      </x:c>
      <x:c r="F348" s="6" t="n">
        <x:f>英雄升级调参!$C$95</x:f>
        <x:v>6</x:v>
      </x:c>
      <x:c r="G348" s="12">
        <x:f t="shared" si="28"/>
        <x:v>5029</x:v>
      </x:c>
      <x:c r="H348" s="12">
        <x:f t="shared" si="29"/>
        <x:v>41496</x:v>
      </x:c>
      <x:c r="I348" s="12">
        <x:f t="shared" si="30"/>
        <x:v>208683384</x:v>
      </x:c>
      <x:c r="J348" s="12">
        <x:f>ROUND(英雄升级调参!$D$95*英雄升级调参!$J$11*英雄升级调参!$E$19,0)*3</x:f>
        <x:v>519</x:v>
      </x:c>
      <x:c r="K348" s="12">
        <x:f>ROUND(英雄升级调参!$D$95*英雄升级调参!$C$11*英雄升级调参!$J$11*英雄升级调参!$G$19,0)*3</x:f>
        <x:v>4296</x:v>
      </x:c>
      <x:c r="L348" s="12" t="n">
        <x:f>养成消耗调参!$E$177</x:f>
        <x:v>1344</x:v>
      </x:c>
      <x:c r="M348" s="12" t="n">
        <x:f>养成消耗调参!$H$177</x:f>
        <x:v>7800</x:v>
      </x:c>
      <x:c r="N348" s="12" t="n">
        <x:f>养成消耗调参!$I$177</x:f>
        <x:v>110</x:v>
      </x:c>
      <x:c r="O348" s="12" t="n">
        <x:f>养成消耗调参!$L$177</x:f>
        <x:v>18912</x:v>
      </x:c>
      <x:c r="P348" s="12" t="n">
        <x:f>养成消耗调参!$O$177</x:f>
        <x:v>109200</x:v>
      </x:c>
      <x:c r="Q348" s="12" t="n">
        <x:f>养成消耗调参!$P$177</x:f>
        <x:v>360</x:v>
      </x:c>
      <x:c r="R348" s="13">
        <x:f>I348/英雄升级调参!$M$95-1</x:f>
        <x:v>-0.0006823436032531438</x:v>
      </x:c>
      <x:c r="S348" s="6"/>
      <x:c r="T348" s="6"/>
      <x:c r="U348" s="6"/>
    </x:row>
    <x:row r="349" ht="21" customHeight="1">
      <x:c r="A349" s="14" t="n">
        <x:f>英雄升级调参!$B$19</x:f>
        <x:v>310001</x:v>
      </x:c>
      <x:c r="B349" s="14" t="str">
        <x:f>英雄升级调参!$C$19</x:f>
        <x:v>墨伊喵</x:v>
      </x:c>
      <x:c r="C349" s="6" t="str">
        <x:f>英雄升级调参!$D$19</x:f>
        <x:v>探险家</x:v>
      </x:c>
      <x:c r="D349" s="6" t="s">
        <x:v>25</x:v>
      </x:c>
      <x:c r="E349" s="6">
        <x:v>31</x:v>
      </x:c>
      <x:c r="F349" s="6" t="n">
        <x:f>英雄升级调参!$C$96</x:f>
        <x:v>7</x:v>
      </x:c>
      <x:c r="G349" s="12">
        <x:f t="shared" si="28"/>
        <x:v>5227</x:v>
      </x:c>
      <x:c r="H349" s="12">
        <x:f t="shared" si="29"/>
        <x:v>43132</x:v>
      </x:c>
      <x:c r="I349" s="12">
        <x:f t="shared" si="30"/>
        <x:v>225450964</x:v>
      </x:c>
      <x:c r="J349" s="12">
        <x:f>ROUND(英雄升级调参!$D$96*英雄升级调参!$J$11*英雄升级调参!$E$19,0)</x:f>
        <x:v>198</x:v>
      </x:c>
      <x:c r="K349" s="12">
        <x:f>ROUND(英雄升级调参!$D$96*英雄升级调参!$C$11*英雄升级调参!$J$11*英雄升级调参!$G$19,0)</x:f>
        <x:v>1636</x:v>
      </x:c>
      <x:c r="L349" s="12" t="n">
        <x:f>养成消耗调参!$E$178</x:f>
        <x:v>1344</x:v>
      </x:c>
      <x:c r="M349" s="12" t="n">
        <x:f>养成消耗调参!$H$178</x:f>
        <x:v>7800</x:v>
      </x:c>
      <x:c r="N349" s="12" t="n">
        <x:f>养成消耗调参!$I$178</x:f>
        <x:v>0</x:v>
      </x:c>
      <x:c r="O349" s="12" t="n">
        <x:f>养成消耗调参!$L$178</x:f>
        <x:v>20256</x:v>
      </x:c>
      <x:c r="P349" s="12" t="n">
        <x:f>养成消耗调参!$O$178</x:f>
        <x:v>117000</x:v>
      </x:c>
      <x:c r="Q349" s="12" t="n">
        <x:f>养成消耗调参!$P$178</x:f>
        <x:v>360</x:v>
      </x:c>
      <x:c r="R349" s="13">
        <x:f>I349/英雄升级调参!$M$96-1</x:f>
        <x:v>-0.0006649395021453008</x:v>
      </x:c>
      <x:c r="S349" s="6"/>
      <x:c r="T349" s="6"/>
      <x:c r="U349" s="6"/>
    </x:row>
    <x:row r="350" ht="21" customHeight="1">
      <x:c r="A350" s="14" t="n">
        <x:f>英雄升级调参!$B$19</x:f>
        <x:v>310001</x:v>
      </x:c>
      <x:c r="B350" s="14" t="str">
        <x:f>英雄升级调参!$C$19</x:f>
        <x:v>墨伊喵</x:v>
      </x:c>
      <x:c r="C350" s="6" t="str">
        <x:f>英雄升级调参!$D$19</x:f>
        <x:v>探险家</x:v>
      </x:c>
      <x:c r="D350" s="6" t="s">
        <x:v>25</x:v>
      </x:c>
      <x:c r="E350" s="6">
        <x:v>32</x:v>
      </x:c>
      <x:c r="F350" s="6" t="n">
        <x:f>英雄升级调参!$C$97</x:f>
        <x:v>7</x:v>
      </x:c>
      <x:c r="G350" s="12">
        <x:f t="shared" si="28"/>
        <x:v>5425</x:v>
      </x:c>
      <x:c r="H350" s="12">
        <x:f t="shared" si="29"/>
        <x:v>44768</x:v>
      </x:c>
      <x:c r="I350" s="12">
        <x:f t="shared" si="30"/>
        <x:v>242866400</x:v>
      </x:c>
      <x:c r="J350" s="12">
        <x:f>ROUND(英雄升级调参!$D$97*英雄升级调参!$J$11*英雄升级调参!$E$19,0)</x:f>
        <x:v>198</x:v>
      </x:c>
      <x:c r="K350" s="12">
        <x:f>ROUND(英雄升级调参!$D$97*英雄升级调参!$C$11*英雄升级调参!$J$11*英雄升级调参!$G$19,0)</x:f>
        <x:v>1636</x:v>
      </x:c>
      <x:c r="L350" s="12" t="n">
        <x:f>养成消耗调参!$E$179</x:f>
        <x:v>1440</x:v>
      </x:c>
      <x:c r="M350" s="12" t="n">
        <x:f>养成消耗调参!$H$179</x:f>
        <x:v>9600</x:v>
      </x:c>
      <x:c r="N350" s="12" t="n">
        <x:f>养成消耗调参!$I$179</x:f>
        <x:v>0</x:v>
      </x:c>
      <x:c r="O350" s="12" t="n">
        <x:f>养成消耗调参!$L$179</x:f>
        <x:v>21696</x:v>
      </x:c>
      <x:c r="P350" s="12" t="n">
        <x:f>养成消耗调参!$O$179</x:f>
        <x:v>126600</x:v>
      </x:c>
      <x:c r="Q350" s="12" t="n">
        <x:f>养成消耗调参!$P$179</x:f>
        <x:v>360</x:v>
      </x:c>
      <x:c r="R350" s="13">
        <x:f>I350/英雄升级调参!$M$97-1</x:f>
        <x:v>-0.0006488040330984157</x:v>
      </x:c>
      <x:c r="S350" s="6"/>
      <x:c r="T350" s="6"/>
      <x:c r="U350" s="6"/>
    </x:row>
    <x:row r="351" ht="21" customHeight="1">
      <x:c r="A351" s="14" t="n">
        <x:f>英雄升级调参!$B$19</x:f>
        <x:v>310001</x:v>
      </x:c>
      <x:c r="B351" s="14" t="str">
        <x:f>英雄升级调参!$C$19</x:f>
        <x:v>墨伊喵</x:v>
      </x:c>
      <x:c r="C351" s="6" t="str">
        <x:f>英雄升级调参!$D$19</x:f>
        <x:v>探险家</x:v>
      </x:c>
      <x:c r="D351" s="6" t="s">
        <x:v>25</x:v>
      </x:c>
      <x:c r="E351" s="6">
        <x:v>33</x:v>
      </x:c>
      <x:c r="F351" s="6" t="n">
        <x:f>英雄升级调参!$C$98</x:f>
        <x:v>7</x:v>
      </x:c>
      <x:c r="G351" s="12">
        <x:f t="shared" si="28"/>
        <x:v>5623</x:v>
      </x:c>
      <x:c r="H351" s="12">
        <x:f t="shared" si="29"/>
        <x:v>46404</x:v>
      </x:c>
      <x:c r="I351" s="12">
        <x:f t="shared" si="30"/>
        <x:v>260929692</x:v>
      </x:c>
      <x:c r="J351" s="12">
        <x:f>ROUND(英雄升级调参!$D$98*英雄升级调参!$J$11*英雄升级调参!$E$19,0)</x:f>
        <x:v>198</x:v>
      </x:c>
      <x:c r="K351" s="12">
        <x:f>ROUND(英雄升级调参!$D$98*英雄升级调参!$C$11*英雄升级调参!$J$11*英雄升级调参!$G$19,0)</x:f>
        <x:v>1636</x:v>
      </x:c>
      <x:c r="L351" s="12" t="n">
        <x:f>养成消耗调参!$E$180</x:f>
        <x:v>1440</x:v>
      </x:c>
      <x:c r="M351" s="12" t="n">
        <x:f>养成消耗调参!$H$180</x:f>
        <x:v>9600</x:v>
      </x:c>
      <x:c r="N351" s="12" t="n">
        <x:f>养成消耗调参!$I$180</x:f>
        <x:v>0</x:v>
      </x:c>
      <x:c r="O351" s="12" t="n">
        <x:f>养成消耗调参!$L$180</x:f>
        <x:v>23136</x:v>
      </x:c>
      <x:c r="P351" s="12" t="n">
        <x:f>养成消耗调参!$O$180</x:f>
        <x:v>136200</x:v>
      </x:c>
      <x:c r="Q351" s="12" t="n">
        <x:f>养成消耗调参!$P$180</x:f>
        <x:v>360</x:v>
      </x:c>
      <x:c r="R351" s="13">
        <x:f>I351/英雄升级调参!$M$98-1</x:f>
        <x:v>-0.0006338033630839401</x:v>
      </x:c>
      <x:c r="S351" s="6"/>
      <x:c r="T351" s="6"/>
      <x:c r="U351" s="6"/>
    </x:row>
    <x:row r="352" ht="21" customHeight="1">
      <x:c r="A352" s="14" t="n">
        <x:f>英雄升级调参!$B$19</x:f>
        <x:v>310001</x:v>
      </x:c>
      <x:c r="B352" s="14" t="str">
        <x:f>英雄升级调参!$C$19</x:f>
        <x:v>墨伊喵</x:v>
      </x:c>
      <x:c r="C352" s="6" t="str">
        <x:f>英雄升级调参!$D$19</x:f>
        <x:v>探险家</x:v>
      </x:c>
      <x:c r="D352" s="6" t="s">
        <x:v>25</x:v>
      </x:c>
      <x:c r="E352" s="6">
        <x:v>34</x:v>
      </x:c>
      <x:c r="F352" s="6" t="n">
        <x:f>英雄升级调参!$C$99</x:f>
        <x:v>7</x:v>
      </x:c>
      <x:c r="G352" s="12">
        <x:f t="shared" ref="G352:G368" si="31">G351+J352</x:f>
        <x:v>5821</x:v>
      </x:c>
      <x:c r="H352" s="12">
        <x:f t="shared" ref="H352:H368" si="32">H351+K352</x:f>
        <x:v>48040</x:v>
      </x:c>
      <x:c r="I352" s="12">
        <x:f t="shared" si="30"/>
        <x:v>279640840</x:v>
      </x:c>
      <x:c r="J352" s="12">
        <x:f>ROUND(英雄升级调参!$D$99*英雄升级调参!$J$11*英雄升级调参!$E$19,0)</x:f>
        <x:v>198</x:v>
      </x:c>
      <x:c r="K352" s="12">
        <x:f>ROUND(英雄升级调参!$D$99*英雄升级调参!$C$11*英雄升级调参!$J$11*英雄升级调参!$G$19,0)</x:f>
        <x:v>1636</x:v>
      </x:c>
      <x:c r="L352" s="12" t="n">
        <x:f>养成消耗调参!$E$181</x:f>
        <x:v>1536</x:v>
      </x:c>
      <x:c r="M352" s="12" t="n">
        <x:f>养成消耗调参!$H$181</x:f>
        <x:v>9600</x:v>
      </x:c>
      <x:c r="N352" s="12" t="n">
        <x:f>养成消耗调参!$I$181</x:f>
        <x:v>0</x:v>
      </x:c>
      <x:c r="O352" s="12" t="n">
        <x:f>养成消耗调参!$L$181</x:f>
        <x:v>24672</x:v>
      </x:c>
      <x:c r="P352" s="12" t="n">
        <x:f>养成消耗调参!$O$181</x:f>
        <x:v>145800</x:v>
      </x:c>
      <x:c r="Q352" s="12" t="n">
        <x:f>养成消耗调参!$P$181</x:f>
        <x:v>360</x:v>
      </x:c>
      <x:c r="R352" s="13">
        <x:f>I352/英雄升级调参!$M$99-1</x:f>
        <x:v>-0.0006198218443287384</x:v>
      </x:c>
      <x:c r="S352" s="6"/>
      <x:c r="T352" s="6"/>
      <x:c r="U352" s="6"/>
    </x:row>
    <x:row r="353" ht="21" customHeight="1">
      <x:c r="A353" s="14" t="n">
        <x:f>英雄升级调参!$B$19</x:f>
        <x:v>310001</x:v>
      </x:c>
      <x:c r="B353" s="14" t="str">
        <x:f>英雄升级调参!$C$19</x:f>
        <x:v>墨伊喵</x:v>
      </x:c>
      <x:c r="C353" s="6" t="str">
        <x:f>英雄升级调参!$D$19</x:f>
        <x:v>探险家</x:v>
      </x:c>
      <x:c r="D353" s="6" t="s">
        <x:v>25</x:v>
      </x:c>
      <x:c r="E353" s="6">
        <x:v>35</x:v>
      </x:c>
      <x:c r="F353" s="6" t="n">
        <x:f>英雄升级调参!$C$100</x:f>
        <x:v>7</x:v>
      </x:c>
      <x:c r="G353" s="12">
        <x:f t="shared" si="31"/>
        <x:v>6415</x:v>
      </x:c>
      <x:c r="H353" s="12">
        <x:f t="shared" si="32"/>
        <x:v>52948</x:v>
      </x:c>
      <x:c r="I353" s="12">
        <x:f t="shared" si="30"/>
        <x:v>339661420</x:v>
      </x:c>
      <x:c r="J353" s="12">
        <x:f>ROUND(英雄升级调参!$D$100*英雄升级调参!$J$11*英雄升级调参!$E$19,0)*3</x:f>
        <x:v>594</x:v>
      </x:c>
      <x:c r="K353" s="12">
        <x:f>ROUND(英雄升级调参!$D$100*英雄升级调参!$C$11*英雄升级调参!$J$11*英雄升级调参!$G$19,0)*3</x:f>
        <x:v>4908</x:v>
      </x:c>
      <x:c r="L353" s="12" t="n">
        <x:f>养成消耗调参!$E$182</x:f>
        <x:v>1536</x:v>
      </x:c>
      <x:c r="M353" s="12" t="n">
        <x:f>养成消耗调参!$H$182</x:f>
        <x:v>9600</x:v>
      </x:c>
      <x:c r="N353" s="12" t="n">
        <x:f>养成消耗调参!$I$182</x:f>
        <x:v>130</x:v>
      </x:c>
      <x:c r="O353" s="12" t="n">
        <x:f>养成消耗调参!$L$182</x:f>
        <x:v>26208</x:v>
      </x:c>
      <x:c r="P353" s="12" t="n">
        <x:f>养成消耗调参!$O$182</x:f>
        <x:v>155400</x:v>
      </x:c>
      <x:c r="Q353" s="12" t="n">
        <x:f>养成消耗调参!$P$182</x:f>
        <x:v>490</x:v>
      </x:c>
      <x:c r="R353" s="13">
        <x:f>I353/英雄升级调参!$M$100-1</x:f>
        <x:v>-0.0005830496316014955</x:v>
      </x:c>
      <x:c r="S353" s="6"/>
      <x:c r="T353" s="6"/>
      <x:c r="U353" s="6"/>
    </x:row>
    <x:row r="354" ht="21" customHeight="1">
      <x:c r="A354" s="14" t="n">
        <x:f>英雄升级调参!$B$19</x:f>
        <x:v>310001</x:v>
      </x:c>
      <x:c r="B354" s="14" t="str">
        <x:f>英雄升级调参!$C$19</x:f>
        <x:v>墨伊喵</x:v>
      </x:c>
      <x:c r="C354" s="6" t="str">
        <x:f>英雄升级调参!$D$19</x:f>
        <x:v>探险家</x:v>
      </x:c>
      <x:c r="D354" s="6" t="s">
        <x:v>25</x:v>
      </x:c>
      <x:c r="E354" s="6">
        <x:v>36</x:v>
      </x:c>
      <x:c r="F354" s="6" t="n">
        <x:f>英雄升级调参!$C$101</x:f>
        <x:v>8</x:v>
      </x:c>
      <x:c r="G354" s="12">
        <x:f t="shared" si="31"/>
        <x:v>6638</x:v>
      </x:c>
      <x:c r="H354" s="12">
        <x:f t="shared" si="32"/>
        <x:v>54789</x:v>
      </x:c>
      <x:c r="I354" s="12">
        <x:f t="shared" si="30"/>
        <x:v>363689382</x:v>
      </x:c>
      <x:c r="J354" s="12">
        <x:f>ROUND(英雄升级调参!$D$101*英雄升级调参!$J$11*英雄升级调参!$E$19,0)</x:f>
        <x:v>223</x:v>
      </x:c>
      <x:c r="K354" s="12">
        <x:f>ROUND(英雄升级调参!$D$101*英雄升级调参!$C$11*英雄升级调参!$J$11*英雄升级调参!$G$19,0)</x:f>
        <x:v>1841</x:v>
      </x:c>
      <x:c r="L354" s="12" t="n">
        <x:f>养成消耗调参!$E$183</x:f>
        <x:v>1632</x:v>
      </x:c>
      <x:c r="M354" s="12" t="n">
        <x:f>养成消耗调参!$H$183</x:f>
        <x:v>9600</x:v>
      </x:c>
      <x:c r="N354" s="12" t="n">
        <x:f>养成消耗调参!$I$183</x:f>
        <x:v>0</x:v>
      </x:c>
      <x:c r="O354" s="12" t="n">
        <x:f>养成消耗调参!$L$183</x:f>
        <x:v>27840</x:v>
      </x:c>
      <x:c r="P354" s="12" t="n">
        <x:f>养成消耗调参!$O$183</x:f>
        <x:v>165000</x:v>
      </x:c>
      <x:c r="Q354" s="12" t="n">
        <x:f>养成消耗调参!$P$183</x:f>
        <x:v>490</x:v>
      </x:c>
      <x:c r="R354" s="13">
        <x:f>I354/英雄升级调参!$M$101-1</x:f>
        <x:v>-0.0006069573306342058</x:v>
      </x:c>
      <x:c r="S354" s="6"/>
      <x:c r="T354" s="6"/>
      <x:c r="U354" s="6"/>
    </x:row>
    <x:row r="355" ht="21" customHeight="1">
      <x:c r="A355" s="14" t="n">
        <x:f>英雄升级调参!$B$19</x:f>
        <x:v>310001</x:v>
      </x:c>
      <x:c r="B355" s="14" t="str">
        <x:f>英雄升级调参!$C$19</x:f>
        <x:v>墨伊喵</x:v>
      </x:c>
      <x:c r="C355" s="6" t="str">
        <x:f>英雄升级调参!$D$19</x:f>
        <x:v>探险家</x:v>
      </x:c>
      <x:c r="D355" s="6" t="s">
        <x:v>25</x:v>
      </x:c>
      <x:c r="E355" s="6">
        <x:v>37</x:v>
      </x:c>
      <x:c r="F355" s="6" t="n">
        <x:f>英雄升级调参!$C$102</x:f>
        <x:v>8</x:v>
      </x:c>
      <x:c r="G355" s="12">
        <x:f t="shared" si="31"/>
        <x:v>6861</x:v>
      </x:c>
      <x:c r="H355" s="12">
        <x:f t="shared" si="32"/>
        <x:v>56630</x:v>
      </x:c>
      <x:c r="I355" s="12">
        <x:f t="shared" si="30"/>
        <x:v>388538430</x:v>
      </x:c>
      <x:c r="J355" s="12">
        <x:f>ROUND(英雄升级调参!$D$102*英雄升级调参!$J$11*英雄升级调参!$E$19,0)</x:f>
        <x:v>223</x:v>
      </x:c>
      <x:c r="K355" s="12">
        <x:f>ROUND(英雄升级调参!$D$102*英雄升级调参!$C$11*英雄升级调参!$J$11*英雄升级调参!$G$19,0)</x:f>
        <x:v>1841</x:v>
      </x:c>
      <x:c r="L355" s="12" t="n">
        <x:f>养成消耗调参!$E$184</x:f>
        <x:v>1632</x:v>
      </x:c>
      <x:c r="M355" s="12" t="n">
        <x:f>养成消耗调参!$H$184</x:f>
        <x:v>11400</x:v>
      </x:c>
      <x:c r="N355" s="12" t="n">
        <x:f>养成消耗调参!$I$184</x:f>
        <x:v>0</x:v>
      </x:c>
      <x:c r="O355" s="12" t="n">
        <x:f>养成消耗调参!$L$184</x:f>
        <x:v>29472</x:v>
      </x:c>
      <x:c r="P355" s="12" t="n">
        <x:f>养成消耗调参!$O$184</x:f>
        <x:v>176400</x:v>
      </x:c>
      <x:c r="Q355" s="12" t="n">
        <x:f>养成消耗调参!$P$184</x:f>
        <x:v>490</x:v>
      </x:c>
      <x:c r="R355" s="13">
        <x:f>I355/英雄升级调参!$M$102-1</x:f>
        <x:v>-0.0006293097697573913</x:v>
      </x:c>
      <x:c r="S355" s="6"/>
      <x:c r="T355" s="6"/>
      <x:c r="U355" s="6"/>
    </x:row>
    <x:row r="356" ht="21" customHeight="1">
      <x:c r="A356" s="14" t="n">
        <x:f>英雄升级调参!$B$19</x:f>
        <x:v>310001</x:v>
      </x:c>
      <x:c r="B356" s="14" t="str">
        <x:f>英雄升级调参!$C$19</x:f>
        <x:v>墨伊喵</x:v>
      </x:c>
      <x:c r="C356" s="6" t="str">
        <x:f>英雄升级调参!$D$19</x:f>
        <x:v>探险家</x:v>
      </x:c>
      <x:c r="D356" s="6" t="s">
        <x:v>25</x:v>
      </x:c>
      <x:c r="E356" s="6">
        <x:v>38</x:v>
      </x:c>
      <x:c r="F356" s="6" t="n">
        <x:f>英雄升级调参!$C$103</x:f>
        <x:v>8</x:v>
      </x:c>
      <x:c r="G356" s="12">
        <x:f t="shared" si="31"/>
        <x:v>7084</x:v>
      </x:c>
      <x:c r="H356" s="12">
        <x:f t="shared" si="32"/>
        <x:v>58471</x:v>
      </x:c>
      <x:c r="I356" s="12">
        <x:f t="shared" si="30"/>
        <x:v>414208564</x:v>
      </x:c>
      <x:c r="J356" s="12">
        <x:f>ROUND(英雄升级调参!$D$103*英雄升级调参!$J$11*英雄升级调参!$E$19,0)</x:f>
        <x:v>223</x:v>
      </x:c>
      <x:c r="K356" s="12">
        <x:f>ROUND(英雄升级调参!$D$103*英雄升级调参!$C$11*英雄升级调参!$J$11*英雄升级调参!$G$19,0)</x:f>
        <x:v>1841</x:v>
      </x:c>
      <x:c r="L356" s="12" t="n">
        <x:f>养成消耗调参!$E$185</x:f>
        <x:v>1728</x:v>
      </x:c>
      <x:c r="M356" s="12" t="n">
        <x:f>养成消耗调参!$H$185</x:f>
        <x:v>11400</x:v>
      </x:c>
      <x:c r="N356" s="12" t="n">
        <x:f>养成消耗调参!$I$185</x:f>
        <x:v>0</x:v>
      </x:c>
      <x:c r="O356" s="12" t="n">
        <x:f>养成消耗调参!$L$185</x:f>
        <x:v>31200</x:v>
      </x:c>
      <x:c r="P356" s="12" t="n">
        <x:f>养成消耗调参!$O$185</x:f>
        <x:v>187800</x:v>
      </x:c>
      <x:c r="Q356" s="12" t="n">
        <x:f>养成消耗调参!$P$185</x:f>
        <x:v>490</x:v>
      </x:c>
      <x:c r="R356" s="13">
        <x:f>I356/英雄升级调参!$M$103-1</x:f>
        <x:v>-0.0006502539289894305</x:v>
      </x:c>
      <x:c r="S356" s="6"/>
      <x:c r="T356" s="6"/>
      <x:c r="U356" s="6"/>
    </x:row>
    <x:row r="357" ht="21" customHeight="1">
      <x:c r="A357" s="14" t="n">
        <x:f>英雄升级调参!$B$19</x:f>
        <x:v>310001</x:v>
      </x:c>
      <x:c r="B357" s="14" t="str">
        <x:f>英雄升级调参!$C$19</x:f>
        <x:v>墨伊喵</x:v>
      </x:c>
      <x:c r="C357" s="6" t="str">
        <x:f>英雄升级调参!$D$19</x:f>
        <x:v>探险家</x:v>
      </x:c>
      <x:c r="D357" s="6" t="s">
        <x:v>25</x:v>
      </x:c>
      <x:c r="E357" s="6">
        <x:v>39</x:v>
      </x:c>
      <x:c r="F357" s="6" t="n">
        <x:f>英雄升级调参!$C$104</x:f>
        <x:v>8</x:v>
      </x:c>
      <x:c r="G357" s="12">
        <x:f t="shared" si="31"/>
        <x:v>7307</x:v>
      </x:c>
      <x:c r="H357" s="12">
        <x:f t="shared" si="32"/>
        <x:v>60312</x:v>
      </x:c>
      <x:c r="I357" s="12">
        <x:f t="shared" si="30"/>
        <x:v>440699784</x:v>
      </x:c>
      <x:c r="J357" s="12">
        <x:f>ROUND(英雄升级调参!$D$104*英雄升级调参!$J$11*英雄升级调参!$E$19,0)</x:f>
        <x:v>223</x:v>
      </x:c>
      <x:c r="K357" s="12">
        <x:f>ROUND(英雄升级调参!$D$104*英雄升级调参!$C$11*英雄升级调参!$J$11*英雄升级调参!$G$19,0)</x:f>
        <x:v>1841</x:v>
      </x:c>
      <x:c r="L357" s="12" t="n">
        <x:f>养成消耗调参!$E$186</x:f>
        <x:v>1728</x:v>
      </x:c>
      <x:c r="M357" s="12" t="n">
        <x:f>养成消耗调参!$H$186</x:f>
        <x:v>11400</x:v>
      </x:c>
      <x:c r="N357" s="12" t="n">
        <x:f>养成消耗调参!$I$186</x:f>
        <x:v>0</x:v>
      </x:c>
      <x:c r="O357" s="12" t="n">
        <x:f>养成消耗调参!$L$186</x:f>
        <x:v>32928</x:v>
      </x:c>
      <x:c r="P357" s="12" t="n">
        <x:f>养成消耗调参!$O$186</x:f>
        <x:v>199200</x:v>
      </x:c>
      <x:c r="Q357" s="12" t="n">
        <x:f>养成消耗调参!$P$186</x:f>
        <x:v>490</x:v>
      </x:c>
      <x:c r="R357" s="13">
        <x:f>I357/英雄升级调参!$M$104-1</x:f>
        <x:v>-0.0006699188334730044</x:v>
      </x:c>
      <x:c r="S357" s="6"/>
      <x:c r="T357" s="6"/>
      <x:c r="U357" s="6"/>
    </x:row>
    <x:row r="358" ht="21" customHeight="1">
      <x:c r="A358" s="14" t="n">
        <x:f>英雄升级调参!$B$19</x:f>
        <x:v>310001</x:v>
      </x:c>
      <x:c r="B358" s="14" t="str">
        <x:f>英雄升级调参!$C$19</x:f>
        <x:v>墨伊喵</x:v>
      </x:c>
      <x:c r="C358" s="6" t="str">
        <x:f>英雄升级调参!$D$19</x:f>
        <x:v>探险家</x:v>
      </x:c>
      <x:c r="D358" s="6" t="s">
        <x:v>25</x:v>
      </x:c>
      <x:c r="E358" s="6">
        <x:v>40</x:v>
      </x:c>
      <x:c r="F358" s="6" t="n">
        <x:f>英雄升级调参!$C$105</x:f>
        <x:v>8</x:v>
      </x:c>
      <x:c r="G358" s="12">
        <x:f t="shared" si="31"/>
        <x:v>7976</x:v>
      </x:c>
      <x:c r="H358" s="12">
        <x:f t="shared" si="32"/>
        <x:v>65835</x:v>
      </x:c>
      <x:c r="I358" s="12">
        <x:f t="shared" si="30"/>
        <x:v>525099960</x:v>
      </x:c>
      <x:c r="J358" s="12">
        <x:f>ROUND(英雄升级调参!$D$105*英雄升级调参!$J$11*英雄升级调参!$E$19,0)*3</x:f>
        <x:v>669</x:v>
      </x:c>
      <x:c r="K358" s="12">
        <x:f>ROUND(英雄升级调参!$D$105*英雄升级调参!$C$11*英雄升级调参!$J$11*英雄升级调参!$G$19,0)*3</x:f>
        <x:v>5523</x:v>
      </x:c>
      <x:c r="L358" s="12" t="n">
        <x:f>养成消耗调参!$E$187</x:f>
        <x:v>1824</x:v>
      </x:c>
      <x:c r="M358" s="12" t="n">
        <x:f>养成消耗调参!$H$187</x:f>
        <x:v>11400</x:v>
      </x:c>
      <x:c r="N358" s="12" t="n">
        <x:f>养成消耗调参!$I$187</x:f>
        <x:v>150</x:v>
      </x:c>
      <x:c r="O358" s="12" t="n">
        <x:f>养成消耗调参!$L$187</x:f>
        <x:v>34752</x:v>
      </x:c>
      <x:c r="P358" s="12" t="n">
        <x:f>养成消耗调参!$O$187</x:f>
        <x:v>210600</x:v>
      </x:c>
      <x:c r="Q358" s="12" t="n">
        <x:f>养成消耗调参!$P$187</x:f>
        <x:v>640</x:v>
      </x:c>
      <x:c r="R358" s="13">
        <x:f>I358/英雄升级调参!$M$105-1</x:f>
        <x:v>-0.0007223116897114856</x:v>
      </x:c>
      <x:c r="S358" s="6"/>
      <x:c r="T358" s="6"/>
      <x:c r="U358" s="6"/>
    </x:row>
    <x:row r="359" ht="21" customHeight="1">
      <x:c r="A359" s="14" t="n">
        <x:f>英雄升级调参!$B$19</x:f>
        <x:v>310001</x:v>
      </x:c>
      <x:c r="B359" s="14" t="str">
        <x:f>英雄升级调参!$C$19</x:f>
        <x:v>墨伊喵</x:v>
      </x:c>
      <x:c r="C359" s="6" t="str">
        <x:f>英雄升级调参!$D$19</x:f>
        <x:v>探险家</x:v>
      </x:c>
      <x:c r="D359" s="6" t="s">
        <x:v>25</x:v>
      </x:c>
      <x:c r="E359" s="6">
        <x:v>41</x:v>
      </x:c>
      <x:c r="F359" s="6" t="n">
        <x:f>英雄升级调参!$C$106</x:f>
        <x:v>9</x:v>
      </x:c>
      <x:c r="G359" s="12">
        <x:f t="shared" si="31"/>
        <x:v>8224</x:v>
      </x:c>
      <x:c r="H359" s="12">
        <x:f t="shared" si="32"/>
        <x:v>67880</x:v>
      </x:c>
      <x:c r="I359" s="12">
        <x:f t="shared" si="30"/>
        <x:v>558245120</x:v>
      </x:c>
      <x:c r="J359" s="12">
        <x:f>ROUND(英雄升级调参!$D$106*英雄升级调参!$J$11*英雄升级调参!$E$19,0)</x:f>
        <x:v>248</x:v>
      </x:c>
      <x:c r="K359" s="12">
        <x:f>ROUND(英雄升级调参!$D$106*英雄升级调参!$C$11*英雄升级调参!$J$11*英雄升级调参!$G$19,0)</x:f>
        <x:v>2045</x:v>
      </x:c>
      <x:c r="L359" s="12" t="n">
        <x:f>养成消耗调参!$E$188</x:f>
        <x:v>1824</x:v>
      </x:c>
      <x:c r="M359" s="12" t="n">
        <x:f>养成消耗调参!$H$188</x:f>
        <x:v>11400</x:v>
      </x:c>
      <x:c r="N359" s="12" t="n">
        <x:f>养成消耗调参!$I$188</x:f>
        <x:v>0</x:v>
      </x:c>
      <x:c r="O359" s="12" t="n">
        <x:f>养成消耗调参!$L$188</x:f>
        <x:v>36576</x:v>
      </x:c>
      <x:c r="P359" s="12" t="n">
        <x:f>养成消耗调参!$O$188</x:f>
        <x:v>222000</x:v>
      </x:c>
      <x:c r="Q359" s="12" t="n">
        <x:f>养成消耗调参!$P$188</x:f>
        <x:v>640</x:v>
      </x:c>
      <x:c r="R359" s="13">
        <x:f>I359/英雄升级调参!$M$106-1</x:f>
        <x:v>-0.0006465197750107343</x:v>
      </x:c>
      <x:c r="S359" s="6"/>
      <x:c r="T359" s="6"/>
      <x:c r="U359" s="6"/>
    </x:row>
    <x:row r="360" ht="21" customHeight="1">
      <x:c r="A360" s="14" t="n">
        <x:f>英雄升级调参!$B$19</x:f>
        <x:v>310001</x:v>
      </x:c>
      <x:c r="B360" s="14" t="str">
        <x:f>英雄升级调参!$C$19</x:f>
        <x:v>墨伊喵</x:v>
      </x:c>
      <x:c r="C360" s="6" t="str">
        <x:f>英雄升级调参!$D$19</x:f>
        <x:v>探险家</x:v>
      </x:c>
      <x:c r="D360" s="6" t="s">
        <x:v>25</x:v>
      </x:c>
      <x:c r="E360" s="6">
        <x:v>42</x:v>
      </x:c>
      <x:c r="F360" s="6" t="n">
        <x:f>英雄升级调参!$C$107</x:f>
        <x:v>9</x:v>
      </x:c>
      <x:c r="G360" s="12">
        <x:f t="shared" si="31"/>
        <x:v>8472</x:v>
      </x:c>
      <x:c r="H360" s="12">
        <x:f t="shared" si="32"/>
        <x:v>69925</x:v>
      </x:c>
      <x:c r="I360" s="12">
        <x:f t="shared" si="30"/>
        <x:v>592404600</x:v>
      </x:c>
      <x:c r="J360" s="12">
        <x:f>ROUND(英雄升级调参!$D$107*英雄升级调参!$J$11*英雄升级调参!$E$19,0)</x:f>
        <x:v>248</x:v>
      </x:c>
      <x:c r="K360" s="12">
        <x:f>ROUND(英雄升级调参!$D$107*英雄升级调参!$C$11*英雄升级调参!$J$11*英雄升级调参!$G$19,0)</x:f>
        <x:v>2045</x:v>
      </x:c>
      <x:c r="L360" s="12" t="n">
        <x:f>养成消耗调参!$E$189</x:f>
        <x:v>1920</x:v>
      </x:c>
      <x:c r="M360" s="12" t="n">
        <x:f>养成消耗调参!$H$189</x:f>
        <x:v>13200</x:v>
      </x:c>
      <x:c r="N360" s="12" t="n">
        <x:f>养成消耗调参!$I$189</x:f>
        <x:v>0</x:v>
      </x:c>
      <x:c r="O360" s="12" t="n">
        <x:f>养成消耗调参!$L$189</x:f>
        <x:v>38496</x:v>
      </x:c>
      <x:c r="P360" s="12" t="n">
        <x:f>养成消耗调参!$O$189</x:f>
        <x:v>235200</x:v>
      </x:c>
      <x:c r="Q360" s="12" t="n">
        <x:f>养成消耗调参!$P$189</x:f>
        <x:v>640</x:v>
      </x:c>
      <x:c r="R360" s="13">
        <x:f>I360/英雄升级调参!$M$107-1</x:f>
        <x:v>-0.0005751540728642368</x:v>
      </x:c>
      <x:c r="S360" s="6"/>
      <x:c r="T360" s="6"/>
      <x:c r="U360" s="6"/>
    </x:row>
    <x:row r="361" ht="21" customHeight="1">
      <x:c r="A361" s="14" t="n">
        <x:f>英雄升级调参!$B$19</x:f>
        <x:v>310001</x:v>
      </x:c>
      <x:c r="B361" s="14" t="str">
        <x:f>英雄升级调参!$C$19</x:f>
        <x:v>墨伊喵</x:v>
      </x:c>
      <x:c r="C361" s="6" t="str">
        <x:f>英雄升级调参!$D$19</x:f>
        <x:v>探险家</x:v>
      </x:c>
      <x:c r="D361" s="6" t="s">
        <x:v>25</x:v>
      </x:c>
      <x:c r="E361" s="6">
        <x:v>43</x:v>
      </x:c>
      <x:c r="F361" s="6" t="n">
        <x:f>英雄升级调参!$C$108</x:f>
        <x:v>9</x:v>
      </x:c>
      <x:c r="G361" s="12">
        <x:f t="shared" si="31"/>
        <x:v>8720</x:v>
      </x:c>
      <x:c r="H361" s="12">
        <x:f t="shared" si="32"/>
        <x:v>71970</x:v>
      </x:c>
      <x:c r="I361" s="12">
        <x:f t="shared" si="30"/>
        <x:v>627578400</x:v>
      </x:c>
      <x:c r="J361" s="12">
        <x:f>ROUND(英雄升级调参!$D$108*英雄升级调参!$J$11*英雄升级调参!$E$19,0)</x:f>
        <x:v>248</x:v>
      </x:c>
      <x:c r="K361" s="12">
        <x:f>ROUND(英雄升级调参!$D$108*英雄升级调参!$C$11*英雄升级调参!$J$11*英雄升级调参!$G$19,0)</x:f>
        <x:v>2045</x:v>
      </x:c>
      <x:c r="L361" s="12" t="n">
        <x:f>养成消耗调参!$E$190</x:f>
        <x:v>1920</x:v>
      </x:c>
      <x:c r="M361" s="12" t="n">
        <x:f>养成消耗调参!$H$190</x:f>
        <x:v>13200</x:v>
      </x:c>
      <x:c r="N361" s="12" t="n">
        <x:f>养成消耗调参!$I$190</x:f>
        <x:v>0</x:v>
      </x:c>
      <x:c r="O361" s="12" t="n">
        <x:f>养成消耗调参!$L$190</x:f>
        <x:v>40416</x:v>
      </x:c>
      <x:c r="P361" s="12" t="n">
        <x:f>养成消耗调参!$O$190</x:f>
        <x:v>248400</x:v>
      </x:c>
      <x:c r="Q361" s="12" t="n">
        <x:f>养成消耗调参!$P$190</x:f>
        <x:v>640</x:v>
      </x:c>
      <x:c r="R361" s="13">
        <x:f>I361/英雄升级调参!$M$108-1</x:f>
        <x:v>-0.0005078378506089276</x:v>
      </x:c>
      <x:c r="S361" s="6"/>
      <x:c r="T361" s="6"/>
      <x:c r="U361" s="6"/>
    </x:row>
    <x:row r="362" ht="21" customHeight="1">
      <x:c r="A362" s="14" t="n">
        <x:f>英雄升级调参!$B$19</x:f>
        <x:v>310001</x:v>
      </x:c>
      <x:c r="B362" s="14" t="str">
        <x:f>英雄升级调参!$C$19</x:f>
        <x:v>墨伊喵</x:v>
      </x:c>
      <x:c r="C362" s="6" t="str">
        <x:f>英雄升级调参!$D$19</x:f>
        <x:v>探险家</x:v>
      </x:c>
      <x:c r="D362" s="6" t="s">
        <x:v>25</x:v>
      </x:c>
      <x:c r="E362" s="6">
        <x:v>44</x:v>
      </x:c>
      <x:c r="F362" s="6" t="n">
        <x:f>英雄升级调参!$C$109</x:f>
        <x:v>9</x:v>
      </x:c>
      <x:c r="G362" s="12">
        <x:f t="shared" si="31"/>
        <x:v>8968</x:v>
      </x:c>
      <x:c r="H362" s="12">
        <x:f t="shared" si="32"/>
        <x:v>74015</x:v>
      </x:c>
      <x:c r="I362" s="12">
        <x:f t="shared" si="30"/>
        <x:v>663766520</x:v>
      </x:c>
      <x:c r="J362" s="12">
        <x:f>ROUND(英雄升级调参!$D$109*英雄升级调参!$J$11*英雄升级调参!$E$19,0)</x:f>
        <x:v>248</x:v>
      </x:c>
      <x:c r="K362" s="12">
        <x:f>ROUND(英雄升级调参!$D$109*英雄升级调参!$C$11*英雄升级调参!$J$11*英雄升级调参!$G$19,0)</x:f>
        <x:v>2045</x:v>
      </x:c>
      <x:c r="L362" s="12" t="n">
        <x:f>养成消耗调参!$E$191</x:f>
        <x:v>2016</x:v>
      </x:c>
      <x:c r="M362" s="12" t="n">
        <x:f>养成消耗调参!$H$191</x:f>
        <x:v>13200</x:v>
      </x:c>
      <x:c r="N362" s="12" t="n">
        <x:f>养成消耗调参!$I$191</x:f>
        <x:v>0</x:v>
      </x:c>
      <x:c r="O362" s="12" t="n">
        <x:f>养成消耗调参!$L$191</x:f>
        <x:v>42432</x:v>
      </x:c>
      <x:c r="P362" s="12" t="n">
        <x:f>养成消耗调参!$O$191</x:f>
        <x:v>261600</x:v>
      </x:c>
      <x:c r="Q362" s="12" t="n">
        <x:f>养成消耗调参!$P$191</x:f>
        <x:v>640</x:v>
      </x:c>
      <x:c r="R362" s="13">
        <x:f>I362/英雄升级调参!$M$109-1</x:f>
        <x:v>-0.0004442359497053294</x:v>
      </x:c>
      <x:c r="S362" s="6"/>
      <x:c r="T362" s="6"/>
      <x:c r="U362" s="6"/>
    </x:row>
    <x:row r="363" ht="21" customHeight="1">
      <x:c r="A363" s="14" t="n">
        <x:f>英雄升级调参!$B$19</x:f>
        <x:v>310001</x:v>
      </x:c>
      <x:c r="B363" s="14" t="str">
        <x:f>英雄升级调参!$C$19</x:f>
        <x:v>墨伊喵</x:v>
      </x:c>
      <x:c r="C363" s="6" t="str">
        <x:f>英雄升级调参!$D$19</x:f>
        <x:v>探险家</x:v>
      </x:c>
      <x:c r="D363" s="6" t="s">
        <x:v>25</x:v>
      </x:c>
      <x:c r="E363" s="6">
        <x:v>45</x:v>
      </x:c>
      <x:c r="F363" s="6" t="n">
        <x:f>英雄升级调参!$C$110</x:f>
        <x:v>9</x:v>
      </x:c>
      <x:c r="G363" s="12">
        <x:f t="shared" si="31"/>
        <x:v>9712</x:v>
      </x:c>
      <x:c r="H363" s="12">
        <x:f t="shared" si="32"/>
        <x:v>80150</x:v>
      </x:c>
      <x:c r="I363" s="12">
        <x:f t="shared" si="30"/>
        <x:v>778416800</x:v>
      </x:c>
      <x:c r="J363" s="12">
        <x:f>ROUND(英雄升级调参!$D$110*英雄升级调参!$J$11*英雄升级调参!$E$19,0)*3</x:f>
        <x:v>744</x:v>
      </x:c>
      <x:c r="K363" s="12">
        <x:f>ROUND(英雄升级调参!$D$110*英雄升级调参!$C$11*英雄升级调参!$J$11*英雄升级调参!$G$19,0)*3</x:f>
        <x:v>6135</x:v>
      </x:c>
      <x:c r="L363" s="12" t="n">
        <x:f>养成消耗调参!$E$192</x:f>
        <x:v>2016</x:v>
      </x:c>
      <x:c r="M363" s="12" t="n">
        <x:f>养成消耗调参!$H$192</x:f>
        <x:v>13200</x:v>
      </x:c>
      <x:c r="N363" s="12" t="n">
        <x:f>养成消耗调参!$I$192</x:f>
        <x:v>170</x:v>
      </x:c>
      <x:c r="O363" s="12" t="n">
        <x:f>养成消耗调参!$L$192</x:f>
        <x:v>44448</x:v>
      </x:c>
      <x:c r="P363" s="12" t="n">
        <x:f>养成消耗调参!$O$192</x:f>
        <x:v>274800</x:v>
      </x:c>
      <x:c r="Q363" s="12" t="n">
        <x:f>养成消耗调参!$P$192</x:f>
        <x:v>810</x:v>
      </x:c>
      <x:c r="R363" s="13">
        <x:f>I363/英雄升级调参!$M$110-1</x:f>
        <x:v>-0.00027287697520028686</x:v>
      </x:c>
      <x:c r="S363" s="6"/>
      <x:c r="T363" s="6"/>
      <x:c r="U363" s="6"/>
    </x:row>
    <x:row r="364" ht="21" customHeight="1">
      <x:c r="A364" s="14" t="n">
        <x:f>英雄升级调参!$B$19</x:f>
        <x:v>310001</x:v>
      </x:c>
      <x:c r="B364" s="14" t="str">
        <x:f>英雄升级调参!$C$19</x:f>
        <x:v>墨伊喵</x:v>
      </x:c>
      <x:c r="C364" s="6" t="str">
        <x:f>英雄升级调参!$D$19</x:f>
        <x:v>探险家</x:v>
      </x:c>
      <x:c r="D364" s="6" t="s">
        <x:v>25</x:v>
      </x:c>
      <x:c r="E364" s="6">
        <x:v>46</x:v>
      </x:c>
      <x:c r="F364" s="6" t="n">
        <x:f>英雄升级调参!$C$111</x:f>
        <x:v>10</x:v>
      </x:c>
      <x:c r="G364" s="12">
        <x:f t="shared" si="31"/>
        <x:v>9984</x:v>
      </x:c>
      <x:c r="H364" s="12">
        <x:f t="shared" si="32"/>
        <x:v>82400</x:v>
      </x:c>
      <x:c r="I364" s="12">
        <x:f t="shared" si="30"/>
        <x:v>822681600</x:v>
      </x:c>
      <x:c r="J364" s="12">
        <x:f>ROUND(英雄升级调参!$D$111*英雄升级调参!$J$11*英雄升级调参!$E$19,0)</x:f>
        <x:v>272</x:v>
      </x:c>
      <x:c r="K364" s="12">
        <x:f>ROUND(英雄升级调参!$D$111*英雄升级调参!$C$11*英雄升级调参!$J$11*英雄升级调参!$G$19,0)</x:f>
        <x:v>2250</x:v>
      </x:c>
      <x:c r="L364" s="12" t="n">
        <x:f>养成消耗调参!$E$193</x:f>
        <x:v>2112</x:v>
      </x:c>
      <x:c r="M364" s="12" t="n">
        <x:f>养成消耗调参!$H$193</x:f>
        <x:v>13200</x:v>
      </x:c>
      <x:c r="N364" s="12" t="n">
        <x:f>养成消耗调参!$I$193</x:f>
        <x:v>0</x:v>
      </x:c>
      <x:c r="O364" s="12" t="n">
        <x:f>养成消耗调参!$L$193</x:f>
        <x:v>46560</x:v>
      </x:c>
      <x:c r="P364" s="12" t="n">
        <x:f>养成消耗调参!$O$193</x:f>
        <x:v>288000</x:v>
      </x:c>
      <x:c r="Q364" s="12" t="n">
        <x:f>养成消耗调参!$P$193</x:f>
        <x:v>810</x:v>
      </x:c>
      <x:c r="R364" s="13">
        <x:f>I364/英雄升级调参!$M$111-1</x:f>
        <x:v>-0.000345524621367832</x:v>
      </x:c>
      <x:c r="S364" s="6"/>
      <x:c r="T364" s="6"/>
      <x:c r="U364" s="6"/>
    </x:row>
    <x:row r="365" ht="21" customHeight="1">
      <x:c r="A365" s="14" t="n">
        <x:f>英雄升级调参!$B$19</x:f>
        <x:v>310001</x:v>
      </x:c>
      <x:c r="B365" s="14" t="str">
        <x:f>英雄升级调参!$C$19</x:f>
        <x:v>墨伊喵</x:v>
      </x:c>
      <x:c r="C365" s="6" t="str">
        <x:f>英雄升级调参!$D$19</x:f>
        <x:v>探险家</x:v>
      </x:c>
      <x:c r="D365" s="6" t="s">
        <x:v>25</x:v>
      </x:c>
      <x:c r="E365" s="6">
        <x:v>47</x:v>
      </x:c>
      <x:c r="F365" s="6" t="n">
        <x:f>英雄升级调参!$C$112</x:f>
        <x:v>10</x:v>
      </x:c>
      <x:c r="G365" s="12">
        <x:f t="shared" si="31"/>
        <x:v>10256</x:v>
      </x:c>
      <x:c r="H365" s="12">
        <x:f t="shared" si="32"/>
        <x:v>84650</x:v>
      </x:c>
      <x:c r="I365" s="12">
        <x:f t="shared" si="30"/>
        <x:v>868170400</x:v>
      </x:c>
      <x:c r="J365" s="12">
        <x:f>ROUND(英雄升级调参!$D$112*英雄升级调参!$J$11*英雄升级调参!$E$19,0)</x:f>
        <x:v>272</x:v>
      </x:c>
      <x:c r="K365" s="12">
        <x:f>ROUND(英雄升级调参!$D$112*英雄升级调参!$C$11*英雄升级调参!$J$11*英雄升级调参!$G$19,0)</x:f>
        <x:v>2250</x:v>
      </x:c>
      <x:c r="L365" s="12" t="n">
        <x:f>养成消耗调参!$E$194</x:f>
        <x:v>2112</x:v>
      </x:c>
      <x:c r="M365" s="12" t="n">
        <x:f>养成消耗调参!$H$194</x:f>
        <x:v>15000</x:v>
      </x:c>
      <x:c r="N365" s="12" t="n">
        <x:f>养成消耗调参!$I$194</x:f>
        <x:v>0</x:v>
      </x:c>
      <x:c r="O365" s="12" t="n">
        <x:f>养成消耗调参!$L$194</x:f>
        <x:v>48672</x:v>
      </x:c>
      <x:c r="P365" s="12" t="n">
        <x:f>养成消耗调参!$O$194</x:f>
        <x:v>303000</x:v>
      </x:c>
      <x:c r="Q365" s="12" t="n">
        <x:f>养成消耗调参!$P$194</x:f>
        <x:v>810</x:v>
      </x:c>
      <x:c r="R365" s="13">
        <x:f>I365/英雄升级调参!$M$112-1</x:f>
        <x:v>-0.0004143091206588734</x:v>
      </x:c>
      <x:c r="S365" s="6"/>
      <x:c r="T365" s="6"/>
      <x:c r="U365" s="6"/>
    </x:row>
    <x:row r="366" ht="21" customHeight="1">
      <x:c r="A366" s="14" t="n">
        <x:f>英雄升级调参!$B$19</x:f>
        <x:v>310001</x:v>
      </x:c>
      <x:c r="B366" s="14" t="str">
        <x:f>英雄升级调参!$C$19</x:f>
        <x:v>墨伊喵</x:v>
      </x:c>
      <x:c r="C366" s="6" t="str">
        <x:f>英雄升级调参!$D$19</x:f>
        <x:v>探险家</x:v>
      </x:c>
      <x:c r="D366" s="6" t="s">
        <x:v>25</x:v>
      </x:c>
      <x:c r="E366" s="6">
        <x:v>48</x:v>
      </x:c>
      <x:c r="F366" s="6" t="n">
        <x:f>英雄升级调参!$C$113</x:f>
        <x:v>10</x:v>
      </x:c>
      <x:c r="G366" s="12">
        <x:f t="shared" si="31"/>
        <x:v>10528</x:v>
      </x:c>
      <x:c r="H366" s="12">
        <x:f t="shared" si="32"/>
        <x:v>86900</x:v>
      </x:c>
      <x:c r="I366" s="12">
        <x:f t="shared" si="30"/>
        <x:v>914883200</x:v>
      </x:c>
      <x:c r="J366" s="12">
        <x:f>ROUND(英雄升级调参!$D$113*英雄升级调参!$J$11*英雄升级调参!$E$19,0)</x:f>
        <x:v>272</x:v>
      </x:c>
      <x:c r="K366" s="12">
        <x:f>ROUND(英雄升级调参!$D$113*英雄升级调参!$C$11*英雄升级调参!$J$11*英雄升级调参!$G$19,0)</x:f>
        <x:v>2250</x:v>
      </x:c>
      <x:c r="L366" s="12" t="n">
        <x:f>养成消耗调参!$E$195</x:f>
        <x:v>2208</x:v>
      </x:c>
      <x:c r="M366" s="12" t="n">
        <x:f>养成消耗调参!$H$195</x:f>
        <x:v>15000</x:v>
      </x:c>
      <x:c r="N366" s="12" t="n">
        <x:f>养成消耗调参!$I$195</x:f>
        <x:v>0</x:v>
      </x:c>
      <x:c r="O366" s="12" t="n">
        <x:f>养成消耗调参!$L$195</x:f>
        <x:v>50880</x:v>
      </x:c>
      <x:c r="P366" s="12" t="n">
        <x:f>养成消耗调参!$O$195</x:f>
        <x:v>318000</x:v>
      </x:c>
      <x:c r="Q366" s="12" t="n">
        <x:f>养成消耗调参!$P$195</x:f>
        <x:v>810</x:v>
      </x:c>
      <x:c r="R366" s="13">
        <x:f>I366/英雄升级调参!$M$113-1</x:f>
        <x:v>-0.00047953063518479944</x:v>
      </x:c>
      <x:c r="S366" s="6"/>
      <x:c r="T366" s="6"/>
      <x:c r="U366" s="6"/>
    </x:row>
    <x:row r="367" ht="21" customHeight="1">
      <x:c r="A367" s="14" t="n">
        <x:f>英雄升级调参!$B$19</x:f>
        <x:v>310001</x:v>
      </x:c>
      <x:c r="B367" s="14" t="str">
        <x:f>英雄升级调参!$C$19</x:f>
        <x:v>墨伊喵</x:v>
      </x:c>
      <x:c r="C367" s="6" t="str">
        <x:f>英雄升级调参!$D$19</x:f>
        <x:v>探险家</x:v>
      </x:c>
      <x:c r="D367" s="6" t="s">
        <x:v>25</x:v>
      </x:c>
      <x:c r="E367" s="6">
        <x:v>49</x:v>
      </x:c>
      <x:c r="F367" s="6" t="n">
        <x:f>英雄升级调参!$C$114</x:f>
        <x:v>10</x:v>
      </x:c>
      <x:c r="G367" s="12">
        <x:f t="shared" si="31"/>
        <x:v>10800</x:v>
      </x:c>
      <x:c r="H367" s="12">
        <x:f t="shared" si="32"/>
        <x:v>89150</x:v>
      </x:c>
      <x:c r="I367" s="12">
        <x:f t="shared" si="30"/>
        <x:v>962820000</x:v>
      </x:c>
      <x:c r="J367" s="12">
        <x:f>ROUND(英雄升级调参!$D$114*英雄升级调参!$J$11*英雄升级调参!$E$19,0)</x:f>
        <x:v>272</x:v>
      </x:c>
      <x:c r="K367" s="12">
        <x:f>ROUND(英雄升级调参!$D$114*英雄升级调参!$C$11*英雄升级调参!$J$11*英雄升级调参!$G$19,0)</x:f>
        <x:v>2250</x:v>
      </x:c>
      <x:c r="L367" s="12" t="n">
        <x:f>养成消耗调参!$E$196</x:f>
        <x:v>2208</x:v>
      </x:c>
      <x:c r="M367" s="12" t="n">
        <x:f>养成消耗调参!$H$196</x:f>
        <x:v>15000</x:v>
      </x:c>
      <x:c r="N367" s="12" t="n">
        <x:f>养成消耗调参!$I$196</x:f>
        <x:v>0</x:v>
      </x:c>
      <x:c r="O367" s="12" t="n">
        <x:f>养成消耗调参!$L$196</x:f>
        <x:v>53088</x:v>
      </x:c>
      <x:c r="P367" s="12" t="n">
        <x:f>养成消耗调参!$O$196</x:f>
        <x:v>333000</x:v>
      </x:c>
      <x:c r="Q367" s="12" t="n">
        <x:f>养成消耗调参!$P$196</x:f>
        <x:v>810</x:v>
      </x:c>
      <x:c r="R367" s="13">
        <x:f>I367/英雄升级调参!$M$114-1</x:f>
        <x:v>-0.0005414590157690746</x:v>
      </x:c>
      <x:c r="S367" s="6"/>
      <x:c r="T367" s="6"/>
      <x:c r="U367" s="6"/>
    </x:row>
    <x:row r="368" ht="21" customHeight="1">
      <x:c r="A368" s="14" t="n">
        <x:f>英雄升级调参!$B$19</x:f>
        <x:v>310001</x:v>
      </x:c>
      <x:c r="B368" s="14" t="str">
        <x:f>英雄升级调参!$C$19</x:f>
        <x:v>墨伊喵</x:v>
      </x:c>
      <x:c r="C368" s="6" t="str">
        <x:f>英雄升级调参!$D$19</x:f>
        <x:v>探险家</x:v>
      </x:c>
      <x:c r="D368" s="6" t="s">
        <x:v>25</x:v>
      </x:c>
      <x:c r="E368" s="6">
        <x:v>50</x:v>
      </x:c>
      <x:c r="F368" s="6" t="n">
        <x:f>英雄升级调参!$C$115</x:f>
        <x:v>10</x:v>
      </x:c>
      <x:c r="G368" s="12">
        <x:f t="shared" si="31"/>
        <x:v>11616</x:v>
      </x:c>
      <x:c r="H368" s="12">
        <x:f t="shared" si="32"/>
        <x:v>95900</x:v>
      </x:c>
      <x:c r="I368" s="12">
        <x:f t="shared" si="30"/>
        <x:v>1113974400</x:v>
      </x:c>
      <x:c r="J368" s="12">
        <x:f>ROUND(英雄升级调参!$D$115*英雄升级调参!$J$11*英雄升级调参!$E$19,0)*3</x:f>
        <x:v>816</x:v>
      </x:c>
      <x:c r="K368" s="12">
        <x:f>ROUND(英雄升级调参!$D$115*英雄升级调参!$C$11*英雄升级调参!$J$11*英雄升级调参!$G$19,0)*3</x:f>
        <x:v>6750</x:v>
      </x:c>
      <x:c r="L368" s="12" t="n">
        <x:f>养成消耗调参!$E$197</x:f>
        <x:v>2304</x:v>
      </x:c>
      <x:c r="M368" s="12" t="n">
        <x:f>养成消耗调参!$H$197</x:f>
        <x:v>15000</x:v>
      </x:c>
      <x:c r="N368" s="12" t="n">
        <x:f>养成消耗调参!$I$197</x:f>
        <x:v>190</x:v>
      </x:c>
      <x:c r="O368" s="12" t="n">
        <x:f>养成消耗调参!$L$197</x:f>
        <x:v>55392</x:v>
      </x:c>
      <x:c r="P368" s="12" t="n">
        <x:f>养成消耗调参!$O$197</x:f>
        <x:v>348000</x:v>
      </x:c>
      <x:c r="Q368" s="12" t="n">
        <x:f>养成消耗调参!$P$197</x:f>
        <x:v>1000</x:v>
      </x:c>
      <x:c r="R368" s="13">
        <x:f>I368/英雄升级调参!$M$115-1</x:f>
        <x:v>-0.0007098038851062194</x:v>
      </x:c>
      <x:c r="S368" s="6"/>
      <x:c r="T368" s="6"/>
      <x:c r="U368" s="6"/>
    </x:row>
    <x:row r="369" ht="21" customHeight="1">
      <x:c r="A369" s="14" t="n">
        <x:f>英雄升级调参!$B$20</x:f>
        <x:v>310002</x:v>
      </x:c>
      <x:c r="B369" s="14" t="str">
        <x:f>英雄升级调参!$C$20</x:f>
        <x:v>贝尔熊</x:v>
      </x:c>
      <x:c r="C369" s="6" t="str">
        <x:f>英雄升级调参!$D$20</x:f>
        <x:v>生存者</x:v>
      </x:c>
      <x:c r="D369" s="6" t="s">
        <x:v>18</x:v>
      </x:c>
      <x:c r="E369" s="6">
        <x:v>1</x:v>
      </x:c>
      <x:c r="F369" s="6" t="n">
        <x:f>英雄升级调参!$C$66</x:f>
        <x:v>1</x:v>
      </x:c>
      <x:c r="G369" s="12" t="n">
        <x:f>ROUND(英雄升级调参!$E$66*英雄升级调参!$E$20,0)</x:f>
        <x:v>51</x:v>
      </x:c>
      <x:c r="H369" s="12" t="n">
        <x:f>ROUND(英雄升级调参!$F$66*英雄升级调参!$G$20,0)</x:f>
        <x:v>706</x:v>
      </x:c>
      <x:c r="I369" s="12">
        <x:f t="shared" si="30"/>
        <x:v>36006</x:v>
      </x:c>
      <x:c r="J369" s="12" t="n">
        <x:f>0</x:f>
        <x:v>0</x:v>
      </x:c>
      <x:c r="K369" s="12" t="n">
        <x:f>0</x:f>
        <x:v>0</x:v>
      </x:c>
      <x:c r="L369" s="12" t="n">
        <x:f>养成消耗调参!$C$148</x:f>
        <x:v>0</x:v>
      </x:c>
      <x:c r="M369" s="12" t="n">
        <x:f>养成消耗调参!$F$148</x:f>
        <x:v>0</x:v>
      </x:c>
      <x:c r="N369" s="12" t="n">
        <x:f>养成消耗调参!$I$148</x:f>
        <x:v>0</x:v>
      </x:c>
      <x:c r="O369" s="12" t="n">
        <x:f>养成消耗调参!$J$148</x:f>
        <x:v>0</x:v>
      </x:c>
      <x:c r="P369" s="12" t="n">
        <x:f>养成消耗调参!$M$148</x:f>
        <x:v>0</x:v>
      </x:c>
      <x:c r="Q369" s="12" t="n">
        <x:f>养成消耗调参!$P$148</x:f>
        <x:v>0</x:v>
      </x:c>
      <x:c r="R369" s="13" t="n">
        <x:f>I369/英雄升级调参!$G$66-1</x:f>
        <x:v>0.0001666666666666483</x:v>
      </x:c>
      <x:c r="S369" s="6"/>
      <x:c r="T369" s="6"/>
      <x:c r="U369" s="6"/>
    </x:row>
    <x:row r="370" ht="21" customHeight="1">
      <x:c r="A370" s="14" t="n">
        <x:f>英雄升级调参!$B$20</x:f>
        <x:v>310002</x:v>
      </x:c>
      <x:c r="B370" s="14" t="str">
        <x:f>英雄升级调参!$C$20</x:f>
        <x:v>贝尔熊</x:v>
      </x:c>
      <x:c r="C370" s="6" t="str">
        <x:f>英雄升级调参!$D$20</x:f>
        <x:v>生存者</x:v>
      </x:c>
      <x:c r="D370" s="6" t="s">
        <x:v>18</x:v>
      </x:c>
      <x:c r="E370" s="6">
        <x:v>2</x:v>
      </x:c>
      <x:c r="F370" s="6" t="n">
        <x:f>英雄升级调参!$C$67</x:f>
        <x:v>1</x:v>
      </x:c>
      <x:c r="G370" s="12">
        <x:f t="shared" ref="G370:G401" si="33">G369+J370</x:f>
        <x:v>66</x:v>
      </x:c>
      <x:c r="H370" s="12">
        <x:f t="shared" ref="H370:H401" si="34">H369+K370</x:f>
        <x:v>918</x:v>
      </x:c>
      <x:c r="I370" s="12">
        <x:f t="shared" si="30"/>
        <x:v>60588</x:v>
      </x:c>
      <x:c r="J370" s="12">
        <x:f>ROUND(英雄升级调参!$D$67*英雄升级调参!$J$9*英雄升级调参!$E$20,0)</x:f>
        <x:v>15</x:v>
      </x:c>
      <x:c r="K370" s="12">
        <x:f>ROUND(英雄升级调参!$D$67*英雄升级调参!$C$11*英雄升级调参!$J$9*英雄升级调参!$G$20,0)</x:f>
        <x:v>212</x:v>
      </x:c>
      <x:c r="L370" s="12" t="n">
        <x:f>养成消耗调参!$C$149</x:f>
        <x:v>24</x:v>
      </x:c>
      <x:c r="M370" s="12" t="n">
        <x:f>养成消耗调参!$F$149</x:f>
        <x:v>300</x:v>
      </x:c>
      <x:c r="N370" s="12" t="n">
        <x:f>养成消耗调参!$I$149</x:f>
        <x:v>0</x:v>
      </x:c>
      <x:c r="O370" s="12" t="n">
        <x:f>养成消耗调参!$J$149</x:f>
        <x:v>24</x:v>
      </x:c>
      <x:c r="P370" s="12" t="n">
        <x:f>养成消耗调参!$M$149</x:f>
        <x:v>300</x:v>
      </x:c>
      <x:c r="Q370" s="12" t="n">
        <x:f>养成消耗调参!$P$149</x:f>
        <x:v>0</x:v>
      </x:c>
      <x:c r="R370" s="13">
        <x:f>I370/英雄升级调参!$G$67-1</x:f>
        <x:v>-0.004142011834319503</x:v>
      </x:c>
      <x:c r="S370" s="6"/>
      <x:c r="T370" s="6"/>
      <x:c r="U370" s="6"/>
    </x:row>
    <x:row r="371" ht="21" customHeight="1">
      <x:c r="A371" s="14" t="n">
        <x:f>英雄升级调参!$B$20</x:f>
        <x:v>310002</x:v>
      </x:c>
      <x:c r="B371" s="14" t="str">
        <x:f>英雄升级调参!$C$20</x:f>
        <x:v>贝尔熊</x:v>
      </x:c>
      <x:c r="C371" s="6" t="str">
        <x:f>英雄升级调参!$D$20</x:f>
        <x:v>生存者</x:v>
      </x:c>
      <x:c r="D371" s="6" t="s">
        <x:v>18</x:v>
      </x:c>
      <x:c r="E371" s="6">
        <x:v>3</x:v>
      </x:c>
      <x:c r="F371" s="6" t="n">
        <x:f>英雄升级调参!$C$68</x:f>
        <x:v>1</x:v>
      </x:c>
      <x:c r="G371" s="12">
        <x:f t="shared" si="33"/>
        <x:v>81</x:v>
      </x:c>
      <x:c r="H371" s="12">
        <x:f t="shared" si="34"/>
        <x:v>1130</x:v>
      </x:c>
      <x:c r="I371" s="12">
        <x:f t="shared" si="30"/>
        <x:v>91530</x:v>
      </x:c>
      <x:c r="J371" s="12">
        <x:f>ROUND(英雄升级调参!$D$68*英雄升级调参!$J$9*英雄升级调参!$E$20,0)</x:f>
        <x:v>15</x:v>
      </x:c>
      <x:c r="K371" s="12">
        <x:f>ROUND(英雄升级调参!$D$68*英雄升级调参!$C$11*英雄升级调参!$J$9*英雄升级调参!$G$20,0)</x:f>
        <x:v>212</x:v>
      </x:c>
      <x:c r="L371" s="12" t="n">
        <x:f>养成消耗调参!$C$150</x:f>
        <x:v>24</x:v>
      </x:c>
      <x:c r="M371" s="12" t="n">
        <x:f>养成消耗调参!$F$150</x:f>
        <x:v>300</x:v>
      </x:c>
      <x:c r="N371" s="12" t="n">
        <x:f>养成消耗调参!$I$150</x:f>
        <x:v>0</x:v>
      </x:c>
      <x:c r="O371" s="12" t="n">
        <x:f>养成消耗调参!$J$150</x:f>
        <x:v>48</x:v>
      </x:c>
      <x:c r="P371" s="12" t="n">
        <x:f>养成消耗调参!$M$150</x:f>
        <x:v>600</x:v>
      </x:c>
      <x:c r="Q371" s="12" t="n">
        <x:f>养成消耗调参!$P$150</x:f>
        <x:v>0</x:v>
      </x:c>
      <x:c r="R371" s="13">
        <x:f>I371/英雄升级调参!$G$68-1</x:f>
        <x:v>-0.0068359375</x:v>
      </x:c>
      <x:c r="S371" s="6"/>
      <x:c r="T371" s="6"/>
      <x:c r="U371" s="6"/>
    </x:row>
    <x:row r="372" ht="21" customHeight="1">
      <x:c r="A372" s="14" t="n">
        <x:f>英雄升级调参!$B$20</x:f>
        <x:v>310002</x:v>
      </x:c>
      <x:c r="B372" s="14" t="str">
        <x:f>英雄升级调参!$C$20</x:f>
        <x:v>贝尔熊</x:v>
      </x:c>
      <x:c r="C372" s="6" t="str">
        <x:f>英雄升级调参!$D$20</x:f>
        <x:v>生存者</x:v>
      </x:c>
      <x:c r="D372" s="6" t="s">
        <x:v>18</x:v>
      </x:c>
      <x:c r="E372" s="6">
        <x:v>4</x:v>
      </x:c>
      <x:c r="F372" s="6" t="n">
        <x:f>英雄升级调参!$C$69</x:f>
        <x:v>1</x:v>
      </x:c>
      <x:c r="G372" s="12">
        <x:f t="shared" si="33"/>
        <x:v>96</x:v>
      </x:c>
      <x:c r="H372" s="12">
        <x:f t="shared" si="34"/>
        <x:v>1342</x:v>
      </x:c>
      <x:c r="I372" s="12">
        <x:f t="shared" si="30"/>
        <x:v>128832</x:v>
      </x:c>
      <x:c r="J372" s="12">
        <x:f>ROUND(英雄升级调参!$D$69*英雄升级调参!$J$9*英雄升级调参!$E$20,0)</x:f>
        <x:v>15</x:v>
      </x:c>
      <x:c r="K372" s="12">
        <x:f>ROUND(英雄升级调参!$D$69*英雄升级调参!$C$11*英雄升级调参!$J$9*英雄升级调参!$G$20,0)</x:f>
        <x:v>212</x:v>
      </x:c>
      <x:c r="L372" s="12" t="n">
        <x:f>养成消耗调参!$C$151</x:f>
        <x:v>48</x:v>
      </x:c>
      <x:c r="M372" s="12" t="n">
        <x:f>养成消耗调参!$F$151</x:f>
        <x:v>300</x:v>
      </x:c>
      <x:c r="N372" s="12" t="n">
        <x:f>养成消耗调参!$I$151</x:f>
        <x:v>0</x:v>
      </x:c>
      <x:c r="O372" s="12" t="n">
        <x:f>养成消耗调参!$J$151</x:f>
        <x:v>96</x:v>
      </x:c>
      <x:c r="P372" s="12" t="n">
        <x:f>养成消耗调参!$M$151</x:f>
        <x:v>900</x:v>
      </x:c>
      <x:c r="Q372" s="12" t="n">
        <x:f>养成消耗调参!$P$151</x:f>
        <x:v>0</x:v>
      </x:c>
      <x:c r="R372" s="13">
        <x:f>I372/英雄升级调参!$G$69-1</x:f>
        <x:v>-0.008679593721145018</x:v>
      </x:c>
      <x:c r="S372" s="6"/>
      <x:c r="T372" s="6"/>
      <x:c r="U372" s="6"/>
    </x:row>
    <x:row r="373" ht="21" customHeight="1">
      <x:c r="A373" s="14" t="n">
        <x:f>英雄升级调参!$B$20</x:f>
        <x:v>310002</x:v>
      </x:c>
      <x:c r="B373" s="14" t="str">
        <x:f>英雄升级调参!$C$20</x:f>
        <x:v>贝尔熊</x:v>
      </x:c>
      <x:c r="C373" s="6" t="str">
        <x:f>英雄升级调参!$D$20</x:f>
        <x:v>生存者</x:v>
      </x:c>
      <x:c r="D373" s="6" t="s">
        <x:v>18</x:v>
      </x:c>
      <x:c r="E373" s="6">
        <x:v>5</x:v>
      </x:c>
      <x:c r="F373" s="6" t="n">
        <x:f>英雄升级调参!$C$70</x:f>
        <x:v>1</x:v>
      </x:c>
      <x:c r="G373" s="12">
        <x:f t="shared" si="33"/>
        <x:v>141</x:v>
      </x:c>
      <x:c r="H373" s="12">
        <x:f t="shared" si="34"/>
        <x:v>1978</x:v>
      </x:c>
      <x:c r="I373" s="12">
        <x:f t="shared" si="30"/>
        <x:v>278898</x:v>
      </x:c>
      <x:c r="J373" s="12">
        <x:f>ROUND(英雄升级调参!$D$70*英雄升级调参!$J$9*英雄升级调参!$E$20,0)*3</x:f>
        <x:v>45</x:v>
      </x:c>
      <x:c r="K373" s="12">
        <x:f>ROUND(英雄升级调参!$D$70*英雄升级调参!$C$11*英雄升级调参!$J$9*英雄升级调参!$G$20,0)*3</x:f>
        <x:v>636</x:v>
      </x:c>
      <x:c r="L373" s="12" t="n">
        <x:f>养成消耗调参!$C$152</x:f>
        <x:v>72</x:v>
      </x:c>
      <x:c r="M373" s="12" t="n">
        <x:f>养成消耗调参!$F$152</x:f>
        <x:v>300</x:v>
      </x:c>
      <x:c r="N373" s="12" t="n">
        <x:f>养成消耗调参!$I$152</x:f>
        <x:v>10</x:v>
      </x:c>
      <x:c r="O373" s="12" t="n">
        <x:f>养成消耗调参!$J$152</x:f>
        <x:v>168</x:v>
      </x:c>
      <x:c r="P373" s="12" t="n">
        <x:f>养成消耗调参!$M$152</x:f>
        <x:v>1200</x:v>
      </x:c>
      <x:c r="Q373" s="12" t="n">
        <x:f>养成消耗调参!$P$152</x:f>
        <x:v>10</x:v>
      </x:c>
      <x:c r="R373" s="13">
        <x:f>I373/英雄升级调参!$G$70-1</x:f>
        <x:v>-0.011840986394557773</x:v>
      </x:c>
      <x:c r="S373" s="6"/>
      <x:c r="T373" s="6"/>
      <x:c r="U373" s="6"/>
    </x:row>
    <x:row r="374" ht="21" customHeight="1">
      <x:c r="A374" s="14" t="n">
        <x:f>英雄升级调参!$B$20</x:f>
        <x:v>310002</x:v>
      </x:c>
      <x:c r="B374" s="14" t="str">
        <x:f>英雄升级调参!$C$20</x:f>
        <x:v>贝尔熊</x:v>
      </x:c>
      <x:c r="C374" s="6" t="str">
        <x:f>英雄升级调参!$D$20</x:f>
        <x:v>生存者</x:v>
      </x:c>
      <x:c r="D374" s="6" t="s">
        <x:v>18</x:v>
      </x:c>
      <x:c r="E374" s="6">
        <x:v>6</x:v>
      </x:c>
      <x:c r="F374" s="6" t="n">
        <x:f>英雄升级调参!$C$71</x:f>
        <x:v>2</x:v>
      </x:c>
      <x:c r="G374" s="12">
        <x:f t="shared" si="33"/>
        <x:v>164</x:v>
      </x:c>
      <x:c r="H374" s="12">
        <x:f t="shared" si="34"/>
        <x:v>2296</x:v>
      </x:c>
      <x:c r="I374" s="12">
        <x:f t="shared" si="30"/>
        <x:v>376544</x:v>
      </x:c>
      <x:c r="J374" s="12">
        <x:f>ROUND(英雄升级调参!$D$71*英雄升级调参!$J$9*英雄升级调参!$E$20,0)</x:f>
        <x:v>23</x:v>
      </x:c>
      <x:c r="K374" s="12">
        <x:f>ROUND(英雄升级调参!$D$71*英雄升级调参!$C$11*英雄升级调参!$J$9*英雄升级调参!$G$20,0)</x:f>
        <x:v>318</x:v>
      </x:c>
      <x:c r="L374" s="12" t="n">
        <x:f>养成消耗调参!$C$153</x:f>
        <x:v>120</x:v>
      </x:c>
      <x:c r="M374" s="12" t="n">
        <x:f>养成消耗调参!$F$153</x:f>
        <x:v>300</x:v>
      </x:c>
      <x:c r="N374" s="12" t="n">
        <x:f>养成消耗调参!$I$153</x:f>
        <x:v>0</x:v>
      </x:c>
      <x:c r="O374" s="12" t="n">
        <x:f>养成消耗调参!$J$153</x:f>
        <x:v>288</x:v>
      </x:c>
      <x:c r="P374" s="12" t="n">
        <x:f>养成消耗调参!$M$153</x:f>
        <x:v>1500</x:v>
      </x:c>
      <x:c r="Q374" s="12" t="n">
        <x:f>养成消耗调参!$P$153</x:f>
        <x:v>10</x:v>
      </x:c>
      <x:c r="R374" s="13">
        <x:f>I374/英雄升级调参!$G$71-1</x:f>
        <x:v>-0.009746219592373428</x:v>
      </x:c>
      <x:c r="S374" s="6"/>
      <x:c r="T374" s="6"/>
      <x:c r="U374" s="6"/>
    </x:row>
    <x:row r="375" ht="21" customHeight="1">
      <x:c r="A375" s="14" t="n">
        <x:f>英雄升级调参!$B$20</x:f>
        <x:v>310002</x:v>
      </x:c>
      <x:c r="B375" s="14" t="str">
        <x:f>英雄升级调参!$C$20</x:f>
        <x:v>贝尔熊</x:v>
      </x:c>
      <x:c r="C375" s="6" t="str">
        <x:f>英雄升级调参!$D$20</x:f>
        <x:v>生存者</x:v>
      </x:c>
      <x:c r="D375" s="6" t="s">
        <x:v>18</x:v>
      </x:c>
      <x:c r="E375" s="6">
        <x:v>7</x:v>
      </x:c>
      <x:c r="F375" s="6" t="n">
        <x:f>英雄升级调参!$C$72</x:f>
        <x:v>2</x:v>
      </x:c>
      <x:c r="G375" s="12">
        <x:f t="shared" si="33"/>
        <x:v>187</x:v>
      </x:c>
      <x:c r="H375" s="12">
        <x:f t="shared" si="34"/>
        <x:v>2614</x:v>
      </x:c>
      <x:c r="I375" s="12">
        <x:f t="shared" si="30"/>
        <x:v>488818</x:v>
      </x:c>
      <x:c r="J375" s="12">
        <x:f>ROUND(英雄升级调参!$D$72*英雄升级调参!$J$9*英雄升级调参!$E$20,0)</x:f>
        <x:v>23</x:v>
      </x:c>
      <x:c r="K375" s="12">
        <x:f>ROUND(英雄升级调参!$D$72*英雄升级调参!$C$11*英雄升级调参!$J$9*英雄升级调参!$G$20,0)</x:f>
        <x:v>318</x:v>
      </x:c>
      <x:c r="L375" s="12" t="n">
        <x:f>养成消耗调参!$C$154</x:f>
        <x:v>120</x:v>
      </x:c>
      <x:c r="M375" s="12" t="n">
        <x:f>养成消耗调参!$F$154</x:f>
        <x:v>900</x:v>
      </x:c>
      <x:c r="N375" s="12" t="n">
        <x:f>养成消耗调参!$I$154</x:f>
        <x:v>0</x:v>
      </x:c>
      <x:c r="O375" s="12" t="n">
        <x:f>养成消耗调参!$J$154</x:f>
        <x:v>408</x:v>
      </x:c>
      <x:c r="P375" s="12" t="n">
        <x:f>养成消耗调参!$M$154</x:f>
        <x:v>2400</x:v>
      </x:c>
      <x:c r="Q375" s="12" t="n">
        <x:f>养成消耗调参!$P$154</x:f>
        <x:v>10</x:v>
      </x:c>
      <x:c r="R375" s="13">
        <x:f>I375/英雄升级调参!$G$72-1</x:f>
        <x:v>-0.008160863566268994</x:v>
      </x:c>
      <x:c r="S375" s="6"/>
      <x:c r="T375" s="6"/>
      <x:c r="U375" s="6"/>
    </x:row>
    <x:row r="376" ht="21" customHeight="1">
      <x:c r="A376" s="14" t="n">
        <x:f>英雄升级调参!$B$20</x:f>
        <x:v>310002</x:v>
      </x:c>
      <x:c r="B376" s="14" t="str">
        <x:f>英雄升级调参!$C$20</x:f>
        <x:v>贝尔熊</x:v>
      </x:c>
      <x:c r="C376" s="6" t="str">
        <x:f>英雄升级调参!$D$20</x:f>
        <x:v>生存者</x:v>
      </x:c>
      <x:c r="D376" s="6" t="s">
        <x:v>18</x:v>
      </x:c>
      <x:c r="E376" s="6">
        <x:v>8</x:v>
      </x:c>
      <x:c r="F376" s="6" t="n">
        <x:f>英雄升级调参!$C$73</x:f>
        <x:v>2</x:v>
      </x:c>
      <x:c r="G376" s="12">
        <x:f t="shared" si="33"/>
        <x:v>210</x:v>
      </x:c>
      <x:c r="H376" s="12">
        <x:f t="shared" si="34"/>
        <x:v>2932</x:v>
      </x:c>
      <x:c r="I376" s="12">
        <x:f t="shared" si="30"/>
        <x:v>615720</x:v>
      </x:c>
      <x:c r="J376" s="12">
        <x:f>ROUND(英雄升级调参!$D$73*英雄升级调参!$J$9*英雄升级调参!$E$20,0)</x:f>
        <x:v>23</x:v>
      </x:c>
      <x:c r="K376" s="12">
        <x:f>ROUND(英雄升级调参!$D$73*英雄升级调参!$C$11*英雄升级调参!$J$9*英雄升级调参!$G$20,0)</x:f>
        <x:v>318</x:v>
      </x:c>
      <x:c r="L376" s="12" t="n">
        <x:f>养成消耗调参!$C$155</x:f>
        <x:v>144</x:v>
      </x:c>
      <x:c r="M376" s="12" t="n">
        <x:f>养成消耗调参!$F$155</x:f>
        <x:v>900</x:v>
      </x:c>
      <x:c r="N376" s="12" t="n">
        <x:f>养成消耗调参!$I$155</x:f>
        <x:v>0</x:v>
      </x:c>
      <x:c r="O376" s="12" t="n">
        <x:f>养成消耗调参!$J$155</x:f>
        <x:v>552</x:v>
      </x:c>
      <x:c r="P376" s="12" t="n">
        <x:f>养成消耗调参!$M$155</x:f>
        <x:v>3300</x:v>
      </x:c>
      <x:c r="Q376" s="12" t="n">
        <x:f>养成消耗调参!$P$155</x:f>
        <x:v>10</x:v>
      </x:c>
      <x:c r="R376" s="13">
        <x:f>I376/英雄升级调参!$G$73-1</x:f>
        <x:v>-0.006919243238012296</x:v>
      </x:c>
      <x:c r="S376" s="6"/>
      <x:c r="T376" s="6"/>
      <x:c r="U376" s="6"/>
    </x:row>
    <x:row r="377" ht="21" customHeight="1">
      <x:c r="A377" s="14" t="n">
        <x:f>英雄升级调参!$B$20</x:f>
        <x:v>310002</x:v>
      </x:c>
      <x:c r="B377" s="14" t="str">
        <x:f>英雄升级调参!$C$20</x:f>
        <x:v>贝尔熊</x:v>
      </x:c>
      <x:c r="C377" s="6" t="str">
        <x:f>英雄升级调参!$D$20</x:f>
        <x:v>生存者</x:v>
      </x:c>
      <x:c r="D377" s="6" t="s">
        <x:v>18</x:v>
      </x:c>
      <x:c r="E377" s="6">
        <x:v>9</x:v>
      </x:c>
      <x:c r="F377" s="6" t="n">
        <x:f>英雄升级调参!$C$74</x:f>
        <x:v>2</x:v>
      </x:c>
      <x:c r="G377" s="12">
        <x:f t="shared" si="33"/>
        <x:v>233</x:v>
      </x:c>
      <x:c r="H377" s="12">
        <x:f t="shared" si="34"/>
        <x:v>3250</x:v>
      </x:c>
      <x:c r="I377" s="12">
        <x:f t="shared" si="30"/>
        <x:v>757250</x:v>
      </x:c>
      <x:c r="J377" s="12">
        <x:f>ROUND(英雄升级调参!$D$74*英雄升级调参!$J$9*英雄升级调参!$E$20,0)</x:f>
        <x:v>23</x:v>
      </x:c>
      <x:c r="K377" s="12">
        <x:f>ROUND(英雄升级调参!$D$74*英雄升级调参!$C$11*英雄升级调参!$J$9*英雄升级调参!$G$20,0)</x:f>
        <x:v>318</x:v>
      </x:c>
      <x:c r="L377" s="12" t="n">
        <x:f>养成消耗调参!$C$156</x:f>
        <x:v>144</x:v>
      </x:c>
      <x:c r="M377" s="12" t="n">
        <x:f>养成消耗调参!$F$156</x:f>
        <x:v>900</x:v>
      </x:c>
      <x:c r="N377" s="12" t="n">
        <x:f>养成消耗调参!$I$156</x:f>
        <x:v>0</x:v>
      </x:c>
      <x:c r="O377" s="12" t="n">
        <x:f>养成消耗调参!$J$156</x:f>
        <x:v>696</x:v>
      </x:c>
      <x:c r="P377" s="12" t="n">
        <x:f>养成消耗调参!$M$156</x:f>
        <x:v>4200</x:v>
      </x:c>
      <x:c r="Q377" s="12" t="n">
        <x:f>养成消耗调参!$P$156</x:f>
        <x:v>10</x:v>
      </x:c>
      <x:c r="R377" s="13">
        <x:f>I377/英雄升级调参!$G$74-1</x:f>
        <x:v>-0.0059204998949800025</x:v>
      </x:c>
      <x:c r="S377" s="6"/>
      <x:c r="T377" s="6"/>
      <x:c r="U377" s="6"/>
    </x:row>
    <x:row r="378" ht="21" customHeight="1">
      <x:c r="A378" s="14" t="n">
        <x:f>英雄升级调参!$B$20</x:f>
        <x:v>310002</x:v>
      </x:c>
      <x:c r="B378" s="14" t="str">
        <x:f>英雄升级调参!$C$20</x:f>
        <x:v>贝尔熊</x:v>
      </x:c>
      <x:c r="C378" s="6" t="str">
        <x:f>英雄升级调参!$D$20</x:f>
        <x:v>生存者</x:v>
      </x:c>
      <x:c r="D378" s="6" t="s">
        <x:v>18</x:v>
      </x:c>
      <x:c r="E378" s="6">
        <x:v>10</x:v>
      </x:c>
      <x:c r="F378" s="6" t="n">
        <x:f>英雄升级调参!$C$75</x:f>
        <x:v>2</x:v>
      </x:c>
      <x:c r="G378" s="12">
        <x:f t="shared" si="33"/>
        <x:v>302</x:v>
      </x:c>
      <x:c r="H378" s="12">
        <x:f t="shared" si="34"/>
        <x:v>4204</x:v>
      </x:c>
      <x:c r="I378" s="12">
        <x:f t="shared" si="30"/>
        <x:v>1269608</x:v>
      </x:c>
      <x:c r="J378" s="12">
        <x:f>ROUND(英雄升级调参!$D$75*英雄升级调参!$J$9*英雄升级调参!$E$20,0)*3</x:f>
        <x:v>69</x:v>
      </x:c>
      <x:c r="K378" s="12">
        <x:f>ROUND(英雄升级调参!$D$75*英雄升级调参!$C$11*英雄升级调参!$J$9*英雄升级调参!$G$20,0)*3</x:f>
        <x:v>954</x:v>
      </x:c>
      <x:c r="L378" s="12" t="n">
        <x:f>养成消耗调参!$C$157</x:f>
        <x:v>216</x:v>
      </x:c>
      <x:c r="M378" s="12" t="n">
        <x:f>养成消耗调参!$F$157</x:f>
        <x:v>900</x:v>
      </x:c>
      <x:c r="N378" s="12" t="n">
        <x:f>养成消耗调参!$I$157</x:f>
        <x:v>30</x:v>
      </x:c>
      <x:c r="O378" s="12" t="n">
        <x:f>养成消耗调参!$J$157</x:f>
        <x:v>912</x:v>
      </x:c>
      <x:c r="P378" s="12" t="n">
        <x:f>养成消耗调参!$M$157</x:f>
        <x:v>5100</x:v>
      </x:c>
      <x:c r="Q378" s="12" t="n">
        <x:f>养成消耗调参!$P$157</x:f>
        <x:v>40</x:v>
      </x:c>
      <x:c r="R378" s="13">
        <x:f>I378/英雄升级调参!$G$75-1</x:f>
        <x:v>-0.003830551828574613</x:v>
      </x:c>
      <x:c r="S378" s="6"/>
      <x:c r="T378" s="6"/>
      <x:c r="U378" s="6"/>
    </x:row>
    <x:row r="379" ht="21" customHeight="1">
      <x:c r="A379" s="14" t="n">
        <x:f>英雄升级调参!$B$20</x:f>
        <x:v>310002</x:v>
      </x:c>
      <x:c r="B379" s="14" t="str">
        <x:f>英雄升级调参!$C$20</x:f>
        <x:v>贝尔熊</x:v>
      </x:c>
      <x:c r="C379" s="6" t="str">
        <x:f>英雄升级调参!$D$20</x:f>
        <x:v>生存者</x:v>
      </x:c>
      <x:c r="D379" s="6" t="s">
        <x:v>18</x:v>
      </x:c>
      <x:c r="E379" s="6">
        <x:v>11</x:v>
      </x:c>
      <x:c r="F379" s="6" t="n">
        <x:f>英雄升级调参!$C$76</x:f>
        <x:v>3</x:v>
      </x:c>
      <x:c r="G379" s="12">
        <x:f t="shared" si="33"/>
        <x:v>333</x:v>
      </x:c>
      <x:c r="H379" s="12">
        <x:f t="shared" si="34"/>
        <x:v>4628</x:v>
      </x:c>
      <x:c r="I379" s="12">
        <x:f t="shared" si="30"/>
        <x:v>1541124</x:v>
      </x:c>
      <x:c r="J379" s="12">
        <x:f>ROUND(英雄升级调参!$D$76*英雄升级调参!$J$9*英雄升级调参!$E$20,0)</x:f>
        <x:v>31</x:v>
      </x:c>
      <x:c r="K379" s="12">
        <x:f>ROUND(英雄升级调参!$D$76*英雄升级调参!$C$11*英雄升级调参!$J$9*英雄升级调参!$G$20,0)</x:f>
        <x:v>424</x:v>
      </x:c>
      <x:c r="L379" s="12" t="n">
        <x:f>养成消耗调参!$C$158</x:f>
        <x:v>216</x:v>
      </x:c>
      <x:c r="M379" s="12" t="n">
        <x:f>养成消耗调参!$F$158</x:f>
        <x:v>900</x:v>
      </x:c>
      <x:c r="N379" s="12" t="n">
        <x:f>养成消耗调参!$I$158</x:f>
        <x:v>0</x:v>
      </x:c>
      <x:c r="O379" s="12" t="n">
        <x:f>养成消耗调参!$J$158</x:f>
        <x:v>1128</x:v>
      </x:c>
      <x:c r="P379" s="12" t="n">
        <x:f>养成消耗调参!$M$158</x:f>
        <x:v>6000</x:v>
      </x:c>
      <x:c r="Q379" s="12" t="n">
        <x:f>养成消耗调参!$P$158</x:f>
        <x:v>40</x:v>
      </x:c>
      <x:c r="R379" s="13">
        <x:f>I379/英雄升级调参!$G$76-1</x:f>
        <x:v>-0.002179360177145817</x:v>
      </x:c>
      <x:c r="S379" s="6"/>
      <x:c r="T379" s="6"/>
      <x:c r="U379" s="6"/>
    </x:row>
    <x:row r="380" ht="21" customHeight="1">
      <x:c r="A380" s="14" t="n">
        <x:f>英雄升级调参!$B$20</x:f>
        <x:v>310002</x:v>
      </x:c>
      <x:c r="B380" s="14" t="str">
        <x:f>英雄升级调参!$C$20</x:f>
        <x:v>贝尔熊</x:v>
      </x:c>
      <x:c r="C380" s="6" t="str">
        <x:f>英雄升级调参!$D$20</x:f>
        <x:v>生存者</x:v>
      </x:c>
      <x:c r="D380" s="6" t="s">
        <x:v>18</x:v>
      </x:c>
      <x:c r="E380" s="6">
        <x:v>12</x:v>
      </x:c>
      <x:c r="F380" s="6" t="n">
        <x:f>英雄升级调参!$C$77</x:f>
        <x:v>3</x:v>
      </x:c>
      <x:c r="G380" s="12">
        <x:f t="shared" si="33"/>
        <x:v>364</x:v>
      </x:c>
      <x:c r="H380" s="12">
        <x:f t="shared" si="34"/>
        <x:v>5052</x:v>
      </x:c>
      <x:c r="I380" s="12">
        <x:f t="shared" si="30"/>
        <x:v>1838928</x:v>
      </x:c>
      <x:c r="J380" s="12">
        <x:f>ROUND(英雄升级调参!$D$77*英雄升级调参!$J$9*英雄升级调参!$E$20,0)</x:f>
        <x:v>31</x:v>
      </x:c>
      <x:c r="K380" s="12">
        <x:f>ROUND(英雄升级调参!$D$77*英雄升级调参!$C$11*英雄升级调参!$J$9*英雄升级调参!$G$20,0)</x:f>
        <x:v>424</x:v>
      </x:c>
      <x:c r="L380" s="12" t="n">
        <x:f>养成消耗调参!$C$159</x:f>
        <x:v>240</x:v>
      </x:c>
      <x:c r="M380" s="12" t="n">
        <x:f>养成消耗调参!$F$159</x:f>
        <x:v>1500</x:v>
      </x:c>
      <x:c r="N380" s="12" t="n">
        <x:f>养成消耗调参!$I$159</x:f>
        <x:v>0</x:v>
      </x:c>
      <x:c r="O380" s="12" t="n">
        <x:f>养成消耗调参!$J$159</x:f>
        <x:v>1368</x:v>
      </x:c>
      <x:c r="P380" s="12" t="n">
        <x:f>养成消耗调参!$M$159</x:f>
        <x:v>7500</x:v>
      </x:c>
      <x:c r="Q380" s="12" t="n">
        <x:f>养成消耗调参!$P$159</x:f>
        <x:v>40</x:v>
      </x:c>
      <x:c r="R380" s="13">
        <x:f>I380/英雄升级调参!$G$77-1</x:f>
        <x:v>-0.0008052553507098548</x:v>
      </x:c>
      <x:c r="S380" s="6"/>
      <x:c r="T380" s="6"/>
      <x:c r="U380" s="6"/>
    </x:row>
    <x:row r="381" ht="21" customHeight="1">
      <x:c r="A381" s="14" t="n">
        <x:f>英雄升级调参!$B$20</x:f>
        <x:v>310002</x:v>
      </x:c>
      <x:c r="B381" s="14" t="str">
        <x:f>英雄升级调参!$C$20</x:f>
        <x:v>贝尔熊</x:v>
      </x:c>
      <x:c r="C381" s="6" t="str">
        <x:f>英雄升级调参!$D$20</x:f>
        <x:v>生存者</x:v>
      </x:c>
      <x:c r="D381" s="6" t="s">
        <x:v>18</x:v>
      </x:c>
      <x:c r="E381" s="6">
        <x:v>13</x:v>
      </x:c>
      <x:c r="F381" s="6" t="n">
        <x:f>英雄升级调参!$C$78</x:f>
        <x:v>3</x:v>
      </x:c>
      <x:c r="G381" s="12">
        <x:f t="shared" si="33"/>
        <x:v>395</x:v>
      </x:c>
      <x:c r="H381" s="12">
        <x:f t="shared" si="34"/>
        <x:v>5476</x:v>
      </x:c>
      <x:c r="I381" s="12">
        <x:f t="shared" si="30"/>
        <x:v>2163020</x:v>
      </x:c>
      <x:c r="J381" s="12">
        <x:f>ROUND(英雄升级调参!$D$78*英雄升级调参!$J$9*英雄升级调参!$E$20,0)</x:f>
        <x:v>31</x:v>
      </x:c>
      <x:c r="K381" s="12">
        <x:f>ROUND(英雄升级调参!$D$78*英雄升级调参!$C$11*英雄升级调参!$J$9*英雄升级调参!$G$20,0)</x:f>
        <x:v>424</x:v>
      </x:c>
      <x:c r="L381" s="12" t="n">
        <x:f>养成消耗调参!$C$160</x:f>
        <x:v>240</x:v>
      </x:c>
      <x:c r="M381" s="12" t="n">
        <x:f>养成消耗调参!$F$160</x:f>
        <x:v>1500</x:v>
      </x:c>
      <x:c r="N381" s="12" t="n">
        <x:f>养成消耗调参!$I$160</x:f>
        <x:v>0</x:v>
      </x:c>
      <x:c r="O381" s="12" t="n">
        <x:f>养成消耗调参!$J$160</x:f>
        <x:v>1608</x:v>
      </x:c>
      <x:c r="P381" s="12" t="n">
        <x:f>养成消耗调参!$M$160</x:f>
        <x:v>9000</x:v>
      </x:c>
      <x:c r="Q381" s="12" t="n">
        <x:f>养成消耗调参!$P$160</x:f>
        <x:v>40</x:v>
      </x:c>
      <x:c r="R381" s="13">
        <x:f>I381/英雄升级调参!$G$78-1</x:f>
        <x:v>0.000356110533009657</x:v>
      </x:c>
      <x:c r="S381" s="6"/>
      <x:c r="T381" s="6"/>
      <x:c r="U381" s="6"/>
    </x:row>
    <x:row r="382" ht="21" customHeight="1">
      <x:c r="A382" s="14" t="n">
        <x:f>英雄升级调参!$B$20</x:f>
        <x:v>310002</x:v>
      </x:c>
      <x:c r="B382" s="14" t="str">
        <x:f>英雄升级调参!$C$20</x:f>
        <x:v>贝尔熊</x:v>
      </x:c>
      <x:c r="C382" s="6" t="str">
        <x:f>英雄升级调参!$D$20</x:f>
        <x:v>生存者</x:v>
      </x:c>
      <x:c r="D382" s="6" t="s">
        <x:v>18</x:v>
      </x:c>
      <x:c r="E382" s="6">
        <x:v>14</x:v>
      </x:c>
      <x:c r="F382" s="6" t="n">
        <x:f>英雄升级调参!$C$79</x:f>
        <x:v>3</x:v>
      </x:c>
      <x:c r="G382" s="12">
        <x:f t="shared" si="33"/>
        <x:v>426</x:v>
      </x:c>
      <x:c r="H382" s="12">
        <x:f t="shared" si="34"/>
        <x:v>5900</x:v>
      </x:c>
      <x:c r="I382" s="12">
        <x:f t="shared" si="30"/>
        <x:v>2513400</x:v>
      </x:c>
      <x:c r="J382" s="12">
        <x:f>ROUND(英雄升级调参!$D$79*英雄升级调参!$J$9*英雄升级调参!$E$20,0)</x:f>
        <x:v>31</x:v>
      </x:c>
      <x:c r="K382" s="12">
        <x:f>ROUND(英雄升级调参!$D$79*英雄升级调参!$C$11*英雄升级调参!$J$9*英雄升级调参!$G$20,0)</x:f>
        <x:v>424</x:v>
      </x:c>
      <x:c r="L382" s="12" t="n">
        <x:f>养成消耗调参!$C$161</x:f>
        <x:v>288</x:v>
      </x:c>
      <x:c r="M382" s="12" t="n">
        <x:f>养成消耗调参!$F$161</x:f>
        <x:v>1500</x:v>
      </x:c>
      <x:c r="N382" s="12" t="n">
        <x:f>养成消耗调参!$I$161</x:f>
        <x:v>0</x:v>
      </x:c>
      <x:c r="O382" s="12" t="n">
        <x:f>养成消耗调参!$J$161</x:f>
        <x:v>1896</x:v>
      </x:c>
      <x:c r="P382" s="12" t="n">
        <x:f>养成消耗调参!$M$161</x:f>
        <x:v>10500</x:v>
      </x:c>
      <x:c r="Q382" s="12" t="n">
        <x:f>养成消耗调参!$P$161</x:f>
        <x:v>40</x:v>
      </x:c>
      <x:c r="R382" s="13">
        <x:f>I382/英雄升级调参!$G$79-1</x:f>
        <x:v>0.001350592228716252</x:v>
      </x:c>
      <x:c r="S382" s="6"/>
      <x:c r="T382" s="6"/>
      <x:c r="U382" s="6"/>
    </x:row>
    <x:row r="383" ht="21" customHeight="1">
      <x:c r="A383" s="14" t="n">
        <x:f>英雄升级调参!$B$20</x:f>
        <x:v>310002</x:v>
      </x:c>
      <x:c r="B383" s="14" t="str">
        <x:f>英雄升级调参!$C$20</x:f>
        <x:v>贝尔熊</x:v>
      </x:c>
      <x:c r="C383" s="6" t="str">
        <x:f>英雄升级调参!$D$20</x:f>
        <x:v>生存者</x:v>
      </x:c>
      <x:c r="D383" s="6" t="s">
        <x:v>18</x:v>
      </x:c>
      <x:c r="E383" s="6">
        <x:v>15</x:v>
      </x:c>
      <x:c r="F383" s="6" t="n">
        <x:f>英雄升级调参!$C$80</x:f>
        <x:v>3</x:v>
      </x:c>
      <x:c r="G383" s="12">
        <x:f t="shared" si="33"/>
        <x:v>519</x:v>
      </x:c>
      <x:c r="H383" s="12">
        <x:f t="shared" si="34"/>
        <x:v>7172</x:v>
      </x:c>
      <x:c r="I383" s="12">
        <x:f t="shared" si="30"/>
        <x:v>3722268</x:v>
      </x:c>
      <x:c r="J383" s="12">
        <x:f>ROUND(英雄升级调参!$D$80*英雄升级调参!$J$9*英雄升级调参!$E$20,0)*3</x:f>
        <x:v>93</x:v>
      </x:c>
      <x:c r="K383" s="12">
        <x:f>ROUND(英雄升级调参!$D$80*英雄升级调参!$C$11*英雄升级调参!$J$9*英雄升级调参!$G$20,0)*3</x:f>
        <x:v>1272</x:v>
      </x:c>
      <x:c r="L383" s="12" t="n">
        <x:f>养成消耗调参!$C$162</x:f>
        <x:v>288</x:v>
      </x:c>
      <x:c r="M383" s="12" t="n">
        <x:f>养成消耗调参!$F$162</x:f>
        <x:v>1500</x:v>
      </x:c>
      <x:c r="N383" s="12" t="n">
        <x:f>养成消耗调参!$I$162</x:f>
        <x:v>50</x:v>
      </x:c>
      <x:c r="O383" s="12" t="n">
        <x:f>养成消耗调参!$J$162</x:f>
        <x:v>2184</x:v>
      </x:c>
      <x:c r="P383" s="12" t="n">
        <x:f>养成消耗调参!$M$162</x:f>
        <x:v>12000</x:v>
      </x:c>
      <x:c r="Q383" s="12" t="n">
        <x:f>养成消耗调参!$P$162</x:f>
        <x:v>90</x:v>
      </x:c>
      <x:c r="R383" s="13">
        <x:f>I383/英雄升级调参!$G$80-1</x:f>
        <x:v>0.0036286571703592063</x:v>
      </x:c>
      <x:c r="S383" s="6"/>
      <x:c r="T383" s="6"/>
      <x:c r="U383" s="6"/>
    </x:row>
    <x:row r="384" ht="21" customHeight="1">
      <x:c r="A384" s="14" t="n">
        <x:f>英雄升级调参!$B$20</x:f>
        <x:v>310002</x:v>
      </x:c>
      <x:c r="B384" s="14" t="str">
        <x:f>英雄升级调参!$C$20</x:f>
        <x:v>贝尔熊</x:v>
      </x:c>
      <x:c r="C384" s="6" t="str">
        <x:f>英雄升级调参!$D$20</x:f>
        <x:v>生存者</x:v>
      </x:c>
      <x:c r="D384" s="6" t="s">
        <x:v>18</x:v>
      </x:c>
      <x:c r="E384" s="6">
        <x:v>16</x:v>
      </x:c>
      <x:c r="F384" s="6" t="n">
        <x:f>英雄升级调参!$C$81</x:f>
        <x:v>4</x:v>
      </x:c>
      <x:c r="G384" s="12">
        <x:f t="shared" si="33"/>
        <x:v>557</x:v>
      </x:c>
      <x:c r="H384" s="12">
        <x:f t="shared" si="34"/>
        <x:v>7701</x:v>
      </x:c>
      <x:c r="I384" s="12">
        <x:f t="shared" si="30"/>
        <x:v>4289457</x:v>
      </x:c>
      <x:c r="J384" s="12">
        <x:f>ROUND(英雄升级调参!$D$81*英雄升级调参!$J$9*英雄升级调参!$E$20,0)</x:f>
        <x:v>38</x:v>
      </x:c>
      <x:c r="K384" s="12">
        <x:f>ROUND(英雄升级调参!$D$81*英雄升级调参!$C$11*英雄升级调参!$J$9*英雄升级调参!$G$20,0)</x:f>
        <x:v>529</x:v>
      </x:c>
      <x:c r="L384" s="12" t="n">
        <x:f>养成消耗调参!$C$163</x:f>
        <x:v>336</x:v>
      </x:c>
      <x:c r="M384" s="12" t="n">
        <x:f>养成消耗调参!$F$163</x:f>
        <x:v>1500</x:v>
      </x:c>
      <x:c r="N384" s="12" t="n">
        <x:f>养成消耗调参!$I$163</x:f>
        <x:v>0</x:v>
      </x:c>
      <x:c r="O384" s="12" t="n">
        <x:f>养成消耗调参!$J$163</x:f>
        <x:v>2520</x:v>
      </x:c>
      <x:c r="P384" s="12" t="n">
        <x:f>养成消耗调参!$M$163</x:f>
        <x:v>13500</x:v>
      </x:c>
      <x:c r="Q384" s="12" t="n">
        <x:f>养成消耗调参!$P$163</x:f>
        <x:v>90</x:v>
      </x:c>
      <x:c r="R384" s="13">
        <x:f>I384/英雄升级调参!$G$81-1</x:f>
        <x:v>0.0028750385769997777</x:v>
      </x:c>
      <x:c r="S384" s="6"/>
      <x:c r="T384" s="6"/>
      <x:c r="U384" s="6"/>
    </x:row>
    <x:row r="385" ht="21" customHeight="1">
      <x:c r="A385" s="14" t="n">
        <x:f>英雄升级调参!$B$20</x:f>
        <x:v>310002</x:v>
      </x:c>
      <x:c r="B385" s="14" t="str">
        <x:f>英雄升级调参!$C$20</x:f>
        <x:v>贝尔熊</x:v>
      </x:c>
      <x:c r="C385" s="6" t="str">
        <x:f>英雄升级调参!$D$20</x:f>
        <x:v>生存者</x:v>
      </x:c>
      <x:c r="D385" s="6" t="s">
        <x:v>18</x:v>
      </x:c>
      <x:c r="E385" s="6">
        <x:v>17</x:v>
      </x:c>
      <x:c r="F385" s="6" t="n">
        <x:f>英雄升级调参!$C$82</x:f>
        <x:v>4</x:v>
      </x:c>
      <x:c r="G385" s="12">
        <x:f t="shared" si="33"/>
        <x:v>595</x:v>
      </x:c>
      <x:c r="H385" s="12">
        <x:f t="shared" si="34"/>
        <x:v>8230</x:v>
      </x:c>
      <x:c r="I385" s="12">
        <x:f t="shared" si="30"/>
        <x:v>4896850</x:v>
      </x:c>
      <x:c r="J385" s="12">
        <x:f>ROUND(英雄升级调参!$D$82*英雄升级调参!$J$9*英雄升级调参!$E$20,0)</x:f>
        <x:v>38</x:v>
      </x:c>
      <x:c r="K385" s="12">
        <x:f>ROUND(英雄升级调参!$D$82*英雄升级调参!$C$11*英雄升级调参!$J$9*英雄升级调参!$G$20,0)</x:f>
        <x:v>529</x:v>
      </x:c>
      <x:c r="L385" s="12" t="n">
        <x:f>养成消耗调参!$C$164</x:f>
        <x:v>336</x:v>
      </x:c>
      <x:c r="M385" s="12" t="n">
        <x:f>养成消耗调参!$F$164</x:f>
        <x:v>2100</x:v>
      </x:c>
      <x:c r="N385" s="12" t="n">
        <x:f>养成消耗调参!$I$164</x:f>
        <x:v>0</x:v>
      </x:c>
      <x:c r="O385" s="12" t="n">
        <x:f>养成消耗调参!$J$164</x:f>
        <x:v>2856</x:v>
      </x:c>
      <x:c r="P385" s="12" t="n">
        <x:f>养成消耗调参!$M$164</x:f>
        <x:v>15600</x:v>
      </x:c>
      <x:c r="Q385" s="12" t="n">
        <x:f>养成消耗调参!$P$164</x:f>
        <x:v>90</x:v>
      </x:c>
      <x:c r="R385" s="13">
        <x:f>I385/英雄升级调参!$G$82-1</x:f>
        <x:v>0.0022185791678690503</x:v>
      </x:c>
      <x:c r="S385" s="6"/>
      <x:c r="T385" s="6"/>
      <x:c r="U385" s="6"/>
    </x:row>
    <x:row r="386" ht="21" customHeight="1">
      <x:c r="A386" s="14" t="n">
        <x:f>英雄升级调参!$B$20</x:f>
        <x:v>310002</x:v>
      </x:c>
      <x:c r="B386" s="14" t="str">
        <x:f>英雄升级调参!$C$20</x:f>
        <x:v>贝尔熊</x:v>
      </x:c>
      <x:c r="C386" s="6" t="str">
        <x:f>英雄升级调参!$D$20</x:f>
        <x:v>生存者</x:v>
      </x:c>
      <x:c r="D386" s="6" t="s">
        <x:v>18</x:v>
      </x:c>
      <x:c r="E386" s="6">
        <x:v>18</x:v>
      </x:c>
      <x:c r="F386" s="6" t="n">
        <x:f>英雄升级调参!$C$83</x:f>
        <x:v>4</x:v>
      </x:c>
      <x:c r="G386" s="12">
        <x:f t="shared" si="33"/>
        <x:v>633</x:v>
      </x:c>
      <x:c r="H386" s="12">
        <x:f t="shared" si="34"/>
        <x:v>8759</x:v>
      </x:c>
      <x:c r="I386" s="12">
        <x:f t="shared" si="30"/>
        <x:v>5544447</x:v>
      </x:c>
      <x:c r="J386" s="12">
        <x:f>ROUND(英雄升级调参!$D$83*英雄升级调参!$J$9*英雄升级调参!$E$20,0)</x:f>
        <x:v>38</x:v>
      </x:c>
      <x:c r="K386" s="12">
        <x:f>ROUND(英雄升级调参!$D$83*英雄升级调参!$C$11*英雄升级调参!$J$9*英雄升级调参!$G$20,0)</x:f>
        <x:v>529</x:v>
      </x:c>
      <x:c r="L386" s="12" t="n">
        <x:f>养成消耗调参!$C$165</x:f>
        <x:v>384</x:v>
      </x:c>
      <x:c r="M386" s="12" t="n">
        <x:f>养成消耗调参!$F$165</x:f>
        <x:v>2100</x:v>
      </x:c>
      <x:c r="N386" s="12" t="n">
        <x:f>养成消耗调参!$I$165</x:f>
        <x:v>0</x:v>
      </x:c>
      <x:c r="O386" s="12" t="n">
        <x:f>养成消耗调参!$J$165</x:f>
        <x:v>3240</x:v>
      </x:c>
      <x:c r="P386" s="12" t="n">
        <x:f>养成消耗调参!$M$165</x:f>
        <x:v>17700</x:v>
      </x:c>
      <x:c r="Q386" s="12" t="n">
        <x:f>养成消耗调参!$P$165</x:f>
        <x:v>90</x:v>
      </x:c>
      <x:c r="R386" s="13">
        <x:f>I386/英雄升级调参!$G$83-1</x:f>
        <x:v>0.0016416276448143474</x:v>
      </x:c>
      <x:c r="S386" s="6"/>
      <x:c r="T386" s="6"/>
      <x:c r="U386" s="6"/>
    </x:row>
    <x:row r="387" ht="21" customHeight="1">
      <x:c r="A387" s="14" t="n">
        <x:f>英雄升级调参!$B$20</x:f>
        <x:v>310002</x:v>
      </x:c>
      <x:c r="B387" s="14" t="str">
        <x:f>英雄升级调参!$C$20</x:f>
        <x:v>贝尔熊</x:v>
      </x:c>
      <x:c r="C387" s="6" t="str">
        <x:f>英雄升级调参!$D$20</x:f>
        <x:v>生存者</x:v>
      </x:c>
      <x:c r="D387" s="6" t="s">
        <x:v>18</x:v>
      </x:c>
      <x:c r="E387" s="6">
        <x:v>19</x:v>
      </x:c>
      <x:c r="F387" s="6" t="n">
        <x:f>英雄升级调参!$C$84</x:f>
        <x:v>4</x:v>
      </x:c>
      <x:c r="G387" s="12">
        <x:f t="shared" si="33"/>
        <x:v>671</x:v>
      </x:c>
      <x:c r="H387" s="12">
        <x:f t="shared" si="34"/>
        <x:v>9288</x:v>
      </x:c>
      <x:c r="I387" s="12">
        <x:f t="shared" si="30"/>
        <x:v>6232248</x:v>
      </x:c>
      <x:c r="J387" s="12">
        <x:f>ROUND(英雄升级调参!$D$84*英雄升级调参!$J$9*英雄升级调参!$E$20,0)</x:f>
        <x:v>38</x:v>
      </x:c>
      <x:c r="K387" s="12">
        <x:f>ROUND(英雄升级调参!$D$84*英雄升级调参!$C$11*英雄升级调参!$J$9*英雄升级调参!$G$20,0)</x:f>
        <x:v>529</x:v>
      </x:c>
      <x:c r="L387" s="12" t="n">
        <x:f>养成消耗调参!$C$166</x:f>
        <x:v>384</x:v>
      </x:c>
      <x:c r="M387" s="12" t="n">
        <x:f>养成消耗调参!$F$166</x:f>
        <x:v>2100</x:v>
      </x:c>
      <x:c r="N387" s="12" t="n">
        <x:f>养成消耗调参!$I$166</x:f>
        <x:v>0</x:v>
      </x:c>
      <x:c r="O387" s="12" t="n">
        <x:f>养成消耗调参!$J$166</x:f>
        <x:v>3624</x:v>
      </x:c>
      <x:c r="P387" s="12" t="n">
        <x:f>养成消耗调参!$M$166</x:f>
        <x:v>19800</x:v>
      </x:c>
      <x:c r="Q387" s="12" t="n">
        <x:f>养成消耗调参!$P$166</x:f>
        <x:v>90</x:v>
      </x:c>
      <x:c r="R387" s="13">
        <x:f>I387/英雄升级调参!$G$84-1</x:f>
        <x:v>0.0011305642701209262</x:v>
      </x:c>
      <x:c r="S387" s="6"/>
      <x:c r="T387" s="6"/>
      <x:c r="U387" s="6"/>
    </x:row>
    <x:row r="388" ht="21" customHeight="1">
      <x:c r="A388" s="14" t="n">
        <x:f>英雄升级调参!$B$20</x:f>
        <x:v>310002</x:v>
      </x:c>
      <x:c r="B388" s="14" t="str">
        <x:f>英雄升级调参!$C$20</x:f>
        <x:v>贝尔熊</x:v>
      </x:c>
      <x:c r="C388" s="6" t="str">
        <x:f>英雄升级调参!$D$20</x:f>
        <x:v>生存者</x:v>
      </x:c>
      <x:c r="D388" s="6" t="s">
        <x:v>18</x:v>
      </x:c>
      <x:c r="E388" s="6">
        <x:v>20</x:v>
      </x:c>
      <x:c r="F388" s="6" t="n">
        <x:f>英雄升级调参!$C$85</x:f>
        <x:v>4</x:v>
      </x:c>
      <x:c r="G388" s="12">
        <x:f t="shared" si="33"/>
        <x:v>785</x:v>
      </x:c>
      <x:c r="H388" s="12">
        <x:f t="shared" si="34"/>
        <x:v>10875</x:v>
      </x:c>
      <x:c r="I388" s="12">
        <x:f t="shared" si="30"/>
        <x:v>8536875</x:v>
      </x:c>
      <x:c r="J388" s="12">
        <x:f>ROUND(英雄升级调参!$D$85*英雄升级调参!$J$9*英雄升级调参!$E$20,0)*3</x:f>
        <x:v>114</x:v>
      </x:c>
      <x:c r="K388" s="12">
        <x:f>ROUND(英雄升级调参!$D$85*英雄升级调参!$C$11*英雄升级调参!$J$9*英雄升级调参!$G$20,0)*3</x:f>
        <x:v>1587</x:v>
      </x:c>
      <x:c r="L388" s="12" t="n">
        <x:f>养成消耗调参!$C$167</x:f>
        <x:v>432</x:v>
      </x:c>
      <x:c r="M388" s="12" t="n">
        <x:f>养成消耗调参!$F$167</x:f>
        <x:v>2100</x:v>
      </x:c>
      <x:c r="N388" s="12" t="n">
        <x:f>养成消耗调参!$I$167</x:f>
        <x:v>70</x:v>
      </x:c>
      <x:c r="O388" s="12" t="n">
        <x:f>养成消耗调参!$J$167</x:f>
        <x:v>4056</x:v>
      </x:c>
      <x:c r="P388" s="12" t="n">
        <x:f>养成消耗调参!$M$167</x:f>
        <x:v>21900</x:v>
      </x:c>
      <x:c r="Q388" s="12" t="n">
        <x:f>养成消耗调参!$P$167</x:f>
        <x:v>160</x:v>
      </x:c>
      <x:c r="R388" s="13">
        <x:f>I388/英雄升级调参!$G$85-1</x:f>
        <x:v>-0.00010365716534543878</x:v>
      </x:c>
      <x:c r="S388" s="6"/>
      <x:c r="T388" s="6"/>
      <x:c r="U388" s="6"/>
    </x:row>
    <x:row r="389" ht="21" customHeight="1">
      <x:c r="A389" s="14" t="n">
        <x:f>英雄升级调参!$B$20</x:f>
        <x:v>310002</x:v>
      </x:c>
      <x:c r="B389" s="14" t="str">
        <x:f>英雄升级调参!$C$20</x:f>
        <x:v>贝尔熊</x:v>
      </x:c>
      <x:c r="C389" s="6" t="str">
        <x:f>英雄升级调参!$D$20</x:f>
        <x:v>生存者</x:v>
      </x:c>
      <x:c r="D389" s="6" t="s">
        <x:v>18</x:v>
      </x:c>
      <x:c r="E389" s="6">
        <x:v>21</x:v>
      </x:c>
      <x:c r="F389" s="6" t="n">
        <x:f>英雄升级调参!$C$86</x:f>
        <x:v>5</x:v>
      </x:c>
      <x:c r="G389" s="12">
        <x:f t="shared" si="33"/>
        <x:v>831</x:v>
      </x:c>
      <x:c r="H389" s="12">
        <x:f t="shared" si="34"/>
        <x:v>11510</x:v>
      </x:c>
      <x:c r="I389" s="12">
        <x:f t="shared" ref="I389:I452" si="35">G389*H389</x:f>
        <x:v>9564810</x:v>
      </x:c>
      <x:c r="J389" s="12">
        <x:f>ROUND(英雄升级调参!$D$86*英雄升级调参!$J$9*英雄升级调参!$E$20,0)</x:f>
        <x:v>46</x:v>
      </x:c>
      <x:c r="K389" s="12">
        <x:f>ROUND(英雄升级调参!$D$86*英雄升级调参!$C$11*英雄升级调参!$J$9*英雄升级调参!$G$20,0)</x:f>
        <x:v>635</x:v>
      </x:c>
      <x:c r="L389" s="12" t="n">
        <x:f>养成消耗调参!$C$168</x:f>
        <x:v>432</x:v>
      </x:c>
      <x:c r="M389" s="12" t="n">
        <x:f>养成消耗调参!$F$168</x:f>
        <x:v>2100</x:v>
      </x:c>
      <x:c r="N389" s="12" t="n">
        <x:f>养成消耗调参!$I$168</x:f>
        <x:v>0</x:v>
      </x:c>
      <x:c r="O389" s="12" t="n">
        <x:f>养成消耗调参!$J$168</x:f>
        <x:v>4488</x:v>
      </x:c>
      <x:c r="P389" s="12" t="n">
        <x:f>养成消耗调参!$M$168</x:f>
        <x:v>24000</x:v>
      </x:c>
      <x:c r="Q389" s="12" t="n">
        <x:f>养成消耗调参!$P$168</x:f>
        <x:v>160</x:v>
      </x:c>
      <x:c r="R389" s="13">
        <x:f>I389/英雄升级调参!$G$86-1</x:f>
        <x:v>-3.136487385035913e-06</x:v>
      </x:c>
      <x:c r="S389" s="6"/>
      <x:c r="T389" s="6"/>
      <x:c r="U389" s="6"/>
    </x:row>
    <x:row r="390" ht="21" customHeight="1">
      <x:c r="A390" s="14" t="n">
        <x:f>英雄升级调参!$B$20</x:f>
        <x:v>310002</x:v>
      </x:c>
      <x:c r="B390" s="14" t="str">
        <x:f>英雄升级调参!$C$20</x:f>
        <x:v>贝尔熊</x:v>
      </x:c>
      <x:c r="C390" s="6" t="str">
        <x:f>英雄升级调参!$D$20</x:f>
        <x:v>生存者</x:v>
      </x:c>
      <x:c r="D390" s="6" t="s">
        <x:v>18</x:v>
      </x:c>
      <x:c r="E390" s="6">
        <x:v>22</x:v>
      </x:c>
      <x:c r="F390" s="6" t="n">
        <x:f>英雄升级调参!$C$87</x:f>
        <x:v>5</x:v>
      </x:c>
      <x:c r="G390" s="12">
        <x:f t="shared" si="33"/>
        <x:v>877</x:v>
      </x:c>
      <x:c r="H390" s="12">
        <x:f t="shared" si="34"/>
        <x:v>12145</x:v>
      </x:c>
      <x:c r="I390" s="12">
        <x:f t="shared" si="35"/>
        <x:v>10651165</x:v>
      </x:c>
      <x:c r="J390" s="12">
        <x:f>ROUND(英雄升级调参!$D$87*英雄升级调参!$J$9*英雄升级调参!$E$20,0)</x:f>
        <x:v>46</x:v>
      </x:c>
      <x:c r="K390" s="12">
        <x:f>ROUND(英雄升级调参!$D$87*英雄升级调参!$C$11*英雄升级调参!$J$9*英雄升级调参!$G$20,0)</x:f>
        <x:v>635</x:v>
      </x:c>
      <x:c r="L390" s="12" t="n">
        <x:f>养成消耗调参!$C$169</x:f>
        <x:v>480</x:v>
      </x:c>
      <x:c r="M390" s="12" t="n">
        <x:f>养成消耗调参!$F$169</x:f>
        <x:v>3000</x:v>
      </x:c>
      <x:c r="N390" s="12" t="n">
        <x:f>养成消耗调参!$I$169</x:f>
        <x:v>0</x:v>
      </x:c>
      <x:c r="O390" s="12" t="n">
        <x:f>养成消耗调参!$J$169</x:f>
        <x:v>4968</x:v>
      </x:c>
      <x:c r="P390" s="12" t="n">
        <x:f>养成消耗调参!$M$169</x:f>
        <x:v>27000</x:v>
      </x:c>
      <x:c r="Q390" s="12" t="n">
        <x:f>养成消耗调参!$P$169</x:f>
        <x:v>160</x:v>
      </x:c>
      <x:c r="R390" s="13">
        <x:f>I390/英雄升级调参!$G$87-1</x:f>
        <x:v>8.685250285433987e-05</x:v>
      </x:c>
      <x:c r="S390" s="6"/>
      <x:c r="T390" s="6"/>
      <x:c r="U390" s="6"/>
    </x:row>
    <x:row r="391" ht="21" customHeight="1">
      <x:c r="A391" s="14" t="n">
        <x:f>英雄升级调参!$B$20</x:f>
        <x:v>310002</x:v>
      </x:c>
      <x:c r="B391" s="14" t="str">
        <x:f>英雄升级调参!$C$20</x:f>
        <x:v>贝尔熊</x:v>
      </x:c>
      <x:c r="C391" s="6" t="str">
        <x:f>英雄升级调参!$D$20</x:f>
        <x:v>生存者</x:v>
      </x:c>
      <x:c r="D391" s="6" t="s">
        <x:v>18</x:v>
      </x:c>
      <x:c r="E391" s="6">
        <x:v>23</x:v>
      </x:c>
      <x:c r="F391" s="6" t="n">
        <x:f>英雄升级调参!$C$88</x:f>
        <x:v>5</x:v>
      </x:c>
      <x:c r="G391" s="12">
        <x:f t="shared" si="33"/>
        <x:v>923</x:v>
      </x:c>
      <x:c r="H391" s="12">
        <x:f t="shared" si="34"/>
        <x:v>12780</x:v>
      </x:c>
      <x:c r="I391" s="12">
        <x:f t="shared" si="35"/>
        <x:v>11795940</x:v>
      </x:c>
      <x:c r="J391" s="12">
        <x:f>ROUND(英雄升级调参!$D$88*英雄升级调参!$J$9*英雄升级调参!$E$20,0)</x:f>
        <x:v>46</x:v>
      </x:c>
      <x:c r="K391" s="12">
        <x:f>ROUND(英雄升级调参!$D$88*英雄升级调参!$C$11*英雄升级调参!$J$9*英雄升级调参!$G$20,0)</x:f>
        <x:v>635</x:v>
      </x:c>
      <x:c r="L391" s="12" t="n">
        <x:f>养成消耗调参!$C$170</x:f>
        <x:v>480</x:v>
      </x:c>
      <x:c r="M391" s="12" t="n">
        <x:f>养成消耗调参!$F$170</x:f>
        <x:v>3000</x:v>
      </x:c>
      <x:c r="N391" s="12" t="n">
        <x:f>养成消耗调参!$I$170</x:f>
        <x:v>0</x:v>
      </x:c>
      <x:c r="O391" s="12" t="n">
        <x:f>养成消耗调参!$J$170</x:f>
        <x:v>5448</x:v>
      </x:c>
      <x:c r="P391" s="12" t="n">
        <x:f>养成消耗调参!$M$170</x:f>
        <x:v>30000</x:v>
      </x:c>
      <x:c r="Q391" s="12" t="n">
        <x:f>养成消耗调参!$P$170</x:f>
        <x:v>160</x:v>
      </x:c>
      <x:c r="R391" s="13">
        <x:f>I391/英雄升级调参!$G$88-1</x:f>
        <x:v>0.0001678825432678277</x:v>
      </x:c>
      <x:c r="S391" s="6"/>
      <x:c r="T391" s="6"/>
      <x:c r="U391" s="6"/>
    </x:row>
    <x:row r="392" ht="21" customHeight="1">
      <x:c r="A392" s="14" t="n">
        <x:f>英雄升级调参!$B$20</x:f>
        <x:v>310002</x:v>
      </x:c>
      <x:c r="B392" s="14" t="str">
        <x:f>英雄升级调参!$C$20</x:f>
        <x:v>贝尔熊</x:v>
      </x:c>
      <x:c r="C392" s="6" t="str">
        <x:f>英雄升级调参!$D$20</x:f>
        <x:v>生存者</x:v>
      </x:c>
      <x:c r="D392" s="6" t="s">
        <x:v>18</x:v>
      </x:c>
      <x:c r="E392" s="6">
        <x:v>24</x:v>
      </x:c>
      <x:c r="F392" s="6" t="n">
        <x:f>英雄升级调参!$C$89</x:f>
        <x:v>5</x:v>
      </x:c>
      <x:c r="G392" s="12">
        <x:f t="shared" si="33"/>
        <x:v>969</x:v>
      </x:c>
      <x:c r="H392" s="12">
        <x:f t="shared" si="34"/>
        <x:v>13415</x:v>
      </x:c>
      <x:c r="I392" s="12">
        <x:f t="shared" si="35"/>
        <x:v>12999135</x:v>
      </x:c>
      <x:c r="J392" s="12">
        <x:f>ROUND(英雄升级调参!$D$89*英雄升级调参!$J$9*英雄升级调参!$E$20,0)</x:f>
        <x:v>46</x:v>
      </x:c>
      <x:c r="K392" s="12">
        <x:f>ROUND(英雄升级调参!$D$89*英雄升级调参!$C$11*英雄升级调参!$J$9*英雄升级调参!$G$20,0)</x:f>
        <x:v>635</x:v>
      </x:c>
      <x:c r="L392" s="12" t="n">
        <x:f>养成消耗调参!$C$171</x:f>
        <x:v>528</x:v>
      </x:c>
      <x:c r="M392" s="12" t="n">
        <x:f>养成消耗调参!$F$171</x:f>
        <x:v>3000</x:v>
      </x:c>
      <x:c r="N392" s="12" t="n">
        <x:f>养成消耗调参!$I$171</x:f>
        <x:v>0</x:v>
      </x:c>
      <x:c r="O392" s="12" t="n">
        <x:f>养成消耗调参!$J$171</x:f>
        <x:v>5976</x:v>
      </x:c>
      <x:c r="P392" s="12" t="n">
        <x:f>养成消耗调参!$M$171</x:f>
        <x:v>33000</x:v>
      </x:c>
      <x:c r="Q392" s="12" t="n">
        <x:f>养成消耗调参!$P$171</x:f>
        <x:v>160</x:v>
      </x:c>
      <x:c r="R392" s="13">
        <x:f>I392/英雄升级调参!$G$89-1</x:f>
        <x:v>0.00024122807017534775</x:v>
      </x:c>
      <x:c r="S392" s="6"/>
      <x:c r="T392" s="6"/>
      <x:c r="U392" s="6"/>
    </x:row>
    <x:row r="393" ht="21" customHeight="1">
      <x:c r="A393" s="14" t="n">
        <x:f>英雄升级调参!$B$20</x:f>
        <x:v>310002</x:v>
      </x:c>
      <x:c r="B393" s="14" t="str">
        <x:f>英雄升级调参!$C$20</x:f>
        <x:v>贝尔熊</x:v>
      </x:c>
      <x:c r="C393" s="6" t="str">
        <x:f>英雄升级调参!$D$20</x:f>
        <x:v>生存者</x:v>
      </x:c>
      <x:c r="D393" s="6" t="s">
        <x:v>18</x:v>
      </x:c>
      <x:c r="E393" s="6">
        <x:v>25</x:v>
      </x:c>
      <x:c r="F393" s="6" t="n">
        <x:f>英雄升级调参!$C$90</x:f>
        <x:v>5</x:v>
      </x:c>
      <x:c r="G393" s="12">
        <x:f t="shared" si="33"/>
        <x:v>1107</x:v>
      </x:c>
      <x:c r="H393" s="12">
        <x:f t="shared" si="34"/>
        <x:v>15320</x:v>
      </x:c>
      <x:c r="I393" s="12">
        <x:f t="shared" si="35"/>
        <x:v>16959240</x:v>
      </x:c>
      <x:c r="J393" s="12">
        <x:f>ROUND(英雄升级调参!$D$90*英雄升级调参!$J$9*英雄升级调参!$E$20,0)*3</x:f>
        <x:v>138</x:v>
      </x:c>
      <x:c r="K393" s="12">
        <x:f>ROUND(英雄升级调参!$D$90*英雄升级调参!$C$11*英雄升级调参!$J$9*英雄升级调参!$G$20,0)*3</x:f>
        <x:v>1905</x:v>
      </x:c>
      <x:c r="L393" s="12" t="n">
        <x:f>养成消耗调参!$C$172</x:f>
        <x:v>528</x:v>
      </x:c>
      <x:c r="M393" s="12" t="n">
        <x:f>养成消耗调参!$F$172</x:f>
        <x:v>3000</x:v>
      </x:c>
      <x:c r="N393" s="12" t="n">
        <x:f>养成消耗调参!$I$172</x:f>
        <x:v>90</x:v>
      </x:c>
      <x:c r="O393" s="12" t="n">
        <x:f>养成消耗调参!$J$172</x:f>
        <x:v>6504</x:v>
      </x:c>
      <x:c r="P393" s="12" t="n">
        <x:f>养成消耗调参!$M$172</x:f>
        <x:v>36000</x:v>
      </x:c>
      <x:c r="Q393" s="12" t="n">
        <x:f>养成消耗调参!$P$172</x:f>
        <x:v>250</x:v>
      </x:c>
      <x:c r="R393" s="13">
        <x:f>I393/英雄升级调参!$G$90-1</x:f>
        <x:v>0.0004247276433986258</x:v>
      </x:c>
      <x:c r="S393" s="6"/>
      <x:c r="T393" s="6"/>
      <x:c r="U393" s="6"/>
    </x:row>
    <x:row r="394" ht="21" customHeight="1">
      <x:c r="A394" s="14" t="n">
        <x:f>英雄升级调参!$B$20</x:f>
        <x:v>310002</x:v>
      </x:c>
      <x:c r="B394" s="14" t="str">
        <x:f>英雄升级调参!$C$20</x:f>
        <x:v>贝尔熊</x:v>
      </x:c>
      <x:c r="C394" s="6" t="str">
        <x:f>英雄升级调参!$D$20</x:f>
        <x:v>生存者</x:v>
      </x:c>
      <x:c r="D394" s="6" t="s">
        <x:v>18</x:v>
      </x:c>
      <x:c r="E394" s="6">
        <x:v>26</x:v>
      </x:c>
      <x:c r="F394" s="6" t="n">
        <x:f>英雄升级调参!$C$91</x:f>
        <x:v>6</x:v>
      </x:c>
      <x:c r="G394" s="12">
        <x:f t="shared" si="33"/>
        <x:v>1161</x:v>
      </x:c>
      <x:c r="H394" s="12">
        <x:f t="shared" si="34"/>
        <x:v>16061</x:v>
      </x:c>
      <x:c r="I394" s="12">
        <x:f t="shared" si="35"/>
        <x:v>18646821</x:v>
      </x:c>
      <x:c r="J394" s="12">
        <x:f>ROUND(英雄升级调参!$D$91*英雄升级调参!$J$9*英雄升级调参!$E$20,0)</x:f>
        <x:v>54</x:v>
      </x:c>
      <x:c r="K394" s="12">
        <x:f>ROUND(英雄升级调参!$D$91*英雄升级调参!$C$11*英雄升级调参!$J$9*英雄升级调参!$G$20,0)</x:f>
        <x:v>741</x:v>
      </x:c>
      <x:c r="L394" s="12" t="n">
        <x:f>养成消耗调参!$C$173</x:f>
        <x:v>576</x:v>
      </x:c>
      <x:c r="M394" s="12" t="n">
        <x:f>养成消耗调参!$F$173</x:f>
        <x:v>3000</x:v>
      </x:c>
      <x:c r="N394" s="12" t="n">
        <x:f>养成消耗调参!$I$173</x:f>
        <x:v>0</x:v>
      </x:c>
      <x:c r="O394" s="12" t="n">
        <x:f>养成消耗调参!$J$173</x:f>
        <x:v>7080</x:v>
      </x:c>
      <x:c r="P394" s="12" t="n">
        <x:f>养成消耗调参!$M$173</x:f>
        <x:v>39000</x:v>
      </x:c>
      <x:c r="Q394" s="12" t="n">
        <x:f>养成消耗调参!$P$173</x:f>
        <x:v>250</x:v>
      </x:c>
      <x:c r="R394" s="13">
        <x:f>I394/英雄升级调参!$G$91-1</x:f>
        <x:v>0.0007820311556574477</x:v>
      </x:c>
      <x:c r="S394" s="6"/>
      <x:c r="T394" s="6"/>
      <x:c r="U394" s="6"/>
    </x:row>
    <x:row r="395" ht="21" customHeight="1">
      <x:c r="A395" s="14" t="n">
        <x:f>英雄升级调参!$B$20</x:f>
        <x:v>310002</x:v>
      </x:c>
      <x:c r="B395" s="14" t="str">
        <x:f>英雄升级调参!$C$20</x:f>
        <x:v>贝尔熊</x:v>
      </x:c>
      <x:c r="C395" s="6" t="str">
        <x:f>英雄升级调参!$D$20</x:f>
        <x:v>生存者</x:v>
      </x:c>
      <x:c r="D395" s="6" t="s">
        <x:v>18</x:v>
      </x:c>
      <x:c r="E395" s="6">
        <x:v>27</x:v>
      </x:c>
      <x:c r="F395" s="6" t="n">
        <x:f>英雄升级调参!$C$92</x:f>
        <x:v>6</x:v>
      </x:c>
      <x:c r="G395" s="12">
        <x:f t="shared" si="33"/>
        <x:v>1215</x:v>
      </x:c>
      <x:c r="H395" s="12">
        <x:f t="shared" si="34"/>
        <x:v>16802</x:v>
      </x:c>
      <x:c r="I395" s="12">
        <x:f t="shared" si="35"/>
        <x:v>20414430</x:v>
      </x:c>
      <x:c r="J395" s="12">
        <x:f>ROUND(英雄升级调参!$D$92*英雄升级调参!$J$9*英雄升级调参!$E$20,0)</x:f>
        <x:v>54</x:v>
      </x:c>
      <x:c r="K395" s="12">
        <x:f>ROUND(英雄升级调参!$D$92*英雄升级调参!$C$11*英雄升级调参!$J$9*英雄升级调参!$G$20,0)</x:f>
        <x:v>741</x:v>
      </x:c>
      <x:c r="L395" s="12" t="n">
        <x:f>养成消耗调参!$C$174</x:f>
        <x:v>576</x:v>
      </x:c>
      <x:c r="M395" s="12" t="n">
        <x:f>养成消耗调参!$F$174</x:f>
        <x:v>3900</x:v>
      </x:c>
      <x:c r="N395" s="12" t="n">
        <x:f>养成消耗调参!$I$174</x:f>
        <x:v>0</x:v>
      </x:c>
      <x:c r="O395" s="12" t="n">
        <x:f>养成消耗调参!$J$174</x:f>
        <x:v>7656</x:v>
      </x:c>
      <x:c r="P395" s="12" t="n">
        <x:f>养成消耗调参!$M$174</x:f>
        <x:v>42900</x:v>
      </x:c>
      <x:c r="Q395" s="12" t="n">
        <x:f>养成消耗调参!$P$174</x:f>
        <x:v>250</x:v>
      </x:c>
      <x:c r="R395" s="13">
        <x:f>I395/英雄升级调参!$G$92-1</x:f>
        <x:v>0.0011077960596002079</x:v>
      </x:c>
      <x:c r="S395" s="6"/>
      <x:c r="T395" s="6"/>
      <x:c r="U395" s="6"/>
    </x:row>
    <x:row r="396" ht="21" customHeight="1">
      <x:c r="A396" s="14" t="n">
        <x:f>英雄升级调参!$B$20</x:f>
        <x:v>310002</x:v>
      </x:c>
      <x:c r="B396" s="14" t="str">
        <x:f>英雄升级调参!$C$20</x:f>
        <x:v>贝尔熊</x:v>
      </x:c>
      <x:c r="C396" s="6" t="str">
        <x:f>英雄升级调参!$D$20</x:f>
        <x:v>生存者</x:v>
      </x:c>
      <x:c r="D396" s="6" t="s">
        <x:v>18</x:v>
      </x:c>
      <x:c r="E396" s="6">
        <x:v>28</x:v>
      </x:c>
      <x:c r="F396" s="6" t="n">
        <x:f>英雄升级调参!$C$93</x:f>
        <x:v>6</x:v>
      </x:c>
      <x:c r="G396" s="12">
        <x:f t="shared" si="33"/>
        <x:v>1269</x:v>
      </x:c>
      <x:c r="H396" s="12">
        <x:f t="shared" si="34"/>
        <x:v>17543</x:v>
      </x:c>
      <x:c r="I396" s="12">
        <x:f t="shared" si="35"/>
        <x:v>22262067</x:v>
      </x:c>
      <x:c r="J396" s="12">
        <x:f>ROUND(英雄升级调参!$D$93*英雄升级调参!$J$9*英雄升级调参!$E$20,0)</x:f>
        <x:v>54</x:v>
      </x:c>
      <x:c r="K396" s="12">
        <x:f>ROUND(英雄升级调参!$D$93*英雄升级调参!$C$11*英雄升级调参!$J$9*英雄升级调参!$G$20,0)</x:f>
        <x:v>741</x:v>
      </x:c>
      <x:c r="L396" s="12" t="n">
        <x:f>养成消耗调参!$C$175</x:f>
        <x:v>624</x:v>
      </x:c>
      <x:c r="M396" s="12" t="n">
        <x:f>养成消耗调参!$F$175</x:f>
        <x:v>3900</x:v>
      </x:c>
      <x:c r="N396" s="12" t="n">
        <x:f>养成消耗调参!$I$175</x:f>
        <x:v>0</x:v>
      </x:c>
      <x:c r="O396" s="12" t="n">
        <x:f>养成消耗调参!$J$175</x:f>
        <x:v>8280</x:v>
      </x:c>
      <x:c r="P396" s="12" t="n">
        <x:f>养成消耗调参!$M$175</x:f>
        <x:v>46800</x:v>
      </x:c>
      <x:c r="Q396" s="12" t="n">
        <x:f>养成消耗调参!$P$175</x:f>
        <x:v>250</x:v>
      </x:c>
      <x:c r="R396" s="13">
        <x:f>I396/英雄升级调参!$G$93-1</x:f>
        <x:v>0.0014060216429361283</x:v>
      </x:c>
      <x:c r="S396" s="6"/>
      <x:c r="T396" s="6"/>
      <x:c r="U396" s="6"/>
    </x:row>
    <x:row r="397" ht="21" customHeight="1">
      <x:c r="A397" s="14" t="n">
        <x:f>英雄升级调参!$B$20</x:f>
        <x:v>310002</x:v>
      </x:c>
      <x:c r="B397" s="14" t="str">
        <x:f>英雄升级调参!$C$20</x:f>
        <x:v>贝尔熊</x:v>
      </x:c>
      <x:c r="C397" s="6" t="str">
        <x:f>英雄升级调参!$D$20</x:f>
        <x:v>生存者</x:v>
      </x:c>
      <x:c r="D397" s="6" t="s">
        <x:v>18</x:v>
      </x:c>
      <x:c r="E397" s="6">
        <x:v>29</x:v>
      </x:c>
      <x:c r="F397" s="6" t="n">
        <x:f>英雄升级调参!$C$94</x:f>
        <x:v>6</x:v>
      </x:c>
      <x:c r="G397" s="12">
        <x:f t="shared" si="33"/>
        <x:v>1323</x:v>
      </x:c>
      <x:c r="H397" s="12">
        <x:f t="shared" si="34"/>
        <x:v>18284</x:v>
      </x:c>
      <x:c r="I397" s="12">
        <x:f t="shared" si="35"/>
        <x:v>24189732</x:v>
      </x:c>
      <x:c r="J397" s="12">
        <x:f>ROUND(英雄升级调参!$D$94*英雄升级调参!$J$9*英雄升级调参!$E$20,0)</x:f>
        <x:v>54</x:v>
      </x:c>
      <x:c r="K397" s="12">
        <x:f>ROUND(英雄升级调参!$D$94*英雄升级调参!$C$11*英雄升级调参!$J$9*英雄升级调参!$G$20,0)</x:f>
        <x:v>741</x:v>
      </x:c>
      <x:c r="L397" s="12" t="n">
        <x:f>养成消耗调参!$C$176</x:f>
        <x:v>624</x:v>
      </x:c>
      <x:c r="M397" s="12" t="n">
        <x:f>养成消耗调参!$F$176</x:f>
        <x:v>3900</x:v>
      </x:c>
      <x:c r="N397" s="12" t="n">
        <x:f>养成消耗调参!$I$176</x:f>
        <x:v>0</x:v>
      </x:c>
      <x:c r="O397" s="12" t="n">
        <x:f>养成消耗调参!$J$176</x:f>
        <x:v>8904</x:v>
      </x:c>
      <x:c r="P397" s="12" t="n">
        <x:f>养成消耗调参!$M$176</x:f>
        <x:v>50700</x:v>
      </x:c>
      <x:c r="Q397" s="12" t="n">
        <x:f>养成消耗调参!$P$176</x:f>
        <x:v>250</x:v>
      </x:c>
      <x:c r="R397" s="13">
        <x:f>I397/英雄升级调参!$G$94-1</x:f>
        <x:v>0.0016800584368152904</x:v>
      </x:c>
      <x:c r="S397" s="6"/>
      <x:c r="T397" s="6"/>
      <x:c r="U397" s="6"/>
    </x:row>
    <x:row r="398" ht="21" customHeight="1">
      <x:c r="A398" s="14" t="n">
        <x:f>英雄升级调参!$B$20</x:f>
        <x:v>310002</x:v>
      </x:c>
      <x:c r="B398" s="14" t="str">
        <x:f>英雄升级调参!$C$20</x:f>
        <x:v>贝尔熊</x:v>
      </x:c>
      <x:c r="C398" s="6" t="str">
        <x:f>英雄升级调参!$D$20</x:f>
        <x:v>生存者</x:v>
      </x:c>
      <x:c r="D398" s="6" t="s">
        <x:v>18</x:v>
      </x:c>
      <x:c r="E398" s="6">
        <x:v>30</x:v>
      </x:c>
      <x:c r="F398" s="6" t="n">
        <x:f>英雄升级调参!$C$95</x:f>
        <x:v>6</x:v>
      </x:c>
      <x:c r="G398" s="12">
        <x:f t="shared" si="33"/>
        <x:v>1485</x:v>
      </x:c>
      <x:c r="H398" s="12">
        <x:f t="shared" si="34"/>
        <x:v>20507</x:v>
      </x:c>
      <x:c r="I398" s="12">
        <x:f t="shared" si="35"/>
        <x:v>30452895</x:v>
      </x:c>
      <x:c r="J398" s="12">
        <x:f>ROUND(英雄升级调参!$D$95*英雄升级调参!$J$9*英雄升级调参!$E$20,0)*3</x:f>
        <x:v>162</x:v>
      </x:c>
      <x:c r="K398" s="12">
        <x:f>ROUND(英雄升级调参!$D$95*英雄升级调参!$C$11*英雄升级调参!$J$9*英雄升级调参!$G$20,0)*3</x:f>
        <x:v>2223</x:v>
      </x:c>
      <x:c r="L398" s="12" t="n">
        <x:f>养成消耗调参!$C$177</x:f>
        <x:v>672</x:v>
      </x:c>
      <x:c r="M398" s="12" t="n">
        <x:f>养成消耗调参!$F$177</x:f>
        <x:v>3900</x:v>
      </x:c>
      <x:c r="N398" s="12" t="n">
        <x:f>养成消耗调参!$I$177</x:f>
        <x:v>110</x:v>
      </x:c>
      <x:c r="O398" s="12" t="n">
        <x:f>养成消耗调参!$J$177</x:f>
        <x:v>9576</x:v>
      </x:c>
      <x:c r="P398" s="12" t="n">
        <x:f>养成消耗调参!$M$177</x:f>
        <x:v>54600</x:v>
      </x:c>
      <x:c r="Q398" s="12" t="n">
        <x:f>养成消耗调参!$P$177</x:f>
        <x:v>360</x:v>
      </x:c>
      <x:c r="R398" s="13">
        <x:f>I398/英雄升级调参!$G$95-1</x:f>
        <x:v>0.0023832729491855</x:v>
      </x:c>
      <x:c r="S398" s="6"/>
      <x:c r="T398" s="6"/>
      <x:c r="U398" s="6"/>
    </x:row>
    <x:row r="399" ht="21" customHeight="1">
      <x:c r="A399" s="14" t="n">
        <x:f>英雄升级调参!$B$20</x:f>
        <x:v>310002</x:v>
      </x:c>
      <x:c r="B399" s="14" t="str">
        <x:f>英雄升级调参!$C$20</x:f>
        <x:v>贝尔熊</x:v>
      </x:c>
      <x:c r="C399" s="6" t="str">
        <x:f>英雄升级调参!$D$20</x:f>
        <x:v>生存者</x:v>
      </x:c>
      <x:c r="D399" s="6" t="s">
        <x:v>18</x:v>
      </x:c>
      <x:c r="E399" s="6">
        <x:v>31</x:v>
      </x:c>
      <x:c r="F399" s="6" t="n">
        <x:f>英雄升级调参!$C$96</x:f>
        <x:v>7</x:v>
      </x:c>
      <x:c r="G399" s="12">
        <x:f t="shared" si="33"/>
        <x:v>1546</x:v>
      </x:c>
      <x:c r="H399" s="12">
        <x:f t="shared" si="34"/>
        <x:v>21354</x:v>
      </x:c>
      <x:c r="I399" s="12">
        <x:f t="shared" si="35"/>
        <x:v>33013284</x:v>
      </x:c>
      <x:c r="J399" s="12">
        <x:f>ROUND(英雄升级调参!$D$96*英雄升级调参!$J$9*英雄升级调参!$E$20,0)</x:f>
        <x:v>61</x:v>
      </x:c>
      <x:c r="K399" s="12">
        <x:f>ROUND(英雄升级调参!$D$96*英雄升级调参!$C$11*英雄升级调参!$J$9*英雄升级调参!$G$20,0)</x:f>
        <x:v>847</x:v>
      </x:c>
      <x:c r="L399" s="12" t="n">
        <x:f>养成消耗调参!$C$178</x:f>
        <x:v>672</x:v>
      </x:c>
      <x:c r="M399" s="12" t="n">
        <x:f>养成消耗调参!$F$178</x:f>
        <x:v>3900</x:v>
      </x:c>
      <x:c r="N399" s="12" t="n">
        <x:f>养成消耗调参!$I$178</x:f>
        <x:v>0</x:v>
      </x:c>
      <x:c r="O399" s="12" t="n">
        <x:f>养成消耗调参!$J$178</x:f>
        <x:v>10248</x:v>
      </x:c>
      <x:c r="P399" s="12" t="n">
        <x:f>养成消耗调参!$M$178</x:f>
        <x:v>58500</x:v>
      </x:c>
      <x:c r="Q399" s="12" t="n">
        <x:f>养成消耗调参!$P$178</x:f>
        <x:v>360</x:v>
      </x:c>
      <x:c r="R399" s="13">
        <x:f>I399/英雄升级调参!$G$96-1</x:f>
        <x:v>0.0021563190128179865</x:v>
      </x:c>
      <x:c r="S399" s="6"/>
      <x:c r="T399" s="6"/>
      <x:c r="U399" s="6"/>
    </x:row>
    <x:row r="400" ht="21" customHeight="1">
      <x:c r="A400" s="14" t="n">
        <x:f>英雄升级调参!$B$20</x:f>
        <x:v>310002</x:v>
      </x:c>
      <x:c r="B400" s="14" t="str">
        <x:f>英雄升级调参!$C$20</x:f>
        <x:v>贝尔熊</x:v>
      </x:c>
      <x:c r="C400" s="6" t="str">
        <x:f>英雄升级调参!$D$20</x:f>
        <x:v>生存者</x:v>
      </x:c>
      <x:c r="D400" s="6" t="s">
        <x:v>18</x:v>
      </x:c>
      <x:c r="E400" s="6">
        <x:v>32</x:v>
      </x:c>
      <x:c r="F400" s="6" t="n">
        <x:f>英雄升级调参!$C$97</x:f>
        <x:v>7</x:v>
      </x:c>
      <x:c r="G400" s="12">
        <x:f t="shared" si="33"/>
        <x:v>1607</x:v>
      </x:c>
      <x:c r="H400" s="12">
        <x:f t="shared" si="34"/>
        <x:v>22201</x:v>
      </x:c>
      <x:c r="I400" s="12">
        <x:f t="shared" si="35"/>
        <x:v>35677007</x:v>
      </x:c>
      <x:c r="J400" s="12">
        <x:f>ROUND(英雄升级调参!$D$97*英雄升级调参!$J$9*英雄升级调参!$E$20,0)</x:f>
        <x:v>61</x:v>
      </x:c>
      <x:c r="K400" s="12">
        <x:f>ROUND(英雄升级调参!$D$97*英雄升级调参!$C$11*英雄升级调参!$J$9*英雄升级调参!$G$20,0)</x:f>
        <x:v>847</x:v>
      </x:c>
      <x:c r="L400" s="12" t="n">
        <x:f>养成消耗调参!$C$179</x:f>
        <x:v>720</x:v>
      </x:c>
      <x:c r="M400" s="12" t="n">
        <x:f>养成消耗调参!$F$179</x:f>
        <x:v>4800</x:v>
      </x:c>
      <x:c r="N400" s="12" t="n">
        <x:f>养成消耗调参!$I$179</x:f>
        <x:v>0</x:v>
      </x:c>
      <x:c r="O400" s="12" t="n">
        <x:f>养成消耗调参!$J$179</x:f>
        <x:v>10968</x:v>
      </x:c>
      <x:c r="P400" s="12" t="n">
        <x:f>养成消耗调参!$M$179</x:f>
        <x:v>63300</x:v>
      </x:c>
      <x:c r="Q400" s="12" t="n">
        <x:f>养成消耗调参!$P$179</x:f>
        <x:v>360</x:v>
      </x:c>
      <x:c r="R400" s="13">
        <x:f>I400/英雄升级调参!$G$97-1</x:f>
        <x:v>0.0019466862354733383</x:v>
      </x:c>
      <x:c r="S400" s="6"/>
      <x:c r="T400" s="6"/>
      <x:c r="U400" s="6"/>
    </x:row>
    <x:row r="401" ht="21" customHeight="1">
      <x:c r="A401" s="14" t="n">
        <x:f>英雄升级调参!$B$20</x:f>
        <x:v>310002</x:v>
      </x:c>
      <x:c r="B401" s="14" t="str">
        <x:f>英雄升级调参!$C$20</x:f>
        <x:v>贝尔熊</x:v>
      </x:c>
      <x:c r="C401" s="6" t="str">
        <x:f>英雄升级调参!$D$20</x:f>
        <x:v>生存者</x:v>
      </x:c>
      <x:c r="D401" s="6" t="s">
        <x:v>18</x:v>
      </x:c>
      <x:c r="E401" s="6">
        <x:v>33</x:v>
      </x:c>
      <x:c r="F401" s="6" t="n">
        <x:f>英雄升级调参!$C$98</x:f>
        <x:v>7</x:v>
      </x:c>
      <x:c r="G401" s="12">
        <x:f t="shared" si="33"/>
        <x:v>1668</x:v>
      </x:c>
      <x:c r="H401" s="12">
        <x:f t="shared" si="34"/>
        <x:v>23048</x:v>
      </x:c>
      <x:c r="I401" s="12">
        <x:f t="shared" si="35"/>
        <x:v>38444064</x:v>
      </x:c>
      <x:c r="J401" s="12">
        <x:f>ROUND(英雄升级调参!$D$98*英雄升级调参!$J$9*英雄升级调参!$E$20,0)</x:f>
        <x:v>61</x:v>
      </x:c>
      <x:c r="K401" s="12">
        <x:f>ROUND(英雄升级调参!$D$98*英雄升级调参!$C$11*英雄升级调参!$J$9*英雄升级调参!$G$20,0)</x:f>
        <x:v>847</x:v>
      </x:c>
      <x:c r="L401" s="12" t="n">
        <x:f>养成消耗调参!$C$180</x:f>
        <x:v>720</x:v>
      </x:c>
      <x:c r="M401" s="12" t="n">
        <x:f>养成消耗调参!$F$180</x:f>
        <x:v>4800</x:v>
      </x:c>
      <x:c r="N401" s="12" t="n">
        <x:f>养成消耗调参!$I$180</x:f>
        <x:v>0</x:v>
      </x:c>
      <x:c r="O401" s="12" t="n">
        <x:f>养成消耗调参!$J$180</x:f>
        <x:v>11688</x:v>
      </x:c>
      <x:c r="P401" s="12" t="n">
        <x:f>养成消耗调参!$M$180</x:f>
        <x:v>68100</x:v>
      </x:c>
      <x:c r="Q401" s="12" t="n">
        <x:f>养成消耗调参!$P$180</x:f>
        <x:v>360</x:v>
      </x:c>
      <x:c r="R401" s="13">
        <x:f>I401/英雄升级调参!$G$98-1</x:f>
        <x:v>0.0017524645743092204</x:v>
      </x:c>
      <x:c r="S401" s="6"/>
      <x:c r="T401" s="6"/>
      <x:c r="U401" s="6"/>
    </x:row>
    <x:row r="402" ht="21" customHeight="1">
      <x:c r="A402" s="14" t="n">
        <x:f>英雄升级调参!$B$20</x:f>
        <x:v>310002</x:v>
      </x:c>
      <x:c r="B402" s="14" t="str">
        <x:f>英雄升级调参!$C$20</x:f>
        <x:v>贝尔熊</x:v>
      </x:c>
      <x:c r="C402" s="6" t="str">
        <x:f>英雄升级调参!$D$20</x:f>
        <x:v>生存者</x:v>
      </x:c>
      <x:c r="D402" s="6" t="s">
        <x:v>18</x:v>
      </x:c>
      <x:c r="E402" s="6">
        <x:v>34</x:v>
      </x:c>
      <x:c r="F402" s="6" t="n">
        <x:f>英雄升级调参!$C$99</x:f>
        <x:v>7</x:v>
      </x:c>
      <x:c r="G402" s="12">
        <x:f t="shared" ref="G402:G418" si="36">G401+J402</x:f>
        <x:v>1729</x:v>
      </x:c>
      <x:c r="H402" s="12">
        <x:f t="shared" ref="H402:H418" si="37">H401+K402</x:f>
        <x:v>23895</x:v>
      </x:c>
      <x:c r="I402" s="12">
        <x:f t="shared" si="35"/>
        <x:v>41314455</x:v>
      </x:c>
      <x:c r="J402" s="12">
        <x:f>ROUND(英雄升级调参!$D$99*英雄升级调参!$J$9*英雄升级调参!$E$20,0)</x:f>
        <x:v>61</x:v>
      </x:c>
      <x:c r="K402" s="12">
        <x:f>ROUND(英雄升级调参!$D$99*英雄升级调参!$C$11*英雄升级调参!$J$9*英雄升级调参!$G$20,0)</x:f>
        <x:v>847</x:v>
      </x:c>
      <x:c r="L402" s="12" t="n">
        <x:f>养成消耗调参!$C$181</x:f>
        <x:v>768</x:v>
      </x:c>
      <x:c r="M402" s="12" t="n">
        <x:f>养成消耗调参!$F$181</x:f>
        <x:v>4800</x:v>
      </x:c>
      <x:c r="N402" s="12" t="n">
        <x:f>养成消耗调参!$I$181</x:f>
        <x:v>0</x:v>
      </x:c>
      <x:c r="O402" s="12" t="n">
        <x:f>养成消耗调参!$J$181</x:f>
        <x:v>12456</x:v>
      </x:c>
      <x:c r="P402" s="12" t="n">
        <x:f>养成消耗调参!$M$181</x:f>
        <x:v>72900</x:v>
      </x:c>
      <x:c r="Q402" s="12" t="n">
        <x:f>养成消耗调参!$P$181</x:f>
        <x:v>360</x:v>
      </x:c>
      <x:c r="R402" s="13">
        <x:f>I402/英雄升级调参!$G$99-1</x:f>
        <x:v>0.0015720148626858776</x:v>
      </x:c>
      <x:c r="S402" s="6"/>
      <x:c r="T402" s="6"/>
      <x:c r="U402" s="6"/>
    </x:row>
    <x:row r="403" ht="21" customHeight="1">
      <x:c r="A403" s="14" t="n">
        <x:f>英雄升级调参!$B$20</x:f>
        <x:v>310002</x:v>
      </x:c>
      <x:c r="B403" s="14" t="str">
        <x:f>英雄升级调参!$C$20</x:f>
        <x:v>贝尔熊</x:v>
      </x:c>
      <x:c r="C403" s="6" t="str">
        <x:f>英雄升级调参!$D$20</x:f>
        <x:v>生存者</x:v>
      </x:c>
      <x:c r="D403" s="6" t="s">
        <x:v>18</x:v>
      </x:c>
      <x:c r="E403" s="6">
        <x:v>35</x:v>
      </x:c>
      <x:c r="F403" s="6" t="n">
        <x:f>英雄升级调参!$C$100</x:f>
        <x:v>7</x:v>
      </x:c>
      <x:c r="G403" s="12">
        <x:f t="shared" si="36"/>
        <x:v>1912</x:v>
      </x:c>
      <x:c r="H403" s="12">
        <x:f t="shared" si="37"/>
        <x:v>26436</x:v>
      </x:c>
      <x:c r="I403" s="12">
        <x:f t="shared" si="35"/>
        <x:v>50545632</x:v>
      </x:c>
      <x:c r="J403" s="12">
        <x:f>ROUND(英雄升级调参!$D$100*英雄升级调参!$J$9*英雄升级调参!$E$20,0)*3</x:f>
        <x:v>183</x:v>
      </x:c>
      <x:c r="K403" s="12">
        <x:f>ROUND(英雄升级调参!$D$100*英雄升级调参!$C$11*英雄升级调参!$J$9*英雄升级调参!$G$20,0)*3</x:f>
        <x:v>2541</x:v>
      </x:c>
      <x:c r="L403" s="12" t="n">
        <x:f>养成消耗调参!$C$182</x:f>
        <x:v>768</x:v>
      </x:c>
      <x:c r="M403" s="12" t="n">
        <x:f>养成消耗调参!$F$182</x:f>
        <x:v>4800</x:v>
      </x:c>
      <x:c r="N403" s="12" t="n">
        <x:f>养成消耗调参!$I$182</x:f>
        <x:v>130</x:v>
      </x:c>
      <x:c r="O403" s="12" t="n">
        <x:f>养成消耗调参!$J$182</x:f>
        <x:v>13224</x:v>
      </x:c>
      <x:c r="P403" s="12" t="n">
        <x:f>养成消耗调参!$M$182</x:f>
        <x:v>77700</x:v>
      </x:c>
      <x:c r="Q403" s="12" t="n">
        <x:f>养成消耗调参!$P$182</x:f>
        <x:v>490</x:v>
      </x:c>
      <x:c r="R403" s="13">
        <x:f>I403/英雄升级调参!$G$100-1</x:f>
        <x:v>0.0011000574568198473</x:v>
      </x:c>
      <x:c r="S403" s="6"/>
      <x:c r="T403" s="6"/>
      <x:c r="U403" s="6"/>
    </x:row>
    <x:row r="404" ht="21" customHeight="1">
      <x:c r="A404" s="14" t="n">
        <x:f>英雄升级调参!$B$20</x:f>
        <x:v>310002</x:v>
      </x:c>
      <x:c r="B404" s="14" t="str">
        <x:f>英雄升级调参!$C$20</x:f>
        <x:v>贝尔熊</x:v>
      </x:c>
      <x:c r="C404" s="6" t="str">
        <x:f>英雄升级调参!$D$20</x:f>
        <x:v>生存者</x:v>
      </x:c>
      <x:c r="D404" s="6" t="s">
        <x:v>18</x:v>
      </x:c>
      <x:c r="E404" s="6">
        <x:v>36</x:v>
      </x:c>
      <x:c r="F404" s="6" t="n">
        <x:f>英雄升级调参!$C$101</x:f>
        <x:v>8</x:v>
      </x:c>
      <x:c r="G404" s="12">
        <x:f t="shared" si="36"/>
        <x:v>1981</x:v>
      </x:c>
      <x:c r="H404" s="12">
        <x:f t="shared" si="37"/>
        <x:v>27389</x:v>
      </x:c>
      <x:c r="I404" s="12">
        <x:f t="shared" si="35"/>
        <x:v>54257609</x:v>
      </x:c>
      <x:c r="J404" s="12">
        <x:f>ROUND(英雄升级调参!$D$101*英雄升级调参!$J$9*英雄升级调参!$E$20,0)</x:f>
        <x:v>69</x:v>
      </x:c>
      <x:c r="K404" s="12">
        <x:f>ROUND(英雄升级调参!$D$101*英雄升级调参!$C$11*英雄升级调参!$J$9*英雄升级调参!$G$20,0)</x:f>
        <x:v>953</x:v>
      </x:c>
      <x:c r="L404" s="12" t="n">
        <x:f>养成消耗调参!$C$183</x:f>
        <x:v>816</x:v>
      </x:c>
      <x:c r="M404" s="12" t="n">
        <x:f>养成消耗调参!$F$183</x:f>
        <x:v>4800</x:v>
      </x:c>
      <x:c r="N404" s="12" t="n">
        <x:f>养成消耗调参!$I$183</x:f>
        <x:v>0</x:v>
      </x:c>
      <x:c r="O404" s="12" t="n">
        <x:f>养成消耗调参!$J$183</x:f>
        <x:v>14040</x:v>
      </x:c>
      <x:c r="P404" s="12" t="n">
        <x:f>养成消耗调参!$M$183</x:f>
        <x:v>82500</x:v>
      </x:c>
      <x:c r="Q404" s="12" t="n">
        <x:f>养成消耗调参!$P$183</x:f>
        <x:v>490</x:v>
      </x:c>
      <x:c r="R404" s="13">
        <x:f>I404/英雄升级调参!$G$101-1</x:f>
        <x:v>0.0011397369244576794</x:v>
      </x:c>
      <x:c r="S404" s="6"/>
      <x:c r="T404" s="6"/>
      <x:c r="U404" s="6"/>
    </x:row>
    <x:row r="405" ht="21" customHeight="1">
      <x:c r="A405" s="14" t="n">
        <x:f>英雄升级调参!$B$20</x:f>
        <x:v>310002</x:v>
      </x:c>
      <x:c r="B405" s="14" t="str">
        <x:f>英雄升级调参!$C$20</x:f>
        <x:v>贝尔熊</x:v>
      </x:c>
      <x:c r="C405" s="6" t="str">
        <x:f>英雄升级调参!$D$20</x:f>
        <x:v>生存者</x:v>
      </x:c>
      <x:c r="D405" s="6" t="s">
        <x:v>18</x:v>
      </x:c>
      <x:c r="E405" s="6">
        <x:v>37</x:v>
      </x:c>
      <x:c r="F405" s="6" t="n">
        <x:f>英雄升级调参!$C$102</x:f>
        <x:v>8</x:v>
      </x:c>
      <x:c r="G405" s="12">
        <x:f t="shared" si="36"/>
        <x:v>2050</x:v>
      </x:c>
      <x:c r="H405" s="12">
        <x:f t="shared" si="37"/>
        <x:v>28342</x:v>
      </x:c>
      <x:c r="I405" s="12">
        <x:f t="shared" si="35"/>
        <x:v>58101100</x:v>
      </x:c>
      <x:c r="J405" s="12">
        <x:f>ROUND(英雄升级调参!$D$102*英雄升级调参!$J$9*英雄升级调参!$E$20,0)</x:f>
        <x:v>69</x:v>
      </x:c>
      <x:c r="K405" s="12">
        <x:f>ROUND(英雄升级调参!$D$102*英雄升级调参!$C$11*英雄升级调参!$J$9*英雄升级调参!$G$20,0)</x:f>
        <x:v>953</x:v>
      </x:c>
      <x:c r="L405" s="12" t="n">
        <x:f>养成消耗调参!$C$184</x:f>
        <x:v>816</x:v>
      </x:c>
      <x:c r="M405" s="12" t="n">
        <x:f>养成消耗调参!$F$184</x:f>
        <x:v>5700</x:v>
      </x:c>
      <x:c r="N405" s="12" t="n">
        <x:f>养成消耗调参!$I$184</x:f>
        <x:v>0</x:v>
      </x:c>
      <x:c r="O405" s="12" t="n">
        <x:f>养成消耗调参!$J$184</x:f>
        <x:v>14856</x:v>
      </x:c>
      <x:c r="P405" s="12" t="n">
        <x:f>养成消耗调参!$M$184</x:f>
        <x:v>88200</x:v>
      </x:c>
      <x:c r="Q405" s="12" t="n">
        <x:f>养成消耗调参!$P$184</x:f>
        <x:v>490</x:v>
      </x:c>
      <x:c r="R405" s="13">
        <x:f>I405/英雄升级调参!$G$102-1</x:f>
        <x:v>0.0011767481188658113</x:v>
      </x:c>
      <x:c r="S405" s="6"/>
      <x:c r="T405" s="6"/>
      <x:c r="U405" s="6"/>
    </x:row>
    <x:row r="406" ht="21" customHeight="1">
      <x:c r="A406" s="14" t="n">
        <x:f>英雄升级调参!$B$20</x:f>
        <x:v>310002</x:v>
      </x:c>
      <x:c r="B406" s="14" t="str">
        <x:f>英雄升级调参!$C$20</x:f>
        <x:v>贝尔熊</x:v>
      </x:c>
      <x:c r="C406" s="6" t="str">
        <x:f>英雄升级调参!$D$20</x:f>
        <x:v>生存者</x:v>
      </x:c>
      <x:c r="D406" s="6" t="s">
        <x:v>18</x:v>
      </x:c>
      <x:c r="E406" s="6">
        <x:v>38</x:v>
      </x:c>
      <x:c r="F406" s="6" t="n">
        <x:f>英雄升级调参!$C$103</x:f>
        <x:v>8</x:v>
      </x:c>
      <x:c r="G406" s="12">
        <x:f t="shared" si="36"/>
        <x:v>2119</x:v>
      </x:c>
      <x:c r="H406" s="12">
        <x:f t="shared" si="37"/>
        <x:v>29295</x:v>
      </x:c>
      <x:c r="I406" s="12">
        <x:f t="shared" si="35"/>
        <x:v>62076105</x:v>
      </x:c>
      <x:c r="J406" s="12">
        <x:f>ROUND(英雄升级调参!$D$103*英雄升级调参!$J$9*英雄升级调参!$E$20,0)</x:f>
        <x:v>69</x:v>
      </x:c>
      <x:c r="K406" s="12">
        <x:f>ROUND(英雄升级调参!$D$103*英雄升级调参!$C$11*英雄升级调参!$J$9*英雄升级调参!$G$20,0)</x:f>
        <x:v>953</x:v>
      </x:c>
      <x:c r="L406" s="12" t="n">
        <x:f>养成消耗调参!$C$185</x:f>
        <x:v>864</x:v>
      </x:c>
      <x:c r="M406" s="12" t="n">
        <x:f>养成消耗调参!$F$185</x:f>
        <x:v>5700</x:v>
      </x:c>
      <x:c r="N406" s="12" t="n">
        <x:f>养成消耗调参!$I$185</x:f>
        <x:v>0</x:v>
      </x:c>
      <x:c r="O406" s="12" t="n">
        <x:f>养成消耗调参!$J$185</x:f>
        <x:v>15720</x:v>
      </x:c>
      <x:c r="P406" s="12" t="n">
        <x:f>养成消耗调参!$M$185</x:f>
        <x:v>93900</x:v>
      </x:c>
      <x:c r="Q406" s="12" t="n">
        <x:f>养成消耗调参!$P$185</x:f>
        <x:v>490</x:v>
      </x:c>
      <x:c r="R406" s="13">
        <x:f>I406/英雄升级调参!$G$103-1</x:f>
        <x:v>0.0012113514298155437</x:v>
      </x:c>
      <x:c r="S406" s="6"/>
      <x:c r="T406" s="6"/>
      <x:c r="U406" s="6"/>
    </x:row>
    <x:row r="407" ht="21" customHeight="1">
      <x:c r="A407" s="14" t="n">
        <x:f>英雄升级调参!$B$20</x:f>
        <x:v>310002</x:v>
      </x:c>
      <x:c r="B407" s="14" t="str">
        <x:f>英雄升级调参!$C$20</x:f>
        <x:v>贝尔熊</x:v>
      </x:c>
      <x:c r="C407" s="6" t="str">
        <x:f>英雄升级调参!$D$20</x:f>
        <x:v>生存者</x:v>
      </x:c>
      <x:c r="D407" s="6" t="s">
        <x:v>18</x:v>
      </x:c>
      <x:c r="E407" s="6">
        <x:v>39</x:v>
      </x:c>
      <x:c r="F407" s="6" t="n">
        <x:f>英雄升级调参!$C$104</x:f>
        <x:v>8</x:v>
      </x:c>
      <x:c r="G407" s="12">
        <x:f t="shared" si="36"/>
        <x:v>2188</x:v>
      </x:c>
      <x:c r="H407" s="12">
        <x:f t="shared" si="37"/>
        <x:v>30248</x:v>
      </x:c>
      <x:c r="I407" s="12">
        <x:f t="shared" si="35"/>
        <x:v>66182624</x:v>
      </x:c>
      <x:c r="J407" s="12">
        <x:f>ROUND(英雄升级调参!$D$104*英雄升级调参!$J$9*英雄升级调参!$E$20,0)</x:f>
        <x:v>69</x:v>
      </x:c>
      <x:c r="K407" s="12">
        <x:f>ROUND(英雄升级调参!$D$104*英雄升级调参!$C$11*英雄升级调参!$J$9*英雄升级调参!$G$20,0)</x:f>
        <x:v>953</x:v>
      </x:c>
      <x:c r="L407" s="12" t="n">
        <x:f>养成消耗调参!$C$186</x:f>
        <x:v>864</x:v>
      </x:c>
      <x:c r="M407" s="12" t="n">
        <x:f>养成消耗调参!$F$186</x:f>
        <x:v>5700</x:v>
      </x:c>
      <x:c r="N407" s="12" t="n">
        <x:f>养成消耗调参!$I$186</x:f>
        <x:v>0</x:v>
      </x:c>
      <x:c r="O407" s="12" t="n">
        <x:f>养成消耗调参!$J$186</x:f>
        <x:v>16584</x:v>
      </x:c>
      <x:c r="P407" s="12" t="n">
        <x:f>养成消耗调参!$M$186</x:f>
        <x:v>99600</x:v>
      </x:c>
      <x:c r="Q407" s="12" t="n">
        <x:f>养成消耗调参!$P$186</x:f>
        <x:v>490</x:v>
      </x:c>
      <x:c r="R407" s="13">
        <x:f>I407/英雄升级调参!$G$104-1</x:f>
        <x:v>0.0012437744334716783</x:v>
      </x:c>
      <x:c r="S407" s="6"/>
      <x:c r="T407" s="6"/>
      <x:c r="U407" s="6"/>
    </x:row>
    <x:row r="408" ht="21" customHeight="1">
      <x:c r="A408" s="14" t="n">
        <x:f>英雄升级调参!$B$20</x:f>
        <x:v>310002</x:v>
      </x:c>
      <x:c r="B408" s="14" t="str">
        <x:f>英雄升级调参!$C$20</x:f>
        <x:v>贝尔熊</x:v>
      </x:c>
      <x:c r="C408" s="6" t="str">
        <x:f>英雄升级调参!$D$20</x:f>
        <x:v>生存者</x:v>
      </x:c>
      <x:c r="D408" s="6" t="s">
        <x:v>18</x:v>
      </x:c>
      <x:c r="E408" s="6">
        <x:v>40</x:v>
      </x:c>
      <x:c r="F408" s="6" t="n">
        <x:f>英雄升级调参!$C$105</x:f>
        <x:v>8</x:v>
      </x:c>
      <x:c r="G408" s="12">
        <x:f t="shared" si="36"/>
        <x:v>2395</x:v>
      </x:c>
      <x:c r="H408" s="12">
        <x:f t="shared" si="37"/>
        <x:v>33107</x:v>
      </x:c>
      <x:c r="I408" s="12">
        <x:f t="shared" si="35"/>
        <x:v>79291265</x:v>
      </x:c>
      <x:c r="J408" s="12">
        <x:f>ROUND(英雄升级调参!$D$105*英雄升级调参!$J$9*英雄升级调参!$E$20,0)*3</x:f>
        <x:v>207</x:v>
      </x:c>
      <x:c r="K408" s="12">
        <x:f>ROUND(英雄升级调参!$D$105*英雄升级调参!$C$11*英雄升级调参!$J$9*英雄升级调参!$G$20,0)*3</x:f>
        <x:v>2859</x:v>
      </x:c>
      <x:c r="L408" s="12" t="n">
        <x:f>养成消耗调参!$C$187</x:f>
        <x:v>912</x:v>
      </x:c>
      <x:c r="M408" s="12" t="n">
        <x:f>养成消耗调参!$F$187</x:f>
        <x:v>5700</x:v>
      </x:c>
      <x:c r="N408" s="12" t="n">
        <x:f>养成消耗调参!$I$187</x:f>
        <x:v>150</x:v>
      </x:c>
      <x:c r="O408" s="12" t="n">
        <x:f>养成消耗调参!$J$187</x:f>
        <x:v>17496</x:v>
      </x:c>
      <x:c r="P408" s="12" t="n">
        <x:f>养成消耗调参!$M$187</x:f>
        <x:v>105300</x:v>
      </x:c>
      <x:c r="Q408" s="12" t="n">
        <x:f>养成消耗调参!$P$187</x:f>
        <x:v>640</x:v>
      </x:c>
      <x:c r="R408" s="13">
        <x:f>I408/英雄升级调参!$G$105-1</x:f>
        <x:v>0.0013298443309899266</x:v>
      </x:c>
      <x:c r="S408" s="6"/>
      <x:c r="T408" s="6"/>
      <x:c r="U408" s="6"/>
    </x:row>
    <x:row r="409" ht="21" customHeight="1">
      <x:c r="A409" s="14" t="n">
        <x:f>英雄升级调参!$B$20</x:f>
        <x:v>310002</x:v>
      </x:c>
      <x:c r="B409" s="14" t="str">
        <x:f>英雄升级调参!$C$20</x:f>
        <x:v>贝尔熊</x:v>
      </x:c>
      <x:c r="C409" s="6" t="str">
        <x:f>英雄升级调参!$D$20</x:f>
        <x:v>生存者</x:v>
      </x:c>
      <x:c r="D409" s="6" t="s">
        <x:v>18</x:v>
      </x:c>
      <x:c r="E409" s="6">
        <x:v>41</x:v>
      </x:c>
      <x:c r="F409" s="6" t="n">
        <x:f>英雄升级调参!$C$106</x:f>
        <x:v>9</x:v>
      </x:c>
      <x:c r="G409" s="12">
        <x:f t="shared" si="36"/>
        <x:v>2472</x:v>
      </x:c>
      <x:c r="H409" s="12">
        <x:f t="shared" si="37"/>
        <x:v>34166</x:v>
      </x:c>
      <x:c r="I409" s="12">
        <x:f t="shared" si="35"/>
        <x:v>84458352</x:v>
      </x:c>
      <x:c r="J409" s="12">
        <x:f>ROUND(英雄升级调参!$D$106*英雄升级调参!$J$9*英雄升级调参!$E$20,0)</x:f>
        <x:v>77</x:v>
      </x:c>
      <x:c r="K409" s="12">
        <x:f>ROUND(英雄升级调参!$D$106*英雄升级调参!$C$11*英雄升级调参!$J$9*英雄升级调参!$G$20,0)</x:f>
        <x:v>1059</x:v>
      </x:c>
      <x:c r="L409" s="12" t="n">
        <x:f>养成消耗调参!$C$188</x:f>
        <x:v>912</x:v>
      </x:c>
      <x:c r="M409" s="12" t="n">
        <x:f>养成消耗调参!$F$188</x:f>
        <x:v>5700</x:v>
      </x:c>
      <x:c r="N409" s="12" t="n">
        <x:f>养成消耗调参!$I$188</x:f>
        <x:v>0</x:v>
      </x:c>
      <x:c r="O409" s="12" t="n">
        <x:f>养成消耗调参!$J$188</x:f>
        <x:v>18408</x:v>
      </x:c>
      <x:c r="P409" s="12" t="n">
        <x:f>养成消耗调参!$M$188</x:f>
        <x:v>111000</x:v>
      </x:c>
      <x:c r="Q409" s="12" t="n">
        <x:f>养成消耗调参!$P$188</x:f>
        <x:v>640</x:v>
      </x:c>
      <x:c r="R409" s="13">
        <x:f>I409/英雄升级调参!$G$106-1</x:f>
        <x:v>0.0014963686451290314</x:v>
      </x:c>
      <x:c r="S409" s="6"/>
      <x:c r="T409" s="6"/>
      <x:c r="U409" s="6"/>
    </x:row>
    <x:row r="410" ht="21" customHeight="1">
      <x:c r="A410" s="14" t="n">
        <x:f>英雄升级调参!$B$20</x:f>
        <x:v>310002</x:v>
      </x:c>
      <x:c r="B410" s="14" t="str">
        <x:f>英雄升级调参!$C$20</x:f>
        <x:v>贝尔熊</x:v>
      </x:c>
      <x:c r="C410" s="6" t="str">
        <x:f>英雄升级调参!$D$20</x:f>
        <x:v>生存者</x:v>
      </x:c>
      <x:c r="D410" s="6" t="s">
        <x:v>18</x:v>
      </x:c>
      <x:c r="E410" s="6">
        <x:v>42</x:v>
      </x:c>
      <x:c r="F410" s="6" t="n">
        <x:f>英雄升级调参!$C$107</x:f>
        <x:v>9</x:v>
      </x:c>
      <x:c r="G410" s="12">
        <x:f t="shared" si="36"/>
        <x:v>2549</x:v>
      </x:c>
      <x:c r="H410" s="12">
        <x:f t="shared" si="37"/>
        <x:v>35225</x:v>
      </x:c>
      <x:c r="I410" s="12">
        <x:f t="shared" si="35"/>
        <x:v>89788525</x:v>
      </x:c>
      <x:c r="J410" s="12">
        <x:f>ROUND(英雄升级调参!$D$107*英雄升级调参!$J$9*英雄升级调参!$E$20,0)</x:f>
        <x:v>77</x:v>
      </x:c>
      <x:c r="K410" s="12">
        <x:f>ROUND(英雄升级调参!$D$107*英雄升级调参!$C$11*英雄升级调参!$J$9*英雄升级调参!$G$20,0)</x:f>
        <x:v>1059</x:v>
      </x:c>
      <x:c r="L410" s="12" t="n">
        <x:f>养成消耗调参!$C$189</x:f>
        <x:v>960</x:v>
      </x:c>
      <x:c r="M410" s="12" t="n">
        <x:f>养成消耗调参!$F$189</x:f>
        <x:v>6600</x:v>
      </x:c>
      <x:c r="N410" s="12" t="n">
        <x:f>养成消耗调参!$I$189</x:f>
        <x:v>0</x:v>
      </x:c>
      <x:c r="O410" s="12" t="n">
        <x:f>养成消耗调参!$J$189</x:f>
        <x:v>19368</x:v>
      </x:c>
      <x:c r="P410" s="12" t="n">
        <x:f>养成消耗调参!$M$189</x:f>
        <x:v>117600</x:v>
      </x:c>
      <x:c r="Q410" s="12" t="n">
        <x:f>养成消耗调参!$P$189</x:f>
        <x:v>640</x:v>
      </x:c>
      <x:c r="R410" s="13">
        <x:f>I410/英雄升级调参!$G$107-1</x:f>
        <x:v>0.0016528826970352295</x:v>
      </x:c>
      <x:c r="S410" s="6"/>
      <x:c r="T410" s="6"/>
      <x:c r="U410" s="6"/>
    </x:row>
    <x:row r="411" ht="21" customHeight="1">
      <x:c r="A411" s="14" t="n">
        <x:f>英雄升级调参!$B$20</x:f>
        <x:v>310002</x:v>
      </x:c>
      <x:c r="B411" s="14" t="str">
        <x:f>英雄升级调参!$C$20</x:f>
        <x:v>贝尔熊</x:v>
      </x:c>
      <x:c r="C411" s="6" t="str">
        <x:f>英雄升级调参!$D$20</x:f>
        <x:v>生存者</x:v>
      </x:c>
      <x:c r="D411" s="6" t="s">
        <x:v>18</x:v>
      </x:c>
      <x:c r="E411" s="6">
        <x:v>43</x:v>
      </x:c>
      <x:c r="F411" s="6" t="n">
        <x:f>英雄升级调参!$C$108</x:f>
        <x:v>9</x:v>
      </x:c>
      <x:c r="G411" s="12">
        <x:f t="shared" si="36"/>
        <x:v>2626</x:v>
      </x:c>
      <x:c r="H411" s="12">
        <x:f t="shared" si="37"/>
        <x:v>36284</x:v>
      </x:c>
      <x:c r="I411" s="12">
        <x:f t="shared" si="35"/>
        <x:v>95281784</x:v>
      </x:c>
      <x:c r="J411" s="12">
        <x:f>ROUND(英雄升级调参!$D$108*英雄升级调参!$J$9*英雄升级调参!$E$20,0)</x:f>
        <x:v>77</x:v>
      </x:c>
      <x:c r="K411" s="12">
        <x:f>ROUND(英雄升级调参!$D$108*英雄升级调参!$C$11*英雄升级调参!$J$9*英雄升级调参!$G$20,0)</x:f>
        <x:v>1059</x:v>
      </x:c>
      <x:c r="L411" s="12" t="n">
        <x:f>养成消耗调参!$C$190</x:f>
        <x:v>960</x:v>
      </x:c>
      <x:c r="M411" s="12" t="n">
        <x:f>养成消耗调参!$F$190</x:f>
        <x:v>6600</x:v>
      </x:c>
      <x:c r="N411" s="12" t="n">
        <x:f>养成消耗调参!$I$190</x:f>
        <x:v>0</x:v>
      </x:c>
      <x:c r="O411" s="12" t="n">
        <x:f>养成消耗调参!$J$190</x:f>
        <x:v>20328</x:v>
      </x:c>
      <x:c r="P411" s="12" t="n">
        <x:f>养成消耗调参!$M$190</x:f>
        <x:v>124200</x:v>
      </x:c>
      <x:c r="Q411" s="12" t="n">
        <x:f>养成消耗调参!$P$190</x:f>
        <x:v>640</x:v>
      </x:c>
      <x:c r="R411" s="13">
        <x:f>I411/英雄升级调参!$G$108-1</x:f>
        <x:v>0.0018002627678777028</x:v>
      </x:c>
      <x:c r="S411" s="6"/>
      <x:c r="T411" s="6"/>
      <x:c r="U411" s="6"/>
    </x:row>
    <x:row r="412" ht="21" customHeight="1">
      <x:c r="A412" s="14" t="n">
        <x:f>英雄升级调参!$B$20</x:f>
        <x:v>310002</x:v>
      </x:c>
      <x:c r="B412" s="14" t="str">
        <x:f>英雄升级调参!$C$20</x:f>
        <x:v>贝尔熊</x:v>
      </x:c>
      <x:c r="C412" s="6" t="str">
        <x:f>英雄升级调参!$D$20</x:f>
        <x:v>生存者</x:v>
      </x:c>
      <x:c r="D412" s="6" t="s">
        <x:v>18</x:v>
      </x:c>
      <x:c r="E412" s="6">
        <x:v>44</x:v>
      </x:c>
      <x:c r="F412" s="6" t="n">
        <x:f>英雄升级调参!$C$109</x:f>
        <x:v>9</x:v>
      </x:c>
      <x:c r="G412" s="12">
        <x:f t="shared" si="36"/>
        <x:v>2703</x:v>
      </x:c>
      <x:c r="H412" s="12">
        <x:f t="shared" si="37"/>
        <x:v>37343</x:v>
      </x:c>
      <x:c r="I412" s="12">
        <x:f t="shared" si="35"/>
        <x:v>100938129</x:v>
      </x:c>
      <x:c r="J412" s="12">
        <x:f>ROUND(英雄升级调参!$D$109*英雄升级调参!$J$9*英雄升级调参!$E$20,0)</x:f>
        <x:v>77</x:v>
      </x:c>
      <x:c r="K412" s="12">
        <x:f>ROUND(英雄升级调参!$D$109*英雄升级调参!$C$11*英雄升级调参!$J$9*英雄升级调参!$G$20,0)</x:f>
        <x:v>1059</x:v>
      </x:c>
      <x:c r="L412" s="12" t="n">
        <x:f>养成消耗调参!$C$191</x:f>
        <x:v>1008</x:v>
      </x:c>
      <x:c r="M412" s="12" t="n">
        <x:f>养成消耗调参!$F$191</x:f>
        <x:v>6600</x:v>
      </x:c>
      <x:c r="N412" s="12" t="n">
        <x:f>养成消耗调参!$I$191</x:f>
        <x:v>0</x:v>
      </x:c>
      <x:c r="O412" s="12" t="n">
        <x:f>养成消耗调参!$J$191</x:f>
        <x:v>21336</x:v>
      </x:c>
      <x:c r="P412" s="12" t="n">
        <x:f>养成消耗调参!$M$191</x:f>
        <x:v>130800</x:v>
      </x:c>
      <x:c r="Q412" s="12" t="n">
        <x:f>养成消耗调参!$P$191</x:f>
        <x:v>640</x:v>
      </x:c>
      <x:c r="R412" s="13">
        <x:f>I412/英雄升级调参!$G$109-1</x:f>
        <x:v>0.0019392857610809333</x:v>
      </x:c>
      <x:c r="S412" s="6"/>
      <x:c r="T412" s="6"/>
      <x:c r="U412" s="6"/>
    </x:row>
    <x:row r="413" ht="21" customHeight="1">
      <x:c r="A413" s="14" t="n">
        <x:f>英雄升级调参!$B$20</x:f>
        <x:v>310002</x:v>
      </x:c>
      <x:c r="B413" s="14" t="str">
        <x:f>英雄升级调参!$C$20</x:f>
        <x:v>贝尔熊</x:v>
      </x:c>
      <x:c r="C413" s="6" t="str">
        <x:f>英雄升级调参!$D$20</x:f>
        <x:v>生存者</x:v>
      </x:c>
      <x:c r="D413" s="6" t="s">
        <x:v>18</x:v>
      </x:c>
      <x:c r="E413" s="6">
        <x:v>45</x:v>
      </x:c>
      <x:c r="F413" s="6" t="n">
        <x:f>英雄升级调参!$C$110</x:f>
        <x:v>9</x:v>
      </x:c>
      <x:c r="G413" s="12">
        <x:f t="shared" si="36"/>
        <x:v>2934</x:v>
      </x:c>
      <x:c r="H413" s="12">
        <x:f t="shared" si="37"/>
        <x:v>40520</x:v>
      </x:c>
      <x:c r="I413" s="12">
        <x:f t="shared" si="35"/>
        <x:v>118885680</x:v>
      </x:c>
      <x:c r="J413" s="12">
        <x:f>ROUND(英雄升级调参!$D$110*英雄升级调参!$J$9*英雄升级调参!$E$20,0)*3</x:f>
        <x:v>231</x:v>
      </x:c>
      <x:c r="K413" s="12">
        <x:f>ROUND(英雄升级调参!$D$110*英雄升级调参!$C$11*英雄升级调参!$J$9*英雄升级调参!$G$20,0)*3</x:f>
        <x:v>3177</x:v>
      </x:c>
      <x:c r="L413" s="12" t="n">
        <x:f>养成消耗调参!$C$192</x:f>
        <x:v>1008</x:v>
      </x:c>
      <x:c r="M413" s="12" t="n">
        <x:f>养成消耗调参!$F$192</x:f>
        <x:v>6600</x:v>
      </x:c>
      <x:c r="N413" s="12" t="n">
        <x:f>养成消耗调参!$I$192</x:f>
        <x:v>170</x:v>
      </x:c>
      <x:c r="O413" s="12" t="n">
        <x:f>养成消耗调参!$J$192</x:f>
        <x:v>22344</x:v>
      </x:c>
      <x:c r="P413" s="12" t="n">
        <x:f>养成消耗调参!$M$192</x:f>
        <x:v>137400</x:v>
      </x:c>
      <x:c r="Q413" s="12" t="n">
        <x:f>养成消耗调参!$P$192</x:f>
        <x:v>810</x:v>
      </x:c>
      <x:c r="R413" s="13">
        <x:f>I413/英雄升级调参!$G$110-1</x:f>
        <x:v>0.0023127632968713563</x:v>
      </x:c>
      <x:c r="S413" s="6"/>
      <x:c r="T413" s="6"/>
      <x:c r="U413" s="6"/>
    </x:row>
    <x:row r="414" ht="21" customHeight="1">
      <x:c r="A414" s="14" t="n">
        <x:f>英雄升级调参!$B$20</x:f>
        <x:v>310002</x:v>
      </x:c>
      <x:c r="B414" s="14" t="str">
        <x:f>英雄升级调参!$C$20</x:f>
        <x:v>贝尔熊</x:v>
      </x:c>
      <x:c r="C414" s="6" t="str">
        <x:f>英雄升级调参!$D$20</x:f>
        <x:v>生存者</x:v>
      </x:c>
      <x:c r="D414" s="6" t="s">
        <x:v>18</x:v>
      </x:c>
      <x:c r="E414" s="6">
        <x:v>46</x:v>
      </x:c>
      <x:c r="F414" s="6" t="n">
        <x:f>英雄升级调参!$C$111</x:f>
        <x:v>10</x:v>
      </x:c>
      <x:c r="G414" s="12">
        <x:f t="shared" si="36"/>
        <x:v>3018</x:v>
      </x:c>
      <x:c r="H414" s="12">
        <x:f t="shared" si="37"/>
        <x:v>41685</x:v>
      </x:c>
      <x:c r="I414" s="12">
        <x:f t="shared" si="35"/>
        <x:v>125805330</x:v>
      </x:c>
      <x:c r="J414" s="12">
        <x:f>ROUND(英雄升级调参!$D$111*英雄升级调参!$J$9*英雄升级调参!$E$20,0)</x:f>
        <x:v>84</x:v>
      </x:c>
      <x:c r="K414" s="12">
        <x:f>ROUND(英雄升级调参!$D$111*英雄升级调参!$C$11*英雄升级调参!$J$9*英雄升级调参!$G$20,0)</x:f>
        <x:v>1165</x:v>
      </x:c>
      <x:c r="L414" s="12" t="n">
        <x:f>养成消耗调参!$C$193</x:f>
        <x:v>1056</x:v>
      </x:c>
      <x:c r="M414" s="12" t="n">
        <x:f>养成消耗调参!$F$193</x:f>
        <x:v>6600</x:v>
      </x:c>
      <x:c r="N414" s="12" t="n">
        <x:f>养成消耗调参!$I$193</x:f>
        <x:v>0</x:v>
      </x:c>
      <x:c r="O414" s="12" t="n">
        <x:f>养成消耗调参!$J$193</x:f>
        <x:v>23400</x:v>
      </x:c>
      <x:c r="P414" s="12" t="n">
        <x:f>养成消耗调参!$M$193</x:f>
        <x:v>144000</x:v>
      </x:c>
      <x:c r="Q414" s="12" t="n">
        <x:f>养成消耗调参!$P$193</x:f>
        <x:v>810</x:v>
      </x:c>
      <x:c r="R414" s="13">
        <x:f>I414/英雄升级调参!$G$111-1</x:f>
        <x:v>0.002205395763145157</x:v>
      </x:c>
      <x:c r="S414" s="6"/>
      <x:c r="T414" s="6"/>
      <x:c r="U414" s="6"/>
    </x:row>
    <x:row r="415" ht="21" customHeight="1">
      <x:c r="A415" s="14" t="n">
        <x:f>英雄升级调参!$B$20</x:f>
        <x:v>310002</x:v>
      </x:c>
      <x:c r="B415" s="14" t="str">
        <x:f>英雄升级调参!$C$20</x:f>
        <x:v>贝尔熊</x:v>
      </x:c>
      <x:c r="C415" s="6" t="str">
        <x:f>英雄升级调参!$D$20</x:f>
        <x:v>生存者</x:v>
      </x:c>
      <x:c r="D415" s="6" t="s">
        <x:v>18</x:v>
      </x:c>
      <x:c r="E415" s="6">
        <x:v>47</x:v>
      </x:c>
      <x:c r="F415" s="6" t="n">
        <x:f>英雄升级调参!$C$112</x:f>
        <x:v>10</x:v>
      </x:c>
      <x:c r="G415" s="12">
        <x:f t="shared" si="36"/>
        <x:v>3102</x:v>
      </x:c>
      <x:c r="H415" s="12">
        <x:f t="shared" si="37"/>
        <x:v>42850</x:v>
      </x:c>
      <x:c r="I415" s="12">
        <x:f t="shared" si="35"/>
        <x:v>132920700</x:v>
      </x:c>
      <x:c r="J415" s="12">
        <x:f>ROUND(英雄升级调参!$D$112*英雄升级调参!$J$9*英雄升级调参!$E$20,0)</x:f>
        <x:v>84</x:v>
      </x:c>
      <x:c r="K415" s="12">
        <x:f>ROUND(英雄升级调参!$D$112*英雄升级调参!$C$11*英雄升级调参!$J$9*英雄升级调参!$G$20,0)</x:f>
        <x:v>1165</x:v>
      </x:c>
      <x:c r="L415" s="12" t="n">
        <x:f>养成消耗调参!$C$194</x:f>
        <x:v>1056</x:v>
      </x:c>
      <x:c r="M415" s="12" t="n">
        <x:f>养成消耗调参!$F$194</x:f>
        <x:v>7500</x:v>
      </x:c>
      <x:c r="N415" s="12" t="n">
        <x:f>养成消耗调参!$I$194</x:f>
        <x:v>0</x:v>
      </x:c>
      <x:c r="O415" s="12" t="n">
        <x:f>养成消耗调参!$J$194</x:f>
        <x:v>24456</x:v>
      </x:c>
      <x:c r="P415" s="12" t="n">
        <x:f>养成消耗调参!$M$194</x:f>
        <x:v>151500</x:v>
      </x:c>
      <x:c r="Q415" s="12" t="n">
        <x:f>养成消耗调参!$P$194</x:f>
        <x:v>810</x:v>
      </x:c>
      <x:c r="R415" s="13">
        <x:f>I415/英雄升级调参!$G$112-1</x:f>
        <x:v>0.0021038642163953014</x:v>
      </x:c>
      <x:c r="S415" s="6"/>
      <x:c r="T415" s="6"/>
      <x:c r="U415" s="6"/>
    </x:row>
    <x:row r="416" ht="21" customHeight="1">
      <x:c r="A416" s="14" t="n">
        <x:f>英雄升级调参!$B$20</x:f>
        <x:v>310002</x:v>
      </x:c>
      <x:c r="B416" s="14" t="str">
        <x:f>英雄升级调参!$C$20</x:f>
        <x:v>贝尔熊</x:v>
      </x:c>
      <x:c r="C416" s="6" t="str">
        <x:f>英雄升级调参!$D$20</x:f>
        <x:v>生存者</x:v>
      </x:c>
      <x:c r="D416" s="6" t="s">
        <x:v>18</x:v>
      </x:c>
      <x:c r="E416" s="6">
        <x:v>48</x:v>
      </x:c>
      <x:c r="F416" s="6" t="n">
        <x:f>英雄升级调参!$C$113</x:f>
        <x:v>10</x:v>
      </x:c>
      <x:c r="G416" s="12">
        <x:f t="shared" si="36"/>
        <x:v>3186</x:v>
      </x:c>
      <x:c r="H416" s="12">
        <x:f t="shared" si="37"/>
        <x:v>44015</x:v>
      </x:c>
      <x:c r="I416" s="12">
        <x:f t="shared" si="35"/>
        <x:v>140231790</x:v>
      </x:c>
      <x:c r="J416" s="12">
        <x:f>ROUND(英雄升级调参!$D$113*英雄升级调参!$J$9*英雄升级调参!$E$20,0)</x:f>
        <x:v>84</x:v>
      </x:c>
      <x:c r="K416" s="12">
        <x:f>ROUND(英雄升级调参!$D$113*英雄升级调参!$C$11*英雄升级调参!$J$9*英雄升级调参!$G$20,0)</x:f>
        <x:v>1165</x:v>
      </x:c>
      <x:c r="L416" s="12" t="n">
        <x:f>养成消耗调参!$C$195</x:f>
        <x:v>1104</x:v>
      </x:c>
      <x:c r="M416" s="12" t="n">
        <x:f>养成消耗调参!$F$195</x:f>
        <x:v>7500</x:v>
      </x:c>
      <x:c r="N416" s="12" t="n">
        <x:f>养成消耗调参!$I$195</x:f>
        <x:v>0</x:v>
      </x:c>
      <x:c r="O416" s="12" t="n">
        <x:f>养成消耗调参!$J$195</x:f>
        <x:v>25560</x:v>
      </x:c>
      <x:c r="P416" s="12" t="n">
        <x:f>养成消耗调参!$M$195</x:f>
        <x:v>159000</x:v>
      </x:c>
      <x:c r="Q416" s="12" t="n">
        <x:f>养成消耗调参!$P$195</x:f>
        <x:v>810</x:v>
      </x:c>
      <x:c r="R416" s="13">
        <x:f>I416/英雄升级调参!$G$113-1</x:f>
        <x:v>0.0020077054216407486</x:v>
      </x:c>
      <x:c r="S416" s="6"/>
      <x:c r="T416" s="6"/>
      <x:c r="U416" s="6"/>
    </x:row>
    <x:row r="417" ht="21" customHeight="1">
      <x:c r="A417" s="14" t="n">
        <x:f>英雄升级调参!$B$20</x:f>
        <x:v>310002</x:v>
      </x:c>
      <x:c r="B417" s="14" t="str">
        <x:f>英雄升级调参!$C$20</x:f>
        <x:v>贝尔熊</x:v>
      </x:c>
      <x:c r="C417" s="6" t="str">
        <x:f>英雄升级调参!$D$20</x:f>
        <x:v>生存者</x:v>
      </x:c>
      <x:c r="D417" s="6" t="s">
        <x:v>18</x:v>
      </x:c>
      <x:c r="E417" s="6">
        <x:v>49</x:v>
      </x:c>
      <x:c r="F417" s="6" t="n">
        <x:f>英雄升级调参!$C$114</x:f>
        <x:v>10</x:v>
      </x:c>
      <x:c r="G417" s="12">
        <x:f t="shared" si="36"/>
        <x:v>3270</x:v>
      </x:c>
      <x:c r="H417" s="12">
        <x:f t="shared" si="37"/>
        <x:v>45180</x:v>
      </x:c>
      <x:c r="I417" s="12">
        <x:f t="shared" si="35"/>
        <x:v>147738600</x:v>
      </x:c>
      <x:c r="J417" s="12">
        <x:f>ROUND(英雄升级调参!$D$114*英雄升级调参!$J$9*英雄升级调参!$E$20,0)</x:f>
        <x:v>84</x:v>
      </x:c>
      <x:c r="K417" s="12">
        <x:f>ROUND(英雄升级调参!$D$114*英雄升级调参!$C$11*英雄升级调参!$J$9*英雄升级调参!$G$20,0)</x:f>
        <x:v>1165</x:v>
      </x:c>
      <x:c r="L417" s="12" t="n">
        <x:f>养成消耗调参!$C$196</x:f>
        <x:v>1104</x:v>
      </x:c>
      <x:c r="M417" s="12" t="n">
        <x:f>养成消耗调参!$F$196</x:f>
        <x:v>7500</x:v>
      </x:c>
      <x:c r="N417" s="12" t="n">
        <x:f>养成消耗调参!$I$196</x:f>
        <x:v>0</x:v>
      </x:c>
      <x:c r="O417" s="12" t="n">
        <x:f>养成消耗调参!$J$196</x:f>
        <x:v>26664</x:v>
      </x:c>
      <x:c r="P417" s="12" t="n">
        <x:f>养成消耗调参!$M$196</x:f>
        <x:v>166500</x:v>
      </x:c>
      <x:c r="Q417" s="12" t="n">
        <x:f>养成消耗调参!$P$196</x:f>
        <x:v>810</x:v>
      </x:c>
      <x:c r="R417" s="13">
        <x:f>I417/英雄升级调参!$G$114-1</x:f>
        <x:v>0.0019165039062500888</x:v>
      </x:c>
      <x:c r="S417" s="6"/>
      <x:c r="T417" s="6"/>
      <x:c r="U417" s="6"/>
    </x:row>
    <x:row r="418" ht="21" customHeight="1">
      <x:c r="A418" s="14" t="n">
        <x:f>英雄升级调参!$B$20</x:f>
        <x:v>310002</x:v>
      </x:c>
      <x:c r="B418" s="14" t="str">
        <x:f>英雄升级调参!$C$20</x:f>
        <x:v>贝尔熊</x:v>
      </x:c>
      <x:c r="C418" s="6" t="str">
        <x:f>英雄升级调参!$D$20</x:f>
        <x:v>生存者</x:v>
      </x:c>
      <x:c r="D418" s="6" t="s">
        <x:v>18</x:v>
      </x:c>
      <x:c r="E418" s="6">
        <x:v>50</x:v>
      </x:c>
      <x:c r="F418" s="6" t="n">
        <x:f>英雄升级调参!$C$115</x:f>
        <x:v>10</x:v>
      </x:c>
      <x:c r="G418" s="12">
        <x:f t="shared" si="36"/>
        <x:v>3522</x:v>
      </x:c>
      <x:c r="H418" s="12">
        <x:f t="shared" si="37"/>
        <x:v>48675</x:v>
      </x:c>
      <x:c r="I418" s="12">
        <x:f t="shared" si="35"/>
        <x:v>171433350</x:v>
      </x:c>
      <x:c r="J418" s="12">
        <x:f>ROUND(英雄升级调参!$D$115*英雄升级调参!$J$9*英雄升级调参!$E$20,0)*3</x:f>
        <x:v>252</x:v>
      </x:c>
      <x:c r="K418" s="12">
        <x:f>ROUND(英雄升级调参!$D$115*英雄升级调参!$C$11*英雄升级调参!$J$9*英雄升级调参!$G$20,0)*3</x:f>
        <x:v>3495</x:v>
      </x:c>
      <x:c r="L418" s="12" t="n">
        <x:f>养成消耗调参!$C$197</x:f>
        <x:v>1152</x:v>
      </x:c>
      <x:c r="M418" s="12" t="n">
        <x:f>养成消耗调参!$F$197</x:f>
        <x:v>7500</x:v>
      </x:c>
      <x:c r="N418" s="12" t="n">
        <x:f>养成消耗调参!$I$197</x:f>
        <x:v>190</x:v>
      </x:c>
      <x:c r="O418" s="12" t="n">
        <x:f>养成消耗调参!$J$197</x:f>
        <x:v>27816</x:v>
      </x:c>
      <x:c r="P418" s="12" t="n">
        <x:f>养成消耗调参!$M$197</x:f>
        <x:v>174000</x:v>
      </x:c>
      <x:c r="Q418" s="12" t="n">
        <x:f>养成消耗调参!$P$197</x:f>
        <x:v>1000</x:v>
      </x:c>
      <x:c r="R418" s="13">
        <x:f>I418/英雄升级调参!$G$115-1</x:f>
        <x:v>0.001669084753641803</x:v>
      </x:c>
      <x:c r="S418" s="6"/>
      <x:c r="T418" s="6"/>
      <x:c r="U418" s="6"/>
    </x:row>
    <x:row r="419" ht="21" customHeight="1">
      <x:c r="A419" s="14" t="n">
        <x:f>英雄升级调参!$B$20</x:f>
        <x:v>310002</x:v>
      </x:c>
      <x:c r="B419" s="14" t="str">
        <x:f>英雄升级调参!$C$20</x:f>
        <x:v>贝尔熊</x:v>
      </x:c>
      <x:c r="C419" s="6" t="str">
        <x:f>英雄升级调参!$D$20</x:f>
        <x:v>生存者</x:v>
      </x:c>
      <x:c r="D419" s="6" t="s">
        <x:v>22</x:v>
      </x:c>
      <x:c r="E419" s="6">
        <x:v>1</x:v>
      </x:c>
      <x:c r="F419" s="6" t="n">
        <x:f>英雄升级调参!$C$66</x:f>
        <x:v>1</x:v>
      </x:c>
      <x:c r="G419" s="12">
        <x:f>G378-SUM(J420:J423)</x:f>
        <x:v>164</x:v>
      </x:c>
      <x:c r="H419" s="12">
        <x:f>H378-SUM(K420:K423)</x:f>
        <x:v>2296</x:v>
      </x:c>
      <x:c r="I419" s="12">
        <x:f t="shared" si="35"/>
        <x:v>376544</x:v>
      </x:c>
      <x:c r="J419" s="12" t="n">
        <x:f>0</x:f>
        <x:v>0</x:v>
      </x:c>
      <x:c r="K419" s="12" t="n">
        <x:f>0</x:f>
        <x:v>0</x:v>
      </x:c>
      <x:c r="L419" s="12" t="n">
        <x:f>养成消耗调参!$D$148</x:f>
        <x:v>0</x:v>
      </x:c>
      <x:c r="M419" s="12" t="n">
        <x:f>养成消耗调参!$G$148</x:f>
        <x:v>0</x:v>
      </x:c>
      <x:c r="N419" s="12" t="n">
        <x:f>养成消耗调参!$I$148</x:f>
        <x:v>0</x:v>
      </x:c>
      <x:c r="O419" s="12" t="n">
        <x:f>养成消耗调参!$K$148</x:f>
        <x:v>0</x:v>
      </x:c>
      <x:c r="P419" s="12" t="n">
        <x:f>养成消耗调参!$N$148</x:f>
        <x:v>0</x:v>
      </x:c>
      <x:c r="Q419" s="12" t="n">
        <x:f>养成消耗调参!$P$148</x:f>
        <x:v>0</x:v>
      </x:c>
      <x:c r="R419" s="13">
        <x:f>I419/英雄升级调参!$J$66-1</x:f>
        <x:v>-0.009746219592373428</x:v>
      </x:c>
      <x:c r="S419" s="6"/>
      <x:c r="T419" s="6"/>
      <x:c r="U419" s="6"/>
    </x:row>
    <x:row r="420" ht="21" customHeight="1">
      <x:c r="A420" s="14" t="n">
        <x:f>英雄升级调参!$B$20</x:f>
        <x:v>310002</x:v>
      </x:c>
      <x:c r="B420" s="14" t="str">
        <x:f>英雄升级调参!$C$20</x:f>
        <x:v>贝尔熊</x:v>
      </x:c>
      <x:c r="C420" s="6" t="str">
        <x:f>英雄升级调参!$D$20</x:f>
        <x:v>生存者</x:v>
      </x:c>
      <x:c r="D420" s="6" t="s">
        <x:v>22</x:v>
      </x:c>
      <x:c r="E420" s="6">
        <x:v>2</x:v>
      </x:c>
      <x:c r="F420" s="6" t="n">
        <x:f>英雄升级调参!$C$67</x:f>
        <x:v>1</x:v>
      </x:c>
      <x:c r="G420" s="12">
        <x:f t="shared" ref="G420:G451" si="38">G419+J420</x:f>
        <x:v>187</x:v>
      </x:c>
      <x:c r="H420" s="12">
        <x:f t="shared" ref="H420:H451" si="39">H419+K420</x:f>
        <x:v>2614</x:v>
      </x:c>
      <x:c r="I420" s="12">
        <x:f t="shared" si="35"/>
        <x:v>488818</x:v>
      </x:c>
      <x:c r="J420" s="12">
        <x:f>ROUND(英雄升级调参!$D$67*英雄升级调参!$J$10*英雄升级调参!$E$20,0)</x:f>
        <x:v>23</x:v>
      </x:c>
      <x:c r="K420" s="12">
        <x:f>ROUND(英雄升级调参!$D$67*英雄升级调参!$C$11*英雄升级调参!$J$10*英雄升级调参!$G$20,0)</x:f>
        <x:v>318</x:v>
      </x:c>
      <x:c r="L420" s="12" t="n">
        <x:f>养成消耗调参!$D$149</x:f>
        <x:v>36</x:v>
      </x:c>
      <x:c r="M420" s="12" t="n">
        <x:f>养成消耗调参!$G$149</x:f>
        <x:v>450</x:v>
      </x:c>
      <x:c r="N420" s="12" t="n">
        <x:f>养成消耗调参!$I$149</x:f>
        <x:v>0</x:v>
      </x:c>
      <x:c r="O420" s="12" t="n">
        <x:f>养成消耗调参!$K$149</x:f>
        <x:v>36</x:v>
      </x:c>
      <x:c r="P420" s="12" t="n">
        <x:f>养成消耗调参!$N$149</x:f>
        <x:v>450</x:v>
      </x:c>
      <x:c r="Q420" s="12" t="n">
        <x:f>养成消耗调参!$P$149</x:f>
        <x:v>0</x:v>
      </x:c>
      <x:c r="R420" s="13">
        <x:f>I420/英雄升级调参!$J$67-1</x:f>
        <x:v>-0.008160863566268994</x:v>
      </x:c>
      <x:c r="S420" s="6"/>
      <x:c r="T420" s="6"/>
      <x:c r="U420" s="6"/>
    </x:row>
    <x:row r="421" ht="21" customHeight="1">
      <x:c r="A421" s="14" t="n">
        <x:f>英雄升级调参!$B$20</x:f>
        <x:v>310002</x:v>
      </x:c>
      <x:c r="B421" s="14" t="str">
        <x:f>英雄升级调参!$C$20</x:f>
        <x:v>贝尔熊</x:v>
      </x:c>
      <x:c r="C421" s="6" t="str">
        <x:f>英雄升级调参!$D$20</x:f>
        <x:v>生存者</x:v>
      </x:c>
      <x:c r="D421" s="6" t="s">
        <x:v>22</x:v>
      </x:c>
      <x:c r="E421" s="6">
        <x:v>3</x:v>
      </x:c>
      <x:c r="F421" s="6" t="n">
        <x:f>英雄升级调参!$C$68</x:f>
        <x:v>1</x:v>
      </x:c>
      <x:c r="G421" s="12">
        <x:f t="shared" si="38"/>
        <x:v>210</x:v>
      </x:c>
      <x:c r="H421" s="12">
        <x:f t="shared" si="39"/>
        <x:v>2932</x:v>
      </x:c>
      <x:c r="I421" s="12">
        <x:f t="shared" si="35"/>
        <x:v>615720</x:v>
      </x:c>
      <x:c r="J421" s="12">
        <x:f>ROUND(英雄升级调参!$D$68*英雄升级调参!$J$10*英雄升级调参!$E$20,0)</x:f>
        <x:v>23</x:v>
      </x:c>
      <x:c r="K421" s="12">
        <x:f>ROUND(英雄升级调参!$D$68*英雄升级调参!$C$11*英雄升级调参!$J$10*英雄升级调参!$G$20,0)</x:f>
        <x:v>318</x:v>
      </x:c>
      <x:c r="L421" s="12" t="n">
        <x:f>养成消耗调参!$D$150</x:f>
        <x:v>36</x:v>
      </x:c>
      <x:c r="M421" s="12" t="n">
        <x:f>养成消耗调参!$G$150</x:f>
        <x:v>450</x:v>
      </x:c>
      <x:c r="N421" s="12" t="n">
        <x:f>养成消耗调参!$I$150</x:f>
        <x:v>0</x:v>
      </x:c>
      <x:c r="O421" s="12" t="n">
        <x:f>养成消耗调参!$K$150</x:f>
        <x:v>72</x:v>
      </x:c>
      <x:c r="P421" s="12" t="n">
        <x:f>养成消耗调参!$N$150</x:f>
        <x:v>900</x:v>
      </x:c>
      <x:c r="Q421" s="12" t="n">
        <x:f>养成消耗调参!$P$150</x:f>
        <x:v>0</x:v>
      </x:c>
      <x:c r="R421" s="13">
        <x:f>I421/英雄升级调参!$J$68-1</x:f>
        <x:v>-0.006919243238012296</x:v>
      </x:c>
      <x:c r="S421" s="6"/>
      <x:c r="T421" s="6"/>
      <x:c r="U421" s="6"/>
    </x:row>
    <x:row r="422" ht="21" customHeight="1">
      <x:c r="A422" s="14" t="n">
        <x:f>英雄升级调参!$B$20</x:f>
        <x:v>310002</x:v>
      </x:c>
      <x:c r="B422" s="14" t="str">
        <x:f>英雄升级调参!$C$20</x:f>
        <x:v>贝尔熊</x:v>
      </x:c>
      <x:c r="C422" s="6" t="str">
        <x:f>英雄升级调参!$D$20</x:f>
        <x:v>生存者</x:v>
      </x:c>
      <x:c r="D422" s="6" t="s">
        <x:v>22</x:v>
      </x:c>
      <x:c r="E422" s="6">
        <x:v>4</x:v>
      </x:c>
      <x:c r="F422" s="6" t="n">
        <x:f>英雄升级调参!$C$69</x:f>
        <x:v>1</x:v>
      </x:c>
      <x:c r="G422" s="12">
        <x:f t="shared" si="38"/>
        <x:v>233</x:v>
      </x:c>
      <x:c r="H422" s="12">
        <x:f t="shared" si="39"/>
        <x:v>3250</x:v>
      </x:c>
      <x:c r="I422" s="12">
        <x:f t="shared" si="35"/>
        <x:v>757250</x:v>
      </x:c>
      <x:c r="J422" s="12">
        <x:f>ROUND(英雄升级调参!$D$69*英雄升级调参!$J$10*英雄升级调参!$E$20,0)</x:f>
        <x:v>23</x:v>
      </x:c>
      <x:c r="K422" s="12">
        <x:f>ROUND(英雄升级调参!$D$69*英雄升级调参!$C$11*英雄升级调参!$J$10*英雄升级调参!$G$20,0)</x:f>
        <x:v>318</x:v>
      </x:c>
      <x:c r="L422" s="12" t="n">
        <x:f>养成消耗调参!$D$151</x:f>
        <x:v>72</x:v>
      </x:c>
      <x:c r="M422" s="12" t="n">
        <x:f>养成消耗调参!$G$151</x:f>
        <x:v>450</x:v>
      </x:c>
      <x:c r="N422" s="12" t="n">
        <x:f>养成消耗调参!$I$151</x:f>
        <x:v>0</x:v>
      </x:c>
      <x:c r="O422" s="12" t="n">
        <x:f>养成消耗调参!$K$151</x:f>
        <x:v>144</x:v>
      </x:c>
      <x:c r="P422" s="12" t="n">
        <x:f>养成消耗调参!$N$151</x:f>
        <x:v>1350</x:v>
      </x:c>
      <x:c r="Q422" s="12" t="n">
        <x:f>养成消耗调参!$P$151</x:f>
        <x:v>0</x:v>
      </x:c>
      <x:c r="R422" s="13">
        <x:f>I422/英雄升级调参!$J$69-1</x:f>
        <x:v>-0.0059204998949800025</x:v>
      </x:c>
      <x:c r="S422" s="6"/>
      <x:c r="T422" s="6"/>
      <x:c r="U422" s="6"/>
    </x:row>
    <x:row r="423" ht="21" customHeight="1">
      <x:c r="A423" s="14" t="n">
        <x:f>英雄升级调参!$B$20</x:f>
        <x:v>310002</x:v>
      </x:c>
      <x:c r="B423" s="14" t="str">
        <x:f>英雄升级调参!$C$20</x:f>
        <x:v>贝尔熊</x:v>
      </x:c>
      <x:c r="C423" s="6" t="str">
        <x:f>英雄升级调参!$D$20</x:f>
        <x:v>生存者</x:v>
      </x:c>
      <x:c r="D423" s="6" t="s">
        <x:v>22</x:v>
      </x:c>
      <x:c r="E423" s="6">
        <x:v>5</x:v>
      </x:c>
      <x:c r="F423" s="6" t="n">
        <x:f>英雄升级调参!$C$70</x:f>
        <x:v>1</x:v>
      </x:c>
      <x:c r="G423" s="12">
        <x:f t="shared" si="38"/>
        <x:v>302</x:v>
      </x:c>
      <x:c r="H423" s="12">
        <x:f t="shared" si="39"/>
        <x:v>4204</x:v>
      </x:c>
      <x:c r="I423" s="12">
        <x:f t="shared" si="35"/>
        <x:v>1269608</x:v>
      </x:c>
      <x:c r="J423" s="12">
        <x:f>ROUND(英雄升级调参!$D$70*英雄升级调参!$J$10*英雄升级调参!$E$20,0)*3</x:f>
        <x:v>69</x:v>
      </x:c>
      <x:c r="K423" s="12">
        <x:f>ROUND(英雄升级调参!$D$70*英雄升级调参!$C$11*英雄升级调参!$J$10*英雄升级调参!$G$20,0)*3</x:f>
        <x:v>954</x:v>
      </x:c>
      <x:c r="L423" s="12" t="n">
        <x:f>养成消耗调参!$D$152</x:f>
        <x:v>72</x:v>
      </x:c>
      <x:c r="M423" s="12" t="n">
        <x:f>养成消耗调参!$G$152</x:f>
        <x:v>450</x:v>
      </x:c>
      <x:c r="N423" s="12" t="n">
        <x:f>养成消耗调参!$I$152</x:f>
        <x:v>10</x:v>
      </x:c>
      <x:c r="O423" s="12" t="n">
        <x:f>养成消耗调参!$K$152</x:f>
        <x:v>216</x:v>
      </x:c>
      <x:c r="P423" s="12" t="n">
        <x:f>养成消耗调参!$N$152</x:f>
        <x:v>1800</x:v>
      </x:c>
      <x:c r="Q423" s="12" t="n">
        <x:f>养成消耗调参!$P$152</x:f>
        <x:v>10</x:v>
      </x:c>
      <x:c r="R423" s="13">
        <x:f>I423/英雄升级调参!$J$70-1</x:f>
        <x:v>-0.003830551828574613</x:v>
      </x:c>
      <x:c r="S423" s="6"/>
      <x:c r="T423" s="6"/>
      <x:c r="U423" s="6"/>
    </x:row>
    <x:row r="424" ht="21" customHeight="1">
      <x:c r="A424" s="14" t="n">
        <x:f>英雄升级调参!$B$20</x:f>
        <x:v>310002</x:v>
      </x:c>
      <x:c r="B424" s="14" t="str">
        <x:f>英雄升级调参!$C$20</x:f>
        <x:v>贝尔熊</x:v>
      </x:c>
      <x:c r="C424" s="6" t="str">
        <x:f>英雄升级调参!$D$20</x:f>
        <x:v>生存者</x:v>
      </x:c>
      <x:c r="D424" s="6" t="s">
        <x:v>22</x:v>
      </x:c>
      <x:c r="E424" s="6">
        <x:v>6</x:v>
      </x:c>
      <x:c r="F424" s="6" t="n">
        <x:f>英雄升级调参!$C$71</x:f>
        <x:v>2</x:v>
      </x:c>
      <x:c r="G424" s="12">
        <x:f t="shared" si="38"/>
        <x:v>336</x:v>
      </x:c>
      <x:c r="H424" s="12">
        <x:f t="shared" si="39"/>
        <x:v>4680</x:v>
      </x:c>
      <x:c r="I424" s="12">
        <x:f t="shared" si="35"/>
        <x:v>1572480</x:v>
      </x:c>
      <x:c r="J424" s="12">
        <x:f>ROUND(英雄升级调参!$D$71*英雄升级调参!$J$10*英雄升级调参!$E$20,0)</x:f>
        <x:v>34</x:v>
      </x:c>
      <x:c r="K424" s="12">
        <x:f>ROUND(英雄升级调参!$D$71*英雄升级调参!$C$11*英雄升级调参!$J$10*英雄升级调参!$G$20,0)</x:f>
        <x:v>476</x:v>
      </x:c>
      <x:c r="L424" s="12" t="n">
        <x:f>养成消耗调参!$D$153</x:f>
        <x:v>144</x:v>
      </x:c>
      <x:c r="M424" s="12" t="n">
        <x:f>养成消耗调参!$G$153</x:f>
        <x:v>450</x:v>
      </x:c>
      <x:c r="N424" s="12" t="n">
        <x:f>养成消耗调参!$I$153</x:f>
        <x:v>0</x:v>
      </x:c>
      <x:c r="O424" s="12" t="n">
        <x:f>养成消耗调参!$K$153</x:f>
        <x:v>360</x:v>
      </x:c>
      <x:c r="P424" s="12" t="n">
        <x:f>养成消耗调参!$N$153</x:f>
        <x:v>2250</x:v>
      </x:c>
      <x:c r="Q424" s="12" t="n">
        <x:f>养成消耗调参!$P$153</x:f>
        <x:v>10</x:v>
      </x:c>
      <x:c r="R424" s="13">
        <x:f>I424/英雄升级调参!$J$71-1</x:f>
        <x:v>-0.006049113491988223</x:v>
      </x:c>
      <x:c r="S424" s="6"/>
      <x:c r="T424" s="6"/>
      <x:c r="U424" s="6"/>
    </x:row>
    <x:row r="425" ht="21" customHeight="1">
      <x:c r="A425" s="14" t="n">
        <x:f>英雄升级调参!$B$20</x:f>
        <x:v>310002</x:v>
      </x:c>
      <x:c r="B425" s="14" t="str">
        <x:f>英雄升级调参!$C$20</x:f>
        <x:v>贝尔熊</x:v>
      </x:c>
      <x:c r="C425" s="6" t="str">
        <x:f>英雄升级调参!$D$20</x:f>
        <x:v>生存者</x:v>
      </x:c>
      <x:c r="D425" s="6" t="s">
        <x:v>22</x:v>
      </x:c>
      <x:c r="E425" s="6">
        <x:v>7</x:v>
      </x:c>
      <x:c r="F425" s="6" t="n">
        <x:f>英雄升级调参!$C$72</x:f>
        <x:v>2</x:v>
      </x:c>
      <x:c r="G425" s="12">
        <x:f t="shared" si="38"/>
        <x:v>370</x:v>
      </x:c>
      <x:c r="H425" s="12">
        <x:f t="shared" si="39"/>
        <x:v>5156</x:v>
      </x:c>
      <x:c r="I425" s="12">
        <x:f t="shared" si="35"/>
        <x:v>1907720</x:v>
      </x:c>
      <x:c r="J425" s="12">
        <x:f>ROUND(英雄升级调参!$D$72*英雄升级调参!$J$10*英雄升级调参!$E$20,0)</x:f>
        <x:v>34</x:v>
      </x:c>
      <x:c r="K425" s="12">
        <x:f>ROUND(英雄升级调参!$D$72*英雄升级调参!$C$11*英雄升级调参!$J$10*英雄升级调参!$G$20,0)</x:f>
        <x:v>476</x:v>
      </x:c>
      <x:c r="L425" s="12" t="n">
        <x:f>养成消耗调参!$D$154</x:f>
        <x:v>144</x:v>
      </x:c>
      <x:c r="M425" s="12" t="n">
        <x:f>养成消耗调参!$G$154</x:f>
        <x:v>1350</x:v>
      </x:c>
      <x:c r="N425" s="12" t="n">
        <x:f>养成消耗调参!$I$154</x:f>
        <x:v>0</x:v>
      </x:c>
      <x:c r="O425" s="12" t="n">
        <x:f>养成消耗调参!$K$154</x:f>
        <x:v>504</x:v>
      </x:c>
      <x:c r="P425" s="12" t="n">
        <x:f>养成消耗调参!$N$154</x:f>
        <x:v>3600</x:v>
      </x:c>
      <x:c r="Q425" s="12" t="n">
        <x:f>养成消耗调参!$P$154</x:f>
        <x:v>10</x:v>
      </x:c>
      <x:c r="R425" s="13">
        <x:f>I425/英雄升级调参!$J$72-1</x:f>
        <x:v>-0.00785304916736873</x:v>
      </x:c>
      <x:c r="S425" s="6"/>
      <x:c r="T425" s="6"/>
      <x:c r="U425" s="6"/>
    </x:row>
    <x:row r="426" ht="21" customHeight="1">
      <x:c r="A426" s="14" t="n">
        <x:f>英雄升级调参!$B$20</x:f>
        <x:v>310002</x:v>
      </x:c>
      <x:c r="B426" s="14" t="str">
        <x:f>英雄升级调参!$C$20</x:f>
        <x:v>贝尔熊</x:v>
      </x:c>
      <x:c r="C426" s="6" t="str">
        <x:f>英雄升级调参!$D$20</x:f>
        <x:v>生存者</x:v>
      </x:c>
      <x:c r="D426" s="6" t="s">
        <x:v>22</x:v>
      </x:c>
      <x:c r="E426" s="6">
        <x:v>8</x:v>
      </x:c>
      <x:c r="F426" s="6" t="n">
        <x:f>英雄升级调参!$C$73</x:f>
        <x:v>2</x:v>
      </x:c>
      <x:c r="G426" s="12">
        <x:f t="shared" si="38"/>
        <x:v>404</x:v>
      </x:c>
      <x:c r="H426" s="12">
        <x:f t="shared" si="39"/>
        <x:v>5632</x:v>
      </x:c>
      <x:c r="I426" s="12">
        <x:f t="shared" si="35"/>
        <x:v>2275328</x:v>
      </x:c>
      <x:c r="J426" s="12">
        <x:f>ROUND(英雄升级调参!$D$73*英雄升级调参!$J$10*英雄升级调参!$E$20,0)</x:f>
        <x:v>34</x:v>
      </x:c>
      <x:c r="K426" s="12">
        <x:f>ROUND(英雄升级调参!$D$73*英雄升级调参!$C$11*英雄升级调参!$J$10*英雄升级调参!$G$20,0)</x:f>
        <x:v>476</x:v>
      </x:c>
      <x:c r="L426" s="12" t="n">
        <x:f>养成消耗调参!$D$155</x:f>
        <x:v>216</x:v>
      </x:c>
      <x:c r="M426" s="12" t="n">
        <x:f>养成消耗调参!$G$155</x:f>
        <x:v>1350</x:v>
      </x:c>
      <x:c r="N426" s="12" t="n">
        <x:f>养成消耗调参!$I$155</x:f>
        <x:v>0</x:v>
      </x:c>
      <x:c r="O426" s="12" t="n">
        <x:f>养成消耗调参!$K$155</x:f>
        <x:v>720</x:v>
      </x:c>
      <x:c r="P426" s="12" t="n">
        <x:f>养成消耗调参!$N$155</x:f>
        <x:v>4950</x:v>
      </x:c>
      <x:c r="Q426" s="12" t="n">
        <x:f>养成消耗调参!$P$155</x:f>
        <x:v>10</x:v>
      </x:c>
      <x:c r="R426" s="13">
        <x:f>I426/英雄升级调参!$J$73-1</x:f>
        <x:v>-0.009348659003831417</x:v>
      </x:c>
      <x:c r="S426" s="6"/>
      <x:c r="T426" s="6"/>
      <x:c r="U426" s="6"/>
    </x:row>
    <x:row r="427" ht="21" customHeight="1">
      <x:c r="A427" s="14" t="n">
        <x:f>英雄升级调参!$B$20</x:f>
        <x:v>310002</x:v>
      </x:c>
      <x:c r="B427" s="14" t="str">
        <x:f>英雄升级调参!$C$20</x:f>
        <x:v>贝尔熊</x:v>
      </x:c>
      <x:c r="C427" s="6" t="str">
        <x:f>英雄升级调参!$D$20</x:f>
        <x:v>生存者</x:v>
      </x:c>
      <x:c r="D427" s="6" t="s">
        <x:v>22</x:v>
      </x:c>
      <x:c r="E427" s="6">
        <x:v>9</x:v>
      </x:c>
      <x:c r="F427" s="6" t="n">
        <x:f>英雄升级调参!$C$74</x:f>
        <x:v>2</x:v>
      </x:c>
      <x:c r="G427" s="12">
        <x:f t="shared" si="38"/>
        <x:v>438</x:v>
      </x:c>
      <x:c r="H427" s="12">
        <x:f t="shared" si="39"/>
        <x:v>6108</x:v>
      </x:c>
      <x:c r="I427" s="12">
        <x:f t="shared" si="35"/>
        <x:v>2675304</x:v>
      </x:c>
      <x:c r="J427" s="12">
        <x:f>ROUND(英雄升级调参!$D$74*英雄升级调参!$J$10*英雄升级调参!$E$20,0)</x:f>
        <x:v>34</x:v>
      </x:c>
      <x:c r="K427" s="12">
        <x:f>ROUND(英雄升级调参!$D$74*英雄升级调参!$C$11*英雄升级调参!$J$10*英雄升级调参!$G$20,0)</x:f>
        <x:v>476</x:v>
      </x:c>
      <x:c r="L427" s="12" t="n">
        <x:f>养成消耗调参!$D$156</x:f>
        <x:v>216</x:v>
      </x:c>
      <x:c r="M427" s="12" t="n">
        <x:f>养成消耗调参!$G$156</x:f>
        <x:v>1350</x:v>
      </x:c>
      <x:c r="N427" s="12" t="n">
        <x:f>养成消耗调参!$I$156</x:f>
        <x:v>0</x:v>
      </x:c>
      <x:c r="O427" s="12" t="n">
        <x:f>养成消耗调参!$K$156</x:f>
        <x:v>936</x:v>
      </x:c>
      <x:c r="P427" s="12" t="n">
        <x:f>养成消耗调参!$N$156</x:f>
        <x:v>6300</x:v>
      </x:c>
      <x:c r="Q427" s="12" t="n">
        <x:f>养成消耗调参!$P$156</x:f>
        <x:v>10</x:v>
      </x:c>
      <x:c r="R427" s="13">
        <x:f>I427/英雄升级调参!$J$74-1</x:f>
        <x:v>-0.01060876704425684</x:v>
      </x:c>
      <x:c r="S427" s="6"/>
      <x:c r="T427" s="6"/>
      <x:c r="U427" s="6"/>
    </x:row>
    <x:row r="428" ht="21" customHeight="1">
      <x:c r="A428" s="14" t="n">
        <x:f>英雄升级调参!$B$20</x:f>
        <x:v>310002</x:v>
      </x:c>
      <x:c r="B428" s="14" t="str">
        <x:f>英雄升级调参!$C$20</x:f>
        <x:v>贝尔熊</x:v>
      </x:c>
      <x:c r="C428" s="6" t="str">
        <x:f>英雄升级调参!$D$20</x:f>
        <x:v>生存者</x:v>
      </x:c>
      <x:c r="D428" s="6" t="s">
        <x:v>22</x:v>
      </x:c>
      <x:c r="E428" s="6">
        <x:v>10</x:v>
      </x:c>
      <x:c r="F428" s="6" t="n">
        <x:f>英雄升级调参!$C$75</x:f>
        <x:v>2</x:v>
      </x:c>
      <x:c r="G428" s="12">
        <x:f t="shared" si="38"/>
        <x:v>540</x:v>
      </x:c>
      <x:c r="H428" s="12">
        <x:f t="shared" si="39"/>
        <x:v>7536</x:v>
      </x:c>
      <x:c r="I428" s="12">
        <x:f t="shared" si="35"/>
        <x:v>4069440</x:v>
      </x:c>
      <x:c r="J428" s="12">
        <x:f>ROUND(英雄升级调参!$D$75*英雄升级调参!$J$10*英雄升级调参!$E$20,0)*3</x:f>
        <x:v>102</x:v>
      </x:c>
      <x:c r="K428" s="12">
        <x:f>ROUND(英雄升级调参!$D$75*英雄升级调参!$C$11*英雄升级调参!$J$10*英雄升级调参!$G$20,0)*3</x:f>
        <x:v>1428</x:v>
      </x:c>
      <x:c r="L428" s="12" t="n">
        <x:f>养成消耗调参!$D$157</x:f>
        <x:v>288</x:v>
      </x:c>
      <x:c r="M428" s="12" t="n">
        <x:f>养成消耗调参!$G$157</x:f>
        <x:v>1350</x:v>
      </x:c>
      <x:c r="N428" s="12" t="n">
        <x:f>养成消耗调参!$I$157</x:f>
        <x:v>30</x:v>
      </x:c>
      <x:c r="O428" s="12" t="n">
        <x:f>养成消耗调参!$K$157</x:f>
        <x:v>1224</x:v>
      </x:c>
      <x:c r="P428" s="12" t="n">
        <x:f>养成消耗调参!$N$157</x:f>
        <x:v>7650</x:v>
      </x:c>
      <x:c r="Q428" s="12" t="n">
        <x:f>养成消耗调参!$P$157</x:f>
        <x:v>40</x:v>
      </x:c>
      <x:c r="R428" s="13">
        <x:f>I428/英雄升级调参!$J$75-1</x:f>
        <x:v>-0.013426040409036055</x:v>
      </x:c>
      <x:c r="S428" s="6"/>
      <x:c r="T428" s="6"/>
      <x:c r="U428" s="6"/>
    </x:row>
    <x:row r="429" ht="21" customHeight="1">
      <x:c r="A429" s="14" t="n">
        <x:f>英雄升级调参!$B$20</x:f>
        <x:v>310002</x:v>
      </x:c>
      <x:c r="B429" s="14" t="str">
        <x:f>英雄升级调参!$C$20</x:f>
        <x:v>贝尔熊</x:v>
      </x:c>
      <x:c r="C429" s="6" t="str">
        <x:f>英雄升级调参!$D$20</x:f>
        <x:v>生存者</x:v>
      </x:c>
      <x:c r="D429" s="6" t="s">
        <x:v>22</x:v>
      </x:c>
      <x:c r="E429" s="6">
        <x:v>11</x:v>
      </x:c>
      <x:c r="F429" s="6" t="n">
        <x:f>英雄升级调参!$C$76</x:f>
        <x:v>3</x:v>
      </x:c>
      <x:c r="G429" s="12">
        <x:f t="shared" si="38"/>
        <x:v>586</x:v>
      </x:c>
      <x:c r="H429" s="12">
        <x:f t="shared" si="39"/>
        <x:v>8171</x:v>
      </x:c>
      <x:c r="I429" s="12">
        <x:f t="shared" si="35"/>
        <x:v>4788206</x:v>
      </x:c>
      <x:c r="J429" s="12">
        <x:f>ROUND(英雄升级调参!$D$76*英雄升级调参!$J$10*英雄升级调参!$E$20,0)</x:f>
        <x:v>46</x:v>
      </x:c>
      <x:c r="K429" s="12">
        <x:f>ROUND(英雄升级调参!$D$76*英雄升级调参!$C$11*英雄升级调参!$J$10*英雄升级调参!$G$20,0)</x:f>
        <x:v>635</x:v>
      </x:c>
      <x:c r="L429" s="12" t="n">
        <x:f>养成消耗调参!$D$158</x:f>
        <x:v>288</x:v>
      </x:c>
      <x:c r="M429" s="12" t="n">
        <x:f>养成消耗调参!$G$158</x:f>
        <x:v>1350</x:v>
      </x:c>
      <x:c r="N429" s="12" t="n">
        <x:f>养成消耗调参!$I$158</x:f>
        <x:v>0</x:v>
      </x:c>
      <x:c r="O429" s="12" t="n">
        <x:f>养成消耗调参!$K$158</x:f>
        <x:v>1512</x:v>
      </x:c>
      <x:c r="P429" s="12" t="n">
        <x:f>养成消耗调参!$N$158</x:f>
        <x:v>9000</x:v>
      </x:c>
      <x:c r="Q429" s="12" t="n">
        <x:f>养成消耗调参!$P$158</x:f>
        <x:v>40</x:v>
      </x:c>
      <x:c r="R429" s="13">
        <x:f>I429/英雄升级调参!$J$76-1</x:f>
        <x:v>-0.012254286132754033</x:v>
      </x:c>
      <x:c r="S429" s="6"/>
      <x:c r="T429" s="6"/>
      <x:c r="U429" s="6"/>
    </x:row>
    <x:row r="430" ht="21" customHeight="1">
      <x:c r="A430" s="14" t="n">
        <x:f>英雄升级调参!$B$20</x:f>
        <x:v>310002</x:v>
      </x:c>
      <x:c r="B430" s="14" t="str">
        <x:f>英雄升级调参!$C$20</x:f>
        <x:v>贝尔熊</x:v>
      </x:c>
      <x:c r="C430" s="6" t="str">
        <x:f>英雄升级调参!$D$20</x:f>
        <x:v>生存者</x:v>
      </x:c>
      <x:c r="D430" s="6" t="s">
        <x:v>22</x:v>
      </x:c>
      <x:c r="E430" s="6">
        <x:v>12</x:v>
      </x:c>
      <x:c r="F430" s="6" t="n">
        <x:f>英雄升级调参!$C$77</x:f>
        <x:v>3</x:v>
      </x:c>
      <x:c r="G430" s="12">
        <x:f t="shared" si="38"/>
        <x:v>632</x:v>
      </x:c>
      <x:c r="H430" s="12">
        <x:f t="shared" si="39"/>
        <x:v>8806</x:v>
      </x:c>
      <x:c r="I430" s="12">
        <x:f t="shared" si="35"/>
        <x:v>5565392</x:v>
      </x:c>
      <x:c r="J430" s="12">
        <x:f>ROUND(英雄升级调参!$D$77*英雄升级调参!$J$10*英雄升级调参!$E$20,0)</x:f>
        <x:v>46</x:v>
      </x:c>
      <x:c r="K430" s="12">
        <x:f>ROUND(英雄升级调参!$D$77*英雄升级调参!$C$11*英雄升级调参!$J$10*英雄升级调参!$G$20,0)</x:f>
        <x:v>635</x:v>
      </x:c>
      <x:c r="L430" s="12" t="n">
        <x:f>养成消耗调参!$D$159</x:f>
        <x:v>360</x:v>
      </x:c>
      <x:c r="M430" s="12" t="n">
        <x:f>养成消耗调参!$G$159</x:f>
        <x:v>2250</x:v>
      </x:c>
      <x:c r="N430" s="12" t="n">
        <x:f>养成消耗调参!$I$159</x:f>
        <x:v>0</x:v>
      </x:c>
      <x:c r="O430" s="12" t="n">
        <x:f>养成消耗调参!$K$159</x:f>
        <x:v>1872</x:v>
      </x:c>
      <x:c r="P430" s="12" t="n">
        <x:f>养成消耗调参!$N$159</x:f>
        <x:v>11250</x:v>
      </x:c>
      <x:c r="Q430" s="12" t="n">
        <x:f>养成消耗调参!$P$159</x:f>
        <x:v>40</x:v>
      </x:c>
      <x:c r="R430" s="13">
        <x:f>I430/英雄升级调参!$J$77-1</x:f>
        <x:v>-0.011250870535397084</x:v>
      </x:c>
      <x:c r="S430" s="6"/>
      <x:c r="T430" s="6"/>
      <x:c r="U430" s="6"/>
    </x:row>
    <x:row r="431" ht="21" customHeight="1">
      <x:c r="A431" s="14" t="n">
        <x:f>英雄升级调参!$B$20</x:f>
        <x:v>310002</x:v>
      </x:c>
      <x:c r="B431" s="14" t="str">
        <x:f>英雄升级调参!$C$20</x:f>
        <x:v>贝尔熊</x:v>
      </x:c>
      <x:c r="C431" s="6" t="str">
        <x:f>英雄升级调参!$D$20</x:f>
        <x:v>生存者</x:v>
      </x:c>
      <x:c r="D431" s="6" t="s">
        <x:v>22</x:v>
      </x:c>
      <x:c r="E431" s="6">
        <x:v>13</x:v>
      </x:c>
      <x:c r="F431" s="6" t="n">
        <x:f>英雄升级调参!$C$78</x:f>
        <x:v>3</x:v>
      </x:c>
      <x:c r="G431" s="12">
        <x:f t="shared" si="38"/>
        <x:v>678</x:v>
      </x:c>
      <x:c r="H431" s="12">
        <x:f t="shared" si="39"/>
        <x:v>9441</x:v>
      </x:c>
      <x:c r="I431" s="12">
        <x:f t="shared" si="35"/>
        <x:v>6400998</x:v>
      </x:c>
      <x:c r="J431" s="12">
        <x:f>ROUND(英雄升级调参!$D$78*英雄升级调参!$J$10*英雄升级调参!$E$20,0)</x:f>
        <x:v>46</x:v>
      </x:c>
      <x:c r="K431" s="12">
        <x:f>ROUND(英雄升级调参!$D$78*英雄升级调参!$C$11*英雄升级调参!$J$10*英雄升级调参!$G$20,0)</x:f>
        <x:v>635</x:v>
      </x:c>
      <x:c r="L431" s="12" t="n">
        <x:f>养成消耗调参!$D$160</x:f>
        <x:v>360</x:v>
      </x:c>
      <x:c r="M431" s="12" t="n">
        <x:f>养成消耗调参!$G$160</x:f>
        <x:v>2250</x:v>
      </x:c>
      <x:c r="N431" s="12" t="n">
        <x:f>养成消耗调参!$I$160</x:f>
        <x:v>0</x:v>
      </x:c>
      <x:c r="O431" s="12" t="n">
        <x:f>养成消耗调参!$K$160</x:f>
        <x:v>2232</x:v>
      </x:c>
      <x:c r="P431" s="12" t="n">
        <x:f>养成消耗调参!$N$160</x:f>
        <x:v>13500</x:v>
      </x:c>
      <x:c r="Q431" s="12" t="n">
        <x:f>养成消耗调参!$P$160</x:f>
        <x:v>40</x:v>
      </x:c>
      <x:c r="R431" s="13">
        <x:f>I431/英雄升级调参!$J$78-1</x:f>
        <x:v>-0.010381948470582825</x:v>
      </x:c>
      <x:c r="S431" s="6"/>
      <x:c r="T431" s="6"/>
      <x:c r="U431" s="6"/>
    </x:row>
    <x:row r="432" ht="21" customHeight="1">
      <x:c r="A432" s="14" t="n">
        <x:f>英雄升级调参!$B$20</x:f>
        <x:v>310002</x:v>
      </x:c>
      <x:c r="B432" s="14" t="str">
        <x:f>英雄升级调参!$C$20</x:f>
        <x:v>贝尔熊</x:v>
      </x:c>
      <x:c r="C432" s="6" t="str">
        <x:f>英雄升级调参!$D$20</x:f>
        <x:v>生存者</x:v>
      </x:c>
      <x:c r="D432" s="6" t="s">
        <x:v>22</x:v>
      </x:c>
      <x:c r="E432" s="6">
        <x:v>14</x:v>
      </x:c>
      <x:c r="F432" s="6" t="n">
        <x:f>英雄升级调参!$C$79</x:f>
        <x:v>3</x:v>
      </x:c>
      <x:c r="G432" s="12">
        <x:f t="shared" si="38"/>
        <x:v>724</x:v>
      </x:c>
      <x:c r="H432" s="12">
        <x:f t="shared" si="39"/>
        <x:v>10076</x:v>
      </x:c>
      <x:c r="I432" s="12">
        <x:f t="shared" si="35"/>
        <x:v>7295024</x:v>
      </x:c>
      <x:c r="J432" s="12">
        <x:f>ROUND(英雄升级调参!$D$79*英雄升级调参!$J$10*英雄升级调参!$E$20,0)</x:f>
        <x:v>46</x:v>
      </x:c>
      <x:c r="K432" s="12">
        <x:f>ROUND(英雄升级调参!$D$79*英雄升级调参!$C$11*英雄升级调参!$J$10*英雄升级调参!$G$20,0)</x:f>
        <x:v>635</x:v>
      </x:c>
      <x:c r="L432" s="12" t="n">
        <x:f>养成消耗调参!$D$161</x:f>
        <x:v>432</x:v>
      </x:c>
      <x:c r="M432" s="12" t="n">
        <x:f>养成消耗调参!$G$161</x:f>
        <x:v>2250</x:v>
      </x:c>
      <x:c r="N432" s="12" t="n">
        <x:f>养成消耗调参!$I$161</x:f>
        <x:v>0</x:v>
      </x:c>
      <x:c r="O432" s="12" t="n">
        <x:f>养成消耗调参!$K$161</x:f>
        <x:v>2664</x:v>
      </x:c>
      <x:c r="P432" s="12" t="n">
        <x:f>养成消耗调参!$N$161</x:f>
        <x:v>15750</x:v>
      </x:c>
      <x:c r="Q432" s="12" t="n">
        <x:f>养成消耗调参!$P$161</x:f>
        <x:v>40</x:v>
      </x:c>
      <x:c r="R432" s="13">
        <x:f>I432/英雄升级调参!$J$79-1</x:f>
        <x:v>-0.009622177873715332</x:v>
      </x:c>
      <x:c r="S432" s="6"/>
      <x:c r="T432" s="6"/>
      <x:c r="U432" s="6"/>
    </x:row>
    <x:row r="433" ht="21" customHeight="1">
      <x:c r="A433" s="14" t="n">
        <x:f>英雄升级调参!$B$20</x:f>
        <x:v>310002</x:v>
      </x:c>
      <x:c r="B433" s="14" t="str">
        <x:f>英雄升级调参!$C$20</x:f>
        <x:v>贝尔熊</x:v>
      </x:c>
      <x:c r="C433" s="6" t="str">
        <x:f>英雄升级调参!$D$20</x:f>
        <x:v>生存者</x:v>
      </x:c>
      <x:c r="D433" s="6" t="s">
        <x:v>22</x:v>
      </x:c>
      <x:c r="E433" s="6">
        <x:v>15</x:v>
      </x:c>
      <x:c r="F433" s="6" t="n">
        <x:f>英雄升级调参!$C$80</x:f>
        <x:v>3</x:v>
      </x:c>
      <x:c r="G433" s="12">
        <x:f t="shared" si="38"/>
        <x:v>862</x:v>
      </x:c>
      <x:c r="H433" s="12">
        <x:f t="shared" si="39"/>
        <x:v>11981</x:v>
      </x:c>
      <x:c r="I433" s="12">
        <x:f t="shared" si="35"/>
        <x:v>10327622</x:v>
      </x:c>
      <x:c r="J433" s="12">
        <x:f>ROUND(英雄升级调参!$D$80*英雄升级调参!$J$10*英雄升级调参!$E$20,0)*3</x:f>
        <x:v>138</x:v>
      </x:c>
      <x:c r="K433" s="12">
        <x:f>ROUND(英雄升级调参!$D$80*英雄升级调参!$C$11*英雄升级调参!$J$10*英雄升级调参!$G$20,0)*3</x:f>
        <x:v>1905</x:v>
      </x:c>
      <x:c r="L433" s="12" t="n">
        <x:f>养成消耗调参!$D$162</x:f>
        <x:v>432</x:v>
      </x:c>
      <x:c r="M433" s="12" t="n">
        <x:f>养成消耗调参!$G$162</x:f>
        <x:v>2250</x:v>
      </x:c>
      <x:c r="N433" s="12" t="n">
        <x:f>养成消耗调参!$I$162</x:f>
        <x:v>50</x:v>
      </x:c>
      <x:c r="O433" s="12" t="n">
        <x:f>养成消耗调参!$K$162</x:f>
        <x:v>3096</x:v>
      </x:c>
      <x:c r="P433" s="12" t="n">
        <x:f>养成消耗调参!$N$162</x:f>
        <x:v>18000</x:v>
      </x:c>
      <x:c r="Q433" s="12" t="n">
        <x:f>养成消耗调参!$P$162</x:f>
        <x:v>90</x:v>
      </x:c>
      <x:c r="R433" s="13">
        <x:f>I433/英雄升级调参!$J$80-1</x:f>
        <x:v>-0.007824714407723254</x:v>
      </x:c>
      <x:c r="S433" s="6"/>
      <x:c r="T433" s="6"/>
      <x:c r="U433" s="6"/>
    </x:row>
    <x:row r="434" ht="21" customHeight="1">
      <x:c r="A434" s="14" t="n">
        <x:f>英雄升级调参!$B$20</x:f>
        <x:v>310002</x:v>
      </x:c>
      <x:c r="B434" s="14" t="str">
        <x:f>英雄升级调参!$C$20</x:f>
        <x:v>贝尔熊</x:v>
      </x:c>
      <x:c r="C434" s="6" t="str">
        <x:f>英雄升级调参!$D$20</x:f>
        <x:v>生存者</x:v>
      </x:c>
      <x:c r="D434" s="6" t="s">
        <x:v>22</x:v>
      </x:c>
      <x:c r="E434" s="6">
        <x:v>16</x:v>
      </x:c>
      <x:c r="F434" s="6" t="n">
        <x:f>英雄升级调参!$C$81</x:f>
        <x:v>4</x:v>
      </x:c>
      <x:c r="G434" s="12">
        <x:f t="shared" si="38"/>
        <x:v>919</x:v>
      </x:c>
      <x:c r="H434" s="12">
        <x:f t="shared" si="39"/>
        <x:v>12775</x:v>
      </x:c>
      <x:c r="I434" s="12">
        <x:f t="shared" si="35"/>
        <x:v>11740225</x:v>
      </x:c>
      <x:c r="J434" s="12">
        <x:f>ROUND(英雄升级调参!$D$81*英雄升级调参!$J$10*英雄升级调参!$E$20,0)</x:f>
        <x:v>57</x:v>
      </x:c>
      <x:c r="K434" s="12">
        <x:f>ROUND(英雄升级调参!$D$81*英雄升级调参!$C$11*英雄升级调参!$J$10*英雄升级调参!$G$20,0)</x:f>
        <x:v>794</x:v>
      </x:c>
      <x:c r="L434" s="12" t="n">
        <x:f>养成消耗调参!$D$163</x:f>
        <x:v>504</x:v>
      </x:c>
      <x:c r="M434" s="12" t="n">
        <x:f>养成消耗调参!$G$163</x:f>
        <x:v>2250</x:v>
      </x:c>
      <x:c r="N434" s="12" t="n">
        <x:f>养成消耗调参!$I$163</x:f>
        <x:v>0</x:v>
      </x:c>
      <x:c r="O434" s="12" t="n">
        <x:f>养成消耗调参!$K$163</x:f>
        <x:v>3600</x:v>
      </x:c>
      <x:c r="P434" s="12" t="n">
        <x:f>养成消耗调参!$N$163</x:f>
        <x:v>20250</x:v>
      </x:c>
      <x:c r="Q434" s="12" t="n">
        <x:f>养成消耗调参!$P$163</x:f>
        <x:v>90</x:v>
      </x:c>
      <x:c r="R434" s="13">
        <x:f>I434/英雄升级调参!$J$81-1</x:f>
        <x:v>-0.008209150658083697</x:v>
      </x:c>
      <x:c r="S434" s="6"/>
      <x:c r="T434" s="6"/>
      <x:c r="U434" s="6"/>
    </x:row>
    <x:row r="435" ht="21" customHeight="1">
      <x:c r="A435" s="14" t="n">
        <x:f>英雄升级调参!$B$20</x:f>
        <x:v>310002</x:v>
      </x:c>
      <x:c r="B435" s="14" t="str">
        <x:f>英雄升级调参!$C$20</x:f>
        <x:v>贝尔熊</x:v>
      </x:c>
      <x:c r="C435" s="6" t="str">
        <x:f>英雄升级调参!$D$20</x:f>
        <x:v>生存者</x:v>
      </x:c>
      <x:c r="D435" s="6" t="s">
        <x:v>22</x:v>
      </x:c>
      <x:c r="E435" s="6">
        <x:v>17</x:v>
      </x:c>
      <x:c r="F435" s="6" t="n">
        <x:f>英雄升级调参!$C$82</x:f>
        <x:v>4</x:v>
      </x:c>
      <x:c r="G435" s="12">
        <x:f t="shared" si="38"/>
        <x:v>976</x:v>
      </x:c>
      <x:c r="H435" s="12">
        <x:f t="shared" si="39"/>
        <x:v>13569</x:v>
      </x:c>
      <x:c r="I435" s="12">
        <x:f t="shared" si="35"/>
        <x:v>13243344</x:v>
      </x:c>
      <x:c r="J435" s="12">
        <x:f>ROUND(英雄升级调参!$D$82*英雄升级调参!$J$10*英雄升级调参!$E$20,0)</x:f>
        <x:v>57</x:v>
      </x:c>
      <x:c r="K435" s="12">
        <x:f>ROUND(英雄升级调参!$D$82*英雄升级调参!$C$11*英雄升级调参!$J$10*英雄升级调参!$G$20,0)</x:f>
        <x:v>794</x:v>
      </x:c>
      <x:c r="L435" s="12" t="n">
        <x:f>养成消耗调参!$D$164</x:f>
        <x:v>504</x:v>
      </x:c>
      <x:c r="M435" s="12" t="n">
        <x:f>养成消耗调参!$G$164</x:f>
        <x:v>3150</x:v>
      </x:c>
      <x:c r="N435" s="12" t="n">
        <x:f>养成消耗调参!$I$164</x:f>
        <x:v>0</x:v>
      </x:c>
      <x:c r="O435" s="12" t="n">
        <x:f>养成消耗调参!$K$164</x:f>
        <x:v>4104</x:v>
      </x:c>
      <x:c r="P435" s="12" t="n">
        <x:f>养成消耗调参!$N$164</x:f>
        <x:v>23400</x:v>
      </x:c>
      <x:c r="Q435" s="12" t="n">
        <x:f>养成消耗调参!$P$164</x:f>
        <x:v>90</x:v>
      </x:c>
      <x:c r="R435" s="13">
        <x:f>I435/英雄升级调参!$J$82-1</x:f>
        <x:v>-0.008548436724454267</x:v>
      </x:c>
      <x:c r="S435" s="6"/>
      <x:c r="T435" s="6"/>
      <x:c r="U435" s="6"/>
    </x:row>
    <x:row r="436" ht="21" customHeight="1">
      <x:c r="A436" s="14" t="n">
        <x:f>英雄升级调参!$B$20</x:f>
        <x:v>310002</x:v>
      </x:c>
      <x:c r="B436" s="14" t="str">
        <x:f>英雄升级调参!$C$20</x:f>
        <x:v>贝尔熊</x:v>
      </x:c>
      <x:c r="C436" s="6" t="str">
        <x:f>英雄升级调参!$D$20</x:f>
        <x:v>生存者</x:v>
      </x:c>
      <x:c r="D436" s="6" t="s">
        <x:v>22</x:v>
      </x:c>
      <x:c r="E436" s="6">
        <x:v>18</x:v>
      </x:c>
      <x:c r="F436" s="6" t="n">
        <x:f>英雄升级调参!$C$83</x:f>
        <x:v>4</x:v>
      </x:c>
      <x:c r="G436" s="12">
        <x:f t="shared" si="38"/>
        <x:v>1033</x:v>
      </x:c>
      <x:c r="H436" s="12">
        <x:f t="shared" si="39"/>
        <x:v>14363</x:v>
      </x:c>
      <x:c r="I436" s="12">
        <x:f t="shared" si="35"/>
        <x:v>14836979</x:v>
      </x:c>
      <x:c r="J436" s="12">
        <x:f>ROUND(英雄升级调参!$D$83*英雄升级调参!$J$10*英雄升级调参!$E$20,0)</x:f>
        <x:v>57</x:v>
      </x:c>
      <x:c r="K436" s="12">
        <x:f>ROUND(英雄升级调参!$D$83*英雄升级调参!$C$11*英雄升级调参!$J$10*英雄升级调参!$G$20,0)</x:f>
        <x:v>794</x:v>
      </x:c>
      <x:c r="L436" s="12" t="n">
        <x:f>养成消耗调参!$D$165</x:f>
        <x:v>576</x:v>
      </x:c>
      <x:c r="M436" s="12" t="n">
        <x:f>养成消耗调参!$G$165</x:f>
        <x:v>3150</x:v>
      </x:c>
      <x:c r="N436" s="12" t="n">
        <x:f>养成消耗调参!$I$165</x:f>
        <x:v>0</x:v>
      </x:c>
      <x:c r="O436" s="12" t="n">
        <x:f>养成消耗调参!$K$165</x:f>
        <x:v>4680</x:v>
      </x:c>
      <x:c r="P436" s="12" t="n">
        <x:f>养成消耗调参!$N$165</x:f>
        <x:v>26550</x:v>
      </x:c>
      <x:c r="Q436" s="12" t="n">
        <x:f>养成消耗调参!$P$165</x:f>
        <x:v>90</x:v>
      </x:c>
      <x:c r="R436" s="13">
        <x:f>I436/英雄升级调参!$J$83-1</x:f>
        <x:v>-0.008850085440623823</x:v>
      </x:c>
      <x:c r="S436" s="6"/>
      <x:c r="T436" s="6"/>
      <x:c r="U436" s="6"/>
    </x:row>
    <x:row r="437" ht="21" customHeight="1">
      <x:c r="A437" s="14" t="n">
        <x:f>英雄升级调参!$B$20</x:f>
        <x:v>310002</x:v>
      </x:c>
      <x:c r="B437" s="14" t="str">
        <x:f>英雄升级调参!$C$20</x:f>
        <x:v>贝尔熊</x:v>
      </x:c>
      <x:c r="C437" s="6" t="str">
        <x:f>英雄升级调参!$D$20</x:f>
        <x:v>生存者</x:v>
      </x:c>
      <x:c r="D437" s="6" t="s">
        <x:v>22</x:v>
      </x:c>
      <x:c r="E437" s="6">
        <x:v>19</x:v>
      </x:c>
      <x:c r="F437" s="6" t="n">
        <x:f>英雄升级调参!$C$84</x:f>
        <x:v>4</x:v>
      </x:c>
      <x:c r="G437" s="12">
        <x:f t="shared" si="38"/>
        <x:v>1090</x:v>
      </x:c>
      <x:c r="H437" s="12">
        <x:f t="shared" si="39"/>
        <x:v>15157</x:v>
      </x:c>
      <x:c r="I437" s="12">
        <x:f t="shared" si="35"/>
        <x:v>16521130</x:v>
      </x:c>
      <x:c r="J437" s="12">
        <x:f>ROUND(英雄升级调参!$D$84*英雄升级调参!$J$10*英雄升级调参!$E$20,0)</x:f>
        <x:v>57</x:v>
      </x:c>
      <x:c r="K437" s="12">
        <x:f>ROUND(英雄升级调参!$D$84*英雄升级调参!$C$11*英雄升级调参!$J$10*英雄升级调参!$G$20,0)</x:f>
        <x:v>794</x:v>
      </x:c>
      <x:c r="L437" s="12" t="n">
        <x:f>养成消耗调参!$D$166</x:f>
        <x:v>576</x:v>
      </x:c>
      <x:c r="M437" s="12" t="n">
        <x:f>养成消耗调参!$G$166</x:f>
        <x:v>3150</x:v>
      </x:c>
      <x:c r="N437" s="12" t="n">
        <x:f>养成消耗调参!$I$166</x:f>
        <x:v>0</x:v>
      </x:c>
      <x:c r="O437" s="12" t="n">
        <x:f>养成消耗调参!$K$166</x:f>
        <x:v>5256</x:v>
      </x:c>
      <x:c r="P437" s="12" t="n">
        <x:f>养成消耗调参!$N$166</x:f>
        <x:v>29700</x:v>
      </x:c>
      <x:c r="Q437" s="12" t="n">
        <x:f>养成消耗调参!$P$166</x:f>
        <x:v>90</x:v>
      </x:c>
      <x:c r="R437" s="13">
        <x:f>I437/英雄升级调参!$J$84-1</x:f>
        <x:v>-0.009120030420093572</x:v>
      </x:c>
      <x:c r="S437" s="6"/>
      <x:c r="T437" s="6"/>
      <x:c r="U437" s="6"/>
    </x:row>
    <x:row r="438" ht="21" customHeight="1">
      <x:c r="A438" s="14" t="n">
        <x:f>英雄升级调参!$B$20</x:f>
        <x:v>310002</x:v>
      </x:c>
      <x:c r="B438" s="14" t="str">
        <x:f>英雄升级调参!$C$20</x:f>
        <x:v>贝尔熊</x:v>
      </x:c>
      <x:c r="C438" s="6" t="str">
        <x:f>英雄升级调参!$D$20</x:f>
        <x:v>生存者</x:v>
      </x:c>
      <x:c r="D438" s="6" t="s">
        <x:v>22</x:v>
      </x:c>
      <x:c r="E438" s="6">
        <x:v>20</x:v>
      </x:c>
      <x:c r="F438" s="6" t="n">
        <x:f>英雄升级调参!$C$85</x:f>
        <x:v>4</x:v>
      </x:c>
      <x:c r="G438" s="12">
        <x:f t="shared" si="38"/>
        <x:v>1261</x:v>
      </x:c>
      <x:c r="H438" s="12">
        <x:f t="shared" si="39"/>
        <x:v>17539</x:v>
      </x:c>
      <x:c r="I438" s="12">
        <x:f t="shared" si="35"/>
        <x:v>22116679</x:v>
      </x:c>
      <x:c r="J438" s="12">
        <x:f>ROUND(英雄升级调参!$D$85*英雄升级调参!$J$10*英雄升级调参!$E$20,0)*3</x:f>
        <x:v>171</x:v>
      </x:c>
      <x:c r="K438" s="12">
        <x:f>ROUND(英雄升级调参!$D$85*英雄升级调参!$C$11*英雄升级调参!$J$10*英雄升级调参!$G$20,0)*3</x:f>
        <x:v>2382</x:v>
      </x:c>
      <x:c r="L438" s="12" t="n">
        <x:f>养成消耗调参!$D$167</x:f>
        <x:v>648</x:v>
      </x:c>
      <x:c r="M438" s="12" t="n">
        <x:f>养成消耗调参!$G$167</x:f>
        <x:v>3150</x:v>
      </x:c>
      <x:c r="N438" s="12" t="n">
        <x:f>养成消耗调参!$I$167</x:f>
        <x:v>70</x:v>
      </x:c>
      <x:c r="O438" s="12" t="n">
        <x:f>养成消耗调参!$K$167</x:f>
        <x:v>5904</x:v>
      </x:c>
      <x:c r="P438" s="12" t="n">
        <x:f>养成消耗调参!$N$167</x:f>
        <x:v>32850</x:v>
      </x:c>
      <x:c r="Q438" s="12" t="n">
        <x:f>养成消耗调参!$P$167</x:f>
        <x:v>160</x:v>
      </x:c>
      <x:c r="R438" s="13">
        <x:f>I438/英雄升级调参!$J$85-1</x:f>
        <x:v>-0.009782817958037482</x:v>
      </x:c>
      <x:c r="S438" s="6"/>
      <x:c r="T438" s="6"/>
      <x:c r="U438" s="6"/>
    </x:row>
    <x:row r="439" ht="21" customHeight="1">
      <x:c r="A439" s="14" t="n">
        <x:f>英雄升级调参!$B$20</x:f>
        <x:v>310002</x:v>
      </x:c>
      <x:c r="B439" s="14" t="str">
        <x:f>英雄升级调参!$C$20</x:f>
        <x:v>贝尔熊</x:v>
      </x:c>
      <x:c r="C439" s="6" t="str">
        <x:f>英雄升级调参!$D$20</x:f>
        <x:v>生存者</x:v>
      </x:c>
      <x:c r="D439" s="6" t="s">
        <x:v>22</x:v>
      </x:c>
      <x:c r="E439" s="6">
        <x:v>21</x:v>
      </x:c>
      <x:c r="F439" s="6" t="n">
        <x:f>英雄升级调参!$C$86</x:f>
        <x:v>5</x:v>
      </x:c>
      <x:c r="G439" s="12">
        <x:f t="shared" si="38"/>
        <x:v>1330</x:v>
      </x:c>
      <x:c r="H439" s="12">
        <x:f t="shared" si="39"/>
        <x:v>18492</x:v>
      </x:c>
      <x:c r="I439" s="12">
        <x:f t="shared" si="35"/>
        <x:v>24594360</x:v>
      </x:c>
      <x:c r="J439" s="12">
        <x:f>ROUND(英雄升级调参!$D$86*英雄升级调参!$J$10*英雄升级调参!$E$20,0)</x:f>
        <x:v>69</x:v>
      </x:c>
      <x:c r="K439" s="12">
        <x:f>ROUND(英雄升级调参!$D$86*英雄升级调参!$C$11*英雄升级调参!$J$10*英雄升级调参!$G$20,0)</x:f>
        <x:v>953</x:v>
      </x:c>
      <x:c r="L439" s="12" t="n">
        <x:f>养成消耗调参!$D$168</x:f>
        <x:v>648</x:v>
      </x:c>
      <x:c r="M439" s="12" t="n">
        <x:f>养成消耗调参!$G$168</x:f>
        <x:v>3150</x:v>
      </x:c>
      <x:c r="N439" s="12" t="n">
        <x:f>养成消耗调参!$I$168</x:f>
        <x:v>0</x:v>
      </x:c>
      <x:c r="O439" s="12" t="n">
        <x:f>养成消耗调参!$K$168</x:f>
        <x:v>6552</x:v>
      </x:c>
      <x:c r="P439" s="12" t="n">
        <x:f>养成消耗调参!$N$168</x:f>
        <x:v>36000</x:v>
      </x:c>
      <x:c r="Q439" s="12" t="n">
        <x:f>养成消耗调参!$P$168</x:f>
        <x:v>160</x:v>
      </x:c>
      <x:c r="R439" s="13">
        <x:f>I439/英雄升级调参!$J$86-1</x:f>
        <x:v>-0.009166106676851249</x:v>
      </x:c>
      <x:c r="S439" s="6"/>
      <x:c r="T439" s="6"/>
      <x:c r="U439" s="6"/>
    </x:row>
    <x:row r="440" ht="21" customHeight="1">
      <x:c r="A440" s="14" t="n">
        <x:f>英雄升级调参!$B$20</x:f>
        <x:v>310002</x:v>
      </x:c>
      <x:c r="B440" s="14" t="str">
        <x:f>英雄升级调参!$C$20</x:f>
        <x:v>贝尔熊</x:v>
      </x:c>
      <x:c r="C440" s="6" t="str">
        <x:f>英雄升级调参!$D$20</x:f>
        <x:v>生存者</x:v>
      </x:c>
      <x:c r="D440" s="6" t="s">
        <x:v>22</x:v>
      </x:c>
      <x:c r="E440" s="6">
        <x:v>22</x:v>
      </x:c>
      <x:c r="F440" s="6" t="n">
        <x:f>英雄升级调参!$C$87</x:f>
        <x:v>5</x:v>
      </x:c>
      <x:c r="G440" s="12">
        <x:f t="shared" si="38"/>
        <x:v>1399</x:v>
      </x:c>
      <x:c r="H440" s="12">
        <x:f t="shared" si="39"/>
        <x:v>19445</x:v>
      </x:c>
      <x:c r="I440" s="12">
        <x:f t="shared" si="35"/>
        <x:v>27203555</x:v>
      </x:c>
      <x:c r="J440" s="12">
        <x:f>ROUND(英雄升级调参!$D$87*英雄升级调参!$J$10*英雄升级调参!$E$20,0)</x:f>
        <x:v>69</x:v>
      </x:c>
      <x:c r="K440" s="12">
        <x:f>ROUND(英雄升级调参!$D$87*英雄升级调参!$C$11*英雄升级调参!$J$10*英雄升级调参!$G$20,0)</x:f>
        <x:v>953</x:v>
      </x:c>
      <x:c r="L440" s="12" t="n">
        <x:f>养成消耗调参!$D$169</x:f>
        <x:v>720</x:v>
      </x:c>
      <x:c r="M440" s="12" t="n">
        <x:f>养成消耗调参!$G$169</x:f>
        <x:v>4500</x:v>
      </x:c>
      <x:c r="N440" s="12" t="n">
        <x:f>养成消耗调参!$I$169</x:f>
        <x:v>0</x:v>
      </x:c>
      <x:c r="O440" s="12" t="n">
        <x:f>养成消耗调参!$K$169</x:f>
        <x:v>7272</x:v>
      </x:c>
      <x:c r="P440" s="12" t="n">
        <x:f>养成消耗调参!$N$169</x:f>
        <x:v>40500</x:v>
      </x:c>
      <x:c r="Q440" s="12" t="n">
        <x:f>养成消耗调参!$P$169</x:f>
        <x:v>160</x:v>
      </x:c>
      <x:c r="R440" s="13">
        <x:f>I440/英雄升级调参!$J$87-1</x:f>
        <x:v>-0.008609574413807719</x:v>
      </x:c>
      <x:c r="S440" s="6"/>
      <x:c r="T440" s="6"/>
      <x:c r="U440" s="6"/>
    </x:row>
    <x:row r="441" ht="21" customHeight="1">
      <x:c r="A441" s="14" t="n">
        <x:f>英雄升级调参!$B$20</x:f>
        <x:v>310002</x:v>
      </x:c>
      <x:c r="B441" s="14" t="str">
        <x:f>英雄升级调参!$C$20</x:f>
        <x:v>贝尔熊</x:v>
      </x:c>
      <x:c r="C441" s="6" t="str">
        <x:f>英雄升级调参!$D$20</x:f>
        <x:v>生存者</x:v>
      </x:c>
      <x:c r="D441" s="6" t="s">
        <x:v>22</x:v>
      </x:c>
      <x:c r="E441" s="6">
        <x:v>23</x:v>
      </x:c>
      <x:c r="F441" s="6" t="n">
        <x:f>英雄升级调参!$C$88</x:f>
        <x:v>5</x:v>
      </x:c>
      <x:c r="G441" s="12">
        <x:f t="shared" si="38"/>
        <x:v>1468</x:v>
      </x:c>
      <x:c r="H441" s="12">
        <x:f t="shared" si="39"/>
        <x:v>20398</x:v>
      </x:c>
      <x:c r="I441" s="12">
        <x:f t="shared" si="35"/>
        <x:v>29944264</x:v>
      </x:c>
      <x:c r="J441" s="12">
        <x:f>ROUND(英雄升级调参!$D$88*英雄升级调参!$J$10*英雄升级调参!$E$20,0)</x:f>
        <x:v>69</x:v>
      </x:c>
      <x:c r="K441" s="12">
        <x:f>ROUND(英雄升级调参!$D$88*英雄升级调参!$C$11*英雄升级调参!$J$10*英雄升级调参!$G$20,0)</x:f>
        <x:v>953</x:v>
      </x:c>
      <x:c r="L441" s="12" t="n">
        <x:f>养成消耗调参!$D$170</x:f>
        <x:v>720</x:v>
      </x:c>
      <x:c r="M441" s="12" t="n">
        <x:f>养成消耗调参!$G$170</x:f>
        <x:v>4500</x:v>
      </x:c>
      <x:c r="N441" s="12" t="n">
        <x:f>养成消耗调参!$I$170</x:f>
        <x:v>0</x:v>
      </x:c>
      <x:c r="O441" s="12" t="n">
        <x:f>养成消耗调参!$K$170</x:f>
        <x:v>7992</x:v>
      </x:c>
      <x:c r="P441" s="12" t="n">
        <x:f>养成消耗调参!$N$170</x:f>
        <x:v>45000</x:v>
      </x:c>
      <x:c r="Q441" s="12" t="n">
        <x:f>养成消耗调参!$P$170</x:f>
        <x:v>160</x:v>
      </x:c>
      <x:c r="R441" s="13">
        <x:f>I441/英雄升级调参!$J$88-1</x:f>
        <x:v>-0.008104822494595654</x:v>
      </x:c>
      <x:c r="S441" s="6"/>
      <x:c r="T441" s="6"/>
      <x:c r="U441" s="6"/>
    </x:row>
    <x:row r="442" ht="21" customHeight="1">
      <x:c r="A442" s="14" t="n">
        <x:f>英雄升级调参!$B$20</x:f>
        <x:v>310002</x:v>
      </x:c>
      <x:c r="B442" s="14" t="str">
        <x:f>英雄升级调参!$C$20</x:f>
        <x:v>贝尔熊</x:v>
      </x:c>
      <x:c r="C442" s="6" t="str">
        <x:f>英雄升级调参!$D$20</x:f>
        <x:v>生存者</x:v>
      </x:c>
      <x:c r="D442" s="6" t="s">
        <x:v>22</x:v>
      </x:c>
      <x:c r="E442" s="6">
        <x:v>24</x:v>
      </x:c>
      <x:c r="F442" s="6" t="n">
        <x:f>英雄升级调参!$C$89</x:f>
        <x:v>5</x:v>
      </x:c>
      <x:c r="G442" s="12">
        <x:f t="shared" si="38"/>
        <x:v>1537</x:v>
      </x:c>
      <x:c r="H442" s="12">
        <x:f t="shared" si="39"/>
        <x:v>21351</x:v>
      </x:c>
      <x:c r="I442" s="12">
        <x:f t="shared" si="35"/>
        <x:v>32816487</x:v>
      </x:c>
      <x:c r="J442" s="12">
        <x:f>ROUND(英雄升级调参!$D$89*英雄升级调参!$J$10*英雄升级调参!$E$20,0)</x:f>
        <x:v>69</x:v>
      </x:c>
      <x:c r="K442" s="12">
        <x:f>ROUND(英雄升级调参!$D$89*英雄升级调参!$C$11*英雄升级调参!$J$10*英雄升级调参!$G$20,0)</x:f>
        <x:v>953</x:v>
      </x:c>
      <x:c r="L442" s="12" t="n">
        <x:f>养成消耗调参!$D$171</x:f>
        <x:v>792</x:v>
      </x:c>
      <x:c r="M442" s="12" t="n">
        <x:f>养成消耗调参!$G$171</x:f>
        <x:v>4500</x:v>
      </x:c>
      <x:c r="N442" s="12" t="n">
        <x:f>养成消耗调参!$I$171</x:f>
        <x:v>0</x:v>
      </x:c>
      <x:c r="O442" s="12" t="n">
        <x:f>养成消耗调参!$K$171</x:f>
        <x:v>8784</x:v>
      </x:c>
      <x:c r="P442" s="12" t="n">
        <x:f>养成消耗调参!$N$171</x:f>
        <x:v>49500</x:v>
      </x:c>
      <x:c r="Q442" s="12" t="n">
        <x:f>养成消耗调参!$P$171</x:f>
        <x:v>160</x:v>
      </x:c>
      <x:c r="R442" s="13">
        <x:f>I442/英雄升级调参!$J$89-1</x:f>
        <x:v>-0.007644945614210141</x:v>
      </x:c>
      <x:c r="S442" s="6"/>
      <x:c r="T442" s="6"/>
      <x:c r="U442" s="6"/>
    </x:row>
    <x:row r="443" ht="21" customHeight="1">
      <x:c r="A443" s="14" t="n">
        <x:f>英雄升级调参!$B$20</x:f>
        <x:v>310002</x:v>
      </x:c>
      <x:c r="B443" s="14" t="str">
        <x:f>英雄升级调参!$C$20</x:f>
        <x:v>贝尔熊</x:v>
      </x:c>
      <x:c r="C443" s="6" t="str">
        <x:f>英雄升级调参!$D$20</x:f>
        <x:v>生存者</x:v>
      </x:c>
      <x:c r="D443" s="6" t="s">
        <x:v>22</x:v>
      </x:c>
      <x:c r="E443" s="6">
        <x:v>25</x:v>
      </x:c>
      <x:c r="F443" s="6" t="n">
        <x:f>英雄升级调参!$C$90</x:f>
        <x:v>5</x:v>
      </x:c>
      <x:c r="G443" s="12">
        <x:f t="shared" si="38"/>
        <x:v>1744</x:v>
      </x:c>
      <x:c r="H443" s="12">
        <x:f t="shared" si="39"/>
        <x:v>24210</x:v>
      </x:c>
      <x:c r="I443" s="12">
        <x:f t="shared" si="35"/>
        <x:v>42222240</x:v>
      </x:c>
      <x:c r="J443" s="12">
        <x:f>ROUND(英雄升级调参!$D$90*英雄升级调参!$J$10*英雄升级调参!$E$20,0)*3</x:f>
        <x:v>207</x:v>
      </x:c>
      <x:c r="K443" s="12">
        <x:f>ROUND(英雄升级调参!$D$90*英雄升级调参!$C$11*英雄升级调参!$J$10*英雄升级调参!$G$20,0)*3</x:f>
        <x:v>2859</x:v>
      </x:c>
      <x:c r="L443" s="12" t="n">
        <x:f>养成消耗调参!$D$172</x:f>
        <x:v>792</x:v>
      </x:c>
      <x:c r="M443" s="12" t="n">
        <x:f>养成消耗调参!$G$172</x:f>
        <x:v>4500</x:v>
      </x:c>
      <x:c r="N443" s="12" t="n">
        <x:f>养成消耗调参!$I$172</x:f>
        <x:v>90</x:v>
      </x:c>
      <x:c r="O443" s="12" t="n">
        <x:f>养成消耗调参!$K$172</x:f>
        <x:v>9576</x:v>
      </x:c>
      <x:c r="P443" s="12" t="n">
        <x:f>养成消耗调参!$N$172</x:f>
        <x:v>54000</x:v>
      </x:c>
      <x:c r="Q443" s="12" t="n">
        <x:f>养成消耗调参!$P$172</x:f>
        <x:v>250</x:v>
      </x:c>
      <x:c r="R443" s="13">
        <x:f>I443/英雄升级调参!$J$90-1</x:f>
        <x:v>-0.006481762542443481</x:v>
      </x:c>
      <x:c r="S443" s="6"/>
      <x:c r="T443" s="6"/>
      <x:c r="U443" s="6"/>
    </x:row>
    <x:row r="444" ht="21" customHeight="1">
      <x:c r="A444" s="14" t="n">
        <x:f>英雄升级调参!$B$20</x:f>
        <x:v>310002</x:v>
      </x:c>
      <x:c r="B444" s="14" t="str">
        <x:f>英雄升级调参!$C$20</x:f>
        <x:v>贝尔熊</x:v>
      </x:c>
      <x:c r="C444" s="6" t="str">
        <x:f>英雄升级调参!$D$20</x:f>
        <x:v>生存者</x:v>
      </x:c>
      <x:c r="D444" s="6" t="s">
        <x:v>22</x:v>
      </x:c>
      <x:c r="E444" s="6">
        <x:v>26</x:v>
      </x:c>
      <x:c r="F444" s="6" t="n">
        <x:f>英雄升级调参!$C$91</x:f>
        <x:v>6</x:v>
      </x:c>
      <x:c r="G444" s="12">
        <x:f t="shared" si="38"/>
        <x:v>1824</x:v>
      </x:c>
      <x:c r="H444" s="12">
        <x:f t="shared" si="39"/>
        <x:v>25322</x:v>
      </x:c>
      <x:c r="I444" s="12">
        <x:f t="shared" si="35"/>
        <x:v>46187328</x:v>
      </x:c>
      <x:c r="J444" s="12">
        <x:f>ROUND(英雄升级调参!$D$91*英雄升级调参!$J$10*英雄升级调参!$E$20,0)</x:f>
        <x:v>80</x:v>
      </x:c>
      <x:c r="K444" s="12">
        <x:f>ROUND(英雄升级调参!$D$91*英雄升级调参!$C$11*英雄升级调参!$J$10*英雄升级调参!$G$20,0)</x:f>
        <x:v>1112</x:v>
      </x:c>
      <x:c r="L444" s="12" t="n">
        <x:f>养成消耗调参!$D$173</x:f>
        <x:v>864</x:v>
      </x:c>
      <x:c r="M444" s="12" t="n">
        <x:f>养成消耗调参!$G$173</x:f>
        <x:v>4500</x:v>
      </x:c>
      <x:c r="N444" s="12" t="n">
        <x:f>养成消耗调参!$I$173</x:f>
        <x:v>0</x:v>
      </x:c>
      <x:c r="O444" s="12" t="n">
        <x:f>养成消耗调参!$K$173</x:f>
        <x:v>10440</x:v>
      </x:c>
      <x:c r="P444" s="12" t="n">
        <x:f>养成消耗调参!$N$173</x:f>
        <x:v>58500</x:v>
      </x:c>
      <x:c r="Q444" s="12" t="n">
        <x:f>养成消耗调参!$P$173</x:f>
        <x:v>250</x:v>
      </x:c>
      <x:c r="R444" s="13">
        <x:f>I444/英雄升级调参!$J$91-1</x:f>
        <x:v>-0.006595947864240559</x:v>
      </x:c>
      <x:c r="S444" s="6"/>
      <x:c r="T444" s="6"/>
      <x:c r="U444" s="6"/>
    </x:row>
    <x:row r="445" ht="21" customHeight="1">
      <x:c r="A445" s="14" t="n">
        <x:f>英雄升级调参!$B$20</x:f>
        <x:v>310002</x:v>
      </x:c>
      <x:c r="B445" s="14" t="str">
        <x:f>英雄升级调参!$C$20</x:f>
        <x:v>贝尔熊</x:v>
      </x:c>
      <x:c r="C445" s="6" t="str">
        <x:f>英雄升级调参!$D$20</x:f>
        <x:v>生存者</x:v>
      </x:c>
      <x:c r="D445" s="6" t="s">
        <x:v>22</x:v>
      </x:c>
      <x:c r="E445" s="6">
        <x:v>27</x:v>
      </x:c>
      <x:c r="F445" s="6" t="n">
        <x:f>英雄升级调参!$C$92</x:f>
        <x:v>6</x:v>
      </x:c>
      <x:c r="G445" s="12">
        <x:f t="shared" si="38"/>
        <x:v>1904</x:v>
      </x:c>
      <x:c r="H445" s="12">
        <x:f t="shared" si="39"/>
        <x:v>26434</x:v>
      </x:c>
      <x:c r="I445" s="12">
        <x:f t="shared" si="35"/>
        <x:v>50330336</x:v>
      </x:c>
      <x:c r="J445" s="12">
        <x:f>ROUND(英雄升级调参!$D$92*英雄升级调参!$J$10*英雄升级调参!$E$20,0)</x:f>
        <x:v>80</x:v>
      </x:c>
      <x:c r="K445" s="12">
        <x:f>ROUND(英雄升级调参!$D$92*英雄升级调参!$C$11*英雄升级调参!$J$10*英雄升级调参!$G$20,0)</x:f>
        <x:v>1112</x:v>
      </x:c>
      <x:c r="L445" s="12" t="n">
        <x:f>养成消耗调参!$D$174</x:f>
        <x:v>864</x:v>
      </x:c>
      <x:c r="M445" s="12" t="n">
        <x:f>养成消耗调参!$G$174</x:f>
        <x:v>5850</x:v>
      </x:c>
      <x:c r="N445" s="12" t="n">
        <x:f>养成消耗调参!$I$174</x:f>
        <x:v>0</x:v>
      </x:c>
      <x:c r="O445" s="12" t="n">
        <x:f>养成消耗调参!$K$174</x:f>
        <x:v>11304</x:v>
      </x:c>
      <x:c r="P445" s="12" t="n">
        <x:f>养成消耗调参!$N$174</x:f>
        <x:v>64350</x:v>
      </x:c>
      <x:c r="Q445" s="12" t="n">
        <x:f>养成消耗调参!$P$174</x:f>
        <x:v>250</x:v>
      </x:c>
      <x:c r="R445" s="13">
        <x:f>I445/英雄升级调参!$J$92-1</x:f>
        <x:v>-0.006700513224333626</x:v>
      </x:c>
      <x:c r="S445" s="6"/>
      <x:c r="T445" s="6"/>
      <x:c r="U445" s="6"/>
    </x:row>
    <x:row r="446" ht="21" customHeight="1">
      <x:c r="A446" s="14" t="n">
        <x:f>英雄升级调参!$B$20</x:f>
        <x:v>310002</x:v>
      </x:c>
      <x:c r="B446" s="14" t="str">
        <x:f>英雄升级调参!$C$20</x:f>
        <x:v>贝尔熊</x:v>
      </x:c>
      <x:c r="C446" s="6" t="str">
        <x:f>英雄升级调参!$D$20</x:f>
        <x:v>生存者</x:v>
      </x:c>
      <x:c r="D446" s="6" t="s">
        <x:v>22</x:v>
      </x:c>
      <x:c r="E446" s="6">
        <x:v>28</x:v>
      </x:c>
      <x:c r="F446" s="6" t="n">
        <x:f>英雄升级调参!$C$93</x:f>
        <x:v>6</x:v>
      </x:c>
      <x:c r="G446" s="12">
        <x:f t="shared" si="38"/>
        <x:v>1984</x:v>
      </x:c>
      <x:c r="H446" s="12">
        <x:f t="shared" si="39"/>
        <x:v>27546</x:v>
      </x:c>
      <x:c r="I446" s="12">
        <x:f t="shared" si="35"/>
        <x:v>54651264</x:v>
      </x:c>
      <x:c r="J446" s="12">
        <x:f>ROUND(英雄升级调参!$D$93*英雄升级调参!$J$10*英雄升级调参!$E$20,0)</x:f>
        <x:v>80</x:v>
      </x:c>
      <x:c r="K446" s="12">
        <x:f>ROUND(英雄升级调参!$D$93*英雄升级调参!$C$11*英雄升级调参!$J$10*英雄升级调参!$G$20,0)</x:f>
        <x:v>1112</x:v>
      </x:c>
      <x:c r="L446" s="12" t="n">
        <x:f>养成消耗调参!$D$175</x:f>
        <x:v>936</x:v>
      </x:c>
      <x:c r="M446" s="12" t="n">
        <x:f>养成消耗调参!$G$175</x:f>
        <x:v>5850</x:v>
      </x:c>
      <x:c r="N446" s="12" t="n">
        <x:f>养成消耗调参!$I$175</x:f>
        <x:v>0</x:v>
      </x:c>
      <x:c r="O446" s="12" t="n">
        <x:f>养成消耗调参!$K$175</x:f>
        <x:v>12240</x:v>
      </x:c>
      <x:c r="P446" s="12" t="n">
        <x:f>养成消耗调参!$N$175</x:f>
        <x:v>70200</x:v>
      </x:c>
      <x:c r="Q446" s="12" t="n">
        <x:f>养成消耗调参!$P$175</x:f>
        <x:v>250</x:v>
      </x:c>
      <x:c r="R446" s="13">
        <x:f>I446/英雄升级调参!$J$93-1</x:f>
        <x:v>-0.0067966251857102256</x:v>
      </x:c>
      <x:c r="S446" s="6"/>
      <x:c r="T446" s="6"/>
      <x:c r="U446" s="6"/>
    </x:row>
    <x:row r="447" ht="21" customHeight="1">
      <x:c r="A447" s="14" t="n">
        <x:f>英雄升级调参!$B$20</x:f>
        <x:v>310002</x:v>
      </x:c>
      <x:c r="B447" s="14" t="str">
        <x:f>英雄升级调参!$C$20</x:f>
        <x:v>贝尔熊</x:v>
      </x:c>
      <x:c r="C447" s="6" t="str">
        <x:f>英雄升级调参!$D$20</x:f>
        <x:v>生存者</x:v>
      </x:c>
      <x:c r="D447" s="6" t="s">
        <x:v>22</x:v>
      </x:c>
      <x:c r="E447" s="6">
        <x:v>29</x:v>
      </x:c>
      <x:c r="F447" s="6" t="n">
        <x:f>英雄升级调参!$C$94</x:f>
        <x:v>6</x:v>
      </x:c>
      <x:c r="G447" s="12">
        <x:f t="shared" si="38"/>
        <x:v>2064</x:v>
      </x:c>
      <x:c r="H447" s="12">
        <x:f t="shared" si="39"/>
        <x:v>28658</x:v>
      </x:c>
      <x:c r="I447" s="12">
        <x:f t="shared" si="35"/>
        <x:v>59150112</x:v>
      </x:c>
      <x:c r="J447" s="12">
        <x:f>ROUND(英雄升级调参!$D$94*英雄升级调参!$J$10*英雄升级调参!$E$20,0)</x:f>
        <x:v>80</x:v>
      </x:c>
      <x:c r="K447" s="12">
        <x:f>ROUND(英雄升级调参!$D$94*英雄升级调参!$C$11*英雄升级调参!$J$10*英雄升级调参!$G$20,0)</x:f>
        <x:v>1112</x:v>
      </x:c>
      <x:c r="L447" s="12" t="n">
        <x:f>养成消耗调参!$D$176</x:f>
        <x:v>936</x:v>
      </x:c>
      <x:c r="M447" s="12" t="n">
        <x:f>养成消耗调参!$G$176</x:f>
        <x:v>5850</x:v>
      </x:c>
      <x:c r="N447" s="12" t="n">
        <x:f>养成消耗调参!$I$176</x:f>
        <x:v>0</x:v>
      </x:c>
      <x:c r="O447" s="12" t="n">
        <x:f>养成消耗调参!$K$176</x:f>
        <x:v>13176</x:v>
      </x:c>
      <x:c r="P447" s="12" t="n">
        <x:f>养成消耗调参!$N$176</x:f>
        <x:v>76050</x:v>
      </x:c>
      <x:c r="Q447" s="12" t="n">
        <x:f>养成消耗调参!$P$176</x:f>
        <x:v>250</x:v>
      </x:c>
      <x:c r="R447" s="13">
        <x:f>I447/英雄升级调参!$J$94-1</x:f>
        <x:v>-0.006885269021930762</x:v>
      </x:c>
      <x:c r="S447" s="6"/>
      <x:c r="T447" s="6"/>
      <x:c r="U447" s="6"/>
    </x:row>
    <x:row r="448" ht="21" customHeight="1">
      <x:c r="A448" s="14" t="n">
        <x:f>英雄升级调参!$B$20</x:f>
        <x:v>310002</x:v>
      </x:c>
      <x:c r="B448" s="14" t="str">
        <x:f>英雄升级调参!$C$20</x:f>
        <x:v>贝尔熊</x:v>
      </x:c>
      <x:c r="C448" s="6" t="str">
        <x:f>英雄升级调参!$D$20</x:f>
        <x:v>生存者</x:v>
      </x:c>
      <x:c r="D448" s="6" t="s">
        <x:v>22</x:v>
      </x:c>
      <x:c r="E448" s="6">
        <x:v>30</x:v>
      </x:c>
      <x:c r="F448" s="6" t="n">
        <x:f>英雄升级调参!$C$95</x:f>
        <x:v>6</x:v>
      </x:c>
      <x:c r="G448" s="12">
        <x:f t="shared" si="38"/>
        <x:v>2304</x:v>
      </x:c>
      <x:c r="H448" s="12">
        <x:f t="shared" si="39"/>
        <x:v>31994</x:v>
      </x:c>
      <x:c r="I448" s="12">
        <x:f t="shared" si="35"/>
        <x:v>73714176</x:v>
      </x:c>
      <x:c r="J448" s="12">
        <x:f>ROUND(英雄升级调参!$D$95*英雄升级调参!$J$10*英雄升级调参!$E$20,0)*3</x:f>
        <x:v>240</x:v>
      </x:c>
      <x:c r="K448" s="12">
        <x:f>ROUND(英雄升级调参!$D$95*英雄升级调参!$C$11*英雄升级调参!$J$10*英雄升级调参!$G$20,0)*3</x:f>
        <x:v>3336</x:v>
      </x:c>
      <x:c r="L448" s="12" t="n">
        <x:f>养成消耗调参!$D$177</x:f>
        <x:v>1008</x:v>
      </x:c>
      <x:c r="M448" s="12" t="n">
        <x:f>养成消耗调参!$G$177</x:f>
        <x:v>5850</x:v>
      </x:c>
      <x:c r="N448" s="12" t="n">
        <x:f>养成消耗调参!$I$177</x:f>
        <x:v>110</x:v>
      </x:c>
      <x:c r="O448" s="12" t="n">
        <x:f>养成消耗调参!$K$177</x:f>
        <x:v>14184</x:v>
      </x:c>
      <x:c r="P448" s="12" t="n">
        <x:f>养成消耗调参!$N$177</x:f>
        <x:v>81900</x:v>
      </x:c>
      <x:c r="Q448" s="12" t="n">
        <x:f>养成消耗调参!$P$177</x:f>
        <x:v>360</x:v>
      </x:c>
      <x:c r="R448" s="13">
        <x:f>I448/英雄升级调参!$J$95-1</x:f>
        <x:v>-0.007114187522350823</x:v>
      </x:c>
      <x:c r="S448" s="6"/>
      <x:c r="T448" s="6"/>
      <x:c r="U448" s="6"/>
    </x:row>
    <x:row r="449" ht="21" customHeight="1">
      <x:c r="A449" s="14" t="n">
        <x:f>英雄升级调参!$B$20</x:f>
        <x:v>310002</x:v>
      </x:c>
      <x:c r="B449" s="14" t="str">
        <x:f>英雄升级调参!$C$20</x:f>
        <x:v>贝尔熊</x:v>
      </x:c>
      <x:c r="C449" s="6" t="str">
        <x:f>英雄升级调参!$D$20</x:f>
        <x:v>生存者</x:v>
      </x:c>
      <x:c r="D449" s="6" t="s">
        <x:v>22</x:v>
      </x:c>
      <x:c r="E449" s="6">
        <x:v>31</x:v>
      </x:c>
      <x:c r="F449" s="6" t="n">
        <x:f>英雄升级调参!$C$96</x:f>
        <x:v>7</x:v>
      </x:c>
      <x:c r="G449" s="12">
        <x:f t="shared" si="38"/>
        <x:v>2396</x:v>
      </x:c>
      <x:c r="H449" s="12">
        <x:f t="shared" si="39"/>
        <x:v>33265</x:v>
      </x:c>
      <x:c r="I449" s="12">
        <x:f t="shared" si="35"/>
        <x:v>79702940</x:v>
      </x:c>
      <x:c r="J449" s="12">
        <x:f>ROUND(英雄升级调参!$D$96*英雄升级调参!$J$10*英雄升级调参!$E$20,0)</x:f>
        <x:v>92</x:v>
      </x:c>
      <x:c r="K449" s="12">
        <x:f>ROUND(英雄升级调参!$D$96*英雄升级调参!$C$11*英雄升级调参!$J$10*英雄升级调参!$G$20,0)</x:f>
        <x:v>1271</x:v>
      </x:c>
      <x:c r="L449" s="12" t="n">
        <x:f>养成消耗调参!$D$178</x:f>
        <x:v>1008</x:v>
      </x:c>
      <x:c r="M449" s="12" t="n">
        <x:f>养成消耗调参!$G$178</x:f>
        <x:v>5850</x:v>
      </x:c>
      <x:c r="N449" s="12" t="n">
        <x:f>养成消耗调参!$I$178</x:f>
        <x:v>0</x:v>
      </x:c>
      <x:c r="O449" s="12" t="n">
        <x:f>养成消耗调参!$K$178</x:f>
        <x:v>15192</x:v>
      </x:c>
      <x:c r="P449" s="12" t="n">
        <x:f>养成消耗调参!$N$178</x:f>
        <x:v>87750</x:v>
      </x:c>
      <x:c r="Q449" s="12" t="n">
        <x:f>养成消耗调参!$P$178</x:f>
        <x:v>360</x:v>
      </x:c>
      <x:c r="R449" s="13">
        <x:f>I449/英雄升级调参!$J$96-1</x:f>
        <x:v>-0.006748254863731984</x:v>
      </x:c>
      <x:c r="S449" s="6"/>
      <x:c r="T449" s="6"/>
      <x:c r="U449" s="6"/>
    </x:row>
    <x:row r="450" ht="21" customHeight="1">
      <x:c r="A450" s="14" t="n">
        <x:f>英雄升级调参!$B$20</x:f>
        <x:v>310002</x:v>
      </x:c>
      <x:c r="B450" s="14" t="str">
        <x:f>英雄升级调参!$C$20</x:f>
        <x:v>贝尔熊</x:v>
      </x:c>
      <x:c r="C450" s="6" t="str">
        <x:f>英雄升级调参!$D$20</x:f>
        <x:v>生存者</x:v>
      </x:c>
      <x:c r="D450" s="6" t="s">
        <x:v>22</x:v>
      </x:c>
      <x:c r="E450" s="6">
        <x:v>32</x:v>
      </x:c>
      <x:c r="F450" s="6" t="n">
        <x:f>英雄升级调参!$C$97</x:f>
        <x:v>7</x:v>
      </x:c>
      <x:c r="G450" s="12">
        <x:f t="shared" si="38"/>
        <x:v>2488</x:v>
      </x:c>
      <x:c r="H450" s="12">
        <x:f t="shared" si="39"/>
        <x:v>34536</x:v>
      </x:c>
      <x:c r="I450" s="12">
        <x:f t="shared" si="35"/>
        <x:v>85925568</x:v>
      </x:c>
      <x:c r="J450" s="12">
        <x:f>ROUND(英雄升级调参!$D$97*英雄升级调参!$J$10*英雄升级调参!$E$20,0)</x:f>
        <x:v>92</x:v>
      </x:c>
      <x:c r="K450" s="12">
        <x:f>ROUND(英雄升级调参!$D$97*英雄升级调参!$C$11*英雄升级调参!$J$10*英雄升级调参!$G$20,0)</x:f>
        <x:v>1271</x:v>
      </x:c>
      <x:c r="L450" s="12" t="n">
        <x:f>养成消耗调参!$D$179</x:f>
        <x:v>1080</x:v>
      </x:c>
      <x:c r="M450" s="12" t="n">
        <x:f>养成消耗调参!$G$179</x:f>
        <x:v>7200</x:v>
      </x:c>
      <x:c r="N450" s="12" t="n">
        <x:f>养成消耗调参!$I$179</x:f>
        <x:v>0</x:v>
      </x:c>
      <x:c r="O450" s="12" t="n">
        <x:f>养成消耗调参!$K$179</x:f>
        <x:v>16272</x:v>
      </x:c>
      <x:c r="P450" s="12" t="n">
        <x:f>养成消耗调参!$N$179</x:f>
        <x:v>94950</x:v>
      </x:c>
      <x:c r="Q450" s="12" t="n">
        <x:f>养成消耗调参!$P$179</x:f>
        <x:v>360</x:v>
      </x:c>
      <x:c r="R450" s="13">
        <x:f>I450/英雄升级调参!$J$97-1</x:f>
        <x:v>-0.006409147659055314</x:v>
      </x:c>
      <x:c r="S450" s="6"/>
      <x:c r="T450" s="6"/>
      <x:c r="U450" s="6"/>
    </x:row>
    <x:row r="451" ht="21" customHeight="1">
      <x:c r="A451" s="14" t="n">
        <x:f>英雄升级调参!$B$20</x:f>
        <x:v>310002</x:v>
      </x:c>
      <x:c r="B451" s="14" t="str">
        <x:f>英雄升级调参!$C$20</x:f>
        <x:v>贝尔熊</x:v>
      </x:c>
      <x:c r="C451" s="6" t="str">
        <x:f>英雄升级调参!$D$20</x:f>
        <x:v>生存者</x:v>
      </x:c>
      <x:c r="D451" s="6" t="s">
        <x:v>22</x:v>
      </x:c>
      <x:c r="E451" s="6">
        <x:v>33</x:v>
      </x:c>
      <x:c r="F451" s="6" t="n">
        <x:f>英雄升级调参!$C$98</x:f>
        <x:v>7</x:v>
      </x:c>
      <x:c r="G451" s="12">
        <x:f t="shared" si="38"/>
        <x:v>2580</x:v>
      </x:c>
      <x:c r="H451" s="12">
        <x:f t="shared" si="39"/>
        <x:v>35807</x:v>
      </x:c>
      <x:c r="I451" s="12">
        <x:f t="shared" si="35"/>
        <x:v>92382060</x:v>
      </x:c>
      <x:c r="J451" s="12">
        <x:f>ROUND(英雄升级调参!$D$98*英雄升级调参!$J$10*英雄升级调参!$E$20,0)</x:f>
        <x:v>92</x:v>
      </x:c>
      <x:c r="K451" s="12">
        <x:f>ROUND(英雄升级调参!$D$98*英雄升级调参!$C$11*英雄升级调参!$J$10*英雄升级调参!$G$20,0)</x:f>
        <x:v>1271</x:v>
      </x:c>
      <x:c r="L451" s="12" t="n">
        <x:f>养成消耗调参!$D$180</x:f>
        <x:v>1080</x:v>
      </x:c>
      <x:c r="M451" s="12" t="n">
        <x:f>养成消耗调参!$G$180</x:f>
        <x:v>7200</x:v>
      </x:c>
      <x:c r="N451" s="12" t="n">
        <x:f>养成消耗调参!$I$180</x:f>
        <x:v>0</x:v>
      </x:c>
      <x:c r="O451" s="12" t="n">
        <x:f>养成消耗调参!$K$180</x:f>
        <x:v>17352</x:v>
      </x:c>
      <x:c r="P451" s="12" t="n">
        <x:f>养成消耗调参!$N$180</x:f>
        <x:v>102150</x:v>
      </x:c>
      <x:c r="Q451" s="12" t="n">
        <x:f>养成消耗调参!$P$180</x:f>
        <x:v>360</x:v>
      </x:c>
      <x:c r="R451" s="13">
        <x:f>I451/英雄升级调参!$J$98-1</x:f>
        <x:v>-0.006094020462301231</x:v>
      </x:c>
      <x:c r="S451" s="6"/>
      <x:c r="T451" s="6"/>
      <x:c r="U451" s="6"/>
    </x:row>
    <x:row r="452" ht="21" customHeight="1">
      <x:c r="A452" s="14" t="n">
        <x:f>英雄升级调参!$B$20</x:f>
        <x:v>310002</x:v>
      </x:c>
      <x:c r="B452" s="14" t="str">
        <x:f>英雄升级调参!$C$20</x:f>
        <x:v>贝尔熊</x:v>
      </x:c>
      <x:c r="C452" s="6" t="str">
        <x:f>英雄升级调参!$D$20</x:f>
        <x:v>生存者</x:v>
      </x:c>
      <x:c r="D452" s="6" t="s">
        <x:v>22</x:v>
      </x:c>
      <x:c r="E452" s="6">
        <x:v>34</x:v>
      </x:c>
      <x:c r="F452" s="6" t="n">
        <x:f>英雄升级调参!$C$99</x:f>
        <x:v>7</x:v>
      </x:c>
      <x:c r="G452" s="12">
        <x:f t="shared" ref="G452:G468" si="40">G451+J452</x:f>
        <x:v>2672</x:v>
      </x:c>
      <x:c r="H452" s="12">
        <x:f t="shared" ref="H452:H468" si="41">H451+K452</x:f>
        <x:v>37078</x:v>
      </x:c>
      <x:c r="I452" s="12">
        <x:f t="shared" si="35"/>
        <x:v>99072416</x:v>
      </x:c>
      <x:c r="J452" s="12">
        <x:f>ROUND(英雄升级调参!$D$99*英雄升级调参!$J$10*英雄升级调参!$E$20,0)</x:f>
        <x:v>92</x:v>
      </x:c>
      <x:c r="K452" s="12">
        <x:f>ROUND(英雄升级调参!$D$99*英雄升级调参!$C$11*英雄升级调参!$J$10*英雄升级调参!$G$20,0)</x:f>
        <x:v>1271</x:v>
      </x:c>
      <x:c r="L452" s="12" t="n">
        <x:f>养成消耗调参!$D$181</x:f>
        <x:v>1152</x:v>
      </x:c>
      <x:c r="M452" s="12" t="n">
        <x:f>养成消耗调参!$G$181</x:f>
        <x:v>7200</x:v>
      </x:c>
      <x:c r="N452" s="12" t="n">
        <x:f>养成消耗调参!$I$181</x:f>
        <x:v>0</x:v>
      </x:c>
      <x:c r="O452" s="12" t="n">
        <x:f>养成消耗调参!$K$181</x:f>
        <x:v>18504</x:v>
      </x:c>
      <x:c r="P452" s="12" t="n">
        <x:f>养成消耗调参!$N$181</x:f>
        <x:v>109350</x:v>
      </x:c>
      <x:c r="Q452" s="12" t="n">
        <x:f>养成消耗调参!$P$181</x:f>
        <x:v>360</x:v>
      </x:c>
      <x:c r="R452" s="13">
        <x:f>I452/英雄升级调参!$J$99-1</x:f>
        <x:v>-0.005800416516015039</x:v>
      </x:c>
      <x:c r="S452" s="6"/>
      <x:c r="T452" s="6"/>
      <x:c r="U452" s="6"/>
    </x:row>
    <x:row r="453" ht="21" customHeight="1">
      <x:c r="A453" s="14" t="n">
        <x:f>英雄升级调参!$B$20</x:f>
        <x:v>310002</x:v>
      </x:c>
      <x:c r="B453" s="14" t="str">
        <x:f>英雄升级调参!$C$20</x:f>
        <x:v>贝尔熊</x:v>
      </x:c>
      <x:c r="C453" s="6" t="str">
        <x:f>英雄升级调参!$D$20</x:f>
        <x:v>生存者</x:v>
      </x:c>
      <x:c r="D453" s="6" t="s">
        <x:v>22</x:v>
      </x:c>
      <x:c r="E453" s="6">
        <x:v>35</x:v>
      </x:c>
      <x:c r="F453" s="6" t="n">
        <x:f>英雄升级调参!$C$100</x:f>
        <x:v>7</x:v>
      </x:c>
      <x:c r="G453" s="12">
        <x:f t="shared" si="40"/>
        <x:v>2948</x:v>
      </x:c>
      <x:c r="H453" s="12">
        <x:f t="shared" si="41"/>
        <x:v>40891</x:v>
      </x:c>
      <x:c r="I453" s="12">
        <x:f t="shared" ref="I453:I516" si="42">G453*H453</x:f>
        <x:v>120546668</x:v>
      </x:c>
      <x:c r="J453" s="12">
        <x:f>ROUND(英雄升级调参!$D$100*英雄升级调参!$J$10*英雄升级调参!$E$20,0)*3</x:f>
        <x:v>276</x:v>
      </x:c>
      <x:c r="K453" s="12">
        <x:f>ROUND(英雄升级调参!$D$100*英雄升级调参!$C$11*英雄升级调参!$J$10*英雄升级调参!$G$20,0)*3</x:f>
        <x:v>3813</x:v>
      </x:c>
      <x:c r="L453" s="12" t="n">
        <x:f>养成消耗调参!$D$182</x:f>
        <x:v>1152</x:v>
      </x:c>
      <x:c r="M453" s="12" t="n">
        <x:f>养成消耗调参!$G$182</x:f>
        <x:v>7200</x:v>
      </x:c>
      <x:c r="N453" s="12" t="n">
        <x:f>养成消耗调参!$I$182</x:f>
        <x:v>130</x:v>
      </x:c>
      <x:c r="O453" s="12" t="n">
        <x:f>养成消耗调参!$K$182</x:f>
        <x:v>19656</x:v>
      </x:c>
      <x:c r="P453" s="12" t="n">
        <x:f>养成消耗调参!$N$182</x:f>
        <x:v>116550</x:v>
      </x:c>
      <x:c r="Q453" s="12" t="n">
        <x:f>养成消耗调参!$P$182</x:f>
        <x:v>490</x:v>
      </x:c>
      <x:c r="R453" s="13">
        <x:f>I453/英雄升级调参!$J$100-1</x:f>
        <x:v>-0.00502874271197451</x:v>
      </x:c>
      <x:c r="S453" s="6"/>
      <x:c r="T453" s="6"/>
      <x:c r="U453" s="6"/>
    </x:row>
    <x:row r="454" ht="21" customHeight="1">
      <x:c r="A454" s="14" t="n">
        <x:f>英雄升级调参!$B$20</x:f>
        <x:v>310002</x:v>
      </x:c>
      <x:c r="B454" s="14" t="str">
        <x:f>英雄升级调参!$C$20</x:f>
        <x:v>贝尔熊</x:v>
      </x:c>
      <x:c r="C454" s="6" t="str">
        <x:f>英雄升级调参!$D$20</x:f>
        <x:v>生存者</x:v>
      </x:c>
      <x:c r="D454" s="6" t="s">
        <x:v>22</x:v>
      </x:c>
      <x:c r="E454" s="6">
        <x:v>36</x:v>
      </x:c>
      <x:c r="F454" s="6" t="n">
        <x:f>英雄升级调参!$C$101</x:f>
        <x:v>8</x:v>
      </x:c>
      <x:c r="G454" s="12">
        <x:f t="shared" si="40"/>
        <x:v>3051</x:v>
      </x:c>
      <x:c r="H454" s="12">
        <x:f t="shared" si="41"/>
        <x:v>42320</x:v>
      </x:c>
      <x:c r="I454" s="12">
        <x:f t="shared" si="42"/>
        <x:v>129118320</x:v>
      </x:c>
      <x:c r="J454" s="12">
        <x:f>ROUND(英雄升级调参!$D$101*英雄升级调参!$J$10*英雄升级调参!$E$20,0)</x:f>
        <x:v>103</x:v>
      </x:c>
      <x:c r="K454" s="12">
        <x:f>ROUND(英雄升级调参!$D$101*英雄升级调参!$C$11*英雄升级调参!$J$10*英雄升级调参!$G$20,0)</x:f>
        <x:v>1429</x:v>
      </x:c>
      <x:c r="L454" s="12" t="n">
        <x:f>养成消耗调参!$D$183</x:f>
        <x:v>1224</x:v>
      </x:c>
      <x:c r="M454" s="12" t="n">
        <x:f>养成消耗调参!$G$183</x:f>
        <x:v>7200</x:v>
      </x:c>
      <x:c r="N454" s="12" t="n">
        <x:f>养成消耗调参!$I$183</x:f>
        <x:v>0</x:v>
      </x:c>
      <x:c r="O454" s="12" t="n">
        <x:f>养成消耗调参!$K$183</x:f>
        <x:v>20880</x:v>
      </x:c>
      <x:c r="P454" s="12" t="n">
        <x:f>养成消耗调参!$N$183</x:f>
        <x:v>123750</x:v>
      </x:c>
      <x:c r="Q454" s="12" t="n">
        <x:f>养成消耗调参!$P$183</x:f>
        <x:v>490</x:v>
      </x:c>
      <x:c r="R454" s="13">
        <x:f>I454/英雄升级调参!$J$101-1</x:f>
        <x:v>-0.005096634482911644</x:v>
      </x:c>
      <x:c r="S454" s="6"/>
      <x:c r="T454" s="6"/>
      <x:c r="U454" s="6"/>
    </x:row>
    <x:row r="455" ht="21" customHeight="1">
      <x:c r="A455" s="14" t="n">
        <x:f>英雄升级调参!$B$20</x:f>
        <x:v>310002</x:v>
      </x:c>
      <x:c r="B455" s="14" t="str">
        <x:f>英雄升级调参!$C$20</x:f>
        <x:v>贝尔熊</x:v>
      </x:c>
      <x:c r="C455" s="6" t="str">
        <x:f>英雄升级调参!$D$20</x:f>
        <x:v>生存者</x:v>
      </x:c>
      <x:c r="D455" s="6" t="s">
        <x:v>22</x:v>
      </x:c>
      <x:c r="E455" s="6">
        <x:v>37</x:v>
      </x:c>
      <x:c r="F455" s="6" t="n">
        <x:f>英雄升级调参!$C$102</x:f>
        <x:v>8</x:v>
      </x:c>
      <x:c r="G455" s="12">
        <x:f t="shared" si="40"/>
        <x:v>3154</x:v>
      </x:c>
      <x:c r="H455" s="12">
        <x:f t="shared" si="41"/>
        <x:v>43749</x:v>
      </x:c>
      <x:c r="I455" s="12">
        <x:f t="shared" si="42"/>
        <x:v>137984346</x:v>
      </x:c>
      <x:c r="J455" s="12">
        <x:f>ROUND(英雄升级调参!$D$102*英雄升级调参!$J$10*英雄升级调参!$E$20,0)</x:f>
        <x:v>103</x:v>
      </x:c>
      <x:c r="K455" s="12">
        <x:f>ROUND(英雄升级调参!$D$102*英雄升级调参!$C$11*英雄升级调参!$J$10*英雄升级调参!$G$20,0)</x:f>
        <x:v>1429</x:v>
      </x:c>
      <x:c r="L455" s="12" t="n">
        <x:f>养成消耗调参!$D$184</x:f>
        <x:v>1224</x:v>
      </x:c>
      <x:c r="M455" s="12" t="n">
        <x:f>养成消耗调参!$G$184</x:f>
        <x:v>8550</x:v>
      </x:c>
      <x:c r="N455" s="12" t="n">
        <x:f>养成消耗调参!$I$184</x:f>
        <x:v>0</x:v>
      </x:c>
      <x:c r="O455" s="12" t="n">
        <x:f>养成消耗调参!$K$184</x:f>
        <x:v>22104</x:v>
      </x:c>
      <x:c r="P455" s="12" t="n">
        <x:f>养成消耗调参!$N$184</x:f>
        <x:v>132300</x:v>
      </x:c>
      <x:c r="Q455" s="12" t="n">
        <x:f>养成消耗调参!$P$184</x:f>
        <x:v>490</x:v>
      </x:c>
      <x:c r="R455" s="13">
        <x:f>I455/英雄升级调参!$J$102-1</x:f>
        <x:v>-0.005160084657503727</x:v>
      </x:c>
      <x:c r="S455" s="6"/>
      <x:c r="T455" s="6"/>
      <x:c r="U455" s="6"/>
    </x:row>
    <x:row r="456" ht="21" customHeight="1">
      <x:c r="A456" s="14" t="n">
        <x:f>英雄升级调参!$B$20</x:f>
        <x:v>310002</x:v>
      </x:c>
      <x:c r="B456" s="14" t="str">
        <x:f>英雄升级调参!$C$20</x:f>
        <x:v>贝尔熊</x:v>
      </x:c>
      <x:c r="C456" s="6" t="str">
        <x:f>英雄升级调参!$D$20</x:f>
        <x:v>生存者</x:v>
      </x:c>
      <x:c r="D456" s="6" t="s">
        <x:v>22</x:v>
      </x:c>
      <x:c r="E456" s="6">
        <x:v>38</x:v>
      </x:c>
      <x:c r="F456" s="6" t="n">
        <x:f>英雄升级调参!$C$103</x:f>
        <x:v>8</x:v>
      </x:c>
      <x:c r="G456" s="12">
        <x:f t="shared" si="40"/>
        <x:v>3257</x:v>
      </x:c>
      <x:c r="H456" s="12">
        <x:f t="shared" si="41"/>
        <x:v>45178</x:v>
      </x:c>
      <x:c r="I456" s="12">
        <x:f t="shared" si="42"/>
        <x:v>147144746</x:v>
      </x:c>
      <x:c r="J456" s="12">
        <x:f>ROUND(英雄升级调参!$D$103*英雄升级调参!$J$10*英雄升级调参!$E$20,0)</x:f>
        <x:v>103</x:v>
      </x:c>
      <x:c r="K456" s="12">
        <x:f>ROUND(英雄升级调参!$D$103*英雄升级调参!$C$11*英雄升级调参!$J$10*英雄升级调参!$G$20,0)</x:f>
        <x:v>1429</x:v>
      </x:c>
      <x:c r="L456" s="12" t="n">
        <x:f>养成消耗调参!$D$185</x:f>
        <x:v>1296</x:v>
      </x:c>
      <x:c r="M456" s="12" t="n">
        <x:f>养成消耗调参!$G$185</x:f>
        <x:v>8550</x:v>
      </x:c>
      <x:c r="N456" s="12" t="n">
        <x:f>养成消耗调参!$I$185</x:f>
        <x:v>0</x:v>
      </x:c>
      <x:c r="O456" s="12" t="n">
        <x:f>养成消耗调参!$K$185</x:f>
        <x:v>23400</x:v>
      </x:c>
      <x:c r="P456" s="12" t="n">
        <x:f>养成消耗调参!$N$185</x:f>
        <x:v>140850</x:v>
      </x:c>
      <x:c r="Q456" s="12" t="n">
        <x:f>养成消耗调参!$P$185</x:f>
        <x:v>490</x:v>
      </x:c>
      <x:c r="R456" s="13">
        <x:f>I456/英雄升级调参!$J$103-1</x:f>
        <x:v>-0.005219515295084798</x:v>
      </x:c>
      <x:c r="S456" s="6"/>
      <x:c r="T456" s="6"/>
      <x:c r="U456" s="6"/>
    </x:row>
    <x:row r="457" ht="21" customHeight="1">
      <x:c r="A457" s="14" t="n">
        <x:f>英雄升级调参!$B$20</x:f>
        <x:v>310002</x:v>
      </x:c>
      <x:c r="B457" s="14" t="str">
        <x:f>英雄升级调参!$C$20</x:f>
        <x:v>贝尔熊</x:v>
      </x:c>
      <x:c r="C457" s="6" t="str">
        <x:f>英雄升级调参!$D$20</x:f>
        <x:v>生存者</x:v>
      </x:c>
      <x:c r="D457" s="6" t="s">
        <x:v>22</x:v>
      </x:c>
      <x:c r="E457" s="6">
        <x:v>39</x:v>
      </x:c>
      <x:c r="F457" s="6" t="n">
        <x:f>英雄升级调参!$C$104</x:f>
        <x:v>8</x:v>
      </x:c>
      <x:c r="G457" s="12">
        <x:f t="shared" si="40"/>
        <x:v>3360</x:v>
      </x:c>
      <x:c r="H457" s="12">
        <x:f t="shared" si="41"/>
        <x:v>46607</x:v>
      </x:c>
      <x:c r="I457" s="12">
        <x:f t="shared" si="42"/>
        <x:v>156599520</x:v>
      </x:c>
      <x:c r="J457" s="12">
        <x:f>ROUND(英雄升级调参!$D$104*英雄升级调参!$J$10*英雄升级调参!$E$20,0)</x:f>
        <x:v>103</x:v>
      </x:c>
      <x:c r="K457" s="12">
        <x:f>ROUND(英雄升级调参!$D$104*英雄升级调参!$C$11*英雄升级调参!$J$10*英雄升级调参!$G$20,0)</x:f>
        <x:v>1429</x:v>
      </x:c>
      <x:c r="L457" s="12" t="n">
        <x:f>养成消耗调参!$D$186</x:f>
        <x:v>1296</x:v>
      </x:c>
      <x:c r="M457" s="12" t="n">
        <x:f>养成消耗调参!$G$186</x:f>
        <x:v>8550</x:v>
      </x:c>
      <x:c r="N457" s="12" t="n">
        <x:f>养成消耗调参!$I$186</x:f>
        <x:v>0</x:v>
      </x:c>
      <x:c r="O457" s="12" t="n">
        <x:f>养成消耗调参!$K$186</x:f>
        <x:v>24696</x:v>
      </x:c>
      <x:c r="P457" s="12" t="n">
        <x:f>养成消耗调参!$N$186</x:f>
        <x:v>149400</x:v>
      </x:c>
      <x:c r="Q457" s="12" t="n">
        <x:f>养成消耗调参!$P$186</x:f>
        <x:v>490</x:v>
      </x:c>
      <x:c r="R457" s="13">
        <x:f>I457/英雄升级调参!$J$104-1</x:f>
        <x:v>-0.005275296622289538</x:v>
      </x:c>
      <x:c r="S457" s="6"/>
      <x:c r="T457" s="6"/>
      <x:c r="U457" s="6"/>
    </x:row>
    <x:row r="458" ht="21" customHeight="1">
      <x:c r="A458" s="14" t="n">
        <x:f>英雄升级调参!$B$20</x:f>
        <x:v>310002</x:v>
      </x:c>
      <x:c r="B458" s="14" t="str">
        <x:f>英雄升级调参!$C$20</x:f>
        <x:v>贝尔熊</x:v>
      </x:c>
      <x:c r="C458" s="6" t="str">
        <x:f>英雄升级调参!$D$20</x:f>
        <x:v>生存者</x:v>
      </x:c>
      <x:c r="D458" s="6" t="s">
        <x:v>22</x:v>
      </x:c>
      <x:c r="E458" s="6">
        <x:v>40</x:v>
      </x:c>
      <x:c r="F458" s="6" t="n">
        <x:f>英雄升级调参!$C$105</x:f>
        <x:v>8</x:v>
      </x:c>
      <x:c r="G458" s="12">
        <x:f t="shared" si="40"/>
        <x:v>3669</x:v>
      </x:c>
      <x:c r="H458" s="12">
        <x:f t="shared" si="41"/>
        <x:v>50894</x:v>
      </x:c>
      <x:c r="I458" s="12">
        <x:f t="shared" si="42"/>
        <x:v>186730086</x:v>
      </x:c>
      <x:c r="J458" s="12">
        <x:f>ROUND(英雄升级调参!$D$105*英雄升级调参!$J$10*英雄升级调参!$E$20,0)*3</x:f>
        <x:v>309</x:v>
      </x:c>
      <x:c r="K458" s="12">
        <x:f>ROUND(英雄升级调参!$D$105*英雄升级调参!$C$11*英雄升级调参!$J$10*英雄升级调参!$G$20,0)*3</x:f>
        <x:v>4287</x:v>
      </x:c>
      <x:c r="L458" s="12" t="n">
        <x:f>养成消耗调参!$D$187</x:f>
        <x:v>1368</x:v>
      </x:c>
      <x:c r="M458" s="12" t="n">
        <x:f>养成消耗调参!$G$187</x:f>
        <x:v>8550</x:v>
      </x:c>
      <x:c r="N458" s="12" t="n">
        <x:f>养成消耗调参!$I$187</x:f>
        <x:v>150</x:v>
      </x:c>
      <x:c r="O458" s="12" t="n">
        <x:f>养成消耗调参!$K$187</x:f>
        <x:v>26064</x:v>
      </x:c>
      <x:c r="P458" s="12" t="n">
        <x:f>养成消耗调参!$N$187</x:f>
        <x:v>157950</x:v>
      </x:c>
      <x:c r="Q458" s="12" t="n">
        <x:f>养成消耗调参!$P$187</x:f>
        <x:v>640</x:v>
      </x:c>
      <x:c r="R458" s="13">
        <x:f>I458/英雄升级调参!$J$105-1</x:f>
        <x:v>-0.00542382251992557</x:v>
      </x:c>
      <x:c r="S458" s="6"/>
      <x:c r="T458" s="6"/>
      <x:c r="U458" s="6"/>
    </x:row>
    <x:row r="459" ht="21" customHeight="1">
      <x:c r="A459" s="14" t="n">
        <x:f>英雄升级调参!$B$20</x:f>
        <x:v>310002</x:v>
      </x:c>
      <x:c r="B459" s="14" t="str">
        <x:f>英雄升级调参!$C$20</x:f>
        <x:v>贝尔熊</x:v>
      </x:c>
      <x:c r="C459" s="6" t="str">
        <x:f>英雄升级调参!$D$20</x:f>
        <x:v>生存者</x:v>
      </x:c>
      <x:c r="D459" s="6" t="s">
        <x:v>22</x:v>
      </x:c>
      <x:c r="E459" s="6">
        <x:v>41</x:v>
      </x:c>
      <x:c r="F459" s="6" t="n">
        <x:f>英雄升级调参!$C$106</x:f>
        <x:v>9</x:v>
      </x:c>
      <x:c r="G459" s="12">
        <x:f t="shared" si="40"/>
        <x:v>3784</x:v>
      </x:c>
      <x:c r="H459" s="12">
        <x:f t="shared" si="41"/>
        <x:v>52482</x:v>
      </x:c>
      <x:c r="I459" s="12">
        <x:f t="shared" si="42"/>
        <x:v>198591888</x:v>
      </x:c>
      <x:c r="J459" s="12">
        <x:f>ROUND(英雄升级调参!$D$106*英雄升级调参!$J$10*英雄升级调参!$E$20,0)</x:f>
        <x:v>115</x:v>
      </x:c>
      <x:c r="K459" s="12">
        <x:f>ROUND(英雄升级调参!$D$106*英雄升级调参!$C$11*英雄升级调参!$J$10*英雄升级调参!$G$20,0)</x:f>
        <x:v>1588</x:v>
      </x:c>
      <x:c r="L459" s="12" t="n">
        <x:f>养成消耗调参!$D$188</x:f>
        <x:v>1368</x:v>
      </x:c>
      <x:c r="M459" s="12" t="n">
        <x:f>养成消耗调参!$G$188</x:f>
        <x:v>8550</x:v>
      </x:c>
      <x:c r="N459" s="12" t="n">
        <x:f>养成消耗调参!$I$188</x:f>
        <x:v>0</x:v>
      </x:c>
      <x:c r="O459" s="12" t="n">
        <x:f>养成消耗调参!$K$188</x:f>
        <x:v>27432</x:v>
      </x:c>
      <x:c r="P459" s="12" t="n">
        <x:f>养成消耗调参!$N$188</x:f>
        <x:v>166500</x:v>
      </x:c>
      <x:c r="Q459" s="12" t="n">
        <x:f>养成消耗调参!$P$188</x:f>
        <x:v>640</x:v>
      </x:c>
      <x:c r="R459" s="13">
        <x:f>I459/英雄升级调参!$J$106-1</x:f>
        <x:v>-0.005198934527544163</x:v>
      </x:c>
      <x:c r="S459" s="6"/>
      <x:c r="T459" s="6"/>
      <x:c r="U459" s="6"/>
    </x:row>
    <x:row r="460" ht="21" customHeight="1">
      <x:c r="A460" s="14" t="n">
        <x:f>英雄升级调参!$B$20</x:f>
        <x:v>310002</x:v>
      </x:c>
      <x:c r="B460" s="14" t="str">
        <x:f>英雄升级调参!$C$20</x:f>
        <x:v>贝尔熊</x:v>
      </x:c>
      <x:c r="C460" s="6" t="str">
        <x:f>英雄升级调参!$D$20</x:f>
        <x:v>生存者</x:v>
      </x:c>
      <x:c r="D460" s="6" t="s">
        <x:v>22</x:v>
      </x:c>
      <x:c r="E460" s="6">
        <x:v>42</x:v>
      </x:c>
      <x:c r="F460" s="6" t="n">
        <x:f>英雄升级调参!$C$107</x:f>
        <x:v>9</x:v>
      </x:c>
      <x:c r="G460" s="12">
        <x:f t="shared" si="40"/>
        <x:v>3899</x:v>
      </x:c>
      <x:c r="H460" s="12">
        <x:f t="shared" si="41"/>
        <x:v>54070</x:v>
      </x:c>
      <x:c r="I460" s="12">
        <x:f t="shared" si="42"/>
        <x:v>210818930</x:v>
      </x:c>
      <x:c r="J460" s="12">
        <x:f>ROUND(英雄升级调参!$D$107*英雄升级调参!$J$10*英雄升级调参!$E$20,0)</x:f>
        <x:v>115</x:v>
      </x:c>
      <x:c r="K460" s="12">
        <x:f>ROUND(英雄升级调参!$D$107*英雄升级调参!$C$11*英雄升级调参!$J$10*英雄升级调参!$G$20,0)</x:f>
        <x:v>1588</x:v>
      </x:c>
      <x:c r="L460" s="12" t="n">
        <x:f>养成消耗调参!$D$189</x:f>
        <x:v>1440</x:v>
      </x:c>
      <x:c r="M460" s="12" t="n">
        <x:f>养成消耗调参!$G$189</x:f>
        <x:v>9900</x:v>
      </x:c>
      <x:c r="N460" s="12" t="n">
        <x:f>养成消耗调参!$I$189</x:f>
        <x:v>0</x:v>
      </x:c>
      <x:c r="O460" s="12" t="n">
        <x:f>养成消耗调参!$K$189</x:f>
        <x:v>28872</x:v>
      </x:c>
      <x:c r="P460" s="12" t="n">
        <x:f>养成消耗调参!$N$189</x:f>
        <x:v>176400</x:v>
      </x:c>
      <x:c r="Q460" s="12" t="n">
        <x:f>养成消耗调参!$P$189</x:f>
        <x:v>640</x:v>
      </x:c>
      <x:c r="R460" s="13">
        <x:f>I460/英雄升级调参!$J$107-1</x:f>
        <x:v>-0.004987218915250224</x:v>
      </x:c>
      <x:c r="S460" s="6"/>
      <x:c r="T460" s="6"/>
      <x:c r="U460" s="6"/>
    </x:row>
    <x:row r="461" ht="21" customHeight="1">
      <x:c r="A461" s="14" t="n">
        <x:f>英雄升级调参!$B$20</x:f>
        <x:v>310002</x:v>
      </x:c>
      <x:c r="B461" s="14" t="str">
        <x:f>英雄升级调参!$C$20</x:f>
        <x:v>贝尔熊</x:v>
      </x:c>
      <x:c r="C461" s="6" t="str">
        <x:f>英雄升级调参!$D$20</x:f>
        <x:v>生存者</x:v>
      </x:c>
      <x:c r="D461" s="6" t="s">
        <x:v>22</x:v>
      </x:c>
      <x:c r="E461" s="6">
        <x:v>43</x:v>
      </x:c>
      <x:c r="F461" s="6" t="n">
        <x:f>英雄升级调参!$C$108</x:f>
        <x:v>9</x:v>
      </x:c>
      <x:c r="G461" s="12">
        <x:f t="shared" si="40"/>
        <x:v>4014</x:v>
      </x:c>
      <x:c r="H461" s="12">
        <x:f t="shared" si="41"/>
        <x:v>55658</x:v>
      </x:c>
      <x:c r="I461" s="12">
        <x:f t="shared" si="42"/>
        <x:v>223411212</x:v>
      </x:c>
      <x:c r="J461" s="12">
        <x:f>ROUND(英雄升级调参!$D$108*英雄升级调参!$J$10*英雄升级调参!$E$20,0)</x:f>
        <x:v>115</x:v>
      </x:c>
      <x:c r="K461" s="12">
        <x:f>ROUND(英雄升级调参!$D$108*英雄升级调参!$C$11*英雄升级调参!$J$10*英雄升级调参!$G$20,0)</x:f>
        <x:v>1588</x:v>
      </x:c>
      <x:c r="L461" s="12" t="n">
        <x:f>养成消耗调参!$D$190</x:f>
        <x:v>1440</x:v>
      </x:c>
      <x:c r="M461" s="12" t="n">
        <x:f>养成消耗调参!$G$190</x:f>
        <x:v>9900</x:v>
      </x:c>
      <x:c r="N461" s="12" t="n">
        <x:f>养成消耗调参!$I$190</x:f>
        <x:v>0</x:v>
      </x:c>
      <x:c r="O461" s="12" t="n">
        <x:f>养成消耗调参!$K$190</x:f>
        <x:v>30312</x:v>
      </x:c>
      <x:c r="P461" s="12" t="n">
        <x:f>养成消耗调参!$N$190</x:f>
        <x:v>186300</x:v>
      </x:c>
      <x:c r="Q461" s="12" t="n">
        <x:f>养成消耗调参!$P$190</x:f>
        <x:v>640</x:v>
      </x:c>
      <x:c r="R461" s="13">
        <x:f>I461/英雄升级调参!$J$108-1</x:f>
        <x:v>-0.0047875512921855545</x:v>
      </x:c>
      <x:c r="S461" s="6"/>
      <x:c r="T461" s="6"/>
      <x:c r="U461" s="6"/>
    </x:row>
    <x:row r="462" ht="21" customHeight="1">
      <x:c r="A462" s="14" t="n">
        <x:f>英雄升级调参!$B$20</x:f>
        <x:v>310002</x:v>
      </x:c>
      <x:c r="B462" s="14" t="str">
        <x:f>英雄升级调参!$C$20</x:f>
        <x:v>贝尔熊</x:v>
      </x:c>
      <x:c r="C462" s="6" t="str">
        <x:f>英雄升级调参!$D$20</x:f>
        <x:v>生存者</x:v>
      </x:c>
      <x:c r="D462" s="6" t="s">
        <x:v>22</x:v>
      </x:c>
      <x:c r="E462" s="6">
        <x:v>44</x:v>
      </x:c>
      <x:c r="F462" s="6" t="n">
        <x:f>英雄升级调参!$C$109</x:f>
        <x:v>9</x:v>
      </x:c>
      <x:c r="G462" s="12">
        <x:f t="shared" si="40"/>
        <x:v>4129</x:v>
      </x:c>
      <x:c r="H462" s="12">
        <x:f t="shared" si="41"/>
        <x:v>57246</x:v>
      </x:c>
      <x:c r="I462" s="12">
        <x:f t="shared" si="42"/>
        <x:v>236368734</x:v>
      </x:c>
      <x:c r="J462" s="12">
        <x:f>ROUND(英雄升级调参!$D$109*英雄升级调参!$J$10*英雄升级调参!$E$20,0)</x:f>
        <x:v>115</x:v>
      </x:c>
      <x:c r="K462" s="12">
        <x:f>ROUND(英雄升级调参!$D$109*英雄升级调参!$C$11*英雄升级调参!$J$10*英雄升级调参!$G$20,0)</x:f>
        <x:v>1588</x:v>
      </x:c>
      <x:c r="L462" s="12" t="n">
        <x:f>养成消耗调参!$D$191</x:f>
        <x:v>1512</x:v>
      </x:c>
      <x:c r="M462" s="12" t="n">
        <x:f>养成消耗调参!$G$191</x:f>
        <x:v>9900</x:v>
      </x:c>
      <x:c r="N462" s="12" t="n">
        <x:f>养成消耗调参!$I$191</x:f>
        <x:v>0</x:v>
      </x:c>
      <x:c r="O462" s="12" t="n">
        <x:f>养成消耗调参!$K$191</x:f>
        <x:v>31824</x:v>
      </x:c>
      <x:c r="P462" s="12" t="n">
        <x:f>养成消耗调参!$N$191</x:f>
        <x:v>196200</x:v>
      </x:c>
      <x:c r="Q462" s="12" t="n">
        <x:f>养成消耗调参!$P$191</x:f>
        <x:v>640</x:v>
      </x:c>
      <x:c r="R462" s="13">
        <x:f>I462/英雄升级调参!$J$109-1</x:f>
        <x:v>-0.004598931697358033</x:v>
      </x:c>
      <x:c r="S462" s="6"/>
      <x:c r="T462" s="6"/>
      <x:c r="U462" s="6"/>
    </x:row>
    <x:row r="463" ht="21" customHeight="1">
      <x:c r="A463" s="14" t="n">
        <x:f>英雄升级调参!$B$20</x:f>
        <x:v>310002</x:v>
      </x:c>
      <x:c r="B463" s="14" t="str">
        <x:f>英雄升级调参!$C$20</x:f>
        <x:v>贝尔熊</x:v>
      </x:c>
      <x:c r="C463" s="6" t="str">
        <x:f>英雄升级调参!$D$20</x:f>
        <x:v>生存者</x:v>
      </x:c>
      <x:c r="D463" s="6" t="s">
        <x:v>22</x:v>
      </x:c>
      <x:c r="E463" s="6">
        <x:v>45</x:v>
      </x:c>
      <x:c r="F463" s="6" t="n">
        <x:f>英雄升级调参!$C$110</x:f>
        <x:v>9</x:v>
      </x:c>
      <x:c r="G463" s="12">
        <x:f t="shared" si="40"/>
        <x:v>4474</x:v>
      </x:c>
      <x:c r="H463" s="12">
        <x:f t="shared" si="41"/>
        <x:v>62010</x:v>
      </x:c>
      <x:c r="I463" s="12">
        <x:f t="shared" si="42"/>
        <x:v>277432740</x:v>
      </x:c>
      <x:c r="J463" s="12">
        <x:f>ROUND(英雄升级调参!$D$110*英雄升级调参!$J$10*英雄升级调参!$E$20,0)*3</x:f>
        <x:v>345</x:v>
      </x:c>
      <x:c r="K463" s="12">
        <x:f>ROUND(英雄升级调参!$D$110*英雄升级调参!$C$11*英雄升级调参!$J$10*英雄升级调参!$G$20,0)*3</x:f>
        <x:v>4764</x:v>
      </x:c>
      <x:c r="L463" s="12" t="n">
        <x:f>养成消耗调参!$D$192</x:f>
        <x:v>1512</x:v>
      </x:c>
      <x:c r="M463" s="12" t="n">
        <x:f>养成消耗调参!$G$192</x:f>
        <x:v>9900</x:v>
      </x:c>
      <x:c r="N463" s="12" t="n">
        <x:f>养成消耗调参!$I$192</x:f>
        <x:v>170</x:v>
      </x:c>
      <x:c r="O463" s="12" t="n">
        <x:f>养成消耗调参!$K$192</x:f>
        <x:v>33336</x:v>
      </x:c>
      <x:c r="P463" s="12" t="n">
        <x:f>养成消耗调参!$N$192</x:f>
        <x:v>206100</x:v>
      </x:c>
      <x:c r="Q463" s="12" t="n">
        <x:f>养成消耗调参!$P$192</x:f>
        <x:v>810</x:v>
      </x:c>
      <x:c r="R463" s="13">
        <x:f>I463/英雄升级调参!$J$110-1</x:f>
        <x:v>-0.004090894160888592</x:v>
      </x:c>
      <x:c r="S463" s="6"/>
      <x:c r="T463" s="6"/>
      <x:c r="U463" s="6"/>
    </x:row>
    <x:row r="464" ht="21" customHeight="1">
      <x:c r="A464" s="14" t="n">
        <x:f>英雄升级调参!$B$20</x:f>
        <x:v>310002</x:v>
      </x:c>
      <x:c r="B464" s="14" t="str">
        <x:f>英雄升级调参!$C$20</x:f>
        <x:v>贝尔熊</x:v>
      </x:c>
      <x:c r="C464" s="6" t="str">
        <x:f>英雄升级调参!$D$20</x:f>
        <x:v>生存者</x:v>
      </x:c>
      <x:c r="D464" s="6" t="s">
        <x:v>22</x:v>
      </x:c>
      <x:c r="E464" s="6">
        <x:v>46</x:v>
      </x:c>
      <x:c r="F464" s="6" t="n">
        <x:f>英雄升级调参!$C$111</x:f>
        <x:v>10</x:v>
      </x:c>
      <x:c r="G464" s="12">
        <x:f t="shared" si="40"/>
        <x:v>4600</x:v>
      </x:c>
      <x:c r="H464" s="12">
        <x:f t="shared" si="41"/>
        <x:v>63757</x:v>
      </x:c>
      <x:c r="I464" s="12">
        <x:f t="shared" si="42"/>
        <x:v>293282200</x:v>
      </x:c>
      <x:c r="J464" s="12">
        <x:f>ROUND(英雄升级调参!$D$111*英雄升级调参!$J$10*英雄升级调参!$E$20,0)</x:f>
        <x:v>126</x:v>
      </x:c>
      <x:c r="K464" s="12">
        <x:f>ROUND(英雄升级调参!$D$111*英雄升级调参!$C$11*英雄升级调参!$J$10*英雄升级调参!$G$20,0)</x:f>
        <x:v>1747</x:v>
      </x:c>
      <x:c r="L464" s="12" t="n">
        <x:f>养成消耗调参!$D$193</x:f>
        <x:v>1584</x:v>
      </x:c>
      <x:c r="M464" s="12" t="n">
        <x:f>养成消耗调参!$G$193</x:f>
        <x:v>9900</x:v>
      </x:c>
      <x:c r="N464" s="12" t="n">
        <x:f>养成消耗调参!$I$193</x:f>
        <x:v>0</x:v>
      </x:c>
      <x:c r="O464" s="12" t="n">
        <x:f>养成消耗调参!$K$193</x:f>
        <x:v>34920</x:v>
      </x:c>
      <x:c r="P464" s="12" t="n">
        <x:f>养成消耗调参!$N$193</x:f>
        <x:v>216000</x:v>
      </x:c>
      <x:c r="Q464" s="12" t="n">
        <x:f>养成消耗调参!$P$193</x:f>
        <x:v>810</x:v>
      </x:c>
      <x:c r="R464" s="13">
        <x:f>I464/英雄升级调参!$J$111-1</x:f>
        <x:v>-0.004120366743642356</x:v>
      </x:c>
      <x:c r="S464" s="6"/>
      <x:c r="T464" s="6"/>
      <x:c r="U464" s="6"/>
    </x:row>
    <x:row r="465" ht="21" customHeight="1">
      <x:c r="A465" s="14" t="n">
        <x:f>英雄升级调参!$B$20</x:f>
        <x:v>310002</x:v>
      </x:c>
      <x:c r="B465" s="14" t="str">
        <x:f>英雄升级调参!$C$20</x:f>
        <x:v>贝尔熊</x:v>
      </x:c>
      <x:c r="C465" s="6" t="str">
        <x:f>英雄升级调参!$D$20</x:f>
        <x:v>生存者</x:v>
      </x:c>
      <x:c r="D465" s="6" t="s">
        <x:v>22</x:v>
      </x:c>
      <x:c r="E465" s="6">
        <x:v>47</x:v>
      </x:c>
      <x:c r="F465" s="6" t="n">
        <x:f>英雄升级调参!$C$112</x:f>
        <x:v>10</x:v>
      </x:c>
      <x:c r="G465" s="12">
        <x:f t="shared" si="40"/>
        <x:v>4726</x:v>
      </x:c>
      <x:c r="H465" s="12">
        <x:f t="shared" si="41"/>
        <x:v>65504</x:v>
      </x:c>
      <x:c r="I465" s="12">
        <x:f t="shared" si="42"/>
        <x:v>309571904</x:v>
      </x:c>
      <x:c r="J465" s="12">
        <x:f>ROUND(英雄升级调参!$D$112*英雄升级调参!$J$10*英雄升级调参!$E$20,0)</x:f>
        <x:v>126</x:v>
      </x:c>
      <x:c r="K465" s="12">
        <x:f>ROUND(英雄升级调参!$D$112*英雄升级调参!$C$11*英雄升级调参!$J$10*英雄升级调参!$G$20,0)</x:f>
        <x:v>1747</x:v>
      </x:c>
      <x:c r="L465" s="12" t="n">
        <x:f>养成消耗调参!$D$194</x:f>
        <x:v>1584</x:v>
      </x:c>
      <x:c r="M465" s="12" t="n">
        <x:f>养成消耗调参!$G$194</x:f>
        <x:v>11250</x:v>
      </x:c>
      <x:c r="N465" s="12" t="n">
        <x:f>养成消耗调参!$I$194</x:f>
        <x:v>0</x:v>
      </x:c>
      <x:c r="O465" s="12" t="n">
        <x:f>养成消耗调参!$K$194</x:f>
        <x:v>36504</x:v>
      </x:c>
      <x:c r="P465" s="12" t="n">
        <x:f>养成消耗调参!$N$194</x:f>
        <x:v>227250</x:v>
      </x:c>
      <x:c r="Q465" s="12" t="n">
        <x:f>养成消耗调参!$P$194</x:f>
        <x:v>810</x:v>
      </x:c>
      <x:c r="R465" s="13">
        <x:f>I465/英雄升级调参!$J$112-1</x:f>
        <x:v>-0.0041482661857321634</x:v>
      </x:c>
      <x:c r="S465" s="6"/>
      <x:c r="T465" s="6"/>
      <x:c r="U465" s="6"/>
    </x:row>
    <x:row r="466" ht="21" customHeight="1">
      <x:c r="A466" s="14" t="n">
        <x:f>英雄升级调参!$B$20</x:f>
        <x:v>310002</x:v>
      </x:c>
      <x:c r="B466" s="14" t="str">
        <x:f>英雄升级调参!$C$20</x:f>
        <x:v>贝尔熊</x:v>
      </x:c>
      <x:c r="C466" s="6" t="str">
        <x:f>英雄升级调参!$D$20</x:f>
        <x:v>生存者</x:v>
      </x:c>
      <x:c r="D466" s="6" t="s">
        <x:v>22</x:v>
      </x:c>
      <x:c r="E466" s="6">
        <x:v>48</x:v>
      </x:c>
      <x:c r="F466" s="6" t="n">
        <x:f>英雄升级调参!$C$113</x:f>
        <x:v>10</x:v>
      </x:c>
      <x:c r="G466" s="12">
        <x:f t="shared" si="40"/>
        <x:v>4852</x:v>
      </x:c>
      <x:c r="H466" s="12">
        <x:f t="shared" si="41"/>
        <x:v>67251</x:v>
      </x:c>
      <x:c r="I466" s="12">
        <x:f t="shared" si="42"/>
        <x:v>326301852</x:v>
      </x:c>
      <x:c r="J466" s="12">
        <x:f>ROUND(英雄升级调参!$D$113*英雄升级调参!$J$10*英雄升级调参!$E$20,0)</x:f>
        <x:v>126</x:v>
      </x:c>
      <x:c r="K466" s="12">
        <x:f>ROUND(英雄升级调参!$D$113*英雄升级调参!$C$11*英雄升级调参!$J$10*英雄升级调参!$G$20,0)</x:f>
        <x:v>1747</x:v>
      </x:c>
      <x:c r="L466" s="12" t="n">
        <x:f>养成消耗调参!$D$195</x:f>
        <x:v>1656</x:v>
      </x:c>
      <x:c r="M466" s="12" t="n">
        <x:f>养成消耗调参!$G$195</x:f>
        <x:v>11250</x:v>
      </x:c>
      <x:c r="N466" s="12" t="n">
        <x:f>养成消耗调参!$I$195</x:f>
        <x:v>0</x:v>
      </x:c>
      <x:c r="O466" s="12" t="n">
        <x:f>养成消耗调参!$K$195</x:f>
        <x:v>38160</x:v>
      </x:c>
      <x:c r="P466" s="12" t="n">
        <x:f>养成消耗调参!$N$195</x:f>
        <x:v>238500</x:v>
      </x:c>
      <x:c r="Q466" s="12" t="n">
        <x:f>养成消耗调参!$P$195</x:f>
        <x:v>810</x:v>
      </x:c>
      <x:c r="R466" s="13">
        <x:f>I466/英雄升级调参!$J$113-1</x:f>
        <x:v>-0.004174715165982001</x:v>
      </x:c>
      <x:c r="S466" s="6"/>
      <x:c r="T466" s="6"/>
      <x:c r="U466" s="6"/>
    </x:row>
    <x:row r="467" ht="21" customHeight="1">
      <x:c r="A467" s="14" t="n">
        <x:f>英雄升级调参!$B$20</x:f>
        <x:v>310002</x:v>
      </x:c>
      <x:c r="B467" s="14" t="str">
        <x:f>英雄升级调参!$C$20</x:f>
        <x:v>贝尔熊</x:v>
      </x:c>
      <x:c r="C467" s="6" t="str">
        <x:f>英雄升级调参!$D$20</x:f>
        <x:v>生存者</x:v>
      </x:c>
      <x:c r="D467" s="6" t="s">
        <x:v>22</x:v>
      </x:c>
      <x:c r="E467" s="6">
        <x:v>49</x:v>
      </x:c>
      <x:c r="F467" s="6" t="n">
        <x:f>英雄升级调参!$C$114</x:f>
        <x:v>10</x:v>
      </x:c>
      <x:c r="G467" s="12">
        <x:f t="shared" si="40"/>
        <x:v>4978</x:v>
      </x:c>
      <x:c r="H467" s="12">
        <x:f t="shared" si="41"/>
        <x:v>68998</x:v>
      </x:c>
      <x:c r="I467" s="12">
        <x:f t="shared" si="42"/>
        <x:v>343472044</x:v>
      </x:c>
      <x:c r="J467" s="12">
        <x:f>ROUND(英雄升级调参!$D$114*英雄升级调参!$J$10*英雄升级调参!$E$20,0)</x:f>
        <x:v>126</x:v>
      </x:c>
      <x:c r="K467" s="12">
        <x:f>ROUND(英雄升级调参!$D$114*英雄升级调参!$C$11*英雄升级调参!$J$10*英雄升级调参!$G$20,0)</x:f>
        <x:v>1747</x:v>
      </x:c>
      <x:c r="L467" s="12" t="n">
        <x:f>养成消耗调参!$D$196</x:f>
        <x:v>1656</x:v>
      </x:c>
      <x:c r="M467" s="12" t="n">
        <x:f>养成消耗调参!$G$196</x:f>
        <x:v>11250</x:v>
      </x:c>
      <x:c r="N467" s="12" t="n">
        <x:f>养成消耗调参!$I$196</x:f>
        <x:v>0</x:v>
      </x:c>
      <x:c r="O467" s="12" t="n">
        <x:f>养成消耗调参!$K$196</x:f>
        <x:v>39816</x:v>
      </x:c>
      <x:c r="P467" s="12" t="n">
        <x:f>养成消耗调参!$N$196</x:f>
        <x:v>249750</x:v>
      </x:c>
      <x:c r="Q467" s="12" t="n">
        <x:f>养成消耗调参!$P$196</x:f>
        <x:v>810</x:v>
      </x:c>
      <x:c r="R467" s="13">
        <x:f>I467/英雄升级调参!$J$114-1</x:f>
        <x:v>-0.0041998239305185425</x:v>
      </x:c>
      <x:c r="S467" s="6"/>
      <x:c r="T467" s="6"/>
      <x:c r="U467" s="6"/>
    </x:row>
    <x:row r="468" ht="21" customHeight="1">
      <x:c r="A468" s="14" t="n">
        <x:f>英雄升级调参!$B$20</x:f>
        <x:v>310002</x:v>
      </x:c>
      <x:c r="B468" s="14" t="str">
        <x:f>英雄升级调参!$C$20</x:f>
        <x:v>贝尔熊</x:v>
      </x:c>
      <x:c r="C468" s="6" t="str">
        <x:f>英雄升级调参!$D$20</x:f>
        <x:v>生存者</x:v>
      </x:c>
      <x:c r="D468" s="6" t="s">
        <x:v>22</x:v>
      </x:c>
      <x:c r="E468" s="6">
        <x:v>50</x:v>
      </x:c>
      <x:c r="F468" s="6" t="n">
        <x:f>英雄升级调参!$C$115</x:f>
        <x:v>10</x:v>
      </x:c>
      <x:c r="G468" s="12">
        <x:f t="shared" si="40"/>
        <x:v>5356</x:v>
      </x:c>
      <x:c r="H468" s="12">
        <x:f t="shared" si="41"/>
        <x:v>74239</x:v>
      </x:c>
      <x:c r="I468" s="12">
        <x:f t="shared" si="42"/>
        <x:v>397624084</x:v>
      </x:c>
      <x:c r="J468" s="12">
        <x:f>ROUND(英雄升级调参!$D$115*英雄升级调参!$J$10*英雄升级调参!$E$20,0)*3</x:f>
        <x:v>378</x:v>
      </x:c>
      <x:c r="K468" s="12">
        <x:f>ROUND(英雄升级调参!$D$115*英雄升级调参!$C$11*英雄升级调参!$J$10*英雄升级调参!$G$20,0)*3</x:f>
        <x:v>5241</x:v>
      </x:c>
      <x:c r="L468" s="12" t="n">
        <x:f>养成消耗调参!$D$197</x:f>
        <x:v>1728</x:v>
      </x:c>
      <x:c r="M468" s="12" t="n">
        <x:f>养成消耗调参!$G$197</x:f>
        <x:v>11250</x:v>
      </x:c>
      <x:c r="N468" s="12" t="n">
        <x:f>养成消耗调参!$I$197</x:f>
        <x:v>190</x:v>
      </x:c>
      <x:c r="O468" s="12" t="n">
        <x:f>养成消耗调参!$K$197</x:f>
        <x:v>41544</x:v>
      </x:c>
      <x:c r="P468" s="12" t="n">
        <x:f>养成消耗调参!$N$197</x:f>
        <x:v>261000</x:v>
      </x:c>
      <x:c r="Q468" s="12" t="n">
        <x:f>养成消耗调参!$P$197</x:f>
        <x:v>1000</x:v>
      </x:c>
      <x:c r="R468" s="13">
        <x:f>I468/英雄升级调参!$J$115-1</x:f>
        <x:v>-0.004268055638611656</x:v>
      </x:c>
      <x:c r="S468" s="6"/>
      <x:c r="T468" s="6"/>
      <x:c r="U468" s="6"/>
    </x:row>
    <x:row r="469" ht="21" customHeight="1">
      <x:c r="A469" s="14" t="n">
        <x:f>英雄升级调参!$B$20</x:f>
        <x:v>310002</x:v>
      </x:c>
      <x:c r="B469" s="14" t="str">
        <x:f>英雄升级调参!$C$20</x:f>
        <x:v>贝尔熊</x:v>
      </x:c>
      <x:c r="C469" s="6" t="str">
        <x:f>英雄升级调参!$D$20</x:f>
        <x:v>生存者</x:v>
      </x:c>
      <x:c r="D469" s="6" t="s">
        <x:v>25</x:v>
      </x:c>
      <x:c r="E469" s="6">
        <x:v>1</x:v>
      </x:c>
      <x:c r="F469" s="6" t="n">
        <x:f>英雄升级调参!$C$66</x:f>
        <x:v>1</x:v>
      </x:c>
      <x:c r="G469" s="12">
        <x:f>G378</x:f>
        <x:v>302</x:v>
      </x:c>
      <x:c r="H469" s="12">
        <x:f>H378</x:f>
        <x:v>4204</x:v>
      </x:c>
      <x:c r="I469" s="12">
        <x:f t="shared" si="42"/>
        <x:v>1269608</x:v>
      </x:c>
      <x:c r="J469" s="12" t="n">
        <x:f>0</x:f>
        <x:v>0</x:v>
      </x:c>
      <x:c r="K469" s="12" t="n">
        <x:f>0</x:f>
        <x:v>0</x:v>
      </x:c>
      <x:c r="L469" s="12" t="n">
        <x:f>养成消耗调参!$E$148</x:f>
        <x:v>0</x:v>
      </x:c>
      <x:c r="M469" s="12" t="n">
        <x:f>养成消耗调参!$H$148</x:f>
        <x:v>0</x:v>
      </x:c>
      <x:c r="N469" s="12" t="n">
        <x:f>养成消耗调参!$I$148</x:f>
        <x:v>0</x:v>
      </x:c>
      <x:c r="O469" s="12" t="n">
        <x:f>养成消耗调参!$L$148</x:f>
        <x:v>0</x:v>
      </x:c>
      <x:c r="P469" s="12" t="n">
        <x:f>养成消耗调参!$O$148</x:f>
        <x:v>0</x:v>
      </x:c>
      <x:c r="Q469" s="12" t="n">
        <x:f>养成消耗调参!$P$148</x:f>
        <x:v>0</x:v>
      </x:c>
      <x:c r="R469" s="13">
        <x:f>I469/英雄升级调参!$M$66-1</x:f>
        <x:v>-0.003830551828574613</x:v>
      </x:c>
      <x:c r="S469" s="6"/>
      <x:c r="T469" s="6"/>
      <x:c r="U469" s="6"/>
    </x:row>
    <x:row r="470" ht="21" customHeight="1">
      <x:c r="A470" s="14" t="n">
        <x:f>英雄升级调参!$B$20</x:f>
        <x:v>310002</x:v>
      </x:c>
      <x:c r="B470" s="14" t="str">
        <x:f>英雄升级调参!$C$20</x:f>
        <x:v>贝尔熊</x:v>
      </x:c>
      <x:c r="C470" s="6" t="str">
        <x:f>英雄升级调参!$D$20</x:f>
        <x:v>生存者</x:v>
      </x:c>
      <x:c r="D470" s="6" t="s">
        <x:v>25</x:v>
      </x:c>
      <x:c r="E470" s="6">
        <x:v>2</x:v>
      </x:c>
      <x:c r="F470" s="6" t="n">
        <x:f>英雄升级调参!$C$67</x:f>
        <x:v>1</x:v>
      </x:c>
      <x:c r="G470" s="12">
        <x:f t="shared" ref="G470:G501" si="43">G469+J470</x:f>
        <x:v>340</x:v>
      </x:c>
      <x:c r="H470" s="12">
        <x:f t="shared" ref="H470:H501" si="44">H469+K470</x:f>
        <x:v>4733</x:v>
      </x:c>
      <x:c r="I470" s="12">
        <x:f t="shared" si="42"/>
        <x:v>1609220</x:v>
      </x:c>
      <x:c r="J470" s="12">
        <x:f>ROUND(英雄升级调参!$D$67*英雄升级调参!$J$11*英雄升级调参!$E$20,0)</x:f>
        <x:v>38</x:v>
      </x:c>
      <x:c r="K470" s="12">
        <x:f>ROUND(英雄升级调参!$D$67*英雄升级调参!$C$11*英雄升级调参!$J$11*英雄升级调参!$G$20,0)</x:f>
        <x:v>529</x:v>
      </x:c>
      <x:c r="L470" s="12" t="n">
        <x:f>养成消耗调参!$E$149</x:f>
        <x:v>48</x:v>
      </x:c>
      <x:c r="M470" s="12" t="n">
        <x:f>养成消耗调参!$H$149</x:f>
        <x:v>600</x:v>
      </x:c>
      <x:c r="N470" s="12" t="n">
        <x:f>养成消耗调参!$I$149</x:f>
        <x:v>0</x:v>
      </x:c>
      <x:c r="O470" s="12" t="n">
        <x:f>养成消耗调参!$L$149</x:f>
        <x:v>48</x:v>
      </x:c>
      <x:c r="P470" s="12" t="n">
        <x:f>养成消耗调参!$O$149</x:f>
        <x:v>600</x:v>
      </x:c>
      <x:c r="Q470" s="12" t="n">
        <x:f>养成消耗调参!$P$149</x:f>
        <x:v>0</x:v>
      </x:c>
      <x:c r="R470" s="13">
        <x:f>I470/英雄升级调参!$M$67-1</x:f>
        <x:v>-0.004220192569490799</x:v>
      </x:c>
      <x:c r="S470" s="6"/>
      <x:c r="T470" s="6"/>
      <x:c r="U470" s="6"/>
    </x:row>
    <x:row r="471" ht="21" customHeight="1">
      <x:c r="A471" s="14" t="n">
        <x:f>英雄升级调参!$B$20</x:f>
        <x:v>310002</x:v>
      </x:c>
      <x:c r="B471" s="14" t="str">
        <x:f>英雄升级调参!$C$20</x:f>
        <x:v>贝尔熊</x:v>
      </x:c>
      <x:c r="C471" s="6" t="str">
        <x:f>英雄升级调参!$D$20</x:f>
        <x:v>生存者</x:v>
      </x:c>
      <x:c r="D471" s="6" t="s">
        <x:v>25</x:v>
      </x:c>
      <x:c r="E471" s="6">
        <x:v>3</x:v>
      </x:c>
      <x:c r="F471" s="6" t="n">
        <x:f>英雄升级调参!$C$68</x:f>
        <x:v>1</x:v>
      </x:c>
      <x:c r="G471" s="12">
        <x:f t="shared" si="43"/>
        <x:v>378</x:v>
      </x:c>
      <x:c r="H471" s="12">
        <x:f t="shared" si="44"/>
        <x:v>5262</x:v>
      </x:c>
      <x:c r="I471" s="12">
        <x:f t="shared" si="42"/>
        <x:v>1989036</x:v>
      </x:c>
      <x:c r="J471" s="12">
        <x:f>ROUND(英雄升级调参!$D$68*英雄升级调参!$J$11*英雄升级调参!$E$20,0)</x:f>
        <x:v>38</x:v>
      </x:c>
      <x:c r="K471" s="12">
        <x:f>ROUND(英雄升级调参!$D$68*英雄升级调参!$C$11*英雄升级调参!$J$11*英雄升级调参!$G$20,0)</x:f>
        <x:v>529</x:v>
      </x:c>
      <x:c r="L471" s="12" t="n">
        <x:f>养成消耗调参!$E$150</x:f>
        <x:v>48</x:v>
      </x:c>
      <x:c r="M471" s="12" t="n">
        <x:f>养成消耗调参!$H$150</x:f>
        <x:v>600</x:v>
      </x:c>
      <x:c r="N471" s="12" t="n">
        <x:f>养成消耗调参!$I$150</x:f>
        <x:v>0</x:v>
      </x:c>
      <x:c r="O471" s="12" t="n">
        <x:f>养成消耗调参!$L$150</x:f>
        <x:v>96</x:v>
      </x:c>
      <x:c r="P471" s="12" t="n">
        <x:f>养成消耗调参!$O$150</x:f>
        <x:v>1200</x:v>
      </x:c>
      <x:c r="Q471" s="12" t="n">
        <x:f>养成消耗调参!$P$150</x:f>
        <x:v>0</x:v>
      </x:c>
      <x:c r="R471" s="13">
        <x:f>I471/英雄升级调参!$M$68-1</x:f>
        <x:v>-0.004531327417683917</x:v>
      </x:c>
      <x:c r="S471" s="6"/>
      <x:c r="T471" s="6"/>
      <x:c r="U471" s="6"/>
    </x:row>
    <x:row r="472" ht="21" customHeight="1">
      <x:c r="A472" s="14" t="n">
        <x:f>英雄升级调参!$B$20</x:f>
        <x:v>310002</x:v>
      </x:c>
      <x:c r="B472" s="14" t="str">
        <x:f>英雄升级调参!$C$20</x:f>
        <x:v>贝尔熊</x:v>
      </x:c>
      <x:c r="C472" s="6" t="str">
        <x:f>英雄升级调参!$D$20</x:f>
        <x:v>生存者</x:v>
      </x:c>
      <x:c r="D472" s="6" t="s">
        <x:v>25</x:v>
      </x:c>
      <x:c r="E472" s="6">
        <x:v>4</x:v>
      </x:c>
      <x:c r="F472" s="6" t="n">
        <x:f>英雄升级调参!$C$69</x:f>
        <x:v>1</x:v>
      </x:c>
      <x:c r="G472" s="12">
        <x:f t="shared" si="43"/>
        <x:v>416</x:v>
      </x:c>
      <x:c r="H472" s="12">
        <x:f t="shared" si="44"/>
        <x:v>5791</x:v>
      </x:c>
      <x:c r="I472" s="12">
        <x:f t="shared" si="42"/>
        <x:v>2409056</x:v>
      </x:c>
      <x:c r="J472" s="12">
        <x:f>ROUND(英雄升级调参!$D$69*英雄升级调参!$J$11*英雄升级调参!$E$20,0)</x:f>
        <x:v>38</x:v>
      </x:c>
      <x:c r="K472" s="12">
        <x:f>ROUND(英雄升级调参!$D$69*英雄升级调参!$C$11*英雄升级调参!$J$11*英雄升级调参!$G$20,0)</x:f>
        <x:v>529</x:v>
      </x:c>
      <x:c r="L472" s="12" t="n">
        <x:f>养成消耗调参!$E$151</x:f>
        <x:v>96</x:v>
      </x:c>
      <x:c r="M472" s="12" t="n">
        <x:f>养成消耗调参!$H$151</x:f>
        <x:v>600</x:v>
      </x:c>
      <x:c r="N472" s="12" t="n">
        <x:f>养成消耗调参!$I$151</x:f>
        <x:v>0</x:v>
      </x:c>
      <x:c r="O472" s="12" t="n">
        <x:f>养成消耗调参!$L$151</x:f>
        <x:v>192</x:v>
      </x:c>
      <x:c r="P472" s="12" t="n">
        <x:f>养成消耗调参!$O$151</x:f>
        <x:v>1800</x:v>
      </x:c>
      <x:c r="Q472" s="12" t="n">
        <x:f>养成消耗调参!$P$151</x:f>
        <x:v>0</x:v>
      </x:c>
      <x:c r="R472" s="13">
        <x:f>I472/英雄升级调参!$M$69-1</x:f>
        <x:v>-0.0047855112697468005</x:v>
      </x:c>
      <x:c r="S472" s="6"/>
      <x:c r="T472" s="6"/>
      <x:c r="U472" s="6"/>
    </x:row>
    <x:row r="473" ht="21" customHeight="1">
      <x:c r="A473" s="14" t="n">
        <x:f>英雄升级调参!$B$20</x:f>
        <x:v>310002</x:v>
      </x:c>
      <x:c r="B473" s="14" t="str">
        <x:f>英雄升级调参!$C$20</x:f>
        <x:v>贝尔熊</x:v>
      </x:c>
      <x:c r="C473" s="6" t="str">
        <x:f>英雄升级调参!$D$20</x:f>
        <x:v>生存者</x:v>
      </x:c>
      <x:c r="D473" s="6" t="s">
        <x:v>25</x:v>
      </x:c>
      <x:c r="E473" s="6">
        <x:v>5</x:v>
      </x:c>
      <x:c r="F473" s="6" t="n">
        <x:f>英雄升级调参!$C$70</x:f>
        <x:v>1</x:v>
      </x:c>
      <x:c r="G473" s="12">
        <x:f t="shared" si="43"/>
        <x:v>530</x:v>
      </x:c>
      <x:c r="H473" s="12">
        <x:f t="shared" si="44"/>
        <x:v>7378</x:v>
      </x:c>
      <x:c r="I473" s="12">
        <x:f t="shared" si="42"/>
        <x:v>3910340</x:v>
      </x:c>
      <x:c r="J473" s="12">
        <x:f>ROUND(英雄升级调参!$D$70*英雄升级调参!$J$11*英雄升级调参!$E$20,0)*3</x:f>
        <x:v>114</x:v>
      </x:c>
      <x:c r="K473" s="12">
        <x:f>ROUND(英雄升级调参!$D$70*英雄升级调参!$C$11*英雄升级调参!$J$11*英雄升级调参!$G$20,0)*3</x:f>
        <x:v>1587</x:v>
      </x:c>
      <x:c r="L473" s="12" t="n">
        <x:f>养成消耗调参!$E$152</x:f>
        <x:v>96</x:v>
      </x:c>
      <x:c r="M473" s="12" t="n">
        <x:f>养成消耗调参!$H$152</x:f>
        <x:v>600</x:v>
      </x:c>
      <x:c r="N473" s="12" t="n">
        <x:f>养成消耗调参!$I$152</x:f>
        <x:v>10</x:v>
      </x:c>
      <x:c r="O473" s="12" t="n">
        <x:f>养成消耗调参!$L$152</x:f>
        <x:v>288</x:v>
      </x:c>
      <x:c r="P473" s="12" t="n">
        <x:f>养成消耗调参!$O$152</x:f>
        <x:v>2400</x:v>
      </x:c>
      <x:c r="Q473" s="12" t="n">
        <x:f>养成消耗调参!$P$152</x:f>
        <x:v>10</x:v>
      </x:c>
      <x:c r="R473" s="13">
        <x:f>I473/英雄升级调参!$M$70-1</x:f>
        <x:v>-0.005329039577339767</x:v>
      </x:c>
      <x:c r="S473" s="6"/>
      <x:c r="T473" s="6"/>
      <x:c r="U473" s="6"/>
    </x:row>
    <x:row r="474" ht="21" customHeight="1">
      <x:c r="A474" s="14" t="n">
        <x:f>英雄升级调参!$B$20</x:f>
        <x:v>310002</x:v>
      </x:c>
      <x:c r="B474" s="14" t="str">
        <x:f>英雄升级调参!$C$20</x:f>
        <x:v>贝尔熊</x:v>
      </x:c>
      <x:c r="C474" s="6" t="str">
        <x:f>英雄升级调参!$D$20</x:f>
        <x:v>生存者</x:v>
      </x:c>
      <x:c r="D474" s="6" t="s">
        <x:v>25</x:v>
      </x:c>
      <x:c r="E474" s="6">
        <x:v>6</x:v>
      </x:c>
      <x:c r="F474" s="6" t="n">
        <x:f>英雄升级调参!$C$71</x:f>
        <x:v>2</x:v>
      </x:c>
      <x:c r="G474" s="12">
        <x:f t="shared" si="43"/>
        <x:v>587</x:v>
      </x:c>
      <x:c r="H474" s="12">
        <x:f t="shared" si="44"/>
        <x:v>8172</x:v>
      </x:c>
      <x:c r="I474" s="12">
        <x:f t="shared" si="42"/>
        <x:v>4796964</x:v>
      </x:c>
      <x:c r="J474" s="12">
        <x:f>ROUND(英雄升级调参!$D$71*英雄升级调参!$J$11*英雄升级调参!$E$20,0)</x:f>
        <x:v>57</x:v>
      </x:c>
      <x:c r="K474" s="12">
        <x:f>ROUND(英雄升级调参!$D$71*英雄升级调参!$C$11*英雄升级调参!$J$11*英雄升级调参!$G$20,0)</x:f>
        <x:v>794</x:v>
      </x:c>
      <x:c r="L474" s="12" t="n">
        <x:f>养成消耗调参!$E$153</x:f>
        <x:v>192</x:v>
      </x:c>
      <x:c r="M474" s="12" t="n">
        <x:f>养成消耗调参!$H$153</x:f>
        <x:v>600</x:v>
      </x:c>
      <x:c r="N474" s="12" t="n">
        <x:f>养成消耗调参!$I$153</x:f>
        <x:v>0</x:v>
      </x:c>
      <x:c r="O474" s="12" t="n">
        <x:f>养成消耗调参!$L$153</x:f>
        <x:v>480</x:v>
      </x:c>
      <x:c r="P474" s="12" t="n">
        <x:f>养成消耗调参!$O$153</x:f>
        <x:v>3000</x:v>
      </x:c>
      <x:c r="Q474" s="12" t="n">
        <x:f>养成消耗调参!$P$153</x:f>
        <x:v>10</x:v>
      </x:c>
      <x:c r="R474" s="13">
        <x:f>I474/英雄升级调参!$M$71-1</x:f>
        <x:v>-0.0061761735320167155</x:v>
      </x:c>
      <x:c r="S474" s="6"/>
      <x:c r="T474" s="6"/>
      <x:c r="U474" s="6"/>
    </x:row>
    <x:row r="475" ht="21" customHeight="1">
      <x:c r="A475" s="14" t="n">
        <x:f>英雄升级调参!$B$20</x:f>
        <x:v>310002</x:v>
      </x:c>
      <x:c r="B475" s="14" t="str">
        <x:f>英雄升级调参!$C$20</x:f>
        <x:v>贝尔熊</x:v>
      </x:c>
      <x:c r="C475" s="6" t="str">
        <x:f>英雄升级调参!$D$20</x:f>
        <x:v>生存者</x:v>
      </x:c>
      <x:c r="D475" s="6" t="s">
        <x:v>25</x:v>
      </x:c>
      <x:c r="E475" s="6">
        <x:v>7</x:v>
      </x:c>
      <x:c r="F475" s="6" t="n">
        <x:f>英雄升级调参!$C$72</x:f>
        <x:v>2</x:v>
      </x:c>
      <x:c r="G475" s="12">
        <x:f t="shared" si="43"/>
        <x:v>644</x:v>
      </x:c>
      <x:c r="H475" s="12">
        <x:f t="shared" si="44"/>
        <x:v>8966</x:v>
      </x:c>
      <x:c r="I475" s="12">
        <x:f t="shared" si="42"/>
        <x:v>5774104</x:v>
      </x:c>
      <x:c r="J475" s="12">
        <x:f>ROUND(英雄升级调参!$D$72*英雄升级调参!$J$11*英雄升级调参!$E$20,0)</x:f>
        <x:v>57</x:v>
      </x:c>
      <x:c r="K475" s="12">
        <x:f>ROUND(英雄升级调参!$D$72*英雄升级调参!$C$11*英雄升级调参!$J$11*英雄升级调参!$G$20,0)</x:f>
        <x:v>794</x:v>
      </x:c>
      <x:c r="L475" s="12" t="n">
        <x:f>养成消耗调参!$E$154</x:f>
        <x:v>192</x:v>
      </x:c>
      <x:c r="M475" s="12" t="n">
        <x:f>养成消耗调参!$H$154</x:f>
        <x:v>1800</x:v>
      </x:c>
      <x:c r="N475" s="12" t="n">
        <x:f>养成消耗调参!$I$154</x:f>
        <x:v>0</x:v>
      </x:c>
      <x:c r="O475" s="12" t="n">
        <x:f>养成消耗调参!$L$154</x:f>
        <x:v>672</x:v>
      </x:c>
      <x:c r="P475" s="12" t="n">
        <x:f>养成消耗调参!$O$154</x:f>
        <x:v>4800</x:v>
      </x:c>
      <x:c r="Q475" s="12" t="n">
        <x:f>养成消耗调参!$P$154</x:f>
        <x:v>10</x:v>
      </x:c>
      <x:c r="R475" s="13">
        <x:f>I475/英雄升级调参!$M$72-1</x:f>
        <x:v>-0.006872306099352299</x:v>
      </x:c>
      <x:c r="S475" s="6"/>
      <x:c r="T475" s="6"/>
      <x:c r="U475" s="6"/>
    </x:row>
    <x:row r="476" ht="21" customHeight="1">
      <x:c r="A476" s="14" t="n">
        <x:f>英雄升级调参!$B$20</x:f>
        <x:v>310002</x:v>
      </x:c>
      <x:c r="B476" s="14" t="str">
        <x:f>英雄升级调参!$C$20</x:f>
        <x:v>贝尔熊</x:v>
      </x:c>
      <x:c r="C476" s="6" t="str">
        <x:f>英雄升级调参!$D$20</x:f>
        <x:v>生存者</x:v>
      </x:c>
      <x:c r="D476" s="6" t="s">
        <x:v>25</x:v>
      </x:c>
      <x:c r="E476" s="6">
        <x:v>8</x:v>
      </x:c>
      <x:c r="F476" s="6" t="n">
        <x:f>英雄升级调参!$C$73</x:f>
        <x:v>2</x:v>
      </x:c>
      <x:c r="G476" s="12">
        <x:f t="shared" si="43"/>
        <x:v>701</x:v>
      </x:c>
      <x:c r="H476" s="12">
        <x:f t="shared" si="44"/>
        <x:v>9760</x:v>
      </x:c>
      <x:c r="I476" s="12">
        <x:f t="shared" si="42"/>
        <x:v>6841760</x:v>
      </x:c>
      <x:c r="J476" s="12">
        <x:f>ROUND(英雄升级调参!$D$73*英雄升级调参!$J$11*英雄升级调参!$E$20,0)</x:f>
        <x:v>57</x:v>
      </x:c>
      <x:c r="K476" s="12">
        <x:f>ROUND(英雄升级调参!$D$73*英雄升级调参!$C$11*英雄升级调参!$J$11*英雄升级调参!$G$20,0)</x:f>
        <x:v>794</x:v>
      </x:c>
      <x:c r="L476" s="12" t="n">
        <x:f>养成消耗调参!$E$155</x:f>
        <x:v>288</x:v>
      </x:c>
      <x:c r="M476" s="12" t="n">
        <x:f>养成消耗调参!$H$155</x:f>
        <x:v>1800</x:v>
      </x:c>
      <x:c r="N476" s="12" t="n">
        <x:f>养成消耗调参!$I$155</x:f>
        <x:v>0</x:v>
      </x:c>
      <x:c r="O476" s="12" t="n">
        <x:f>养成消耗调参!$L$155</x:f>
        <x:v>960</x:v>
      </x:c>
      <x:c r="P476" s="12" t="n">
        <x:f>养成消耗调参!$O$155</x:f>
        <x:v>6600</x:v>
      </x:c>
      <x:c r="Q476" s="12" t="n">
        <x:f>养成消耗调参!$P$155</x:f>
        <x:v>10</x:v>
      </x:c>
      <x:c r="R476" s="13">
        <x:f>I476/英雄升级调参!$M$73-1</x:f>
        <x:v>-0.007454507340263428</x:v>
      </x:c>
      <x:c r="S476" s="6"/>
      <x:c r="T476" s="6"/>
      <x:c r="U476" s="6"/>
    </x:row>
    <x:row r="477" ht="21" customHeight="1">
      <x:c r="A477" s="14" t="n">
        <x:f>英雄升级调参!$B$20</x:f>
        <x:v>310002</x:v>
      </x:c>
      <x:c r="B477" s="14" t="str">
        <x:f>英雄升级调参!$C$20</x:f>
        <x:v>贝尔熊</x:v>
      </x:c>
      <x:c r="C477" s="6" t="str">
        <x:f>英雄升级调参!$D$20</x:f>
        <x:v>生存者</x:v>
      </x:c>
      <x:c r="D477" s="6" t="s">
        <x:v>25</x:v>
      </x:c>
      <x:c r="E477" s="6">
        <x:v>9</x:v>
      </x:c>
      <x:c r="F477" s="6" t="n">
        <x:f>英雄升级调参!$C$74</x:f>
        <x:v>2</x:v>
      </x:c>
      <x:c r="G477" s="12">
        <x:f t="shared" si="43"/>
        <x:v>758</x:v>
      </x:c>
      <x:c r="H477" s="12">
        <x:f t="shared" si="44"/>
        <x:v>10554</x:v>
      </x:c>
      <x:c r="I477" s="12">
        <x:f t="shared" si="42"/>
        <x:v>7999932</x:v>
      </x:c>
      <x:c r="J477" s="12">
        <x:f>ROUND(英雄升级调参!$D$74*英雄升级调参!$J$11*英雄升级调参!$E$20,0)</x:f>
        <x:v>57</x:v>
      </x:c>
      <x:c r="K477" s="12">
        <x:f>ROUND(英雄升级调参!$D$74*英雄升级调参!$C$11*英雄升级调参!$J$11*英雄升级调参!$G$20,0)</x:f>
        <x:v>794</x:v>
      </x:c>
      <x:c r="L477" s="12" t="n">
        <x:f>养成消耗调参!$E$156</x:f>
        <x:v>288</x:v>
      </x:c>
      <x:c r="M477" s="12" t="n">
        <x:f>养成消耗调参!$H$156</x:f>
        <x:v>1800</x:v>
      </x:c>
      <x:c r="N477" s="12" t="n">
        <x:f>养成消耗调参!$I$156</x:f>
        <x:v>0</x:v>
      </x:c>
      <x:c r="O477" s="12" t="n">
        <x:f>养成消耗调参!$L$156</x:f>
        <x:v>1248</x:v>
      </x:c>
      <x:c r="P477" s="12" t="n">
        <x:f>养成消耗调参!$O$156</x:f>
        <x:v>8400</x:v>
      </x:c>
      <x:c r="Q477" s="12" t="n">
        <x:f>养成消耗调参!$P$156</x:f>
        <x:v>10</x:v>
      </x:c>
      <x:c r="R477" s="13">
        <x:f>I477/英雄升级调参!$M$74-1</x:f>
        <x:v>-0.007948631143485319</x:v>
      </x:c>
      <x:c r="S477" s="6"/>
      <x:c r="T477" s="6"/>
      <x:c r="U477" s="6"/>
    </x:row>
    <x:row r="478" ht="21" customHeight="1">
      <x:c r="A478" s="14" t="n">
        <x:f>英雄升级调参!$B$20</x:f>
        <x:v>310002</x:v>
      </x:c>
      <x:c r="B478" s="14" t="str">
        <x:f>英雄升级调参!$C$20</x:f>
        <x:v>贝尔熊</x:v>
      </x:c>
      <x:c r="C478" s="6" t="str">
        <x:f>英雄升级调参!$D$20</x:f>
        <x:v>生存者</x:v>
      </x:c>
      <x:c r="D478" s="6" t="s">
        <x:v>25</x:v>
      </x:c>
      <x:c r="E478" s="6">
        <x:v>10</x:v>
      </x:c>
      <x:c r="F478" s="6" t="n">
        <x:f>英雄升级调参!$C$75</x:f>
        <x:v>2</x:v>
      </x:c>
      <x:c r="G478" s="12">
        <x:f t="shared" si="43"/>
        <x:v>929</x:v>
      </x:c>
      <x:c r="H478" s="12">
        <x:f t="shared" si="44"/>
        <x:v>12936</x:v>
      </x:c>
      <x:c r="I478" s="12">
        <x:f t="shared" si="42"/>
        <x:v>12017544</x:v>
      </x:c>
      <x:c r="J478" s="12">
        <x:f>ROUND(英雄升级调参!$D$75*英雄升级调参!$J$11*英雄升级调参!$E$20,0)*3</x:f>
        <x:v>171</x:v>
      </x:c>
      <x:c r="K478" s="12">
        <x:f>ROUND(英雄升级调参!$D$75*英雄升级调参!$C$11*英雄升级调参!$J$11*英雄升级调参!$G$20,0)*3</x:f>
        <x:v>2382</x:v>
      </x:c>
      <x:c r="L478" s="12" t="n">
        <x:f>养成消耗调参!$E$157</x:f>
        <x:v>384</x:v>
      </x:c>
      <x:c r="M478" s="12" t="n">
        <x:f>养成消耗调参!$H$157</x:f>
        <x:v>1800</x:v>
      </x:c>
      <x:c r="N478" s="12" t="n">
        <x:f>养成消耗调参!$I$157</x:f>
        <x:v>30</x:v>
      </x:c>
      <x:c r="O478" s="12" t="n">
        <x:f>养成消耗调参!$L$157</x:f>
        <x:v>1632</x:v>
      </x:c>
      <x:c r="P478" s="12" t="n">
        <x:f>养成消耗调参!$O$157</x:f>
        <x:v>10200</x:v>
      </x:c>
      <x:c r="Q478" s="12" t="n">
        <x:f>养成消耗调参!$P$157</x:f>
        <x:v>40</x:v>
      </x:c>
      <x:c r="R478" s="13">
        <x:f>I478/英雄升级调参!$M$75-1</x:f>
        <x:v>-0.009065441020953635</x:v>
      </x:c>
      <x:c r="S478" s="6"/>
      <x:c r="T478" s="6"/>
      <x:c r="U478" s="6"/>
    </x:row>
    <x:row r="479" ht="21" customHeight="1">
      <x:c r="A479" s="14" t="n">
        <x:f>英雄升级调参!$B$20</x:f>
        <x:v>310002</x:v>
      </x:c>
      <x:c r="B479" s="14" t="str">
        <x:f>英雄升级调参!$C$20</x:f>
        <x:v>贝尔熊</x:v>
      </x:c>
      <x:c r="C479" s="6" t="str">
        <x:f>英雄升级调参!$D$20</x:f>
        <x:v>生存者</x:v>
      </x:c>
      <x:c r="D479" s="6" t="s">
        <x:v>25</x:v>
      </x:c>
      <x:c r="E479" s="6">
        <x:v>11</x:v>
      </x:c>
      <x:c r="F479" s="6" t="n">
        <x:f>英雄升级调参!$C$76</x:f>
        <x:v>3</x:v>
      </x:c>
      <x:c r="G479" s="12">
        <x:f t="shared" si="43"/>
        <x:v>1006</x:v>
      </x:c>
      <x:c r="H479" s="12">
        <x:f t="shared" si="44"/>
        <x:v>13995</x:v>
      </x:c>
      <x:c r="I479" s="12">
        <x:f t="shared" si="42"/>
        <x:v>14078970</x:v>
      </x:c>
      <x:c r="J479" s="12">
        <x:f>ROUND(英雄升级调参!$D$76*英雄升级调参!$J$11*英雄升级调参!$E$20,0)</x:f>
        <x:v>77</x:v>
      </x:c>
      <x:c r="K479" s="12">
        <x:f>ROUND(英雄升级调参!$D$76*英雄升级调参!$C$11*英雄升级调参!$J$11*英雄升级调参!$G$20,0)</x:f>
        <x:v>1059</x:v>
      </x:c>
      <x:c r="L479" s="12" t="n">
        <x:f>养成消耗调参!$E$158</x:f>
        <x:v>384</x:v>
      </x:c>
      <x:c r="M479" s="12" t="n">
        <x:f>养成消耗调参!$H$158</x:f>
        <x:v>1800</x:v>
      </x:c>
      <x:c r="N479" s="12" t="n">
        <x:f>养成消耗调参!$I$158</x:f>
        <x:v>0</x:v>
      </x:c>
      <x:c r="O479" s="12" t="n">
        <x:f>养成消耗调参!$L$158</x:f>
        <x:v>2016</x:v>
      </x:c>
      <x:c r="P479" s="12" t="n">
        <x:f>养成消耗调参!$O$158</x:f>
        <x:v>12000</x:v>
      </x:c>
      <x:c r="Q479" s="12" t="n">
        <x:f>养成消耗调参!$P$158</x:f>
        <x:v>40</x:v>
      </x:c>
      <x:c r="R479" s="13">
        <x:f>I479/英雄升级调参!$M$76-1</x:f>
        <x:v>-0.007875913404062573</x:v>
      </x:c>
      <x:c r="S479" s="6"/>
      <x:c r="T479" s="6"/>
      <x:c r="U479" s="6"/>
    </x:row>
    <x:row r="480" ht="21" customHeight="1">
      <x:c r="A480" s="14" t="n">
        <x:f>英雄升级调参!$B$20</x:f>
        <x:v>310002</x:v>
      </x:c>
      <x:c r="B480" s="14" t="str">
        <x:f>英雄升级调参!$C$20</x:f>
        <x:v>贝尔熊</x:v>
      </x:c>
      <x:c r="C480" s="6" t="str">
        <x:f>英雄升级调参!$D$20</x:f>
        <x:v>生存者</x:v>
      </x:c>
      <x:c r="D480" s="6" t="s">
        <x:v>25</x:v>
      </x:c>
      <x:c r="E480" s="6">
        <x:v>12</x:v>
      </x:c>
      <x:c r="F480" s="6" t="n">
        <x:f>英雄升级调参!$C$77</x:f>
        <x:v>3</x:v>
      </x:c>
      <x:c r="G480" s="12">
        <x:f t="shared" si="43"/>
        <x:v>1083</x:v>
      </x:c>
      <x:c r="H480" s="12">
        <x:f t="shared" si="44"/>
        <x:v>15054</x:v>
      </x:c>
      <x:c r="I480" s="12">
        <x:f t="shared" si="42"/>
        <x:v>16303482</x:v>
      </x:c>
      <x:c r="J480" s="12">
        <x:f>ROUND(英雄升级调参!$D$77*英雄升级调参!$J$11*英雄升级调参!$E$20,0)</x:f>
        <x:v>77</x:v>
      </x:c>
      <x:c r="K480" s="12">
        <x:f>ROUND(英雄升级调参!$D$77*英雄升级调参!$C$11*英雄升级调参!$J$11*英雄升级调参!$G$20,0)</x:f>
        <x:v>1059</x:v>
      </x:c>
      <x:c r="L480" s="12" t="n">
        <x:f>养成消耗调参!$E$159</x:f>
        <x:v>480</x:v>
      </x:c>
      <x:c r="M480" s="12" t="n">
        <x:f>养成消耗调参!$H$159</x:f>
        <x:v>3000</x:v>
      </x:c>
      <x:c r="N480" s="12" t="n">
        <x:f>养成消耗调参!$I$159</x:f>
        <x:v>0</x:v>
      </x:c>
      <x:c r="O480" s="12" t="n">
        <x:f>养成消耗调参!$L$159</x:f>
        <x:v>2496</x:v>
      </x:c>
      <x:c r="P480" s="12" t="n">
        <x:f>养成消耗调参!$O$159</x:f>
        <x:v>15000</x:v>
      </x:c>
      <x:c r="Q480" s="12" t="n">
        <x:f>养成消耗调参!$P$159</x:f>
        <x:v>40</x:v>
      </x:c>
      <x:c r="R480" s="13">
        <x:f>I480/英雄升级调参!$M$77-1</x:f>
        <x:v>-0.006853259186092142</x:v>
      </x:c>
      <x:c r="S480" s="6"/>
      <x:c r="T480" s="6"/>
      <x:c r="U480" s="6"/>
    </x:row>
    <x:row r="481" ht="21" customHeight="1">
      <x:c r="A481" s="14" t="n">
        <x:f>英雄升级调参!$B$20</x:f>
        <x:v>310002</x:v>
      </x:c>
      <x:c r="B481" s="14" t="str">
        <x:f>英雄升级调参!$C$20</x:f>
        <x:v>贝尔熊</x:v>
      </x:c>
      <x:c r="C481" s="6" t="str">
        <x:f>英雄升级调参!$D$20</x:f>
        <x:v>生存者</x:v>
      </x:c>
      <x:c r="D481" s="6" t="s">
        <x:v>25</x:v>
      </x:c>
      <x:c r="E481" s="6">
        <x:v>13</x:v>
      </x:c>
      <x:c r="F481" s="6" t="n">
        <x:f>英雄升级调参!$C$78</x:f>
        <x:v>3</x:v>
      </x:c>
      <x:c r="G481" s="12">
        <x:f t="shared" si="43"/>
        <x:v>1160</x:v>
      </x:c>
      <x:c r="H481" s="12">
        <x:f t="shared" si="44"/>
        <x:v>16113</x:v>
      </x:c>
      <x:c r="I481" s="12">
        <x:f t="shared" si="42"/>
        <x:v>18691080</x:v>
      </x:c>
      <x:c r="J481" s="12">
        <x:f>ROUND(英雄升级调参!$D$78*英雄升级调参!$J$11*英雄升级调参!$E$20,0)</x:f>
        <x:v>77</x:v>
      </x:c>
      <x:c r="K481" s="12">
        <x:f>ROUND(英雄升级调参!$D$78*英雄升级调参!$C$11*英雄升级调参!$J$11*英雄升级调参!$G$20,0)</x:f>
        <x:v>1059</x:v>
      </x:c>
      <x:c r="L481" s="12" t="n">
        <x:f>养成消耗调参!$E$160</x:f>
        <x:v>480</x:v>
      </x:c>
      <x:c r="M481" s="12" t="n">
        <x:f>养成消耗调参!$H$160</x:f>
        <x:v>3000</x:v>
      </x:c>
      <x:c r="N481" s="12" t="n">
        <x:f>养成消耗调参!$I$160</x:f>
        <x:v>0</x:v>
      </x:c>
      <x:c r="O481" s="12" t="n">
        <x:f>养成消耗调参!$L$160</x:f>
        <x:v>2976</x:v>
      </x:c>
      <x:c r="P481" s="12" t="n">
        <x:f>养成消耗调参!$O$160</x:f>
        <x:v>18000</x:v>
      </x:c>
      <x:c r="Q481" s="12" t="n">
        <x:f>养成消耗调参!$P$160</x:f>
        <x:v>40</x:v>
      </x:c>
      <x:c r="R481" s="13">
        <x:f>I481/英雄升级调参!$M$78-1</x:f>
        <x:v>-0.005964665122783375</x:v>
      </x:c>
      <x:c r="S481" s="6"/>
      <x:c r="T481" s="6"/>
      <x:c r="U481" s="6"/>
    </x:row>
    <x:row r="482" ht="21" customHeight="1">
      <x:c r="A482" s="14" t="n">
        <x:f>英雄升级调参!$B$20</x:f>
        <x:v>310002</x:v>
      </x:c>
      <x:c r="B482" s="14" t="str">
        <x:f>英雄升级调参!$C$20</x:f>
        <x:v>贝尔熊</x:v>
      </x:c>
      <x:c r="C482" s="6" t="str">
        <x:f>英雄升级调参!$D$20</x:f>
        <x:v>生存者</x:v>
      </x:c>
      <x:c r="D482" s="6" t="s">
        <x:v>25</x:v>
      </x:c>
      <x:c r="E482" s="6">
        <x:v>14</x:v>
      </x:c>
      <x:c r="F482" s="6" t="n">
        <x:f>英雄升级调参!$C$79</x:f>
        <x:v>3</x:v>
      </x:c>
      <x:c r="G482" s="12">
        <x:f t="shared" si="43"/>
        <x:v>1237</x:v>
      </x:c>
      <x:c r="H482" s="12">
        <x:f t="shared" si="44"/>
        <x:v>17172</x:v>
      </x:c>
      <x:c r="I482" s="12">
        <x:f t="shared" si="42"/>
        <x:v>21241764</x:v>
      </x:c>
      <x:c r="J482" s="12">
        <x:f>ROUND(英雄升级调参!$D$79*英雄升级调参!$J$11*英雄升级调参!$E$20,0)</x:f>
        <x:v>77</x:v>
      </x:c>
      <x:c r="K482" s="12">
        <x:f>ROUND(英雄升级调参!$D$79*英雄升级调参!$C$11*英雄升级调参!$J$11*英雄升级调参!$G$20,0)</x:f>
        <x:v>1059</x:v>
      </x:c>
      <x:c r="L482" s="12" t="n">
        <x:f>养成消耗调参!$E$161</x:f>
        <x:v>576</x:v>
      </x:c>
      <x:c r="M482" s="12" t="n">
        <x:f>养成消耗调参!$H$161</x:f>
        <x:v>3000</x:v>
      </x:c>
      <x:c r="N482" s="12" t="n">
        <x:f>养成消耗调参!$I$161</x:f>
        <x:v>0</x:v>
      </x:c>
      <x:c r="O482" s="12" t="n">
        <x:f>养成消耗调参!$L$161</x:f>
        <x:v>3552</x:v>
      </x:c>
      <x:c r="P482" s="12" t="n">
        <x:f>养成消耗调参!$O$161</x:f>
        <x:v>21000</x:v>
      </x:c>
      <x:c r="Q482" s="12" t="n">
        <x:f>养成消耗调参!$P$161</x:f>
        <x:v>40</x:v>
      </x:c>
      <x:c r="R482" s="13">
        <x:f>I482/英雄升级调参!$M$79-1</x:f>
        <x:v>-0.005185391770559766</x:v>
      </x:c>
      <x:c r="S482" s="6"/>
      <x:c r="T482" s="6"/>
      <x:c r="U482" s="6"/>
    </x:row>
    <x:row r="483" ht="21" customHeight="1">
      <x:c r="A483" s="14" t="n">
        <x:f>英雄升级调参!$B$20</x:f>
        <x:v>310002</x:v>
      </x:c>
      <x:c r="B483" s="14" t="str">
        <x:f>英雄升级调参!$C$20</x:f>
        <x:v>贝尔熊</x:v>
      </x:c>
      <x:c r="C483" s="6" t="str">
        <x:f>英雄升级调参!$D$20</x:f>
        <x:v>生存者</x:v>
      </x:c>
      <x:c r="D483" s="6" t="s">
        <x:v>25</x:v>
      </x:c>
      <x:c r="E483" s="6">
        <x:v>15</x:v>
      </x:c>
      <x:c r="F483" s="6" t="n">
        <x:f>英雄升级调参!$C$80</x:f>
        <x:v>3</x:v>
      </x:c>
      <x:c r="G483" s="12">
        <x:f t="shared" si="43"/>
        <x:v>1468</x:v>
      </x:c>
      <x:c r="H483" s="12">
        <x:f t="shared" si="44"/>
        <x:v>20349</x:v>
      </x:c>
      <x:c r="I483" s="12">
        <x:f t="shared" si="42"/>
        <x:v>29872332</x:v>
      </x:c>
      <x:c r="J483" s="12">
        <x:f>ROUND(英雄升级调参!$D$80*英雄升级调参!$J$11*英雄升级调参!$E$20,0)*3</x:f>
        <x:v>231</x:v>
      </x:c>
      <x:c r="K483" s="12">
        <x:f>ROUND(英雄升级调参!$D$80*英雄升级调参!$C$11*英雄升级调参!$J$11*英雄升级调参!$G$20,0)*3</x:f>
        <x:v>3177</x:v>
      </x:c>
      <x:c r="L483" s="12" t="n">
        <x:f>养成消耗调参!$E$162</x:f>
        <x:v>576</x:v>
      </x:c>
      <x:c r="M483" s="12" t="n">
        <x:f>养成消耗调参!$H$162</x:f>
        <x:v>3000</x:v>
      </x:c>
      <x:c r="N483" s="12" t="n">
        <x:f>养成消耗调参!$I$162</x:f>
        <x:v>50</x:v>
      </x:c>
      <x:c r="O483" s="12" t="n">
        <x:f>养成消耗调参!$L$162</x:f>
        <x:v>4128</x:v>
      </x:c>
      <x:c r="P483" s="12" t="n">
        <x:f>养成消耗调参!$O$162</x:f>
        <x:v>24000</x:v>
      </x:c>
      <x:c r="Q483" s="12" t="n">
        <x:f>养成消耗调参!$P$162</x:f>
        <x:v>90</x:v>
      </x:c>
      <x:c r="R483" s="13">
        <x:f>I483/英雄升级调参!$M$80-1</x:f>
        <x:v>-0.003333184862590377</x:v>
      </x:c>
      <x:c r="S483" s="6"/>
      <x:c r="T483" s="6"/>
      <x:c r="U483" s="6"/>
    </x:row>
    <x:row r="484" ht="21" customHeight="1">
      <x:c r="A484" s="14" t="n">
        <x:f>英雄升级调参!$B$20</x:f>
        <x:v>310002</x:v>
      </x:c>
      <x:c r="B484" s="14" t="str">
        <x:f>英雄升级调参!$C$20</x:f>
        <x:v>贝尔熊</x:v>
      </x:c>
      <x:c r="C484" s="6" t="str">
        <x:f>英雄升级调参!$D$20</x:f>
        <x:v>生存者</x:v>
      </x:c>
      <x:c r="D484" s="6" t="s">
        <x:v>25</x:v>
      </x:c>
      <x:c r="E484" s="6">
        <x:v>16</x:v>
      </x:c>
      <x:c r="F484" s="6" t="n">
        <x:f>英雄升级调参!$C$81</x:f>
        <x:v>4</x:v>
      </x:c>
      <x:c r="G484" s="12">
        <x:f t="shared" si="43"/>
        <x:v>1564</x:v>
      </x:c>
      <x:c r="H484" s="12">
        <x:f t="shared" si="44"/>
        <x:v>21673</x:v>
      </x:c>
      <x:c r="I484" s="12">
        <x:f t="shared" si="42"/>
        <x:v>33896572</x:v>
      </x:c>
      <x:c r="J484" s="12">
        <x:f>ROUND(英雄升级调参!$D$81*英雄升级调参!$J$11*英雄升级调参!$E$20,0)</x:f>
        <x:v>96</x:v>
      </x:c>
      <x:c r="K484" s="12">
        <x:f>ROUND(英雄升级调参!$D$81*英雄升级调参!$C$11*英雄升级调参!$J$11*英雄升级调参!$G$20,0)</x:f>
        <x:v>1324</x:v>
      </x:c>
      <x:c r="L484" s="12" t="n">
        <x:f>养成消耗调参!$E$163</x:f>
        <x:v>672</x:v>
      </x:c>
      <x:c r="M484" s="12" t="n">
        <x:f>养成消耗调参!$H$163</x:f>
        <x:v>3000</x:v>
      </x:c>
      <x:c r="N484" s="12" t="n">
        <x:f>养成消耗调参!$I$163</x:f>
        <x:v>0</x:v>
      </x:c>
      <x:c r="O484" s="12" t="n">
        <x:f>养成消耗调参!$L$163</x:f>
        <x:v>4800</x:v>
      </x:c>
      <x:c r="P484" s="12" t="n">
        <x:f>养成消耗调参!$O$163</x:f>
        <x:v>27000</x:v>
      </x:c>
      <x:c r="Q484" s="12" t="n">
        <x:f>养成消耗调参!$P$163</x:f>
        <x:v>90</x:v>
      </x:c>
      <x:c r="R484" s="13">
        <x:f>I484/英雄升级调参!$M$81-1</x:f>
        <x:v>-0.0031393405114559236</x:v>
      </x:c>
      <x:c r="S484" s="6"/>
      <x:c r="T484" s="6"/>
      <x:c r="U484" s="6"/>
    </x:row>
    <x:row r="485" ht="21" customHeight="1">
      <x:c r="A485" s="14" t="n">
        <x:f>英雄升级调参!$B$20</x:f>
        <x:v>310002</x:v>
      </x:c>
      <x:c r="B485" s="14" t="str">
        <x:f>英雄升级调参!$C$20</x:f>
        <x:v>贝尔熊</x:v>
      </x:c>
      <x:c r="C485" s="6" t="str">
        <x:f>英雄升级调参!$D$20</x:f>
        <x:v>生存者</x:v>
      </x:c>
      <x:c r="D485" s="6" t="s">
        <x:v>25</x:v>
      </x:c>
      <x:c r="E485" s="6">
        <x:v>17</x:v>
      </x:c>
      <x:c r="F485" s="6" t="n">
        <x:f>英雄升级调参!$C$82</x:f>
        <x:v>4</x:v>
      </x:c>
      <x:c r="G485" s="12">
        <x:f t="shared" si="43"/>
        <x:v>1660</x:v>
      </x:c>
      <x:c r="H485" s="12">
        <x:f t="shared" si="44"/>
        <x:v>22997</x:v>
      </x:c>
      <x:c r="I485" s="12">
        <x:f t="shared" si="42"/>
        <x:v>38175020</x:v>
      </x:c>
      <x:c r="J485" s="12">
        <x:f>ROUND(英雄升级调参!$D$82*英雄升级调参!$J$11*英雄升级调参!$E$20,0)</x:f>
        <x:v>96</x:v>
      </x:c>
      <x:c r="K485" s="12">
        <x:f>ROUND(英雄升级调参!$D$82*英雄升级调参!$C$11*英雄升级调参!$J$11*英雄升级调参!$G$20,0)</x:f>
        <x:v>1324</x:v>
      </x:c>
      <x:c r="L485" s="12" t="n">
        <x:f>养成消耗调参!$E$164</x:f>
        <x:v>672</x:v>
      </x:c>
      <x:c r="M485" s="12" t="n">
        <x:f>养成消耗调参!$H$164</x:f>
        <x:v>4200</x:v>
      </x:c>
      <x:c r="N485" s="12" t="n">
        <x:f>养成消耗调参!$I$164</x:f>
        <x:v>0</x:v>
      </x:c>
      <x:c r="O485" s="12" t="n">
        <x:f>养成消耗调参!$L$164</x:f>
        <x:v>5472</x:v>
      </x:c>
      <x:c r="P485" s="12" t="n">
        <x:f>养成消耗调参!$O$164</x:f>
        <x:v>31200</x:v>
      </x:c>
      <x:c r="Q485" s="12" t="n">
        <x:f>养成消耗调参!$P$164</x:f>
        <x:v>90</x:v>
      </x:c>
      <x:c r="R485" s="13">
        <x:f>I485/英雄升级调参!$M$82-1</x:f>
        <x:v>-0.002967850398505778</x:v>
      </x:c>
      <x:c r="S485" s="6"/>
      <x:c r="T485" s="6"/>
      <x:c r="U485" s="6"/>
    </x:row>
    <x:row r="486" ht="21" customHeight="1">
      <x:c r="A486" s="14" t="n">
        <x:f>英雄升级调参!$B$20</x:f>
        <x:v>310002</x:v>
      </x:c>
      <x:c r="B486" s="14" t="str">
        <x:f>英雄升级调参!$C$20</x:f>
        <x:v>贝尔熊</x:v>
      </x:c>
      <x:c r="C486" s="6" t="str">
        <x:f>英雄升级调参!$D$20</x:f>
        <x:v>生存者</x:v>
      </x:c>
      <x:c r="D486" s="6" t="s">
        <x:v>25</x:v>
      </x:c>
      <x:c r="E486" s="6">
        <x:v>18</x:v>
      </x:c>
      <x:c r="F486" s="6" t="n">
        <x:f>英雄升级调参!$C$83</x:f>
        <x:v>4</x:v>
      </x:c>
      <x:c r="G486" s="12">
        <x:f t="shared" si="43"/>
        <x:v>1756</x:v>
      </x:c>
      <x:c r="H486" s="12">
        <x:f t="shared" si="44"/>
        <x:v>24321</x:v>
      </x:c>
      <x:c r="I486" s="12">
        <x:f t="shared" si="42"/>
        <x:v>42707676</x:v>
      </x:c>
      <x:c r="J486" s="12">
        <x:f>ROUND(英雄升级调参!$D$83*英雄升级调参!$J$11*英雄升级调参!$E$20,0)</x:f>
        <x:v>96</x:v>
      </x:c>
      <x:c r="K486" s="12">
        <x:f>ROUND(英雄升级调参!$D$83*英雄升级调参!$C$11*英雄升级调参!$J$11*英雄升级调参!$G$20,0)</x:f>
        <x:v>1324</x:v>
      </x:c>
      <x:c r="L486" s="12" t="n">
        <x:f>养成消耗调参!$E$165</x:f>
        <x:v>768</x:v>
      </x:c>
      <x:c r="M486" s="12" t="n">
        <x:f>养成消耗调参!$H$165</x:f>
        <x:v>4200</x:v>
      </x:c>
      <x:c r="N486" s="12" t="n">
        <x:f>养成消耗调参!$I$165</x:f>
        <x:v>0</x:v>
      </x:c>
      <x:c r="O486" s="12" t="n">
        <x:f>养成消耗调参!$L$165</x:f>
        <x:v>6240</x:v>
      </x:c>
      <x:c r="P486" s="12" t="n">
        <x:f>养成消耗调参!$O$165</x:f>
        <x:v>35400</x:v>
      </x:c>
      <x:c r="Q486" s="12" t="n">
        <x:f>养成消耗调参!$P$165</x:f>
        <x:v>90</x:v>
      </x:c>
      <x:c r="R486" s="13">
        <x:f>I486/英雄升级调参!$M$83-1</x:f>
        <x:v>-0.0028150584754358388</x:v>
      </x:c>
      <x:c r="S486" s="6"/>
      <x:c r="T486" s="6"/>
      <x:c r="U486" s="6"/>
    </x:row>
    <x:row r="487" ht="21" customHeight="1">
      <x:c r="A487" s="14" t="n">
        <x:f>英雄升级调参!$B$20</x:f>
        <x:v>310002</x:v>
      </x:c>
      <x:c r="B487" s="14" t="str">
        <x:f>英雄升级调参!$C$20</x:f>
        <x:v>贝尔熊</x:v>
      </x:c>
      <x:c r="C487" s="6" t="str">
        <x:f>英雄升级调参!$D$20</x:f>
        <x:v>生存者</x:v>
      </x:c>
      <x:c r="D487" s="6" t="s">
        <x:v>25</x:v>
      </x:c>
      <x:c r="E487" s="6">
        <x:v>19</x:v>
      </x:c>
      <x:c r="F487" s="6" t="n">
        <x:f>英雄升级调参!$C$84</x:f>
        <x:v>4</x:v>
      </x:c>
      <x:c r="G487" s="12">
        <x:f t="shared" si="43"/>
        <x:v>1852</x:v>
      </x:c>
      <x:c r="H487" s="12">
        <x:f t="shared" si="44"/>
        <x:v>25645</x:v>
      </x:c>
      <x:c r="I487" s="12">
        <x:f t="shared" si="42"/>
        <x:v>47494540</x:v>
      </x:c>
      <x:c r="J487" s="12">
        <x:f>ROUND(英雄升级调参!$D$84*英雄升级调参!$J$11*英雄升级调参!$E$20,0)</x:f>
        <x:v>96</x:v>
      </x:c>
      <x:c r="K487" s="12">
        <x:f>ROUND(英雄升级调参!$D$84*英雄升级调参!$C$11*英雄升级调参!$J$11*英雄升级调参!$G$20,0)</x:f>
        <x:v>1324</x:v>
      </x:c>
      <x:c r="L487" s="12" t="n">
        <x:f>养成消耗调参!$E$166</x:f>
        <x:v>768</x:v>
      </x:c>
      <x:c r="M487" s="12" t="n">
        <x:f>养成消耗调参!$H$166</x:f>
        <x:v>4200</x:v>
      </x:c>
      <x:c r="N487" s="12" t="n">
        <x:f>养成消耗调参!$I$166</x:f>
        <x:v>0</x:v>
      </x:c>
      <x:c r="O487" s="12" t="n">
        <x:f>养成消耗调参!$L$166</x:f>
        <x:v>7008</x:v>
      </x:c>
      <x:c r="P487" s="12" t="n">
        <x:f>养成消耗调参!$O$166</x:f>
        <x:v>39600</x:v>
      </x:c>
      <x:c r="Q487" s="12" t="n">
        <x:f>养成消耗调参!$P$166</x:f>
        <x:v>90</x:v>
      </x:c>
      <x:c r="R487" s="13">
        <x:f>I487/英雄升级调参!$M$84-1</x:f>
        <x:v>-0.0026780647420340253</x:v>
      </x:c>
      <x:c r="S487" s="6"/>
      <x:c r="T487" s="6"/>
      <x:c r="U487" s="6"/>
    </x:row>
    <x:row r="488" ht="21" customHeight="1">
      <x:c r="A488" s="14" t="n">
        <x:f>英雄升级调参!$B$20</x:f>
        <x:v>310002</x:v>
      </x:c>
      <x:c r="B488" s="14" t="str">
        <x:f>英雄升级调参!$C$20</x:f>
        <x:v>贝尔熊</x:v>
      </x:c>
      <x:c r="C488" s="6" t="str">
        <x:f>英雄升级调参!$D$20</x:f>
        <x:v>生存者</x:v>
      </x:c>
      <x:c r="D488" s="6" t="s">
        <x:v>25</x:v>
      </x:c>
      <x:c r="E488" s="6">
        <x:v>20</x:v>
      </x:c>
      <x:c r="F488" s="6" t="n">
        <x:f>英雄升级调参!$C$85</x:f>
        <x:v>4</x:v>
      </x:c>
      <x:c r="G488" s="12">
        <x:f t="shared" si="43"/>
        <x:v>2140</x:v>
      </x:c>
      <x:c r="H488" s="12">
        <x:f t="shared" si="44"/>
        <x:v>29617</x:v>
      </x:c>
      <x:c r="I488" s="12">
        <x:f t="shared" si="42"/>
        <x:v>63380380</x:v>
      </x:c>
      <x:c r="J488" s="12">
        <x:f>ROUND(英雄升级调参!$D$85*英雄升级调参!$J$11*英雄升级调参!$E$20,0)*3</x:f>
        <x:v>288</x:v>
      </x:c>
      <x:c r="K488" s="12">
        <x:f>ROUND(英雄升级调参!$D$85*英雄升级调参!$C$11*英雄升级调参!$J$11*英雄升级调参!$G$20,0)*3</x:f>
        <x:v>3972</x:v>
      </x:c>
      <x:c r="L488" s="12" t="n">
        <x:f>养成消耗调参!$E$167</x:f>
        <x:v>864</x:v>
      </x:c>
      <x:c r="M488" s="12" t="n">
        <x:f>养成消耗调参!$H$167</x:f>
        <x:v>4200</x:v>
      </x:c>
      <x:c r="N488" s="12" t="n">
        <x:f>养成消耗调参!$I$167</x:f>
        <x:v>70</x:v>
      </x:c>
      <x:c r="O488" s="12" t="n">
        <x:f>养成消耗调参!$L$167</x:f>
        <x:v>7872</x:v>
      </x:c>
      <x:c r="P488" s="12" t="n">
        <x:f>养成消耗调参!$O$167</x:f>
        <x:v>43800</x:v>
      </x:c>
      <x:c r="Q488" s="12" t="n">
        <x:f>养成消耗调参!$P$167</x:f>
        <x:v>160</x:v>
      </x:c>
      <x:c r="R488" s="13">
        <x:f>I488/英雄升级调参!$M$85-1</x:f>
        <x:v>-0.0023406603715967478</x:v>
      </x:c>
      <x:c r="S488" s="6"/>
      <x:c r="T488" s="6"/>
      <x:c r="U488" s="6"/>
    </x:row>
    <x:row r="489" ht="21" customHeight="1">
      <x:c r="A489" s="14" t="n">
        <x:f>英雄升级调参!$B$20</x:f>
        <x:v>310002</x:v>
      </x:c>
      <x:c r="B489" s="14" t="str">
        <x:f>英雄升级调参!$C$20</x:f>
        <x:v>贝尔熊</x:v>
      </x:c>
      <x:c r="C489" s="6" t="str">
        <x:f>英雄升级调参!$D$20</x:f>
        <x:v>生存者</x:v>
      </x:c>
      <x:c r="D489" s="6" t="s">
        <x:v>25</x:v>
      </x:c>
      <x:c r="E489" s="6">
        <x:v>21</x:v>
      </x:c>
      <x:c r="F489" s="6" t="n">
        <x:f>英雄升级调参!$C$86</x:f>
        <x:v>5</x:v>
      </x:c>
      <x:c r="G489" s="12">
        <x:f t="shared" si="43"/>
        <x:v>2255</x:v>
      </x:c>
      <x:c r="H489" s="12">
        <x:f t="shared" si="44"/>
        <x:v>31205</x:v>
      </x:c>
      <x:c r="I489" s="12">
        <x:f t="shared" si="42"/>
        <x:v>70367275</x:v>
      </x:c>
      <x:c r="J489" s="12">
        <x:f>ROUND(英雄升级调参!$D$86*英雄升级调参!$J$11*英雄升级调参!$E$20,0)</x:f>
        <x:v>115</x:v>
      </x:c>
      <x:c r="K489" s="12">
        <x:f>ROUND(英雄升级调参!$D$86*英雄升级调参!$C$11*英雄升级调参!$J$11*英雄升级调参!$G$20,0)</x:f>
        <x:v>1588</x:v>
      </x:c>
      <x:c r="L489" s="12" t="n">
        <x:f>养成消耗调参!$E$168</x:f>
        <x:v>864</x:v>
      </x:c>
      <x:c r="M489" s="12" t="n">
        <x:f>养成消耗调参!$H$168</x:f>
        <x:v>4200</x:v>
      </x:c>
      <x:c r="N489" s="12" t="n">
        <x:f>养成消耗调参!$I$168</x:f>
        <x:v>0</x:v>
      </x:c>
      <x:c r="O489" s="12" t="n">
        <x:f>养成消耗调参!$L$168</x:f>
        <x:v>8736</x:v>
      </x:c>
      <x:c r="P489" s="12" t="n">
        <x:f>养成消耗调参!$O$168</x:f>
        <x:v>48000</x:v>
      </x:c>
      <x:c r="Q489" s="12" t="n">
        <x:f>养成消耗调参!$P$168</x:f>
        <x:v>160</x:v>
      </x:c>
      <x:c r="R489" s="13">
        <x:f>I489/英雄升级调参!$M$86-1</x:f>
        <x:v>-0.0021187185783562157</x:v>
      </x:c>
      <x:c r="S489" s="6"/>
      <x:c r="T489" s="6"/>
      <x:c r="U489" s="6"/>
    </x:row>
    <x:row r="490" ht="21" customHeight="1">
      <x:c r="A490" s="14" t="n">
        <x:f>英雄升级调参!$B$20</x:f>
        <x:v>310002</x:v>
      </x:c>
      <x:c r="B490" s="14" t="str">
        <x:f>英雄升级调参!$C$20</x:f>
        <x:v>贝尔熊</x:v>
      </x:c>
      <x:c r="C490" s="6" t="str">
        <x:f>英雄升级调参!$D$20</x:f>
        <x:v>生存者</x:v>
      </x:c>
      <x:c r="D490" s="6" t="s">
        <x:v>25</x:v>
      </x:c>
      <x:c r="E490" s="6">
        <x:v>22</x:v>
      </x:c>
      <x:c r="F490" s="6" t="n">
        <x:f>英雄升级调参!$C$87</x:f>
        <x:v>5</x:v>
      </x:c>
      <x:c r="G490" s="12">
        <x:f t="shared" si="43"/>
        <x:v>2370</x:v>
      </x:c>
      <x:c r="H490" s="12">
        <x:f t="shared" si="44"/>
        <x:v>32793</x:v>
      </x:c>
      <x:c r="I490" s="12">
        <x:f t="shared" si="42"/>
        <x:v>77719410</x:v>
      </x:c>
      <x:c r="J490" s="12">
        <x:f>ROUND(英雄升级调参!$D$87*英雄升级调参!$J$11*英雄升级调参!$E$20,0)</x:f>
        <x:v>115</x:v>
      </x:c>
      <x:c r="K490" s="12">
        <x:f>ROUND(英雄升级调参!$D$87*英雄升级调参!$C$11*英雄升级调参!$J$11*英雄升级调参!$G$20,0)</x:f>
        <x:v>1588</x:v>
      </x:c>
      <x:c r="L490" s="12" t="n">
        <x:f>养成消耗调参!$E$169</x:f>
        <x:v>960</x:v>
      </x:c>
      <x:c r="M490" s="12" t="n">
        <x:f>养成消耗调参!$H$169</x:f>
        <x:v>6000</x:v>
      </x:c>
      <x:c r="N490" s="12" t="n">
        <x:f>养成消耗调参!$I$169</x:f>
        <x:v>0</x:v>
      </x:c>
      <x:c r="O490" s="12" t="n">
        <x:f>养成消耗调参!$L$169</x:f>
        <x:v>9696</x:v>
      </x:c>
      <x:c r="P490" s="12" t="n">
        <x:f>养成消耗调参!$O$169</x:f>
        <x:v>54000</x:v>
      </x:c>
      <x:c r="Q490" s="12" t="n">
        <x:f>养成消耗调参!$P$169</x:f>
        <x:v>160</x:v>
      </x:c>
      <x:c r="R490" s="13">
        <x:f>I490/英雄升级调参!$M$87-1</x:f>
        <x:v>-0.0019182270481186148</x:v>
      </x:c>
      <x:c r="S490" s="6"/>
      <x:c r="T490" s="6"/>
      <x:c r="U490" s="6"/>
    </x:row>
    <x:row r="491" ht="21" customHeight="1">
      <x:c r="A491" s="14" t="n">
        <x:f>英雄升级调参!$B$20</x:f>
        <x:v>310002</x:v>
      </x:c>
      <x:c r="B491" s="14" t="str">
        <x:f>英雄升级调参!$C$20</x:f>
        <x:v>贝尔熊</x:v>
      </x:c>
      <x:c r="C491" s="6" t="str">
        <x:f>英雄升级调参!$D$20</x:f>
        <x:v>生存者</x:v>
      </x:c>
      <x:c r="D491" s="6" t="s">
        <x:v>25</x:v>
      </x:c>
      <x:c r="E491" s="6">
        <x:v>23</x:v>
      </x:c>
      <x:c r="F491" s="6" t="n">
        <x:f>英雄升级调参!$C$88</x:f>
        <x:v>5</x:v>
      </x:c>
      <x:c r="G491" s="12">
        <x:f t="shared" si="43"/>
        <x:v>2485</x:v>
      </x:c>
      <x:c r="H491" s="12">
        <x:f t="shared" si="44"/>
        <x:v>34381</x:v>
      </x:c>
      <x:c r="I491" s="12">
        <x:f t="shared" si="42"/>
        <x:v>85436785</x:v>
      </x:c>
      <x:c r="J491" s="12">
        <x:f>ROUND(英雄升级调参!$D$88*英雄升级调参!$J$11*英雄升级调参!$E$20,0)</x:f>
        <x:v>115</x:v>
      </x:c>
      <x:c r="K491" s="12">
        <x:f>ROUND(英雄升级调参!$D$88*英雄升级调参!$C$11*英雄升级调参!$J$11*英雄升级调参!$G$20,0)</x:f>
        <x:v>1588</x:v>
      </x:c>
      <x:c r="L491" s="12" t="n">
        <x:f>养成消耗调参!$E$170</x:f>
        <x:v>960</x:v>
      </x:c>
      <x:c r="M491" s="12" t="n">
        <x:f>养成消耗调参!$H$170</x:f>
        <x:v>6000</x:v>
      </x:c>
      <x:c r="N491" s="12" t="n">
        <x:f>养成消耗调参!$I$170</x:f>
        <x:v>0</x:v>
      </x:c>
      <x:c r="O491" s="12" t="n">
        <x:f>养成消耗调参!$L$170</x:f>
        <x:v>10656</x:v>
      </x:c>
      <x:c r="P491" s="12" t="n">
        <x:f>养成消耗调参!$O$170</x:f>
        <x:v>60000</x:v>
      </x:c>
      <x:c r="Q491" s="12" t="n">
        <x:f>养成消耗调参!$P$170</x:f>
        <x:v>160</x:v>
      </x:c>
      <x:c r="R491" s="13">
        <x:f>I491/英雄升级调参!$M$88-1</x:f>
        <x:v>-0.0017362194337396941</x:v>
      </x:c>
      <x:c r="S491" s="6"/>
      <x:c r="T491" s="6"/>
      <x:c r="U491" s="6"/>
    </x:row>
    <x:row r="492" ht="21" customHeight="1">
      <x:c r="A492" s="14" t="n">
        <x:f>英雄升级调参!$B$20</x:f>
        <x:v>310002</x:v>
      </x:c>
      <x:c r="B492" s="14" t="str">
        <x:f>英雄升级调参!$C$20</x:f>
        <x:v>贝尔熊</x:v>
      </x:c>
      <x:c r="C492" s="6" t="str">
        <x:f>英雄升级调参!$D$20</x:f>
        <x:v>生存者</x:v>
      </x:c>
      <x:c r="D492" s="6" t="s">
        <x:v>25</x:v>
      </x:c>
      <x:c r="E492" s="6">
        <x:v>24</x:v>
      </x:c>
      <x:c r="F492" s="6" t="n">
        <x:f>英雄升级调参!$C$89</x:f>
        <x:v>5</x:v>
      </x:c>
      <x:c r="G492" s="12">
        <x:f t="shared" si="43"/>
        <x:v>2600</x:v>
      </x:c>
      <x:c r="H492" s="12">
        <x:f t="shared" si="44"/>
        <x:v>35969</x:v>
      </x:c>
      <x:c r="I492" s="12">
        <x:f t="shared" si="42"/>
        <x:v>93519400</x:v>
      </x:c>
      <x:c r="J492" s="12">
        <x:f>ROUND(英雄升级调参!$D$89*英雄升级调参!$J$11*英雄升级调参!$E$20,0)</x:f>
        <x:v>115</x:v>
      </x:c>
      <x:c r="K492" s="12">
        <x:f>ROUND(英雄升级调参!$D$89*英雄升级调参!$C$11*英雄升级调参!$J$11*英雄升级调参!$G$20,0)</x:f>
        <x:v>1588</x:v>
      </x:c>
      <x:c r="L492" s="12" t="n">
        <x:f>养成消耗调参!$E$171</x:f>
        <x:v>1056</x:v>
      </x:c>
      <x:c r="M492" s="12" t="n">
        <x:f>养成消耗调参!$H$171</x:f>
        <x:v>6000</x:v>
      </x:c>
      <x:c r="N492" s="12" t="n">
        <x:f>养成消耗调参!$I$171</x:f>
        <x:v>0</x:v>
      </x:c>
      <x:c r="O492" s="12" t="n">
        <x:f>养成消耗调参!$L$171</x:f>
        <x:v>11712</x:v>
      </x:c>
      <x:c r="P492" s="12" t="n">
        <x:f>养成消耗调参!$O$171</x:f>
        <x:v>66000</x:v>
      </x:c>
      <x:c r="Q492" s="12" t="n">
        <x:f>养成消耗调参!$P$171</x:f>
        <x:v>160</x:v>
      </x:c>
      <x:c r="R492" s="13">
        <x:f>I492/英雄升级调参!$M$89-1</x:f>
        <x:v>-0.001570252239648573</x:v>
      </x:c>
      <x:c r="S492" s="6"/>
      <x:c r="T492" s="6"/>
      <x:c r="U492" s="6"/>
    </x:row>
    <x:row r="493" ht="21" customHeight="1">
      <x:c r="A493" s="14" t="n">
        <x:f>英雄升级调参!$B$20</x:f>
        <x:v>310002</x:v>
      </x:c>
      <x:c r="B493" s="14" t="str">
        <x:f>英雄升级调参!$C$20</x:f>
        <x:v>贝尔熊</x:v>
      </x:c>
      <x:c r="C493" s="6" t="str">
        <x:f>英雄升级调参!$D$20</x:f>
        <x:v>生存者</x:v>
      </x:c>
      <x:c r="D493" s="6" t="s">
        <x:v>25</x:v>
      </x:c>
      <x:c r="E493" s="6">
        <x:v>25</x:v>
      </x:c>
      <x:c r="F493" s="6" t="n">
        <x:f>英雄升级调参!$C$90</x:f>
        <x:v>5</x:v>
      </x:c>
      <x:c r="G493" s="12">
        <x:f t="shared" si="43"/>
        <x:v>2945</x:v>
      </x:c>
      <x:c r="H493" s="12">
        <x:f t="shared" si="44"/>
        <x:v>40733</x:v>
      </x:c>
      <x:c r="I493" s="12">
        <x:f t="shared" si="42"/>
        <x:v>119958685</x:v>
      </x:c>
      <x:c r="J493" s="12">
        <x:f>ROUND(英雄升级调参!$D$90*英雄升级调参!$J$11*英雄升级调参!$E$20,0)*3</x:f>
        <x:v>345</x:v>
      </x:c>
      <x:c r="K493" s="12">
        <x:f>ROUND(英雄升级调参!$D$90*英雄升级调参!$C$11*英雄升级调参!$J$11*英雄升级调参!$G$20,0)*3</x:f>
        <x:v>4764</x:v>
      </x:c>
      <x:c r="L493" s="12" t="n">
        <x:f>养成消耗调参!$E$172</x:f>
        <x:v>1056</x:v>
      </x:c>
      <x:c r="M493" s="12" t="n">
        <x:f>养成消耗调参!$H$172</x:f>
        <x:v>6000</x:v>
      </x:c>
      <x:c r="N493" s="12" t="n">
        <x:f>养成消耗调参!$I$172</x:f>
        <x:v>90</x:v>
      </x:c>
      <x:c r="O493" s="12" t="n">
        <x:f>养成消耗调参!$L$172</x:f>
        <x:v>12768</x:v>
      </x:c>
      <x:c r="P493" s="12" t="n">
        <x:f>养成消耗调参!$O$172</x:f>
        <x:v>72000</x:v>
      </x:c>
      <x:c r="Q493" s="12" t="n">
        <x:f>养成消耗调参!$P$172</x:f>
        <x:v>250</x:v>
      </x:c>
      <x:c r="R493" s="13">
        <x:f>I493/英雄升级调参!$M$90-1</x:f>
        <x:v>-0.0011498643011078613</x:v>
      </x:c>
      <x:c r="S493" s="6"/>
      <x:c r="T493" s="6"/>
      <x:c r="U493" s="6"/>
    </x:row>
    <x:row r="494" ht="21" customHeight="1">
      <x:c r="A494" s="14" t="n">
        <x:f>英雄升级调参!$B$20</x:f>
        <x:v>310002</x:v>
      </x:c>
      <x:c r="B494" s="14" t="str">
        <x:f>英雄升级调参!$C$20</x:f>
        <x:v>贝尔熊</x:v>
      </x:c>
      <x:c r="C494" s="6" t="str">
        <x:f>英雄升级调参!$D$20</x:f>
        <x:v>生存者</x:v>
      </x:c>
      <x:c r="D494" s="6" t="s">
        <x:v>25</x:v>
      </x:c>
      <x:c r="E494" s="6">
        <x:v>26</x:v>
      </x:c>
      <x:c r="F494" s="6" t="n">
        <x:f>英雄升级调参!$C$91</x:f>
        <x:v>6</x:v>
      </x:c>
      <x:c r="G494" s="12">
        <x:f t="shared" si="43"/>
        <x:v>3079</x:v>
      </x:c>
      <x:c r="H494" s="12">
        <x:f t="shared" si="44"/>
        <x:v>42586</x:v>
      </x:c>
      <x:c r="I494" s="12">
        <x:f t="shared" si="42"/>
        <x:v>131122294</x:v>
      </x:c>
      <x:c r="J494" s="12">
        <x:f>ROUND(英雄升级调参!$D$91*英雄升级调参!$J$11*英雄升级调参!$E$20,0)</x:f>
        <x:v>134</x:v>
      </x:c>
      <x:c r="K494" s="12">
        <x:f>ROUND(英雄升级调参!$D$91*英雄升级调参!$C$11*英雄升级调参!$J$11*英雄升级调参!$G$20,0)</x:f>
        <x:v>1853</x:v>
      </x:c>
      <x:c r="L494" s="12" t="n">
        <x:f>养成消耗调参!$E$173</x:f>
        <x:v>1152</x:v>
      </x:c>
      <x:c r="M494" s="12" t="n">
        <x:f>养成消耗调参!$H$173</x:f>
        <x:v>6000</x:v>
      </x:c>
      <x:c r="N494" s="12" t="n">
        <x:f>养成消耗调参!$I$173</x:f>
        <x:v>0</x:v>
      </x:c>
      <x:c r="O494" s="12" t="n">
        <x:f>养成消耗调参!$L$173</x:f>
        <x:v>13920</x:v>
      </x:c>
      <x:c r="P494" s="12" t="n">
        <x:f>养成消耗调参!$O$173</x:f>
        <x:v>78000</x:v>
      </x:c>
      <x:c r="Q494" s="12" t="n">
        <x:f>养成消耗调参!$P$173</x:f>
        <x:v>250</x:v>
      </x:c>
      <x:c r="R494" s="13">
        <x:f>I494/英雄升级调参!$M$91-1</x:f>
        <x:v>-0.0011957029162221744</x:v>
      </x:c>
      <x:c r="S494" s="6"/>
      <x:c r="T494" s="6"/>
      <x:c r="U494" s="6"/>
    </x:row>
    <x:row r="495" ht="21" customHeight="1">
      <x:c r="A495" s="14" t="n">
        <x:f>英雄升级调参!$B$20</x:f>
        <x:v>310002</x:v>
      </x:c>
      <x:c r="B495" s="14" t="str">
        <x:f>英雄升级调参!$C$20</x:f>
        <x:v>贝尔熊</x:v>
      </x:c>
      <x:c r="C495" s="6" t="str">
        <x:f>英雄升级调参!$D$20</x:f>
        <x:v>生存者</x:v>
      </x:c>
      <x:c r="D495" s="6" t="s">
        <x:v>25</x:v>
      </x:c>
      <x:c r="E495" s="6">
        <x:v>27</x:v>
      </x:c>
      <x:c r="F495" s="6" t="n">
        <x:f>英雄升级调参!$C$92</x:f>
        <x:v>6</x:v>
      </x:c>
      <x:c r="G495" s="12">
        <x:f t="shared" si="43"/>
        <x:v>3213</x:v>
      </x:c>
      <x:c r="H495" s="12">
        <x:f t="shared" si="44"/>
        <x:v>44439</x:v>
      </x:c>
      <x:c r="I495" s="12">
        <x:f t="shared" si="42"/>
        <x:v>142782507</x:v>
      </x:c>
      <x:c r="J495" s="12">
        <x:f>ROUND(英雄升级调参!$D$92*英雄升级调参!$J$11*英雄升级调参!$E$20,0)</x:f>
        <x:v>134</x:v>
      </x:c>
      <x:c r="K495" s="12">
        <x:f>ROUND(英雄升级调参!$D$92*英雄升级调参!$C$11*英雄升级调参!$J$11*英雄升级调参!$G$20,0)</x:f>
        <x:v>1853</x:v>
      </x:c>
      <x:c r="L495" s="12" t="n">
        <x:f>养成消耗调参!$E$174</x:f>
        <x:v>1152</x:v>
      </x:c>
      <x:c r="M495" s="12" t="n">
        <x:f>养成消耗调参!$H$174</x:f>
        <x:v>7800</x:v>
      </x:c>
      <x:c r="N495" s="12" t="n">
        <x:f>养成消耗调参!$I$174</x:f>
        <x:v>0</x:v>
      </x:c>
      <x:c r="O495" s="12" t="n">
        <x:f>养成消耗调参!$L$174</x:f>
        <x:v>15072</x:v>
      </x:c>
      <x:c r="P495" s="12" t="n">
        <x:f>养成消耗调参!$O$174</x:f>
        <x:v>85800</x:v>
      </x:c>
      <x:c r="Q495" s="12" t="n">
        <x:f>养成消耗调参!$P$174</x:f>
        <x:v>250</x:v>
      </x:c>
      <x:c r="R495" s="13">
        <x:f>I495/英雄升级调参!$M$92-1</x:f>
        <x:v>-0.0012377146106815617</x:v>
      </x:c>
      <x:c r="S495" s="6"/>
      <x:c r="T495" s="6"/>
      <x:c r="U495" s="6"/>
    </x:row>
    <x:row r="496" ht="21" customHeight="1">
      <x:c r="A496" s="14" t="n">
        <x:f>英雄升级调参!$B$20</x:f>
        <x:v>310002</x:v>
      </x:c>
      <x:c r="B496" s="14" t="str">
        <x:f>英雄升级调参!$C$20</x:f>
        <x:v>贝尔熊</x:v>
      </x:c>
      <x:c r="C496" s="6" t="str">
        <x:f>英雄升级调参!$D$20</x:f>
        <x:v>生存者</x:v>
      </x:c>
      <x:c r="D496" s="6" t="s">
        <x:v>25</x:v>
      </x:c>
      <x:c r="E496" s="6">
        <x:v>28</x:v>
      </x:c>
      <x:c r="F496" s="6" t="n">
        <x:f>英雄升级调参!$C$93</x:f>
        <x:v>6</x:v>
      </x:c>
      <x:c r="G496" s="12">
        <x:f t="shared" si="43"/>
        <x:v>3347</x:v>
      </x:c>
      <x:c r="H496" s="12">
        <x:f t="shared" si="44"/>
        <x:v>46292</x:v>
      </x:c>
      <x:c r="I496" s="12">
        <x:f t="shared" si="42"/>
        <x:v>154939324</x:v>
      </x:c>
      <x:c r="J496" s="12">
        <x:f>ROUND(英雄升级调参!$D$93*英雄升级调参!$J$11*英雄升级调参!$E$20,0)</x:f>
        <x:v>134</x:v>
      </x:c>
      <x:c r="K496" s="12">
        <x:f>ROUND(英雄升级调参!$D$93*英雄升级调参!$C$11*英雄升级调参!$J$11*英雄升级调参!$G$20,0)</x:f>
        <x:v>1853</x:v>
      </x:c>
      <x:c r="L496" s="12" t="n">
        <x:f>养成消耗调参!$E$175</x:f>
        <x:v>1248</x:v>
      </x:c>
      <x:c r="M496" s="12" t="n">
        <x:f>养成消耗调参!$H$175</x:f>
        <x:v>7800</x:v>
      </x:c>
      <x:c r="N496" s="12" t="n">
        <x:f>养成消耗调参!$I$175</x:f>
        <x:v>0</x:v>
      </x:c>
      <x:c r="O496" s="12" t="n">
        <x:f>养成消耗调参!$L$175</x:f>
        <x:v>16320</x:v>
      </x:c>
      <x:c r="P496" s="12" t="n">
        <x:f>养成消耗调参!$O$175</x:f>
        <x:v>93600</x:v>
      </x:c>
      <x:c r="Q496" s="12" t="n">
        <x:f>养成消耗调参!$P$175</x:f>
        <x:v>250</x:v>
      </x:c>
      <x:c r="R496" s="13">
        <x:f>I496/英雄升级调参!$M$93-1</x:f>
        <x:v>-0.0012763594269554757</x:v>
      </x:c>
      <x:c r="S496" s="6"/>
      <x:c r="T496" s="6"/>
      <x:c r="U496" s="6"/>
    </x:row>
    <x:row r="497" ht="21" customHeight="1">
      <x:c r="A497" s="14" t="n">
        <x:f>英雄升级调参!$B$20</x:f>
        <x:v>310002</x:v>
      </x:c>
      <x:c r="B497" s="14" t="str">
        <x:f>英雄升级调参!$C$20</x:f>
        <x:v>贝尔熊</x:v>
      </x:c>
      <x:c r="C497" s="6" t="str">
        <x:f>英雄升级调参!$D$20</x:f>
        <x:v>生存者</x:v>
      </x:c>
      <x:c r="D497" s="6" t="s">
        <x:v>25</x:v>
      </x:c>
      <x:c r="E497" s="6">
        <x:v>29</x:v>
      </x:c>
      <x:c r="F497" s="6" t="n">
        <x:f>英雄升级调参!$C$94</x:f>
        <x:v>6</x:v>
      </x:c>
      <x:c r="G497" s="12">
        <x:f t="shared" si="43"/>
        <x:v>3481</x:v>
      </x:c>
      <x:c r="H497" s="12">
        <x:f t="shared" si="44"/>
        <x:v>48145</x:v>
      </x:c>
      <x:c r="I497" s="12">
        <x:f t="shared" si="42"/>
        <x:v>167592745</x:v>
      </x:c>
      <x:c r="J497" s="12">
        <x:f>ROUND(英雄升级调参!$D$94*英雄升级调参!$J$11*英雄升级调参!$E$20,0)</x:f>
        <x:v>134</x:v>
      </x:c>
      <x:c r="K497" s="12">
        <x:f>ROUND(英雄升级调参!$D$94*英雄升级调参!$C$11*英雄升级调参!$J$11*英雄升级调参!$G$20,0)</x:f>
        <x:v>1853</x:v>
      </x:c>
      <x:c r="L497" s="12" t="n">
        <x:f>养成消耗调参!$E$176</x:f>
        <x:v>1248</x:v>
      </x:c>
      <x:c r="M497" s="12" t="n">
        <x:f>养成消耗调参!$H$176</x:f>
        <x:v>7800</x:v>
      </x:c>
      <x:c r="N497" s="12" t="n">
        <x:f>养成消耗调参!$I$176</x:f>
        <x:v>0</x:v>
      </x:c>
      <x:c r="O497" s="12" t="n">
        <x:f>养成消耗调参!$L$176</x:f>
        <x:v>17568</x:v>
      </x:c>
      <x:c r="P497" s="12" t="n">
        <x:f>养成消耗调参!$O$176</x:f>
        <x:v>101400</x:v>
      </x:c>
      <x:c r="Q497" s="12" t="n">
        <x:f>养成消耗调参!$P$176</x:f>
        <x:v>250</x:v>
      </x:c>
      <x:c r="R497" s="13">
        <x:f>I497/英雄升级调参!$M$94-1</x:f>
        <x:v>-0.0013120265114271445</x:v>
      </x:c>
      <x:c r="S497" s="6"/>
      <x:c r="T497" s="6"/>
      <x:c r="U497" s="6"/>
    </x:row>
    <x:row r="498" ht="21" customHeight="1">
      <x:c r="A498" s="14" t="n">
        <x:f>英雄升级调参!$B$20</x:f>
        <x:v>310002</x:v>
      </x:c>
      <x:c r="B498" s="14" t="str">
        <x:f>英雄升级调参!$C$20</x:f>
        <x:v>贝尔熊</x:v>
      </x:c>
      <x:c r="C498" s="6" t="str">
        <x:f>英雄升级调参!$D$20</x:f>
        <x:v>生存者</x:v>
      </x:c>
      <x:c r="D498" s="6" t="s">
        <x:v>25</x:v>
      </x:c>
      <x:c r="E498" s="6">
        <x:v>30</x:v>
      </x:c>
      <x:c r="F498" s="6" t="n">
        <x:f>英雄升级调参!$C$95</x:f>
        <x:v>6</x:v>
      </x:c>
      <x:c r="G498" s="12">
        <x:f t="shared" si="43"/>
        <x:v>3883</x:v>
      </x:c>
      <x:c r="H498" s="12">
        <x:f t="shared" si="44"/>
        <x:v>53704</x:v>
      </x:c>
      <x:c r="I498" s="12">
        <x:f t="shared" si="42"/>
        <x:v>208532632</x:v>
      </x:c>
      <x:c r="J498" s="12">
        <x:f>ROUND(英雄升级调参!$D$95*英雄升级调参!$J$11*英雄升级调参!$E$20,0)*3</x:f>
        <x:v>402</x:v>
      </x:c>
      <x:c r="K498" s="12">
        <x:f>ROUND(英雄升级调参!$D$95*英雄升级调参!$C$11*英雄升级调参!$J$11*英雄升级调参!$G$20,0)*3</x:f>
        <x:v>5559</x:v>
      </x:c>
      <x:c r="L498" s="12" t="n">
        <x:f>养成消耗调参!$E$177</x:f>
        <x:v>1344</x:v>
      </x:c>
      <x:c r="M498" s="12" t="n">
        <x:f>养成消耗调参!$H$177</x:f>
        <x:v>7800</x:v>
      </x:c>
      <x:c r="N498" s="12" t="n">
        <x:f>养成消耗调参!$I$177</x:f>
        <x:v>110</x:v>
      </x:c>
      <x:c r="O498" s="12" t="n">
        <x:f>养成消耗调参!$L$177</x:f>
        <x:v>18912</x:v>
      </x:c>
      <x:c r="P498" s="12" t="n">
        <x:f>养成消耗调参!$O$177</x:f>
        <x:v>109200</x:v>
      </x:c>
      <x:c r="Q498" s="12" t="n">
        <x:f>养成消耗调参!$P$177</x:f>
        <x:v>360</x:v>
      </x:c>
      <x:c r="R498" s="13">
        <x:f>I498/英雄升级调参!$M$95-1</x:f>
        <x:v>-0.0014042464804708832</x:v>
      </x:c>
      <x:c r="S498" s="6"/>
      <x:c r="T498" s="6"/>
      <x:c r="U498" s="6"/>
    </x:row>
    <x:row r="499" ht="21" customHeight="1">
      <x:c r="A499" s="14" t="n">
        <x:f>英雄升级调参!$B$20</x:f>
        <x:v>310002</x:v>
      </x:c>
      <x:c r="B499" s="14" t="str">
        <x:f>英雄升级调参!$C$20</x:f>
        <x:v>贝尔熊</x:v>
      </x:c>
      <x:c r="C499" s="6" t="str">
        <x:f>英雄升级调参!$D$20</x:f>
        <x:v>生存者</x:v>
      </x:c>
      <x:c r="D499" s="6" t="s">
        <x:v>25</x:v>
      </x:c>
      <x:c r="E499" s="6">
        <x:v>31</x:v>
      </x:c>
      <x:c r="F499" s="6" t="n">
        <x:f>英雄升级调参!$C$96</x:f>
        <x:v>7</x:v>
      </x:c>
      <x:c r="G499" s="12">
        <x:f t="shared" si="43"/>
        <x:v>4036</x:v>
      </x:c>
      <x:c r="H499" s="12">
        <x:f t="shared" si="44"/>
        <x:v>55822</x:v>
      </x:c>
      <x:c r="I499" s="12">
        <x:f t="shared" si="42"/>
        <x:v>225297592</x:v>
      </x:c>
      <x:c r="J499" s="12">
        <x:f>ROUND(英雄升级调参!$D$96*英雄升级调参!$J$11*英雄升级调参!$E$20,0)</x:f>
        <x:v>153</x:v>
      </x:c>
      <x:c r="K499" s="12">
        <x:f>ROUND(英雄升级调参!$D$96*英雄升级调参!$C$11*英雄升级调参!$J$11*英雄升级调参!$G$20,0)</x:f>
        <x:v>2118</x:v>
      </x:c>
      <x:c r="L499" s="12" t="n">
        <x:f>养成消耗调参!$E$178</x:f>
        <x:v>1344</x:v>
      </x:c>
      <x:c r="M499" s="12" t="n">
        <x:f>养成消耗调参!$H$178</x:f>
        <x:v>7800</x:v>
      </x:c>
      <x:c r="N499" s="12" t="n">
        <x:f>养成消耗调参!$I$178</x:f>
        <x:v>0</x:v>
      </x:c>
      <x:c r="O499" s="12" t="n">
        <x:f>养成消耗调参!$L$178</x:f>
        <x:v>20256</x:v>
      </x:c>
      <x:c r="P499" s="12" t="n">
        <x:f>养成消耗调参!$O$178</x:f>
        <x:v>117000</x:v>
      </x:c>
      <x:c r="Q499" s="12" t="n">
        <x:f>养成消耗调参!$P$178</x:f>
        <x:v>360</x:v>
      </x:c>
      <x:c r="R499" s="13">
        <x:f>I499/英雄升级调参!$M$96-1</x:f>
        <x:v>-0.001344776989549823</x:v>
      </x:c>
      <x:c r="S499" s="6"/>
      <x:c r="T499" s="6"/>
      <x:c r="U499" s="6"/>
    </x:row>
    <x:row r="500" ht="21" customHeight="1">
      <x:c r="A500" s="14" t="n">
        <x:f>英雄升级调参!$B$20</x:f>
        <x:v>310002</x:v>
      </x:c>
      <x:c r="B500" s="14" t="str">
        <x:f>英雄升级调参!$C$20</x:f>
        <x:v>贝尔熊</x:v>
      </x:c>
      <x:c r="C500" s="6" t="str">
        <x:f>英雄升级调参!$D$20</x:f>
        <x:v>生存者</x:v>
      </x:c>
      <x:c r="D500" s="6" t="s">
        <x:v>25</x:v>
      </x:c>
      <x:c r="E500" s="6">
        <x:v>32</x:v>
      </x:c>
      <x:c r="F500" s="6" t="n">
        <x:f>英雄升级调参!$C$97</x:f>
        <x:v>7</x:v>
      </x:c>
      <x:c r="G500" s="12">
        <x:f t="shared" si="43"/>
        <x:v>4189</x:v>
      </x:c>
      <x:c r="H500" s="12">
        <x:f t="shared" si="44"/>
        <x:v>57940</x:v>
      </x:c>
      <x:c r="I500" s="12">
        <x:f t="shared" si="42"/>
        <x:v>242710660</x:v>
      </x:c>
      <x:c r="J500" s="12">
        <x:f>ROUND(英雄升级调参!$D$97*英雄升级调参!$J$11*英雄升级调参!$E$20,0)</x:f>
        <x:v>153</x:v>
      </x:c>
      <x:c r="K500" s="12">
        <x:f>ROUND(英雄升级调参!$D$97*英雄升级调参!$C$11*英雄升级调参!$J$11*英雄升级调参!$G$20,0)</x:f>
        <x:v>2118</x:v>
      </x:c>
      <x:c r="L500" s="12" t="n">
        <x:f>养成消耗调参!$E$179</x:f>
        <x:v>1440</x:v>
      </x:c>
      <x:c r="M500" s="12" t="n">
        <x:f>养成消耗调参!$H$179</x:f>
        <x:v>9600</x:v>
      </x:c>
      <x:c r="N500" s="12" t="n">
        <x:f>养成消耗调参!$I$179</x:f>
        <x:v>0</x:v>
      </x:c>
      <x:c r="O500" s="12" t="n">
        <x:f>养成消耗调参!$L$179</x:f>
        <x:v>21696</x:v>
      </x:c>
      <x:c r="P500" s="12" t="n">
        <x:f>养成消耗调参!$O$179</x:f>
        <x:v>126600</x:v>
      </x:c>
      <x:c r="Q500" s="12" t="n">
        <x:f>养成消耗调参!$P$179</x:f>
        <x:v>360</x:v>
      </x:c>
      <x:c r="R500" s="13">
        <x:f>I500/英雄升级调参!$M$97-1</x:f>
        <x:v>-0.0012896458920788056</x:v>
      </x:c>
      <x:c r="S500" s="6"/>
      <x:c r="T500" s="6"/>
      <x:c r="U500" s="6"/>
    </x:row>
    <x:row r="501" ht="21" customHeight="1">
      <x:c r="A501" s="14" t="n">
        <x:f>英雄升级调参!$B$20</x:f>
        <x:v>310002</x:v>
      </x:c>
      <x:c r="B501" s="14" t="str">
        <x:f>英雄升级调参!$C$20</x:f>
        <x:v>贝尔熊</x:v>
      </x:c>
      <x:c r="C501" s="6" t="str">
        <x:f>英雄升级调参!$D$20</x:f>
        <x:v>生存者</x:v>
      </x:c>
      <x:c r="D501" s="6" t="s">
        <x:v>25</x:v>
      </x:c>
      <x:c r="E501" s="6">
        <x:v>33</x:v>
      </x:c>
      <x:c r="F501" s="6" t="n">
        <x:f>英雄升级调参!$C$98</x:f>
        <x:v>7</x:v>
      </x:c>
      <x:c r="G501" s="12">
        <x:f t="shared" si="43"/>
        <x:v>4342</x:v>
      </x:c>
      <x:c r="H501" s="12">
        <x:f t="shared" si="44"/>
        <x:v>60058</x:v>
      </x:c>
      <x:c r="I501" s="12">
        <x:f t="shared" si="42"/>
        <x:v>260771836</x:v>
      </x:c>
      <x:c r="J501" s="12">
        <x:f>ROUND(英雄升级调参!$D$98*英雄升级调参!$J$11*英雄升级调参!$E$20,0)</x:f>
        <x:v>153</x:v>
      </x:c>
      <x:c r="K501" s="12">
        <x:f>ROUND(英雄升级调参!$D$98*英雄升级调参!$C$11*英雄升级调参!$J$11*英雄升级调参!$G$20,0)</x:f>
        <x:v>2118</x:v>
      </x:c>
      <x:c r="L501" s="12" t="n">
        <x:f>养成消耗调参!$E$180</x:f>
        <x:v>1440</x:v>
      </x:c>
      <x:c r="M501" s="12" t="n">
        <x:f>养成消耗调参!$H$180</x:f>
        <x:v>9600</x:v>
      </x:c>
      <x:c r="N501" s="12" t="n">
        <x:f>养成消耗调参!$I$180</x:f>
        <x:v>0</x:v>
      </x:c>
      <x:c r="O501" s="12" t="n">
        <x:f>养成消耗调参!$L$180</x:f>
        <x:v>23136</x:v>
      </x:c>
      <x:c r="P501" s="12" t="n">
        <x:f>养成消耗调参!$O$180</x:f>
        <x:v>136200</x:v>
      </x:c>
      <x:c r="Q501" s="12" t="n">
        <x:f>养成消耗调参!$P$180</x:f>
        <x:v>360</x:v>
      </x:c>
      <x:c r="R501" s="13">
        <x:f>I501/英雄升级调参!$M$98-1</x:f>
        <x:v>-0.0012383951560958062</x:v>
      </x:c>
      <x:c r="S501" s="6"/>
      <x:c r="T501" s="6"/>
      <x:c r="U501" s="6"/>
    </x:row>
    <x:row r="502" ht="21" customHeight="1">
      <x:c r="A502" s="14" t="n">
        <x:f>英雄升级调参!$B$20</x:f>
        <x:v>310002</x:v>
      </x:c>
      <x:c r="B502" s="14" t="str">
        <x:f>英雄升级调参!$C$20</x:f>
        <x:v>贝尔熊</x:v>
      </x:c>
      <x:c r="C502" s="6" t="str">
        <x:f>英雄升级调参!$D$20</x:f>
        <x:v>生存者</x:v>
      </x:c>
      <x:c r="D502" s="6" t="s">
        <x:v>25</x:v>
      </x:c>
      <x:c r="E502" s="6">
        <x:v>34</x:v>
      </x:c>
      <x:c r="F502" s="6" t="n">
        <x:f>英雄升级调参!$C$99</x:f>
        <x:v>7</x:v>
      </x:c>
      <x:c r="G502" s="12">
        <x:f t="shared" ref="G502:G518" si="45">G501+J502</x:f>
        <x:v>4495</x:v>
      </x:c>
      <x:c r="H502" s="12">
        <x:f t="shared" ref="H502:H518" si="46">H501+K502</x:f>
        <x:v>62176</x:v>
      </x:c>
      <x:c r="I502" s="12">
        <x:f t="shared" si="42"/>
        <x:v>279481120</x:v>
      </x:c>
      <x:c r="J502" s="12">
        <x:f>ROUND(英雄升级调参!$D$99*英雄升级调参!$J$11*英雄升级调参!$E$20,0)</x:f>
        <x:v>153</x:v>
      </x:c>
      <x:c r="K502" s="12">
        <x:f>ROUND(英雄升级调参!$D$99*英雄升级调参!$C$11*英雄升级调参!$J$11*英雄升级调参!$G$20,0)</x:f>
        <x:v>2118</x:v>
      </x:c>
      <x:c r="L502" s="12" t="n">
        <x:f>养成消耗调参!$E$181</x:f>
        <x:v>1536</x:v>
      </x:c>
      <x:c r="M502" s="12" t="n">
        <x:f>养成消耗调参!$H$181</x:f>
        <x:v>9600</x:v>
      </x:c>
      <x:c r="N502" s="12" t="n">
        <x:f>养成消耗调参!$I$181</x:f>
        <x:v>0</x:v>
      </x:c>
      <x:c r="O502" s="12" t="n">
        <x:f>养成消耗调参!$L$181</x:f>
        <x:v>24672</x:v>
      </x:c>
      <x:c r="P502" s="12" t="n">
        <x:f>养成消耗调参!$O$181</x:f>
        <x:v>145800</x:v>
      </x:c>
      <x:c r="Q502" s="12" t="n">
        <x:f>养成消耗调参!$P$181</x:f>
        <x:v>360</x:v>
      </x:c>
      <x:c r="R502" s="13">
        <x:f>I502/英雄升级调参!$M$99-1</x:f>
        <x:v>-0.0011906290342049708</x:v>
      </x:c>
      <x:c r="S502" s="6"/>
      <x:c r="T502" s="6"/>
      <x:c r="U502" s="6"/>
    </x:row>
    <x:row r="503" ht="21" customHeight="1">
      <x:c r="A503" s="14" t="n">
        <x:f>英雄升级调参!$B$20</x:f>
        <x:v>310002</x:v>
      </x:c>
      <x:c r="B503" s="14" t="str">
        <x:f>英雄升级调参!$C$20</x:f>
        <x:v>贝尔熊</x:v>
      </x:c>
      <x:c r="C503" s="6" t="str">
        <x:f>英雄升级调参!$D$20</x:f>
        <x:v>生存者</x:v>
      </x:c>
      <x:c r="D503" s="6" t="s">
        <x:v>25</x:v>
      </x:c>
      <x:c r="E503" s="6">
        <x:v>35</x:v>
      </x:c>
      <x:c r="F503" s="6" t="n">
        <x:f>英雄升级调参!$C$100</x:f>
        <x:v>7</x:v>
      </x:c>
      <x:c r="G503" s="12">
        <x:f t="shared" si="45"/>
        <x:v>4954</x:v>
      </x:c>
      <x:c r="H503" s="12">
        <x:f t="shared" si="46"/>
        <x:v>68530</x:v>
      </x:c>
      <x:c r="I503" s="12">
        <x:f t="shared" si="42"/>
        <x:v>339497620</x:v>
      </x:c>
      <x:c r="J503" s="12">
        <x:f>ROUND(英雄升级调参!$D$100*英雄升级调参!$J$11*英雄升级调参!$E$20,0)*3</x:f>
        <x:v>459</x:v>
      </x:c>
      <x:c r="K503" s="12">
        <x:f>ROUND(英雄升级调参!$D$100*英雄升级调参!$C$11*英雄升级调参!$J$11*英雄升级调参!$G$20,0)*3</x:f>
        <x:v>6354</x:v>
      </x:c>
      <x:c r="L503" s="12" t="n">
        <x:f>养成消耗调参!$E$182</x:f>
        <x:v>1536</x:v>
      </x:c>
      <x:c r="M503" s="12" t="n">
        <x:f>养成消耗调参!$H$182</x:f>
        <x:v>9600</x:v>
      </x:c>
      <x:c r="N503" s="12" t="n">
        <x:f>养成消耗调参!$I$182</x:f>
        <x:v>130</x:v>
      </x:c>
      <x:c r="O503" s="12" t="n">
        <x:f>养成消耗调参!$L$182</x:f>
        <x:v>26208</x:v>
      </x:c>
      <x:c r="P503" s="12" t="n">
        <x:f>养成消耗调参!$O$182</x:f>
        <x:v>155400</x:v>
      </x:c>
      <x:c r="Q503" s="12" t="n">
        <x:f>养成消耗调参!$P$182</x:f>
        <x:v>490</x:v>
      </x:c>
      <x:c r="R503" s="13">
        <x:f>I503/英雄升级调参!$M$100-1</x:f>
        <x:v>-0.0010650133956061625</x:v>
      </x:c>
      <x:c r="S503" s="6"/>
      <x:c r="T503" s="6"/>
      <x:c r="U503" s="6"/>
    </x:row>
    <x:row r="504" ht="21" customHeight="1">
      <x:c r="A504" s="14" t="n">
        <x:f>英雄升级调参!$B$20</x:f>
        <x:v>310002</x:v>
      </x:c>
      <x:c r="B504" s="14" t="str">
        <x:f>英雄升级调参!$C$20</x:f>
        <x:v>贝尔熊</x:v>
      </x:c>
      <x:c r="C504" s="6" t="str">
        <x:f>英雄升级调参!$D$20</x:f>
        <x:v>生存者</x:v>
      </x:c>
      <x:c r="D504" s="6" t="s">
        <x:v>25</x:v>
      </x:c>
      <x:c r="E504" s="6">
        <x:v>36</x:v>
      </x:c>
      <x:c r="F504" s="6" t="n">
        <x:f>英雄升级调参!$C$101</x:f>
        <x:v>8</x:v>
      </x:c>
      <x:c r="G504" s="12">
        <x:f t="shared" si="45"/>
        <x:v>5126</x:v>
      </x:c>
      <x:c r="H504" s="12">
        <x:f t="shared" si="46"/>
        <x:v>70912</x:v>
      </x:c>
      <x:c r="I504" s="12">
        <x:f t="shared" si="42"/>
        <x:v>363494912</x:v>
      </x:c>
      <x:c r="J504" s="12">
        <x:f>ROUND(英雄升级调参!$D$101*英雄升级调参!$J$11*英雄升级调参!$E$20,0)</x:f>
        <x:v>172</x:v>
      </x:c>
      <x:c r="K504" s="12">
        <x:f>ROUND(英雄升级调参!$D$101*英雄升级调参!$C$11*英雄升级调参!$J$11*英雄升级调参!$G$20,0)</x:f>
        <x:v>2382</x:v>
      </x:c>
      <x:c r="L504" s="12" t="n">
        <x:f>养成消耗调参!$E$183</x:f>
        <x:v>1632</x:v>
      </x:c>
      <x:c r="M504" s="12" t="n">
        <x:f>养成消耗调参!$H$183</x:f>
        <x:v>9600</x:v>
      </x:c>
      <x:c r="N504" s="12" t="n">
        <x:f>养成消耗调参!$I$183</x:f>
        <x:v>0</x:v>
      </x:c>
      <x:c r="O504" s="12" t="n">
        <x:f>养成消耗调参!$L$183</x:f>
        <x:v>27840</x:v>
      </x:c>
      <x:c r="P504" s="12" t="n">
        <x:f>养成消耗调参!$O$183</x:f>
        <x:v>165000</x:v>
      </x:c>
      <x:c r="Q504" s="12" t="n">
        <x:f>养成消耗调参!$P$183</x:f>
        <x:v>490</x:v>
      </x:c>
      <x:c r="R504" s="13">
        <x:f>I504/英雄升级调参!$M$101-1</x:f>
        <x:v>-0.001141347320078312</x:v>
      </x:c>
      <x:c r="S504" s="6"/>
      <x:c r="T504" s="6"/>
      <x:c r="U504" s="6"/>
    </x:row>
    <x:row r="505" ht="21" customHeight="1">
      <x:c r="A505" s="14" t="n">
        <x:f>英雄升级调参!$B$20</x:f>
        <x:v>310002</x:v>
      </x:c>
      <x:c r="B505" s="14" t="str">
        <x:f>英雄升级调参!$C$20</x:f>
        <x:v>贝尔熊</x:v>
      </x:c>
      <x:c r="C505" s="6" t="str">
        <x:f>英雄升级调参!$D$20</x:f>
        <x:v>生存者</x:v>
      </x:c>
      <x:c r="D505" s="6" t="s">
        <x:v>25</x:v>
      </x:c>
      <x:c r="E505" s="6">
        <x:v>37</x:v>
      </x:c>
      <x:c r="F505" s="6" t="n">
        <x:f>英雄升级调参!$C$102</x:f>
        <x:v>8</x:v>
      </x:c>
      <x:c r="G505" s="12">
        <x:f t="shared" si="45"/>
        <x:v>5298</x:v>
      </x:c>
      <x:c r="H505" s="12">
        <x:f t="shared" si="46"/>
        <x:v>73294</x:v>
      </x:c>
      <x:c r="I505" s="12">
        <x:f t="shared" si="42"/>
        <x:v>388311612</x:v>
      </x:c>
      <x:c r="J505" s="12">
        <x:f>ROUND(英雄升级调参!$D$102*英雄升级调参!$J$11*英雄升级调参!$E$20,0)</x:f>
        <x:v>172</x:v>
      </x:c>
      <x:c r="K505" s="12">
        <x:f>ROUND(英雄升级调参!$D$102*英雄升级调参!$C$11*英雄升级调参!$J$11*英雄升级调参!$G$20,0)</x:f>
        <x:v>2382</x:v>
      </x:c>
      <x:c r="L505" s="12" t="n">
        <x:f>养成消耗调参!$E$184</x:f>
        <x:v>1632</x:v>
      </x:c>
      <x:c r="M505" s="12" t="n">
        <x:f>养成消耗调参!$H$184</x:f>
        <x:v>11400</x:v>
      </x:c>
      <x:c r="N505" s="12" t="n">
        <x:f>养成消耗调参!$I$184</x:f>
        <x:v>0</x:v>
      </x:c>
      <x:c r="O505" s="12" t="n">
        <x:f>养成消耗调参!$L$184</x:f>
        <x:v>29472</x:v>
      </x:c>
      <x:c r="P505" s="12" t="n">
        <x:f>养成消耗调参!$O$184</x:f>
        <x:v>176400</x:v>
      </x:c>
      <x:c r="Q505" s="12" t="n">
        <x:f>养成消耗调参!$P$184</x:f>
        <x:v>490</x:v>
      </x:c>
      <x:c r="R505" s="13">
        <x:f>I505/英雄升级调参!$M$102-1</x:f>
        <x:v>-0.0012127147658002047</x:v>
      </x:c>
      <x:c r="S505" s="6"/>
      <x:c r="T505" s="6"/>
      <x:c r="U505" s="6"/>
    </x:row>
    <x:row r="506" ht="21" customHeight="1">
      <x:c r="A506" s="14" t="n">
        <x:f>英雄升级调参!$B$20</x:f>
        <x:v>310002</x:v>
      </x:c>
      <x:c r="B506" s="14" t="str">
        <x:f>英雄升级调参!$C$20</x:f>
        <x:v>贝尔熊</x:v>
      </x:c>
      <x:c r="C506" s="6" t="str">
        <x:f>英雄升级调参!$D$20</x:f>
        <x:v>生存者</x:v>
      </x:c>
      <x:c r="D506" s="6" t="s">
        <x:v>25</x:v>
      </x:c>
      <x:c r="E506" s="6">
        <x:v>38</x:v>
      </x:c>
      <x:c r="F506" s="6" t="n">
        <x:f>英雄升级调参!$C$103</x:f>
        <x:v>8</x:v>
      </x:c>
      <x:c r="G506" s="12">
        <x:f t="shared" si="45"/>
        <x:v>5470</x:v>
      </x:c>
      <x:c r="H506" s="12">
        <x:f t="shared" si="46"/>
        <x:v>75676</x:v>
      </x:c>
      <x:c r="I506" s="12">
        <x:f t="shared" si="42"/>
        <x:v>413947720</x:v>
      </x:c>
      <x:c r="J506" s="12">
        <x:f>ROUND(英雄升级调参!$D$103*英雄升级调参!$J$11*英雄升级调参!$E$20,0)</x:f>
        <x:v>172</x:v>
      </x:c>
      <x:c r="K506" s="12">
        <x:f>ROUND(英雄升级调参!$D$103*英雄升级调参!$C$11*英雄升级调参!$J$11*英雄升级调参!$G$20,0)</x:f>
        <x:v>2382</x:v>
      </x:c>
      <x:c r="L506" s="12" t="n">
        <x:f>养成消耗调参!$E$185</x:f>
        <x:v>1728</x:v>
      </x:c>
      <x:c r="M506" s="12" t="n">
        <x:f>养成消耗调参!$H$185</x:f>
        <x:v>11400</x:v>
      </x:c>
      <x:c r="N506" s="12" t="n">
        <x:f>养成消耗调参!$I$185</x:f>
        <x:v>0</x:v>
      </x:c>
      <x:c r="O506" s="12" t="n">
        <x:f>养成消耗调参!$L$185</x:f>
        <x:v>31200</x:v>
      </x:c>
      <x:c r="P506" s="12" t="n">
        <x:f>养成消耗调参!$O$185</x:f>
        <x:v>187800</x:v>
      </x:c>
      <x:c r="Q506" s="12" t="n">
        <x:f>养成消耗调参!$P$185</x:f>
        <x:v>490</x:v>
      </x:c>
      <x:c r="R506" s="13">
        <x:f>I506/英雄升级调参!$M$103-1</x:f>
        <x:v>-0.0012795851592440899</x:v>
      </x:c>
      <x:c r="S506" s="6"/>
      <x:c r="T506" s="6"/>
      <x:c r="U506" s="6"/>
    </x:row>
    <x:row r="507" ht="21" customHeight="1">
      <x:c r="A507" s="14" t="n">
        <x:f>英雄升级调参!$B$20</x:f>
        <x:v>310002</x:v>
      </x:c>
      <x:c r="B507" s="14" t="str">
        <x:f>英雄升级调参!$C$20</x:f>
        <x:v>贝尔熊</x:v>
      </x:c>
      <x:c r="C507" s="6" t="str">
        <x:f>英雄升级调参!$D$20</x:f>
        <x:v>生存者</x:v>
      </x:c>
      <x:c r="D507" s="6" t="s">
        <x:v>25</x:v>
      </x:c>
      <x:c r="E507" s="6">
        <x:v>39</x:v>
      </x:c>
      <x:c r="F507" s="6" t="n">
        <x:f>英雄升级调参!$C$104</x:f>
        <x:v>8</x:v>
      </x:c>
      <x:c r="G507" s="12">
        <x:f t="shared" si="45"/>
        <x:v>5642</x:v>
      </x:c>
      <x:c r="H507" s="12">
        <x:f t="shared" si="46"/>
        <x:v>78058</x:v>
      </x:c>
      <x:c r="I507" s="12">
        <x:f t="shared" si="42"/>
        <x:v>440403236</x:v>
      </x:c>
      <x:c r="J507" s="12">
        <x:f>ROUND(英雄升级调参!$D$104*英雄升级调参!$J$11*英雄升级调参!$E$20,0)</x:f>
        <x:v>172</x:v>
      </x:c>
      <x:c r="K507" s="12">
        <x:f>ROUND(英雄升级调参!$D$104*英雄升级调参!$C$11*英雄升级调参!$J$11*英雄升级调参!$G$20,0)</x:f>
        <x:v>2382</x:v>
      </x:c>
      <x:c r="L507" s="12" t="n">
        <x:f>养成消耗调参!$E$186</x:f>
        <x:v>1728</x:v>
      </x:c>
      <x:c r="M507" s="12" t="n">
        <x:f>养成消耗调参!$H$186</x:f>
        <x:v>11400</x:v>
      </x:c>
      <x:c r="N507" s="12" t="n">
        <x:f>养成消耗调参!$I$186</x:f>
        <x:v>0</x:v>
      </x:c>
      <x:c r="O507" s="12" t="n">
        <x:f>养成消耗调参!$L$186</x:f>
        <x:v>32928</x:v>
      </x:c>
      <x:c r="P507" s="12" t="n">
        <x:f>养成消耗调参!$O$186</x:f>
        <x:v>199200</x:v>
      </x:c>
      <x:c r="Q507" s="12" t="n">
        <x:f>养成消耗调参!$P$186</x:f>
        <x:v>490</x:v>
      </x:c>
      <x:c r="R507" s="13">
        <x:f>I507/英雄升级调参!$M$104-1</x:f>
        <x:v>-0.0013423705742475756</x:v>
      </x:c>
      <x:c r="S507" s="6"/>
      <x:c r="T507" s="6"/>
      <x:c r="U507" s="6"/>
    </x:row>
    <x:row r="508" ht="21" customHeight="1">
      <x:c r="A508" s="14" t="n">
        <x:f>英雄升级调参!$B$20</x:f>
        <x:v>310002</x:v>
      </x:c>
      <x:c r="B508" s="14" t="str">
        <x:f>英雄升级调参!$C$20</x:f>
        <x:v>贝尔熊</x:v>
      </x:c>
      <x:c r="C508" s="6" t="str">
        <x:f>英雄升级调参!$D$20</x:f>
        <x:v>生存者</x:v>
      </x:c>
      <x:c r="D508" s="6" t="s">
        <x:v>25</x:v>
      </x:c>
      <x:c r="E508" s="6">
        <x:v>40</x:v>
      </x:c>
      <x:c r="F508" s="6" t="n">
        <x:f>英雄升级调参!$C$105</x:f>
        <x:v>8</x:v>
      </x:c>
      <x:c r="G508" s="12">
        <x:f t="shared" si="45"/>
        <x:v>6158</x:v>
      </x:c>
      <x:c r="H508" s="12">
        <x:f t="shared" si="46"/>
        <x:v>85204</x:v>
      </x:c>
      <x:c r="I508" s="12">
        <x:f t="shared" si="42"/>
        <x:v>524686232</x:v>
      </x:c>
      <x:c r="J508" s="12">
        <x:f>ROUND(英雄升级调参!$D$105*英雄升级调参!$J$11*英雄升级调参!$E$20,0)*3</x:f>
        <x:v>516</x:v>
      </x:c>
      <x:c r="K508" s="12">
        <x:f>ROUND(英雄升级调参!$D$105*英雄升级调参!$C$11*英雄升级调参!$J$11*英雄升级调参!$G$20,0)*3</x:f>
        <x:v>7146</x:v>
      </x:c>
      <x:c r="L508" s="12" t="n">
        <x:f>养成消耗调参!$E$187</x:f>
        <x:v>1824</x:v>
      </x:c>
      <x:c r="M508" s="12" t="n">
        <x:f>养成消耗调参!$H$187</x:f>
        <x:v>11400</x:v>
      </x:c>
      <x:c r="N508" s="12" t="n">
        <x:f>养成消耗调参!$I$187</x:f>
        <x:v>150</x:v>
      </x:c>
      <x:c r="O508" s="12" t="n">
        <x:f>养成消耗调参!$L$187</x:f>
        <x:v>34752</x:v>
      </x:c>
      <x:c r="P508" s="12" t="n">
        <x:f>养成消耗调参!$O$187</x:f>
        <x:v>210600</x:v>
      </x:c>
      <x:c r="Q508" s="12" t="n">
        <x:f>养成消耗调参!$P$187</x:f>
        <x:v>640</x:v>
      </x:c>
      <x:c r="R508" s="13">
        <x:f>I508/英雄升级调参!$M$105-1</x:f>
        <x:v>-0.0015096458944774405</x:v>
      </x:c>
      <x:c r="S508" s="6"/>
      <x:c r="T508" s="6"/>
      <x:c r="U508" s="6"/>
    </x:row>
    <x:row r="509" ht="21" customHeight="1">
      <x:c r="A509" s="14" t="n">
        <x:f>英雄升级调参!$B$20</x:f>
        <x:v>310002</x:v>
      </x:c>
      <x:c r="B509" s="14" t="str">
        <x:f>英雄升级调参!$C$20</x:f>
        <x:v>贝尔熊</x:v>
      </x:c>
      <x:c r="C509" s="6" t="str">
        <x:f>英雄升级调参!$D$20</x:f>
        <x:v>生存者</x:v>
      </x:c>
      <x:c r="D509" s="6" t="s">
        <x:v>25</x:v>
      </x:c>
      <x:c r="E509" s="6">
        <x:v>41</x:v>
      </x:c>
      <x:c r="F509" s="6" t="n">
        <x:f>英雄升级调参!$C$106</x:f>
        <x:v>9</x:v>
      </x:c>
      <x:c r="G509" s="12">
        <x:f t="shared" si="45"/>
        <x:v>6349</x:v>
      </x:c>
      <x:c r="H509" s="12">
        <x:f t="shared" si="46"/>
        <x:v>87851</x:v>
      </x:c>
      <x:c r="I509" s="12">
        <x:f t="shared" si="42"/>
        <x:v>557765999</x:v>
      </x:c>
      <x:c r="J509" s="12">
        <x:f>ROUND(英雄升级调参!$D$106*英雄升级调参!$J$11*英雄升级调参!$E$20,0)</x:f>
        <x:v>191</x:v>
      </x:c>
      <x:c r="K509" s="12">
        <x:f>ROUND(英雄升级调参!$D$106*英雄升级调参!$C$11*英雄升级调参!$J$11*英雄升级调参!$G$20,0)</x:f>
        <x:v>2647</x:v>
      </x:c>
      <x:c r="L509" s="12" t="n">
        <x:f>养成消耗调参!$E$188</x:f>
        <x:v>1824</x:v>
      </x:c>
      <x:c r="M509" s="12" t="n">
        <x:f>养成消耗调参!$H$188</x:f>
        <x:v>11400</x:v>
      </x:c>
      <x:c r="N509" s="12" t="n">
        <x:f>养成消耗调参!$I$188</x:f>
        <x:v>0</x:v>
      </x:c>
      <x:c r="O509" s="12" t="n">
        <x:f>养成消耗调参!$L$188</x:f>
        <x:v>36576</x:v>
      </x:c>
      <x:c r="P509" s="12" t="n">
        <x:f>养成消耗调参!$O$188</x:f>
        <x:v>222000</x:v>
      </x:c>
      <x:c r="Q509" s="12" t="n">
        <x:f>养成消耗调参!$P$188</x:f>
        <x:v>640</x:v>
      </x:c>
      <x:c r="R509" s="13">
        <x:f>I509/英雄升级调参!$M$106-1</x:f>
        <x:v>-0.0015042276557332146</x:v>
      </x:c>
      <x:c r="S509" s="6"/>
      <x:c r="T509" s="6"/>
      <x:c r="U509" s="6"/>
    </x:row>
    <x:row r="510" ht="21" customHeight="1">
      <x:c r="A510" s="14" t="n">
        <x:f>英雄升级调参!$B$20</x:f>
        <x:v>310002</x:v>
      </x:c>
      <x:c r="B510" s="14" t="str">
        <x:f>英雄升级调参!$C$20</x:f>
        <x:v>贝尔熊</x:v>
      </x:c>
      <x:c r="C510" s="6" t="str">
        <x:f>英雄升级调参!$D$20</x:f>
        <x:v>生存者</x:v>
      </x:c>
      <x:c r="D510" s="6" t="s">
        <x:v>25</x:v>
      </x:c>
      <x:c r="E510" s="6">
        <x:v>42</x:v>
      </x:c>
      <x:c r="F510" s="6" t="n">
        <x:f>英雄升级调参!$C$107</x:f>
        <x:v>9</x:v>
      </x:c>
      <x:c r="G510" s="12">
        <x:f t="shared" si="45"/>
        <x:v>6540</x:v>
      </x:c>
      <x:c r="H510" s="12">
        <x:f t="shared" si="46"/>
        <x:v>90498</x:v>
      </x:c>
      <x:c r="I510" s="12">
        <x:f t="shared" si="42"/>
        <x:v>591856920</x:v>
      </x:c>
      <x:c r="J510" s="12">
        <x:f>ROUND(英雄升级调参!$D$107*英雄升级调参!$J$11*英雄升级调参!$E$20,0)</x:f>
        <x:v>191</x:v>
      </x:c>
      <x:c r="K510" s="12">
        <x:f>ROUND(英雄升级调参!$D$107*英雄升级调参!$C$11*英雄升级调参!$J$11*英雄升级调参!$G$20,0)</x:f>
        <x:v>2647</x:v>
      </x:c>
      <x:c r="L510" s="12" t="n">
        <x:f>养成消耗调参!$E$189</x:f>
        <x:v>1920</x:v>
      </x:c>
      <x:c r="M510" s="12" t="n">
        <x:f>养成消耗调参!$H$189</x:f>
        <x:v>13200</x:v>
      </x:c>
      <x:c r="N510" s="12" t="n">
        <x:f>养成消耗调参!$I$189</x:f>
        <x:v>0</x:v>
      </x:c>
      <x:c r="O510" s="12" t="n">
        <x:f>养成消耗调参!$L$189</x:f>
        <x:v>38496</x:v>
      </x:c>
      <x:c r="P510" s="12" t="n">
        <x:f>养成消耗调参!$O$189</x:f>
        <x:v>235200</x:v>
      </x:c>
      <x:c r="Q510" s="12" t="n">
        <x:f>养成消耗调参!$P$189</x:f>
        <x:v>640</x:v>
      </x:c>
      <x:c r="R510" s="13">
        <x:f>I510/英雄升级调参!$M$107-1</x:f>
        <x:v>-0.001499125628144804</x:v>
      </x:c>
      <x:c r="S510" s="6"/>
      <x:c r="T510" s="6"/>
      <x:c r="U510" s="6"/>
    </x:row>
    <x:row r="511" ht="21" customHeight="1">
      <x:c r="A511" s="14" t="n">
        <x:f>英雄升级调参!$B$20</x:f>
        <x:v>310002</x:v>
      </x:c>
      <x:c r="B511" s="14" t="str">
        <x:f>英雄升级调参!$C$20</x:f>
        <x:v>贝尔熊</x:v>
      </x:c>
      <x:c r="C511" s="6" t="str">
        <x:f>英雄升级调参!$D$20</x:f>
        <x:v>生存者</x:v>
      </x:c>
      <x:c r="D511" s="6" t="s">
        <x:v>25</x:v>
      </x:c>
      <x:c r="E511" s="6">
        <x:v>43</x:v>
      </x:c>
      <x:c r="F511" s="6" t="n">
        <x:f>英雄升级调参!$C$108</x:f>
        <x:v>9</x:v>
      </x:c>
      <x:c r="G511" s="12">
        <x:f t="shared" si="45"/>
        <x:v>6731</x:v>
      </x:c>
      <x:c r="H511" s="12">
        <x:f t="shared" si="46"/>
        <x:v>93145</x:v>
      </x:c>
      <x:c r="I511" s="12">
        <x:f t="shared" si="42"/>
        <x:v>626958995</x:v>
      </x:c>
      <x:c r="J511" s="12">
        <x:f>ROUND(英雄升级调参!$D$108*英雄升级调参!$J$11*英雄升级调参!$E$20,0)</x:f>
        <x:v>191</x:v>
      </x:c>
      <x:c r="K511" s="12">
        <x:f>ROUND(英雄升级调参!$D$108*英雄升级调参!$C$11*英雄升级调参!$J$11*英雄升级调参!$G$20,0)</x:f>
        <x:v>2647</x:v>
      </x:c>
      <x:c r="L511" s="12" t="n">
        <x:f>养成消耗调参!$E$190</x:f>
        <x:v>1920</x:v>
      </x:c>
      <x:c r="M511" s="12" t="n">
        <x:f>养成消耗调参!$H$190</x:f>
        <x:v>13200</x:v>
      </x:c>
      <x:c r="N511" s="12" t="n">
        <x:f>养成消耗调参!$I$190</x:f>
        <x:v>0</x:v>
      </x:c>
      <x:c r="O511" s="12" t="n">
        <x:f>养成消耗调参!$L$190</x:f>
        <x:v>40416</x:v>
      </x:c>
      <x:c r="P511" s="12" t="n">
        <x:f>养成消耗调参!$O$190</x:f>
        <x:v>248400</x:v>
      </x:c>
      <x:c r="Q511" s="12" t="n">
        <x:f>养成消耗调参!$P$190</x:f>
        <x:v>640</x:v>
      </x:c>
      <x:c r="R511" s="13">
        <x:f>I511/英雄升级调参!$M$108-1</x:f>
        <x:v>-0.0014943129152321655</x:v>
      </x:c>
      <x:c r="S511" s="6"/>
      <x:c r="T511" s="6"/>
      <x:c r="U511" s="6"/>
    </x:row>
    <x:row r="512" ht="21" customHeight="1">
      <x:c r="A512" s="14" t="n">
        <x:f>英雄升级调参!$B$20</x:f>
        <x:v>310002</x:v>
      </x:c>
      <x:c r="B512" s="14" t="str">
        <x:f>英雄升级调参!$C$20</x:f>
        <x:v>贝尔熊</x:v>
      </x:c>
      <x:c r="C512" s="6" t="str">
        <x:f>英雄升级调参!$D$20</x:f>
        <x:v>生存者</x:v>
      </x:c>
      <x:c r="D512" s="6" t="s">
        <x:v>25</x:v>
      </x:c>
      <x:c r="E512" s="6">
        <x:v>44</x:v>
      </x:c>
      <x:c r="F512" s="6" t="n">
        <x:f>英雄升级调参!$C$109</x:f>
        <x:v>9</x:v>
      </x:c>
      <x:c r="G512" s="12">
        <x:f t="shared" si="45"/>
        <x:v>6922</x:v>
      </x:c>
      <x:c r="H512" s="12">
        <x:f t="shared" si="46"/>
        <x:v>95792</x:v>
      </x:c>
      <x:c r="I512" s="12">
        <x:f t="shared" si="42"/>
        <x:v>663072224</x:v>
      </x:c>
      <x:c r="J512" s="12">
        <x:f>ROUND(英雄升级调参!$D$109*英雄升级调参!$J$11*英雄升级调参!$E$20,0)</x:f>
        <x:v>191</x:v>
      </x:c>
      <x:c r="K512" s="12">
        <x:f>ROUND(英雄升级调参!$D$109*英雄升级调参!$C$11*英雄升级调参!$J$11*英雄升级调参!$G$20,0)</x:f>
        <x:v>2647</x:v>
      </x:c>
      <x:c r="L512" s="12" t="n">
        <x:f>养成消耗调参!$E$191</x:f>
        <x:v>2016</x:v>
      </x:c>
      <x:c r="M512" s="12" t="n">
        <x:f>养成消耗调参!$H$191</x:f>
        <x:v>13200</x:v>
      </x:c>
      <x:c r="N512" s="12" t="n">
        <x:f>养成消耗调参!$I$191</x:f>
        <x:v>0</x:v>
      </x:c>
      <x:c r="O512" s="12" t="n">
        <x:f>养成消耗调参!$L$191</x:f>
        <x:v>42432</x:v>
      </x:c>
      <x:c r="P512" s="12" t="n">
        <x:f>养成消耗调参!$O$191</x:f>
        <x:v>261600</x:v>
      </x:c>
      <x:c r="Q512" s="12" t="n">
        <x:f>养成消耗调参!$P$191</x:f>
        <x:v>640</x:v>
      </x:c>
      <x:c r="R512" s="13">
        <x:f>I512/英雄升级调参!$M$109-1</x:f>
        <x:v>-0.001489765586778713</x:v>
      </x:c>
      <x:c r="S512" s="6"/>
      <x:c r="T512" s="6"/>
      <x:c r="U512" s="6"/>
    </x:row>
    <x:row r="513" ht="21" customHeight="1">
      <x:c r="A513" s="14" t="n">
        <x:f>英雄升级调参!$B$20</x:f>
        <x:v>310002</x:v>
      </x:c>
      <x:c r="B513" s="14" t="str">
        <x:f>英雄升级调参!$C$20</x:f>
        <x:v>贝尔熊</x:v>
      </x:c>
      <x:c r="C513" s="6" t="str">
        <x:f>英雄升级调参!$D$20</x:f>
        <x:v>生存者</x:v>
      </x:c>
      <x:c r="D513" s="6" t="s">
        <x:v>25</x:v>
      </x:c>
      <x:c r="E513" s="6">
        <x:v>45</x:v>
      </x:c>
      <x:c r="F513" s="6" t="n">
        <x:f>英雄升级调参!$C$110</x:f>
        <x:v>9</x:v>
      </x:c>
      <x:c r="G513" s="12">
        <x:f t="shared" si="45"/>
        <x:v>7495</x:v>
      </x:c>
      <x:c r="H513" s="12">
        <x:f t="shared" si="46"/>
        <x:v>103733</x:v>
      </x:c>
      <x:c r="I513" s="12">
        <x:f t="shared" si="42"/>
        <x:v>777478835</x:v>
      </x:c>
      <x:c r="J513" s="12">
        <x:f>ROUND(英雄升级调参!$D$110*英雄升级调参!$J$11*英雄升级调参!$E$20,0)*3</x:f>
        <x:v>573</x:v>
      </x:c>
      <x:c r="K513" s="12">
        <x:f>ROUND(英雄升级调参!$D$110*英雄升级调参!$C$11*英雄升级调参!$J$11*英雄升级调参!$G$20,0)*3</x:f>
        <x:v>7941</x:v>
      </x:c>
      <x:c r="L513" s="12" t="n">
        <x:f>养成消耗调参!$E$192</x:f>
        <x:v>2016</x:v>
      </x:c>
      <x:c r="M513" s="12" t="n">
        <x:f>养成消耗调参!$H$192</x:f>
        <x:v>13200</x:v>
      </x:c>
      <x:c r="N513" s="12" t="n">
        <x:f>养成消耗调参!$I$192</x:f>
        <x:v>170</x:v>
      </x:c>
      <x:c r="O513" s="12" t="n">
        <x:f>养成消耗调参!$L$192</x:f>
        <x:v>44448</x:v>
      </x:c>
      <x:c r="P513" s="12" t="n">
        <x:f>养成消耗调参!$O$192</x:f>
        <x:v>274800</x:v>
      </x:c>
      <x:c r="Q513" s="12" t="n">
        <x:f>养成消耗调参!$P$192</x:f>
        <x:v>810</x:v>
      </x:c>
      <x:c r="R513" s="13">
        <x:f>I513/英雄升级调参!$M$110-1</x:f>
        <x:v>-0.001477513168750999</x:v>
      </x:c>
      <x:c r="S513" s="6"/>
      <x:c r="T513" s="6"/>
      <x:c r="U513" s="6"/>
    </x:row>
    <x:row r="514" ht="21" customHeight="1">
      <x:c r="A514" s="14" t="n">
        <x:f>英雄升级调参!$B$20</x:f>
        <x:v>310002</x:v>
      </x:c>
      <x:c r="B514" s="14" t="str">
        <x:f>英雄升级调参!$C$20</x:f>
        <x:v>贝尔熊</x:v>
      </x:c>
      <x:c r="C514" s="6" t="str">
        <x:f>英雄升级调参!$D$20</x:f>
        <x:v>生存者</x:v>
      </x:c>
      <x:c r="D514" s="6" t="s">
        <x:v>25</x:v>
      </x:c>
      <x:c r="E514" s="6">
        <x:v>46</x:v>
      </x:c>
      <x:c r="F514" s="6" t="n">
        <x:f>英雄升级调参!$C$111</x:f>
        <x:v>10</x:v>
      </x:c>
      <x:c r="G514" s="12">
        <x:f t="shared" si="45"/>
        <x:v>7705</x:v>
      </x:c>
      <x:c r="H514" s="12">
        <x:f t="shared" si="46"/>
        <x:v>106645</x:v>
      </x:c>
      <x:c r="I514" s="12">
        <x:f t="shared" si="42"/>
        <x:v>821699725</x:v>
      </x:c>
      <x:c r="J514" s="12">
        <x:f>ROUND(英雄升级调参!$D$111*英雄升级调参!$J$11*英雄升级调参!$E$20,0)</x:f>
        <x:v>210</x:v>
      </x:c>
      <x:c r="K514" s="12">
        <x:f>ROUND(英雄升级调参!$D$111*英雄升级调参!$C$11*英雄升级调参!$J$11*英雄升级调参!$G$20,0)</x:f>
        <x:v>2912</x:v>
      </x:c>
      <x:c r="L514" s="12" t="n">
        <x:f>养成消耗调参!$E$193</x:f>
        <x:v>2112</x:v>
      </x:c>
      <x:c r="M514" s="12" t="n">
        <x:f>养成消耗调参!$H$193</x:f>
        <x:v>13200</x:v>
      </x:c>
      <x:c r="N514" s="12" t="n">
        <x:f>养成消耗调参!$I$193</x:f>
        <x:v>0</x:v>
      </x:c>
      <x:c r="O514" s="12" t="n">
        <x:f>养成消耗调参!$L$193</x:f>
        <x:v>46560</x:v>
      </x:c>
      <x:c r="P514" s="12" t="n">
        <x:f>养成消耗调参!$O$193</x:f>
        <x:v>288000</x:v>
      </x:c>
      <x:c r="Q514" s="12" t="n">
        <x:f>养成消耗调参!$P$193</x:f>
        <x:v>810</x:v>
      </x:c>
      <x:c r="R514" s="13">
        <x:f>I514/英雄升级调参!$M$111-1</x:f>
        <x:v>-0.0015386177183963623</x:v>
      </x:c>
      <x:c r="S514" s="6"/>
      <x:c r="T514" s="6"/>
      <x:c r="U514" s="6"/>
    </x:row>
    <x:row r="515" ht="21" customHeight="1">
      <x:c r="A515" s="14" t="n">
        <x:f>英雄升级调参!$B$20</x:f>
        <x:v>310002</x:v>
      </x:c>
      <x:c r="B515" s="14" t="str">
        <x:f>英雄升级调参!$C$20</x:f>
        <x:v>贝尔熊</x:v>
      </x:c>
      <x:c r="C515" s="6" t="str">
        <x:f>英雄升级调参!$D$20</x:f>
        <x:v>生存者</x:v>
      </x:c>
      <x:c r="D515" s="6" t="s">
        <x:v>25</x:v>
      </x:c>
      <x:c r="E515" s="6">
        <x:v>47</x:v>
      </x:c>
      <x:c r="F515" s="6" t="n">
        <x:f>英雄升级调参!$C$112</x:f>
        <x:v>10</x:v>
      </x:c>
      <x:c r="G515" s="12">
        <x:f t="shared" si="45"/>
        <x:v>7915</x:v>
      </x:c>
      <x:c r="H515" s="12">
        <x:f t="shared" si="46"/>
        <x:v>109557</x:v>
      </x:c>
      <x:c r="I515" s="12">
        <x:f t="shared" si="42"/>
        <x:v>867143655</x:v>
      </x:c>
      <x:c r="J515" s="12">
        <x:f>ROUND(英雄升级调参!$D$112*英雄升级调参!$J$11*英雄升级调参!$E$20,0)</x:f>
        <x:v>210</x:v>
      </x:c>
      <x:c r="K515" s="12">
        <x:f>ROUND(英雄升级调参!$D$112*英雄升级调参!$C$11*英雄升级调参!$J$11*英雄升级调参!$G$20,0)</x:f>
        <x:v>2912</x:v>
      </x:c>
      <x:c r="L515" s="12" t="n">
        <x:f>养成消耗调参!$E$194</x:f>
        <x:v>2112</x:v>
      </x:c>
      <x:c r="M515" s="12" t="n">
        <x:f>养成消耗调参!$H$194</x:f>
        <x:v>15000</x:v>
      </x:c>
      <x:c r="N515" s="12" t="n">
        <x:f>养成消耗调参!$I$194</x:f>
        <x:v>0</x:v>
      </x:c>
      <x:c r="O515" s="12" t="n">
        <x:f>养成消耗调参!$L$194</x:f>
        <x:v>48672</x:v>
      </x:c>
      <x:c r="P515" s="12" t="n">
        <x:f>养成消耗调参!$O$194</x:f>
        <x:v>303000</x:v>
      </x:c>
      <x:c r="Q515" s="12" t="n">
        <x:f>养成消耗调参!$P$194</x:f>
        <x:v>810</x:v>
      </x:c>
      <x:c r="R515" s="13">
        <x:f>I515/英雄升级调参!$M$112-1</x:f>
        <x:v>-0.0015964729103732367</x:v>
      </x:c>
      <x:c r="S515" s="6"/>
      <x:c r="T515" s="6"/>
      <x:c r="U515" s="6"/>
    </x:row>
    <x:row r="516" ht="21" customHeight="1">
      <x:c r="A516" s="14" t="n">
        <x:f>英雄升级调参!$B$20</x:f>
        <x:v>310002</x:v>
      </x:c>
      <x:c r="B516" s="14" t="str">
        <x:f>英雄升级调参!$C$20</x:f>
        <x:v>贝尔熊</x:v>
      </x:c>
      <x:c r="C516" s="6" t="str">
        <x:f>英雄升级调参!$D$20</x:f>
        <x:v>生存者</x:v>
      </x:c>
      <x:c r="D516" s="6" t="s">
        <x:v>25</x:v>
      </x:c>
      <x:c r="E516" s="6">
        <x:v>48</x:v>
      </x:c>
      <x:c r="F516" s="6" t="n">
        <x:f>英雄升级调参!$C$113</x:f>
        <x:v>10</x:v>
      </x:c>
      <x:c r="G516" s="12">
        <x:f t="shared" si="45"/>
        <x:v>8125</x:v>
      </x:c>
      <x:c r="H516" s="12">
        <x:f t="shared" si="46"/>
        <x:v>112469</x:v>
      </x:c>
      <x:c r="I516" s="12">
        <x:f t="shared" si="42"/>
        <x:v>913810625</x:v>
      </x:c>
      <x:c r="J516" s="12">
        <x:f>ROUND(英雄升级调参!$D$113*英雄升级调参!$J$11*英雄升级调参!$E$20,0)</x:f>
        <x:v>210</x:v>
      </x:c>
      <x:c r="K516" s="12">
        <x:f>ROUND(英雄升级调参!$D$113*英雄升级调参!$C$11*英雄升级调参!$J$11*英雄升级调参!$G$20,0)</x:f>
        <x:v>2912</x:v>
      </x:c>
      <x:c r="L516" s="12" t="n">
        <x:f>养成消耗调参!$E$195</x:f>
        <x:v>2208</x:v>
      </x:c>
      <x:c r="M516" s="12" t="n">
        <x:f>养成消耗调参!$H$195</x:f>
        <x:v>15000</x:v>
      </x:c>
      <x:c r="N516" s="12" t="n">
        <x:f>养成消耗调参!$I$195</x:f>
        <x:v>0</x:v>
      </x:c>
      <x:c r="O516" s="12" t="n">
        <x:f>养成消耗调参!$L$195</x:f>
        <x:v>50880</x:v>
      </x:c>
      <x:c r="P516" s="12" t="n">
        <x:f>养成消耗调参!$O$195</x:f>
        <x:v>318000</x:v>
      </x:c>
      <x:c r="Q516" s="12" t="n">
        <x:f>养成消耗调参!$P$195</x:f>
        <x:v>810</x:v>
      </x:c>
      <x:c r="R516" s="13">
        <x:f>I516/英雄升级调参!$M$113-1</x:f>
        <x:v>-0.0016513312185041373</x:v>
      </x:c>
      <x:c r="S516" s="6"/>
      <x:c r="T516" s="6"/>
      <x:c r="U516" s="6"/>
    </x:row>
    <x:row r="517" ht="21" customHeight="1">
      <x:c r="A517" s="14" t="n">
        <x:f>英雄升级调参!$B$20</x:f>
        <x:v>310002</x:v>
      </x:c>
      <x:c r="B517" s="14" t="str">
        <x:f>英雄升级调参!$C$20</x:f>
        <x:v>贝尔熊</x:v>
      </x:c>
      <x:c r="C517" s="6" t="str">
        <x:f>英雄升级调参!$D$20</x:f>
        <x:v>生存者</x:v>
      </x:c>
      <x:c r="D517" s="6" t="s">
        <x:v>25</x:v>
      </x:c>
      <x:c r="E517" s="6">
        <x:v>49</x:v>
      </x:c>
      <x:c r="F517" s="6" t="n">
        <x:f>英雄升级调参!$C$114</x:f>
        <x:v>10</x:v>
      </x:c>
      <x:c r="G517" s="12">
        <x:f t="shared" si="45"/>
        <x:v>8335</x:v>
      </x:c>
      <x:c r="H517" s="12">
        <x:f t="shared" si="46"/>
        <x:v>115381</x:v>
      </x:c>
      <x:c r="I517" s="12">
        <x:f t="shared" ref="I517:I580" si="47">G517*H517</x:f>
        <x:v>961700635</x:v>
      </x:c>
      <x:c r="J517" s="12">
        <x:f>ROUND(英雄升级调参!$D$114*英雄升级调参!$J$11*英雄升级调参!$E$20,0)</x:f>
        <x:v>210</x:v>
      </x:c>
      <x:c r="K517" s="12">
        <x:f>ROUND(英雄升级调参!$D$114*英雄升级调参!$C$11*英雄升级调参!$J$11*英雄升级调参!$G$20,0)</x:f>
        <x:v>2912</x:v>
      </x:c>
      <x:c r="L517" s="12" t="n">
        <x:f>养成消耗调参!$E$196</x:f>
        <x:v>2208</x:v>
      </x:c>
      <x:c r="M517" s="12" t="n">
        <x:f>养成消耗调参!$H$196</x:f>
        <x:v>15000</x:v>
      </x:c>
      <x:c r="N517" s="12" t="n">
        <x:f>养成消耗调参!$I$196</x:f>
        <x:v>0</x:v>
      </x:c>
      <x:c r="O517" s="12" t="n">
        <x:f>养成消耗调参!$L$196</x:f>
        <x:v>53088</x:v>
      </x:c>
      <x:c r="P517" s="12" t="n">
        <x:f>养成消耗调参!$O$196</x:f>
        <x:v>333000</x:v>
      </x:c>
      <x:c r="Q517" s="12" t="n">
        <x:f>养成消耗调参!$P$196</x:f>
        <x:v>810</x:v>
      </x:c>
      <x:c r="R517" s="13">
        <x:f>I517/英雄升级调参!$M$114-1</x:f>
        <x:v>-0.0017034196207926788</x:v>
      </x:c>
      <x:c r="S517" s="6"/>
      <x:c r="T517" s="6"/>
      <x:c r="U517" s="6"/>
    </x:row>
    <x:row r="518" ht="21" customHeight="1">
      <x:c r="A518" s="14" t="n">
        <x:f>英雄升级调参!$B$20</x:f>
        <x:v>310002</x:v>
      </x:c>
      <x:c r="B518" s="14" t="str">
        <x:f>英雄升级调参!$C$20</x:f>
        <x:v>贝尔熊</x:v>
      </x:c>
      <x:c r="C518" s="6" t="str">
        <x:f>英雄升级调参!$D$20</x:f>
        <x:v>生存者</x:v>
      </x:c>
      <x:c r="D518" s="6" t="s">
        <x:v>25</x:v>
      </x:c>
      <x:c r="E518" s="6">
        <x:v>50</x:v>
      </x:c>
      <x:c r="F518" s="6" t="n">
        <x:f>英雄升级调参!$C$115</x:f>
        <x:v>10</x:v>
      </x:c>
      <x:c r="G518" s="12">
        <x:f t="shared" si="45"/>
        <x:v>8965</x:v>
      </x:c>
      <x:c r="H518" s="12">
        <x:f t="shared" si="46"/>
        <x:v>124117</x:v>
      </x:c>
      <x:c r="I518" s="12">
        <x:f t="shared" si="47"/>
        <x:v>1112708905</x:v>
      </x:c>
      <x:c r="J518" s="12">
        <x:f>ROUND(英雄升级调参!$D$115*英雄升级调参!$J$11*英雄升级调参!$E$20,0)*3</x:f>
        <x:v>630</x:v>
      </x:c>
      <x:c r="K518" s="12">
        <x:f>ROUND(英雄升级调参!$D$115*英雄升级调参!$C$11*英雄升级调参!$J$11*英雄升级调参!$G$20,0)*3</x:f>
        <x:v>8736</x:v>
      </x:c>
      <x:c r="L518" s="12" t="n">
        <x:f>养成消耗调参!$E$197</x:f>
        <x:v>2304</x:v>
      </x:c>
      <x:c r="M518" s="12" t="n">
        <x:f>养成消耗调参!$H$197</x:f>
        <x:v>15000</x:v>
      </x:c>
      <x:c r="N518" s="12" t="n">
        <x:f>养成消耗调参!$I$197</x:f>
        <x:v>190</x:v>
      </x:c>
      <x:c r="O518" s="12" t="n">
        <x:f>养成消耗调参!$L$197</x:f>
        <x:v>55392</x:v>
      </x:c>
      <x:c r="P518" s="12" t="n">
        <x:f>养成消耗调参!$O$197</x:f>
        <x:v>348000</x:v>
      </x:c>
      <x:c r="Q518" s="12" t="n">
        <x:f>养成消耗调参!$P$197</x:f>
        <x:v>1000</x:v>
      </x:c>
      <x:c r="R518" s="13">
        <x:f>I518/英雄升级调参!$M$115-1</x:f>
        <x:v>-0.001845015562082275</x:v>
      </x:c>
      <x:c r="S518" s="6"/>
      <x:c r="T518" s="6"/>
      <x:c r="U518" s="6"/>
    </x:row>
    <x:row r="519" ht="21" customHeight="1">
      <x:c r="A519" s="14" t="n">
        <x:f>英雄升级调参!$B$21</x:f>
        <x:v>310003</x:v>
      </x:c>
      <x:c r="B519" s="14" t="str">
        <x:f>英雄升级调参!$C$21</x:f>
        <x:v>鲀小泡</x:v>
      </x:c>
      <x:c r="C519" s="6" t="str">
        <x:f>英雄升级调参!$D$21</x:f>
        <x:v>战士</x:v>
      </x:c>
      <x:c r="D519" s="6" t="s">
        <x:v>18</x:v>
      </x:c>
      <x:c r="E519" s="6">
        <x:v>1</x:v>
      </x:c>
      <x:c r="F519" s="6" t="n">
        <x:f>英雄升级调参!$C$66</x:f>
        <x:v>1</x:v>
      </x:c>
      <x:c r="G519" s="12" t="n">
        <x:f>ROUND(英雄升级调参!$E$66*英雄升级调参!$E$21,0)</x:f>
        <x:v>66</x:v>
      </x:c>
      <x:c r="H519" s="12" t="n">
        <x:f>ROUND(英雄升级调参!$F$66*英雄升级调参!$G$21,0)</x:f>
        <x:v>545</x:v>
      </x:c>
      <x:c r="I519" s="12">
        <x:f t="shared" si="47"/>
        <x:v>35970</x:v>
      </x:c>
      <x:c r="J519" s="12" t="n">
        <x:f>0</x:f>
        <x:v>0</x:v>
      </x:c>
      <x:c r="K519" s="12" t="n">
        <x:f>0</x:f>
        <x:v>0</x:v>
      </x:c>
      <x:c r="L519" s="12" t="n">
        <x:f>养成消耗调参!$C$148</x:f>
        <x:v>0</x:v>
      </x:c>
      <x:c r="M519" s="12" t="n">
        <x:f>养成消耗调参!$F$148</x:f>
        <x:v>0</x:v>
      </x:c>
      <x:c r="N519" s="12" t="n">
        <x:f>养成消耗调参!$I$148</x:f>
        <x:v>0</x:v>
      </x:c>
      <x:c r="O519" s="12" t="n">
        <x:f>养成消耗调参!$J$148</x:f>
        <x:v>0</x:v>
      </x:c>
      <x:c r="P519" s="12" t="n">
        <x:f>养成消耗调参!$M$148</x:f>
        <x:v>0</x:v>
      </x:c>
      <x:c r="Q519" s="12" t="n">
        <x:f>养成消耗调参!$P$148</x:f>
        <x:v>0</x:v>
      </x:c>
      <x:c r="R519" s="13" t="n">
        <x:f>I519/英雄升级调参!$G$66-1</x:f>
        <x:v>-0.0008333333333333526</x:v>
      </x:c>
      <x:c r="S519" s="6"/>
      <x:c r="T519" s="6"/>
      <x:c r="U519" s="6"/>
    </x:row>
    <x:row r="520" ht="21" customHeight="1">
      <x:c r="A520" s="14" t="n">
        <x:f>英雄升级调参!$B$21</x:f>
        <x:v>310003</x:v>
      </x:c>
      <x:c r="B520" s="14" t="str">
        <x:f>英雄升级调参!$C$21</x:f>
        <x:v>鲀小泡</x:v>
      </x:c>
      <x:c r="C520" s="6" t="str">
        <x:f>英雄升级调参!$D$21</x:f>
        <x:v>战士</x:v>
      </x:c>
      <x:c r="D520" s="6" t="s">
        <x:v>18</x:v>
      </x:c>
      <x:c r="E520" s="6">
        <x:v>2</x:v>
      </x:c>
      <x:c r="F520" s="6" t="n">
        <x:f>英雄升级调参!$C$67</x:f>
        <x:v>1</x:v>
      </x:c>
      <x:c r="G520" s="12">
        <x:f t="shared" ref="G520:G551" si="48">G519+J520</x:f>
        <x:v>86</x:v>
      </x:c>
      <x:c r="H520" s="12">
        <x:f t="shared" ref="H520:H551" si="49">H519+K520</x:f>
        <x:v>709</x:v>
      </x:c>
      <x:c r="I520" s="12">
        <x:f t="shared" si="47"/>
        <x:v>60974</x:v>
      </x:c>
      <x:c r="J520" s="12">
        <x:f>ROUND(英雄升级调参!$D$67*英雄升级调参!$J$9*英雄升级调参!$E$21,0)</x:f>
        <x:v>20</x:v>
      </x:c>
      <x:c r="K520" s="12">
        <x:f>ROUND(英雄升级调参!$D$67*英雄升级调参!$C$11*英雄升级调参!$J$9*英雄升级调参!$G$21,0)</x:f>
        <x:v>164</x:v>
      </x:c>
      <x:c r="L520" s="12" t="n">
        <x:f>养成消耗调参!$C$149</x:f>
        <x:v>24</x:v>
      </x:c>
      <x:c r="M520" s="12" t="n">
        <x:f>养成消耗调参!$F$149</x:f>
        <x:v>300</x:v>
      </x:c>
      <x:c r="N520" s="12" t="n">
        <x:f>养成消耗调参!$I$149</x:f>
        <x:v>0</x:v>
      </x:c>
      <x:c r="O520" s="12" t="n">
        <x:f>养成消耗调参!$J$149</x:f>
        <x:v>24</x:v>
      </x:c>
      <x:c r="P520" s="12" t="n">
        <x:f>养成消耗调参!$M$149</x:f>
        <x:v>300</x:v>
      </x:c>
      <x:c r="Q520" s="12" t="n">
        <x:f>养成消耗调参!$P$149</x:f>
        <x:v>0</x:v>
      </x:c>
      <x:c r="R520" s="13">
        <x:f>I520/英雄升级调参!$G$67-1</x:f>
        <x:v>0.002202498356344451</x:v>
      </x:c>
      <x:c r="S520" s="6"/>
      <x:c r="T520" s="6"/>
      <x:c r="U520" s="6"/>
    </x:row>
    <x:row r="521" ht="21" customHeight="1">
      <x:c r="A521" s="14" t="n">
        <x:f>英雄升级调参!$B$21</x:f>
        <x:v>310003</x:v>
      </x:c>
      <x:c r="B521" s="14" t="str">
        <x:f>英雄升级调参!$C$21</x:f>
        <x:v>鲀小泡</x:v>
      </x:c>
      <x:c r="C521" s="6" t="str">
        <x:f>英雄升级调参!$D$21</x:f>
        <x:v>战士</x:v>
      </x:c>
      <x:c r="D521" s="6" t="s">
        <x:v>18</x:v>
      </x:c>
      <x:c r="E521" s="6">
        <x:v>3</x:v>
      </x:c>
      <x:c r="F521" s="6" t="n">
        <x:f>英雄升级调参!$C$68</x:f>
        <x:v>1</x:v>
      </x:c>
      <x:c r="G521" s="12">
        <x:f t="shared" si="48"/>
        <x:v>106</x:v>
      </x:c>
      <x:c r="H521" s="12">
        <x:f t="shared" si="49"/>
        <x:v>873</x:v>
      </x:c>
      <x:c r="I521" s="12">
        <x:f t="shared" si="47"/>
        <x:v>92538</x:v>
      </x:c>
      <x:c r="J521" s="12">
        <x:f>ROUND(英雄升级调参!$D$68*英雄升级调参!$J$9*英雄升级调参!$E$21,0)</x:f>
        <x:v>20</x:v>
      </x:c>
      <x:c r="K521" s="12">
        <x:f>ROUND(英雄升级调参!$D$68*英雄升级调参!$C$11*英雄升级调参!$J$9*英雄升级调参!$G$21,0)</x:f>
        <x:v>164</x:v>
      </x:c>
      <x:c r="L521" s="12" t="n">
        <x:f>养成消耗调参!$C$150</x:f>
        <x:v>24</x:v>
      </x:c>
      <x:c r="M521" s="12" t="n">
        <x:f>养成消耗调参!$F$150</x:f>
        <x:v>300</x:v>
      </x:c>
      <x:c r="N521" s="12" t="n">
        <x:f>养成消耗调参!$I$150</x:f>
        <x:v>0</x:v>
      </x:c>
      <x:c r="O521" s="12" t="n">
        <x:f>养成消耗调参!$J$150</x:f>
        <x:v>48</x:v>
      </x:c>
      <x:c r="P521" s="12" t="n">
        <x:f>养成消耗调参!$M$150</x:f>
        <x:v>600</x:v>
      </x:c>
      <x:c r="Q521" s="12" t="n">
        <x:f>养成消耗调参!$P$150</x:f>
        <x:v>0</x:v>
      </x:c>
      <x:c r="R521" s="13">
        <x:f>I521/英雄升级调参!$G$68-1</x:f>
        <x:v>0.004101562500000044</x:v>
      </x:c>
      <x:c r="S521" s="6"/>
      <x:c r="T521" s="6"/>
      <x:c r="U521" s="6"/>
    </x:row>
    <x:row r="522" ht="21" customHeight="1">
      <x:c r="A522" s="14" t="n">
        <x:f>英雄升级调参!$B$21</x:f>
        <x:v>310003</x:v>
      </x:c>
      <x:c r="B522" s="14" t="str">
        <x:f>英雄升级调参!$C$21</x:f>
        <x:v>鲀小泡</x:v>
      </x:c>
      <x:c r="C522" s="6" t="str">
        <x:f>英雄升级调参!$D$21</x:f>
        <x:v>战士</x:v>
      </x:c>
      <x:c r="D522" s="6" t="s">
        <x:v>18</x:v>
      </x:c>
      <x:c r="E522" s="6">
        <x:v>4</x:v>
      </x:c>
      <x:c r="F522" s="6" t="n">
        <x:f>英雄升级调参!$C$69</x:f>
        <x:v>1</x:v>
      </x:c>
      <x:c r="G522" s="12">
        <x:f t="shared" si="48"/>
        <x:v>126</x:v>
      </x:c>
      <x:c r="H522" s="12">
        <x:f t="shared" si="49"/>
        <x:v>1037</x:v>
      </x:c>
      <x:c r="I522" s="12">
        <x:f t="shared" si="47"/>
        <x:v>130662</x:v>
      </x:c>
      <x:c r="J522" s="12">
        <x:f>ROUND(英雄升级调参!$D$69*英雄升级调参!$J$9*英雄升级调参!$E$21,0)</x:f>
        <x:v>20</x:v>
      </x:c>
      <x:c r="K522" s="12">
        <x:f>ROUND(英雄升级调参!$D$69*英雄升级调参!$C$11*英雄升级调参!$J$9*英雄升级调参!$G$21,0)</x:f>
        <x:v>164</x:v>
      </x:c>
      <x:c r="L522" s="12" t="n">
        <x:f>养成消耗调参!$C$151</x:f>
        <x:v>48</x:v>
      </x:c>
      <x:c r="M522" s="12" t="n">
        <x:f>养成消耗调参!$F$151</x:f>
        <x:v>300</x:v>
      </x:c>
      <x:c r="N522" s="12" t="n">
        <x:f>养成消耗调参!$I$151</x:f>
        <x:v>0</x:v>
      </x:c>
      <x:c r="O522" s="12" t="n">
        <x:f>养成消耗调参!$J$151</x:f>
        <x:v>96</x:v>
      </x:c>
      <x:c r="P522" s="12" t="n">
        <x:f>养成消耗调参!$M$151</x:f>
        <x:v>900</x:v>
      </x:c>
      <x:c r="Q522" s="12" t="n">
        <x:f>养成消耗调参!$P$151</x:f>
        <x:v>0</x:v>
      </x:c>
      <x:c r="R522" s="13">
        <x:f>I522/英雄升级调参!$G$69-1</x:f>
        <x:v>0.005401662049861589</x:v>
      </x:c>
      <x:c r="S522" s="6"/>
      <x:c r="T522" s="6"/>
      <x:c r="U522" s="6"/>
    </x:row>
    <x:row r="523" ht="21" customHeight="1">
      <x:c r="A523" s="14" t="n">
        <x:f>英雄升级调参!$B$21</x:f>
        <x:v>310003</x:v>
      </x:c>
      <x:c r="B523" s="14" t="str">
        <x:f>英雄升级调参!$C$21</x:f>
        <x:v>鲀小泡</x:v>
      </x:c>
      <x:c r="C523" s="6" t="str">
        <x:f>英雄升级调参!$D$21</x:f>
        <x:v>战士</x:v>
      </x:c>
      <x:c r="D523" s="6" t="s">
        <x:v>18</x:v>
      </x:c>
      <x:c r="E523" s="6">
        <x:v>5</x:v>
      </x:c>
      <x:c r="F523" s="6" t="n">
        <x:f>英雄升级调参!$C$70</x:f>
        <x:v>1</x:v>
      </x:c>
      <x:c r="G523" s="12">
        <x:f t="shared" si="48"/>
        <x:v>186</x:v>
      </x:c>
      <x:c r="H523" s="12">
        <x:f t="shared" si="49"/>
        <x:v>1529</x:v>
      </x:c>
      <x:c r="I523" s="12">
        <x:f t="shared" si="47"/>
        <x:v>284394</x:v>
      </x:c>
      <x:c r="J523" s="12">
        <x:f>ROUND(英雄升级调参!$D$70*英雄升级调参!$J$9*英雄升级调参!$E$21,0)*3</x:f>
        <x:v>60</x:v>
      </x:c>
      <x:c r="K523" s="12">
        <x:f>ROUND(英雄升级调参!$D$70*英雄升级调参!$C$11*英雄升级调参!$J$9*英雄升级调参!$G$21,0)*3</x:f>
        <x:v>492</x:v>
      </x:c>
      <x:c r="L523" s="12" t="n">
        <x:f>养成消耗调参!$C$152</x:f>
        <x:v>72</x:v>
      </x:c>
      <x:c r="M523" s="12" t="n">
        <x:f>养成消耗调参!$F$152</x:f>
        <x:v>300</x:v>
      </x:c>
      <x:c r="N523" s="12" t="n">
        <x:f>养成消耗调参!$I$152</x:f>
        <x:v>10</x:v>
      </x:c>
      <x:c r="O523" s="12" t="n">
        <x:f>养成消耗调参!$J$152</x:f>
        <x:v>168</x:v>
      </x:c>
      <x:c r="P523" s="12" t="n">
        <x:f>养成消耗调参!$M$152</x:f>
        <x:v>1200</x:v>
      </x:c>
      <x:c r="Q523" s="12" t="n">
        <x:f>养成消耗调参!$P$152</x:f>
        <x:v>10</x:v>
      </x:c>
      <x:c r="R523" s="13">
        <x:f>I523/英雄升级调参!$G$70-1</x:f>
        <x:v>0.007631802721088432</x:v>
      </x:c>
      <x:c r="S523" s="6"/>
      <x:c r="T523" s="6"/>
      <x:c r="U523" s="6"/>
    </x:row>
    <x:row r="524" ht="21" customHeight="1">
      <x:c r="A524" s="14" t="n">
        <x:f>英雄升级调参!$B$21</x:f>
        <x:v>310003</x:v>
      </x:c>
      <x:c r="B524" s="14" t="str">
        <x:f>英雄升级调参!$C$21</x:f>
        <x:v>鲀小泡</x:v>
      </x:c>
      <x:c r="C524" s="6" t="str">
        <x:f>英雄升级调参!$D$21</x:f>
        <x:v>战士</x:v>
      </x:c>
      <x:c r="D524" s="6" t="s">
        <x:v>18</x:v>
      </x:c>
      <x:c r="E524" s="6">
        <x:v>6</x:v>
      </x:c>
      <x:c r="F524" s="6" t="n">
        <x:f>英雄升级调参!$C$71</x:f>
        <x:v>2</x:v>
      </x:c>
      <x:c r="G524" s="12">
        <x:f t="shared" si="48"/>
        <x:v>216</x:v>
      </x:c>
      <x:c r="H524" s="12">
        <x:f t="shared" si="49"/>
        <x:v>1774</x:v>
      </x:c>
      <x:c r="I524" s="12">
        <x:f t="shared" si="47"/>
        <x:v>383184</x:v>
      </x:c>
      <x:c r="J524" s="12">
        <x:f>ROUND(英雄升级调参!$D$71*英雄升级调参!$J$9*英雄升级调参!$E$21,0)</x:f>
        <x:v>30</x:v>
      </x:c>
      <x:c r="K524" s="12">
        <x:f>ROUND(英雄升级调参!$D$71*英雄升级调参!$C$11*英雄升级调参!$J$9*英雄升级调参!$G$21,0)</x:f>
        <x:v>245</x:v>
      </x:c>
      <x:c r="L524" s="12" t="n">
        <x:f>养成消耗调参!$C$153</x:f>
        <x:v>120</x:v>
      </x:c>
      <x:c r="M524" s="12" t="n">
        <x:f>养成消耗调参!$F$153</x:f>
        <x:v>300</x:v>
      </x:c>
      <x:c r="N524" s="12" t="n">
        <x:f>养成消耗调参!$I$153</x:f>
        <x:v>0</x:v>
      </x:c>
      <x:c r="O524" s="12" t="n">
        <x:f>养成消耗调参!$J$153</x:f>
        <x:v>288</x:v>
      </x:c>
      <x:c r="P524" s="12" t="n">
        <x:f>养成消耗调参!$M$153</x:f>
        <x:v>1500</x:v>
      </x:c>
      <x:c r="Q524" s="12" t="n">
        <x:f>养成消耗调参!$P$153</x:f>
        <x:v>10</x:v>
      </x:c>
      <x:c r="R524" s="13">
        <x:f>I524/英雄升级调参!$G$71-1</x:f>
        <x:v>0.0077159763313610075</x:v>
      </x:c>
      <x:c r="S524" s="6"/>
      <x:c r="T524" s="6"/>
      <x:c r="U524" s="6"/>
    </x:row>
    <x:row r="525" ht="21" customHeight="1">
      <x:c r="A525" s="14" t="n">
        <x:f>英雄升级调参!$B$21</x:f>
        <x:v>310003</x:v>
      </x:c>
      <x:c r="B525" s="14" t="str">
        <x:f>英雄升级调参!$C$21</x:f>
        <x:v>鲀小泡</x:v>
      </x:c>
      <x:c r="C525" s="6" t="str">
        <x:f>英雄升级调参!$D$21</x:f>
        <x:v>战士</x:v>
      </x:c>
      <x:c r="D525" s="6" t="s">
        <x:v>18</x:v>
      </x:c>
      <x:c r="E525" s="6">
        <x:v>7</x:v>
      </x:c>
      <x:c r="F525" s="6" t="n">
        <x:f>英雄升级调参!$C$72</x:f>
        <x:v>2</x:v>
      </x:c>
      <x:c r="G525" s="12">
        <x:f t="shared" si="48"/>
        <x:v>246</x:v>
      </x:c>
      <x:c r="H525" s="12">
        <x:f t="shared" si="49"/>
        <x:v>2019</x:v>
      </x:c>
      <x:c r="I525" s="12">
        <x:f t="shared" si="47"/>
        <x:v>496674</x:v>
      </x:c>
      <x:c r="J525" s="12">
        <x:f>ROUND(英雄升级调参!$D$72*英雄升级调参!$J$9*英雄升级调参!$E$21,0)</x:f>
        <x:v>30</x:v>
      </x:c>
      <x:c r="K525" s="12">
        <x:f>ROUND(英雄升级调参!$D$72*英雄升级调参!$C$11*英雄升级调参!$J$9*英雄升级调参!$G$21,0)</x:f>
        <x:v>245</x:v>
      </x:c>
      <x:c r="L525" s="12" t="n">
        <x:f>养成消耗调参!$C$154</x:f>
        <x:v>120</x:v>
      </x:c>
      <x:c r="M525" s="12" t="n">
        <x:f>养成消耗调参!$F$154</x:f>
        <x:v>900</x:v>
      </x:c>
      <x:c r="N525" s="12" t="n">
        <x:f>养成消耗调参!$I$154</x:f>
        <x:v>0</x:v>
      </x:c>
      <x:c r="O525" s="12" t="n">
        <x:f>养成消耗调参!$J$154</x:f>
        <x:v>408</x:v>
      </x:c>
      <x:c r="P525" s="12" t="n">
        <x:f>养成消耗调参!$M$154</x:f>
        <x:v>2400</x:v>
      </x:c>
      <x:c r="Q525" s="12" t="n">
        <x:f>养成消耗调参!$P$154</x:f>
        <x:v>10</x:v>
      </x:c>
      <x:c r="R525" s="13">
        <x:f>I525/英雄升级调参!$G$72-1</x:f>
        <x:v>0.007779401022644183</x:v>
      </x:c>
      <x:c r="S525" s="6"/>
      <x:c r="T525" s="6"/>
      <x:c r="U525" s="6"/>
    </x:row>
    <x:row r="526" ht="21" customHeight="1">
      <x:c r="A526" s="14" t="n">
        <x:f>英雄升级调参!$B$21</x:f>
        <x:v>310003</x:v>
      </x:c>
      <x:c r="B526" s="14" t="str">
        <x:f>英雄升级调参!$C$21</x:f>
        <x:v>鲀小泡</x:v>
      </x:c>
      <x:c r="C526" s="6" t="str">
        <x:f>英雄升级调参!$D$21</x:f>
        <x:v>战士</x:v>
      </x:c>
      <x:c r="D526" s="6" t="s">
        <x:v>18</x:v>
      </x:c>
      <x:c r="E526" s="6">
        <x:v>8</x:v>
      </x:c>
      <x:c r="F526" s="6" t="n">
        <x:f>英雄升级调参!$C$73</x:f>
        <x:v>2</x:v>
      </x:c>
      <x:c r="G526" s="12">
        <x:f t="shared" si="48"/>
        <x:v>276</x:v>
      </x:c>
      <x:c r="H526" s="12">
        <x:f t="shared" si="49"/>
        <x:v>2264</x:v>
      </x:c>
      <x:c r="I526" s="12">
        <x:f t="shared" si="47"/>
        <x:v>624864</x:v>
      </x:c>
      <x:c r="J526" s="12">
        <x:f>ROUND(英雄升级调参!$D$73*英雄升级调参!$J$9*英雄升级调参!$E$21,0)</x:f>
        <x:v>30</x:v>
      </x:c>
      <x:c r="K526" s="12">
        <x:f>ROUND(英雄升级调参!$D$73*英雄升级调参!$C$11*英雄升级调参!$J$9*英雄升级调参!$G$21,0)</x:f>
        <x:v>245</x:v>
      </x:c>
      <x:c r="L526" s="12" t="n">
        <x:f>养成消耗调参!$C$155</x:f>
        <x:v>144</x:v>
      </x:c>
      <x:c r="M526" s="12" t="n">
        <x:f>养成消耗调参!$F$155</x:f>
        <x:v>900</x:v>
      </x:c>
      <x:c r="N526" s="12" t="n">
        <x:f>养成消耗调参!$I$155</x:f>
        <x:v>0</x:v>
      </x:c>
      <x:c r="O526" s="12" t="n">
        <x:f>养成消耗调参!$J$155</x:f>
        <x:v>552</x:v>
      </x:c>
      <x:c r="P526" s="12" t="n">
        <x:f>养成消耗调参!$M$155</x:f>
        <x:v>3300</x:v>
      </x:c>
      <x:c r="Q526" s="12" t="n">
        <x:f>养成消耗调参!$P$155</x:f>
        <x:v>10</x:v>
      </x:c>
      <x:c r="R526" s="13">
        <x:f>I526/英雄升级调参!$G$73-1</x:f>
        <x:v>0.007828905985387324</x:v>
      </x:c>
      <x:c r="S526" s="6"/>
      <x:c r="T526" s="6"/>
      <x:c r="U526" s="6"/>
    </x:row>
    <x:row r="527" ht="21" customHeight="1">
      <x:c r="A527" s="14" t="n">
        <x:f>英雄升级调参!$B$21</x:f>
        <x:v>310003</x:v>
      </x:c>
      <x:c r="B527" s="14" t="str">
        <x:f>英雄升级调参!$C$21</x:f>
        <x:v>鲀小泡</x:v>
      </x:c>
      <x:c r="C527" s="6" t="str">
        <x:f>英雄升级调参!$D$21</x:f>
        <x:v>战士</x:v>
      </x:c>
      <x:c r="D527" s="6" t="s">
        <x:v>18</x:v>
      </x:c>
      <x:c r="E527" s="6">
        <x:v>9</x:v>
      </x:c>
      <x:c r="F527" s="6" t="n">
        <x:f>英雄升级调参!$C$74</x:f>
        <x:v>2</x:v>
      </x:c>
      <x:c r="G527" s="12">
        <x:f t="shared" si="48"/>
        <x:v>306</x:v>
      </x:c>
      <x:c r="H527" s="12">
        <x:f t="shared" si="49"/>
        <x:v>2509</x:v>
      </x:c>
      <x:c r="I527" s="12">
        <x:f t="shared" si="47"/>
        <x:v>767754</x:v>
      </x:c>
      <x:c r="J527" s="12">
        <x:f>ROUND(英雄升级调参!$D$74*英雄升级调参!$J$9*英雄升级调参!$E$21,0)</x:f>
        <x:v>30</x:v>
      </x:c>
      <x:c r="K527" s="12">
        <x:f>ROUND(英雄升级调参!$D$74*英雄升级调参!$C$11*英雄升级调参!$J$9*英雄升级调参!$G$21,0)</x:f>
        <x:v>245</x:v>
      </x:c>
      <x:c r="L527" s="12" t="n">
        <x:f>养成消耗调参!$C$156</x:f>
        <x:v>144</x:v>
      </x:c>
      <x:c r="M527" s="12" t="n">
        <x:f>养成消耗调参!$F$156</x:f>
        <x:v>900</x:v>
      </x:c>
      <x:c r="N527" s="12" t="n">
        <x:f>养成消耗调参!$I$156</x:f>
        <x:v>0</x:v>
      </x:c>
      <x:c r="O527" s="12" t="n">
        <x:f>养成消耗调参!$J$156</x:f>
        <x:v>696</x:v>
      </x:c>
      <x:c r="P527" s="12" t="n">
        <x:f>养成消耗调参!$M$156</x:f>
        <x:v>4200</x:v>
      </x:c>
      <x:c r="Q527" s="12" t="n">
        <x:f>养成消耗调参!$P$156</x:f>
        <x:v>10</x:v>
      </x:c>
      <x:c r="R527" s="13">
        <x:f>I527/英雄升级调参!$G$74-1</x:f>
        <x:v>0.007868620037807084</x:v>
      </x:c>
      <x:c r="S527" s="6"/>
      <x:c r="T527" s="6"/>
      <x:c r="U527" s="6"/>
    </x:row>
    <x:row r="528" ht="21" customHeight="1">
      <x:c r="A528" s="14" t="n">
        <x:f>英雄升级调参!$B$21</x:f>
        <x:v>310003</x:v>
      </x:c>
      <x:c r="B528" s="14" t="str">
        <x:f>英雄升级调参!$C$21</x:f>
        <x:v>鲀小泡</x:v>
      </x:c>
      <x:c r="C528" s="6" t="str">
        <x:f>英雄升级调参!$D$21</x:f>
        <x:v>战士</x:v>
      </x:c>
      <x:c r="D528" s="6" t="s">
        <x:v>18</x:v>
      </x:c>
      <x:c r="E528" s="6">
        <x:v>10</x:v>
      </x:c>
      <x:c r="F528" s="6" t="n">
        <x:f>英雄升级调参!$C$75</x:f>
        <x:v>2</x:v>
      </x:c>
      <x:c r="G528" s="12">
        <x:f t="shared" si="48"/>
        <x:v>396</x:v>
      </x:c>
      <x:c r="H528" s="12">
        <x:f t="shared" si="49"/>
        <x:v>3244</x:v>
      </x:c>
      <x:c r="I528" s="12">
        <x:f t="shared" si="47"/>
        <x:v>1284624</x:v>
      </x:c>
      <x:c r="J528" s="12">
        <x:f>ROUND(英雄升级调参!$D$75*英雄升级调参!$J$9*英雄升级调参!$E$21,0)*3</x:f>
        <x:v>90</x:v>
      </x:c>
      <x:c r="K528" s="12">
        <x:f>ROUND(英雄升级调参!$D$75*英雄升级调参!$C$11*英雄升级调参!$J$9*英雄升级调参!$G$21,0)*3</x:f>
        <x:v>735</x:v>
      </x:c>
      <x:c r="L528" s="12" t="n">
        <x:f>养成消耗调参!$C$157</x:f>
        <x:v>216</x:v>
      </x:c>
      <x:c r="M528" s="12" t="n">
        <x:f>养成消耗调参!$F$157</x:f>
        <x:v>900</x:v>
      </x:c>
      <x:c r="N528" s="12" t="n">
        <x:f>养成消耗调参!$I$157</x:f>
        <x:v>30</x:v>
      </x:c>
      <x:c r="O528" s="12" t="n">
        <x:f>养成消耗调参!$J$157</x:f>
        <x:v>912</x:v>
      </x:c>
      <x:c r="P528" s="12" t="n">
        <x:f>养成消耗调参!$M$157</x:f>
        <x:v>5100</x:v>
      </x:c>
      <x:c r="Q528" s="12" t="n">
        <x:f>养成消耗调参!$P$157</x:f>
        <x:v>40</x:v>
      </x:c>
      <x:c r="R528" s="13">
        <x:f>I528/英雄升级调参!$G$75-1</x:f>
        <x:v>0.007951415860461886</x:v>
      </x:c>
      <x:c r="S528" s="6"/>
      <x:c r="T528" s="6"/>
      <x:c r="U528" s="6"/>
    </x:row>
    <x:row r="529" ht="21" customHeight="1">
      <x:c r="A529" s="14" t="n">
        <x:f>英雄升级调参!$B$21</x:f>
        <x:v>310003</x:v>
      </x:c>
      <x:c r="B529" s="14" t="str">
        <x:f>英雄升级调参!$C$21</x:f>
        <x:v>鲀小泡</x:v>
      </x:c>
      <x:c r="C529" s="6" t="str">
        <x:f>英雄升级调参!$D$21</x:f>
        <x:v>战士</x:v>
      </x:c>
      <x:c r="D529" s="6" t="s">
        <x:v>18</x:v>
      </x:c>
      <x:c r="E529" s="6">
        <x:v>11</x:v>
      </x:c>
      <x:c r="F529" s="6" t="n">
        <x:f>英雄升级调参!$C$76</x:f>
        <x:v>3</x:v>
      </x:c>
      <x:c r="G529" s="12">
        <x:f t="shared" si="48"/>
        <x:v>436</x:v>
      </x:c>
      <x:c r="H529" s="12">
        <x:f t="shared" si="49"/>
        <x:v>3571</x:v>
      </x:c>
      <x:c r="I529" s="12">
        <x:f t="shared" si="47"/>
        <x:v>1556956</x:v>
      </x:c>
      <x:c r="J529" s="12">
        <x:f>ROUND(英雄升级调参!$D$76*英雄升级调参!$J$9*英雄升级调参!$E$21,0)</x:f>
        <x:v>40</x:v>
      </x:c>
      <x:c r="K529" s="12">
        <x:f>ROUND(英雄升级调参!$D$76*英雄升级调参!$C$11*英雄升级调参!$J$9*英雄升级调参!$G$21,0)</x:f>
        <x:v>327</x:v>
      </x:c>
      <x:c r="L529" s="12" t="n">
        <x:f>养成消耗调参!$C$158</x:f>
        <x:v>216</x:v>
      </x:c>
      <x:c r="M529" s="12" t="n">
        <x:f>养成消耗调参!$F$158</x:f>
        <x:v>900</x:v>
      </x:c>
      <x:c r="N529" s="12" t="n">
        <x:f>养成消耗调参!$I$158</x:f>
        <x:v>0</x:v>
      </x:c>
      <x:c r="O529" s="12" t="n">
        <x:f>养成消耗调参!$J$158</x:f>
        <x:v>1128</x:v>
      </x:c>
      <x:c r="P529" s="12" t="n">
        <x:f>养成消耗调参!$M$158</x:f>
        <x:v>6000</x:v>
      </x:c>
      <x:c r="Q529" s="12" t="n">
        <x:f>养成消耗调参!$P$158</x:f>
        <x:v>40</x:v>
      </x:c>
      <x:c r="R529" s="13">
        <x:f>I529/英雄升级调参!$G$76-1</x:f>
        <x:v>0.008071272717855127</x:v>
      </x:c>
      <x:c r="S529" s="6"/>
      <x:c r="T529" s="6"/>
      <x:c r="U529" s="6"/>
    </x:row>
    <x:row r="530" ht="21" customHeight="1">
      <x:c r="A530" s="14" t="n">
        <x:f>英雄升级调参!$B$21</x:f>
        <x:v>310003</x:v>
      </x:c>
      <x:c r="B530" s="14" t="str">
        <x:f>英雄升级调参!$C$21</x:f>
        <x:v>鲀小泡</x:v>
      </x:c>
      <x:c r="C530" s="6" t="str">
        <x:f>英雄升级调参!$D$21</x:f>
        <x:v>战士</x:v>
      </x:c>
      <x:c r="D530" s="6" t="s">
        <x:v>18</x:v>
      </x:c>
      <x:c r="E530" s="6">
        <x:v>12</x:v>
      </x:c>
      <x:c r="F530" s="6" t="n">
        <x:f>英雄升级调参!$C$77</x:f>
        <x:v>3</x:v>
      </x:c>
      <x:c r="G530" s="12">
        <x:f t="shared" si="48"/>
        <x:v>476</x:v>
      </x:c>
      <x:c r="H530" s="12">
        <x:f t="shared" si="49"/>
        <x:v>3898</x:v>
      </x:c>
      <x:c r="I530" s="12">
        <x:f t="shared" si="47"/>
        <x:v>1855448</x:v>
      </x:c>
      <x:c r="J530" s="12">
        <x:f>ROUND(英雄升级调参!$D$77*英雄升级调参!$J$9*英雄升级调参!$E$21,0)</x:f>
        <x:v>40</x:v>
      </x:c>
      <x:c r="K530" s="12">
        <x:f>ROUND(英雄升级调参!$D$77*英雄升级调参!$C$11*英雄升级调参!$J$9*英雄升级调参!$G$21,0)</x:f>
        <x:v>327</x:v>
      </x:c>
      <x:c r="L530" s="12" t="n">
        <x:f>养成消耗调参!$C$159</x:f>
        <x:v>240</x:v>
      </x:c>
      <x:c r="M530" s="12" t="n">
        <x:f>养成消耗调参!$F$159</x:f>
        <x:v>1500</x:v>
      </x:c>
      <x:c r="N530" s="12" t="n">
        <x:f>养成消耗调参!$I$159</x:f>
        <x:v>0</x:v>
      </x:c>
      <x:c r="O530" s="12" t="n">
        <x:f>养成消耗调参!$J$159</x:f>
        <x:v>1368</x:v>
      </x:c>
      <x:c r="P530" s="12" t="n">
        <x:f>养成消耗调参!$M$159</x:f>
        <x:v>7500</x:v>
      </x:c>
      <x:c r="Q530" s="12" t="n">
        <x:f>养成消耗调参!$P$159</x:f>
        <x:v>40</x:v>
      </x:c>
      <x:c r="R530" s="13">
        <x:f>I530/英雄升级调参!$G$77-1</x:f>
        <x:v>0.008171005373802664</x:v>
      </x:c>
      <x:c r="S530" s="6"/>
      <x:c r="T530" s="6"/>
      <x:c r="U530" s="6"/>
    </x:row>
    <x:row r="531" ht="21" customHeight="1">
      <x:c r="A531" s="14" t="n">
        <x:f>英雄升级调参!$B$21</x:f>
        <x:v>310003</x:v>
      </x:c>
      <x:c r="B531" s="14" t="str">
        <x:f>英雄升级调参!$C$21</x:f>
        <x:v>鲀小泡</x:v>
      </x:c>
      <x:c r="C531" s="6" t="str">
        <x:f>英雄升级调参!$D$21</x:f>
        <x:v>战士</x:v>
      </x:c>
      <x:c r="D531" s="6" t="s">
        <x:v>18</x:v>
      </x:c>
      <x:c r="E531" s="6">
        <x:v>13</x:v>
      </x:c>
      <x:c r="F531" s="6" t="n">
        <x:f>英雄升级调参!$C$78</x:f>
        <x:v>3</x:v>
      </x:c>
      <x:c r="G531" s="12">
        <x:f t="shared" si="48"/>
        <x:v>516</x:v>
      </x:c>
      <x:c r="H531" s="12">
        <x:f t="shared" si="49"/>
        <x:v>4225</x:v>
      </x:c>
      <x:c r="I531" s="12">
        <x:f t="shared" si="47"/>
        <x:v>2180100</x:v>
      </x:c>
      <x:c r="J531" s="12">
        <x:f>ROUND(英雄升级调参!$D$78*英雄升级调参!$J$9*英雄升级调参!$E$21,0)</x:f>
        <x:v>40</x:v>
      </x:c>
      <x:c r="K531" s="12">
        <x:f>ROUND(英雄升级调参!$D$78*英雄升级调参!$C$11*英雄升级调参!$J$9*英雄升级调参!$G$21,0)</x:f>
        <x:v>327</x:v>
      </x:c>
      <x:c r="L531" s="12" t="n">
        <x:f>养成消耗调参!$C$160</x:f>
        <x:v>240</x:v>
      </x:c>
      <x:c r="M531" s="12" t="n">
        <x:f>养成消耗调参!$F$160</x:f>
        <x:v>1500</x:v>
      </x:c>
      <x:c r="N531" s="12" t="n">
        <x:f>养成消耗调参!$I$160</x:f>
        <x:v>0</x:v>
      </x:c>
      <x:c r="O531" s="12" t="n">
        <x:f>养成消耗调参!$J$160</x:f>
        <x:v>1608</x:v>
      </x:c>
      <x:c r="P531" s="12" t="n">
        <x:f>养成消耗调参!$M$160</x:f>
        <x:v>9000</x:v>
      </x:c>
      <x:c r="Q531" s="12" t="n">
        <x:f>养成消耗调参!$P$160</x:f>
        <x:v>40</x:v>
      </x:c>
      <x:c r="R531" s="13">
        <x:f>I531/英雄升级调参!$G$78-1</x:f>
        <x:v>0.008255289628858797</x:v>
      </x:c>
      <x:c r="S531" s="6"/>
      <x:c r="T531" s="6"/>
      <x:c r="U531" s="6"/>
    </x:row>
    <x:row r="532" ht="21" customHeight="1">
      <x:c r="A532" s="14" t="n">
        <x:f>英雄升级调参!$B$21</x:f>
        <x:v>310003</x:v>
      </x:c>
      <x:c r="B532" s="14" t="str">
        <x:f>英雄升级调参!$C$21</x:f>
        <x:v>鲀小泡</x:v>
      </x:c>
      <x:c r="C532" s="6" t="str">
        <x:f>英雄升级调参!$D$21</x:f>
        <x:v>战士</x:v>
      </x:c>
      <x:c r="D532" s="6" t="s">
        <x:v>18</x:v>
      </x:c>
      <x:c r="E532" s="6">
        <x:v>14</x:v>
      </x:c>
      <x:c r="F532" s="6" t="n">
        <x:f>英雄升级调参!$C$79</x:f>
        <x:v>3</x:v>
      </x:c>
      <x:c r="G532" s="12">
        <x:f t="shared" si="48"/>
        <x:v>556</x:v>
      </x:c>
      <x:c r="H532" s="12">
        <x:f t="shared" si="49"/>
        <x:v>4552</x:v>
      </x:c>
      <x:c r="I532" s="12">
        <x:f t="shared" si="47"/>
        <x:v>2530912</x:v>
      </x:c>
      <x:c r="J532" s="12">
        <x:f>ROUND(英雄升级调参!$D$79*英雄升级调参!$J$9*英雄升级调参!$E$21,0)</x:f>
        <x:v>40</x:v>
      </x:c>
      <x:c r="K532" s="12">
        <x:f>ROUND(英雄升级调参!$D$79*英雄升级调参!$C$11*英雄升级调参!$J$9*英雄升级调参!$G$21,0)</x:f>
        <x:v>327</x:v>
      </x:c>
      <x:c r="L532" s="12" t="n">
        <x:f>养成消耗调参!$C$161</x:f>
        <x:v>288</x:v>
      </x:c>
      <x:c r="M532" s="12" t="n">
        <x:f>养成消耗调参!$F$161</x:f>
        <x:v>1500</x:v>
      </x:c>
      <x:c r="N532" s="12" t="n">
        <x:f>养成消耗调参!$I$161</x:f>
        <x:v>0</x:v>
      </x:c>
      <x:c r="O532" s="12" t="n">
        <x:f>养成消耗调参!$J$161</x:f>
        <x:v>1896</x:v>
      </x:c>
      <x:c r="P532" s="12" t="n">
        <x:f>养成消耗调参!$M$161</x:f>
        <x:v>10500</x:v>
      </x:c>
      <x:c r="Q532" s="12" t="n">
        <x:f>养成消耗调参!$P$161</x:f>
        <x:v>40</x:v>
      </x:c>
      <x:c r="R532" s="13">
        <x:f>I532/英雄升级调参!$G$79-1</x:f>
        <x:v>0.008327456862721627</x:v>
      </x:c>
      <x:c r="S532" s="6"/>
      <x:c r="T532" s="6"/>
      <x:c r="U532" s="6"/>
    </x:row>
    <x:row r="533" ht="21" customHeight="1">
      <x:c r="A533" s="14" t="n">
        <x:f>英雄升级调参!$B$21</x:f>
        <x:v>310003</x:v>
      </x:c>
      <x:c r="B533" s="14" t="str">
        <x:f>英雄升级调参!$C$21</x:f>
        <x:v>鲀小泡</x:v>
      </x:c>
      <x:c r="C533" s="6" t="str">
        <x:f>英雄升级调参!$D$21</x:f>
        <x:v>战士</x:v>
      </x:c>
      <x:c r="D533" s="6" t="s">
        <x:v>18</x:v>
      </x:c>
      <x:c r="E533" s="6">
        <x:v>15</x:v>
      </x:c>
      <x:c r="F533" s="6" t="n">
        <x:f>英雄升级调参!$C$80</x:f>
        <x:v>3</x:v>
      </x:c>
      <x:c r="G533" s="12">
        <x:f t="shared" si="48"/>
        <x:v>676</x:v>
      </x:c>
      <x:c r="H533" s="12">
        <x:f t="shared" si="49"/>
        <x:v>5533</x:v>
      </x:c>
      <x:c r="I533" s="12">
        <x:f t="shared" si="47"/>
        <x:v>3740308</x:v>
      </x:c>
      <x:c r="J533" s="12">
        <x:f>ROUND(英雄升级调参!$D$80*英雄升级调参!$J$9*英雄升级调参!$E$21,0)*3</x:f>
        <x:v>120</x:v>
      </x:c>
      <x:c r="K533" s="12">
        <x:f>ROUND(英雄升级调参!$D$80*英雄升级调参!$C$11*英雄升级调参!$J$9*英雄升级调参!$G$21,0)*3</x:f>
        <x:v>981</x:v>
      </x:c>
      <x:c r="L533" s="12" t="n">
        <x:f>养成消耗调参!$C$162</x:f>
        <x:v>288</x:v>
      </x:c>
      <x:c r="M533" s="12" t="n">
        <x:f>养成消耗调参!$F$162</x:f>
        <x:v>1500</x:v>
      </x:c>
      <x:c r="N533" s="12" t="n">
        <x:f>养成消耗调参!$I$162</x:f>
        <x:v>50</x:v>
      </x:c>
      <x:c r="O533" s="12" t="n">
        <x:f>养成消耗调参!$J$162</x:f>
        <x:v>2184</x:v>
      </x:c>
      <x:c r="P533" s="12" t="n">
        <x:f>养成消耗调参!$M$162</x:f>
        <x:v>12000</x:v>
      </x:c>
      <x:c r="Q533" s="12" t="n">
        <x:f>养成消耗调参!$P$162</x:f>
        <x:v>90</x:v>
      </x:c>
      <x:c r="R533" s="13">
        <x:f>I533/英雄升级调参!$G$80-1</x:f>
        <x:v>0.008492751044135494</x:v>
      </x:c>
      <x:c r="S533" s="6"/>
      <x:c r="T533" s="6"/>
      <x:c r="U533" s="6"/>
    </x:row>
    <x:row r="534" ht="21" customHeight="1">
      <x:c r="A534" s="14" t="n">
        <x:f>英雄升级调参!$B$21</x:f>
        <x:v>310003</x:v>
      </x:c>
      <x:c r="B534" s="14" t="str">
        <x:f>英雄升级调参!$C$21</x:f>
        <x:v>鲀小泡</x:v>
      </x:c>
      <x:c r="C534" s="6" t="str">
        <x:f>英雄升级调参!$D$21</x:f>
        <x:v>战士</x:v>
      </x:c>
      <x:c r="D534" s="6" t="s">
        <x:v>18</x:v>
      </x:c>
      <x:c r="E534" s="6">
        <x:v>16</x:v>
      </x:c>
      <x:c r="F534" s="6" t="n">
        <x:f>英雄升级调参!$C$81</x:f>
        <x:v>4</x:v>
      </x:c>
      <x:c r="G534" s="12">
        <x:f t="shared" si="48"/>
        <x:v>726</x:v>
      </x:c>
      <x:c r="H534" s="12">
        <x:f t="shared" si="49"/>
        <x:v>5942</x:v>
      </x:c>
      <x:c r="I534" s="12">
        <x:f t="shared" si="47"/>
        <x:v>4313892</x:v>
      </x:c>
      <x:c r="J534" s="12">
        <x:f>ROUND(英雄升级调参!$D$81*英雄升级调参!$J$9*英雄升级调参!$E$21,0)</x:f>
        <x:v>50</x:v>
      </x:c>
      <x:c r="K534" s="12">
        <x:f>ROUND(英雄升级调参!$D$81*英雄升级调参!$C$11*英雄升级调参!$J$9*英雄升级调参!$G$21,0)</x:f>
        <x:v>409</x:v>
      </x:c>
      <x:c r="L534" s="12" t="n">
        <x:f>养成消耗调参!$C$163</x:f>
        <x:v>336</x:v>
      </x:c>
      <x:c r="M534" s="12" t="n">
        <x:f>养成消耗调参!$F$163</x:f>
        <x:v>1500</x:v>
      </x:c>
      <x:c r="N534" s="12" t="n">
        <x:f>养成消耗调参!$I$163</x:f>
        <x:v>0</x:v>
      </x:c>
      <x:c r="O534" s="12" t="n">
        <x:f>养成消耗调参!$J$163</x:f>
        <x:v>2520</x:v>
      </x:c>
      <x:c r="P534" s="12" t="n">
        <x:f>养成消耗调参!$M$163</x:f>
        <x:v>13500</x:v>
      </x:c>
      <x:c r="Q534" s="12" t="n">
        <x:f>养成消耗调参!$P$163</x:f>
        <x:v>90</x:v>
      </x:c>
      <x:c r="R534" s="13">
        <x:f>I534/英雄升级调参!$G$81-1</x:f>
        <x:v>0.008587941531296384</x:v>
      </x:c>
      <x:c r="S534" s="6"/>
      <x:c r="T534" s="6"/>
      <x:c r="U534" s="6"/>
    </x:row>
    <x:row r="535" ht="21" customHeight="1">
      <x:c r="A535" s="14" t="n">
        <x:f>英雄升级调参!$B$21</x:f>
        <x:v>310003</x:v>
      </x:c>
      <x:c r="B535" s="14" t="str">
        <x:f>英雄升级调参!$C$21</x:f>
        <x:v>鲀小泡</x:v>
      </x:c>
      <x:c r="C535" s="6" t="str">
        <x:f>英雄升级调参!$D$21</x:f>
        <x:v>战士</x:v>
      </x:c>
      <x:c r="D535" s="6" t="s">
        <x:v>18</x:v>
      </x:c>
      <x:c r="E535" s="6">
        <x:v>17</x:v>
      </x:c>
      <x:c r="F535" s="6" t="n">
        <x:f>英雄升级调参!$C$82</x:f>
        <x:v>4</x:v>
      </x:c>
      <x:c r="G535" s="12">
        <x:f t="shared" si="48"/>
        <x:v>776</x:v>
      </x:c>
      <x:c r="H535" s="12">
        <x:f t="shared" si="49"/>
        <x:v>6351</x:v>
      </x:c>
      <x:c r="I535" s="12">
        <x:f t="shared" si="47"/>
        <x:v>4928376</x:v>
      </x:c>
      <x:c r="J535" s="12">
        <x:f>ROUND(英雄升级调参!$D$82*英雄升级调参!$J$9*英雄升级调参!$E$21,0)</x:f>
        <x:v>50</x:v>
      </x:c>
      <x:c r="K535" s="12">
        <x:f>ROUND(英雄升级调参!$D$82*英雄升级调参!$C$11*英雄升级调参!$J$9*英雄升级调参!$G$21,0)</x:f>
        <x:v>409</x:v>
      </x:c>
      <x:c r="L535" s="12" t="n">
        <x:f>养成消耗调参!$C$164</x:f>
        <x:v>336</x:v>
      </x:c>
      <x:c r="M535" s="12" t="n">
        <x:f>养成消耗调参!$F$164</x:f>
        <x:v>2100</x:v>
      </x:c>
      <x:c r="N535" s="12" t="n">
        <x:f>养成消耗调参!$I$164</x:f>
        <x:v>0</x:v>
      </x:c>
      <x:c r="O535" s="12" t="n">
        <x:f>养成消耗调参!$J$164</x:f>
        <x:v>2856</x:v>
      </x:c>
      <x:c r="P535" s="12" t="n">
        <x:f>养成消耗调参!$M$164</x:f>
        <x:v>15600</x:v>
      </x:c>
      <x:c r="Q535" s="12" t="n">
        <x:f>养成消耗调参!$P$164</x:f>
        <x:v>90</x:v>
      </x:c>
      <x:c r="R535" s="13">
        <x:f>I535/英雄升级调参!$G$82-1</x:f>
        <x:v>0.008670878692430106</x:v>
      </x:c>
      <x:c r="S535" s="6"/>
      <x:c r="T535" s="6"/>
      <x:c r="U535" s="6"/>
    </x:row>
    <x:row r="536" ht="21" customHeight="1">
      <x:c r="A536" s="14" t="n">
        <x:f>英雄升级调参!$B$21</x:f>
        <x:v>310003</x:v>
      </x:c>
      <x:c r="B536" s="14" t="str">
        <x:f>英雄升级调参!$C$21</x:f>
        <x:v>鲀小泡</x:v>
      </x:c>
      <x:c r="C536" s="6" t="str">
        <x:f>英雄升级调参!$D$21</x:f>
        <x:v>战士</x:v>
      </x:c>
      <x:c r="D536" s="6" t="s">
        <x:v>18</x:v>
      </x:c>
      <x:c r="E536" s="6">
        <x:v>18</x:v>
      </x:c>
      <x:c r="F536" s="6" t="n">
        <x:f>英雄升级调参!$C$83</x:f>
        <x:v>4</x:v>
      </x:c>
      <x:c r="G536" s="12">
        <x:f t="shared" si="48"/>
        <x:v>826</x:v>
      </x:c>
      <x:c r="H536" s="12">
        <x:f t="shared" si="49"/>
        <x:v>6760</x:v>
      </x:c>
      <x:c r="I536" s="12">
        <x:f t="shared" si="47"/>
        <x:v>5583760</x:v>
      </x:c>
      <x:c r="J536" s="12">
        <x:f>ROUND(英雄升级调参!$D$83*英雄升级调参!$J$9*英雄升级调参!$E$21,0)</x:f>
        <x:v>50</x:v>
      </x:c>
      <x:c r="K536" s="12">
        <x:f>ROUND(英雄升级调参!$D$83*英雄升级调参!$C$11*英雄升级调参!$J$9*英雄升级调参!$G$21,0)</x:f>
        <x:v>409</x:v>
      </x:c>
      <x:c r="L536" s="12" t="n">
        <x:f>养成消耗调参!$C$165</x:f>
        <x:v>384</x:v>
      </x:c>
      <x:c r="M536" s="12" t="n">
        <x:f>养成消耗调参!$F$165</x:f>
        <x:v>2100</x:v>
      </x:c>
      <x:c r="N536" s="12" t="n">
        <x:f>养成消耗调参!$I$165</x:f>
        <x:v>0</x:v>
      </x:c>
      <x:c r="O536" s="12" t="n">
        <x:f>养成消耗调参!$J$165</x:f>
        <x:v>3240</x:v>
      </x:c>
      <x:c r="P536" s="12" t="n">
        <x:f>养成消耗调参!$M$165</x:f>
        <x:v>17700</x:v>
      </x:c>
      <x:c r="Q536" s="12" t="n">
        <x:f>养成消耗调参!$P$165</x:f>
        <x:v>90</x:v>
      </x:c>
      <x:c r="R536" s="13">
        <x:f>I536/英雄升级调参!$G$83-1</x:f>
        <x:v>0.008743785408717786</x:v>
      </x:c>
      <x:c r="S536" s="6"/>
      <x:c r="T536" s="6"/>
      <x:c r="U536" s="6"/>
    </x:row>
    <x:row r="537" ht="21" customHeight="1">
      <x:c r="A537" s="14" t="n">
        <x:f>英雄升级调参!$B$21</x:f>
        <x:v>310003</x:v>
      </x:c>
      <x:c r="B537" s="14" t="str">
        <x:f>英雄升级调参!$C$21</x:f>
        <x:v>鲀小泡</x:v>
      </x:c>
      <x:c r="C537" s="6" t="str">
        <x:f>英雄升级调参!$D$21</x:f>
        <x:v>战士</x:v>
      </x:c>
      <x:c r="D537" s="6" t="s">
        <x:v>18</x:v>
      </x:c>
      <x:c r="E537" s="6">
        <x:v>19</x:v>
      </x:c>
      <x:c r="F537" s="6" t="n">
        <x:f>英雄升级调参!$C$84</x:f>
        <x:v>4</x:v>
      </x:c>
      <x:c r="G537" s="12">
        <x:f t="shared" si="48"/>
        <x:v>876</x:v>
      </x:c>
      <x:c r="H537" s="12">
        <x:f t="shared" si="49"/>
        <x:v>7169</x:v>
      </x:c>
      <x:c r="I537" s="12">
        <x:f t="shared" si="47"/>
        <x:v>6280044</x:v>
      </x:c>
      <x:c r="J537" s="12">
        <x:f>ROUND(英雄升级调参!$D$84*英雄升级调参!$J$9*英雄升级调参!$E$21,0)</x:f>
        <x:v>50</x:v>
      </x:c>
      <x:c r="K537" s="12">
        <x:f>ROUND(英雄升级调参!$D$84*英雄升级调参!$C$11*英雄升级调参!$J$9*英雄升级调参!$G$21,0)</x:f>
        <x:v>409</x:v>
      </x:c>
      <x:c r="L537" s="12" t="n">
        <x:f>养成消耗调参!$C$166</x:f>
        <x:v>384</x:v>
      </x:c>
      <x:c r="M537" s="12" t="n">
        <x:f>养成消耗调参!$F$166</x:f>
        <x:v>2100</x:v>
      </x:c>
      <x:c r="N537" s="12" t="n">
        <x:f>养成消耗调参!$I$166</x:f>
        <x:v>0</x:v>
      </x:c>
      <x:c r="O537" s="12" t="n">
        <x:f>养成消耗调参!$J$166</x:f>
        <x:v>3624</x:v>
      </x:c>
      <x:c r="P537" s="12" t="n">
        <x:f>养成消耗调参!$M$166</x:f>
        <x:v>19800</x:v>
      </x:c>
      <x:c r="Q537" s="12" t="n">
        <x:f>养成消耗调参!$P$166</x:f>
        <x:v>90</x:v>
      </x:c>
      <x:c r="R537" s="13">
        <x:f>I537/英雄升级调参!$G$84-1</x:f>
        <x:v>0.008808377548709112</x:v>
      </x:c>
      <x:c r="S537" s="6"/>
      <x:c r="T537" s="6"/>
      <x:c r="U537" s="6"/>
    </x:row>
    <x:row r="538" ht="21" customHeight="1">
      <x:c r="A538" s="14" t="n">
        <x:f>英雄升级调参!$B$21</x:f>
        <x:v>310003</x:v>
      </x:c>
      <x:c r="B538" s="14" t="str">
        <x:f>英雄升级调参!$C$21</x:f>
        <x:v>鲀小泡</x:v>
      </x:c>
      <x:c r="C538" s="6" t="str">
        <x:f>英雄升级调参!$D$21</x:f>
        <x:v>战士</x:v>
      </x:c>
      <x:c r="D538" s="6" t="s">
        <x:v>18</x:v>
      </x:c>
      <x:c r="E538" s="6">
        <x:v>20</x:v>
      </x:c>
      <x:c r="F538" s="6" t="n">
        <x:f>英雄升级调参!$C$85</x:f>
        <x:v>4</x:v>
      </x:c>
      <x:c r="G538" s="12">
        <x:f t="shared" si="48"/>
        <x:v>1026</x:v>
      </x:c>
      <x:c r="H538" s="12">
        <x:f t="shared" si="49"/>
        <x:v>8396</x:v>
      </x:c>
      <x:c r="I538" s="12">
        <x:f t="shared" si="47"/>
        <x:v>8614296</x:v>
      </x:c>
      <x:c r="J538" s="12">
        <x:f>ROUND(英雄升级调参!$D$85*英雄升级调参!$J$9*英雄升级调参!$E$21,0)*3</x:f>
        <x:v>150</x:v>
      </x:c>
      <x:c r="K538" s="12">
        <x:f>ROUND(英雄升级调参!$D$85*英雄升级调参!$C$11*英雄升级调参!$J$9*英雄升级调参!$G$21,0)*3</x:f>
        <x:v>1227</x:v>
      </x:c>
      <x:c r="L538" s="12" t="n">
        <x:f>养成消耗调参!$C$167</x:f>
        <x:v>432</x:v>
      </x:c>
      <x:c r="M538" s="12" t="n">
        <x:f>养成消耗调参!$F$167</x:f>
        <x:v>2100</x:v>
      </x:c>
      <x:c r="N538" s="12" t="n">
        <x:f>养成消耗调参!$I$167</x:f>
        <x:v>70</x:v>
      </x:c>
      <x:c r="O538" s="12" t="n">
        <x:f>养成消耗调参!$J$167</x:f>
        <x:v>4056</x:v>
      </x:c>
      <x:c r="P538" s="12" t="n">
        <x:f>养成消耗调参!$M$167</x:f>
        <x:v>21900</x:v>
      </x:c>
      <x:c r="Q538" s="12" t="n">
        <x:f>养成消耗调参!$P$167</x:f>
        <x:v>160</x:v>
      </x:c>
      <x:c r="R538" s="13">
        <x:f>I538/英雄升级调参!$G$85-1</x:f>
        <x:v>0.008964412211165396</x:v>
      </x:c>
      <x:c r="S538" s="6"/>
      <x:c r="T538" s="6"/>
      <x:c r="U538" s="6"/>
    </x:row>
    <x:row r="539" ht="21" customHeight="1">
      <x:c r="A539" s="14" t="n">
        <x:f>英雄升级调参!$B$21</x:f>
        <x:v>310003</x:v>
      </x:c>
      <x:c r="B539" s="14" t="str">
        <x:f>英雄升级调参!$C$21</x:f>
        <x:v>鲀小泡</x:v>
      </x:c>
      <x:c r="C539" s="6" t="str">
        <x:f>英雄升级调参!$D$21</x:f>
        <x:v>战士</x:v>
      </x:c>
      <x:c r="D539" s="6" t="s">
        <x:v>18</x:v>
      </x:c>
      <x:c r="E539" s="6">
        <x:v>21</x:v>
      </x:c>
      <x:c r="F539" s="6" t="n">
        <x:f>英雄升级调参!$C$86</x:f>
        <x:v>5</x:v>
      </x:c>
      <x:c r="G539" s="12">
        <x:f t="shared" si="48"/>
        <x:v>1085</x:v>
      </x:c>
      <x:c r="H539" s="12">
        <x:f t="shared" si="49"/>
        <x:v>8887</x:v>
      </x:c>
      <x:c r="I539" s="12">
        <x:f t="shared" si="47"/>
        <x:v>9642395</x:v>
      </x:c>
      <x:c r="J539" s="12">
        <x:f>ROUND(英雄升级调参!$D$86*英雄升级调参!$J$9*英雄升级调参!$E$21,0)</x:f>
        <x:v>59</x:v>
      </x:c>
      <x:c r="K539" s="12">
        <x:f>ROUND(英雄升级调参!$D$86*英雄升级调参!$C$11*英雄升级调参!$J$9*英雄升级调参!$G$21,0)</x:f>
        <x:v>491</x:v>
      </x:c>
      <x:c r="L539" s="12" t="n">
        <x:f>养成消耗调参!$C$168</x:f>
        <x:v>432</x:v>
      </x:c>
      <x:c r="M539" s="12" t="n">
        <x:f>养成消耗调参!$F$168</x:f>
        <x:v>2100</x:v>
      </x:c>
      <x:c r="N539" s="12" t="n">
        <x:f>养成消耗调参!$I$168</x:f>
        <x:v>0</x:v>
      </x:c>
      <x:c r="O539" s="12" t="n">
        <x:f>养成消耗调参!$J$168</x:f>
        <x:v>4488</x:v>
      </x:c>
      <x:c r="P539" s="12" t="n">
        <x:f>养成消耗调参!$M$168</x:f>
        <x:v>24000</x:v>
      </x:c>
      <x:c r="Q539" s="12" t="n">
        <x:f>养成消耗调参!$P$168</x:f>
        <x:v>160</x:v>
      </x:c>
      <x:c r="R539" s="13">
        <x:f>I539/英雄升级调参!$G$86-1</x:f>
        <x:v>0.008108342638246002</x:v>
      </x:c>
      <x:c r="S539" s="6"/>
      <x:c r="T539" s="6"/>
      <x:c r="U539" s="6"/>
    </x:row>
    <x:row r="540" ht="21" customHeight="1">
      <x:c r="A540" s="14" t="n">
        <x:f>英雄升级调参!$B$21</x:f>
        <x:v>310003</x:v>
      </x:c>
      <x:c r="B540" s="14" t="str">
        <x:f>英雄升级调参!$C$21</x:f>
        <x:v>鲀小泡</x:v>
      </x:c>
      <x:c r="C540" s="6" t="str">
        <x:f>英雄升级调参!$D$21</x:f>
        <x:v>战士</x:v>
      </x:c>
      <x:c r="D540" s="6" t="s">
        <x:v>18</x:v>
      </x:c>
      <x:c r="E540" s="6">
        <x:v>22</x:v>
      </x:c>
      <x:c r="F540" s="6" t="n">
        <x:f>英雄升级调参!$C$87</x:f>
        <x:v>5</x:v>
      </x:c>
      <x:c r="G540" s="12">
        <x:f t="shared" si="48"/>
        <x:v>1144</x:v>
      </x:c>
      <x:c r="H540" s="12">
        <x:f t="shared" si="49"/>
        <x:v>9378</x:v>
      </x:c>
      <x:c r="I540" s="12">
        <x:f t="shared" si="47"/>
        <x:v>10728432</x:v>
      </x:c>
      <x:c r="J540" s="12">
        <x:f>ROUND(英雄升级调参!$D$87*英雄升级调参!$J$9*英雄升级调参!$E$21,0)</x:f>
        <x:v>59</x:v>
      </x:c>
      <x:c r="K540" s="12">
        <x:f>ROUND(英雄升级调参!$D$87*英雄升级调参!$C$11*英雄升级调参!$J$9*英雄升级调参!$G$21,0)</x:f>
        <x:v>491</x:v>
      </x:c>
      <x:c r="L540" s="12" t="n">
        <x:f>养成消耗调参!$C$169</x:f>
        <x:v>480</x:v>
      </x:c>
      <x:c r="M540" s="12" t="n">
        <x:f>养成消耗调参!$F$169</x:f>
        <x:v>3000</x:v>
      </x:c>
      <x:c r="N540" s="12" t="n">
        <x:f>养成消耗调参!$I$169</x:f>
        <x:v>0</x:v>
      </x:c>
      <x:c r="O540" s="12" t="n">
        <x:f>养成消耗调参!$J$169</x:f>
        <x:v>4968</x:v>
      </x:c>
      <x:c r="P540" s="12" t="n">
        <x:f>养成消耗调参!$M$169</x:f>
        <x:v>27000</x:v>
      </x:c>
      <x:c r="Q540" s="12" t="n">
        <x:f>养成消耗调参!$P$169</x:f>
        <x:v>160</x:v>
      </x:c>
      <x:c r="R540" s="13">
        <x:f>I540/英雄升级调参!$G$87-1</x:f>
        <x:v>0.00734180638182802</x:v>
      </x:c>
      <x:c r="S540" s="6"/>
      <x:c r="T540" s="6"/>
      <x:c r="U540" s="6"/>
    </x:row>
    <x:row r="541" ht="21" customHeight="1">
      <x:c r="A541" s="14" t="n">
        <x:f>英雄升级调参!$B$21</x:f>
        <x:v>310003</x:v>
      </x:c>
      <x:c r="B541" s="14" t="str">
        <x:f>英雄升级调参!$C$21</x:f>
        <x:v>鲀小泡</x:v>
      </x:c>
      <x:c r="C541" s="6" t="str">
        <x:f>英雄升级调参!$D$21</x:f>
        <x:v>战士</x:v>
      </x:c>
      <x:c r="D541" s="6" t="s">
        <x:v>18</x:v>
      </x:c>
      <x:c r="E541" s="6">
        <x:v>23</x:v>
      </x:c>
      <x:c r="F541" s="6" t="n">
        <x:f>英雄升级调参!$C$88</x:f>
        <x:v>5</x:v>
      </x:c>
      <x:c r="G541" s="12">
        <x:f t="shared" si="48"/>
        <x:v>1203</x:v>
      </x:c>
      <x:c r="H541" s="12">
        <x:f t="shared" si="49"/>
        <x:v>9869</x:v>
      </x:c>
      <x:c r="I541" s="12">
        <x:f t="shared" si="47"/>
        <x:v>11872407</x:v>
      </x:c>
      <x:c r="J541" s="12">
        <x:f>ROUND(英雄升级调参!$D$88*英雄升级调参!$J$9*英雄升级调参!$E$21,0)</x:f>
        <x:v>59</x:v>
      </x:c>
      <x:c r="K541" s="12">
        <x:f>ROUND(英雄升级调参!$D$88*英雄升级调参!$C$11*英雄升级调参!$J$9*英雄升级调参!$G$21,0)</x:f>
        <x:v>491</x:v>
      </x:c>
      <x:c r="L541" s="12" t="n">
        <x:f>养成消耗调参!$C$170</x:f>
        <x:v>480</x:v>
      </x:c>
      <x:c r="M541" s="12" t="n">
        <x:f>养成消耗调参!$F$170</x:f>
        <x:v>3000</x:v>
      </x:c>
      <x:c r="N541" s="12" t="n">
        <x:f>养成消耗调参!$I$170</x:f>
        <x:v>0</x:v>
      </x:c>
      <x:c r="O541" s="12" t="n">
        <x:f>养成消耗调参!$J$170</x:f>
        <x:v>5448</x:v>
      </x:c>
      <x:c r="P541" s="12" t="n">
        <x:f>养成消耗调参!$M$170</x:f>
        <x:v>30000</x:v>
      </x:c>
      <x:c r="Q541" s="12" t="n">
        <x:f>养成消耗调参!$P$170</x:f>
        <x:v>160</x:v>
      </x:c>
      <x:c r="R541" s="13">
        <x:f>I541/英雄升级调参!$G$88-1</x:f>
        <x:v>0.006651455490776614</x:v>
      </x:c>
      <x:c r="S541" s="6"/>
      <x:c r="T541" s="6"/>
      <x:c r="U541" s="6"/>
    </x:row>
    <x:row r="542" ht="21" customHeight="1">
      <x:c r="A542" s="14" t="n">
        <x:f>英雄升级调参!$B$21</x:f>
        <x:v>310003</x:v>
      </x:c>
      <x:c r="B542" s="14" t="str">
        <x:f>英雄升级调参!$C$21</x:f>
        <x:v>鲀小泡</x:v>
      </x:c>
      <x:c r="C542" s="6" t="str">
        <x:f>英雄升级调参!$D$21</x:f>
        <x:v>战士</x:v>
      </x:c>
      <x:c r="D542" s="6" t="s">
        <x:v>18</x:v>
      </x:c>
      <x:c r="E542" s="6">
        <x:v>24</x:v>
      </x:c>
      <x:c r="F542" s="6" t="n">
        <x:f>英雄升级调参!$C$89</x:f>
        <x:v>5</x:v>
      </x:c>
      <x:c r="G542" s="12">
        <x:f t="shared" si="48"/>
        <x:v>1262</x:v>
      </x:c>
      <x:c r="H542" s="12">
        <x:f t="shared" si="49"/>
        <x:v>10360</x:v>
      </x:c>
      <x:c r="I542" s="12">
        <x:f t="shared" si="47"/>
        <x:v>13074320</x:v>
      </x:c>
      <x:c r="J542" s="12">
        <x:f>ROUND(英雄升级调参!$D$89*英雄升级调参!$J$9*英雄升级调参!$E$21,0)</x:f>
        <x:v>59</x:v>
      </x:c>
      <x:c r="K542" s="12">
        <x:f>ROUND(英雄升级调参!$D$89*英雄升级调参!$C$11*英雄升级调参!$J$9*英雄升级调参!$G$21,0)</x:f>
        <x:v>491</x:v>
      </x:c>
      <x:c r="L542" s="12" t="n">
        <x:f>养成消耗调参!$C$171</x:f>
        <x:v>528</x:v>
      </x:c>
      <x:c r="M542" s="12" t="n">
        <x:f>养成消耗调参!$F$171</x:f>
        <x:v>3000</x:v>
      </x:c>
      <x:c r="N542" s="12" t="n">
        <x:f>养成消耗调参!$I$171</x:f>
        <x:v>0</x:v>
      </x:c>
      <x:c r="O542" s="12" t="n">
        <x:f>养成消耗调参!$J$171</x:f>
        <x:v>5976</x:v>
      </x:c>
      <x:c r="P542" s="12" t="n">
        <x:f>养成消耗调参!$M$171</x:f>
        <x:v>33000</x:v>
      </x:c>
      <x:c r="Q542" s="12" t="n">
        <x:f>养成消耗调参!$P$171</x:f>
        <x:v>160</x:v>
      </x:c>
      <x:c r="R542" s="13">
        <x:f>I542/英雄升级调参!$G$89-1</x:f>
        <x:v>0.006026469682979485</x:v>
      </x:c>
      <x:c r="S542" s="6"/>
      <x:c r="T542" s="6"/>
      <x:c r="U542" s="6"/>
    </x:row>
    <x:row r="543" ht="21" customHeight="1">
      <x:c r="A543" s="14" t="n">
        <x:f>英雄升级调参!$B$21</x:f>
        <x:v>310003</x:v>
      </x:c>
      <x:c r="B543" s="14" t="str">
        <x:f>英雄升级调参!$C$21</x:f>
        <x:v>鲀小泡</x:v>
      </x:c>
      <x:c r="C543" s="6" t="str">
        <x:f>英雄升级调参!$D$21</x:f>
        <x:v>战士</x:v>
      </x:c>
      <x:c r="D543" s="6" t="s">
        <x:v>18</x:v>
      </x:c>
      <x:c r="E543" s="6">
        <x:v>25</x:v>
      </x:c>
      <x:c r="F543" s="6" t="n">
        <x:f>英雄升级调参!$C$90</x:f>
        <x:v>5</x:v>
      </x:c>
      <x:c r="G543" s="12">
        <x:f t="shared" si="48"/>
        <x:v>1439</x:v>
      </x:c>
      <x:c r="H543" s="12">
        <x:f t="shared" si="49"/>
        <x:v>11833</x:v>
      </x:c>
      <x:c r="I543" s="12">
        <x:f t="shared" si="47"/>
        <x:v>17027687</x:v>
      </x:c>
      <x:c r="J543" s="12">
        <x:f>ROUND(英雄升级调参!$D$90*英雄升级调参!$J$9*英雄升级调参!$E$21,0)*3</x:f>
        <x:v>177</x:v>
      </x:c>
      <x:c r="K543" s="12">
        <x:f>ROUND(英雄升级调参!$D$90*英雄升级调参!$C$11*英雄升级调参!$J$9*英雄升级调参!$G$21,0)*3</x:f>
        <x:v>1473</x:v>
      </x:c>
      <x:c r="L543" s="12" t="n">
        <x:f>养成消耗调参!$C$172</x:f>
        <x:v>528</x:v>
      </x:c>
      <x:c r="M543" s="12" t="n">
        <x:f>养成消耗调参!$F$172</x:f>
        <x:v>3000</x:v>
      </x:c>
      <x:c r="N543" s="12" t="n">
        <x:f>养成消耗调参!$I$172</x:f>
        <x:v>90</x:v>
      </x:c>
      <x:c r="O543" s="12" t="n">
        <x:f>养成消耗调参!$J$172</x:f>
        <x:v>6504</x:v>
      </x:c>
      <x:c r="P543" s="12" t="n">
        <x:f>养成消耗调参!$M$172</x:f>
        <x:v>36000</x:v>
      </x:c>
      <x:c r="Q543" s="12" t="n">
        <x:f>养成消耗调参!$P$172</x:f>
        <x:v>250</x:v>
      </x:c>
      <x:c r="R543" s="13">
        <x:f>I543/英雄升级调参!$G$90-1</x:f>
        <x:v>0.004462412783358127</x:v>
      </x:c>
      <x:c r="S543" s="6"/>
      <x:c r="T543" s="6"/>
      <x:c r="U543" s="6"/>
    </x:row>
    <x:row r="544" ht="21" customHeight="1">
      <x:c r="A544" s="14" t="n">
        <x:f>英雄升级调参!$B$21</x:f>
        <x:v>310003</x:v>
      </x:c>
      <x:c r="B544" s="14" t="str">
        <x:f>英雄升级调参!$C$21</x:f>
        <x:v>鲀小泡</x:v>
      </x:c>
      <x:c r="C544" s="6" t="str">
        <x:f>英雄升级调参!$D$21</x:f>
        <x:v>战士</x:v>
      </x:c>
      <x:c r="D544" s="6" t="s">
        <x:v>18</x:v>
      </x:c>
      <x:c r="E544" s="6">
        <x:v>26</x:v>
      </x:c>
      <x:c r="F544" s="6" t="n">
        <x:f>英雄升级调参!$C$91</x:f>
        <x:v>6</x:v>
      </x:c>
      <x:c r="G544" s="12">
        <x:f t="shared" si="48"/>
        <x:v>1508</x:v>
      </x:c>
      <x:c r="H544" s="12">
        <x:f t="shared" si="49"/>
        <x:v>12406</x:v>
      </x:c>
      <x:c r="I544" s="12">
        <x:f t="shared" si="47"/>
        <x:v>18708248</x:v>
      </x:c>
      <x:c r="J544" s="12">
        <x:f>ROUND(英雄升级调参!$D$91*英雄升级调参!$J$9*英雄升级调参!$E$21,0)</x:f>
        <x:v>69</x:v>
      </x:c>
      <x:c r="K544" s="12">
        <x:f>ROUND(英雄升级调参!$D$91*英雄升级调参!$C$11*英雄升级调参!$J$9*英雄升级调参!$G$21,0)</x:f>
        <x:v>573</x:v>
      </x:c>
      <x:c r="L544" s="12" t="n">
        <x:f>养成消耗调参!$C$173</x:f>
        <x:v>576</x:v>
      </x:c>
      <x:c r="M544" s="12" t="n">
        <x:f>养成消耗调参!$F$173</x:f>
        <x:v>3000</x:v>
      </x:c>
      <x:c r="N544" s="12" t="n">
        <x:f>养成消耗调参!$I$173</x:f>
        <x:v>0</x:v>
      </x:c>
      <x:c r="O544" s="12" t="n">
        <x:f>养成消耗调参!$J$173</x:f>
        <x:v>7080</x:v>
      </x:c>
      <x:c r="P544" s="12" t="n">
        <x:f>养成消耗调参!$M$173</x:f>
        <x:v>39000</x:v>
      </x:c>
      <x:c r="Q544" s="12" t="n">
        <x:f>养成消耗调参!$P$173</x:f>
        <x:v>250</x:v>
      </x:c>
      <x:c r="R544" s="13">
        <x:f>I544/英雄升级调参!$G$91-1</x:f>
        <x:v>0.004078841793127452</x:v>
      </x:c>
      <x:c r="S544" s="6"/>
      <x:c r="T544" s="6"/>
      <x:c r="U544" s="6"/>
    </x:row>
    <x:row r="545" ht="21" customHeight="1">
      <x:c r="A545" s="14" t="n">
        <x:f>英雄升级调参!$B$21</x:f>
        <x:v>310003</x:v>
      </x:c>
      <x:c r="B545" s="14" t="str">
        <x:f>英雄升级调参!$C$21</x:f>
        <x:v>鲀小泡</x:v>
      </x:c>
      <x:c r="C545" s="6" t="str">
        <x:f>英雄升级调参!$D$21</x:f>
        <x:v>战士</x:v>
      </x:c>
      <x:c r="D545" s="6" t="s">
        <x:v>18</x:v>
      </x:c>
      <x:c r="E545" s="6">
        <x:v>27</x:v>
      </x:c>
      <x:c r="F545" s="6" t="n">
        <x:f>英雄升级调参!$C$92</x:f>
        <x:v>6</x:v>
      </x:c>
      <x:c r="G545" s="12">
        <x:f t="shared" si="48"/>
        <x:v>1577</x:v>
      </x:c>
      <x:c r="H545" s="12">
        <x:f t="shared" si="49"/>
        <x:v>12979</x:v>
      </x:c>
      <x:c r="I545" s="12">
        <x:f t="shared" si="47"/>
        <x:v>20467883</x:v>
      </x:c>
      <x:c r="J545" s="12">
        <x:f>ROUND(英雄升级调参!$D$92*英雄升级调参!$J$9*英雄升级调参!$E$21,0)</x:f>
        <x:v>69</x:v>
      </x:c>
      <x:c r="K545" s="12">
        <x:f>ROUND(英雄升级调参!$D$92*英雄升级调参!$C$11*英雄升级调参!$J$9*英雄升级调参!$G$21,0)</x:f>
        <x:v>573</x:v>
      </x:c>
      <x:c r="L545" s="12" t="n">
        <x:f>养成消耗调参!$C$174</x:f>
        <x:v>576</x:v>
      </x:c>
      <x:c r="M545" s="12" t="n">
        <x:f>养成消耗调参!$F$174</x:f>
        <x:v>3900</x:v>
      </x:c>
      <x:c r="N545" s="12" t="n">
        <x:f>养成消耗调参!$I$174</x:f>
        <x:v>0</x:v>
      </x:c>
      <x:c r="O545" s="12" t="n">
        <x:f>养成消耗调参!$J$174</x:f>
        <x:v>7656</x:v>
      </x:c>
      <x:c r="P545" s="12" t="n">
        <x:f>养成消耗调参!$M$174</x:f>
        <x:v>42900</x:v>
      </x:c>
      <x:c r="Q545" s="12" t="n">
        <x:f>养成消耗调参!$P$174</x:f>
        <x:v>250</x:v>
      </x:c>
      <x:c r="R545" s="13">
        <x:f>I545/英雄升级调参!$G$92-1</x:f>
        <x:v>0.003729089675085673</x:v>
      </x:c>
      <x:c r="S545" s="6"/>
      <x:c r="T545" s="6"/>
      <x:c r="U545" s="6"/>
    </x:row>
    <x:row r="546" ht="21" customHeight="1">
      <x:c r="A546" s="14" t="n">
        <x:f>英雄升级调参!$B$21</x:f>
        <x:v>310003</x:v>
      </x:c>
      <x:c r="B546" s="14" t="str">
        <x:f>英雄升级调参!$C$21</x:f>
        <x:v>鲀小泡</x:v>
      </x:c>
      <x:c r="C546" s="6" t="str">
        <x:f>英雄升级调参!$D$21</x:f>
        <x:v>战士</x:v>
      </x:c>
      <x:c r="D546" s="6" t="s">
        <x:v>18</x:v>
      </x:c>
      <x:c r="E546" s="6">
        <x:v>28</x:v>
      </x:c>
      <x:c r="F546" s="6" t="n">
        <x:f>英雄升级调参!$C$93</x:f>
        <x:v>6</x:v>
      </x:c>
      <x:c r="G546" s="12">
        <x:f t="shared" si="48"/>
        <x:v>1646</x:v>
      </x:c>
      <x:c r="H546" s="12">
        <x:f t="shared" si="49"/>
        <x:v>13552</x:v>
      </x:c>
      <x:c r="I546" s="12">
        <x:f t="shared" si="47"/>
        <x:v>22306592</x:v>
      </x:c>
      <x:c r="J546" s="12">
        <x:f>ROUND(英雄升级调参!$D$93*英雄升级调参!$J$9*英雄升级调参!$E$21,0)</x:f>
        <x:v>69</x:v>
      </x:c>
      <x:c r="K546" s="12">
        <x:f>ROUND(英雄升级调参!$D$93*英雄升级调参!$C$11*英雄升级调参!$J$9*英雄升级调参!$G$21,0)</x:f>
        <x:v>573</x:v>
      </x:c>
      <x:c r="L546" s="12" t="n">
        <x:f>养成消耗调参!$C$175</x:f>
        <x:v>624</x:v>
      </x:c>
      <x:c r="M546" s="12" t="n">
        <x:f>养成消耗调参!$F$175</x:f>
        <x:v>3900</x:v>
      </x:c>
      <x:c r="N546" s="12" t="n">
        <x:f>养成消耗调参!$I$175</x:f>
        <x:v>0</x:v>
      </x:c>
      <x:c r="O546" s="12" t="n">
        <x:f>养成消耗调参!$J$175</x:f>
        <x:v>8280</x:v>
      </x:c>
      <x:c r="P546" s="12" t="n">
        <x:f>养成消耗调参!$M$175</x:f>
        <x:v>46800</x:v>
      </x:c>
      <x:c r="Q546" s="12" t="n">
        <x:f>养成消耗调参!$P$175</x:f>
        <x:v>250</x:v>
      </x:c>
      <x:c r="R546" s="13">
        <x:f>I546/英雄升级调参!$G$93-1</x:f>
        <x:v>0.0034088726411678483</x:v>
      </x:c>
      <x:c r="S546" s="6"/>
      <x:c r="T546" s="6"/>
      <x:c r="U546" s="6"/>
    </x:row>
    <x:row r="547" ht="21" customHeight="1">
      <x:c r="A547" s="14" t="n">
        <x:f>英雄升级调参!$B$21</x:f>
        <x:v>310003</x:v>
      </x:c>
      <x:c r="B547" s="14" t="str">
        <x:f>英雄升级调参!$C$21</x:f>
        <x:v>鲀小泡</x:v>
      </x:c>
      <x:c r="C547" s="6" t="str">
        <x:f>英雄升级调参!$D$21</x:f>
        <x:v>战士</x:v>
      </x:c>
      <x:c r="D547" s="6" t="s">
        <x:v>18</x:v>
      </x:c>
      <x:c r="E547" s="6">
        <x:v>29</x:v>
      </x:c>
      <x:c r="F547" s="6" t="n">
        <x:f>英雄升级调参!$C$94</x:f>
        <x:v>6</x:v>
      </x:c>
      <x:c r="G547" s="12">
        <x:f t="shared" si="48"/>
        <x:v>1715</x:v>
      </x:c>
      <x:c r="H547" s="12">
        <x:f t="shared" si="49"/>
        <x:v>14125</x:v>
      </x:c>
      <x:c r="I547" s="12">
        <x:f t="shared" si="47"/>
        <x:v>24224375</x:v>
      </x:c>
      <x:c r="J547" s="12">
        <x:f>ROUND(英雄升级调参!$D$94*英雄升级调参!$J$9*英雄升级调参!$E$21,0)</x:f>
        <x:v>69</x:v>
      </x:c>
      <x:c r="K547" s="12">
        <x:f>ROUND(英雄升级调参!$D$94*英雄升级调参!$C$11*英雄升级调参!$J$9*英雄升级调参!$G$21,0)</x:f>
        <x:v>573</x:v>
      </x:c>
      <x:c r="L547" s="12" t="n">
        <x:f>养成消耗调参!$C$176</x:f>
        <x:v>624</x:v>
      </x:c>
      <x:c r="M547" s="12" t="n">
        <x:f>养成消耗调参!$F$176</x:f>
        <x:v>3900</x:v>
      </x:c>
      <x:c r="N547" s="12" t="n">
        <x:f>养成消耗调参!$I$176</x:f>
        <x:v>0</x:v>
      </x:c>
      <x:c r="O547" s="12" t="n">
        <x:f>养成消耗调参!$J$176</x:f>
        <x:v>8904</x:v>
      </x:c>
      <x:c r="P547" s="12" t="n">
        <x:f>养成消耗调参!$M$176</x:f>
        <x:v>50700</x:v>
      </x:c>
      <x:c r="Q547" s="12" t="n">
        <x:f>养成消耗调参!$P$176</x:f>
        <x:v>250</x:v>
      </x:c>
      <x:c r="R547" s="13">
        <x:f>I547/英雄升级调参!$G$94-1</x:f>
        <x:v>0.0031146010875739982</x:v>
      </x:c>
      <x:c r="S547" s="6"/>
      <x:c r="T547" s="6"/>
      <x:c r="U547" s="6"/>
    </x:row>
    <x:row r="548" ht="21" customHeight="1">
      <x:c r="A548" s="14" t="n">
        <x:f>英雄升级调参!$B$21</x:f>
        <x:v>310003</x:v>
      </x:c>
      <x:c r="B548" s="14" t="str">
        <x:f>英雄升级调参!$C$21</x:f>
        <x:v>鲀小泡</x:v>
      </x:c>
      <x:c r="C548" s="6" t="str">
        <x:f>英雄升级调参!$D$21</x:f>
        <x:v>战士</x:v>
      </x:c>
      <x:c r="D548" s="6" t="s">
        <x:v>18</x:v>
      </x:c>
      <x:c r="E548" s="6">
        <x:v>30</x:v>
      </x:c>
      <x:c r="F548" s="6" t="n">
        <x:f>英雄升级调参!$C$95</x:f>
        <x:v>6</x:v>
      </x:c>
      <x:c r="G548" s="12">
        <x:f t="shared" si="48"/>
        <x:v>1922</x:v>
      </x:c>
      <x:c r="H548" s="12">
        <x:f t="shared" si="49"/>
        <x:v>15844</x:v>
      </x:c>
      <x:c r="I548" s="12">
        <x:f t="shared" si="47"/>
        <x:v>30452168</x:v>
      </x:c>
      <x:c r="J548" s="12">
        <x:f>ROUND(英雄升级调参!$D$95*英雄升级调参!$J$9*英雄升级调参!$E$21,0)*3</x:f>
        <x:v>207</x:v>
      </x:c>
      <x:c r="K548" s="12">
        <x:f>ROUND(英雄升级调参!$D$95*英雄升级调参!$C$11*英雄升级调参!$J$9*英雄升级调参!$G$21,0)*3</x:f>
        <x:v>1719</x:v>
      </x:c>
      <x:c r="L548" s="12" t="n">
        <x:f>养成消耗调参!$C$177</x:f>
        <x:v>672</x:v>
      </x:c>
      <x:c r="M548" s="12" t="n">
        <x:f>养成消耗调参!$F$177</x:f>
        <x:v>3900</x:v>
      </x:c>
      <x:c r="N548" s="12" t="n">
        <x:f>养成消耗调参!$I$177</x:f>
        <x:v>110</x:v>
      </x:c>
      <x:c r="O548" s="12" t="n">
        <x:f>养成消耗调参!$J$177</x:f>
        <x:v>9576</x:v>
      </x:c>
      <x:c r="P548" s="12" t="n">
        <x:f>养成消耗调参!$M$177</x:f>
        <x:v>54600</x:v>
      </x:c>
      <x:c r="Q548" s="12" t="n">
        <x:f>养成消耗调参!$P$177</x:f>
        <x:v>360</x:v>
      </x:c>
      <x:c r="R548" s="13">
        <x:f>I548/英雄升级调参!$G$95-1</x:f>
        <x:v>0.0023593431179023128</x:v>
      </x:c>
      <x:c r="S548" s="6"/>
      <x:c r="T548" s="6"/>
      <x:c r="U548" s="6"/>
    </x:row>
    <x:row r="549" ht="21" customHeight="1">
      <x:c r="A549" s="14" t="n">
        <x:f>英雄升级调参!$B$21</x:f>
        <x:v>310003</x:v>
      </x:c>
      <x:c r="B549" s="14" t="str">
        <x:f>英雄升级调参!$C$21</x:f>
        <x:v>鲀小泡</x:v>
      </x:c>
      <x:c r="C549" s="6" t="str">
        <x:f>英雄升级调参!$D$21</x:f>
        <x:v>战士</x:v>
      </x:c>
      <x:c r="D549" s="6" t="s">
        <x:v>18</x:v>
      </x:c>
      <x:c r="E549" s="6">
        <x:v>31</x:v>
      </x:c>
      <x:c r="F549" s="6" t="n">
        <x:f>英雄升级调参!$C$96</x:f>
        <x:v>7</x:v>
      </x:c>
      <x:c r="G549" s="12">
        <x:f t="shared" si="48"/>
        <x:v>2001</x:v>
      </x:c>
      <x:c r="H549" s="12">
        <x:f t="shared" si="49"/>
        <x:v>16499</x:v>
      </x:c>
      <x:c r="I549" s="12">
        <x:f t="shared" si="47"/>
        <x:v>33014499</x:v>
      </x:c>
      <x:c r="J549" s="12">
        <x:f>ROUND(英雄升级调参!$D$96*英雄升级调参!$J$9*英雄升级调参!$E$21,0)</x:f>
        <x:v>79</x:v>
      </x:c>
      <x:c r="K549" s="12">
        <x:f>ROUND(英雄升级调参!$D$96*英雄升级调参!$C$11*英雄升级调参!$J$9*英雄升级调参!$G$21,0)</x:f>
        <x:v>655</x:v>
      </x:c>
      <x:c r="L549" s="12" t="n">
        <x:f>养成消耗调参!$C$178</x:f>
        <x:v>672</x:v>
      </x:c>
      <x:c r="M549" s="12" t="n">
        <x:f>养成消耗调参!$F$178</x:f>
        <x:v>3900</x:v>
      </x:c>
      <x:c r="N549" s="12" t="n">
        <x:f>养成消耗调参!$I$178</x:f>
        <x:v>0</x:v>
      </x:c>
      <x:c r="O549" s="12" t="n">
        <x:f>养成消耗调参!$J$178</x:f>
        <x:v>10248</x:v>
      </x:c>
      <x:c r="P549" s="12" t="n">
        <x:f>养成消耗调参!$M$178</x:f>
        <x:v>58500</x:v>
      </x:c>
      <x:c r="Q549" s="12" t="n">
        <x:f>养成消耗调参!$P$178</x:f>
        <x:v>360</x:v>
      </x:c>
      <x:c r="R549" s="13">
        <x:f>I549/英雄升级调参!$G$96-1</x:f>
        <x:v>0.002193201739407513</x:v>
      </x:c>
      <x:c r="S549" s="6"/>
      <x:c r="T549" s="6"/>
      <x:c r="U549" s="6"/>
    </x:row>
    <x:row r="550" ht="21" customHeight="1">
      <x:c r="A550" s="14" t="n">
        <x:f>英雄升级调参!$B$21</x:f>
        <x:v>310003</x:v>
      </x:c>
      <x:c r="B550" s="14" t="str">
        <x:f>英雄升级调参!$C$21</x:f>
        <x:v>鲀小泡</x:v>
      </x:c>
      <x:c r="C550" s="6" t="str">
        <x:f>英雄升级调参!$D$21</x:f>
        <x:v>战士</x:v>
      </x:c>
      <x:c r="D550" s="6" t="s">
        <x:v>18</x:v>
      </x:c>
      <x:c r="E550" s="6">
        <x:v>32</x:v>
      </x:c>
      <x:c r="F550" s="6" t="n">
        <x:f>英雄升级调参!$C$97</x:f>
        <x:v>7</x:v>
      </x:c>
      <x:c r="G550" s="12">
        <x:f t="shared" si="48"/>
        <x:v>2080</x:v>
      </x:c>
      <x:c r="H550" s="12">
        <x:f t="shared" si="49"/>
        <x:v>17154</x:v>
      </x:c>
      <x:c r="I550" s="12">
        <x:f t="shared" si="47"/>
        <x:v>35680320</x:v>
      </x:c>
      <x:c r="J550" s="12">
        <x:f>ROUND(英雄升级调参!$D$97*英雄升级调参!$J$9*英雄升级调参!$E$21,0)</x:f>
        <x:v>79</x:v>
      </x:c>
      <x:c r="K550" s="12">
        <x:f>ROUND(英雄升级调参!$D$97*英雄升级调参!$C$11*英雄升级调参!$J$9*英雄升级调参!$G$21,0)</x:f>
        <x:v>655</x:v>
      </x:c>
      <x:c r="L550" s="12" t="n">
        <x:f>养成消耗调参!$C$179</x:f>
        <x:v>720</x:v>
      </x:c>
      <x:c r="M550" s="12" t="n">
        <x:f>养成消耗调参!$F$179</x:f>
        <x:v>4800</x:v>
      </x:c>
      <x:c r="N550" s="12" t="n">
        <x:f>养成消耗调参!$I$179</x:f>
        <x:v>0</x:v>
      </x:c>
      <x:c r="O550" s="12" t="n">
        <x:f>养成消耗调参!$J$179</x:f>
        <x:v>10968</x:v>
      </x:c>
      <x:c r="P550" s="12" t="n">
        <x:f>养成消耗调参!$M$179</x:f>
        <x:v>63300</x:v>
      </x:c>
      <x:c r="Q550" s="12" t="n">
        <x:f>养成消耗调参!$P$179</x:f>
        <x:v>360</x:v>
      </x:c>
      <x:c r="R550" s="13">
        <x:f>I550/英雄升级调参!$G$97-1</x:f>
        <x:v>0.0020397279351735964</x:v>
      </x:c>
      <x:c r="S550" s="6"/>
      <x:c r="T550" s="6"/>
      <x:c r="U550" s="6"/>
    </x:row>
    <x:row r="551" ht="21" customHeight="1">
      <x:c r="A551" s="14" t="n">
        <x:f>英雄升级调参!$B$21</x:f>
        <x:v>310003</x:v>
      </x:c>
      <x:c r="B551" s="14" t="str">
        <x:f>英雄升级调参!$C$21</x:f>
        <x:v>鲀小泡</x:v>
      </x:c>
      <x:c r="C551" s="6" t="str">
        <x:f>英雄升级调参!$D$21</x:f>
        <x:v>战士</x:v>
      </x:c>
      <x:c r="D551" s="6" t="s">
        <x:v>18</x:v>
      </x:c>
      <x:c r="E551" s="6">
        <x:v>33</x:v>
      </x:c>
      <x:c r="F551" s="6" t="n">
        <x:f>英雄升级调参!$C$98</x:f>
        <x:v>7</x:v>
      </x:c>
      <x:c r="G551" s="12">
        <x:f t="shared" si="48"/>
        <x:v>2159</x:v>
      </x:c>
      <x:c r="H551" s="12">
        <x:f t="shared" si="49"/>
        <x:v>17809</x:v>
      </x:c>
      <x:c r="I551" s="12">
        <x:f t="shared" si="47"/>
        <x:v>38449631</x:v>
      </x:c>
      <x:c r="J551" s="12">
        <x:f>ROUND(英雄升级调参!$D$98*英雄升级调参!$J$9*英雄升级调参!$E$21,0)</x:f>
        <x:v>79</x:v>
      </x:c>
      <x:c r="K551" s="12">
        <x:f>ROUND(英雄升级调参!$D$98*英雄升级调参!$C$11*英雄升级调参!$J$9*英雄升级调参!$G$21,0)</x:f>
        <x:v>655</x:v>
      </x:c>
      <x:c r="L551" s="12" t="n">
        <x:f>养成消耗调参!$C$180</x:f>
        <x:v>720</x:v>
      </x:c>
      <x:c r="M551" s="12" t="n">
        <x:f>养成消耗调参!$F$180</x:f>
        <x:v>4800</x:v>
      </x:c>
      <x:c r="N551" s="12" t="n">
        <x:f>养成消耗调参!$I$180</x:f>
        <x:v>0</x:v>
      </x:c>
      <x:c r="O551" s="12" t="n">
        <x:f>养成消耗调参!$J$180</x:f>
        <x:v>11688</x:v>
      </x:c>
      <x:c r="P551" s="12" t="n">
        <x:f>养成消耗调参!$M$180</x:f>
        <x:v>68100</x:v>
      </x:c>
      <x:c r="Q551" s="12" t="n">
        <x:f>养成消耗调参!$P$180</x:f>
        <x:v>360</x:v>
      </x:c>
      <x:c r="R551" s="13">
        <x:f>I551/英雄升级调参!$G$98-1</x:f>
        <x:v>0.0018975261362266238</x:v>
      </x:c>
      <x:c r="S551" s="6"/>
      <x:c r="T551" s="6"/>
      <x:c r="U551" s="6"/>
    </x:row>
    <x:row r="552" ht="21" customHeight="1">
      <x:c r="A552" s="14" t="n">
        <x:f>英雄升级调参!$B$21</x:f>
        <x:v>310003</x:v>
      </x:c>
      <x:c r="B552" s="14" t="str">
        <x:f>英雄升级调参!$C$21</x:f>
        <x:v>鲀小泡</x:v>
      </x:c>
      <x:c r="C552" s="6" t="str">
        <x:f>英雄升级调参!$D$21</x:f>
        <x:v>战士</x:v>
      </x:c>
      <x:c r="D552" s="6" t="s">
        <x:v>18</x:v>
      </x:c>
      <x:c r="E552" s="6">
        <x:v>34</x:v>
      </x:c>
      <x:c r="F552" s="6" t="n">
        <x:f>英雄升级调参!$C$99</x:f>
        <x:v>7</x:v>
      </x:c>
      <x:c r="G552" s="12">
        <x:f t="shared" ref="G552:G568" si="50">G551+J552</x:f>
        <x:v>2238</x:v>
      </x:c>
      <x:c r="H552" s="12">
        <x:f t="shared" ref="H552:H568" si="51">H551+K552</x:f>
        <x:v>18464</x:v>
      </x:c>
      <x:c r="I552" s="12">
        <x:f t="shared" si="47"/>
        <x:v>41322432</x:v>
      </x:c>
      <x:c r="J552" s="12">
        <x:f>ROUND(英雄升级调参!$D$99*英雄升级调参!$J$9*英雄升级调参!$E$21,0)</x:f>
        <x:v>79</x:v>
      </x:c>
      <x:c r="K552" s="12">
        <x:f>ROUND(英雄升级调参!$D$99*英雄升级调参!$C$11*英雄升级调参!$J$9*英雄升级调参!$G$21,0)</x:f>
        <x:v>655</x:v>
      </x:c>
      <x:c r="L552" s="12" t="n">
        <x:f>养成消耗调参!$C$181</x:f>
        <x:v>768</x:v>
      </x:c>
      <x:c r="M552" s="12" t="n">
        <x:f>养成消耗调参!$F$181</x:f>
        <x:v>4800</x:v>
      </x:c>
      <x:c r="N552" s="12" t="n">
        <x:f>养成消耗调参!$I$181</x:f>
        <x:v>0</x:v>
      </x:c>
      <x:c r="O552" s="12" t="n">
        <x:f>养成消耗调参!$J$181</x:f>
        <x:v>12456</x:v>
      </x:c>
      <x:c r="P552" s="12" t="n">
        <x:f>养成消耗调参!$M$181</x:f>
        <x:v>72900</x:v>
      </x:c>
      <x:c r="Q552" s="12" t="n">
        <x:f>养成消耗调参!$P$181</x:f>
        <x:v>360</x:v>
      </x:c>
      <x:c r="R552" s="13">
        <x:f>I552/英雄升级调参!$G$99-1</x:f>
        <x:v>0.0017653985092223046</x:v>
      </x:c>
      <x:c r="S552" s="6"/>
      <x:c r="T552" s="6"/>
      <x:c r="U552" s="6"/>
    </x:row>
    <x:row r="553" ht="21" customHeight="1">
      <x:c r="A553" s="14" t="n">
        <x:f>英雄升级调参!$B$21</x:f>
        <x:v>310003</x:v>
      </x:c>
      <x:c r="B553" s="14" t="str">
        <x:f>英雄升级调参!$C$21</x:f>
        <x:v>鲀小泡</x:v>
      </x:c>
      <x:c r="C553" s="6" t="str">
        <x:f>英雄升级调参!$D$21</x:f>
        <x:v>战士</x:v>
      </x:c>
      <x:c r="D553" s="6" t="s">
        <x:v>18</x:v>
      </x:c>
      <x:c r="E553" s="6">
        <x:v>35</x:v>
      </x:c>
      <x:c r="F553" s="6" t="n">
        <x:f>英雄升级调参!$C$100</x:f>
        <x:v>7</x:v>
      </x:c>
      <x:c r="G553" s="12">
        <x:f t="shared" si="50"/>
        <x:v>2475</x:v>
      </x:c>
      <x:c r="H553" s="12">
        <x:f t="shared" si="51"/>
        <x:v>20429</x:v>
      </x:c>
      <x:c r="I553" s="12">
        <x:f t="shared" si="47"/>
        <x:v>50561775</x:v>
      </x:c>
      <x:c r="J553" s="12">
        <x:f>ROUND(英雄升级调参!$D$100*英雄升级调参!$J$9*英雄升级调参!$E$21,0)*3</x:f>
        <x:v>237</x:v>
      </x:c>
      <x:c r="K553" s="12">
        <x:f>ROUND(英雄升级调参!$D$100*英雄升级调参!$C$11*英雄升级调参!$J$9*英雄升级调参!$G$21,0)*3</x:f>
        <x:v>1965</x:v>
      </x:c>
      <x:c r="L553" s="12" t="n">
        <x:f>养成消耗调参!$C$182</x:f>
        <x:v>768</x:v>
      </x:c>
      <x:c r="M553" s="12" t="n">
        <x:f>养成消耗调参!$F$182</x:f>
        <x:v>4800</x:v>
      </x:c>
      <x:c r="N553" s="12" t="n">
        <x:f>养成消耗调参!$I$182</x:f>
        <x:v>130</x:v>
      </x:c>
      <x:c r="O553" s="12" t="n">
        <x:f>养成消耗调参!$J$182</x:f>
        <x:v>13224</x:v>
      </x:c>
      <x:c r="P553" s="12" t="n">
        <x:f>养成消耗调参!$M$182</x:f>
        <x:v>77700</x:v>
      </x:c>
      <x:c r="Q553" s="12" t="n">
        <x:f>养成消耗调参!$P$182</x:f>
        <x:v>490</x:v>
      </x:c>
      <x:c r="R553" s="13">
        <x:f>I553/英雄升级调参!$G$100-1</x:f>
        <x:v>0.0014197835654481405</x:v>
      </x:c>
      <x:c r="S553" s="6"/>
      <x:c r="T553" s="6"/>
      <x:c r="U553" s="6"/>
    </x:row>
    <x:row r="554" ht="21" customHeight="1">
      <x:c r="A554" s="14" t="n">
        <x:f>英雄升级调参!$B$21</x:f>
        <x:v>310003</x:v>
      </x:c>
      <x:c r="B554" s="14" t="str">
        <x:f>英雄升级调参!$C$21</x:f>
        <x:v>鲀小泡</x:v>
      </x:c>
      <x:c r="C554" s="6" t="str">
        <x:f>英雄升级调参!$D$21</x:f>
        <x:v>战士</x:v>
      </x:c>
      <x:c r="D554" s="6" t="s">
        <x:v>18</x:v>
      </x:c>
      <x:c r="E554" s="6">
        <x:v>36</x:v>
      </x:c>
      <x:c r="F554" s="6" t="n">
        <x:f>英雄升级调参!$C$101</x:f>
        <x:v>8</x:v>
      </x:c>
      <x:c r="G554" s="12">
        <x:f t="shared" si="50"/>
        <x:v>2564</x:v>
      </x:c>
      <x:c r="H554" s="12">
        <x:f t="shared" si="51"/>
        <x:v>21165</x:v>
      </x:c>
      <x:c r="I554" s="12">
        <x:f t="shared" si="47"/>
        <x:v>54267060</x:v>
      </x:c>
      <x:c r="J554" s="12">
        <x:f>ROUND(英雄升级调参!$D$101*英雄升级调参!$J$9*英雄升级调参!$E$21,0)</x:f>
        <x:v>89</x:v>
      </x:c>
      <x:c r="K554" s="12">
        <x:f>ROUND(英雄升级调参!$D$101*英雄升级调参!$C$11*英雄升级调参!$J$9*英雄升级调参!$G$21,0)</x:f>
        <x:v>736</x:v>
      </x:c>
      <x:c r="L554" s="12" t="n">
        <x:f>养成消耗调参!$C$183</x:f>
        <x:v>816</x:v>
      </x:c>
      <x:c r="M554" s="12" t="n">
        <x:f>养成消耗调参!$F$183</x:f>
        <x:v>4800</x:v>
      </x:c>
      <x:c r="N554" s="12" t="n">
        <x:f>养成消耗调参!$I$183</x:f>
        <x:v>0</x:v>
      </x:c>
      <x:c r="O554" s="12" t="n">
        <x:f>养成消耗调参!$J$183</x:f>
        <x:v>14040</x:v>
      </x:c>
      <x:c r="P554" s="12" t="n">
        <x:f>养成消耗调参!$M$183</x:f>
        <x:v>82500</x:v>
      </x:c>
      <x:c r="Q554" s="12" t="n">
        <x:f>养成消耗调参!$P$183</x:f>
        <x:v>490</x:v>
      </x:c>
      <x:c r="R554" s="13">
        <x:f>I554/英雄升级调参!$G$101-1</x:f>
        <x:v>0.0013141230027986506</x:v>
      </x:c>
      <x:c r="S554" s="6"/>
      <x:c r="T554" s="6"/>
      <x:c r="U554" s="6"/>
    </x:row>
    <x:row r="555" ht="21" customHeight="1">
      <x:c r="A555" s="14" t="n">
        <x:f>英雄升级调参!$B$21</x:f>
        <x:v>310003</x:v>
      </x:c>
      <x:c r="B555" s="14" t="str">
        <x:f>英雄升级调参!$C$21</x:f>
        <x:v>鲀小泡</x:v>
      </x:c>
      <x:c r="C555" s="6" t="str">
        <x:f>英雄升级调参!$D$21</x:f>
        <x:v>战士</x:v>
      </x:c>
      <x:c r="D555" s="6" t="s">
        <x:v>18</x:v>
      </x:c>
      <x:c r="E555" s="6">
        <x:v>37</x:v>
      </x:c>
      <x:c r="F555" s="6" t="n">
        <x:f>英雄升级调参!$C$102</x:f>
        <x:v>8</x:v>
      </x:c>
      <x:c r="G555" s="12">
        <x:f t="shared" si="50"/>
        <x:v>2653</x:v>
      </x:c>
      <x:c r="H555" s="12">
        <x:f t="shared" si="51"/>
        <x:v>21901</x:v>
      </x:c>
      <x:c r="I555" s="12">
        <x:f t="shared" si="47"/>
        <x:v>58103353</x:v>
      </x:c>
      <x:c r="J555" s="12">
        <x:f>ROUND(英雄升级调参!$D$102*英雄升级调参!$J$9*英雄升级调参!$E$21,0)</x:f>
        <x:v>89</x:v>
      </x:c>
      <x:c r="K555" s="12">
        <x:f>ROUND(英雄升级调参!$D$102*英雄升级调参!$C$11*英雄升级调参!$J$9*英雄升级调参!$G$21,0)</x:f>
        <x:v>736</x:v>
      </x:c>
      <x:c r="L555" s="12" t="n">
        <x:f>养成消耗调参!$C$184</x:f>
        <x:v>816</x:v>
      </x:c>
      <x:c r="M555" s="12" t="n">
        <x:f>养成消耗调参!$F$184</x:f>
        <x:v>5700</x:v>
      </x:c>
      <x:c r="N555" s="12" t="n">
        <x:f>养成消耗调参!$I$184</x:f>
        <x:v>0</x:v>
      </x:c>
      <x:c r="O555" s="12" t="n">
        <x:f>养成消耗调参!$J$184</x:f>
        <x:v>14856</x:v>
      </x:c>
      <x:c r="P555" s="12" t="n">
        <x:f>养成消耗调参!$M$184</x:f>
        <x:v>88200</x:v>
      </x:c>
      <x:c r="Q555" s="12" t="n">
        <x:f>养成消耗调参!$P$184</x:f>
        <x:v>490</x:v>
      </x:c>
      <x:c r="R555" s="13">
        <x:f>I555/英雄升级调参!$G$102-1</x:f>
        <x:v>0.0012155709847585516</x:v>
      </x:c>
      <x:c r="S555" s="6"/>
      <x:c r="T555" s="6"/>
      <x:c r="U555" s="6"/>
    </x:row>
    <x:row r="556" ht="21" customHeight="1">
      <x:c r="A556" s="14" t="n">
        <x:f>英雄升级调参!$B$21</x:f>
        <x:v>310003</x:v>
      </x:c>
      <x:c r="B556" s="14" t="str">
        <x:f>英雄升级调参!$C$21</x:f>
        <x:v>鲀小泡</x:v>
      </x:c>
      <x:c r="C556" s="6" t="str">
        <x:f>英雄升级调参!$D$21</x:f>
        <x:v>战士</x:v>
      </x:c>
      <x:c r="D556" s="6" t="s">
        <x:v>18</x:v>
      </x:c>
      <x:c r="E556" s="6">
        <x:v>38</x:v>
      </x:c>
      <x:c r="F556" s="6" t="n">
        <x:f>英雄升级调参!$C$103</x:f>
        <x:v>8</x:v>
      </x:c>
      <x:c r="G556" s="12">
        <x:f t="shared" si="50"/>
        <x:v>2742</x:v>
      </x:c>
      <x:c r="H556" s="12">
        <x:f t="shared" si="51"/>
        <x:v>22637</x:v>
      </x:c>
      <x:c r="I556" s="12">
        <x:f t="shared" si="47"/>
        <x:v>62070654</x:v>
      </x:c>
      <x:c r="J556" s="12">
        <x:f>ROUND(英雄升级调参!$D$103*英雄升级调参!$J$9*英雄升级调参!$E$21,0)</x:f>
        <x:v>89</x:v>
      </x:c>
      <x:c r="K556" s="12">
        <x:f>ROUND(英雄升级调参!$D$103*英雄升级调参!$C$11*英雄升级调参!$J$9*英雄升级调参!$G$21,0)</x:f>
        <x:v>736</x:v>
      </x:c>
      <x:c r="L556" s="12" t="n">
        <x:f>养成消耗调参!$C$185</x:f>
        <x:v>864</x:v>
      </x:c>
      <x:c r="M556" s="12" t="n">
        <x:f>养成消耗调参!$F$185</x:f>
        <x:v>5700</x:v>
      </x:c>
      <x:c r="N556" s="12" t="n">
        <x:f>养成消耗调参!$I$185</x:f>
        <x:v>0</x:v>
      </x:c>
      <x:c r="O556" s="12" t="n">
        <x:f>养成消耗调参!$J$185</x:f>
        <x:v>15720</x:v>
      </x:c>
      <x:c r="P556" s="12" t="n">
        <x:f>养成消耗调参!$M$185</x:f>
        <x:v>93900</x:v>
      </x:c>
      <x:c r="Q556" s="12" t="n">
        <x:f>养成消耗调参!$P$185</x:f>
        <x:v>490</x:v>
      </x:c>
      <x:c r="R556" s="13">
        <x:f>I556/英雄升级调参!$G$103-1</x:f>
        <x:v>0.0011234334930081413</x:v>
      </x:c>
      <x:c r="S556" s="6"/>
      <x:c r="T556" s="6"/>
      <x:c r="U556" s="6"/>
    </x:row>
    <x:row r="557" ht="21" customHeight="1">
      <x:c r="A557" s="14" t="n">
        <x:f>英雄升级调参!$B$21</x:f>
        <x:v>310003</x:v>
      </x:c>
      <x:c r="B557" s="14" t="str">
        <x:f>英雄升级调参!$C$21</x:f>
        <x:v>鲀小泡</x:v>
      </x:c>
      <x:c r="C557" s="6" t="str">
        <x:f>英雄升级调参!$D$21</x:f>
        <x:v>战士</x:v>
      </x:c>
      <x:c r="D557" s="6" t="s">
        <x:v>18</x:v>
      </x:c>
      <x:c r="E557" s="6">
        <x:v>39</x:v>
      </x:c>
      <x:c r="F557" s="6" t="n">
        <x:f>英雄升级调参!$C$104</x:f>
        <x:v>8</x:v>
      </x:c>
      <x:c r="G557" s="12">
        <x:f t="shared" si="50"/>
        <x:v>2831</x:v>
      </x:c>
      <x:c r="H557" s="12">
        <x:f t="shared" si="51"/>
        <x:v>23373</x:v>
      </x:c>
      <x:c r="I557" s="12">
        <x:f t="shared" si="47"/>
        <x:v>66168963</x:v>
      </x:c>
      <x:c r="J557" s="12">
        <x:f>ROUND(英雄升级调参!$D$104*英雄升级调参!$J$9*英雄升级调参!$E$21,0)</x:f>
        <x:v>89</x:v>
      </x:c>
      <x:c r="K557" s="12">
        <x:f>ROUND(英雄升级调参!$D$104*英雄升级调参!$C$11*英雄升级调参!$J$9*英雄升级调参!$G$21,0)</x:f>
        <x:v>736</x:v>
      </x:c>
      <x:c r="L557" s="12" t="n">
        <x:f>养成消耗调参!$C$186</x:f>
        <x:v>864</x:v>
      </x:c>
      <x:c r="M557" s="12" t="n">
        <x:f>养成消耗调参!$F$186</x:f>
        <x:v>5700</x:v>
      </x:c>
      <x:c r="N557" s="12" t="n">
        <x:f>养成消耗调参!$I$186</x:f>
        <x:v>0</x:v>
      </x:c>
      <x:c r="O557" s="12" t="n">
        <x:f>养成消耗调参!$J$186</x:f>
        <x:v>16584</x:v>
      </x:c>
      <x:c r="P557" s="12" t="n">
        <x:f>养成消耗调参!$M$186</x:f>
        <x:v>99600</x:v>
      </x:c>
      <x:c r="Q557" s="12" t="n">
        <x:f>养成消耗调参!$P$186</x:f>
        <x:v>490</x:v>
      </x:c>
      <x:c r="R557" s="13">
        <x:f>I557/英雄升级调参!$G$104-1</x:f>
        <x:v>0.001037104005860101</x:v>
      </x:c>
      <x:c r="S557" s="6"/>
      <x:c r="T557" s="6"/>
      <x:c r="U557" s="6"/>
    </x:row>
    <x:row r="558" ht="21" customHeight="1">
      <x:c r="A558" s="14" t="n">
        <x:f>英雄升级调参!$B$21</x:f>
        <x:v>310003</x:v>
      </x:c>
      <x:c r="B558" s="14" t="str">
        <x:f>英雄升级调参!$C$21</x:f>
        <x:v>鲀小泡</x:v>
      </x:c>
      <x:c r="C558" s="6" t="str">
        <x:f>英雄升级调参!$D$21</x:f>
        <x:v>战士</x:v>
      </x:c>
      <x:c r="D558" s="6" t="s">
        <x:v>18</x:v>
      </x:c>
      <x:c r="E558" s="6">
        <x:v>40</x:v>
      </x:c>
      <x:c r="F558" s="6" t="n">
        <x:f>英雄升级调参!$C$105</x:f>
        <x:v>8</x:v>
      </x:c>
      <x:c r="G558" s="12">
        <x:f t="shared" si="50"/>
        <x:v>3098</x:v>
      </x:c>
      <x:c r="H558" s="12">
        <x:f t="shared" si="51"/>
        <x:v>25581</x:v>
      </x:c>
      <x:c r="I558" s="12">
        <x:f t="shared" si="47"/>
        <x:v>79249938</x:v>
      </x:c>
      <x:c r="J558" s="12">
        <x:f>ROUND(英雄升级调参!$D$105*英雄升级调参!$J$9*英雄升级调参!$E$21,0)*3</x:f>
        <x:v>267</x:v>
      </x:c>
      <x:c r="K558" s="12">
        <x:f>ROUND(英雄升级调参!$D$105*英雄升级调参!$C$11*英雄升级调参!$J$9*英雄升级调参!$G$21,0)*3</x:f>
        <x:v>2208</x:v>
      </x:c>
      <x:c r="L558" s="12" t="n">
        <x:f>养成消耗调参!$C$187</x:f>
        <x:v>912</x:v>
      </x:c>
      <x:c r="M558" s="12" t="n">
        <x:f>养成消耗调参!$F$187</x:f>
        <x:v>5700</x:v>
      </x:c>
      <x:c r="N558" s="12" t="n">
        <x:f>养成消耗调参!$I$187</x:f>
        <x:v>150</x:v>
      </x:c>
      <x:c r="O558" s="12" t="n">
        <x:f>养成消耗调参!$J$187</x:f>
        <x:v>17496</x:v>
      </x:c>
      <x:c r="P558" s="12" t="n">
        <x:f>养成消耗调参!$M$187</x:f>
        <x:v>105300</x:v>
      </x:c>
      <x:c r="Q558" s="12" t="n">
        <x:f>养成消耗调参!$P$187</x:f>
        <x:v>640</x:v>
      </x:c>
      <x:c r="R558" s="13">
        <x:f>I558/英雄升级调参!$G$105-1</x:f>
        <x:v>0.0008079462571395357</x:v>
      </x:c>
      <x:c r="S558" s="6"/>
      <x:c r="T558" s="6"/>
      <x:c r="U558" s="6"/>
    </x:row>
    <x:row r="559" ht="21" customHeight="1">
      <x:c r="A559" s="14" t="n">
        <x:f>英雄升级调参!$B$21</x:f>
        <x:v>310003</x:v>
      </x:c>
      <x:c r="B559" s="14" t="str">
        <x:f>英雄升级调参!$C$21</x:f>
        <x:v>鲀小泡</x:v>
      </x:c>
      <x:c r="C559" s="6" t="str">
        <x:f>英雄升级调参!$D$21</x:f>
        <x:v>战士</x:v>
      </x:c>
      <x:c r="D559" s="6" t="s">
        <x:v>18</x:v>
      </x:c>
      <x:c r="E559" s="6">
        <x:v>41</x:v>
      </x:c>
      <x:c r="F559" s="6" t="n">
        <x:f>英雄升级调参!$C$106</x:f>
        <x:v>9</x:v>
      </x:c>
      <x:c r="G559" s="12">
        <x:f t="shared" si="50"/>
        <x:v>3197</x:v>
      </x:c>
      <x:c r="H559" s="12">
        <x:f t="shared" si="51"/>
        <x:v>26399</x:v>
      </x:c>
      <x:c r="I559" s="12">
        <x:f t="shared" si="47"/>
        <x:v>84397603</x:v>
      </x:c>
      <x:c r="J559" s="12">
        <x:f>ROUND(英雄升级调参!$D$106*英雄升级调参!$J$9*英雄升级调参!$E$21,0)</x:f>
        <x:v>99</x:v>
      </x:c>
      <x:c r="K559" s="12">
        <x:f>ROUND(英雄升级调参!$D$106*英雄升级调参!$C$11*英雄升级调参!$J$9*英雄升级调参!$G$21,0)</x:f>
        <x:v>818</x:v>
      </x:c>
      <x:c r="L559" s="12" t="n">
        <x:f>养成消耗调参!$C$188</x:f>
        <x:v>912</x:v>
      </x:c>
      <x:c r="M559" s="12" t="n">
        <x:f>养成消耗调参!$F$188</x:f>
        <x:v>5700</x:v>
      </x:c>
      <x:c r="N559" s="12" t="n">
        <x:f>养成消耗调参!$I$188</x:f>
        <x:v>0</x:v>
      </x:c>
      <x:c r="O559" s="12" t="n">
        <x:f>养成消耗调参!$J$188</x:f>
        <x:v>18408</x:v>
      </x:c>
      <x:c r="P559" s="12" t="n">
        <x:f>养成消耗调参!$M$188</x:f>
        <x:v>111000</x:v>
      </x:c>
      <x:c r="Q559" s="12" t="n">
        <x:f>养成消耗调参!$P$188</x:f>
        <x:v>640</x:v>
      </x:c>
      <x:c r="R559" s="13">
        <x:f>I559/英雄升级调参!$G$106-1</x:f>
        <x:v>0.0007760147492961167</x:v>
      </x:c>
      <x:c r="S559" s="6"/>
      <x:c r="T559" s="6"/>
      <x:c r="U559" s="6"/>
    </x:row>
    <x:row r="560" ht="21" customHeight="1">
      <x:c r="A560" s="14" t="n">
        <x:f>英雄升级调参!$B$21</x:f>
        <x:v>310003</x:v>
      </x:c>
      <x:c r="B560" s="14" t="str">
        <x:f>英雄升级调参!$C$21</x:f>
        <x:v>鲀小泡</x:v>
      </x:c>
      <x:c r="C560" s="6" t="str">
        <x:f>英雄升级调参!$D$21</x:f>
        <x:v>战士</x:v>
      </x:c>
      <x:c r="D560" s="6" t="s">
        <x:v>18</x:v>
      </x:c>
      <x:c r="E560" s="6">
        <x:v>42</x:v>
      </x:c>
      <x:c r="F560" s="6" t="n">
        <x:f>英雄升级调参!$C$107</x:f>
        <x:v>9</x:v>
      </x:c>
      <x:c r="G560" s="12">
        <x:f t="shared" si="50"/>
        <x:v>3296</x:v>
      </x:c>
      <x:c r="H560" s="12">
        <x:f t="shared" si="51"/>
        <x:v>27217</x:v>
      </x:c>
      <x:c r="I560" s="12">
        <x:f t="shared" si="47"/>
        <x:v>89707232</x:v>
      </x:c>
      <x:c r="J560" s="12">
        <x:f>ROUND(英雄升级调参!$D$107*英雄升级调参!$J$9*英雄升级调参!$E$21,0)</x:f>
        <x:v>99</x:v>
      </x:c>
      <x:c r="K560" s="12">
        <x:f>ROUND(英雄升级调参!$D$107*英雄升级调参!$C$11*英雄升级调参!$J$9*英雄升级调参!$G$21,0)</x:f>
        <x:v>818</x:v>
      </x:c>
      <x:c r="L560" s="12" t="n">
        <x:f>养成消耗调参!$C$189</x:f>
        <x:v>960</x:v>
      </x:c>
      <x:c r="M560" s="12" t="n">
        <x:f>养成消耗调参!$F$189</x:f>
        <x:v>6600</x:v>
      </x:c>
      <x:c r="N560" s="12" t="n">
        <x:f>养成消耗调参!$I$189</x:f>
        <x:v>0</x:v>
      </x:c>
      <x:c r="O560" s="12" t="n">
        <x:f>养成消耗调参!$J$189</x:f>
        <x:v>19368</x:v>
      </x:c>
      <x:c r="P560" s="12" t="n">
        <x:f>养成消耗调参!$M$189</x:f>
        <x:v>117600</x:v>
      </x:c>
      <x:c r="Q560" s="12" t="n">
        <x:f>养成消耗调参!$P$189</x:f>
        <x:v>640</x:v>
      </x:c>
      <x:c r="R560" s="13">
        <x:f>I560/英雄升级调参!$G$107-1</x:f>
        <x:v>0.0007460032512141002</x:v>
      </x:c>
      <x:c r="S560" s="6"/>
      <x:c r="T560" s="6"/>
      <x:c r="U560" s="6"/>
    </x:row>
    <x:row r="561" ht="21" customHeight="1">
      <x:c r="A561" s="14" t="n">
        <x:f>英雄升级调参!$B$21</x:f>
        <x:v>310003</x:v>
      </x:c>
      <x:c r="B561" s="14" t="str">
        <x:f>英雄升级调参!$C$21</x:f>
        <x:v>鲀小泡</x:v>
      </x:c>
      <x:c r="C561" s="6" t="str">
        <x:f>英雄升级调参!$D$21</x:f>
        <x:v>战士</x:v>
      </x:c>
      <x:c r="D561" s="6" t="s">
        <x:v>18</x:v>
      </x:c>
      <x:c r="E561" s="6">
        <x:v>43</x:v>
      </x:c>
      <x:c r="F561" s="6" t="n">
        <x:f>英雄升级调参!$C$108</x:f>
        <x:v>9</x:v>
      </x:c>
      <x:c r="G561" s="12">
        <x:f t="shared" si="50"/>
        <x:v>3395</x:v>
      </x:c>
      <x:c r="H561" s="12">
        <x:f t="shared" si="51"/>
        <x:v>28035</x:v>
      </x:c>
      <x:c r="I561" s="12">
        <x:f t="shared" si="47"/>
        <x:v>95178825</x:v>
      </x:c>
      <x:c r="J561" s="12">
        <x:f>ROUND(英雄升级调参!$D$108*英雄升级调参!$J$9*英雄升级调参!$E$21,0)</x:f>
        <x:v>99</x:v>
      </x:c>
      <x:c r="K561" s="12">
        <x:f>ROUND(英雄升级调参!$D$108*英雄升级调参!$C$11*英雄升级调参!$J$9*英雄升级调参!$G$21,0)</x:f>
        <x:v>818</x:v>
      </x:c>
      <x:c r="L561" s="12" t="n">
        <x:f>养成消耗调参!$C$190</x:f>
        <x:v>960</x:v>
      </x:c>
      <x:c r="M561" s="12" t="n">
        <x:f>养成消耗调参!$F$190</x:f>
        <x:v>6600</x:v>
      </x:c>
      <x:c r="N561" s="12" t="n">
        <x:f>养成消耗调参!$I$190</x:f>
        <x:v>0</x:v>
      </x:c>
      <x:c r="O561" s="12" t="n">
        <x:f>养成消耗调参!$J$190</x:f>
        <x:v>20328</x:v>
      </x:c>
      <x:c r="P561" s="12" t="n">
        <x:f>养成消耗调参!$M$190</x:f>
        <x:v>124200</x:v>
      </x:c>
      <x:c r="Q561" s="12" t="n">
        <x:f>养成消耗调参!$P$190</x:f>
        <x:v>640</x:v>
      </x:c>
      <x:c r="R561" s="13">
        <x:f>I561/英雄升级调参!$G$108-1</x:f>
        <x:v>0.0007177436448697616</x:v>
      </x:c>
      <x:c r="S561" s="6"/>
      <x:c r="T561" s="6"/>
      <x:c r="U561" s="6"/>
    </x:row>
    <x:row r="562" ht="21" customHeight="1">
      <x:c r="A562" s="14" t="n">
        <x:f>英雄升级调参!$B$21</x:f>
        <x:v>310003</x:v>
      </x:c>
      <x:c r="B562" s="14" t="str">
        <x:f>英雄升级调参!$C$21</x:f>
        <x:v>鲀小泡</x:v>
      </x:c>
      <x:c r="C562" s="6" t="str">
        <x:f>英雄升级调参!$D$21</x:f>
        <x:v>战士</x:v>
      </x:c>
      <x:c r="D562" s="6" t="s">
        <x:v>18</x:v>
      </x:c>
      <x:c r="E562" s="6">
        <x:v>44</x:v>
      </x:c>
      <x:c r="F562" s="6" t="n">
        <x:f>英雄升级调参!$C$109</x:f>
        <x:v>9</x:v>
      </x:c>
      <x:c r="G562" s="12">
        <x:f t="shared" si="50"/>
        <x:v>3494</x:v>
      </x:c>
      <x:c r="H562" s="12">
        <x:f t="shared" si="51"/>
        <x:v>28853</x:v>
      </x:c>
      <x:c r="I562" s="12">
        <x:f t="shared" si="47"/>
        <x:v>100812382</x:v>
      </x:c>
      <x:c r="J562" s="12">
        <x:f>ROUND(英雄升级调参!$D$109*英雄升级调参!$J$9*英雄升级调参!$E$21,0)</x:f>
        <x:v>99</x:v>
      </x:c>
      <x:c r="K562" s="12">
        <x:f>ROUND(英雄升级调参!$D$109*英雄升级调参!$C$11*英雄升级调参!$J$9*英雄升级调参!$G$21,0)</x:f>
        <x:v>818</x:v>
      </x:c>
      <x:c r="L562" s="12" t="n">
        <x:f>养成消耗调参!$C$191</x:f>
        <x:v>1008</x:v>
      </x:c>
      <x:c r="M562" s="12" t="n">
        <x:f>养成消耗调参!$F$191</x:f>
        <x:v>6600</x:v>
      </x:c>
      <x:c r="N562" s="12" t="n">
        <x:f>养成消耗调参!$I$191</x:f>
        <x:v>0</x:v>
      </x:c>
      <x:c r="O562" s="12" t="n">
        <x:f>养成消耗调参!$J$191</x:f>
        <x:v>21336</x:v>
      </x:c>
      <x:c r="P562" s="12" t="n">
        <x:f>养成消耗调参!$M$191</x:f>
        <x:v>130800</x:v>
      </x:c>
      <x:c r="Q562" s="12" t="n">
        <x:f>养成消耗调参!$P$191</x:f>
        <x:v>640</x:v>
      </x:c>
      <x:c r="R562" s="13">
        <x:f>I562/英雄升级调参!$G$109-1</x:f>
        <x:v>0.0006910868830674044</x:v>
      </x:c>
      <x:c r="S562" s="6"/>
      <x:c r="T562" s="6"/>
      <x:c r="U562" s="6"/>
    </x:row>
    <x:row r="563" ht="21" customHeight="1">
      <x:c r="A563" s="14" t="n">
        <x:f>英雄升级调参!$B$21</x:f>
        <x:v>310003</x:v>
      </x:c>
      <x:c r="B563" s="14" t="str">
        <x:f>英雄升级调参!$C$21</x:f>
        <x:v>鲀小泡</x:v>
      </x:c>
      <x:c r="C563" s="6" t="str">
        <x:f>英雄升级调参!$D$21</x:f>
        <x:v>战士</x:v>
      </x:c>
      <x:c r="D563" s="6" t="s">
        <x:v>18</x:v>
      </x:c>
      <x:c r="E563" s="6">
        <x:v>45</x:v>
      </x:c>
      <x:c r="F563" s="6" t="n">
        <x:f>英雄升级调参!$C$110</x:f>
        <x:v>9</x:v>
      </x:c>
      <x:c r="G563" s="12">
        <x:f t="shared" si="50"/>
        <x:v>3791</x:v>
      </x:c>
      <x:c r="H563" s="12">
        <x:f t="shared" si="51"/>
        <x:v>31307</x:v>
      </x:c>
      <x:c r="I563" s="12">
        <x:f t="shared" si="47"/>
        <x:v>118684837</x:v>
      </x:c>
      <x:c r="J563" s="12">
        <x:f>ROUND(英雄升级调参!$D$110*英雄升级调参!$J$9*英雄升级调参!$E$21,0)*3</x:f>
        <x:v>297</x:v>
      </x:c>
      <x:c r="K563" s="12">
        <x:f>ROUND(英雄升级调参!$D$110*英雄升级调参!$C$11*英雄升级调参!$J$9*英雄升级调参!$G$21,0)*3</x:f>
        <x:v>2454</x:v>
      </x:c>
      <x:c r="L563" s="12" t="n">
        <x:f>养成消耗调参!$C$192</x:f>
        <x:v>1008</x:v>
      </x:c>
      <x:c r="M563" s="12" t="n">
        <x:f>养成消耗调参!$F$192</x:f>
        <x:v>6600</x:v>
      </x:c>
      <x:c r="N563" s="12" t="n">
        <x:f>养成消耗调参!$I$192</x:f>
        <x:v>170</x:v>
      </x:c>
      <x:c r="O563" s="12" t="n">
        <x:f>养成消耗调参!$J$192</x:f>
        <x:v>22344</x:v>
      </x:c>
      <x:c r="P563" s="12" t="n">
        <x:f>养成消耗调参!$M$192</x:f>
        <x:v>137400</x:v>
      </x:c>
      <x:c r="Q563" s="12" t="n">
        <x:f>养成消耗调参!$P$192</x:f>
        <x:v>810</x:v>
      </x:c>
      <x:c r="R563" s="13">
        <x:f>I563/英雄升级调参!$G$110-1</x:f>
        <x:v>0.0006194769202545469</x:v>
      </x:c>
      <x:c r="S563" s="6"/>
      <x:c r="T563" s="6"/>
      <x:c r="U563" s="6"/>
    </x:row>
    <x:row r="564" ht="21" customHeight="1">
      <x:c r="A564" s="14" t="n">
        <x:f>英雄升级调参!$B$21</x:f>
        <x:v>310003</x:v>
      </x:c>
      <x:c r="B564" s="14" t="str">
        <x:f>英雄升级调参!$C$21</x:f>
        <x:v>鲀小泡</x:v>
      </x:c>
      <x:c r="C564" s="6" t="str">
        <x:f>英雄升级调参!$D$21</x:f>
        <x:v>战士</x:v>
      </x:c>
      <x:c r="D564" s="6" t="s">
        <x:v>18</x:v>
      </x:c>
      <x:c r="E564" s="6">
        <x:v>46</x:v>
      </x:c>
      <x:c r="F564" s="6" t="n">
        <x:f>英雄升级调参!$C$111</x:f>
        <x:v>10</x:v>
      </x:c>
      <x:c r="G564" s="12">
        <x:f t="shared" si="50"/>
        <x:v>3900</x:v>
      </x:c>
      <x:c r="H564" s="12">
        <x:f t="shared" si="51"/>
        <x:v>32207</x:v>
      </x:c>
      <x:c r="I564" s="12">
        <x:f t="shared" si="47"/>
        <x:v>125607300</x:v>
      </x:c>
      <x:c r="J564" s="12">
        <x:f>ROUND(英雄升级调参!$D$111*英雄升级调参!$J$9*英雄升级调参!$E$21,0)</x:f>
        <x:v>109</x:v>
      </x:c>
      <x:c r="K564" s="12">
        <x:f>ROUND(英雄升级调参!$D$111*英雄升级调参!$C$11*英雄升级调参!$J$9*英雄升级调参!$G$21,0)</x:f>
        <x:v>900</x:v>
      </x:c>
      <x:c r="L564" s="12" t="n">
        <x:f>养成消耗调参!$C$193</x:f>
        <x:v>1056</x:v>
      </x:c>
      <x:c r="M564" s="12" t="n">
        <x:f>养成消耗调参!$F$193</x:f>
        <x:v>6600</x:v>
      </x:c>
      <x:c r="N564" s="12" t="n">
        <x:f>养成消耗调参!$I$193</x:f>
        <x:v>0</x:v>
      </x:c>
      <x:c r="O564" s="12" t="n">
        <x:f>养成消耗调参!$J$193</x:f>
        <x:v>23400</x:v>
      </x:c>
      <x:c r="P564" s="12" t="n">
        <x:f>养成消耗调参!$M$193</x:f>
        <x:v>144000</x:v>
      </x:c>
      <x:c r="Q564" s="12" t="n">
        <x:f>养成消耗调参!$P$193</x:f>
        <x:v>810</x:v>
      </x:c>
      <x:c r="R564" s="13">
        <x:f>I564/英雄升级调参!$G$111-1</x:f>
        <x:v>0.0006278256035741059</x:v>
      </x:c>
      <x:c r="S564" s="6"/>
      <x:c r="T564" s="6"/>
      <x:c r="U564" s="6"/>
    </x:row>
    <x:row r="565" ht="21" customHeight="1">
      <x:c r="A565" s="14" t="n">
        <x:f>英雄升级调参!$B$21</x:f>
        <x:v>310003</x:v>
      </x:c>
      <x:c r="B565" s="14" t="str">
        <x:f>英雄升级调参!$C$21</x:f>
        <x:v>鲀小泡</x:v>
      </x:c>
      <x:c r="C565" s="6" t="str">
        <x:f>英雄升级调参!$D$21</x:f>
        <x:v>战士</x:v>
      </x:c>
      <x:c r="D565" s="6" t="s">
        <x:v>18</x:v>
      </x:c>
      <x:c r="E565" s="6">
        <x:v>47</x:v>
      </x:c>
      <x:c r="F565" s="6" t="n">
        <x:f>英雄升级调参!$C$112</x:f>
        <x:v>10</x:v>
      </x:c>
      <x:c r="G565" s="12">
        <x:f t="shared" si="50"/>
        <x:v>4009</x:v>
      </x:c>
      <x:c r="H565" s="12">
        <x:f t="shared" si="51"/>
        <x:v>33107</x:v>
      </x:c>
      <x:c r="I565" s="12">
        <x:f t="shared" si="47"/>
        <x:v>132725963</x:v>
      </x:c>
      <x:c r="J565" s="12">
        <x:f>ROUND(英雄升级调参!$D$112*英雄升级调参!$J$9*英雄升级调参!$E$21,0)</x:f>
        <x:v>109</x:v>
      </x:c>
      <x:c r="K565" s="12">
        <x:f>ROUND(英雄升级调参!$D$112*英雄升级调参!$C$11*英雄升级调参!$J$9*英雄升级调参!$G$21,0)</x:f>
        <x:v>900</x:v>
      </x:c>
      <x:c r="L565" s="12" t="n">
        <x:f>养成消耗调参!$C$194</x:f>
        <x:v>1056</x:v>
      </x:c>
      <x:c r="M565" s="12" t="n">
        <x:f>养成消耗调参!$F$194</x:f>
        <x:v>7500</x:v>
      </x:c>
      <x:c r="N565" s="12" t="n">
        <x:f>养成消耗调参!$I$194</x:f>
        <x:v>0</x:v>
      </x:c>
      <x:c r="O565" s="12" t="n">
        <x:f>养成消耗调参!$J$194</x:f>
        <x:v>24456</x:v>
      </x:c>
      <x:c r="P565" s="12" t="n">
        <x:f>养成消耗调参!$M$194</x:f>
        <x:v>151500</x:v>
      </x:c>
      <x:c r="Q565" s="12" t="n">
        <x:f>养成消耗调参!$P$194</x:f>
        <x:v>810</x:v>
      </x:c>
      <x:c r="R565" s="13">
        <x:f>I565/英雄升级调参!$G$112-1</x:f>
        <x:v>0.0006357204268583327</x:v>
      </x:c>
      <x:c r="S565" s="6"/>
      <x:c r="T565" s="6"/>
      <x:c r="U565" s="6"/>
    </x:row>
    <x:row r="566" ht="21" customHeight="1">
      <x:c r="A566" s="14" t="n">
        <x:f>英雄升级调参!$B$21</x:f>
        <x:v>310003</x:v>
      </x:c>
      <x:c r="B566" s="14" t="str">
        <x:f>英雄升级调参!$C$21</x:f>
        <x:v>鲀小泡</x:v>
      </x:c>
      <x:c r="C566" s="6" t="str">
        <x:f>英雄升级调参!$D$21</x:f>
        <x:v>战士</x:v>
      </x:c>
      <x:c r="D566" s="6" t="s">
        <x:v>18</x:v>
      </x:c>
      <x:c r="E566" s="6">
        <x:v>48</x:v>
      </x:c>
      <x:c r="F566" s="6" t="n">
        <x:f>英雄升级调参!$C$113</x:f>
        <x:v>10</x:v>
      </x:c>
      <x:c r="G566" s="12">
        <x:f t="shared" si="50"/>
        <x:v>4118</x:v>
      </x:c>
      <x:c r="H566" s="12">
        <x:f t="shared" si="51"/>
        <x:v>34007</x:v>
      </x:c>
      <x:c r="I566" s="12">
        <x:f t="shared" si="47"/>
        <x:v>140040826</x:v>
      </x:c>
      <x:c r="J566" s="12">
        <x:f>ROUND(英雄升级调参!$D$113*英雄升级调参!$J$9*英雄升级调参!$E$21,0)</x:f>
        <x:v>109</x:v>
      </x:c>
      <x:c r="K566" s="12">
        <x:f>ROUND(英雄升级调参!$D$113*英雄升级调参!$C$11*英雄升级调参!$J$9*英雄升级调参!$G$21,0)</x:f>
        <x:v>900</x:v>
      </x:c>
      <x:c r="L566" s="12" t="n">
        <x:f>养成消耗调参!$C$195</x:f>
        <x:v>1104</x:v>
      </x:c>
      <x:c r="M566" s="12" t="n">
        <x:f>养成消耗调参!$F$195</x:f>
        <x:v>7500</x:v>
      </x:c>
      <x:c r="N566" s="12" t="n">
        <x:f>养成消耗调参!$I$195</x:f>
        <x:v>0</x:v>
      </x:c>
      <x:c r="O566" s="12" t="n">
        <x:f>养成消耗调参!$J$195</x:f>
        <x:v>25560</x:v>
      </x:c>
      <x:c r="P566" s="12" t="n">
        <x:f>养成消耗调参!$M$195</x:f>
        <x:v>159000</x:v>
      </x:c>
      <x:c r="Q566" s="12" t="n">
        <x:f>养成消耗调参!$P$195</x:f>
        <x:v>810</x:v>
      </x:c>
      <x:c r="R566" s="13">
        <x:f>I566/英雄升级调参!$G$113-1</x:f>
        <x:v>0.0006431974205793889</x:v>
      </x:c>
      <x:c r="S566" s="6"/>
      <x:c r="T566" s="6"/>
      <x:c r="U566" s="6"/>
    </x:row>
    <x:row r="567" ht="21" customHeight="1">
      <x:c r="A567" s="14" t="n">
        <x:f>英雄升级调参!$B$21</x:f>
        <x:v>310003</x:v>
      </x:c>
      <x:c r="B567" s="14" t="str">
        <x:f>英雄升级调参!$C$21</x:f>
        <x:v>鲀小泡</x:v>
      </x:c>
      <x:c r="C567" s="6" t="str">
        <x:f>英雄升级调参!$D$21</x:f>
        <x:v>战士</x:v>
      </x:c>
      <x:c r="D567" s="6" t="s">
        <x:v>18</x:v>
      </x:c>
      <x:c r="E567" s="6">
        <x:v>49</x:v>
      </x:c>
      <x:c r="F567" s="6" t="n">
        <x:f>英雄升级调参!$C$114</x:f>
        <x:v>10</x:v>
      </x:c>
      <x:c r="G567" s="12">
        <x:f t="shared" si="50"/>
        <x:v>4227</x:v>
      </x:c>
      <x:c r="H567" s="12">
        <x:f t="shared" si="51"/>
        <x:v>34907</x:v>
      </x:c>
      <x:c r="I567" s="12">
        <x:f t="shared" si="47"/>
        <x:v>147551889</x:v>
      </x:c>
      <x:c r="J567" s="12">
        <x:f>ROUND(英雄升级调参!$D$114*英雄升级调参!$J$9*英雄升级调参!$E$21,0)</x:f>
        <x:v>109</x:v>
      </x:c>
      <x:c r="K567" s="12">
        <x:f>ROUND(英雄升级调参!$D$114*英雄升级调参!$C$11*英雄升级调参!$J$9*英雄升级调参!$G$21,0)</x:f>
        <x:v>900</x:v>
      </x:c>
      <x:c r="L567" s="12" t="n">
        <x:f>养成消耗调参!$C$196</x:f>
        <x:v>1104</x:v>
      </x:c>
      <x:c r="M567" s="12" t="n">
        <x:f>养成消耗调参!$F$196</x:f>
        <x:v>7500</x:v>
      </x:c>
      <x:c r="N567" s="12" t="n">
        <x:f>养成消耗调参!$I$196</x:f>
        <x:v>0</x:v>
      </x:c>
      <x:c r="O567" s="12" t="n">
        <x:f>养成消耗调参!$J$196</x:f>
        <x:v>26664</x:v>
      </x:c>
      <x:c r="P567" s="12" t="n">
        <x:f>养成消耗调参!$M$196</x:f>
        <x:v>166500</x:v>
      </x:c>
      <x:c r="Q567" s="12" t="n">
        <x:f>养成消耗调参!$P$196</x:f>
        <x:v>810</x:v>
      </x:c>
      <x:c r="R567" s="13">
        <x:f>I567/英雄升级调参!$G$114-1</x:f>
        <x:v>0.000650288899739504</x:v>
      </x:c>
      <x:c r="S567" s="6"/>
      <x:c r="T567" s="6"/>
      <x:c r="U567" s="6"/>
    </x:row>
    <x:row r="568" ht="21" customHeight="1">
      <x:c r="A568" s="14" t="n">
        <x:f>英雄升级调参!$B$21</x:f>
        <x:v>310003</x:v>
      </x:c>
      <x:c r="B568" s="14" t="str">
        <x:f>英雄升级调参!$C$21</x:f>
        <x:v>鲀小泡</x:v>
      </x:c>
      <x:c r="C568" s="6" t="str">
        <x:f>英雄升级调参!$D$21</x:f>
        <x:v>战士</x:v>
      </x:c>
      <x:c r="D568" s="6" t="s">
        <x:v>18</x:v>
      </x:c>
      <x:c r="E568" s="6">
        <x:v>50</x:v>
      </x:c>
      <x:c r="F568" s="6" t="n">
        <x:f>英雄升级调参!$C$115</x:f>
        <x:v>10</x:v>
      </x:c>
      <x:c r="G568" s="12">
        <x:f t="shared" si="50"/>
        <x:v>4554</x:v>
      </x:c>
      <x:c r="H568" s="12">
        <x:f t="shared" si="51"/>
        <x:v>37607</x:v>
      </x:c>
      <x:c r="I568" s="12">
        <x:f t="shared" si="47"/>
        <x:v>171262278</x:v>
      </x:c>
      <x:c r="J568" s="12">
        <x:f>ROUND(英雄升级调参!$D$115*英雄升级调参!$J$9*英雄升级调参!$E$21,0)*3</x:f>
        <x:v>327</x:v>
      </x:c>
      <x:c r="K568" s="12">
        <x:f>ROUND(英雄升级调参!$D$115*英雄升级调参!$C$11*英雄升级调参!$J$9*英雄升级调参!$G$21,0)*3</x:f>
        <x:v>2700</x:v>
      </x:c>
      <x:c r="L568" s="12" t="n">
        <x:f>养成消耗调参!$C$197</x:f>
        <x:v>1152</x:v>
      </x:c>
      <x:c r="M568" s="12" t="n">
        <x:f>养成消耗调参!$F$197</x:f>
        <x:v>7500</x:v>
      </x:c>
      <x:c r="N568" s="12" t="n">
        <x:f>养成消耗调参!$I$197</x:f>
        <x:v>190</x:v>
      </x:c>
      <x:c r="O568" s="12" t="n">
        <x:f>养成消耗调参!$J$197</x:f>
        <x:v>27816</x:v>
      </x:c>
      <x:c r="P568" s="12" t="n">
        <x:f>养成消耗调参!$M$197</x:f>
        <x:v>174000</x:v>
      </x:c>
      <x:c r="Q568" s="12" t="n">
        <x:f>养成消耗调参!$P$197</x:f>
        <x:v>1000</x:v>
      </x:c>
      <x:c r="R568" s="13">
        <x:f>I568/英雄升级调参!$G$115-1</x:f>
        <x:v>0.0006695270032566203</x:v>
      </x:c>
      <x:c r="S568" s="6"/>
      <x:c r="T568" s="6"/>
      <x:c r="U568" s="6"/>
    </x:row>
    <x:row r="569" ht="21" customHeight="1">
      <x:c r="A569" s="14" t="n">
        <x:f>英雄升级调参!$B$21</x:f>
        <x:v>310003</x:v>
      </x:c>
      <x:c r="B569" s="14" t="str">
        <x:f>英雄升级调参!$C$21</x:f>
        <x:v>鲀小泡</x:v>
      </x:c>
      <x:c r="C569" s="6" t="str">
        <x:f>英雄升级调参!$D$21</x:f>
        <x:v>战士</x:v>
      </x:c>
      <x:c r="D569" s="6" t="s">
        <x:v>22</x:v>
      </x:c>
      <x:c r="E569" s="6">
        <x:v>1</x:v>
      </x:c>
      <x:c r="F569" s="6" t="n">
        <x:f>英雄升级调参!$C$66</x:f>
        <x:v>1</x:v>
      </x:c>
      <x:c r="G569" s="12">
        <x:f>G528-SUM(J570:J573)</x:f>
        <x:v>216</x:v>
      </x:c>
      <x:c r="H569" s="12">
        <x:f>H528-SUM(K570:K573)</x:f>
        <x:v>1774</x:v>
      </x:c>
      <x:c r="I569" s="12">
        <x:f t="shared" si="47"/>
        <x:v>383184</x:v>
      </x:c>
      <x:c r="J569" s="12" t="n">
        <x:f>0</x:f>
        <x:v>0</x:v>
      </x:c>
      <x:c r="K569" s="12" t="n">
        <x:f>0</x:f>
        <x:v>0</x:v>
      </x:c>
      <x:c r="L569" s="12" t="n">
        <x:f>养成消耗调参!$D$148</x:f>
        <x:v>0</x:v>
      </x:c>
      <x:c r="M569" s="12" t="n">
        <x:f>养成消耗调参!$G$148</x:f>
        <x:v>0</x:v>
      </x:c>
      <x:c r="N569" s="12" t="n">
        <x:f>养成消耗调参!$I$148</x:f>
        <x:v>0</x:v>
      </x:c>
      <x:c r="O569" s="12" t="n">
        <x:f>养成消耗调参!$K$148</x:f>
        <x:v>0</x:v>
      </x:c>
      <x:c r="P569" s="12" t="n">
        <x:f>养成消耗调参!$N$148</x:f>
        <x:v>0</x:v>
      </x:c>
      <x:c r="Q569" s="12" t="n">
        <x:f>养成消耗调参!$P$148</x:f>
        <x:v>0</x:v>
      </x:c>
      <x:c r="R569" s="13">
        <x:f>I569/英雄升级调参!$J$66-1</x:f>
        <x:v>0.0077159763313610075</x:v>
      </x:c>
      <x:c r="S569" s="6"/>
      <x:c r="T569" s="6"/>
      <x:c r="U569" s="6"/>
    </x:row>
    <x:row r="570" ht="21" customHeight="1">
      <x:c r="A570" s="14" t="n">
        <x:f>英雄升级调参!$B$21</x:f>
        <x:v>310003</x:v>
      </x:c>
      <x:c r="B570" s="14" t="str">
        <x:f>英雄升级调参!$C$21</x:f>
        <x:v>鲀小泡</x:v>
      </x:c>
      <x:c r="C570" s="6" t="str">
        <x:f>英雄升级调参!$D$21</x:f>
        <x:v>战士</x:v>
      </x:c>
      <x:c r="D570" s="6" t="s">
        <x:v>22</x:v>
      </x:c>
      <x:c r="E570" s="6">
        <x:v>2</x:v>
      </x:c>
      <x:c r="F570" s="6" t="n">
        <x:f>英雄升级调参!$C$67</x:f>
        <x:v>1</x:v>
      </x:c>
      <x:c r="G570" s="12">
        <x:f t="shared" ref="G570:G601" si="52">G569+J570</x:f>
        <x:v>246</x:v>
      </x:c>
      <x:c r="H570" s="12">
        <x:f t="shared" ref="H570:H601" si="53">H569+K570</x:f>
        <x:v>2019</x:v>
      </x:c>
      <x:c r="I570" s="12">
        <x:f t="shared" si="47"/>
        <x:v>496674</x:v>
      </x:c>
      <x:c r="J570" s="12">
        <x:f>ROUND(英雄升级调参!$D$67*英雄升级调参!$J$10*英雄升级调参!$E$21,0)</x:f>
        <x:v>30</x:v>
      </x:c>
      <x:c r="K570" s="12">
        <x:f>ROUND(英雄升级调参!$D$67*英雄升级调参!$C$11*英雄升级调参!$J$10*英雄升级调参!$G$21,0)</x:f>
        <x:v>245</x:v>
      </x:c>
      <x:c r="L570" s="12" t="n">
        <x:f>养成消耗调参!$D$149</x:f>
        <x:v>36</x:v>
      </x:c>
      <x:c r="M570" s="12" t="n">
        <x:f>养成消耗调参!$G$149</x:f>
        <x:v>450</x:v>
      </x:c>
      <x:c r="N570" s="12" t="n">
        <x:f>养成消耗调参!$I$149</x:f>
        <x:v>0</x:v>
      </x:c>
      <x:c r="O570" s="12" t="n">
        <x:f>养成消耗调参!$K$149</x:f>
        <x:v>36</x:v>
      </x:c>
      <x:c r="P570" s="12" t="n">
        <x:f>养成消耗调参!$N$149</x:f>
        <x:v>450</x:v>
      </x:c>
      <x:c r="Q570" s="12" t="n">
        <x:f>养成消耗调参!$P$149</x:f>
        <x:v>0</x:v>
      </x:c>
      <x:c r="R570" s="13">
        <x:f>I570/英雄升级调参!$J$67-1</x:f>
        <x:v>0.007779401022644183</x:v>
      </x:c>
      <x:c r="S570" s="6"/>
      <x:c r="T570" s="6"/>
      <x:c r="U570" s="6"/>
    </x:row>
    <x:row r="571" ht="21" customHeight="1">
      <x:c r="A571" s="14" t="n">
        <x:f>英雄升级调参!$B$21</x:f>
        <x:v>310003</x:v>
      </x:c>
      <x:c r="B571" s="14" t="str">
        <x:f>英雄升级调参!$C$21</x:f>
        <x:v>鲀小泡</x:v>
      </x:c>
      <x:c r="C571" s="6" t="str">
        <x:f>英雄升级调参!$D$21</x:f>
        <x:v>战士</x:v>
      </x:c>
      <x:c r="D571" s="6" t="s">
        <x:v>22</x:v>
      </x:c>
      <x:c r="E571" s="6">
        <x:v>3</x:v>
      </x:c>
      <x:c r="F571" s="6" t="n">
        <x:f>英雄升级调参!$C$68</x:f>
        <x:v>1</x:v>
      </x:c>
      <x:c r="G571" s="12">
        <x:f t="shared" si="52"/>
        <x:v>276</x:v>
      </x:c>
      <x:c r="H571" s="12">
        <x:f t="shared" si="53"/>
        <x:v>2264</x:v>
      </x:c>
      <x:c r="I571" s="12">
        <x:f t="shared" si="47"/>
        <x:v>624864</x:v>
      </x:c>
      <x:c r="J571" s="12">
        <x:f>ROUND(英雄升级调参!$D$68*英雄升级调参!$J$10*英雄升级调参!$E$21,0)</x:f>
        <x:v>30</x:v>
      </x:c>
      <x:c r="K571" s="12">
        <x:f>ROUND(英雄升级调参!$D$68*英雄升级调参!$C$11*英雄升级调参!$J$10*英雄升级调参!$G$21,0)</x:f>
        <x:v>245</x:v>
      </x:c>
      <x:c r="L571" s="12" t="n">
        <x:f>养成消耗调参!$D$150</x:f>
        <x:v>36</x:v>
      </x:c>
      <x:c r="M571" s="12" t="n">
        <x:f>养成消耗调参!$G$150</x:f>
        <x:v>450</x:v>
      </x:c>
      <x:c r="N571" s="12" t="n">
        <x:f>养成消耗调参!$I$150</x:f>
        <x:v>0</x:v>
      </x:c>
      <x:c r="O571" s="12" t="n">
        <x:f>养成消耗调参!$K$150</x:f>
        <x:v>72</x:v>
      </x:c>
      <x:c r="P571" s="12" t="n">
        <x:f>养成消耗调参!$N$150</x:f>
        <x:v>900</x:v>
      </x:c>
      <x:c r="Q571" s="12" t="n">
        <x:f>养成消耗调参!$P$150</x:f>
        <x:v>0</x:v>
      </x:c>
      <x:c r="R571" s="13">
        <x:f>I571/英雄升级调参!$J$68-1</x:f>
        <x:v>0.007828905985387324</x:v>
      </x:c>
      <x:c r="S571" s="6"/>
      <x:c r="T571" s="6"/>
      <x:c r="U571" s="6"/>
    </x:row>
    <x:row r="572" ht="21" customHeight="1">
      <x:c r="A572" s="14" t="n">
        <x:f>英雄升级调参!$B$21</x:f>
        <x:v>310003</x:v>
      </x:c>
      <x:c r="B572" s="14" t="str">
        <x:f>英雄升级调参!$C$21</x:f>
        <x:v>鲀小泡</x:v>
      </x:c>
      <x:c r="C572" s="6" t="str">
        <x:f>英雄升级调参!$D$21</x:f>
        <x:v>战士</x:v>
      </x:c>
      <x:c r="D572" s="6" t="s">
        <x:v>22</x:v>
      </x:c>
      <x:c r="E572" s="6">
        <x:v>4</x:v>
      </x:c>
      <x:c r="F572" s="6" t="n">
        <x:f>英雄升级调参!$C$69</x:f>
        <x:v>1</x:v>
      </x:c>
      <x:c r="G572" s="12">
        <x:f t="shared" si="52"/>
        <x:v>306</x:v>
      </x:c>
      <x:c r="H572" s="12">
        <x:f t="shared" si="53"/>
        <x:v>2509</x:v>
      </x:c>
      <x:c r="I572" s="12">
        <x:f t="shared" si="47"/>
        <x:v>767754</x:v>
      </x:c>
      <x:c r="J572" s="12">
        <x:f>ROUND(英雄升级调参!$D$69*英雄升级调参!$J$10*英雄升级调参!$E$21,0)</x:f>
        <x:v>30</x:v>
      </x:c>
      <x:c r="K572" s="12">
        <x:f>ROUND(英雄升级调参!$D$69*英雄升级调参!$C$11*英雄升级调参!$J$10*英雄升级调参!$G$21,0)</x:f>
        <x:v>245</x:v>
      </x:c>
      <x:c r="L572" s="12" t="n">
        <x:f>养成消耗调参!$D$151</x:f>
        <x:v>72</x:v>
      </x:c>
      <x:c r="M572" s="12" t="n">
        <x:f>养成消耗调参!$G$151</x:f>
        <x:v>450</x:v>
      </x:c>
      <x:c r="N572" s="12" t="n">
        <x:f>养成消耗调参!$I$151</x:f>
        <x:v>0</x:v>
      </x:c>
      <x:c r="O572" s="12" t="n">
        <x:f>养成消耗调参!$K$151</x:f>
        <x:v>144</x:v>
      </x:c>
      <x:c r="P572" s="12" t="n">
        <x:f>养成消耗调参!$N$151</x:f>
        <x:v>1350</x:v>
      </x:c>
      <x:c r="Q572" s="12" t="n">
        <x:f>养成消耗调参!$P$151</x:f>
        <x:v>0</x:v>
      </x:c>
      <x:c r="R572" s="13">
        <x:f>I572/英雄升级调参!$J$69-1</x:f>
        <x:v>0.007868620037807084</x:v>
      </x:c>
      <x:c r="S572" s="6"/>
      <x:c r="T572" s="6"/>
      <x:c r="U572" s="6"/>
    </x:row>
    <x:row r="573" ht="21" customHeight="1">
      <x:c r="A573" s="14" t="n">
        <x:f>英雄升级调参!$B$21</x:f>
        <x:v>310003</x:v>
      </x:c>
      <x:c r="B573" s="14" t="str">
        <x:f>英雄升级调参!$C$21</x:f>
        <x:v>鲀小泡</x:v>
      </x:c>
      <x:c r="C573" s="6" t="str">
        <x:f>英雄升级调参!$D$21</x:f>
        <x:v>战士</x:v>
      </x:c>
      <x:c r="D573" s="6" t="s">
        <x:v>22</x:v>
      </x:c>
      <x:c r="E573" s="6">
        <x:v>5</x:v>
      </x:c>
      <x:c r="F573" s="6" t="n">
        <x:f>英雄升级调参!$C$70</x:f>
        <x:v>1</x:v>
      </x:c>
      <x:c r="G573" s="12">
        <x:f t="shared" si="52"/>
        <x:v>396</x:v>
      </x:c>
      <x:c r="H573" s="12">
        <x:f t="shared" si="53"/>
        <x:v>3244</x:v>
      </x:c>
      <x:c r="I573" s="12">
        <x:f t="shared" si="47"/>
        <x:v>1284624</x:v>
      </x:c>
      <x:c r="J573" s="12">
        <x:f>ROUND(英雄升级调参!$D$70*英雄升级调参!$J$10*英雄升级调参!$E$21,0)*3</x:f>
        <x:v>90</x:v>
      </x:c>
      <x:c r="K573" s="12">
        <x:f>ROUND(英雄升级调参!$D$70*英雄升级调参!$C$11*英雄升级调参!$J$10*英雄升级调参!$G$21,0)*3</x:f>
        <x:v>735</x:v>
      </x:c>
      <x:c r="L573" s="12" t="n">
        <x:f>养成消耗调参!$D$152</x:f>
        <x:v>72</x:v>
      </x:c>
      <x:c r="M573" s="12" t="n">
        <x:f>养成消耗调参!$G$152</x:f>
        <x:v>450</x:v>
      </x:c>
      <x:c r="N573" s="12" t="n">
        <x:f>养成消耗调参!$I$152</x:f>
        <x:v>10</x:v>
      </x:c>
      <x:c r="O573" s="12" t="n">
        <x:f>养成消耗调参!$K$152</x:f>
        <x:v>216</x:v>
      </x:c>
      <x:c r="P573" s="12" t="n">
        <x:f>养成消耗调参!$N$152</x:f>
        <x:v>1800</x:v>
      </x:c>
      <x:c r="Q573" s="12" t="n">
        <x:f>养成消耗调参!$P$152</x:f>
        <x:v>10</x:v>
      </x:c>
      <x:c r="R573" s="13">
        <x:f>I573/英雄升级调参!$J$70-1</x:f>
        <x:v>0.007951415860461886</x:v>
      </x:c>
      <x:c r="S573" s="6"/>
      <x:c r="T573" s="6"/>
      <x:c r="U573" s="6"/>
    </x:row>
    <x:row r="574" ht="21" customHeight="1">
      <x:c r="A574" s="14" t="n">
        <x:f>英雄升级调参!$B$21</x:f>
        <x:v>310003</x:v>
      </x:c>
      <x:c r="B574" s="14" t="str">
        <x:f>英雄升级调参!$C$21</x:f>
        <x:v>鲀小泡</x:v>
      </x:c>
      <x:c r="C574" s="6" t="str">
        <x:f>英雄升级调参!$D$21</x:f>
        <x:v>战士</x:v>
      </x:c>
      <x:c r="D574" s="6" t="s">
        <x:v>22</x:v>
      </x:c>
      <x:c r="E574" s="6">
        <x:v>6</x:v>
      </x:c>
      <x:c r="F574" s="6" t="n">
        <x:f>英雄升级调参!$C$71</x:f>
        <x:v>2</x:v>
      </x:c>
      <x:c r="G574" s="12">
        <x:f t="shared" si="52"/>
        <x:v>441</x:v>
      </x:c>
      <x:c r="H574" s="12">
        <x:f t="shared" si="53"/>
        <x:v>3612</x:v>
      </x:c>
      <x:c r="I574" s="12">
        <x:f t="shared" si="47"/>
        <x:v>1592892</x:v>
      </x:c>
      <x:c r="J574" s="12">
        <x:f>ROUND(英雄升级调参!$D$71*英雄升级调参!$J$10*英雄升级调参!$E$21,0)</x:f>
        <x:v>45</x:v>
      </x:c>
      <x:c r="K574" s="12">
        <x:f>ROUND(英雄升级调参!$D$71*英雄升级调参!$C$11*英雄升级调参!$J$10*英雄升级调参!$G$21,0)</x:f>
        <x:v>368</x:v>
      </x:c>
      <x:c r="L574" s="12" t="n">
        <x:f>养成消耗调参!$D$153</x:f>
        <x:v>144</x:v>
      </x:c>
      <x:c r="M574" s="12" t="n">
        <x:f>养成消耗调参!$G$153</x:f>
        <x:v>450</x:v>
      </x:c>
      <x:c r="N574" s="12" t="n">
        <x:f>养成消耗调参!$I$153</x:f>
        <x:v>0</x:v>
      </x:c>
      <x:c r="O574" s="12" t="n">
        <x:f>养成消耗调参!$K$153</x:f>
        <x:v>360</x:v>
      </x:c>
      <x:c r="P574" s="12" t="n">
        <x:f>养成消耗调参!$N$153</x:f>
        <x:v>2250</x:v>
      </x:c>
      <x:c r="Q574" s="12" t="n">
        <x:f>养成消耗调参!$P$153</x:f>
        <x:v>10</x:v>
      </x:c>
      <x:c r="R574" s="13">
        <x:f>I574/英雄升级调参!$J$71-1</x:f>
        <x:v>0.006853133592490845</x:v>
      </x:c>
      <x:c r="S574" s="6"/>
      <x:c r="T574" s="6"/>
      <x:c r="U574" s="6"/>
    </x:row>
    <x:row r="575" ht="21" customHeight="1">
      <x:c r="A575" s="14" t="n">
        <x:f>英雄升级调参!$B$21</x:f>
        <x:v>310003</x:v>
      </x:c>
      <x:c r="B575" s="14" t="str">
        <x:f>英雄升级调参!$C$21</x:f>
        <x:v>鲀小泡</x:v>
      </x:c>
      <x:c r="C575" s="6" t="str">
        <x:f>英雄升级调参!$D$21</x:f>
        <x:v>战士</x:v>
      </x:c>
      <x:c r="D575" s="6" t="s">
        <x:v>22</x:v>
      </x:c>
      <x:c r="E575" s="6">
        <x:v>7</x:v>
      </x:c>
      <x:c r="F575" s="6" t="n">
        <x:f>英雄升级调参!$C$72</x:f>
        <x:v>2</x:v>
      </x:c>
      <x:c r="G575" s="12">
        <x:f t="shared" si="52"/>
        <x:v>486</x:v>
      </x:c>
      <x:c r="H575" s="12">
        <x:f t="shared" si="53"/>
        <x:v>3980</x:v>
      </x:c>
      <x:c r="I575" s="12">
        <x:f t="shared" si="47"/>
        <x:v>1934280</x:v>
      </x:c>
      <x:c r="J575" s="12">
        <x:f>ROUND(英雄升级调参!$D$72*英雄升级调参!$J$10*英雄升级调参!$E$21,0)</x:f>
        <x:v>45</x:v>
      </x:c>
      <x:c r="K575" s="12">
        <x:f>ROUND(英雄升级调参!$D$72*英雄升级调参!$C$11*英雄升级调参!$J$10*英雄升级调参!$G$21,0)</x:f>
        <x:v>368</x:v>
      </x:c>
      <x:c r="L575" s="12" t="n">
        <x:f>养成消耗调参!$D$154</x:f>
        <x:v>144</x:v>
      </x:c>
      <x:c r="M575" s="12" t="n">
        <x:f>养成消耗调参!$G$154</x:f>
        <x:v>1350</x:v>
      </x:c>
      <x:c r="N575" s="12" t="n">
        <x:f>养成消耗调参!$I$154</x:f>
        <x:v>0</x:v>
      </x:c>
      <x:c r="O575" s="12" t="n">
        <x:f>养成消耗调参!$K$154</x:f>
        <x:v>504</x:v>
      </x:c>
      <x:c r="P575" s="12" t="n">
        <x:f>养成消耗调参!$N$154</x:f>
        <x:v>3600</x:v>
      </x:c>
      <x:c r="Q575" s="12" t="n">
        <x:f>养成消耗调参!$P$154</x:f>
        <x:v>10</x:v>
      </x:c>
      <x:c r="R575" s="13">
        <x:f>I575/英雄升级调参!$J$72-1</x:f>
        <x:v>0.0059599962554997</x:v>
      </x:c>
      <x:c r="S575" s="6"/>
      <x:c r="T575" s="6"/>
      <x:c r="U575" s="6"/>
    </x:row>
    <x:row r="576" ht="21" customHeight="1">
      <x:c r="A576" s="14" t="n">
        <x:f>英雄升级调参!$B$21</x:f>
        <x:v>310003</x:v>
      </x:c>
      <x:c r="B576" s="14" t="str">
        <x:f>英雄升级调参!$C$21</x:f>
        <x:v>鲀小泡</x:v>
      </x:c>
      <x:c r="C576" s="6" t="str">
        <x:f>英雄升级调参!$D$21</x:f>
        <x:v>战士</x:v>
      </x:c>
      <x:c r="D576" s="6" t="s">
        <x:v>22</x:v>
      </x:c>
      <x:c r="E576" s="6">
        <x:v>8</x:v>
      </x:c>
      <x:c r="F576" s="6" t="n">
        <x:f>英雄升级调参!$C$73</x:f>
        <x:v>2</x:v>
      </x:c>
      <x:c r="G576" s="12">
        <x:f t="shared" si="52"/>
        <x:v>531</x:v>
      </x:c>
      <x:c r="H576" s="12">
        <x:f t="shared" si="53"/>
        <x:v>4348</x:v>
      </x:c>
      <x:c r="I576" s="12">
        <x:f t="shared" si="47"/>
        <x:v>2308788</x:v>
      </x:c>
      <x:c r="J576" s="12">
        <x:f>ROUND(英雄升级调参!$D$73*英雄升级调参!$J$10*英雄升级调参!$E$21,0)</x:f>
        <x:v>45</x:v>
      </x:c>
      <x:c r="K576" s="12">
        <x:f>ROUND(英雄升级调参!$D$73*英雄升级调参!$C$11*英雄升级调参!$J$10*英雄升级调参!$G$21,0)</x:f>
        <x:v>368</x:v>
      </x:c>
      <x:c r="L576" s="12" t="n">
        <x:f>养成消耗调参!$D$155</x:f>
        <x:v>216</x:v>
      </x:c>
      <x:c r="M576" s="12" t="n">
        <x:f>养成消耗调参!$G$155</x:f>
        <x:v>1350</x:v>
      </x:c>
      <x:c r="N576" s="12" t="n">
        <x:f>养成消耗调参!$I$155</x:f>
        <x:v>0</x:v>
      </x:c>
      <x:c r="O576" s="12" t="n">
        <x:f>养成消耗调参!$K$155</x:f>
        <x:v>720</x:v>
      </x:c>
      <x:c r="P576" s="12" t="n">
        <x:f>养成消耗调参!$N$155</x:f>
        <x:v>4950</x:v>
      </x:c>
      <x:c r="Q576" s="12" t="n">
        <x:f>养成消耗调参!$P$155</x:f>
        <x:v>10</x:v>
      </x:c>
      <x:c r="R576" s="13">
        <x:f>I576/英雄升级调参!$J$73-1</x:f>
        <x:v>0.005219435736677047</x:v>
      </x:c>
      <x:c r="S576" s="6"/>
      <x:c r="T576" s="6"/>
      <x:c r="U576" s="6"/>
    </x:row>
    <x:row r="577" ht="21" customHeight="1">
      <x:c r="A577" s="14" t="n">
        <x:f>英雄升级调参!$B$21</x:f>
        <x:v>310003</x:v>
      </x:c>
      <x:c r="B577" s="14" t="str">
        <x:f>英雄升级调参!$C$21</x:f>
        <x:v>鲀小泡</x:v>
      </x:c>
      <x:c r="C577" s="6" t="str">
        <x:f>英雄升级调参!$D$21</x:f>
        <x:v>战士</x:v>
      </x:c>
      <x:c r="D577" s="6" t="s">
        <x:v>22</x:v>
      </x:c>
      <x:c r="E577" s="6">
        <x:v>9</x:v>
      </x:c>
      <x:c r="F577" s="6" t="n">
        <x:f>英雄升级调参!$C$74</x:f>
        <x:v>2</x:v>
      </x:c>
      <x:c r="G577" s="12">
        <x:f t="shared" si="52"/>
        <x:v>576</x:v>
      </x:c>
      <x:c r="H577" s="12">
        <x:f t="shared" si="53"/>
        <x:v>4716</x:v>
      </x:c>
      <x:c r="I577" s="12">
        <x:f t="shared" si="47"/>
        <x:v>2716416</x:v>
      </x:c>
      <x:c r="J577" s="12">
        <x:f>ROUND(英雄升级调参!$D$74*英雄升级调参!$J$10*英雄升级调参!$E$21,0)</x:f>
        <x:v>45</x:v>
      </x:c>
      <x:c r="K577" s="12">
        <x:f>ROUND(英雄升级调参!$D$74*英雄升级调参!$C$11*英雄升级调参!$J$10*英雄升级调参!$G$21,0)</x:f>
        <x:v>368</x:v>
      </x:c>
      <x:c r="L577" s="12" t="n">
        <x:f>养成消耗调参!$D$156</x:f>
        <x:v>216</x:v>
      </x:c>
      <x:c r="M577" s="12" t="n">
        <x:f>养成消耗调参!$G$156</x:f>
        <x:v>1350</x:v>
      </x:c>
      <x:c r="N577" s="12" t="n">
        <x:f>养成消耗调参!$I$156</x:f>
        <x:v>0</x:v>
      </x:c>
      <x:c r="O577" s="12" t="n">
        <x:f>养成消耗调参!$K$156</x:f>
        <x:v>936</x:v>
      </x:c>
      <x:c r="P577" s="12" t="n">
        <x:f>养成消耗调参!$N$156</x:f>
        <x:v>6300</x:v>
      </x:c>
      <x:c r="Q577" s="12" t="n">
        <x:f>养成消耗调参!$P$156</x:f>
        <x:v>10</x:v>
      </x:c>
      <x:c r="R577" s="13">
        <x:f>I577/英雄升级调参!$J$74-1</x:f>
        <x:v>0.00459543119612138</x:v>
      </x:c>
      <x:c r="S577" s="6"/>
      <x:c r="T577" s="6"/>
      <x:c r="U577" s="6"/>
    </x:row>
    <x:row r="578" ht="21" customHeight="1">
      <x:c r="A578" s="14" t="n">
        <x:f>英雄升级调参!$B$21</x:f>
        <x:v>310003</x:v>
      </x:c>
      <x:c r="B578" s="14" t="str">
        <x:f>英雄升级调参!$C$21</x:f>
        <x:v>鲀小泡</x:v>
      </x:c>
      <x:c r="C578" s="6" t="str">
        <x:f>英雄升级调参!$D$21</x:f>
        <x:v>战士</x:v>
      </x:c>
      <x:c r="D578" s="6" t="s">
        <x:v>22</x:v>
      </x:c>
      <x:c r="E578" s="6">
        <x:v>10</x:v>
      </x:c>
      <x:c r="F578" s="6" t="n">
        <x:f>英雄升级调参!$C$75</x:f>
        <x:v>2</x:v>
      </x:c>
      <x:c r="G578" s="12">
        <x:f t="shared" si="52"/>
        <x:v>711</x:v>
      </x:c>
      <x:c r="H578" s="12">
        <x:f t="shared" si="53"/>
        <x:v>5820</x:v>
      </x:c>
      <x:c r="I578" s="12">
        <x:f t="shared" si="47"/>
        <x:v>4138020</x:v>
      </x:c>
      <x:c r="J578" s="12">
        <x:f>ROUND(英雄升级调参!$D$75*英雄升级调参!$J$10*英雄升级调参!$E$21,0)*3</x:f>
        <x:v>135</x:v>
      </x:c>
      <x:c r="K578" s="12">
        <x:f>ROUND(英雄升级调参!$D$75*英雄升级调参!$C$11*英雄升级调参!$J$10*英雄升级调参!$G$21,0)*3</x:f>
        <x:v>1104</x:v>
      </x:c>
      <x:c r="L578" s="12" t="n">
        <x:f>养成消耗调参!$D$157</x:f>
        <x:v>288</x:v>
      </x:c>
      <x:c r="M578" s="12" t="n">
        <x:f>养成消耗调参!$G$157</x:f>
        <x:v>1350</x:v>
      </x:c>
      <x:c r="N578" s="12" t="n">
        <x:f>养成消耗调参!$I$157</x:f>
        <x:v>30</x:v>
      </x:c>
      <x:c r="O578" s="12" t="n">
        <x:f>养成消耗调参!$K$157</x:f>
        <x:v>1224</x:v>
      </x:c>
      <x:c r="P578" s="12" t="n">
        <x:f>养成消耗调参!$N$157</x:f>
        <x:v>7650</x:v>
      </x:c>
      <x:c r="Q578" s="12" t="n">
        <x:f>养成消耗调参!$P$157</x:f>
        <x:v>40</x:v>
      </x:c>
      <x:c r="R578" s="13">
        <x:f>I578/英雄升级调参!$J$75-1</x:f>
        <x:v>0.0032001396424570228</x:v>
      </x:c>
      <x:c r="S578" s="6"/>
      <x:c r="T578" s="6"/>
      <x:c r="U578" s="6"/>
    </x:row>
    <x:row r="579" ht="21" customHeight="1">
      <x:c r="A579" s="14" t="n">
        <x:f>英雄升级调参!$B$21</x:f>
        <x:v>310003</x:v>
      </x:c>
      <x:c r="B579" s="14" t="str">
        <x:f>英雄升级调参!$C$21</x:f>
        <x:v>鲀小泡</x:v>
      </x:c>
      <x:c r="C579" s="6" t="str">
        <x:f>英雄升级调参!$D$21</x:f>
        <x:v>战士</x:v>
      </x:c>
      <x:c r="D579" s="6" t="s">
        <x:v>22</x:v>
      </x:c>
      <x:c r="E579" s="6">
        <x:v>11</x:v>
      </x:c>
      <x:c r="F579" s="6" t="n">
        <x:f>英雄升级调参!$C$76</x:f>
        <x:v>3</x:v>
      </x:c>
      <x:c r="G579" s="12">
        <x:f t="shared" si="52"/>
        <x:v>770</x:v>
      </x:c>
      <x:c r="H579" s="12">
        <x:f t="shared" si="53"/>
        <x:v>6311</x:v>
      </x:c>
      <x:c r="I579" s="12">
        <x:f t="shared" si="47"/>
        <x:v>4859470</x:v>
      </x:c>
      <x:c r="J579" s="12">
        <x:f>ROUND(英雄升级调参!$D$76*英雄升级调参!$J$10*英雄升级调参!$E$21,0)</x:f>
        <x:v>59</x:v>
      </x:c>
      <x:c r="K579" s="12">
        <x:f>ROUND(英雄升级调参!$D$76*英雄升级调参!$C$11*英雄升级调参!$J$10*英雄升级调参!$G$21,0)</x:f>
        <x:v>491</x:v>
      </x:c>
      <x:c r="L579" s="12" t="n">
        <x:f>养成消耗调参!$D$158</x:f>
        <x:v>288</x:v>
      </x:c>
      <x:c r="M579" s="12" t="n">
        <x:f>养成消耗调参!$G$158</x:f>
        <x:v>1350</x:v>
      </x:c>
      <x:c r="N579" s="12" t="n">
        <x:f>养成消耗调参!$I$158</x:f>
        <x:v>0</x:v>
      </x:c>
      <x:c r="O579" s="12" t="n">
        <x:f>养成消耗调参!$K$158</x:f>
        <x:v>1512</x:v>
      </x:c>
      <x:c r="P579" s="12" t="n">
        <x:f>养成消耗调参!$N$158</x:f>
        <x:v>9000</x:v>
      </x:c>
      <x:c r="Q579" s="12" t="n">
        <x:f>养成消耗调参!$P$158</x:f>
        <x:v>40</x:v>
      </x:c>
      <x:c r="R579" s="13">
        <x:f>I579/英雄升级调参!$J$76-1</x:f>
        <x:v>0.00244656645233432</x:v>
      </x:c>
      <x:c r="S579" s="6"/>
      <x:c r="T579" s="6"/>
      <x:c r="U579" s="6"/>
    </x:row>
    <x:row r="580" ht="21" customHeight="1">
      <x:c r="A580" s="14" t="n">
        <x:f>英雄升级调参!$B$21</x:f>
        <x:v>310003</x:v>
      </x:c>
      <x:c r="B580" s="14" t="str">
        <x:f>英雄升级调参!$C$21</x:f>
        <x:v>鲀小泡</x:v>
      </x:c>
      <x:c r="C580" s="6" t="str">
        <x:f>英雄升级调参!$D$21</x:f>
        <x:v>战士</x:v>
      </x:c>
      <x:c r="D580" s="6" t="s">
        <x:v>22</x:v>
      </x:c>
      <x:c r="E580" s="6">
        <x:v>12</x:v>
      </x:c>
      <x:c r="F580" s="6" t="n">
        <x:f>英雄升级调参!$C$77</x:f>
        <x:v>3</x:v>
      </x:c>
      <x:c r="G580" s="12">
        <x:f t="shared" si="52"/>
        <x:v>829</x:v>
      </x:c>
      <x:c r="H580" s="12">
        <x:f t="shared" si="53"/>
        <x:v>6802</x:v>
      </x:c>
      <x:c r="I580" s="12">
        <x:f t="shared" si="47"/>
        <x:v>5638858</x:v>
      </x:c>
      <x:c r="J580" s="12">
        <x:f>ROUND(英雄升级调参!$D$77*英雄升级调参!$J$10*英雄升级调参!$E$21,0)</x:f>
        <x:v>59</x:v>
      </x:c>
      <x:c r="K580" s="12">
        <x:f>ROUND(英雄升级调参!$D$77*英雄升级调参!$C$11*英雄升级调参!$J$10*英雄升级调参!$G$21,0)</x:f>
        <x:v>491</x:v>
      </x:c>
      <x:c r="L580" s="12" t="n">
        <x:f>养成消耗调参!$D$159</x:f>
        <x:v>360</x:v>
      </x:c>
      <x:c r="M580" s="12" t="n">
        <x:f>养成消耗调参!$G$159</x:f>
        <x:v>2250</x:v>
      </x:c>
      <x:c r="N580" s="12" t="n">
        <x:f>养成消耗调参!$I$159</x:f>
        <x:v>0</x:v>
      </x:c>
      <x:c r="O580" s="12" t="n">
        <x:f>养成消耗调参!$K$159</x:f>
        <x:v>1872</x:v>
      </x:c>
      <x:c r="P580" s="12" t="n">
        <x:f>养成消耗调参!$N$159</x:f>
        <x:v>11250</x:v>
      </x:c>
      <x:c r="Q580" s="12" t="n">
        <x:f>养成消耗调参!$P$159</x:f>
        <x:v>40</x:v>
      </x:c>
      <x:c r="R580" s="13">
        <x:f>I580/英雄升级调参!$J$77-1</x:f>
        <x:v>0.0018011199704373038</x:v>
      </x:c>
      <x:c r="S580" s="6"/>
      <x:c r="T580" s="6"/>
      <x:c r="U580" s="6"/>
    </x:row>
    <x:row r="581" ht="21" customHeight="1">
      <x:c r="A581" s="14" t="n">
        <x:f>英雄升级调参!$B$21</x:f>
        <x:v>310003</x:v>
      </x:c>
      <x:c r="B581" s="14" t="str">
        <x:f>英雄升级调参!$C$21</x:f>
        <x:v>鲀小泡</x:v>
      </x:c>
      <x:c r="C581" s="6" t="str">
        <x:f>英雄升级调参!$D$21</x:f>
        <x:v>战士</x:v>
      </x:c>
      <x:c r="D581" s="6" t="s">
        <x:v>22</x:v>
      </x:c>
      <x:c r="E581" s="6">
        <x:v>13</x:v>
      </x:c>
      <x:c r="F581" s="6" t="n">
        <x:f>英雄升级调参!$C$78</x:f>
        <x:v>3</x:v>
      </x:c>
      <x:c r="G581" s="12">
        <x:f t="shared" si="52"/>
        <x:v>888</x:v>
      </x:c>
      <x:c r="H581" s="12">
        <x:f t="shared" si="53"/>
        <x:v>7293</x:v>
      </x:c>
      <x:c r="I581" s="12">
        <x:f t="shared" ref="I581:I644" si="54">G581*H581</x:f>
        <x:v>6476184</x:v>
      </x:c>
      <x:c r="J581" s="12">
        <x:f>ROUND(英雄升级调参!$D$78*英雄升级调参!$J$10*英雄升级调参!$E$21,0)</x:f>
        <x:v>59</x:v>
      </x:c>
      <x:c r="K581" s="12">
        <x:f>ROUND(英雄升级调参!$D$78*英雄升级调参!$C$11*英雄升级调参!$J$10*英雄升级调参!$G$21,0)</x:f>
        <x:v>491</x:v>
      </x:c>
      <x:c r="L581" s="12" t="n">
        <x:f>养成消耗调参!$D$160</x:f>
        <x:v>360</x:v>
      </x:c>
      <x:c r="M581" s="12" t="n">
        <x:f>养成消耗调参!$G$160</x:f>
        <x:v>2250</x:v>
      </x:c>
      <x:c r="N581" s="12" t="n">
        <x:f>养成消耗调参!$I$160</x:f>
        <x:v>0</x:v>
      </x:c>
      <x:c r="O581" s="12" t="n">
        <x:f>养成消耗调参!$K$160</x:f>
        <x:v>2232</x:v>
      </x:c>
      <x:c r="P581" s="12" t="n">
        <x:f>养成消耗调参!$N$160</x:f>
        <x:v>13500</x:v>
      </x:c>
      <x:c r="Q581" s="12" t="n">
        <x:f>养成消耗调参!$P$160</x:f>
        <x:v>40</x:v>
      </x:c>
      <x:c r="R581" s="13">
        <x:f>I581/英雄升级调参!$J$78-1</x:f>
        <x:v>0.001242086222490224</x:v>
      </x:c>
      <x:c r="S581" s="6"/>
      <x:c r="T581" s="6"/>
      <x:c r="U581" s="6"/>
    </x:row>
    <x:row r="582" ht="21" customHeight="1">
      <x:c r="A582" s="14" t="n">
        <x:f>英雄升级调参!$B$21</x:f>
        <x:v>310003</x:v>
      </x:c>
      <x:c r="B582" s="14" t="str">
        <x:f>英雄升级调参!$C$21</x:f>
        <x:v>鲀小泡</x:v>
      </x:c>
      <x:c r="C582" s="6" t="str">
        <x:f>英雄升级调参!$D$21</x:f>
        <x:v>战士</x:v>
      </x:c>
      <x:c r="D582" s="6" t="s">
        <x:v>22</x:v>
      </x:c>
      <x:c r="E582" s="6">
        <x:v>14</x:v>
      </x:c>
      <x:c r="F582" s="6" t="n">
        <x:f>英雄升级调参!$C$79</x:f>
        <x:v>3</x:v>
      </x:c>
      <x:c r="G582" s="12">
        <x:f t="shared" si="52"/>
        <x:v>947</x:v>
      </x:c>
      <x:c r="H582" s="12">
        <x:f t="shared" si="53"/>
        <x:v>7784</x:v>
      </x:c>
      <x:c r="I582" s="12">
        <x:f t="shared" si="54"/>
        <x:v>7371448</x:v>
      </x:c>
      <x:c r="J582" s="12">
        <x:f>ROUND(英雄升级调参!$D$79*英雄升级调参!$J$10*英雄升级调参!$E$21,0)</x:f>
        <x:v>59</x:v>
      </x:c>
      <x:c r="K582" s="12">
        <x:f>ROUND(英雄升级调参!$D$79*英雄升级调参!$C$11*英雄升级调参!$J$10*英雄升级调参!$G$21,0)</x:f>
        <x:v>491</x:v>
      </x:c>
      <x:c r="L582" s="12" t="n">
        <x:f>养成消耗调参!$D$161</x:f>
        <x:v>432</x:v>
      </x:c>
      <x:c r="M582" s="12" t="n">
        <x:f>养成消耗调参!$G$161</x:f>
        <x:v>2250</x:v>
      </x:c>
      <x:c r="N582" s="12" t="n">
        <x:f>养成消耗调参!$I$161</x:f>
        <x:v>0</x:v>
      </x:c>
      <x:c r="O582" s="12" t="n">
        <x:f>养成消耗调参!$K$161</x:f>
        <x:v>2664</x:v>
      </x:c>
      <x:c r="P582" s="12" t="n">
        <x:f>养成消耗调参!$N$161</x:f>
        <x:v>15750</x:v>
      </x:c>
      <x:c r="Q582" s="12" t="n">
        <x:f>养成消耗调参!$P$161</x:f>
        <x:v>40</x:v>
      </x:c>
      <x:c r="R582" s="13">
        <x:f>I582/英雄升级调参!$J$79-1</x:f>
        <x:v>0.000753200559334255</x:v>
      </x:c>
      <x:c r="S582" s="6"/>
      <x:c r="T582" s="6"/>
      <x:c r="U582" s="6"/>
    </x:row>
    <x:row r="583" ht="21" customHeight="1">
      <x:c r="A583" s="14" t="n">
        <x:f>英雄升级调参!$B$21</x:f>
        <x:v>310003</x:v>
      </x:c>
      <x:c r="B583" s="14" t="str">
        <x:f>英雄升级调参!$C$21</x:f>
        <x:v>鲀小泡</x:v>
      </x:c>
      <x:c r="C583" s="6" t="str">
        <x:f>英雄升级调参!$D$21</x:f>
        <x:v>战士</x:v>
      </x:c>
      <x:c r="D583" s="6" t="s">
        <x:v>22</x:v>
      </x:c>
      <x:c r="E583" s="6">
        <x:v>15</x:v>
      </x:c>
      <x:c r="F583" s="6" t="n">
        <x:f>英雄升级调参!$C$80</x:f>
        <x:v>3</x:v>
      </x:c>
      <x:c r="G583" s="12">
        <x:f t="shared" si="52"/>
        <x:v>1124</x:v>
      </x:c>
      <x:c r="H583" s="12">
        <x:f t="shared" si="53"/>
        <x:v>9257</x:v>
      </x:c>
      <x:c r="I583" s="12">
        <x:f t="shared" si="54"/>
        <x:v>10404868</x:v>
      </x:c>
      <x:c r="J583" s="12">
        <x:f>ROUND(英雄升级调参!$D$80*英雄升级调参!$J$10*英雄升级调参!$E$21,0)*3</x:f>
        <x:v>177</x:v>
      </x:c>
      <x:c r="K583" s="12">
        <x:f>ROUND(英雄升级调参!$D$80*英雄升级调参!$C$11*英雄升级调参!$J$10*英雄升级调参!$G$21,0)*3</x:f>
        <x:v>1473</x:v>
      </x:c>
      <x:c r="L583" s="12" t="n">
        <x:f>养成消耗调参!$D$162</x:f>
        <x:v>432</x:v>
      </x:c>
      <x:c r="M583" s="12" t="n">
        <x:f>养成消耗调参!$G$162</x:f>
        <x:v>2250</x:v>
      </x:c>
      <x:c r="N583" s="12" t="n">
        <x:f>养成消耗调参!$I$162</x:f>
        <x:v>50</x:v>
      </x:c>
      <x:c r="O583" s="12" t="n">
        <x:f>养成消耗调参!$K$162</x:f>
        <x:v>3096</x:v>
      </x:c>
      <x:c r="P583" s="12" t="n">
        <x:f>养成消耗调参!$N$162</x:f>
        <x:v>18000</x:v>
      </x:c>
      <x:c r="Q583" s="12" t="n">
        <x:f>养成消耗调参!$P$162</x:f>
        <x:v>90</x:v>
      </x:c>
      <x:c r="R583" s="13">
        <x:f>I583/英雄升级调参!$J$80-1</x:f>
        <x:v>-0.0004036864004181018</x:v>
      </x:c>
      <x:c r="S583" s="6"/>
      <x:c r="T583" s="6"/>
      <x:c r="U583" s="6"/>
    </x:row>
    <x:row r="584" ht="21" customHeight="1">
      <x:c r="A584" s="14" t="n">
        <x:f>英雄升级调参!$B$21</x:f>
        <x:v>310003</x:v>
      </x:c>
      <x:c r="B584" s="14" t="str">
        <x:f>英雄升级调参!$C$21</x:f>
        <x:v>鲀小泡</x:v>
      </x:c>
      <x:c r="C584" s="6" t="str">
        <x:f>英雄升级调参!$D$21</x:f>
        <x:v>战士</x:v>
      </x:c>
      <x:c r="D584" s="6" t="s">
        <x:v>22</x:v>
      </x:c>
      <x:c r="E584" s="6">
        <x:v>16</x:v>
      </x:c>
      <x:c r="F584" s="6" t="n">
        <x:f>英雄升级调参!$C$81</x:f>
        <x:v>4</x:v>
      </x:c>
      <x:c r="G584" s="12">
        <x:f t="shared" si="52"/>
        <x:v>1198</x:v>
      </x:c>
      <x:c r="H584" s="12">
        <x:f t="shared" si="53"/>
        <x:v>9871</x:v>
      </x:c>
      <x:c r="I584" s="12">
        <x:f t="shared" si="54"/>
        <x:v>11825458</x:v>
      </x:c>
      <x:c r="J584" s="12">
        <x:f>ROUND(英雄升级调参!$D$81*英雄升级调参!$J$10*英雄升级调参!$E$21,0)</x:f>
        <x:v>74</x:v>
      </x:c>
      <x:c r="K584" s="12">
        <x:f>ROUND(英雄升级调参!$D$81*英雄升级调参!$C$11*英雄升级调参!$J$10*英雄升级调参!$G$21,0)</x:f>
        <x:v>614</x:v>
      </x:c>
      <x:c r="L584" s="12" t="n">
        <x:f>养成消耗调参!$D$163</x:f>
        <x:v>504</x:v>
      </x:c>
      <x:c r="M584" s="12" t="n">
        <x:f>养成消耗调参!$G$163</x:f>
        <x:v>2250</x:v>
      </x:c>
      <x:c r="N584" s="12" t="n">
        <x:f>养成消耗调参!$I$163</x:f>
        <x:v>0</x:v>
      </x:c>
      <x:c r="O584" s="12" t="n">
        <x:f>养成消耗调参!$K$163</x:f>
        <x:v>3600</x:v>
      </x:c>
      <x:c r="P584" s="12" t="n">
        <x:f>养成消耗调参!$N$163</x:f>
        <x:v>20250</x:v>
      </x:c>
      <x:c r="Q584" s="12" t="n">
        <x:f>养成消耗调参!$P$163</x:f>
        <x:v>90</x:v>
      </x:c>
      <x:c r="R584" s="13">
        <x:f>I584/英雄升级调参!$J$81-1</x:f>
        <x:v>-0.001008836399885138</x:v>
      </x:c>
      <x:c r="S584" s="6"/>
      <x:c r="T584" s="6"/>
      <x:c r="U584" s="6"/>
    </x:row>
    <x:row r="585" ht="21" customHeight="1">
      <x:c r="A585" s="14" t="n">
        <x:f>英雄升级调参!$B$21</x:f>
        <x:v>310003</x:v>
      </x:c>
      <x:c r="B585" s="14" t="str">
        <x:f>英雄升级调参!$C$21</x:f>
        <x:v>鲀小泡</x:v>
      </x:c>
      <x:c r="C585" s="6" t="str">
        <x:f>英雄升级调参!$D$21</x:f>
        <x:v>战士</x:v>
      </x:c>
      <x:c r="D585" s="6" t="s">
        <x:v>22</x:v>
      </x:c>
      <x:c r="E585" s="6">
        <x:v>17</x:v>
      </x:c>
      <x:c r="F585" s="6" t="n">
        <x:f>英雄升级调参!$C$82</x:f>
        <x:v>4</x:v>
      </x:c>
      <x:c r="G585" s="12">
        <x:f t="shared" si="52"/>
        <x:v>1272</x:v>
      </x:c>
      <x:c r="H585" s="12">
        <x:f t="shared" si="53"/>
        <x:v>10485</x:v>
      </x:c>
      <x:c r="I585" s="12">
        <x:f t="shared" si="54"/>
        <x:v>13336920</x:v>
      </x:c>
      <x:c r="J585" s="12">
        <x:f>ROUND(英雄升级调参!$D$82*英雄升级调参!$J$10*英雄升级调参!$E$21,0)</x:f>
        <x:v>74</x:v>
      </x:c>
      <x:c r="K585" s="12">
        <x:f>ROUND(英雄升级调参!$D$82*英雄升级调参!$C$11*英雄升级调参!$J$10*英雄升级调参!$G$21,0)</x:f>
        <x:v>614</x:v>
      </x:c>
      <x:c r="L585" s="12" t="n">
        <x:f>养成消耗调参!$D$164</x:f>
        <x:v>504</x:v>
      </x:c>
      <x:c r="M585" s="12" t="n">
        <x:f>养成消耗调参!$G$164</x:f>
        <x:v>3150</x:v>
      </x:c>
      <x:c r="N585" s="12" t="n">
        <x:f>养成消耗调参!$I$164</x:f>
        <x:v>0</x:v>
      </x:c>
      <x:c r="O585" s="12" t="n">
        <x:f>养成消耗调参!$K$164</x:f>
        <x:v>4104</x:v>
      </x:c>
      <x:c r="P585" s="12" t="n">
        <x:f>养成消耗调参!$N$164</x:f>
        <x:v>23400</x:v>
      </x:c>
      <x:c r="Q585" s="12" t="n">
        <x:f>养成消耗调参!$P$164</x:f>
        <x:v>90</x:v>
      </x:c>
      <x:c r="R585" s="13">
        <x:f>I585/英雄升级调参!$J$82-1</x:f>
        <x:v>-0.0015429499316116368</x:v>
      </x:c>
      <x:c r="S585" s="6"/>
      <x:c r="T585" s="6"/>
      <x:c r="U585" s="6"/>
    </x:row>
    <x:row r="586" ht="21" customHeight="1">
      <x:c r="A586" s="14" t="n">
        <x:f>英雄升级调参!$B$21</x:f>
        <x:v>310003</x:v>
      </x:c>
      <x:c r="B586" s="14" t="str">
        <x:f>英雄升级调参!$C$21</x:f>
        <x:v>鲀小泡</x:v>
      </x:c>
      <x:c r="C586" s="6" t="str">
        <x:f>英雄升级调参!$D$21</x:f>
        <x:v>战士</x:v>
      </x:c>
      <x:c r="D586" s="6" t="s">
        <x:v>22</x:v>
      </x:c>
      <x:c r="E586" s="6">
        <x:v>18</x:v>
      </x:c>
      <x:c r="F586" s="6" t="n">
        <x:f>英雄升级调参!$C$83</x:f>
        <x:v>4</x:v>
      </x:c>
      <x:c r="G586" s="12">
        <x:f t="shared" si="52"/>
        <x:v>1346</x:v>
      </x:c>
      <x:c r="H586" s="12">
        <x:f t="shared" si="53"/>
        <x:v>11099</x:v>
      </x:c>
      <x:c r="I586" s="12">
        <x:f t="shared" si="54"/>
        <x:v>14939254</x:v>
      </x:c>
      <x:c r="J586" s="12">
        <x:f>ROUND(英雄升级调参!$D$83*英雄升级调参!$J$10*英雄升级调参!$E$21,0)</x:f>
        <x:v>74</x:v>
      </x:c>
      <x:c r="K586" s="12">
        <x:f>ROUND(英雄升级调参!$D$83*英雄升级调参!$C$11*英雄升级调参!$J$10*英雄升级调参!$G$21,0)</x:f>
        <x:v>614</x:v>
      </x:c>
      <x:c r="L586" s="12" t="n">
        <x:f>养成消耗调参!$D$165</x:f>
        <x:v>576</x:v>
      </x:c>
      <x:c r="M586" s="12" t="n">
        <x:f>养成消耗调参!$G$165</x:f>
        <x:v>3150</x:v>
      </x:c>
      <x:c r="N586" s="12" t="n">
        <x:f>养成消耗调参!$I$165</x:f>
        <x:v>0</x:v>
      </x:c>
      <x:c r="O586" s="12" t="n">
        <x:f>养成消耗调参!$K$165</x:f>
        <x:v>4680</x:v>
      </x:c>
      <x:c r="P586" s="12" t="n">
        <x:f>养成消耗调参!$N$165</x:f>
        <x:v>26550</x:v>
      </x:c>
      <x:c r="Q586" s="12" t="n">
        <x:f>养成消耗调参!$P$165</x:f>
        <x:v>90</x:v>
      </x:c>
      <x:c r="R586" s="13">
        <x:f>I586/英雄升级调参!$J$83-1</x:f>
        <x:v>-0.002017841658950914</x:v>
      </x:c>
      <x:c r="S586" s="6"/>
      <x:c r="T586" s="6"/>
      <x:c r="U586" s="6"/>
    </x:row>
    <x:row r="587" ht="21" customHeight="1">
      <x:c r="A587" s="14" t="n">
        <x:f>英雄升级调参!$B$21</x:f>
        <x:v>310003</x:v>
      </x:c>
      <x:c r="B587" s="14" t="str">
        <x:f>英雄升级调参!$C$21</x:f>
        <x:v>鲀小泡</x:v>
      </x:c>
      <x:c r="C587" s="6" t="str">
        <x:f>英雄升级调参!$D$21</x:f>
        <x:v>战士</x:v>
      </x:c>
      <x:c r="D587" s="6" t="s">
        <x:v>22</x:v>
      </x:c>
      <x:c r="E587" s="6">
        <x:v>19</x:v>
      </x:c>
      <x:c r="F587" s="6" t="n">
        <x:f>英雄升级调参!$C$84</x:f>
        <x:v>4</x:v>
      </x:c>
      <x:c r="G587" s="12">
        <x:f t="shared" si="52"/>
        <x:v>1420</x:v>
      </x:c>
      <x:c r="H587" s="12">
        <x:f t="shared" si="53"/>
        <x:v>11713</x:v>
      </x:c>
      <x:c r="I587" s="12">
        <x:f t="shared" si="54"/>
        <x:v>16632460</x:v>
      </x:c>
      <x:c r="J587" s="12">
        <x:f>ROUND(英雄升级调参!$D$84*英雄升级调参!$J$10*英雄升级调参!$E$21,0)</x:f>
        <x:v>74</x:v>
      </x:c>
      <x:c r="K587" s="12">
        <x:f>ROUND(英雄升级调参!$D$84*英雄升级调参!$C$11*英雄升级调参!$J$10*英雄升级调参!$G$21,0)</x:f>
        <x:v>614</x:v>
      </x:c>
      <x:c r="L587" s="12" t="n">
        <x:f>养成消耗调参!$D$166</x:f>
        <x:v>576</x:v>
      </x:c>
      <x:c r="M587" s="12" t="n">
        <x:f>养成消耗调参!$G$166</x:f>
        <x:v>3150</x:v>
      </x:c>
      <x:c r="N587" s="12" t="n">
        <x:f>养成消耗调参!$I$166</x:f>
        <x:v>0</x:v>
      </x:c>
      <x:c r="O587" s="12" t="n">
        <x:f>养成消耗调参!$K$166</x:f>
        <x:v>5256</x:v>
      </x:c>
      <x:c r="P587" s="12" t="n">
        <x:f>养成消耗调参!$N$166</x:f>
        <x:v>29700</x:v>
      </x:c>
      <x:c r="Q587" s="12" t="n">
        <x:f>养成消耗调参!$P$166</x:f>
        <x:v>90</x:v>
      </x:c>
      <x:c r="R587" s="13">
        <x:f>I587/英雄升级调参!$J$84-1</x:f>
        <x:v>-0.002442843870908873</x:v>
      </x:c>
      <x:c r="S587" s="6"/>
      <x:c r="T587" s="6"/>
      <x:c r="U587" s="6"/>
    </x:row>
    <x:row r="588" ht="21" customHeight="1">
      <x:c r="A588" s="14" t="n">
        <x:f>英雄升级调参!$B$21</x:f>
        <x:v>310003</x:v>
      </x:c>
      <x:c r="B588" s="14" t="str">
        <x:f>英雄升级调参!$C$21</x:f>
        <x:v>鲀小泡</x:v>
      </x:c>
      <x:c r="C588" s="6" t="str">
        <x:f>英雄升级调参!$D$21</x:f>
        <x:v>战士</x:v>
      </x:c>
      <x:c r="D588" s="6" t="s">
        <x:v>22</x:v>
      </x:c>
      <x:c r="E588" s="6">
        <x:v>20</x:v>
      </x:c>
      <x:c r="F588" s="6" t="n">
        <x:f>英雄升级调参!$C$85</x:f>
        <x:v>4</x:v>
      </x:c>
      <x:c r="G588" s="12">
        <x:f t="shared" si="52"/>
        <x:v>1642</x:v>
      </x:c>
      <x:c r="H588" s="12">
        <x:f t="shared" si="53"/>
        <x:v>13555</x:v>
      </x:c>
      <x:c r="I588" s="12">
        <x:f t="shared" si="54"/>
        <x:v>22257310</x:v>
      </x:c>
      <x:c r="J588" s="12">
        <x:f>ROUND(英雄升级调参!$D$85*英雄升级调参!$J$10*英雄升级调参!$E$21,0)*3</x:f>
        <x:v>222</x:v>
      </x:c>
      <x:c r="K588" s="12">
        <x:f>ROUND(英雄升级调参!$D$85*英雄升级调参!$C$11*英雄升级调参!$J$10*英雄升级调参!$G$21,0)*3</x:f>
        <x:v>1842</x:v>
      </x:c>
      <x:c r="L588" s="12" t="n">
        <x:f>养成消耗调参!$D$167</x:f>
        <x:v>648</x:v>
      </x:c>
      <x:c r="M588" s="12" t="n">
        <x:f>养成消耗调参!$G$167</x:f>
        <x:v>3150</x:v>
      </x:c>
      <x:c r="N588" s="12" t="n">
        <x:f>养成消耗调参!$I$167</x:f>
        <x:v>70</x:v>
      </x:c>
      <x:c r="O588" s="12" t="n">
        <x:f>养成消耗调参!$K$167</x:f>
        <x:v>5904</x:v>
      </x:c>
      <x:c r="P588" s="12" t="n">
        <x:f>养成消耗调参!$N$167</x:f>
        <x:v>32850</x:v>
      </x:c>
      <x:c r="Q588" s="12" t="n">
        <x:f>养成消耗调参!$P$167</x:f>
        <x:v>160</x:v>
      </x:c>
      <x:c r="R588" s="13">
        <x:f>I588/英雄升级调参!$J$85-1</x:f>
        <x:v>-0.003486428137136177</x:v>
      </x:c>
      <x:c r="S588" s="6"/>
      <x:c r="T588" s="6"/>
      <x:c r="U588" s="6"/>
    </x:row>
    <x:row r="589" ht="21" customHeight="1">
      <x:c r="A589" s="14" t="n">
        <x:f>英雄升级调参!$B$21</x:f>
        <x:v>310003</x:v>
      </x:c>
      <x:c r="B589" s="14" t="str">
        <x:f>英雄升级调参!$C$21</x:f>
        <x:v>鲀小泡</x:v>
      </x:c>
      <x:c r="C589" s="6" t="str">
        <x:f>英雄升级调参!$D$21</x:f>
        <x:v>战士</x:v>
      </x:c>
      <x:c r="D589" s="6" t="s">
        <x:v>22</x:v>
      </x:c>
      <x:c r="E589" s="6">
        <x:v>21</x:v>
      </x:c>
      <x:c r="F589" s="6" t="n">
        <x:f>英雄升级调参!$C$86</x:f>
        <x:v>5</x:v>
      </x:c>
      <x:c r="G589" s="12">
        <x:f t="shared" si="52"/>
        <x:v>1731</x:v>
      </x:c>
      <x:c r="H589" s="12">
        <x:f t="shared" si="53"/>
        <x:v>14291</x:v>
      </x:c>
      <x:c r="I589" s="12">
        <x:f t="shared" si="54"/>
        <x:v>24737721</x:v>
      </x:c>
      <x:c r="J589" s="12">
        <x:f>ROUND(英雄升级调参!$D$86*英雄升级调参!$J$10*英雄升级调参!$E$21,0)</x:f>
        <x:v>89</x:v>
      </x:c>
      <x:c r="K589" s="12">
        <x:f>ROUND(英雄升级调参!$D$86*英雄升级调参!$C$11*英雄升级调参!$J$10*英雄升级调参!$G$21,0)</x:f>
        <x:v>736</x:v>
      </x:c>
      <x:c r="L589" s="12" t="n">
        <x:f>养成消耗调参!$D$168</x:f>
        <x:v>648</x:v>
      </x:c>
      <x:c r="M589" s="12" t="n">
        <x:f>养成消耗调参!$G$168</x:f>
        <x:v>3150</x:v>
      </x:c>
      <x:c r="N589" s="12" t="n">
        <x:f>养成消耗调参!$I$168</x:f>
        <x:v>0</x:v>
      </x:c>
      <x:c r="O589" s="12" t="n">
        <x:f>养成消耗调参!$K$168</x:f>
        <x:v>6552</x:v>
      </x:c>
      <x:c r="P589" s="12" t="n">
        <x:f>养成消耗调参!$N$168</x:f>
        <x:v>36000</x:v>
      </x:c>
      <x:c r="Q589" s="12" t="n">
        <x:f>养成消耗调参!$P$168</x:f>
        <x:v>160</x:v>
      </x:c>
      <x:c r="R589" s="13">
        <x:f>I589/英雄升级调参!$J$86-1</x:f>
        <x:v>-0.0033905167537672254</x:v>
      </x:c>
      <x:c r="S589" s="6"/>
      <x:c r="T589" s="6"/>
      <x:c r="U589" s="6"/>
    </x:row>
    <x:row r="590" ht="21" customHeight="1">
      <x:c r="A590" s="14" t="n">
        <x:f>英雄升级调参!$B$21</x:f>
        <x:v>310003</x:v>
      </x:c>
      <x:c r="B590" s="14" t="str">
        <x:f>英雄升级调参!$C$21</x:f>
        <x:v>鲀小泡</x:v>
      </x:c>
      <x:c r="C590" s="6" t="str">
        <x:f>英雄升级调参!$D$21</x:f>
        <x:v>战士</x:v>
      </x:c>
      <x:c r="D590" s="6" t="s">
        <x:v>22</x:v>
      </x:c>
      <x:c r="E590" s="6">
        <x:v>22</x:v>
      </x:c>
      <x:c r="F590" s="6" t="n">
        <x:f>英雄升级调参!$C$87</x:f>
        <x:v>5</x:v>
      </x:c>
      <x:c r="G590" s="12">
        <x:f t="shared" si="52"/>
        <x:v>1820</x:v>
      </x:c>
      <x:c r="H590" s="12">
        <x:f t="shared" si="53"/>
        <x:v>15027</x:v>
      </x:c>
      <x:c r="I590" s="12">
        <x:f t="shared" si="54"/>
        <x:v>27349140</x:v>
      </x:c>
      <x:c r="J590" s="12">
        <x:f>ROUND(英雄升级调参!$D$87*英雄升级调参!$J$10*英雄升级调参!$E$21,0)</x:f>
        <x:v>89</x:v>
      </x:c>
      <x:c r="K590" s="12">
        <x:f>ROUND(英雄升级调参!$D$87*英雄升级调参!$C$11*英雄升级调参!$J$10*英雄升级调参!$G$21,0)</x:f>
        <x:v>736</x:v>
      </x:c>
      <x:c r="L590" s="12" t="n">
        <x:f>养成消耗调参!$D$169</x:f>
        <x:v>720</x:v>
      </x:c>
      <x:c r="M590" s="12" t="n">
        <x:f>养成消耗调参!$G$169</x:f>
        <x:v>4500</x:v>
      </x:c>
      <x:c r="N590" s="12" t="n">
        <x:f>养成消耗调参!$I$169</x:f>
        <x:v>0</x:v>
      </x:c>
      <x:c r="O590" s="12" t="n">
        <x:f>养成消耗调参!$K$169</x:f>
        <x:v>7272</x:v>
      </x:c>
      <x:c r="P590" s="12" t="n">
        <x:f>养成消耗调参!$N$169</x:f>
        <x:v>40500</x:v>
      </x:c>
      <x:c r="Q590" s="12" t="n">
        <x:f>养成消耗调参!$P$169</x:f>
        <x:v>160</x:v>
      </x:c>
      <x:c r="R590" s="13">
        <x:f>I590/英雄升级调参!$J$87-1</x:f>
        <x:v>-0.0033039599413989817</x:v>
      </x:c>
      <x:c r="S590" s="6"/>
      <x:c r="T590" s="6"/>
      <x:c r="U590" s="6"/>
    </x:row>
    <x:row r="591" ht="21" customHeight="1">
      <x:c r="A591" s="14" t="n">
        <x:f>英雄升级调参!$B$21</x:f>
        <x:v>310003</x:v>
      </x:c>
      <x:c r="B591" s="14" t="str">
        <x:f>英雄升级调参!$C$21</x:f>
        <x:v>鲀小泡</x:v>
      </x:c>
      <x:c r="C591" s="6" t="str">
        <x:f>英雄升级调参!$D$21</x:f>
        <x:v>战士</x:v>
      </x:c>
      <x:c r="D591" s="6" t="s">
        <x:v>22</x:v>
      </x:c>
      <x:c r="E591" s="6">
        <x:v>23</x:v>
      </x:c>
      <x:c r="F591" s="6" t="n">
        <x:f>英雄升级调参!$C$88</x:f>
        <x:v>5</x:v>
      </x:c>
      <x:c r="G591" s="12">
        <x:f t="shared" si="52"/>
        <x:v>1909</x:v>
      </x:c>
      <x:c r="H591" s="12">
        <x:f t="shared" si="53"/>
        <x:v>15763</x:v>
      </x:c>
      <x:c r="I591" s="12">
        <x:f t="shared" si="54"/>
        <x:v>30091567</x:v>
      </x:c>
      <x:c r="J591" s="12">
        <x:f>ROUND(英雄升级调参!$D$88*英雄升级调参!$J$10*英雄升级调参!$E$21,0)</x:f>
        <x:v>89</x:v>
      </x:c>
      <x:c r="K591" s="12">
        <x:f>ROUND(英雄升级调参!$D$88*英雄升级调参!$C$11*英雄升级调参!$J$10*英雄升级调参!$G$21,0)</x:f>
        <x:v>736</x:v>
      </x:c>
      <x:c r="L591" s="12" t="n">
        <x:f>养成消耗调参!$D$170</x:f>
        <x:v>720</x:v>
      </x:c>
      <x:c r="M591" s="12" t="n">
        <x:f>养成消耗调参!$G$170</x:f>
        <x:v>4500</x:v>
      </x:c>
      <x:c r="N591" s="12" t="n">
        <x:f>养成消耗调参!$I$170</x:f>
        <x:v>0</x:v>
      </x:c>
      <x:c r="O591" s="12" t="n">
        <x:f>养成消耗调参!$K$170</x:f>
        <x:v>7992</x:v>
      </x:c>
      <x:c r="P591" s="12" t="n">
        <x:f>养成消耗调参!$N$170</x:f>
        <x:v>45000</x:v>
      </x:c>
      <x:c r="Q591" s="12" t="n">
        <x:f>养成消耗调参!$P$170</x:f>
        <x:v>160</x:v>
      </x:c>
      <x:c r="R591" s="13">
        <x:f>I591/英雄升级调参!$J$88-1</x:f>
        <x:v>-0.0032254527651517373</x:v>
      </x:c>
      <x:c r="S591" s="6"/>
      <x:c r="T591" s="6"/>
      <x:c r="U591" s="6"/>
    </x:row>
    <x:row r="592" ht="21" customHeight="1">
      <x:c r="A592" s="14" t="n">
        <x:f>英雄升级调参!$B$21</x:f>
        <x:v>310003</x:v>
      </x:c>
      <x:c r="B592" s="14" t="str">
        <x:f>英雄升级调参!$C$21</x:f>
        <x:v>鲀小泡</x:v>
      </x:c>
      <x:c r="C592" s="6" t="str">
        <x:f>英雄升级调参!$D$21</x:f>
        <x:v>战士</x:v>
      </x:c>
      <x:c r="D592" s="6" t="s">
        <x:v>22</x:v>
      </x:c>
      <x:c r="E592" s="6">
        <x:v>24</x:v>
      </x:c>
      <x:c r="F592" s="6" t="n">
        <x:f>英雄升级调参!$C$89</x:f>
        <x:v>5</x:v>
      </x:c>
      <x:c r="G592" s="12">
        <x:f t="shared" si="52"/>
        <x:v>1998</x:v>
      </x:c>
      <x:c r="H592" s="12">
        <x:f t="shared" si="53"/>
        <x:v>16499</x:v>
      </x:c>
      <x:c r="I592" s="12">
        <x:f t="shared" si="54"/>
        <x:v>32965002</x:v>
      </x:c>
      <x:c r="J592" s="12">
        <x:f>ROUND(英雄升级调参!$D$89*英雄升级调参!$J$10*英雄升级调参!$E$21,0)</x:f>
        <x:v>89</x:v>
      </x:c>
      <x:c r="K592" s="12">
        <x:f>ROUND(英雄升级调参!$D$89*英雄升级调参!$C$11*英雄升级调参!$J$10*英雄升级调参!$G$21,0)</x:f>
        <x:v>736</x:v>
      </x:c>
      <x:c r="L592" s="12" t="n">
        <x:f>养成消耗调参!$D$171</x:f>
        <x:v>792</x:v>
      </x:c>
      <x:c r="M592" s="12" t="n">
        <x:f>养成消耗调参!$G$171</x:f>
        <x:v>4500</x:v>
      </x:c>
      <x:c r="N592" s="12" t="n">
        <x:f>养成消耗调参!$I$171</x:f>
        <x:v>0</x:v>
      </x:c>
      <x:c r="O592" s="12" t="n">
        <x:f>养成消耗调参!$K$171</x:f>
        <x:v>8784</x:v>
      </x:c>
      <x:c r="P592" s="12" t="n">
        <x:f>养成消耗调参!$N$171</x:f>
        <x:v>49500</x:v>
      </x:c>
      <x:c r="Q592" s="12" t="n">
        <x:f>养成消耗调参!$P$171</x:f>
        <x:v>160</x:v>
      </x:c>
      <x:c r="R592" s="13">
        <x:f>I592/英雄升级调参!$J$89-1</x:f>
        <x:v>-0.0031539222178879056</x:v>
      </x:c>
      <x:c r="S592" s="6"/>
      <x:c r="T592" s="6"/>
      <x:c r="U592" s="6"/>
    </x:row>
    <x:row r="593" ht="21" customHeight="1">
      <x:c r="A593" s="14" t="n">
        <x:f>英雄升级调参!$B$21</x:f>
        <x:v>310003</x:v>
      </x:c>
      <x:c r="B593" s="14" t="str">
        <x:f>英雄升级调参!$C$21</x:f>
        <x:v>鲀小泡</x:v>
      </x:c>
      <x:c r="C593" s="6" t="str">
        <x:f>英雄升级调参!$D$21</x:f>
        <x:v>战士</x:v>
      </x:c>
      <x:c r="D593" s="6" t="s">
        <x:v>22</x:v>
      </x:c>
      <x:c r="E593" s="6">
        <x:v>25</x:v>
      </x:c>
      <x:c r="F593" s="6" t="n">
        <x:f>英雄升级调参!$C$90</x:f>
        <x:v>5</x:v>
      </x:c>
      <x:c r="G593" s="12">
        <x:f t="shared" si="52"/>
        <x:v>2265</x:v>
      </x:c>
      <x:c r="H593" s="12">
        <x:f t="shared" si="53"/>
        <x:v>18707</x:v>
      </x:c>
      <x:c r="I593" s="12">
        <x:f t="shared" si="54"/>
        <x:v>42371355</x:v>
      </x:c>
      <x:c r="J593" s="12">
        <x:f>ROUND(英雄升级调参!$D$90*英雄升级调参!$J$10*英雄升级调参!$E$21,0)*3</x:f>
        <x:v>267</x:v>
      </x:c>
      <x:c r="K593" s="12">
        <x:f>ROUND(英雄升级调参!$D$90*英雄升级调参!$C$11*英雄升级调参!$J$10*英雄升级调参!$G$21,0)*3</x:f>
        <x:v>2208</x:v>
      </x:c>
      <x:c r="L593" s="12" t="n">
        <x:f>养成消耗调参!$D$172</x:f>
        <x:v>792</x:v>
      </x:c>
      <x:c r="M593" s="12" t="n">
        <x:f>养成消耗调参!$G$172</x:f>
        <x:v>4500</x:v>
      </x:c>
      <x:c r="N593" s="12" t="n">
        <x:f>养成消耗调参!$I$172</x:f>
        <x:v>90</x:v>
      </x:c>
      <x:c r="O593" s="12" t="n">
        <x:f>养成消耗调参!$K$172</x:f>
        <x:v>9576</x:v>
      </x:c>
      <x:c r="P593" s="12" t="n">
        <x:f>养成消耗调参!$N$172</x:f>
        <x:v>54000</x:v>
      </x:c>
      <x:c r="Q593" s="12" t="n">
        <x:f>养成消耗调参!$P$172</x:f>
        <x:v>250</x:v>
      </x:c>
      <x:c r="R593" s="13">
        <x:f>I593/英雄升级调参!$J$90-1</x:f>
        <x:v>-0.0029729844203333355</x:v>
      </x:c>
      <x:c r="S593" s="6"/>
      <x:c r="T593" s="6"/>
      <x:c r="U593" s="6"/>
    </x:row>
    <x:row r="594" ht="21" customHeight="1">
      <x:c r="A594" s="14" t="n">
        <x:f>英雄升级调参!$B$21</x:f>
        <x:v>310003</x:v>
      </x:c>
      <x:c r="B594" s="14" t="str">
        <x:f>英雄升级调参!$C$21</x:f>
        <x:v>鲀小泡</x:v>
      </x:c>
      <x:c r="C594" s="6" t="str">
        <x:f>英雄升级调参!$D$21</x:f>
        <x:v>战士</x:v>
      </x:c>
      <x:c r="D594" s="6" t="s">
        <x:v>22</x:v>
      </x:c>
      <x:c r="E594" s="6">
        <x:v>26</x:v>
      </x:c>
      <x:c r="F594" s="6" t="n">
        <x:f>英雄升级调参!$C$91</x:f>
        <x:v>6</x:v>
      </x:c>
      <x:c r="G594" s="12">
        <x:f t="shared" si="52"/>
        <x:v>2369</x:v>
      </x:c>
      <x:c r="H594" s="12">
        <x:f t="shared" si="53"/>
        <x:v>19566</x:v>
      </x:c>
      <x:c r="I594" s="12">
        <x:f t="shared" si="54"/>
        <x:v>46351854</x:v>
      </x:c>
      <x:c r="J594" s="12">
        <x:f>ROUND(英雄升级调参!$D$91*英雄升级调参!$J$10*英雄升级调参!$E$21,0)</x:f>
        <x:v>104</x:v>
      </x:c>
      <x:c r="K594" s="12">
        <x:f>ROUND(英雄升级调参!$D$91*英雄升级调参!$C$11*英雄升级调参!$J$10*英雄升级调参!$G$21,0)</x:f>
        <x:v>859</x:v>
      </x:c>
      <x:c r="L594" s="12" t="n">
        <x:f>养成消耗调参!$D$173</x:f>
        <x:v>864</x:v>
      </x:c>
      <x:c r="M594" s="12" t="n">
        <x:f>养成消耗调参!$G$173</x:f>
        <x:v>4500</x:v>
      </x:c>
      <x:c r="N594" s="12" t="n">
        <x:f>养成消耗调参!$I$173</x:f>
        <x:v>0</x:v>
      </x:c>
      <x:c r="O594" s="12" t="n">
        <x:f>养成消耗调参!$K$173</x:f>
        <x:v>10440</x:v>
      </x:c>
      <x:c r="P594" s="12" t="n">
        <x:f>养成消耗调参!$N$173</x:f>
        <x:v>58500</x:v>
      </x:c>
      <x:c r="Q594" s="12" t="n">
        <x:f>养成消耗调参!$P$173</x:f>
        <x:v>250</x:v>
      </x:c>
      <x:c r="R594" s="13">
        <x:f>I594/英雄升级调参!$J$91-1</x:f>
        <x:v>-0.003057297715834295</x:v>
      </x:c>
      <x:c r="S594" s="6"/>
      <x:c r="T594" s="6"/>
      <x:c r="U594" s="6"/>
    </x:row>
    <x:row r="595" ht="21" customHeight="1">
      <x:c r="A595" s="14" t="n">
        <x:f>英雄升级调参!$B$21</x:f>
        <x:v>310003</x:v>
      </x:c>
      <x:c r="B595" s="14" t="str">
        <x:f>英雄升级调参!$C$21</x:f>
        <x:v>鲀小泡</x:v>
      </x:c>
      <x:c r="C595" s="6" t="str">
        <x:f>英雄升级调参!$D$21</x:f>
        <x:v>战士</x:v>
      </x:c>
      <x:c r="D595" s="6" t="s">
        <x:v>22</x:v>
      </x:c>
      <x:c r="E595" s="6">
        <x:v>27</x:v>
      </x:c>
      <x:c r="F595" s="6" t="n">
        <x:f>英雄升级调参!$C$92</x:f>
        <x:v>6</x:v>
      </x:c>
      <x:c r="G595" s="12">
        <x:f t="shared" si="52"/>
        <x:v>2473</x:v>
      </x:c>
      <x:c r="H595" s="12">
        <x:f t="shared" si="53"/>
        <x:v>20425</x:v>
      </x:c>
      <x:c r="I595" s="12">
        <x:f t="shared" si="54"/>
        <x:v>50511025</x:v>
      </x:c>
      <x:c r="J595" s="12">
        <x:f>ROUND(英雄升级调参!$D$92*英雄升级调参!$J$10*英雄升级调参!$E$21,0)</x:f>
        <x:v>104</x:v>
      </x:c>
      <x:c r="K595" s="12">
        <x:f>ROUND(英雄升级调参!$D$92*英雄升级调参!$C$11*英雄升级调参!$J$10*英雄升级调参!$G$21,0)</x:f>
        <x:v>859</x:v>
      </x:c>
      <x:c r="L595" s="12" t="n">
        <x:f>养成消耗调参!$D$174</x:f>
        <x:v>864</x:v>
      </x:c>
      <x:c r="M595" s="12" t="n">
        <x:f>养成消耗调参!$G$174</x:f>
        <x:v>5850</x:v>
      </x:c>
      <x:c r="N595" s="12" t="n">
        <x:f>养成消耗调参!$I$174</x:f>
        <x:v>0</x:v>
      </x:c>
      <x:c r="O595" s="12" t="n">
        <x:f>养成消耗调参!$K$174</x:f>
        <x:v>11304</x:v>
      </x:c>
      <x:c r="P595" s="12" t="n">
        <x:f>养成消耗调参!$N$174</x:f>
        <x:v>64350</x:v>
      </x:c>
      <x:c r="Q595" s="12" t="n">
        <x:f>养成消耗调参!$P$174</x:f>
        <x:v>250</x:v>
      </x:c>
      <x:c r="R595" s="13">
        <x:f>I595/英雄升级调参!$J$92-1</x:f>
        <x:v>-0.003134507009592502</x:v>
      </x:c>
      <x:c r="S595" s="6"/>
      <x:c r="T595" s="6"/>
      <x:c r="U595" s="6"/>
    </x:row>
    <x:row r="596" ht="21" customHeight="1">
      <x:c r="A596" s="14" t="n">
        <x:f>英雄升级调参!$B$21</x:f>
        <x:v>310003</x:v>
      </x:c>
      <x:c r="B596" s="14" t="str">
        <x:f>英雄升级调参!$C$21</x:f>
        <x:v>鲀小泡</x:v>
      </x:c>
      <x:c r="C596" s="6" t="str">
        <x:f>英雄升级调参!$D$21</x:f>
        <x:v>战士</x:v>
      </x:c>
      <x:c r="D596" s="6" t="s">
        <x:v>22</x:v>
      </x:c>
      <x:c r="E596" s="6">
        <x:v>28</x:v>
      </x:c>
      <x:c r="F596" s="6" t="n">
        <x:f>英雄升级调参!$C$93</x:f>
        <x:v>6</x:v>
      </x:c>
      <x:c r="G596" s="12">
        <x:f t="shared" si="52"/>
        <x:v>2577</x:v>
      </x:c>
      <x:c r="H596" s="12">
        <x:f t="shared" si="53"/>
        <x:v>21284</x:v>
      </x:c>
      <x:c r="I596" s="12">
        <x:f t="shared" si="54"/>
        <x:v>54848868</x:v>
      </x:c>
      <x:c r="J596" s="12">
        <x:f>ROUND(英雄升级调参!$D$93*英雄升级调参!$J$10*英雄升级调参!$E$21,0)</x:f>
        <x:v>104</x:v>
      </x:c>
      <x:c r="K596" s="12">
        <x:f>ROUND(英雄升级调参!$D$93*英雄升级调参!$C$11*英雄升级调参!$J$10*英雄升级调参!$G$21,0)</x:f>
        <x:v>859</x:v>
      </x:c>
      <x:c r="L596" s="12" t="n">
        <x:f>养成消耗调参!$D$175</x:f>
        <x:v>936</x:v>
      </x:c>
      <x:c r="M596" s="12" t="n">
        <x:f>养成消耗调参!$G$175</x:f>
        <x:v>5850</x:v>
      </x:c>
      <x:c r="N596" s="12" t="n">
        <x:f>养成消耗调参!$I$175</x:f>
        <x:v>0</x:v>
      </x:c>
      <x:c r="O596" s="12" t="n">
        <x:f>养成消耗调参!$K$175</x:f>
        <x:v>12240</x:v>
      </x:c>
      <x:c r="P596" s="12" t="n">
        <x:f>养成消耗调参!$N$175</x:f>
        <x:v>70200</x:v>
      </x:c>
      <x:c r="Q596" s="12" t="n">
        <x:f>养成消耗调参!$P$175</x:f>
        <x:v>250</x:v>
      </x:c>
      <x:c r="R596" s="13">
        <x:f>I596/英雄升级调参!$J$93-1</x:f>
        <x:v>-0.003205473850641294</x:v>
      </x:c>
      <x:c r="S596" s="6"/>
      <x:c r="T596" s="6"/>
      <x:c r="U596" s="6"/>
    </x:row>
    <x:row r="597" ht="21" customHeight="1">
      <x:c r="A597" s="14" t="n">
        <x:f>英雄升级调参!$B$21</x:f>
        <x:v>310003</x:v>
      </x:c>
      <x:c r="B597" s="14" t="str">
        <x:f>英雄升级调参!$C$21</x:f>
        <x:v>鲀小泡</x:v>
      </x:c>
      <x:c r="C597" s="6" t="str">
        <x:f>英雄升级调参!$D$21</x:f>
        <x:v>战士</x:v>
      </x:c>
      <x:c r="D597" s="6" t="s">
        <x:v>22</x:v>
      </x:c>
      <x:c r="E597" s="6">
        <x:v>29</x:v>
      </x:c>
      <x:c r="F597" s="6" t="n">
        <x:f>英雄升级调参!$C$94</x:f>
        <x:v>6</x:v>
      </x:c>
      <x:c r="G597" s="12">
        <x:f t="shared" si="52"/>
        <x:v>2681</x:v>
      </x:c>
      <x:c r="H597" s="12">
        <x:f t="shared" si="53"/>
        <x:v>22143</x:v>
      </x:c>
      <x:c r="I597" s="12">
        <x:f t="shared" si="54"/>
        <x:v>59365383</x:v>
      </x:c>
      <x:c r="J597" s="12">
        <x:f>ROUND(英雄升级调参!$D$94*英雄升级调参!$J$10*英雄升级调参!$E$21,0)</x:f>
        <x:v>104</x:v>
      </x:c>
      <x:c r="K597" s="12">
        <x:f>ROUND(英雄升级调参!$D$94*英雄升级调参!$C$11*英雄升级调参!$J$10*英雄升级调参!$G$21,0)</x:f>
        <x:v>859</x:v>
      </x:c>
      <x:c r="L597" s="12" t="n">
        <x:f>养成消耗调参!$D$176</x:f>
        <x:v>936</x:v>
      </x:c>
      <x:c r="M597" s="12" t="n">
        <x:f>养成消耗调参!$G$176</x:f>
        <x:v>5850</x:v>
      </x:c>
      <x:c r="N597" s="12" t="n">
        <x:f>养成消耗调参!$I$176</x:f>
        <x:v>0</x:v>
      </x:c>
      <x:c r="O597" s="12" t="n">
        <x:f>养成消耗调参!$K$176</x:f>
        <x:v>13176</x:v>
      </x:c>
      <x:c r="P597" s="12" t="n">
        <x:f>养成消耗调参!$N$176</x:f>
        <x:v>76050</x:v>
      </x:c>
      <x:c r="Q597" s="12" t="n">
        <x:f>养成消耗调参!$P$176</x:f>
        <x:v>250</x:v>
      </x:c>
      <x:c r="R597" s="13">
        <x:f>I597/英雄升级调参!$J$94-1</x:f>
        <x:v>-0.0032709258867499313</x:v>
      </x:c>
      <x:c r="S597" s="6"/>
      <x:c r="T597" s="6"/>
      <x:c r="U597" s="6"/>
    </x:row>
    <x:row r="598" ht="21" customHeight="1">
      <x:c r="A598" s="14" t="n">
        <x:f>英雄升级调参!$B$21</x:f>
        <x:v>310003</x:v>
      </x:c>
      <x:c r="B598" s="14" t="str">
        <x:f>英雄升级调参!$C$21</x:f>
        <x:v>鲀小泡</x:v>
      </x:c>
      <x:c r="C598" s="6" t="str">
        <x:f>英雄升级调参!$D$21</x:f>
        <x:v>战士</x:v>
      </x:c>
      <x:c r="D598" s="6" t="s">
        <x:v>22</x:v>
      </x:c>
      <x:c r="E598" s="6">
        <x:v>30</x:v>
      </x:c>
      <x:c r="F598" s="6" t="n">
        <x:f>英雄升级调参!$C$95</x:f>
        <x:v>6</x:v>
      </x:c>
      <x:c r="G598" s="12">
        <x:f t="shared" si="52"/>
        <x:v>2993</x:v>
      </x:c>
      <x:c r="H598" s="12">
        <x:f t="shared" si="53"/>
        <x:v>24720</x:v>
      </x:c>
      <x:c r="I598" s="12">
        <x:f t="shared" si="54"/>
        <x:v>73986960</x:v>
      </x:c>
      <x:c r="J598" s="12">
        <x:f>ROUND(英雄升级调参!$D$95*英雄升级调参!$J$10*英雄升级调参!$E$21,0)*3</x:f>
        <x:v>312</x:v>
      </x:c>
      <x:c r="K598" s="12">
        <x:f>ROUND(英雄升级调参!$D$95*英雄升级调参!$C$11*英雄升级调参!$J$10*英雄升级调参!$G$21,0)*3</x:f>
        <x:v>2577</x:v>
      </x:c>
      <x:c r="L598" s="12" t="n">
        <x:f>养成消耗调参!$D$177</x:f>
        <x:v>1008</x:v>
      </x:c>
      <x:c r="M598" s="12" t="n">
        <x:f>养成消耗调参!$G$177</x:f>
        <x:v>5850</x:v>
      </x:c>
      <x:c r="N598" s="12" t="n">
        <x:f>养成消耗调参!$I$177</x:f>
        <x:v>110</x:v>
      </x:c>
      <x:c r="O598" s="12" t="n">
        <x:f>养成消耗调参!$K$177</x:f>
        <x:v>14184</x:v>
      </x:c>
      <x:c r="P598" s="12" t="n">
        <x:f>养成消耗调参!$N$177</x:f>
        <x:v>81900</x:v>
      </x:c>
      <x:c r="Q598" s="12" t="n">
        <x:f>养成消耗调参!$P$177</x:f>
        <x:v>360</x:v>
      </x:c>
      <x:c r="R598" s="13">
        <x:f>I598/英雄升级调参!$J$95-1</x:f>
        <x:v>-0.003439950378725909</x:v>
      </x:c>
      <x:c r="S598" s="6"/>
      <x:c r="T598" s="6"/>
      <x:c r="U598" s="6"/>
    </x:row>
    <x:row r="599" ht="21" customHeight="1">
      <x:c r="A599" s="14" t="n">
        <x:f>英雄升级调参!$B$21</x:f>
        <x:v>310003</x:v>
      </x:c>
      <x:c r="B599" s="14" t="str">
        <x:f>英雄升级调参!$C$21</x:f>
        <x:v>鲀小泡</x:v>
      </x:c>
      <x:c r="C599" s="6" t="str">
        <x:f>英雄升级调参!$D$21</x:f>
        <x:v>战士</x:v>
      </x:c>
      <x:c r="D599" s="6" t="s">
        <x:v>22</x:v>
      </x:c>
      <x:c r="E599" s="6">
        <x:v>31</x:v>
      </x:c>
      <x:c r="F599" s="6" t="n">
        <x:f>英雄升级调参!$C$96</x:f>
        <x:v>7</x:v>
      </x:c>
      <x:c r="G599" s="12">
        <x:f t="shared" si="52"/>
        <x:v>3112</x:v>
      </x:c>
      <x:c r="H599" s="12">
        <x:f t="shared" si="53"/>
        <x:v>25702</x:v>
      </x:c>
      <x:c r="I599" s="12">
        <x:f t="shared" si="54"/>
        <x:v>79984624</x:v>
      </x:c>
      <x:c r="J599" s="12">
        <x:f>ROUND(英雄升级调参!$D$96*英雄升级调参!$J$10*英雄升级调参!$E$21,0)</x:f>
        <x:v>119</x:v>
      </x:c>
      <x:c r="K599" s="12">
        <x:f>ROUND(英雄升级调参!$D$96*英雄升级调参!$C$11*英雄升级调参!$J$10*英雄升级调参!$G$21,0)</x:f>
        <x:v>982</x:v>
      </x:c>
      <x:c r="L599" s="12" t="n">
        <x:f>养成消耗调参!$D$178</x:f>
        <x:v>1008</x:v>
      </x:c>
      <x:c r="M599" s="12" t="n">
        <x:f>养成消耗调参!$G$178</x:f>
        <x:v>5850</x:v>
      </x:c>
      <x:c r="N599" s="12" t="n">
        <x:f>养成消耗调参!$I$178</x:f>
        <x:v>0</x:v>
      </x:c>
      <x:c r="O599" s="12" t="n">
        <x:f>养成消耗调参!$K$178</x:f>
        <x:v>15192</x:v>
      </x:c>
      <x:c r="P599" s="12" t="n">
        <x:f>养成消耗调参!$N$178</x:f>
        <x:v>87750</x:v>
      </x:c>
      <x:c r="Q599" s="12" t="n">
        <x:f>养成消耗调参!$P$178</x:f>
        <x:v>360</x:v>
      </x:c>
      <x:c r="R599" s="13">
        <x:f>I599/英雄升级调参!$J$96-1</x:f>
        <x:v>-0.003237931096792379</x:v>
      </x:c>
      <x:c r="S599" s="6"/>
      <x:c r="T599" s="6"/>
      <x:c r="U599" s="6"/>
    </x:row>
    <x:row r="600" ht="21" customHeight="1">
      <x:c r="A600" s="14" t="n">
        <x:f>英雄升级调参!$B$21</x:f>
        <x:v>310003</x:v>
      </x:c>
      <x:c r="B600" s="14" t="str">
        <x:f>英雄升级调参!$C$21</x:f>
        <x:v>鲀小泡</x:v>
      </x:c>
      <x:c r="C600" s="6" t="str">
        <x:f>英雄升级调参!$D$21</x:f>
        <x:v>战士</x:v>
      </x:c>
      <x:c r="D600" s="6" t="s">
        <x:v>22</x:v>
      </x:c>
      <x:c r="E600" s="6">
        <x:v>32</x:v>
      </x:c>
      <x:c r="F600" s="6" t="n">
        <x:f>英雄升级调参!$C$97</x:f>
        <x:v>7</x:v>
      </x:c>
      <x:c r="G600" s="12">
        <x:f t="shared" si="52"/>
        <x:v>3231</x:v>
      </x:c>
      <x:c r="H600" s="12">
        <x:f t="shared" si="53"/>
        <x:v>26684</x:v>
      </x:c>
      <x:c r="I600" s="12">
        <x:f t="shared" si="54"/>
        <x:v>86216004</x:v>
      </x:c>
      <x:c r="J600" s="12">
        <x:f>ROUND(英雄升级调参!$D$97*英雄升级调参!$J$10*英雄升级调参!$E$21,0)</x:f>
        <x:v>119</x:v>
      </x:c>
      <x:c r="K600" s="12">
        <x:f>ROUND(英雄升级调参!$D$97*英雄升级调参!$C$11*英雄升级调参!$J$10*英雄升级调参!$G$21,0)</x:f>
        <x:v>982</x:v>
      </x:c>
      <x:c r="L600" s="12" t="n">
        <x:f>养成消耗调参!$D$179</x:f>
        <x:v>1080</x:v>
      </x:c>
      <x:c r="M600" s="12" t="n">
        <x:f>养成消耗调参!$G$179</x:f>
        <x:v>7200</x:v>
      </x:c>
      <x:c r="N600" s="12" t="n">
        <x:f>养成消耗调参!$I$179</x:f>
        <x:v>0</x:v>
      </x:c>
      <x:c r="O600" s="12" t="n">
        <x:f>养成消耗调参!$K$179</x:f>
        <x:v>16272</x:v>
      </x:c>
      <x:c r="P600" s="12" t="n">
        <x:f>养成消耗调参!$N$179</x:f>
        <x:v>94950</x:v>
      </x:c>
      <x:c r="Q600" s="12" t="n">
        <x:f>养成消耗调参!$P$179</x:f>
        <x:v>360</x:v>
      </x:c>
      <x:c r="R600" s="13">
        <x:f>I600/英雄升级调参!$J$97-1</x:f>
        <x:v>-0.0030507229257966673</x:v>
      </x:c>
      <x:c r="S600" s="6"/>
      <x:c r="T600" s="6"/>
      <x:c r="U600" s="6"/>
    </x:row>
    <x:row r="601" ht="21" customHeight="1">
      <x:c r="A601" s="14" t="n">
        <x:f>英雄升级调参!$B$21</x:f>
        <x:v>310003</x:v>
      </x:c>
      <x:c r="B601" s="14" t="str">
        <x:f>英雄升级调参!$C$21</x:f>
        <x:v>鲀小泡</x:v>
      </x:c>
      <x:c r="C601" s="6" t="str">
        <x:f>英雄升级调参!$D$21</x:f>
        <x:v>战士</x:v>
      </x:c>
      <x:c r="D601" s="6" t="s">
        <x:v>22</x:v>
      </x:c>
      <x:c r="E601" s="6">
        <x:v>33</x:v>
      </x:c>
      <x:c r="F601" s="6" t="n">
        <x:f>英雄升级调参!$C$98</x:f>
        <x:v>7</x:v>
      </x:c>
      <x:c r="G601" s="12">
        <x:f t="shared" si="52"/>
        <x:v>3350</x:v>
      </x:c>
      <x:c r="H601" s="12">
        <x:f t="shared" si="53"/>
        <x:v>27666</x:v>
      </x:c>
      <x:c r="I601" s="12">
        <x:f t="shared" si="54"/>
        <x:v>92681100</x:v>
      </x:c>
      <x:c r="J601" s="12">
        <x:f>ROUND(英雄升级调参!$D$98*英雄升级调参!$J$10*英雄升级调参!$E$21,0)</x:f>
        <x:v>119</x:v>
      </x:c>
      <x:c r="K601" s="12">
        <x:f>ROUND(英雄升级调参!$D$98*英雄升级调参!$C$11*英雄升级调参!$J$10*英雄升级调参!$G$21,0)</x:f>
        <x:v>982</x:v>
      </x:c>
      <x:c r="L601" s="12" t="n">
        <x:f>养成消耗调参!$D$180</x:f>
        <x:v>1080</x:v>
      </x:c>
      <x:c r="M601" s="12" t="n">
        <x:f>养成消耗调参!$G$180</x:f>
        <x:v>7200</x:v>
      </x:c>
      <x:c r="N601" s="12" t="n">
        <x:f>养成消耗调参!$I$180</x:f>
        <x:v>0</x:v>
      </x:c>
      <x:c r="O601" s="12" t="n">
        <x:f>养成消耗调参!$K$180</x:f>
        <x:v>17352</x:v>
      </x:c>
      <x:c r="P601" s="12" t="n">
        <x:f>养成消耗调参!$N$180</x:f>
        <x:v>102150</x:v>
      </x:c>
      <x:c r="Q601" s="12" t="n">
        <x:f>养成消耗调参!$P$180</x:f>
        <x:v>360</x:v>
      </x:c>
      <x:c r="R601" s="13">
        <x:f>I601/英雄升级调参!$J$98-1</x:f>
        <x:v>-0.0028767546411996303</x:v>
      </x:c>
      <x:c r="S601" s="6"/>
      <x:c r="T601" s="6"/>
      <x:c r="U601" s="6"/>
    </x:row>
    <x:row r="602" ht="21" customHeight="1">
      <x:c r="A602" s="14" t="n">
        <x:f>英雄升级调参!$B$21</x:f>
        <x:v>310003</x:v>
      </x:c>
      <x:c r="B602" s="14" t="str">
        <x:f>英雄升级调参!$C$21</x:f>
        <x:v>鲀小泡</x:v>
      </x:c>
      <x:c r="C602" s="6" t="str">
        <x:f>英雄升级调参!$D$21</x:f>
        <x:v>战士</x:v>
      </x:c>
      <x:c r="D602" s="6" t="s">
        <x:v>22</x:v>
      </x:c>
      <x:c r="E602" s="6">
        <x:v>34</x:v>
      </x:c>
      <x:c r="F602" s="6" t="n">
        <x:f>英雄升级调参!$C$99</x:f>
        <x:v>7</x:v>
      </x:c>
      <x:c r="G602" s="12">
        <x:f t="shared" ref="G602:G618" si="55">G601+J602</x:f>
        <x:v>3469</x:v>
      </x:c>
      <x:c r="H602" s="12">
        <x:f t="shared" ref="H602:H618" si="56">H601+K602</x:f>
        <x:v>28648</x:v>
      </x:c>
      <x:c r="I602" s="12">
        <x:f t="shared" si="54"/>
        <x:v>99379912</x:v>
      </x:c>
      <x:c r="J602" s="12">
        <x:f>ROUND(英雄升级调参!$D$99*英雄升级调参!$J$10*英雄升级调参!$E$21,0)</x:f>
        <x:v>119</x:v>
      </x:c>
      <x:c r="K602" s="12">
        <x:f>ROUND(英雄升级调参!$D$99*英雄升级调参!$C$11*英雄升级调参!$J$10*英雄升级调参!$G$21,0)</x:f>
        <x:v>982</x:v>
      </x:c>
      <x:c r="L602" s="12" t="n">
        <x:f>养成消耗调参!$D$181</x:f>
        <x:v>1152</x:v>
      </x:c>
      <x:c r="M602" s="12" t="n">
        <x:f>养成消耗调参!$G$181</x:f>
        <x:v>7200</x:v>
      </x:c>
      <x:c r="N602" s="12" t="n">
        <x:f>养成消耗调参!$I$181</x:f>
        <x:v>0</x:v>
      </x:c>
      <x:c r="O602" s="12" t="n">
        <x:f>养成消耗调参!$K$181</x:f>
        <x:v>18504</x:v>
      </x:c>
      <x:c r="P602" s="12" t="n">
        <x:f>养成消耗调参!$N$181</x:f>
        <x:v>109350</x:v>
      </x:c>
      <x:c r="Q602" s="12" t="n">
        <x:f>养成消耗调参!$P$181</x:f>
        <x:v>360</x:v>
      </x:c>
      <x:c r="R602" s="13">
        <x:f>I602/英雄升级调参!$J$99-1</x:f>
        <x:v>-0.002714669670768055</x:v>
      </x:c>
      <x:c r="S602" s="6"/>
      <x:c r="T602" s="6"/>
      <x:c r="U602" s="6"/>
    </x:row>
    <x:row r="603" ht="21" customHeight="1">
      <x:c r="A603" s="14" t="n">
        <x:f>英雄升级调参!$B$21</x:f>
        <x:v>310003</x:v>
      </x:c>
      <x:c r="B603" s="14" t="str">
        <x:f>英雄升级调参!$C$21</x:f>
        <x:v>鲀小泡</x:v>
      </x:c>
      <x:c r="C603" s="6" t="str">
        <x:f>英雄升级调参!$D$21</x:f>
        <x:v>战士</x:v>
      </x:c>
      <x:c r="D603" s="6" t="s">
        <x:v>22</x:v>
      </x:c>
      <x:c r="E603" s="6">
        <x:v>35</x:v>
      </x:c>
      <x:c r="F603" s="6" t="n">
        <x:f>英雄升级调参!$C$100</x:f>
        <x:v>7</x:v>
      </x:c>
      <x:c r="G603" s="12">
        <x:f t="shared" si="55"/>
        <x:v>3826</x:v>
      </x:c>
      <x:c r="H603" s="12">
        <x:f t="shared" si="56"/>
        <x:v>31594</x:v>
      </x:c>
      <x:c r="I603" s="12">
        <x:f t="shared" si="54"/>
        <x:v>120878644</x:v>
      </x:c>
      <x:c r="J603" s="12">
        <x:f>ROUND(英雄升级调参!$D$100*英雄升级调参!$J$10*英雄升级调参!$E$21,0)*3</x:f>
        <x:v>357</x:v>
      </x:c>
      <x:c r="K603" s="12">
        <x:f>ROUND(英雄升级调参!$D$100*英雄升级调参!$C$11*英雄升级调参!$J$10*英雄升级调参!$G$21,0)*3</x:f>
        <x:v>2946</x:v>
      </x:c>
      <x:c r="L603" s="12" t="n">
        <x:f>养成消耗调参!$D$182</x:f>
        <x:v>1152</x:v>
      </x:c>
      <x:c r="M603" s="12" t="n">
        <x:f>养成消耗调参!$G$182</x:f>
        <x:v>7200</x:v>
      </x:c>
      <x:c r="N603" s="12" t="n">
        <x:f>养成消耗调参!$I$182</x:f>
        <x:v>130</x:v>
      </x:c>
      <x:c r="O603" s="12" t="n">
        <x:f>养成消耗调参!$K$182</x:f>
        <x:v>19656</x:v>
      </x:c>
      <x:c r="P603" s="12" t="n">
        <x:f>养成消耗调参!$N$182</x:f>
        <x:v>116550</x:v>
      </x:c>
      <x:c r="Q603" s="12" t="n">
        <x:f>养成消耗调参!$P$182</x:f>
        <x:v>490</x:v>
      </x:c>
      <x:c r="R603" s="13">
        <x:f>I603/英雄升级调参!$J$100-1</x:f>
        <x:v>-0.0022886704761376775</x:v>
      </x:c>
      <x:c r="S603" s="6"/>
      <x:c r="T603" s="6"/>
      <x:c r="U603" s="6"/>
    </x:row>
    <x:row r="604" ht="21" customHeight="1">
      <x:c r="A604" s="14" t="n">
        <x:f>英雄升级调参!$B$21</x:f>
        <x:v>310003</x:v>
      </x:c>
      <x:c r="B604" s="14" t="str">
        <x:f>英雄升级调参!$C$21</x:f>
        <x:v>鲀小泡</x:v>
      </x:c>
      <x:c r="C604" s="6" t="str">
        <x:f>英雄升级调参!$D$21</x:f>
        <x:v>战士</x:v>
      </x:c>
      <x:c r="D604" s="6" t="s">
        <x:v>22</x:v>
      </x:c>
      <x:c r="E604" s="6">
        <x:v>36</x:v>
      </x:c>
      <x:c r="F604" s="6" t="n">
        <x:f>英雄升级调参!$C$101</x:f>
        <x:v>8</x:v>
      </x:c>
      <x:c r="G604" s="12">
        <x:f t="shared" si="55"/>
        <x:v>3960</x:v>
      </x:c>
      <x:c r="H604" s="12">
        <x:f t="shared" si="56"/>
        <x:v>32699</x:v>
      </x:c>
      <x:c r="I604" s="12">
        <x:f t="shared" si="54"/>
        <x:v>129488040</x:v>
      </x:c>
      <x:c r="J604" s="12">
        <x:f>ROUND(英雄升级调参!$D$101*英雄升级调参!$J$10*英雄升级调参!$E$21,0)</x:f>
        <x:v>134</x:v>
      </x:c>
      <x:c r="K604" s="12">
        <x:f>ROUND(英雄升级调参!$D$101*英雄升级调参!$C$11*英雄升级调参!$J$10*英雄升级调参!$G$21,0)</x:f>
        <x:v>1105</x:v>
      </x:c>
      <x:c r="L604" s="12" t="n">
        <x:f>养成消耗调参!$D$183</x:f>
        <x:v>1224</x:v>
      </x:c>
      <x:c r="M604" s="12" t="n">
        <x:f>养成消耗调参!$G$183</x:f>
        <x:v>7200</x:v>
      </x:c>
      <x:c r="N604" s="12" t="n">
        <x:f>养成消耗调参!$I$183</x:f>
        <x:v>0</x:v>
      </x:c>
      <x:c r="O604" s="12" t="n">
        <x:f>养成消耗调参!$K$183</x:f>
        <x:v>20880</x:v>
      </x:c>
      <x:c r="P604" s="12" t="n">
        <x:f>养成消耗调参!$N$183</x:f>
        <x:v>123750</x:v>
      </x:c>
      <x:c r="Q604" s="12" t="n">
        <x:f>养成消耗调参!$P$183</x:f>
        <x:v>490</x:v>
      </x:c>
      <x:c r="R604" s="13">
        <x:f>I604/英雄升级调参!$J$101-1</x:f>
        <x:v>-0.0022478081327935717</x:v>
      </x:c>
      <x:c r="S604" s="6"/>
      <x:c r="T604" s="6"/>
      <x:c r="U604" s="6"/>
    </x:row>
    <x:row r="605" ht="21" customHeight="1">
      <x:c r="A605" s="14" t="n">
        <x:f>英雄升级调参!$B$21</x:f>
        <x:v>310003</x:v>
      </x:c>
      <x:c r="B605" s="14" t="str">
        <x:f>英雄升级调参!$C$21</x:f>
        <x:v>鲀小泡</x:v>
      </x:c>
      <x:c r="C605" s="6" t="str">
        <x:f>英雄升级调参!$D$21</x:f>
        <x:v>战士</x:v>
      </x:c>
      <x:c r="D605" s="6" t="s">
        <x:v>22</x:v>
      </x:c>
      <x:c r="E605" s="6">
        <x:v>37</x:v>
      </x:c>
      <x:c r="F605" s="6" t="n">
        <x:f>英雄升级调参!$C$102</x:f>
        <x:v>8</x:v>
      </x:c>
      <x:c r="G605" s="12">
        <x:f t="shared" si="55"/>
        <x:v>4094</x:v>
      </x:c>
      <x:c r="H605" s="12">
        <x:f t="shared" si="56"/>
        <x:v>33804</x:v>
      </x:c>
      <x:c r="I605" s="12">
        <x:f t="shared" si="54"/>
        <x:v>138393576</x:v>
      </x:c>
      <x:c r="J605" s="12">
        <x:f>ROUND(英雄升级调参!$D$102*英雄升级调参!$J$10*英雄升级调参!$E$21,0)</x:f>
        <x:v>134</x:v>
      </x:c>
      <x:c r="K605" s="12">
        <x:f>ROUND(英雄升级调参!$D$102*英雄升级调参!$C$11*英雄升级调参!$J$10*英雄升级调参!$G$21,0)</x:f>
        <x:v>1105</x:v>
      </x:c>
      <x:c r="L605" s="12" t="n">
        <x:f>养成消耗调参!$D$184</x:f>
        <x:v>1224</x:v>
      </x:c>
      <x:c r="M605" s="12" t="n">
        <x:f>养成消耗调参!$G$184</x:f>
        <x:v>8550</x:v>
      </x:c>
      <x:c r="N605" s="12" t="n">
        <x:f>养成消耗调参!$I$184</x:f>
        <x:v>0</x:v>
      </x:c>
      <x:c r="O605" s="12" t="n">
        <x:f>养成消耗调参!$K$184</x:f>
        <x:v>22104</x:v>
      </x:c>
      <x:c r="P605" s="12" t="n">
        <x:f>养成消耗调参!$N$184</x:f>
        <x:v>132300</x:v>
      </x:c>
      <x:c r="Q605" s="12" t="n">
        <x:f>养成消耗调参!$P$184</x:f>
        <x:v>490</x:v>
      </x:c>
      <x:c r="R605" s="13">
        <x:f>I605/英雄升级调参!$J$102-1</x:f>
        <x:v>-0.0022096170837717644</x:v>
      </x:c>
      <x:c r="S605" s="6"/>
      <x:c r="T605" s="6"/>
      <x:c r="U605" s="6"/>
    </x:row>
    <x:row r="606" ht="21" customHeight="1">
      <x:c r="A606" s="14" t="n">
        <x:f>英雄升级调参!$B$21</x:f>
        <x:v>310003</x:v>
      </x:c>
      <x:c r="B606" s="14" t="str">
        <x:f>英雄升级调参!$C$21</x:f>
        <x:v>鲀小泡</x:v>
      </x:c>
      <x:c r="C606" s="6" t="str">
        <x:f>英雄升级调参!$D$21</x:f>
        <x:v>战士</x:v>
      </x:c>
      <x:c r="D606" s="6" t="s">
        <x:v>22</x:v>
      </x:c>
      <x:c r="E606" s="6">
        <x:v>38</x:v>
      </x:c>
      <x:c r="F606" s="6" t="n">
        <x:f>英雄升级调参!$C$103</x:f>
        <x:v>8</x:v>
      </x:c>
      <x:c r="G606" s="12">
        <x:f t="shared" si="55"/>
        <x:v>4228</x:v>
      </x:c>
      <x:c r="H606" s="12">
        <x:f t="shared" si="56"/>
        <x:v>34909</x:v>
      </x:c>
      <x:c r="I606" s="12">
        <x:f t="shared" si="54"/>
        <x:v>147595252</x:v>
      </x:c>
      <x:c r="J606" s="12">
        <x:f>ROUND(英雄升级调参!$D$103*英雄升级调参!$J$10*英雄升级调参!$E$21,0)</x:f>
        <x:v>134</x:v>
      </x:c>
      <x:c r="K606" s="12">
        <x:f>ROUND(英雄升级调参!$D$103*英雄升级调参!$C$11*英雄升级调参!$J$10*英雄升级调参!$G$21,0)</x:f>
        <x:v>1105</x:v>
      </x:c>
      <x:c r="L606" s="12" t="n">
        <x:f>养成消耗调参!$D$185</x:f>
        <x:v>1296</x:v>
      </x:c>
      <x:c r="M606" s="12" t="n">
        <x:f>养成消耗调参!$G$185</x:f>
        <x:v>8550</x:v>
      </x:c>
      <x:c r="N606" s="12" t="n">
        <x:f>养成消耗调参!$I$185</x:f>
        <x:v>0</x:v>
      </x:c>
      <x:c r="O606" s="12" t="n">
        <x:f>养成消耗调参!$K$185</x:f>
        <x:v>23400</x:v>
      </x:c>
      <x:c r="P606" s="12" t="n">
        <x:f>养成消耗调参!$N$185</x:f>
        <x:v>140850</x:v>
      </x:c>
      <x:c r="Q606" s="12" t="n">
        <x:f>养成消耗调参!$P$185</x:f>
        <x:v>490</x:v>
      </x:c>
      <x:c r="R606" s="13">
        <x:f>I606/英雄升级调参!$J$103-1</x:f>
        <x:v>-0.00217384367428175</x:v>
      </x:c>
      <x:c r="S606" s="6"/>
      <x:c r="T606" s="6"/>
      <x:c r="U606" s="6"/>
    </x:row>
    <x:row r="607" ht="21" customHeight="1">
      <x:c r="A607" s="14" t="n">
        <x:f>英雄升级调参!$B$21</x:f>
        <x:v>310003</x:v>
      </x:c>
      <x:c r="B607" s="14" t="str">
        <x:f>英雄升级调参!$C$21</x:f>
        <x:v>鲀小泡</x:v>
      </x:c>
      <x:c r="C607" s="6" t="str">
        <x:f>英雄升级调参!$D$21</x:f>
        <x:v>战士</x:v>
      </x:c>
      <x:c r="D607" s="6" t="s">
        <x:v>22</x:v>
      </x:c>
      <x:c r="E607" s="6">
        <x:v>39</x:v>
      </x:c>
      <x:c r="F607" s="6" t="n">
        <x:f>英雄升级调参!$C$104</x:f>
        <x:v>8</x:v>
      </x:c>
      <x:c r="G607" s="12">
        <x:f t="shared" si="55"/>
        <x:v>4362</x:v>
      </x:c>
      <x:c r="H607" s="12">
        <x:f t="shared" si="56"/>
        <x:v>36014</x:v>
      </x:c>
      <x:c r="I607" s="12">
        <x:f t="shared" si="54"/>
        <x:v>157093068</x:v>
      </x:c>
      <x:c r="J607" s="12">
        <x:f>ROUND(英雄升级调参!$D$104*英雄升级调参!$J$10*英雄升级调参!$E$21,0)</x:f>
        <x:v>134</x:v>
      </x:c>
      <x:c r="K607" s="12">
        <x:f>ROUND(英雄升级调参!$D$104*英雄升级调参!$C$11*英雄升级调参!$J$10*英雄升级调参!$G$21,0)</x:f>
        <x:v>1105</x:v>
      </x:c>
      <x:c r="L607" s="12" t="n">
        <x:f>养成消耗调参!$D$186</x:f>
        <x:v>1296</x:v>
      </x:c>
      <x:c r="M607" s="12" t="n">
        <x:f>养成消耗调参!$G$186</x:f>
        <x:v>8550</x:v>
      </x:c>
      <x:c r="N607" s="12" t="n">
        <x:f>养成消耗调参!$I$186</x:f>
        <x:v>0</x:v>
      </x:c>
      <x:c r="O607" s="12" t="n">
        <x:f>养成消耗调参!$K$186</x:f>
        <x:v>24696</x:v>
      </x:c>
      <x:c r="P607" s="12" t="n">
        <x:f>养成消耗调参!$N$186</x:f>
        <x:v>149400</x:v>
      </x:c>
      <x:c r="Q607" s="12" t="n">
        <x:f>养成消耗调参!$P$186</x:f>
        <x:v>490</x:v>
      </x:c>
      <x:c r="R607" s="13">
        <x:f>I607/英雄升级调参!$J$104-1</x:f>
        <x:v>-0.0021402653788816783</x:v>
      </x:c>
      <x:c r="S607" s="6"/>
      <x:c r="T607" s="6"/>
      <x:c r="U607" s="6"/>
    </x:row>
    <x:row r="608" ht="21" customHeight="1">
      <x:c r="A608" s="14" t="n">
        <x:f>英雄升级调参!$B$21</x:f>
        <x:v>310003</x:v>
      </x:c>
      <x:c r="B608" s="14" t="str">
        <x:f>英雄升级调参!$C$21</x:f>
        <x:v>鲀小泡</x:v>
      </x:c>
      <x:c r="C608" s="6" t="str">
        <x:f>英雄升级调参!$D$21</x:f>
        <x:v>战士</x:v>
      </x:c>
      <x:c r="D608" s="6" t="s">
        <x:v>22</x:v>
      </x:c>
      <x:c r="E608" s="6">
        <x:v>40</x:v>
      </x:c>
      <x:c r="F608" s="6" t="n">
        <x:f>英雄升级调参!$C$105</x:f>
        <x:v>8</x:v>
      </x:c>
      <x:c r="G608" s="12">
        <x:f t="shared" si="55"/>
        <x:v>4764</x:v>
      </x:c>
      <x:c r="H608" s="12">
        <x:f t="shared" si="56"/>
        <x:v>39329</x:v>
      </x:c>
      <x:c r="I608" s="12">
        <x:f t="shared" si="54"/>
        <x:v>187363356</x:v>
      </x:c>
      <x:c r="J608" s="12">
        <x:f>ROUND(英雄升级调参!$D$105*英雄升级调参!$J$10*英雄升级调参!$E$21,0)*3</x:f>
        <x:v>402</x:v>
      </x:c>
      <x:c r="K608" s="12">
        <x:f>ROUND(英雄升级调参!$D$105*英雄升级调参!$C$11*英雄升级调参!$J$10*英雄升级调参!$G$21,0)*3</x:f>
        <x:v>3315</x:v>
      </x:c>
      <x:c r="L608" s="12" t="n">
        <x:f>养成消耗调参!$D$187</x:f>
        <x:v>1368</x:v>
      </x:c>
      <x:c r="M608" s="12" t="n">
        <x:f>养成消耗调参!$G$187</x:f>
        <x:v>8550</x:v>
      </x:c>
      <x:c r="N608" s="12" t="n">
        <x:f>养成消耗调参!$I$187</x:f>
        <x:v>150</x:v>
      </x:c>
      <x:c r="O608" s="12" t="n">
        <x:f>养成消耗调参!$K$187</x:f>
        <x:v>26064</x:v>
      </x:c>
      <x:c r="P608" s="12" t="n">
        <x:f>养成消耗调参!$N$187</x:f>
        <x:v>157950</x:v>
      </x:c>
      <x:c r="Q608" s="12" t="n">
        <x:f>养成消耗调参!$P$187</x:f>
        <x:v>640</x:v>
      </x:c>
      <x:c r="R608" s="13">
        <x:f>I608/英雄升级调参!$J$105-1</x:f>
        <x:v>-0.0020508510325520923</x:v>
      </x:c>
      <x:c r="S608" s="6"/>
      <x:c r="T608" s="6"/>
      <x:c r="U608" s="6"/>
    </x:row>
    <x:row r="609" ht="21" customHeight="1">
      <x:c r="A609" s="14" t="n">
        <x:f>英雄升级调参!$B$21</x:f>
        <x:v>310003</x:v>
      </x:c>
      <x:c r="B609" s="14" t="str">
        <x:f>英雄升级调参!$C$21</x:f>
        <x:v>鲀小泡</x:v>
      </x:c>
      <x:c r="C609" s="6" t="str">
        <x:f>英雄升级调参!$D$21</x:f>
        <x:v>战士</x:v>
      </x:c>
      <x:c r="D609" s="6" t="s">
        <x:v>22</x:v>
      </x:c>
      <x:c r="E609" s="6">
        <x:v>41</x:v>
      </x:c>
      <x:c r="F609" s="6" t="n">
        <x:f>英雄升级调参!$C$106</x:f>
        <x:v>9</x:v>
      </x:c>
      <x:c r="G609" s="12">
        <x:f t="shared" si="55"/>
        <x:v>4913</x:v>
      </x:c>
      <x:c r="H609" s="12">
        <x:f t="shared" si="56"/>
        <x:v>40556</x:v>
      </x:c>
      <x:c r="I609" s="12">
        <x:f t="shared" si="54"/>
        <x:v>199251628</x:v>
      </x:c>
      <x:c r="J609" s="12">
        <x:f>ROUND(英雄升级调参!$D$106*英雄升级调参!$J$10*英雄升级调参!$E$21,0)</x:f>
        <x:v>149</x:v>
      </x:c>
      <x:c r="K609" s="12">
        <x:f>ROUND(英雄升级调参!$D$106*英雄升级调参!$C$11*英雄升级调参!$J$10*英雄升级调参!$G$21,0)</x:f>
        <x:v>1227</x:v>
      </x:c>
      <x:c r="L609" s="12" t="n">
        <x:f>养成消耗调参!$D$188</x:f>
        <x:v>1368</x:v>
      </x:c>
      <x:c r="M609" s="12" t="n">
        <x:f>养成消耗调参!$G$188</x:f>
        <x:v>8550</x:v>
      </x:c>
      <x:c r="N609" s="12" t="n">
        <x:f>养成消耗调参!$I$188</x:f>
        <x:v>0</x:v>
      </x:c>
      <x:c r="O609" s="12" t="n">
        <x:f>养成消耗调参!$K$188</x:f>
        <x:v>27432</x:v>
      </x:c>
      <x:c r="P609" s="12" t="n">
        <x:f>养成消耗调参!$N$188</x:f>
        <x:v>166500</x:v>
      </x:c>
      <x:c r="Q609" s="12" t="n">
        <x:f>养成消耗调参!$P$188</x:f>
        <x:v>640</x:v>
      </x:c>
      <x:c r="R609" s="13">
        <x:f>I609/英雄升级调参!$J$106-1</x:f>
        <x:v>-0.0018941164831394186</x:v>
      </x:c>
      <x:c r="S609" s="6"/>
      <x:c r="T609" s="6"/>
      <x:c r="U609" s="6"/>
    </x:row>
    <x:row r="610" ht="21" customHeight="1">
      <x:c r="A610" s="14" t="n">
        <x:f>英雄升级调参!$B$21</x:f>
        <x:v>310003</x:v>
      </x:c>
      <x:c r="B610" s="14" t="str">
        <x:f>英雄升级调参!$C$21</x:f>
        <x:v>鲀小泡</x:v>
      </x:c>
      <x:c r="C610" s="6" t="str">
        <x:f>英雄升级调参!$D$21</x:f>
        <x:v>战士</x:v>
      </x:c>
      <x:c r="D610" s="6" t="s">
        <x:v>22</x:v>
      </x:c>
      <x:c r="E610" s="6">
        <x:v>42</x:v>
      </x:c>
      <x:c r="F610" s="6" t="n">
        <x:f>英雄升级调参!$C$107</x:f>
        <x:v>9</x:v>
      </x:c>
      <x:c r="G610" s="12">
        <x:f t="shared" si="55"/>
        <x:v>5062</x:v>
      </x:c>
      <x:c r="H610" s="12">
        <x:f t="shared" si="56"/>
        <x:v>41783</x:v>
      </x:c>
      <x:c r="I610" s="12">
        <x:f t="shared" si="54"/>
        <x:v>211505546</x:v>
      </x:c>
      <x:c r="J610" s="12">
        <x:f>ROUND(英雄升级调参!$D$107*英雄升级调参!$J$10*英雄升级调参!$E$21,0)</x:f>
        <x:v>149</x:v>
      </x:c>
      <x:c r="K610" s="12">
        <x:f>ROUND(英雄升级调参!$D$107*英雄升级调参!$C$11*英雄升级调参!$J$10*英雄升级调参!$G$21,0)</x:f>
        <x:v>1227</x:v>
      </x:c>
      <x:c r="L610" s="12" t="n">
        <x:f>养成消耗调参!$D$189</x:f>
        <x:v>1440</x:v>
      </x:c>
      <x:c r="M610" s="12" t="n">
        <x:f>养成消耗调参!$G$189</x:f>
        <x:v>9900</x:v>
      </x:c>
      <x:c r="N610" s="12" t="n">
        <x:f>养成消耗调参!$I$189</x:f>
        <x:v>0</x:v>
      </x:c>
      <x:c r="O610" s="12" t="n">
        <x:f>养成消耗调参!$K$189</x:f>
        <x:v>28872</x:v>
      </x:c>
      <x:c r="P610" s="12" t="n">
        <x:f>养成消耗调参!$N$189</x:f>
        <x:v>176400</x:v>
      </x:c>
      <x:c r="Q610" s="12" t="n">
        <x:f>养成消耗调参!$P$189</x:f>
        <x:v>640</x:v>
      </x:c>
      <x:c r="R610" s="13">
        <x:f>I610/英雄升级调参!$J$107-1</x:f>
        <x:v>-0.0017465626056044625</x:v>
      </x:c>
      <x:c r="S610" s="6"/>
      <x:c r="T610" s="6"/>
      <x:c r="U610" s="6"/>
    </x:row>
    <x:row r="611" ht="21" customHeight="1">
      <x:c r="A611" s="14" t="n">
        <x:f>英雄升级调参!$B$21</x:f>
        <x:v>310003</x:v>
      </x:c>
      <x:c r="B611" s="14" t="str">
        <x:f>英雄升级调参!$C$21</x:f>
        <x:v>鲀小泡</x:v>
      </x:c>
      <x:c r="C611" s="6" t="str">
        <x:f>英雄升级调参!$D$21</x:f>
        <x:v>战士</x:v>
      </x:c>
      <x:c r="D611" s="6" t="s">
        <x:v>22</x:v>
      </x:c>
      <x:c r="E611" s="6">
        <x:v>43</x:v>
      </x:c>
      <x:c r="F611" s="6" t="n">
        <x:f>英雄升级调参!$C$108</x:f>
        <x:v>9</x:v>
      </x:c>
      <x:c r="G611" s="12">
        <x:f t="shared" si="55"/>
        <x:v>5211</x:v>
      </x:c>
      <x:c r="H611" s="12">
        <x:f t="shared" si="56"/>
        <x:v>43010</x:v>
      </x:c>
      <x:c r="I611" s="12">
        <x:f t="shared" si="54"/>
        <x:v>224125110</x:v>
      </x:c>
      <x:c r="J611" s="12">
        <x:f>ROUND(英雄升级调参!$D$108*英雄升级调参!$J$10*英雄升级调参!$E$21,0)</x:f>
        <x:v>149</x:v>
      </x:c>
      <x:c r="K611" s="12">
        <x:f>ROUND(英雄升级调参!$D$108*英雄升级调参!$C$11*英雄升级调参!$J$10*英雄升级调参!$G$21,0)</x:f>
        <x:v>1227</x:v>
      </x:c>
      <x:c r="L611" s="12" t="n">
        <x:f>养成消耗调参!$D$190</x:f>
        <x:v>1440</x:v>
      </x:c>
      <x:c r="M611" s="12" t="n">
        <x:f>养成消耗调参!$G$190</x:f>
        <x:v>9900</x:v>
      </x:c>
      <x:c r="N611" s="12" t="n">
        <x:f>养成消耗调参!$I$190</x:f>
        <x:v>0</x:v>
      </x:c>
      <x:c r="O611" s="12" t="n">
        <x:f>养成消耗调参!$K$190</x:f>
        <x:v>30312</x:v>
      </x:c>
      <x:c r="P611" s="12" t="n">
        <x:f>养成消耗调参!$N$190</x:f>
        <x:v>186300</x:v>
      </x:c>
      <x:c r="Q611" s="12" t="n">
        <x:f>养成消耗调参!$P$190</x:f>
        <x:v>640</x:v>
      </x:c>
      <x:c r="R611" s="13">
        <x:f>I611/英雄升级调参!$J$108-1</x:f>
        <x:v>-0.0016074057196007185</x:v>
      </x:c>
      <x:c r="S611" s="6"/>
      <x:c r="T611" s="6"/>
      <x:c r="U611" s="6"/>
    </x:row>
    <x:row r="612" ht="21" customHeight="1">
      <x:c r="A612" s="14" t="n">
        <x:f>英雄升级调参!$B$21</x:f>
        <x:v>310003</x:v>
      </x:c>
      <x:c r="B612" s="14" t="str">
        <x:f>英雄升级调参!$C$21</x:f>
        <x:v>鲀小泡</x:v>
      </x:c>
      <x:c r="C612" s="6" t="str">
        <x:f>英雄升级调参!$D$21</x:f>
        <x:v>战士</x:v>
      </x:c>
      <x:c r="D612" s="6" t="s">
        <x:v>22</x:v>
      </x:c>
      <x:c r="E612" s="6">
        <x:v>44</x:v>
      </x:c>
      <x:c r="F612" s="6" t="n">
        <x:f>英雄升级调参!$C$109</x:f>
        <x:v>9</x:v>
      </x:c>
      <x:c r="G612" s="12">
        <x:f t="shared" si="55"/>
        <x:v>5360</x:v>
      </x:c>
      <x:c r="H612" s="12">
        <x:f t="shared" si="56"/>
        <x:v>44237</x:v>
      </x:c>
      <x:c r="I612" s="12">
        <x:f t="shared" si="54"/>
        <x:v>237110320</x:v>
      </x:c>
      <x:c r="J612" s="12">
        <x:f>ROUND(英雄升级调参!$D$109*英雄升级调参!$J$10*英雄升级调参!$E$21,0)</x:f>
        <x:v>149</x:v>
      </x:c>
      <x:c r="K612" s="12">
        <x:f>ROUND(英雄升级调参!$D$109*英雄升级调参!$C$11*英雄升级调参!$J$10*英雄升级调参!$G$21,0)</x:f>
        <x:v>1227</x:v>
      </x:c>
      <x:c r="L612" s="12" t="n">
        <x:f>养成消耗调参!$D$191</x:f>
        <x:v>1512</x:v>
      </x:c>
      <x:c r="M612" s="12" t="n">
        <x:f>养成消耗调参!$G$191</x:f>
        <x:v>9900</x:v>
      </x:c>
      <x:c r="N612" s="12" t="n">
        <x:f>养成消耗调参!$I$191</x:f>
        <x:v>0</x:v>
      </x:c>
      <x:c r="O612" s="12" t="n">
        <x:f>养成消耗调参!$K$191</x:f>
        <x:v>31824</x:v>
      </x:c>
      <x:c r="P612" s="12" t="n">
        <x:f>养成消耗调参!$N$191</x:f>
        <x:v>196200</x:v>
      </x:c>
      <x:c r="Q612" s="12" t="n">
        <x:f>养成消耗调参!$P$191</x:f>
        <x:v>640</x:v>
      </x:c>
      <x:c r="R612" s="13">
        <x:f>I612/英雄升级调参!$J$109-1</x:f>
        <x:v>-0.001475948872403321</x:v>
      </x:c>
      <x:c r="S612" s="6"/>
      <x:c r="T612" s="6"/>
      <x:c r="U612" s="6"/>
    </x:row>
    <x:row r="613" ht="21" customHeight="1">
      <x:c r="A613" s="14" t="n">
        <x:f>英雄升级调参!$B$21</x:f>
        <x:v>310003</x:v>
      </x:c>
      <x:c r="B613" s="14" t="str">
        <x:f>英雄升级调参!$C$21</x:f>
        <x:v>鲀小泡</x:v>
      </x:c>
      <x:c r="C613" s="6" t="str">
        <x:f>英雄升级调参!$D$21</x:f>
        <x:v>战士</x:v>
      </x:c>
      <x:c r="D613" s="6" t="s">
        <x:v>22</x:v>
      </x:c>
      <x:c r="E613" s="6">
        <x:v>45</x:v>
      </x:c>
      <x:c r="F613" s="6" t="n">
        <x:f>英雄升级调参!$C$110</x:f>
        <x:v>9</x:v>
      </x:c>
      <x:c r="G613" s="12">
        <x:f t="shared" si="55"/>
        <x:v>5807</x:v>
      </x:c>
      <x:c r="H613" s="12">
        <x:f t="shared" si="56"/>
        <x:v>47918</x:v>
      </x:c>
      <x:c r="I613" s="12">
        <x:f t="shared" si="54"/>
        <x:v>278259826</x:v>
      </x:c>
      <x:c r="J613" s="12">
        <x:f>ROUND(英雄升级调参!$D$110*英雄升级调参!$J$10*英雄升级调参!$E$21,0)*3</x:f>
        <x:v>447</x:v>
      </x:c>
      <x:c r="K613" s="12">
        <x:f>ROUND(英雄升级调参!$D$110*英雄升级调参!$C$11*英雄升级调参!$J$10*英雄升级调参!$G$21,0)*3</x:f>
        <x:v>3681</x:v>
      </x:c>
      <x:c r="L613" s="12" t="n">
        <x:f>养成消耗调参!$D$192</x:f>
        <x:v>1512</x:v>
      </x:c>
      <x:c r="M613" s="12" t="n">
        <x:f>养成消耗调参!$G$192</x:f>
        <x:v>9900</x:v>
      </x:c>
      <x:c r="N613" s="12" t="n">
        <x:f>养成消耗调参!$I$192</x:f>
        <x:v>170</x:v>
      </x:c>
      <x:c r="O613" s="12" t="n">
        <x:f>养成消耗调参!$K$192</x:f>
        <x:v>33336</x:v>
      </x:c>
      <x:c r="P613" s="12" t="n">
        <x:f>养成消耗调参!$N$192</x:f>
        <x:v>206100</x:v>
      </x:c>
      <x:c r="Q613" s="12" t="n">
        <x:f>养成消耗调参!$P$192</x:f>
        <x:v>810</x:v>
      </x:c>
      <x:c r="R613" s="13">
        <x:f>I613/英雄升级调参!$J$110-1</x:f>
        <x:v>-0.0011218773148160555</x:v>
      </x:c>
      <x:c r="S613" s="6"/>
      <x:c r="T613" s="6"/>
      <x:c r="U613" s="6"/>
    </x:row>
    <x:row r="614" ht="21" customHeight="1">
      <x:c r="A614" s="14" t="n">
        <x:f>英雄升级调参!$B$21</x:f>
        <x:v>310003</x:v>
      </x:c>
      <x:c r="B614" s="14" t="str">
        <x:f>英雄升级调参!$C$21</x:f>
        <x:v>鲀小泡</x:v>
      </x:c>
      <x:c r="C614" s="6" t="str">
        <x:f>英雄升级调参!$D$21</x:f>
        <x:v>战士</x:v>
      </x:c>
      <x:c r="D614" s="6" t="s">
        <x:v>22</x:v>
      </x:c>
      <x:c r="E614" s="6">
        <x:v>46</x:v>
      </x:c>
      <x:c r="F614" s="6" t="n">
        <x:f>英雄升级调参!$C$111</x:f>
        <x:v>10</x:v>
      </x:c>
      <x:c r="G614" s="12">
        <x:f t="shared" si="55"/>
        <x:v>5970</x:v>
      </x:c>
      <x:c r="H614" s="12">
        <x:f t="shared" si="56"/>
        <x:v>49268</x:v>
      </x:c>
      <x:c r="I614" s="12">
        <x:f t="shared" si="54"/>
        <x:v>294129960</x:v>
      </x:c>
      <x:c r="J614" s="12">
        <x:f>ROUND(英雄升级调参!$D$111*英雄升级调参!$J$10*英雄升级调参!$E$21,0)</x:f>
        <x:v>163</x:v>
      </x:c>
      <x:c r="K614" s="12">
        <x:f>ROUND(英雄升级调参!$D$111*英雄升级调参!$C$11*英雄升级调参!$J$10*英雄升级调参!$G$21,0)</x:f>
        <x:v>1350</x:v>
      </x:c>
      <x:c r="L614" s="12" t="n">
        <x:f>养成消耗调参!$D$193</x:f>
        <x:v>1584</x:v>
      </x:c>
      <x:c r="M614" s="12" t="n">
        <x:f>养成消耗调参!$G$193</x:f>
        <x:v>9900</x:v>
      </x:c>
      <x:c r="N614" s="12" t="n">
        <x:f>养成消耗调参!$I$193</x:f>
        <x:v>0</x:v>
      </x:c>
      <x:c r="O614" s="12" t="n">
        <x:f>养成消耗调参!$K$193</x:f>
        <x:v>34920</x:v>
      </x:c>
      <x:c r="P614" s="12" t="n">
        <x:f>养成消耗调参!$N$193</x:f>
        <x:v>216000</x:v>
      </x:c>
      <x:c r="Q614" s="12" t="n">
        <x:f>养成消耗调参!$P$193</x:f>
        <x:v>810</x:v>
      </x:c>
      <x:c r="R614" s="13">
        <x:f>I614/英雄升级调参!$J$111-1</x:f>
        <x:v>-0.0012416822619745194</x:v>
      </x:c>
      <x:c r="S614" s="6"/>
      <x:c r="T614" s="6"/>
      <x:c r="U614" s="6"/>
    </x:row>
    <x:row r="615" ht="21" customHeight="1">
      <x:c r="A615" s="14" t="n">
        <x:f>英雄升级调参!$B$21</x:f>
        <x:v>310003</x:v>
      </x:c>
      <x:c r="B615" s="14" t="str">
        <x:f>英雄升级调参!$C$21</x:f>
        <x:v>鲀小泡</x:v>
      </x:c>
      <x:c r="C615" s="6" t="str">
        <x:f>英雄升级调参!$D$21</x:f>
        <x:v>战士</x:v>
      </x:c>
      <x:c r="D615" s="6" t="s">
        <x:v>22</x:v>
      </x:c>
      <x:c r="E615" s="6">
        <x:v>47</x:v>
      </x:c>
      <x:c r="F615" s="6" t="n">
        <x:f>英雄升级调参!$C$112</x:f>
        <x:v>10</x:v>
      </x:c>
      <x:c r="G615" s="12">
        <x:f t="shared" si="55"/>
        <x:v>6133</x:v>
      </x:c>
      <x:c r="H615" s="12">
        <x:f t="shared" si="56"/>
        <x:v>50618</x:v>
      </x:c>
      <x:c r="I615" s="12">
        <x:f t="shared" si="54"/>
        <x:v>310440194</x:v>
      </x:c>
      <x:c r="J615" s="12">
        <x:f>ROUND(英雄升级调参!$D$112*英雄升级调参!$J$10*英雄升级调参!$E$21,0)</x:f>
        <x:v>163</x:v>
      </x:c>
      <x:c r="K615" s="12">
        <x:f>ROUND(英雄升级调参!$D$112*英雄升级调参!$C$11*英雄升级调参!$J$10*英雄升级调参!$G$21,0)</x:f>
        <x:v>1350</x:v>
      </x:c>
      <x:c r="L615" s="12" t="n">
        <x:f>养成消耗调参!$D$194</x:f>
        <x:v>1584</x:v>
      </x:c>
      <x:c r="M615" s="12" t="n">
        <x:f>养成消耗调参!$G$194</x:f>
        <x:v>11250</x:v>
      </x:c>
      <x:c r="N615" s="12" t="n">
        <x:f>养成消耗调参!$I$194</x:f>
        <x:v>0</x:v>
      </x:c>
      <x:c r="O615" s="12" t="n">
        <x:f>养成消耗调参!$K$194</x:f>
        <x:v>36504</x:v>
      </x:c>
      <x:c r="P615" s="12" t="n">
        <x:f>养成消耗调参!$N$194</x:f>
        <x:v>227250</x:v>
      </x:c>
      <x:c r="Q615" s="12" t="n">
        <x:f>养成消耗调参!$P$194</x:f>
        <x:v>810</x:v>
      </x:c>
      <x:c r="R615" s="13">
        <x:f>I615/英雄升级调参!$J$112-1</x:f>
        <x:v>-0.0013550924810745713</x:v>
      </x:c>
      <x:c r="S615" s="6"/>
      <x:c r="T615" s="6"/>
      <x:c r="U615" s="6"/>
    </x:row>
    <x:row r="616" ht="21" customHeight="1">
      <x:c r="A616" s="14" t="n">
        <x:f>英雄升级调参!$B$21</x:f>
        <x:v>310003</x:v>
      </x:c>
      <x:c r="B616" s="14" t="str">
        <x:f>英雄升级调参!$C$21</x:f>
        <x:v>鲀小泡</x:v>
      </x:c>
      <x:c r="C616" s="6" t="str">
        <x:f>英雄升级调参!$D$21</x:f>
        <x:v>战士</x:v>
      </x:c>
      <x:c r="D616" s="6" t="s">
        <x:v>22</x:v>
      </x:c>
      <x:c r="E616" s="6">
        <x:v>48</x:v>
      </x:c>
      <x:c r="F616" s="6" t="n">
        <x:f>英雄升级调参!$C$113</x:f>
        <x:v>10</x:v>
      </x:c>
      <x:c r="G616" s="12">
        <x:f t="shared" si="55"/>
        <x:v>6296</x:v>
      </x:c>
      <x:c r="H616" s="12">
        <x:f t="shared" si="56"/>
        <x:v>51968</x:v>
      </x:c>
      <x:c r="I616" s="12">
        <x:f t="shared" si="54"/>
        <x:v>327190528</x:v>
      </x:c>
      <x:c r="J616" s="12">
        <x:f>ROUND(英雄升级调参!$D$113*英雄升级调参!$J$10*英雄升级调参!$E$21,0)</x:f>
        <x:v>163</x:v>
      </x:c>
      <x:c r="K616" s="12">
        <x:f>ROUND(英雄升级调参!$D$113*英雄升级调参!$C$11*英雄升级调参!$J$10*英雄升级调参!$G$21,0)</x:f>
        <x:v>1350</x:v>
      </x:c>
      <x:c r="L616" s="12" t="n">
        <x:f>养成消耗调参!$D$195</x:f>
        <x:v>1656</x:v>
      </x:c>
      <x:c r="M616" s="12" t="n">
        <x:f>养成消耗调参!$G$195</x:f>
        <x:v>11250</x:v>
      </x:c>
      <x:c r="N616" s="12" t="n">
        <x:f>养成消耗调参!$I$195</x:f>
        <x:v>0</x:v>
      </x:c>
      <x:c r="O616" s="12" t="n">
        <x:f>养成消耗调参!$K$195</x:f>
        <x:v>38160</x:v>
      </x:c>
      <x:c r="P616" s="12" t="n">
        <x:f>养成消耗调参!$N$195</x:f>
        <x:v>238500</x:v>
      </x:c>
      <x:c r="Q616" s="12" t="n">
        <x:f>养成消耗调参!$P$195</x:f>
        <x:v>810</x:v>
      </x:c>
      <x:c r="R616" s="13">
        <x:f>I616/英雄升级调参!$J$113-1</x:f>
        <x:v>-0.0014626066523436565</x:v>
      </x:c>
      <x:c r="S616" s="6"/>
      <x:c r="T616" s="6"/>
      <x:c r="U616" s="6"/>
    </x:row>
    <x:row r="617" ht="21" customHeight="1">
      <x:c r="A617" s="14" t="n">
        <x:f>英雄升级调参!$B$21</x:f>
        <x:v>310003</x:v>
      </x:c>
      <x:c r="B617" s="14" t="str">
        <x:f>英雄升级调参!$C$21</x:f>
        <x:v>鲀小泡</x:v>
      </x:c>
      <x:c r="C617" s="6" t="str">
        <x:f>英雄升级调参!$D$21</x:f>
        <x:v>战士</x:v>
      </x:c>
      <x:c r="D617" s="6" t="s">
        <x:v>22</x:v>
      </x:c>
      <x:c r="E617" s="6">
        <x:v>49</x:v>
      </x:c>
      <x:c r="F617" s="6" t="n">
        <x:f>英雄升级调参!$C$114</x:f>
        <x:v>10</x:v>
      </x:c>
      <x:c r="G617" s="12">
        <x:f t="shared" si="55"/>
        <x:v>6459</x:v>
      </x:c>
      <x:c r="H617" s="12">
        <x:f t="shared" si="56"/>
        <x:v>53318</x:v>
      </x:c>
      <x:c r="I617" s="12">
        <x:f t="shared" si="54"/>
        <x:v>344380962</x:v>
      </x:c>
      <x:c r="J617" s="12">
        <x:f>ROUND(英雄升级调参!$D$114*英雄升级调参!$J$10*英雄升级调参!$E$21,0)</x:f>
        <x:v>163</x:v>
      </x:c>
      <x:c r="K617" s="12">
        <x:f>ROUND(英雄升级调参!$D$114*英雄升级调参!$C$11*英雄升级调参!$J$10*英雄升级调参!$G$21,0)</x:f>
        <x:v>1350</x:v>
      </x:c>
      <x:c r="L617" s="12" t="n">
        <x:f>养成消耗调参!$D$196</x:f>
        <x:v>1656</x:v>
      </x:c>
      <x:c r="M617" s="12" t="n">
        <x:f>养成消耗调参!$G$196</x:f>
        <x:v>11250</x:v>
      </x:c>
      <x:c r="N617" s="12" t="n">
        <x:f>养成消耗调参!$I$196</x:f>
        <x:v>0</x:v>
      </x:c>
      <x:c r="O617" s="12" t="n">
        <x:f>养成消耗调参!$K$196</x:f>
        <x:v>39816</x:v>
      </x:c>
      <x:c r="P617" s="12" t="n">
        <x:f>养成消耗调参!$N$196</x:f>
        <x:v>249750</x:v>
      </x:c>
      <x:c r="Q617" s="12" t="n">
        <x:f>养成消耗调参!$P$196</x:f>
        <x:v>810</x:v>
      </x:c>
      <x:c r="R617" s="13">
        <x:f>I617/英雄升级调参!$J$114-1</x:f>
        <x:v>-0.0015646729182494656</x:v>
      </x:c>
      <x:c r="S617" s="6"/>
      <x:c r="T617" s="6"/>
      <x:c r="U617" s="6"/>
    </x:row>
    <x:row r="618" ht="21" customHeight="1">
      <x:c r="A618" s="14" t="n">
        <x:f>英雄升级调参!$B$21</x:f>
        <x:v>310003</x:v>
      </x:c>
      <x:c r="B618" s="14" t="str">
        <x:f>英雄升级调参!$C$21</x:f>
        <x:v>鲀小泡</x:v>
      </x:c>
      <x:c r="C618" s="6" t="str">
        <x:f>英雄升级调参!$D$21</x:f>
        <x:v>战士</x:v>
      </x:c>
      <x:c r="D618" s="6" t="s">
        <x:v>22</x:v>
      </x:c>
      <x:c r="E618" s="6">
        <x:v>50</x:v>
      </x:c>
      <x:c r="F618" s="6" t="n">
        <x:f>英雄升级调参!$C$115</x:f>
        <x:v>10</x:v>
      </x:c>
      <x:c r="G618" s="12">
        <x:f t="shared" si="55"/>
        <x:v>6948</x:v>
      </x:c>
      <x:c r="H618" s="12">
        <x:f t="shared" si="56"/>
        <x:v>57368</x:v>
      </x:c>
      <x:c r="I618" s="12">
        <x:f t="shared" si="54"/>
        <x:v>398592864</x:v>
      </x:c>
      <x:c r="J618" s="12">
        <x:f>ROUND(英雄升级调参!$D$115*英雄升级调参!$J$10*英雄升级调参!$E$21,0)*3</x:f>
        <x:v>489</x:v>
      </x:c>
      <x:c r="K618" s="12">
        <x:f>ROUND(英雄升级调参!$D$115*英雄升级调参!$C$11*英雄升级调参!$J$10*英雄升级调参!$G$21,0)*3</x:f>
        <x:v>4050</x:v>
      </x:c>
      <x:c r="L618" s="12" t="n">
        <x:f>养成消耗调参!$D$197</x:f>
        <x:v>1728</x:v>
      </x:c>
      <x:c r="M618" s="12" t="n">
        <x:f>养成消耗调参!$G$197</x:f>
        <x:v>11250</x:v>
      </x:c>
      <x:c r="N618" s="12" t="n">
        <x:f>养成消耗调参!$I$197</x:f>
        <x:v>190</x:v>
      </x:c>
      <x:c r="O618" s="12" t="n">
        <x:f>养成消耗调参!$K$197</x:f>
        <x:v>41544</x:v>
      </x:c>
      <x:c r="P618" s="12" t="n">
        <x:f>养成消耗调参!$N$197</x:f>
        <x:v>261000</x:v>
      </x:c>
      <x:c r="Q618" s="12" t="n">
        <x:f>养成消耗调参!$P$197</x:f>
        <x:v>1000</x:v>
      </x:c>
      <x:c r="R618" s="13">
        <x:f>I618/英雄升级调参!$J$115-1</x:f>
        <x:v>-0.0018420325885128985</x:v>
      </x:c>
      <x:c r="S618" s="6"/>
      <x:c r="T618" s="6"/>
      <x:c r="U618" s="6"/>
    </x:row>
    <x:row r="619" ht="21" customHeight="1">
      <x:c r="A619" s="14" t="n">
        <x:f>英雄升级调参!$B$21</x:f>
        <x:v>310003</x:v>
      </x:c>
      <x:c r="B619" s="14" t="str">
        <x:f>英雄升级调参!$C$21</x:f>
        <x:v>鲀小泡</x:v>
      </x:c>
      <x:c r="C619" s="6" t="str">
        <x:f>英雄升级调参!$D$21</x:f>
        <x:v>战士</x:v>
      </x:c>
      <x:c r="D619" s="6" t="s">
        <x:v>25</x:v>
      </x:c>
      <x:c r="E619" s="6">
        <x:v>1</x:v>
      </x:c>
      <x:c r="F619" s="6" t="n">
        <x:f>英雄升级调参!$C$66</x:f>
        <x:v>1</x:v>
      </x:c>
      <x:c r="G619" s="12">
        <x:f>G528</x:f>
        <x:v>396</x:v>
      </x:c>
      <x:c r="H619" s="12">
        <x:f>H528</x:f>
        <x:v>3244</x:v>
      </x:c>
      <x:c r="I619" s="12">
        <x:f t="shared" si="54"/>
        <x:v>1284624</x:v>
      </x:c>
      <x:c r="J619" s="12" t="n">
        <x:f>0</x:f>
        <x:v>0</x:v>
      </x:c>
      <x:c r="K619" s="12" t="n">
        <x:f>0</x:f>
        <x:v>0</x:v>
      </x:c>
      <x:c r="L619" s="12" t="n">
        <x:f>养成消耗调参!$E$148</x:f>
        <x:v>0</x:v>
      </x:c>
      <x:c r="M619" s="12" t="n">
        <x:f>养成消耗调参!$H$148</x:f>
        <x:v>0</x:v>
      </x:c>
      <x:c r="N619" s="12" t="n">
        <x:f>养成消耗调参!$I$148</x:f>
        <x:v>0</x:v>
      </x:c>
      <x:c r="O619" s="12" t="n">
        <x:f>养成消耗调参!$L$148</x:f>
        <x:v>0</x:v>
      </x:c>
      <x:c r="P619" s="12" t="n">
        <x:f>养成消耗调参!$O$148</x:f>
        <x:v>0</x:v>
      </x:c>
      <x:c r="Q619" s="12" t="n">
        <x:f>养成消耗调参!$P$148</x:f>
        <x:v>0</x:v>
      </x:c>
      <x:c r="R619" s="13">
        <x:f>I619/英雄升级调参!$M$66-1</x:f>
        <x:v>0.007951415860461886</x:v>
      </x:c>
      <x:c r="S619" s="6"/>
      <x:c r="T619" s="6"/>
      <x:c r="U619" s="6"/>
    </x:row>
    <x:row r="620" ht="21" customHeight="1">
      <x:c r="A620" s="14" t="n">
        <x:f>英雄升级调参!$B$21</x:f>
        <x:v>310003</x:v>
      </x:c>
      <x:c r="B620" s="14" t="str">
        <x:f>英雄升级调参!$C$21</x:f>
        <x:v>鲀小泡</x:v>
      </x:c>
      <x:c r="C620" s="6" t="str">
        <x:f>英雄升级调参!$D$21</x:f>
        <x:v>战士</x:v>
      </x:c>
      <x:c r="D620" s="6" t="s">
        <x:v>25</x:v>
      </x:c>
      <x:c r="E620" s="6">
        <x:v>2</x:v>
      </x:c>
      <x:c r="F620" s="6" t="n">
        <x:f>英雄升级调参!$C$67</x:f>
        <x:v>1</x:v>
      </x:c>
      <x:c r="G620" s="12">
        <x:f t="shared" ref="G620:G651" si="57">G619+J620</x:f>
        <x:v>446</x:v>
      </x:c>
      <x:c r="H620" s="12">
        <x:f t="shared" ref="H620:H651" si="58">H619+K620</x:f>
        <x:v>3653</x:v>
      </x:c>
      <x:c r="I620" s="12">
        <x:f t="shared" si="54"/>
        <x:v>1629238</x:v>
      </x:c>
      <x:c r="J620" s="12">
        <x:f>ROUND(英雄升级调参!$D$67*英雄升级调参!$J$11*英雄升级调参!$E$21,0)</x:f>
        <x:v>50</x:v>
      </x:c>
      <x:c r="K620" s="12">
        <x:f>ROUND(英雄升级调参!$D$67*英雄升级调参!$C$11*英雄升级调参!$J$11*英雄升级调参!$G$21,0)</x:f>
        <x:v>409</x:v>
      </x:c>
      <x:c r="L620" s="12" t="n">
        <x:f>养成消耗调参!$E$149</x:f>
        <x:v>48</x:v>
      </x:c>
      <x:c r="M620" s="12" t="n">
        <x:f>养成消耗调参!$H$149</x:f>
        <x:v>600</x:v>
      </x:c>
      <x:c r="N620" s="12" t="n">
        <x:f>养成消耗调参!$I$149</x:f>
        <x:v>0</x:v>
      </x:c>
      <x:c r="O620" s="12" t="n">
        <x:f>养成消耗调参!$L$149</x:f>
        <x:v>48</x:v>
      </x:c>
      <x:c r="P620" s="12" t="n">
        <x:f>养成消耗调参!$O$149</x:f>
        <x:v>600</x:v>
      </x:c>
      <x:c r="Q620" s="12" t="n">
        <x:f>养成消耗调参!$P$149</x:f>
        <x:v>0</x:v>
      </x:c>
      <x:c r="R620" s="13">
        <x:f>I620/英雄升级调参!$M$67-1</x:f>
        <x:v>0.008166877057498523</x:v>
      </x:c>
      <x:c r="S620" s="6"/>
      <x:c r="T620" s="6"/>
      <x:c r="U620" s="6"/>
    </x:row>
    <x:row r="621" ht="21" customHeight="1">
      <x:c r="A621" s="14" t="n">
        <x:f>英雄升级调参!$B$21</x:f>
        <x:v>310003</x:v>
      </x:c>
      <x:c r="B621" s="14" t="str">
        <x:f>英雄升级调参!$C$21</x:f>
        <x:v>鲀小泡</x:v>
      </x:c>
      <x:c r="C621" s="6" t="str">
        <x:f>英雄升级调参!$D$21</x:f>
        <x:v>战士</x:v>
      </x:c>
      <x:c r="D621" s="6" t="s">
        <x:v>25</x:v>
      </x:c>
      <x:c r="E621" s="6">
        <x:v>3</x:v>
      </x:c>
      <x:c r="F621" s="6" t="n">
        <x:f>英雄升级调参!$C$68</x:f>
        <x:v>1</x:v>
      </x:c>
      <x:c r="G621" s="12">
        <x:f t="shared" si="57"/>
        <x:v>496</x:v>
      </x:c>
      <x:c r="H621" s="12">
        <x:f t="shared" si="58"/>
        <x:v>4062</x:v>
      </x:c>
      <x:c r="I621" s="12">
        <x:f t="shared" si="54"/>
        <x:v>2014752</x:v>
      </x:c>
      <x:c r="J621" s="12">
        <x:f>ROUND(英雄升级调参!$D$68*英雄升级调参!$J$11*英雄升级调参!$E$21,0)</x:f>
        <x:v>50</x:v>
      </x:c>
      <x:c r="K621" s="12">
        <x:f>ROUND(英雄升级调参!$D$68*英雄升级调参!$C$11*英雄升级调参!$J$11*英雄升级调参!$G$21,0)</x:f>
        <x:v>409</x:v>
      </x:c>
      <x:c r="L621" s="12" t="n">
        <x:f>养成消耗调参!$E$150</x:f>
        <x:v>48</x:v>
      </x:c>
      <x:c r="M621" s="12" t="n">
        <x:f>养成消耗调参!$H$150</x:f>
        <x:v>600</x:v>
      </x:c>
      <x:c r="N621" s="12" t="n">
        <x:f>养成消耗调参!$I$150</x:f>
        <x:v>0</x:v>
      </x:c>
      <x:c r="O621" s="12" t="n">
        <x:f>养成消耗调参!$L$150</x:f>
        <x:v>96</x:v>
      </x:c>
      <x:c r="P621" s="12" t="n">
        <x:f>养成消耗调参!$O$150</x:f>
        <x:v>1200</x:v>
      </x:c>
      <x:c r="Q621" s="12" t="n">
        <x:f>养成消耗调参!$P$150</x:f>
        <x:v>0</x:v>
      </x:c>
      <x:c r="R621" s="13">
        <x:f>I621/英雄升级调参!$M$68-1</x:f>
        <x:v>0.008338963710343483</x:v>
      </x:c>
      <x:c r="S621" s="6"/>
      <x:c r="T621" s="6"/>
      <x:c r="U621" s="6"/>
    </x:row>
    <x:row r="622" ht="21" customHeight="1">
      <x:c r="A622" s="14" t="n">
        <x:f>英雄升级调参!$B$21</x:f>
        <x:v>310003</x:v>
      </x:c>
      <x:c r="B622" s="14" t="str">
        <x:f>英雄升级调参!$C$21</x:f>
        <x:v>鲀小泡</x:v>
      </x:c>
      <x:c r="C622" s="6" t="str">
        <x:f>英雄升级调参!$D$21</x:f>
        <x:v>战士</x:v>
      </x:c>
      <x:c r="D622" s="6" t="s">
        <x:v>25</x:v>
      </x:c>
      <x:c r="E622" s="6">
        <x:v>4</x:v>
      </x:c>
      <x:c r="F622" s="6" t="n">
        <x:f>英雄升级调参!$C$69</x:f>
        <x:v>1</x:v>
      </x:c>
      <x:c r="G622" s="12">
        <x:f t="shared" si="57"/>
        <x:v>546</x:v>
      </x:c>
      <x:c r="H622" s="12">
        <x:f t="shared" si="58"/>
        <x:v>4471</x:v>
      </x:c>
      <x:c r="I622" s="12">
        <x:f t="shared" si="54"/>
        <x:v>2441166</x:v>
      </x:c>
      <x:c r="J622" s="12">
        <x:f>ROUND(英雄升级调参!$D$69*英雄升级调参!$J$11*英雄升级调参!$E$21,0)</x:f>
        <x:v>50</x:v>
      </x:c>
      <x:c r="K622" s="12">
        <x:f>ROUND(英雄升级调参!$D$69*英雄升级调参!$C$11*英雄升级调参!$J$11*英雄升级调参!$G$21,0)</x:f>
        <x:v>409</x:v>
      </x:c>
      <x:c r="L622" s="12" t="n">
        <x:f>养成消耗调参!$E$151</x:f>
        <x:v>96</x:v>
      </x:c>
      <x:c r="M622" s="12" t="n">
        <x:f>养成消耗调参!$H$151</x:f>
        <x:v>600</x:v>
      </x:c>
      <x:c r="N622" s="12" t="n">
        <x:f>养成消耗调参!$I$151</x:f>
        <x:v>0</x:v>
      </x:c>
      <x:c r="O622" s="12" t="n">
        <x:f>养成消耗调参!$L$151</x:f>
        <x:v>192</x:v>
      </x:c>
      <x:c r="P622" s="12" t="n">
        <x:f>养成消耗调参!$O$151</x:f>
        <x:v>1800</x:v>
      </x:c>
      <x:c r="Q622" s="12" t="n">
        <x:f>养成消耗调参!$P$151</x:f>
        <x:v>0</x:v>
      </x:c>
      <x:c r="R622" s="13">
        <x:f>I622/英雄升级调参!$M$69-1</x:f>
        <x:v>0.008479575649414928</x:v>
      </x:c>
      <x:c r="S622" s="6"/>
      <x:c r="T622" s="6"/>
      <x:c r="U622" s="6"/>
    </x:row>
    <x:row r="623" ht="21" customHeight="1">
      <x:c r="A623" s="14" t="n">
        <x:f>英雄升级调参!$B$21</x:f>
        <x:v>310003</x:v>
      </x:c>
      <x:c r="B623" s="14" t="str">
        <x:f>英雄升级调参!$C$21</x:f>
        <x:v>鲀小泡</x:v>
      </x:c>
      <x:c r="C623" s="6" t="str">
        <x:f>英雄升级调参!$D$21</x:f>
        <x:v>战士</x:v>
      </x:c>
      <x:c r="D623" s="6" t="s">
        <x:v>25</x:v>
      </x:c>
      <x:c r="E623" s="6">
        <x:v>5</x:v>
      </x:c>
      <x:c r="F623" s="6" t="n">
        <x:f>英雄升级调参!$C$70</x:f>
        <x:v>1</x:v>
      </x:c>
      <x:c r="G623" s="12">
        <x:f t="shared" si="57"/>
        <x:v>696</x:v>
      </x:c>
      <x:c r="H623" s="12">
        <x:f t="shared" si="58"/>
        <x:v>5698</x:v>
      </x:c>
      <x:c r="I623" s="12">
        <x:f t="shared" si="54"/>
        <x:v>3965808</x:v>
      </x:c>
      <x:c r="J623" s="12">
        <x:f>ROUND(英雄升级调参!$D$70*英雄升级调参!$J$11*英雄升级调参!$E$21,0)*3</x:f>
        <x:v>150</x:v>
      </x:c>
      <x:c r="K623" s="12">
        <x:f>ROUND(英雄升级调参!$D$70*英雄升级调参!$C$11*英雄升级调参!$J$11*英雄升级调参!$G$21,0)*3</x:f>
        <x:v>1227</x:v>
      </x:c>
      <x:c r="L623" s="12" t="n">
        <x:f>养成消耗调参!$E$152</x:f>
        <x:v>96</x:v>
      </x:c>
      <x:c r="M623" s="12" t="n">
        <x:f>养成消耗调参!$H$152</x:f>
        <x:v>600</x:v>
      </x:c>
      <x:c r="N623" s="12" t="n">
        <x:f>养成消耗调参!$I$152</x:f>
        <x:v>10</x:v>
      </x:c>
      <x:c r="O623" s="12" t="n">
        <x:f>养成消耗调参!$L$152</x:f>
        <x:v>288</x:v>
      </x:c>
      <x:c r="P623" s="12" t="n">
        <x:f>养成消耗调参!$O$152</x:f>
        <x:v>2400</x:v>
      </x:c>
      <x:c r="Q623" s="12" t="n">
        <x:f>养成消耗调参!$P$152</x:f>
        <x:v>10</x:v>
      </x:c>
      <x:c r="R623" s="13">
        <x:f>I623/英雄升级调参!$M$70-1</x:f>
        <x:v>0.008780324015781105</x:v>
      </x:c>
      <x:c r="S623" s="6"/>
      <x:c r="T623" s="6"/>
      <x:c r="U623" s="6"/>
    </x:row>
    <x:row r="624" ht="21" customHeight="1">
      <x:c r="A624" s="14" t="n">
        <x:f>英雄升级调参!$B$21</x:f>
        <x:v>310003</x:v>
      </x:c>
      <x:c r="B624" s="14" t="str">
        <x:f>英雄升级调参!$C$21</x:f>
        <x:v>鲀小泡</x:v>
      </x:c>
      <x:c r="C624" s="6" t="str">
        <x:f>英雄升级调参!$D$21</x:f>
        <x:v>战士</x:v>
      </x:c>
      <x:c r="D624" s="6" t="s">
        <x:v>25</x:v>
      </x:c>
      <x:c r="E624" s="6">
        <x:v>6</x:v>
      </x:c>
      <x:c r="F624" s="6" t="n">
        <x:f>英雄升级调参!$C$71</x:f>
        <x:v>2</x:v>
      </x:c>
      <x:c r="G624" s="12">
        <x:f t="shared" si="57"/>
        <x:v>770</x:v>
      </x:c>
      <x:c r="H624" s="12">
        <x:f t="shared" si="58"/>
        <x:v>6312</x:v>
      </x:c>
      <x:c r="I624" s="12">
        <x:f t="shared" si="54"/>
        <x:v>4860240</x:v>
      </x:c>
      <x:c r="J624" s="12">
        <x:f>ROUND(英雄升级调参!$D$71*英雄升级调参!$J$11*英雄升级调参!$E$21,0)</x:f>
        <x:v>74</x:v>
      </x:c>
      <x:c r="K624" s="12">
        <x:f>ROUND(英雄升级调参!$D$71*英雄升级调参!$C$11*英雄升级调参!$J$11*英雄升级调参!$G$21,0)</x:f>
        <x:v>614</x:v>
      </x:c>
      <x:c r="L624" s="12" t="n">
        <x:f>养成消耗调参!$E$153</x:f>
        <x:v>192</x:v>
      </x:c>
      <x:c r="M624" s="12" t="n">
        <x:f>养成消耗调参!$H$153</x:f>
        <x:v>600</x:v>
      </x:c>
      <x:c r="N624" s="12" t="n">
        <x:f>养成消耗调参!$I$153</x:f>
        <x:v>0</x:v>
      </x:c>
      <x:c r="O624" s="12" t="n">
        <x:f>养成消耗调参!$L$153</x:f>
        <x:v>480</x:v>
      </x:c>
      <x:c r="P624" s="12" t="n">
        <x:f>养成消耗调参!$O$153</x:f>
        <x:v>3000</x:v>
      </x:c>
      <x:c r="Q624" s="12" t="n">
        <x:f>养成消耗调参!$P$153</x:f>
        <x:v>10</x:v>
      </x:c>
      <x:c r="R624" s="13">
        <x:f>I624/英雄升级调参!$M$71-1</x:f>
        <x:v>0.0069332007396243345</x:v>
      </x:c>
      <x:c r="S624" s="6"/>
      <x:c r="T624" s="6"/>
      <x:c r="U624" s="6"/>
    </x:row>
    <x:row r="625" ht="21" customHeight="1">
      <x:c r="A625" s="14" t="n">
        <x:f>英雄升级调参!$B$21</x:f>
        <x:v>310003</x:v>
      </x:c>
      <x:c r="B625" s="14" t="str">
        <x:f>英雄升级调参!$C$21</x:f>
        <x:v>鲀小泡</x:v>
      </x:c>
      <x:c r="C625" s="6" t="str">
        <x:f>英雄升级调参!$D$21</x:f>
        <x:v>战士</x:v>
      </x:c>
      <x:c r="D625" s="6" t="s">
        <x:v>25</x:v>
      </x:c>
      <x:c r="E625" s="6">
        <x:v>7</x:v>
      </x:c>
      <x:c r="F625" s="6" t="n">
        <x:f>英雄升级调参!$C$72</x:f>
        <x:v>2</x:v>
      </x:c>
      <x:c r="G625" s="12">
        <x:f t="shared" si="57"/>
        <x:v>844</x:v>
      </x:c>
      <x:c r="H625" s="12">
        <x:f t="shared" si="58"/>
        <x:v>6926</x:v>
      </x:c>
      <x:c r="I625" s="12">
        <x:f t="shared" si="54"/>
        <x:v>5845544</x:v>
      </x:c>
      <x:c r="J625" s="12">
        <x:f>ROUND(英雄升级调参!$D$72*英雄升级调参!$J$11*英雄升级调参!$E$21,0)</x:f>
        <x:v>74</x:v>
      </x:c>
      <x:c r="K625" s="12">
        <x:f>ROUND(英雄升级调参!$D$72*英雄升级调参!$C$11*英雄升级调参!$J$11*英雄升级调参!$G$21,0)</x:f>
        <x:v>614</x:v>
      </x:c>
      <x:c r="L625" s="12" t="n">
        <x:f>养成消耗调参!$E$154</x:f>
        <x:v>192</x:v>
      </x:c>
      <x:c r="M625" s="12" t="n">
        <x:f>养成消耗调参!$H$154</x:f>
        <x:v>1800</x:v>
      </x:c>
      <x:c r="N625" s="12" t="n">
        <x:f>养成消耗调参!$I$154</x:f>
        <x:v>0</x:v>
      </x:c>
      <x:c r="O625" s="12" t="n">
        <x:f>养成消耗调参!$L$154</x:f>
        <x:v>672</x:v>
      </x:c>
      <x:c r="P625" s="12" t="n">
        <x:f>养成消耗调参!$O$154</x:f>
        <x:v>4800</x:v>
      </x:c>
      <x:c r="Q625" s="12" t="n">
        <x:f>养成消耗调参!$P$154</x:f>
        <x:v>10</x:v>
      </x:c>
      <x:c r="R625" s="13">
        <x:f>I625/英雄升级调参!$M$72-1</x:f>
        <x:v>0.005415148794474023</x:v>
      </x:c>
      <x:c r="S625" s="6"/>
      <x:c r="T625" s="6"/>
      <x:c r="U625" s="6"/>
    </x:row>
    <x:row r="626" ht="21" customHeight="1">
      <x:c r="A626" s="14" t="n">
        <x:f>英雄升级调参!$B$21</x:f>
        <x:v>310003</x:v>
      </x:c>
      <x:c r="B626" s="14" t="str">
        <x:f>英雄升级调参!$C$21</x:f>
        <x:v>鲀小泡</x:v>
      </x:c>
      <x:c r="C626" s="6" t="str">
        <x:f>英雄升级调参!$D$21</x:f>
        <x:v>战士</x:v>
      </x:c>
      <x:c r="D626" s="6" t="s">
        <x:v>25</x:v>
      </x:c>
      <x:c r="E626" s="6">
        <x:v>8</x:v>
      </x:c>
      <x:c r="F626" s="6" t="n">
        <x:f>英雄升级调参!$C$73</x:f>
        <x:v>2</x:v>
      </x:c>
      <x:c r="G626" s="12">
        <x:f t="shared" si="57"/>
        <x:v>918</x:v>
      </x:c>
      <x:c r="H626" s="12">
        <x:f t="shared" si="58"/>
        <x:v>7540</x:v>
      </x:c>
      <x:c r="I626" s="12">
        <x:f t="shared" si="54"/>
        <x:v>6921720</x:v>
      </x:c>
      <x:c r="J626" s="12">
        <x:f>ROUND(英雄升级调参!$D$73*英雄升级调参!$J$11*英雄升级调参!$E$21,0)</x:f>
        <x:v>74</x:v>
      </x:c>
      <x:c r="K626" s="12">
        <x:f>ROUND(英雄升级调参!$D$73*英雄升级调参!$C$11*英雄升级调参!$J$11*英雄升级调参!$G$21,0)</x:f>
        <x:v>614</x:v>
      </x:c>
      <x:c r="L626" s="12" t="n">
        <x:f>养成消耗调参!$E$155</x:f>
        <x:v>288</x:v>
      </x:c>
      <x:c r="M626" s="12" t="n">
        <x:f>养成消耗调参!$H$155</x:f>
        <x:v>1800</x:v>
      </x:c>
      <x:c r="N626" s="12" t="n">
        <x:f>养成消耗调参!$I$155</x:f>
        <x:v>0</x:v>
      </x:c>
      <x:c r="O626" s="12" t="n">
        <x:f>养成消耗调参!$L$155</x:f>
        <x:v>960</x:v>
      </x:c>
      <x:c r="P626" s="12" t="n">
        <x:f>养成消耗调参!$O$155</x:f>
        <x:v>6600</x:v>
      </x:c>
      <x:c r="Q626" s="12" t="n">
        <x:f>养成消耗调参!$P$155</x:f>
        <x:v>10</x:v>
      </x:c>
      <x:c r="R626" s="13">
        <x:f>I626/英雄升级调参!$M$73-1</x:f>
        <x:v>0.004145422735195581</x:v>
      </x:c>
      <x:c r="S626" s="6"/>
      <x:c r="T626" s="6"/>
      <x:c r="U626" s="6"/>
    </x:row>
    <x:row r="627" ht="21" customHeight="1">
      <x:c r="A627" s="14" t="n">
        <x:f>英雄升级调参!$B$21</x:f>
        <x:v>310003</x:v>
      </x:c>
      <x:c r="B627" s="14" t="str">
        <x:f>英雄升级调参!$C$21</x:f>
        <x:v>鲀小泡</x:v>
      </x:c>
      <x:c r="C627" s="6" t="str">
        <x:f>英雄升级调参!$D$21</x:f>
        <x:v>战士</x:v>
      </x:c>
      <x:c r="D627" s="6" t="s">
        <x:v>25</x:v>
      </x:c>
      <x:c r="E627" s="6">
        <x:v>9</x:v>
      </x:c>
      <x:c r="F627" s="6" t="n">
        <x:f>英雄升级调参!$C$74</x:f>
        <x:v>2</x:v>
      </x:c>
      <x:c r="G627" s="12">
        <x:f t="shared" si="57"/>
        <x:v>992</x:v>
      </x:c>
      <x:c r="H627" s="12">
        <x:f t="shared" si="58"/>
        <x:v>8154</x:v>
      </x:c>
      <x:c r="I627" s="12">
        <x:f t="shared" si="54"/>
        <x:v>8088768</x:v>
      </x:c>
      <x:c r="J627" s="12">
        <x:f>ROUND(英雄升级调参!$D$74*英雄升级调参!$J$11*英雄升级调参!$E$21,0)</x:f>
        <x:v>74</x:v>
      </x:c>
      <x:c r="K627" s="12">
        <x:f>ROUND(英雄升级调参!$D$74*英雄升级调参!$C$11*英雄升级调参!$J$11*英雄升级调参!$G$21,0)</x:f>
        <x:v>614</x:v>
      </x:c>
      <x:c r="L627" s="12" t="n">
        <x:f>养成消耗调参!$E$156</x:f>
        <x:v>288</x:v>
      </x:c>
      <x:c r="M627" s="12" t="n">
        <x:f>养成消耗调参!$H$156</x:f>
        <x:v>1800</x:v>
      </x:c>
      <x:c r="N627" s="12" t="n">
        <x:f>养成消耗调参!$I$156</x:f>
        <x:v>0</x:v>
      </x:c>
      <x:c r="O627" s="12" t="n">
        <x:f>养成消耗调参!$L$156</x:f>
        <x:v>1248</x:v>
      </x:c>
      <x:c r="P627" s="12" t="n">
        <x:f>养成消耗调参!$O$156</x:f>
        <x:v>8400</x:v>
      </x:c>
      <x:c r="Q627" s="12" t="n">
        <x:f>养成消耗调参!$P$156</x:f>
        <x:v>10</x:v>
      </x:c>
      <x:c r="R627" s="13">
        <x:f>I627/英雄升级调参!$M$74-1</x:f>
        <x:v>0.0030676969207703575</x:v>
      </x:c>
      <x:c r="S627" s="6"/>
      <x:c r="T627" s="6"/>
      <x:c r="U627" s="6"/>
    </x:row>
    <x:row r="628" ht="21" customHeight="1">
      <x:c r="A628" s="14" t="n">
        <x:f>英雄升级调参!$B$21</x:f>
        <x:v>310003</x:v>
      </x:c>
      <x:c r="B628" s="14" t="str">
        <x:f>英雄升级调参!$C$21</x:f>
        <x:v>鲀小泡</x:v>
      </x:c>
      <x:c r="C628" s="6" t="str">
        <x:f>英雄升级调参!$D$21</x:f>
        <x:v>战士</x:v>
      </x:c>
      <x:c r="D628" s="6" t="s">
        <x:v>25</x:v>
      </x:c>
      <x:c r="E628" s="6">
        <x:v>10</x:v>
      </x:c>
      <x:c r="F628" s="6" t="n">
        <x:f>英雄升级调参!$C$75</x:f>
        <x:v>2</x:v>
      </x:c>
      <x:c r="G628" s="12">
        <x:f t="shared" si="57"/>
        <x:v>1214</x:v>
      </x:c>
      <x:c r="H628" s="12">
        <x:f t="shared" si="58"/>
        <x:v>9996</x:v>
      </x:c>
      <x:c r="I628" s="12">
        <x:f t="shared" si="54"/>
        <x:v>12135144</x:v>
      </x:c>
      <x:c r="J628" s="12">
        <x:f>ROUND(英雄升级调参!$D$75*英雄升级调参!$J$11*英雄升级调参!$E$21,0)*3</x:f>
        <x:v>222</x:v>
      </x:c>
      <x:c r="K628" s="12">
        <x:f>ROUND(英雄升级调参!$D$75*英雄升级调参!$C$11*英雄升级调参!$J$11*英雄升级调参!$G$21,0)*3</x:f>
        <x:v>1842</x:v>
      </x:c>
      <x:c r="L628" s="12" t="n">
        <x:f>养成消耗调参!$E$157</x:f>
        <x:v>384</x:v>
      </x:c>
      <x:c r="M628" s="12" t="n">
        <x:f>养成消耗调参!$H$157</x:f>
        <x:v>1800</x:v>
      </x:c>
      <x:c r="N628" s="12" t="n">
        <x:f>养成消耗调参!$I$157</x:f>
        <x:v>30</x:v>
      </x:c>
      <x:c r="O628" s="12" t="n">
        <x:f>养成消耗调参!$L$157</x:f>
        <x:v>1632</x:v>
      </x:c>
      <x:c r="P628" s="12" t="n">
        <x:f>养成消耗调参!$O$157</x:f>
        <x:v>10200</x:v>
      </x:c>
      <x:c r="Q628" s="12" t="n">
        <x:f>养成消耗调参!$P$157</x:f>
        <x:v>40</x:v>
      </x:c>
      <x:c r="R628" s="13">
        <x:f>I628/英雄升级调参!$M$75-1</x:f>
        <x:v>0.0006315406698091941</x:v>
      </x:c>
      <x:c r="S628" s="6"/>
      <x:c r="T628" s="6"/>
      <x:c r="U628" s="6"/>
    </x:row>
    <x:row r="629" ht="21" customHeight="1">
      <x:c r="A629" s="14" t="n">
        <x:f>英雄升级调参!$B$21</x:f>
        <x:v>310003</x:v>
      </x:c>
      <x:c r="B629" s="14" t="str">
        <x:f>英雄升级调参!$C$21</x:f>
        <x:v>鲀小泡</x:v>
      </x:c>
      <x:c r="C629" s="6" t="str">
        <x:f>英雄升级调参!$D$21</x:f>
        <x:v>战士</x:v>
      </x:c>
      <x:c r="D629" s="6" t="s">
        <x:v>25</x:v>
      </x:c>
      <x:c r="E629" s="6">
        <x:v>11</x:v>
      </x:c>
      <x:c r="F629" s="6" t="n">
        <x:f>英雄升级调参!$C$76</x:f>
        <x:v>3</x:v>
      </x:c>
      <x:c r="G629" s="12">
        <x:f t="shared" si="57"/>
        <x:v>1313</x:v>
      </x:c>
      <x:c r="H629" s="12">
        <x:f t="shared" si="58"/>
        <x:v>10814</x:v>
      </x:c>
      <x:c r="I629" s="12">
        <x:f t="shared" si="54"/>
        <x:v>14198782</x:v>
      </x:c>
      <x:c r="J629" s="12">
        <x:f>ROUND(英雄升级调参!$D$76*英雄升级调参!$J$11*英雄升级调参!$E$21,0)</x:f>
        <x:v>99</x:v>
      </x:c>
      <x:c r="K629" s="12">
        <x:f>ROUND(英雄升级调参!$D$76*英雄升级调参!$C$11*英雄升级调参!$J$11*英雄升级调参!$G$21,0)</x:f>
        <x:v>818</x:v>
      </x:c>
      <x:c r="L629" s="12" t="n">
        <x:f>养成消耗调参!$E$158</x:f>
        <x:v>384</x:v>
      </x:c>
      <x:c r="M629" s="12" t="n">
        <x:f>养成消耗调参!$H$158</x:f>
        <x:v>1800</x:v>
      </x:c>
      <x:c r="N629" s="12" t="n">
        <x:f>养成消耗调参!$I$158</x:f>
        <x:v>0</x:v>
      </x:c>
      <x:c r="O629" s="12" t="n">
        <x:f>养成消耗调参!$L$158</x:f>
        <x:v>2016</x:v>
      </x:c>
      <x:c r="P629" s="12" t="n">
        <x:f>养成消耗调参!$O$158</x:f>
        <x:v>12000</x:v>
      </x:c>
      <x:c r="Q629" s="12" t="n">
        <x:f>养成消耗调参!$P$158</x:f>
        <x:v>40</x:v>
      </x:c>
      <x:c r="R629" s="13">
        <x:f>I629/英雄升级调参!$M$76-1</x:f>
        <x:v>0.0005670601276115406</x:v>
      </x:c>
      <x:c r="S629" s="6"/>
      <x:c r="T629" s="6"/>
      <x:c r="U629" s="6"/>
    </x:row>
    <x:row r="630" ht="21" customHeight="1">
      <x:c r="A630" s="14" t="n">
        <x:f>英雄升级调参!$B$21</x:f>
        <x:v>310003</x:v>
      </x:c>
      <x:c r="B630" s="14" t="str">
        <x:f>英雄升级调参!$C$21</x:f>
        <x:v>鲀小泡</x:v>
      </x:c>
      <x:c r="C630" s="6" t="str">
        <x:f>英雄升级调参!$D$21</x:f>
        <x:v>战士</x:v>
      </x:c>
      <x:c r="D630" s="6" t="s">
        <x:v>25</x:v>
      </x:c>
      <x:c r="E630" s="6">
        <x:v>12</x:v>
      </x:c>
      <x:c r="F630" s="6" t="n">
        <x:f>英雄升级调参!$C$77</x:f>
        <x:v>3</x:v>
      </x:c>
      <x:c r="G630" s="12">
        <x:f t="shared" si="57"/>
        <x:v>1412</x:v>
      </x:c>
      <x:c r="H630" s="12">
        <x:f t="shared" si="58"/>
        <x:v>11632</x:v>
      </x:c>
      <x:c r="I630" s="12">
        <x:f t="shared" si="54"/>
        <x:v>16424384</x:v>
      </x:c>
      <x:c r="J630" s="12">
        <x:f>ROUND(英雄升级调参!$D$77*英雄升级调参!$J$11*英雄升级调参!$E$21,0)</x:f>
        <x:v>99</x:v>
      </x:c>
      <x:c r="K630" s="12">
        <x:f>ROUND(英雄升级调参!$D$77*英雄升级调参!$C$11*英雄升级调参!$J$11*英雄升级调参!$G$21,0)</x:f>
        <x:v>818</x:v>
      </x:c>
      <x:c r="L630" s="12" t="n">
        <x:f>养成消耗调参!$E$159</x:f>
        <x:v>480</x:v>
      </x:c>
      <x:c r="M630" s="12" t="n">
        <x:f>养成消耗调参!$H$159</x:f>
        <x:v>3000</x:v>
      </x:c>
      <x:c r="N630" s="12" t="n">
        <x:f>养成消耗调参!$I$159</x:f>
        <x:v>0</x:v>
      </x:c>
      <x:c r="O630" s="12" t="n">
        <x:f>养成消耗调参!$L$159</x:f>
        <x:v>2496</x:v>
      </x:c>
      <x:c r="P630" s="12" t="n">
        <x:f>养成消耗调参!$O$159</x:f>
        <x:v>15000</x:v>
      </x:c>
      <x:c r="Q630" s="12" t="n">
        <x:f>养成消耗调参!$P$159</x:f>
        <x:v>40</x:v>
      </x:c>
      <x:c r="R630" s="13">
        <x:f>I630/英雄升级调参!$M$77-1</x:f>
        <x:v>0.0005116354577565652</x:v>
      </x:c>
      <x:c r="S630" s="6"/>
      <x:c r="T630" s="6"/>
      <x:c r="U630" s="6"/>
    </x:row>
    <x:row r="631" ht="21" customHeight="1">
      <x:c r="A631" s="14" t="n">
        <x:f>英雄升级调参!$B$21</x:f>
        <x:v>310003</x:v>
      </x:c>
      <x:c r="B631" s="14" t="str">
        <x:f>英雄升级调参!$C$21</x:f>
        <x:v>鲀小泡</x:v>
      </x:c>
      <x:c r="C631" s="6" t="str">
        <x:f>英雄升级调参!$D$21</x:f>
        <x:v>战士</x:v>
      </x:c>
      <x:c r="D631" s="6" t="s">
        <x:v>25</x:v>
      </x:c>
      <x:c r="E631" s="6">
        <x:v>13</x:v>
      </x:c>
      <x:c r="F631" s="6" t="n">
        <x:f>英雄升级调参!$C$78</x:f>
        <x:v>3</x:v>
      </x:c>
      <x:c r="G631" s="12">
        <x:f t="shared" si="57"/>
        <x:v>1511</x:v>
      </x:c>
      <x:c r="H631" s="12">
        <x:f t="shared" si="58"/>
        <x:v>12450</x:v>
      </x:c>
      <x:c r="I631" s="12">
        <x:f t="shared" si="54"/>
        <x:v>18811950</x:v>
      </x:c>
      <x:c r="J631" s="12">
        <x:f>ROUND(英雄升级调参!$D$78*英雄升级调参!$J$11*英雄升级调参!$E$21,0)</x:f>
        <x:v>99</x:v>
      </x:c>
      <x:c r="K631" s="12">
        <x:f>ROUND(英雄升级调参!$D$78*英雄升级调参!$C$11*英雄升级调参!$J$11*英雄升级调参!$G$21,0)</x:f>
        <x:v>818</x:v>
      </x:c>
      <x:c r="L631" s="12" t="n">
        <x:f>养成消耗调参!$E$160</x:f>
        <x:v>480</x:v>
      </x:c>
      <x:c r="M631" s="12" t="n">
        <x:f>养成消耗调参!$H$160</x:f>
        <x:v>3000</x:v>
      </x:c>
      <x:c r="N631" s="12" t="n">
        <x:f>养成消耗调参!$I$160</x:f>
        <x:v>0</x:v>
      </x:c>
      <x:c r="O631" s="12" t="n">
        <x:f>养成消耗调参!$L$160</x:f>
        <x:v>2976</x:v>
      </x:c>
      <x:c r="P631" s="12" t="n">
        <x:f>养成消耗调参!$O$160</x:f>
        <x:v>18000</x:v>
      </x:c>
      <x:c r="Q631" s="12" t="n">
        <x:f>养成消耗调参!$P$160</x:f>
        <x:v>40</x:v>
      </x:c>
      <x:c r="R631" s="13">
        <x:f>I631/英雄升级调参!$M$78-1</x:f>
        <x:v>0.00046348407601137787</x:v>
      </x:c>
      <x:c r="S631" s="6"/>
      <x:c r="T631" s="6"/>
      <x:c r="U631" s="6"/>
    </x:row>
    <x:row r="632" ht="21" customHeight="1">
      <x:c r="A632" s="14" t="n">
        <x:f>英雄升级调参!$B$21</x:f>
        <x:v>310003</x:v>
      </x:c>
      <x:c r="B632" s="14" t="str">
        <x:f>英雄升级调参!$C$21</x:f>
        <x:v>鲀小泡</x:v>
      </x:c>
      <x:c r="C632" s="6" t="str">
        <x:f>英雄升级调参!$D$21</x:f>
        <x:v>战士</x:v>
      </x:c>
      <x:c r="D632" s="6" t="s">
        <x:v>25</x:v>
      </x:c>
      <x:c r="E632" s="6">
        <x:v>14</x:v>
      </x:c>
      <x:c r="F632" s="6" t="n">
        <x:f>英雄升级调参!$C$79</x:f>
        <x:v>3</x:v>
      </x:c>
      <x:c r="G632" s="12">
        <x:f t="shared" si="57"/>
        <x:v>1610</x:v>
      </x:c>
      <x:c r="H632" s="12">
        <x:f t="shared" si="58"/>
        <x:v>13268</x:v>
      </x:c>
      <x:c r="I632" s="12">
        <x:f t="shared" si="54"/>
        <x:v>21361480</x:v>
      </x:c>
      <x:c r="J632" s="12">
        <x:f>ROUND(英雄升级调参!$D$79*英雄升级调参!$J$11*英雄升级调参!$E$21,0)</x:f>
        <x:v>99</x:v>
      </x:c>
      <x:c r="K632" s="12">
        <x:f>ROUND(英雄升级调参!$D$79*英雄升级调参!$C$11*英雄升级调参!$J$11*英雄升级调参!$G$21,0)</x:f>
        <x:v>818</x:v>
      </x:c>
      <x:c r="L632" s="12" t="n">
        <x:f>养成消耗调参!$E$161</x:f>
        <x:v>576</x:v>
      </x:c>
      <x:c r="M632" s="12" t="n">
        <x:f>养成消耗调参!$H$161</x:f>
        <x:v>3000</x:v>
      </x:c>
      <x:c r="N632" s="12" t="n">
        <x:f>养成消耗调参!$I$161</x:f>
        <x:v>0</x:v>
      </x:c>
      <x:c r="O632" s="12" t="n">
        <x:f>养成消耗调参!$L$161</x:f>
        <x:v>3552</x:v>
      </x:c>
      <x:c r="P632" s="12" t="n">
        <x:f>养成消耗调参!$O$161</x:f>
        <x:v>21000</x:v>
      </x:c>
      <x:c r="Q632" s="12" t="n">
        <x:f>养成消耗调参!$P$161</x:f>
        <x:v>40</x:v>
      </x:c>
      <x:c r="R632" s="13">
        <x:f>I632/英雄升级调参!$M$79-1</x:f>
        <x:v>0.00042126244322382433</x:v>
      </x:c>
      <x:c r="S632" s="6"/>
      <x:c r="T632" s="6"/>
      <x:c r="U632" s="6"/>
    </x:row>
    <x:row r="633" ht="21" customHeight="1">
      <x:c r="A633" s="14" t="n">
        <x:f>英雄升级调参!$B$21</x:f>
        <x:v>310003</x:v>
      </x:c>
      <x:c r="B633" s="14" t="str">
        <x:f>英雄升级调参!$C$21</x:f>
        <x:v>鲀小泡</x:v>
      </x:c>
      <x:c r="C633" s="6" t="str">
        <x:f>英雄升级调参!$D$21</x:f>
        <x:v>战士</x:v>
      </x:c>
      <x:c r="D633" s="6" t="s">
        <x:v>25</x:v>
      </x:c>
      <x:c r="E633" s="6">
        <x:v>15</x:v>
      </x:c>
      <x:c r="F633" s="6" t="n">
        <x:f>英雄升级调参!$C$80</x:f>
        <x:v>3</x:v>
      </x:c>
      <x:c r="G633" s="12">
        <x:f t="shared" si="57"/>
        <x:v>1907</x:v>
      </x:c>
      <x:c r="H633" s="12">
        <x:f t="shared" si="58"/>
        <x:v>15722</x:v>
      </x:c>
      <x:c r="I633" s="12">
        <x:f t="shared" si="54"/>
        <x:v>29981854</x:v>
      </x:c>
      <x:c r="J633" s="12">
        <x:f>ROUND(英雄升级调参!$D$80*英雄升级调参!$J$11*英雄升级调参!$E$21,0)*3</x:f>
        <x:v>297</x:v>
      </x:c>
      <x:c r="K633" s="12">
        <x:f>ROUND(英雄升级调参!$D$80*英雄升级调参!$C$11*英雄升级调参!$J$11*英雄升级调参!$G$21,0)*3</x:f>
        <x:v>2454</x:v>
      </x:c>
      <x:c r="L633" s="12" t="n">
        <x:f>养成消耗调参!$E$162</x:f>
        <x:v>576</x:v>
      </x:c>
      <x:c r="M633" s="12" t="n">
        <x:f>养成消耗调参!$H$162</x:f>
        <x:v>3000</x:v>
      </x:c>
      <x:c r="N633" s="12" t="n">
        <x:f>养成消耗调参!$I$162</x:f>
        <x:v>50</x:v>
      </x:c>
      <x:c r="O633" s="12" t="n">
        <x:f>养成消耗调参!$L$162</x:f>
        <x:v>4128</x:v>
      </x:c>
      <x:c r="P633" s="12" t="n">
        <x:f>养成消耗调参!$O$162</x:f>
        <x:v>24000</x:v>
      </x:c>
      <x:c r="Q633" s="12" t="n">
        <x:f>养成消耗调参!$P$162</x:f>
        <x:v>90</x:v>
      </x:c>
      <x:c r="R633" s="13">
        <x:f>I633/英雄升级调参!$M$80-1</x:f>
        <x:v>0.00032093035437630313</x:v>
      </x:c>
      <x:c r="S633" s="6"/>
      <x:c r="T633" s="6"/>
      <x:c r="U633" s="6"/>
    </x:row>
    <x:row r="634" ht="21" customHeight="1">
      <x:c r="A634" s="14" t="n">
        <x:f>英雄升级调参!$B$21</x:f>
        <x:v>310003</x:v>
      </x:c>
      <x:c r="B634" s="14" t="str">
        <x:f>英雄升级调参!$C$21</x:f>
        <x:v>鲀小泡</x:v>
      </x:c>
      <x:c r="C634" s="6" t="str">
        <x:f>英雄升级调参!$D$21</x:f>
        <x:v>战士</x:v>
      </x:c>
      <x:c r="D634" s="6" t="s">
        <x:v>25</x:v>
      </x:c>
      <x:c r="E634" s="6">
        <x:v>16</x:v>
      </x:c>
      <x:c r="F634" s="6" t="n">
        <x:f>英雄升级调参!$C$81</x:f>
        <x:v>4</x:v>
      </x:c>
      <x:c r="G634" s="12">
        <x:f t="shared" si="57"/>
        <x:v>2031</x:v>
      </x:c>
      <x:c r="H634" s="12">
        <x:f t="shared" si="58"/>
        <x:v>16745</x:v>
      </x:c>
      <x:c r="I634" s="12">
        <x:f t="shared" si="54"/>
        <x:v>34009095</x:v>
      </x:c>
      <x:c r="J634" s="12">
        <x:f>ROUND(英雄升级调参!$D$81*英雄升级调参!$J$11*英雄升级调参!$E$21,0)</x:f>
        <x:v>124</x:v>
      </x:c>
      <x:c r="K634" s="12">
        <x:f>ROUND(英雄升级调参!$D$81*英雄升级调参!$C$11*英雄升级调参!$J$11*英雄升级调参!$G$21,0)</x:f>
        <x:v>1023</x:v>
      </x:c>
      <x:c r="L634" s="12" t="n">
        <x:f>养成消耗调参!$E$163</x:f>
        <x:v>672</x:v>
      </x:c>
      <x:c r="M634" s="12" t="n">
        <x:f>养成消耗调参!$H$163</x:f>
        <x:v>3000</x:v>
      </x:c>
      <x:c r="N634" s="12" t="n">
        <x:f>养成消耗调参!$I$163</x:f>
        <x:v>0</x:v>
      </x:c>
      <x:c r="O634" s="12" t="n">
        <x:f>养成消耗调参!$L$163</x:f>
        <x:v>4800</x:v>
      </x:c>
      <x:c r="P634" s="12" t="n">
        <x:f>养成消耗调参!$O$163</x:f>
        <x:v>27000</x:v>
      </x:c>
      <x:c r="Q634" s="12" t="n">
        <x:f>养成消耗调参!$P$163</x:f>
        <x:v>90</x:v>
      </x:c>
      <x:c r="R634" s="13">
        <x:f>I634/英雄升级调参!$M$81-1</x:f>
        <x:v>0.00016983635715561718</x:v>
      </x:c>
      <x:c r="S634" s="6"/>
      <x:c r="T634" s="6"/>
      <x:c r="U634" s="6"/>
    </x:row>
    <x:row r="635" ht="21" customHeight="1">
      <x:c r="A635" s="14" t="n">
        <x:f>英雄升级调参!$B$21</x:f>
        <x:v>310003</x:v>
      </x:c>
      <x:c r="B635" s="14" t="str">
        <x:f>英雄升级调参!$C$21</x:f>
        <x:v>鲀小泡</x:v>
      </x:c>
      <x:c r="C635" s="6" t="str">
        <x:f>英雄升级调参!$D$21</x:f>
        <x:v>战士</x:v>
      </x:c>
      <x:c r="D635" s="6" t="s">
        <x:v>25</x:v>
      </x:c>
      <x:c r="E635" s="6">
        <x:v>17</x:v>
      </x:c>
      <x:c r="F635" s="6" t="n">
        <x:f>英雄升级调参!$C$82</x:f>
        <x:v>4</x:v>
      </x:c>
      <x:c r="G635" s="12">
        <x:f t="shared" si="57"/>
        <x:v>2155</x:v>
      </x:c>
      <x:c r="H635" s="12">
        <x:f t="shared" si="58"/>
        <x:v>17768</x:v>
      </x:c>
      <x:c r="I635" s="12">
        <x:f t="shared" si="54"/>
        <x:v>38290040</x:v>
      </x:c>
      <x:c r="J635" s="12">
        <x:f>ROUND(英雄升级调参!$D$82*英雄升级调参!$J$11*英雄升级调参!$E$21,0)</x:f>
        <x:v>124</x:v>
      </x:c>
      <x:c r="K635" s="12">
        <x:f>ROUND(英雄升级调参!$D$82*英雄升级调参!$C$11*英雄升级调参!$J$11*英雄升级调参!$G$21,0)</x:f>
        <x:v>1023</x:v>
      </x:c>
      <x:c r="L635" s="12" t="n">
        <x:f>养成消耗调参!$E$164</x:f>
        <x:v>672</x:v>
      </x:c>
      <x:c r="M635" s="12" t="n">
        <x:f>养成消耗调参!$H$164</x:f>
        <x:v>4200</x:v>
      </x:c>
      <x:c r="N635" s="12" t="n">
        <x:f>养成消耗调参!$I$164</x:f>
        <x:v>0</x:v>
      </x:c>
      <x:c r="O635" s="12" t="n">
        <x:f>养成消耗调参!$L$164</x:f>
        <x:v>5472</x:v>
      </x:c>
      <x:c r="P635" s="12" t="n">
        <x:f>养成消耗调参!$O$164</x:f>
        <x:v>31200</x:v>
      </x:c>
      <x:c r="Q635" s="12" t="n">
        <x:f>养成消耗调参!$P$164</x:f>
        <x:v>90</x:v>
      </x:c>
      <x:c r="R635" s="13">
        <x:f>I635/英雄升级调参!$M$82-1</x:f>
        <x:v>3.6172594728212104e-05</x:v>
      </x:c>
      <x:c r="S635" s="6"/>
      <x:c r="T635" s="6"/>
      <x:c r="U635" s="6"/>
    </x:row>
    <x:row r="636" ht="21" customHeight="1">
      <x:c r="A636" s="14" t="n">
        <x:f>英雄升级调参!$B$21</x:f>
        <x:v>310003</x:v>
      </x:c>
      <x:c r="B636" s="14" t="str">
        <x:f>英雄升级调参!$C$21</x:f>
        <x:v>鲀小泡</x:v>
      </x:c>
      <x:c r="C636" s="6" t="str">
        <x:f>英雄升级调参!$D$21</x:f>
        <x:v>战士</x:v>
      </x:c>
      <x:c r="D636" s="6" t="s">
        <x:v>25</x:v>
      </x:c>
      <x:c r="E636" s="6">
        <x:v>18</x:v>
      </x:c>
      <x:c r="F636" s="6" t="n">
        <x:f>英雄升级调参!$C$83</x:f>
        <x:v>4</x:v>
      </x:c>
      <x:c r="G636" s="12">
        <x:f t="shared" si="57"/>
        <x:v>2279</x:v>
      </x:c>
      <x:c r="H636" s="12">
        <x:f t="shared" si="58"/>
        <x:v>18791</x:v>
      </x:c>
      <x:c r="I636" s="12">
        <x:f t="shared" si="54"/>
        <x:v>42824689</x:v>
      </x:c>
      <x:c r="J636" s="12">
        <x:f>ROUND(英雄升级调参!$D$83*英雄升级调参!$J$11*英雄升级调参!$E$21,0)</x:f>
        <x:v>124</x:v>
      </x:c>
      <x:c r="K636" s="12">
        <x:f>ROUND(英雄升级调参!$D$83*英雄升级调参!$C$11*英雄升级调参!$J$11*英雄升级调参!$G$21,0)</x:f>
        <x:v>1023</x:v>
      </x:c>
      <x:c r="L636" s="12" t="n">
        <x:f>养成消耗调参!$E$165</x:f>
        <x:v>768</x:v>
      </x:c>
      <x:c r="M636" s="12" t="n">
        <x:f>养成消耗调参!$H$165</x:f>
        <x:v>4200</x:v>
      </x:c>
      <x:c r="N636" s="12" t="n">
        <x:f>养成消耗调参!$I$165</x:f>
        <x:v>0</x:v>
      </x:c>
      <x:c r="O636" s="12" t="n">
        <x:f>养成消耗调参!$L$165</x:f>
        <x:v>6240</x:v>
      </x:c>
      <x:c r="P636" s="12" t="n">
        <x:f>养成消耗调参!$O$165</x:f>
        <x:v>35400</x:v>
      </x:c>
      <x:c r="Q636" s="12" t="n">
        <x:f>养成消耗调参!$P$165</x:f>
        <x:v>90</x:v>
      </x:c>
      <x:c r="R636" s="13">
        <x:f>I636/英雄升级调参!$M$83-1</x:f>
        <x:v>-8.291258291259762e-05</x:v>
      </x:c>
      <x:c r="S636" s="6"/>
      <x:c r="T636" s="6"/>
      <x:c r="U636" s="6"/>
    </x:row>
    <x:row r="637" ht="21" customHeight="1">
      <x:c r="A637" s="14" t="n">
        <x:f>英雄升级调参!$B$21</x:f>
        <x:v>310003</x:v>
      </x:c>
      <x:c r="B637" s="14" t="str">
        <x:f>英雄升级调参!$C$21</x:f>
        <x:v>鲀小泡</x:v>
      </x:c>
      <x:c r="C637" s="6" t="str">
        <x:f>英雄升级调参!$D$21</x:f>
        <x:v>战士</x:v>
      </x:c>
      <x:c r="D637" s="6" t="s">
        <x:v>25</x:v>
      </x:c>
      <x:c r="E637" s="6">
        <x:v>19</x:v>
      </x:c>
      <x:c r="F637" s="6" t="n">
        <x:f>英雄升级调参!$C$84</x:f>
        <x:v>4</x:v>
      </x:c>
      <x:c r="G637" s="12">
        <x:f t="shared" si="57"/>
        <x:v>2403</x:v>
      </x:c>
      <x:c r="H637" s="12">
        <x:f t="shared" si="58"/>
        <x:v>19814</x:v>
      </x:c>
      <x:c r="I637" s="12">
        <x:f t="shared" si="54"/>
        <x:v>47613042</x:v>
      </x:c>
      <x:c r="J637" s="12">
        <x:f>ROUND(英雄升级调参!$D$84*英雄升级调参!$J$11*英雄升级调参!$E$21,0)</x:f>
        <x:v>124</x:v>
      </x:c>
      <x:c r="K637" s="12">
        <x:f>ROUND(英雄升级调参!$D$84*英雄升级调参!$C$11*英雄升级调参!$J$11*英雄升级调参!$G$21,0)</x:f>
        <x:v>1023</x:v>
      </x:c>
      <x:c r="L637" s="12" t="n">
        <x:f>养成消耗调参!$E$166</x:f>
        <x:v>768</x:v>
      </x:c>
      <x:c r="M637" s="12" t="n">
        <x:f>养成消耗调参!$H$166</x:f>
        <x:v>4200</x:v>
      </x:c>
      <x:c r="N637" s="12" t="n">
        <x:f>养成消耗调参!$I$166</x:f>
        <x:v>0</x:v>
      </x:c>
      <x:c r="O637" s="12" t="n">
        <x:f>养成消耗调参!$L$166</x:f>
        <x:v>7008</x:v>
      </x:c>
      <x:c r="P637" s="12" t="n">
        <x:f>养成消耗调参!$O$166</x:f>
        <x:v>39600</x:v>
      </x:c>
      <x:c r="Q637" s="12" t="n">
        <x:f>养成消耗调参!$P$166</x:f>
        <x:v>90</x:v>
      </x:c>
      <x:c r="R637" s="13">
        <x:f>I637/英雄升级调参!$M$84-1</x:f>
        <x:v>-0.0001896809410342204</x:v>
      </x:c>
      <x:c r="S637" s="6"/>
      <x:c r="T637" s="6"/>
      <x:c r="U637" s="6"/>
    </x:row>
    <x:row r="638" ht="21" customHeight="1">
      <x:c r="A638" s="14" t="n">
        <x:f>英雄升级调参!$B$21</x:f>
        <x:v>310003</x:v>
      </x:c>
      <x:c r="B638" s="14" t="str">
        <x:f>英雄升级调参!$C$21</x:f>
        <x:v>鲀小泡</x:v>
      </x:c>
      <x:c r="C638" s="6" t="str">
        <x:f>英雄升级调参!$D$21</x:f>
        <x:v>战士</x:v>
      </x:c>
      <x:c r="D638" s="6" t="s">
        <x:v>25</x:v>
      </x:c>
      <x:c r="E638" s="6">
        <x:v>20</x:v>
      </x:c>
      <x:c r="F638" s="6" t="n">
        <x:f>英雄升级调参!$C$85</x:f>
        <x:v>4</x:v>
      </x:c>
      <x:c r="G638" s="12">
        <x:f t="shared" si="57"/>
        <x:v>2775</x:v>
      </x:c>
      <x:c r="H638" s="12">
        <x:f t="shared" si="58"/>
        <x:v>22883</x:v>
      </x:c>
      <x:c r="I638" s="12">
        <x:f t="shared" si="54"/>
        <x:v>63500325</x:v>
      </x:c>
      <x:c r="J638" s="12">
        <x:f>ROUND(英雄升级调参!$D$85*英雄升级调参!$J$11*英雄升级调参!$E$21,0)*3</x:f>
        <x:v>372</x:v>
      </x:c>
      <x:c r="K638" s="12">
        <x:f>ROUND(英雄升级调参!$D$85*英雄升级调参!$C$11*英雄升级调参!$J$11*英雄升级调参!$G$21,0)*3</x:f>
        <x:v>3069</x:v>
      </x:c>
      <x:c r="L638" s="12" t="n">
        <x:f>养成消耗调参!$E$167</x:f>
        <x:v>864</x:v>
      </x:c>
      <x:c r="M638" s="12" t="n">
        <x:f>养成消耗调参!$H$167</x:f>
        <x:v>4200</x:v>
      </x:c>
      <x:c r="N638" s="12" t="n">
        <x:f>养成消耗调参!$I$167</x:f>
        <x:v>70</x:v>
      </x:c>
      <x:c r="O638" s="12" t="n">
        <x:f>养成消耗调参!$L$167</x:f>
        <x:v>7872</x:v>
      </x:c>
      <x:c r="P638" s="12" t="n">
        <x:f>养成消耗调参!$O$167</x:f>
        <x:v>43800</x:v>
      </x:c>
      <x:c r="Q638" s="12" t="n">
        <x:f>养成消耗调参!$P$167</x:f>
        <x:v>160</x:v>
      </x:c>
      <x:c r="R638" s="13">
        <x:f>I638/英雄升级调参!$M$85-1</x:f>
        <x:v>-0.00045262736372064793</x:v>
      </x:c>
      <x:c r="S638" s="6"/>
      <x:c r="T638" s="6"/>
      <x:c r="U638" s="6"/>
    </x:row>
    <x:row r="639" ht="21" customHeight="1">
      <x:c r="A639" s="14" t="n">
        <x:f>英雄升级调参!$B$21</x:f>
        <x:v>310003</x:v>
      </x:c>
      <x:c r="B639" s="14" t="str">
        <x:f>英雄升级调参!$C$21</x:f>
        <x:v>鲀小泡</x:v>
      </x:c>
      <x:c r="C639" s="6" t="str">
        <x:f>英雄升级调参!$D$21</x:f>
        <x:v>战士</x:v>
      </x:c>
      <x:c r="D639" s="6" t="s">
        <x:v>25</x:v>
      </x:c>
      <x:c r="E639" s="6">
        <x:v>21</x:v>
      </x:c>
      <x:c r="F639" s="6" t="n">
        <x:f>英雄升级调参!$C$86</x:f>
        <x:v>5</x:v>
      </x:c>
      <x:c r="G639" s="12">
        <x:f t="shared" si="57"/>
        <x:v>2924</x:v>
      </x:c>
      <x:c r="H639" s="12">
        <x:f t="shared" si="58"/>
        <x:v>24110</x:v>
      </x:c>
      <x:c r="I639" s="12">
        <x:f t="shared" si="54"/>
        <x:v>70497640</x:v>
      </x:c>
      <x:c r="J639" s="12">
        <x:f>ROUND(英雄升级调参!$D$86*英雄升级调参!$J$11*英雄升级调参!$E$21,0)</x:f>
        <x:v>149</x:v>
      </x:c>
      <x:c r="K639" s="12">
        <x:f>ROUND(英雄升级调参!$D$86*英雄升级调参!$C$11*英雄升级调参!$J$11*英雄升级调参!$G$21,0)</x:f>
        <x:v>1227</x:v>
      </x:c>
      <x:c r="L639" s="12" t="n">
        <x:f>养成消耗调参!$E$168</x:f>
        <x:v>864</x:v>
      </x:c>
      <x:c r="M639" s="12" t="n">
        <x:f>养成消耗调参!$H$168</x:f>
        <x:v>4200</x:v>
      </x:c>
      <x:c r="N639" s="12" t="n">
        <x:f>养成消耗调参!$I$168</x:f>
        <x:v>0</x:v>
      </x:c>
      <x:c r="O639" s="12" t="n">
        <x:f>养成消耗调参!$L$168</x:f>
        <x:v>8736</x:v>
      </x:c>
      <x:c r="P639" s="12" t="n">
        <x:f>养成消耗调参!$O$168</x:f>
        <x:v>48000</x:v>
      </x:c>
      <x:c r="Q639" s="12" t="n">
        <x:f>养成消耗调参!$P$168</x:f>
        <x:v>160</x:v>
      </x:c>
      <x:c r="R639" s="13">
        <x:f>I639/英雄升级调参!$M$86-1</x:f>
        <x:v>-0.0002700070394692222</x:v>
      </x:c>
      <x:c r="S639" s="6"/>
      <x:c r="T639" s="6"/>
      <x:c r="U639" s="6"/>
    </x:row>
    <x:row r="640" ht="21" customHeight="1">
      <x:c r="A640" s="14" t="n">
        <x:f>英雄升级调参!$B$21</x:f>
        <x:v>310003</x:v>
      </x:c>
      <x:c r="B640" s="14" t="str">
        <x:f>英雄升级调参!$C$21</x:f>
        <x:v>鲀小泡</x:v>
      </x:c>
      <x:c r="C640" s="6" t="str">
        <x:f>英雄升级调参!$D$21</x:f>
        <x:v>战士</x:v>
      </x:c>
      <x:c r="D640" s="6" t="s">
        <x:v>25</x:v>
      </x:c>
      <x:c r="E640" s="6">
        <x:v>22</x:v>
      </x:c>
      <x:c r="F640" s="6" t="n">
        <x:f>英雄升级调参!$C$87</x:f>
        <x:v>5</x:v>
      </x:c>
      <x:c r="G640" s="12">
        <x:f t="shared" si="57"/>
        <x:v>3073</x:v>
      </x:c>
      <x:c r="H640" s="12">
        <x:f t="shared" si="58"/>
        <x:v>25337</x:v>
      </x:c>
      <x:c r="I640" s="12">
        <x:f t="shared" si="54"/>
        <x:v>77860601</x:v>
      </x:c>
      <x:c r="J640" s="12">
        <x:f>ROUND(英雄升级调参!$D$87*英雄升级调参!$J$11*英雄升级调参!$E$21,0)</x:f>
        <x:v>149</x:v>
      </x:c>
      <x:c r="K640" s="12">
        <x:f>ROUND(英雄升级调参!$D$87*英雄升级调参!$C$11*英雄升级调参!$J$11*英雄升级调参!$G$21,0)</x:f>
        <x:v>1227</x:v>
      </x:c>
      <x:c r="L640" s="12" t="n">
        <x:f>养成消耗调参!$E$169</x:f>
        <x:v>960</x:v>
      </x:c>
      <x:c r="M640" s="12" t="n">
        <x:f>养成消耗调参!$H$169</x:f>
        <x:v>6000</x:v>
      </x:c>
      <x:c r="N640" s="12" t="n">
        <x:f>养成消耗调参!$I$169</x:f>
        <x:v>0</x:v>
      </x:c>
      <x:c r="O640" s="12" t="n">
        <x:f>养成消耗调参!$L$169</x:f>
        <x:v>9696</x:v>
      </x:c>
      <x:c r="P640" s="12" t="n">
        <x:f>养成消耗调参!$O$169</x:f>
        <x:v>54000</x:v>
      </x:c>
      <x:c r="Q640" s="12" t="n">
        <x:f>养成消耗调参!$P$169</x:f>
        <x:v>160</x:v>
      </x:c>
      <x:c r="R640" s="13">
        <x:f>I640/英雄升级调参!$M$87-1</x:f>
        <x:v>-0.00010503567668584957</x:v>
      </x:c>
      <x:c r="S640" s="6"/>
      <x:c r="T640" s="6"/>
      <x:c r="U640" s="6"/>
    </x:row>
    <x:row r="641" ht="21" customHeight="1">
      <x:c r="A641" s="14" t="n">
        <x:f>英雄升级调参!$B$21</x:f>
        <x:v>310003</x:v>
      </x:c>
      <x:c r="B641" s="14" t="str">
        <x:f>英雄升级调参!$C$21</x:f>
        <x:v>鲀小泡</x:v>
      </x:c>
      <x:c r="C641" s="6" t="str">
        <x:f>英雄升级调参!$D$21</x:f>
        <x:v>战士</x:v>
      </x:c>
      <x:c r="D641" s="6" t="s">
        <x:v>25</x:v>
      </x:c>
      <x:c r="E641" s="6">
        <x:v>23</x:v>
      </x:c>
      <x:c r="F641" s="6" t="n">
        <x:f>英雄升级调参!$C$88</x:f>
        <x:v>5</x:v>
      </x:c>
      <x:c r="G641" s="12">
        <x:f t="shared" si="57"/>
        <x:v>3222</x:v>
      </x:c>
      <x:c r="H641" s="12">
        <x:f t="shared" si="58"/>
        <x:v>26564</x:v>
      </x:c>
      <x:c r="I641" s="12">
        <x:f t="shared" si="54"/>
        <x:v>85589208</x:v>
      </x:c>
      <x:c r="J641" s="12">
        <x:f>ROUND(英雄升级调参!$D$88*英雄升级调参!$J$11*英雄升级调参!$E$21,0)</x:f>
        <x:v>149</x:v>
      </x:c>
      <x:c r="K641" s="12">
        <x:f>ROUND(英雄升级调参!$D$88*英雄升级调参!$C$11*英雄升级调参!$J$11*英雄升级调参!$G$21,0)</x:f>
        <x:v>1227</x:v>
      </x:c>
      <x:c r="L641" s="12" t="n">
        <x:f>养成消耗调参!$E$170</x:f>
        <x:v>960</x:v>
      </x:c>
      <x:c r="M641" s="12" t="n">
        <x:f>养成消耗调参!$H$170</x:f>
        <x:v>6000</x:v>
      </x:c>
      <x:c r="N641" s="12" t="n">
        <x:f>养成消耗调参!$I$170</x:f>
        <x:v>0</x:v>
      </x:c>
      <x:c r="O641" s="12" t="n">
        <x:f>养成消耗调参!$L$170</x:f>
        <x:v>10656</x:v>
      </x:c>
      <x:c r="P641" s="12" t="n">
        <x:f>养成消耗调参!$O$170</x:f>
        <x:v>60000</x:v>
      </x:c>
      <x:c r="Q641" s="12" t="n">
        <x:f>养成消耗调参!$P$170</x:f>
        <x:v>160</x:v>
      </x:c>
      <x:c r="R641" s="13">
        <x:f>I641/英雄升级调参!$M$88-1</x:f>
        <x:v>4.4727265334332245e-05</x:v>
      </x:c>
      <x:c r="S641" s="6"/>
      <x:c r="T641" s="6"/>
      <x:c r="U641" s="6"/>
    </x:row>
    <x:row r="642" ht="21" customHeight="1">
      <x:c r="A642" s="14" t="n">
        <x:f>英雄升级调参!$B$21</x:f>
        <x:v>310003</x:v>
      </x:c>
      <x:c r="B642" s="14" t="str">
        <x:f>英雄升级调参!$C$21</x:f>
        <x:v>鲀小泡</x:v>
      </x:c>
      <x:c r="C642" s="6" t="str">
        <x:f>英雄升级调参!$D$21</x:f>
        <x:v>战士</x:v>
      </x:c>
      <x:c r="D642" s="6" t="s">
        <x:v>25</x:v>
      </x:c>
      <x:c r="E642" s="6">
        <x:v>24</x:v>
      </x:c>
      <x:c r="F642" s="6" t="n">
        <x:f>英雄升级调参!$C$89</x:f>
        <x:v>5</x:v>
      </x:c>
      <x:c r="G642" s="12">
        <x:f t="shared" si="57"/>
        <x:v>3371</x:v>
      </x:c>
      <x:c r="H642" s="12">
        <x:f t="shared" si="58"/>
        <x:v>27791</x:v>
      </x:c>
      <x:c r="I642" s="12">
        <x:f t="shared" si="54"/>
        <x:v>93683461</x:v>
      </x:c>
      <x:c r="J642" s="12">
        <x:f>ROUND(英雄升级调参!$D$89*英雄升级调参!$J$11*英雄升级调参!$E$21,0)</x:f>
        <x:v>149</x:v>
      </x:c>
      <x:c r="K642" s="12">
        <x:f>ROUND(英雄升级调参!$D$89*英雄升级调参!$C$11*英雄升级调参!$J$11*英雄升级调参!$G$21,0)</x:f>
        <x:v>1227</x:v>
      </x:c>
      <x:c r="L642" s="12" t="n">
        <x:f>养成消耗调参!$E$171</x:f>
        <x:v>1056</x:v>
      </x:c>
      <x:c r="M642" s="12" t="n">
        <x:f>养成消耗调参!$H$171</x:f>
        <x:v>6000</x:v>
      </x:c>
      <x:c r="N642" s="12" t="n">
        <x:f>养成消耗调参!$I$171</x:f>
        <x:v>0</x:v>
      </x:c>
      <x:c r="O642" s="12" t="n">
        <x:f>养成消耗调参!$L$171</x:f>
        <x:v>11712</x:v>
      </x:c>
      <x:c r="P642" s="12" t="n">
        <x:f>养成消耗调参!$O$171</x:f>
        <x:v>66000</x:v>
      </x:c>
      <x:c r="Q642" s="12" t="n">
        <x:f>养成消耗调参!$P$171</x:f>
        <x:v>160</x:v>
      </x:c>
      <x:c r="R642" s="13">
        <x:f>I642/英雄升级调参!$M$89-1</x:f>
        <x:v>0.00018129217624074379</x:v>
      </x:c>
      <x:c r="S642" s="6"/>
      <x:c r="T642" s="6"/>
      <x:c r="U642" s="6"/>
    </x:row>
    <x:row r="643" ht="21" customHeight="1">
      <x:c r="A643" s="14" t="n">
        <x:f>英雄升级调参!$B$21</x:f>
        <x:v>310003</x:v>
      </x:c>
      <x:c r="B643" s="14" t="str">
        <x:f>英雄升级调参!$C$21</x:f>
        <x:v>鲀小泡</x:v>
      </x:c>
      <x:c r="C643" s="6" t="str">
        <x:f>英雄升级调参!$D$21</x:f>
        <x:v>战士</x:v>
      </x:c>
      <x:c r="D643" s="6" t="s">
        <x:v>25</x:v>
      </x:c>
      <x:c r="E643" s="6">
        <x:v>25</x:v>
      </x:c>
      <x:c r="F643" s="6" t="n">
        <x:f>英雄升级调参!$C$90</x:f>
        <x:v>5</x:v>
      </x:c>
      <x:c r="G643" s="12">
        <x:f t="shared" si="57"/>
        <x:v>3818</x:v>
      </x:c>
      <x:c r="H643" s="12">
        <x:f t="shared" si="58"/>
        <x:v>31472</x:v>
      </x:c>
      <x:c r="I643" s="12">
        <x:f t="shared" si="54"/>
        <x:v>120160096</x:v>
      </x:c>
      <x:c r="J643" s="12">
        <x:f>ROUND(英雄升级调参!$D$90*英雄升级调参!$J$11*英雄升级调参!$E$21,0)*3</x:f>
        <x:v>447</x:v>
      </x:c>
      <x:c r="K643" s="12">
        <x:f>ROUND(英雄升级调参!$D$90*英雄升级调参!$C$11*英雄升级调参!$J$11*英雄升级调参!$G$21,0)*3</x:f>
        <x:v>3681</x:v>
      </x:c>
      <x:c r="L643" s="12" t="n">
        <x:f>养成消耗调参!$E$172</x:f>
        <x:v>1056</x:v>
      </x:c>
      <x:c r="M643" s="12" t="n">
        <x:f>养成消耗调参!$H$172</x:f>
        <x:v>6000</x:v>
      </x:c>
      <x:c r="N643" s="12" t="n">
        <x:f>养成消耗调参!$I$172</x:f>
        <x:v>90</x:v>
      </x:c>
      <x:c r="O643" s="12" t="n">
        <x:f>养成消耗调参!$L$172</x:f>
        <x:v>12768</x:v>
      </x:c>
      <x:c r="P643" s="12" t="n">
        <x:f>养成消耗调参!$O$172</x:f>
        <x:v>72000</x:v>
      </x:c>
      <x:c r="Q643" s="12" t="n">
        <x:f>养成消耗调参!$P$172</x:f>
        <x:v>250</x:v>
      </x:c>
      <x:c r="R643" s="13">
        <x:f>I643/英雄升级调参!$M$90-1</x:f>
        <x:v>0.000527208139968538</x:v>
      </x:c>
      <x:c r="S643" s="6"/>
      <x:c r="T643" s="6"/>
      <x:c r="U643" s="6"/>
    </x:row>
    <x:row r="644" ht="21" customHeight="1">
      <x:c r="A644" s="14" t="n">
        <x:f>英雄升级调参!$B$21</x:f>
        <x:v>310003</x:v>
      </x:c>
      <x:c r="B644" s="14" t="str">
        <x:f>英雄升级调参!$C$21</x:f>
        <x:v>鲀小泡</x:v>
      </x:c>
      <x:c r="C644" s="6" t="str">
        <x:f>英雄升级调参!$D$21</x:f>
        <x:v>战士</x:v>
      </x:c>
      <x:c r="D644" s="6" t="s">
        <x:v>25</x:v>
      </x:c>
      <x:c r="E644" s="6">
        <x:v>26</x:v>
      </x:c>
      <x:c r="F644" s="6" t="n">
        <x:f>英雄升级调参!$C$91</x:f>
        <x:v>6</x:v>
      </x:c>
      <x:c r="G644" s="12">
        <x:f t="shared" si="57"/>
        <x:v>3991</x:v>
      </x:c>
      <x:c r="H644" s="12">
        <x:f t="shared" si="58"/>
        <x:v>32904</x:v>
      </x:c>
      <x:c r="I644" s="12">
        <x:f t="shared" si="54"/>
        <x:v>131319864</x:v>
      </x:c>
      <x:c r="J644" s="12">
        <x:f>ROUND(英雄升级调参!$D$91*英雄升级调参!$J$11*英雄升级调参!$E$21,0)</x:f>
        <x:v>173</x:v>
      </x:c>
      <x:c r="K644" s="12">
        <x:f>ROUND(英雄升级调参!$D$91*英雄升级调参!$C$11*英雄升级调参!$J$11*英雄升级调参!$G$21,0)</x:f>
        <x:v>1432</x:v>
      </x:c>
      <x:c r="L644" s="12" t="n">
        <x:f>养成消耗调参!$E$173</x:f>
        <x:v>1152</x:v>
      </x:c>
      <x:c r="M644" s="12" t="n">
        <x:f>养成消耗调参!$H$173</x:f>
        <x:v>6000</x:v>
      </x:c>
      <x:c r="N644" s="12" t="n">
        <x:f>养成消耗调参!$I$173</x:f>
        <x:v>0</x:v>
      </x:c>
      <x:c r="O644" s="12" t="n">
        <x:f>养成消耗调参!$L$173</x:f>
        <x:v>13920</x:v>
      </x:c>
      <x:c r="P644" s="12" t="n">
        <x:f>养成消耗调参!$O$173</x:f>
        <x:v>78000</x:v>
      </x:c>
      <x:c r="Q644" s="12" t="n">
        <x:f>养成消耗调参!$P$173</x:f>
        <x:v>250</x:v>
      </x:c>
      <x:c r="R644" s="13">
        <x:f>I644/英雄升级调参!$M$91-1</x:f>
        <x:v>0.0003092567588642847</x:v>
      </x:c>
      <x:c r="S644" s="6"/>
      <x:c r="T644" s="6"/>
      <x:c r="U644" s="6"/>
    </x:row>
    <x:row r="645" ht="21" customHeight="1">
      <x:c r="A645" s="14" t="n">
        <x:f>英雄升级调参!$B$21</x:f>
        <x:v>310003</x:v>
      </x:c>
      <x:c r="B645" s="14" t="str">
        <x:f>英雄升级调参!$C$21</x:f>
        <x:v>鲀小泡</x:v>
      </x:c>
      <x:c r="C645" s="6" t="str">
        <x:f>英雄升级调参!$D$21</x:f>
        <x:v>战士</x:v>
      </x:c>
      <x:c r="D645" s="6" t="s">
        <x:v>25</x:v>
      </x:c>
      <x:c r="E645" s="6">
        <x:v>27</x:v>
      </x:c>
      <x:c r="F645" s="6" t="n">
        <x:f>英雄升级调参!$C$92</x:f>
        <x:v>6</x:v>
      </x:c>
      <x:c r="G645" s="12">
        <x:f t="shared" si="57"/>
        <x:v>4164</x:v>
      </x:c>
      <x:c r="H645" s="12">
        <x:f t="shared" si="58"/>
        <x:v>34336</x:v>
      </x:c>
      <x:c r="I645" s="12">
        <x:f t="shared" ref="I645:I708" si="59">G645*H645</x:f>
        <x:v>142975104</x:v>
      </x:c>
      <x:c r="J645" s="12">
        <x:f>ROUND(英雄升级调参!$D$92*英雄升级调参!$J$11*英雄升级调参!$E$21,0)</x:f>
        <x:v>173</x:v>
      </x:c>
      <x:c r="K645" s="12">
        <x:f>ROUND(英雄升级调参!$D$92*英雄升级调参!$C$11*英雄升级调参!$J$11*英雄升级调参!$G$21,0)</x:f>
        <x:v>1432</x:v>
      </x:c>
      <x:c r="L645" s="12" t="n">
        <x:f>养成消耗调参!$E$174</x:f>
        <x:v>1152</x:v>
      </x:c>
      <x:c r="M645" s="12" t="n">
        <x:f>养成消耗调参!$H$174</x:f>
        <x:v>7800</x:v>
      </x:c>
      <x:c r="N645" s="12" t="n">
        <x:f>养成消耗调参!$I$174</x:f>
        <x:v>0</x:v>
      </x:c>
      <x:c r="O645" s="12" t="n">
        <x:f>养成消耗调参!$L$174</x:f>
        <x:v>15072</x:v>
      </x:c>
      <x:c r="P645" s="12" t="n">
        <x:f>养成消耗调参!$O$174</x:f>
        <x:v>85800</x:v>
      </x:c>
      <x:c r="Q645" s="12" t="n">
        <x:f>养成消耗调参!$P$174</x:f>
        <x:v>250</x:v>
      </x:c>
      <x:c r="R645" s="13">
        <x:f>I645/英雄升级调参!$M$92-1</x:f>
        <x:v>0.00010949958187445041</x:v>
      </x:c>
      <x:c r="S645" s="6"/>
      <x:c r="T645" s="6"/>
      <x:c r="U645" s="6"/>
    </x:row>
    <x:row r="646" ht="21" customHeight="1">
      <x:c r="A646" s="14" t="n">
        <x:f>英雄升级调参!$B$21</x:f>
        <x:v>310003</x:v>
      </x:c>
      <x:c r="B646" s="14" t="str">
        <x:f>英雄升级调参!$C$21</x:f>
        <x:v>鲀小泡</x:v>
      </x:c>
      <x:c r="C646" s="6" t="str">
        <x:f>英雄升级调参!$D$21</x:f>
        <x:v>战士</x:v>
      </x:c>
      <x:c r="D646" s="6" t="s">
        <x:v>25</x:v>
      </x:c>
      <x:c r="E646" s="6">
        <x:v>28</x:v>
      </x:c>
      <x:c r="F646" s="6" t="n">
        <x:f>英雄升级调参!$C$93</x:f>
        <x:v>6</x:v>
      </x:c>
      <x:c r="G646" s="12">
        <x:f t="shared" si="57"/>
        <x:v>4337</x:v>
      </x:c>
      <x:c r="H646" s="12">
        <x:f t="shared" si="58"/>
        <x:v>35768</x:v>
      </x:c>
      <x:c r="I646" s="12">
        <x:f t="shared" si="59"/>
        <x:v>155125816</x:v>
      </x:c>
      <x:c r="J646" s="12">
        <x:f>ROUND(英雄升级调参!$D$93*英雄升级调参!$J$11*英雄升级调参!$E$21,0)</x:f>
        <x:v>173</x:v>
      </x:c>
      <x:c r="K646" s="12">
        <x:f>ROUND(英雄升级调参!$D$93*英雄升级调参!$C$11*英雄升级调参!$J$11*英雄升级调参!$G$21,0)</x:f>
        <x:v>1432</x:v>
      </x:c>
      <x:c r="L646" s="12" t="n">
        <x:f>养成消耗调参!$E$175</x:f>
        <x:v>1248</x:v>
      </x:c>
      <x:c r="M646" s="12" t="n">
        <x:f>养成消耗调参!$H$175</x:f>
        <x:v>7800</x:v>
      </x:c>
      <x:c r="N646" s="12" t="n">
        <x:f>养成消耗调参!$I$175</x:f>
        <x:v>0</x:v>
      </x:c>
      <x:c r="O646" s="12" t="n">
        <x:f>养成消耗调参!$L$175</x:f>
        <x:v>16320</x:v>
      </x:c>
      <x:c r="P646" s="12" t="n">
        <x:f>养成消耗调参!$O$175</x:f>
        <x:v>93600</x:v>
      </x:c>
      <x:c r="Q646" s="12" t="n">
        <x:f>养成消耗调参!$P$175</x:f>
        <x:v>250</x:v>
      </x:c>
      <x:c r="R646" s="13">
        <x:f>I646/英雄升级调参!$M$93-1</x:f>
        <x:v>-7.425034083508031e-05</x:v>
      </x:c>
      <x:c r="S646" s="6"/>
      <x:c r="T646" s="6"/>
      <x:c r="U646" s="6"/>
    </x:row>
    <x:row r="647" ht="21" customHeight="1">
      <x:c r="A647" s="14" t="n">
        <x:f>英雄升级调参!$B$21</x:f>
        <x:v>310003</x:v>
      </x:c>
      <x:c r="B647" s="14" t="str">
        <x:f>英雄升级调参!$C$21</x:f>
        <x:v>鲀小泡</x:v>
      </x:c>
      <x:c r="C647" s="6" t="str">
        <x:f>英雄升级调参!$D$21</x:f>
        <x:v>战士</x:v>
      </x:c>
      <x:c r="D647" s="6" t="s">
        <x:v>25</x:v>
      </x:c>
      <x:c r="E647" s="6">
        <x:v>29</x:v>
      </x:c>
      <x:c r="F647" s="6" t="n">
        <x:f>英雄升级调参!$C$94</x:f>
        <x:v>6</x:v>
      </x:c>
      <x:c r="G647" s="12">
        <x:f t="shared" si="57"/>
        <x:v>4510</x:v>
      </x:c>
      <x:c r="H647" s="12">
        <x:f t="shared" si="58"/>
        <x:v>37200</x:v>
      </x:c>
      <x:c r="I647" s="12">
        <x:f t="shared" si="59"/>
        <x:v>167772000</x:v>
      </x:c>
      <x:c r="J647" s="12">
        <x:f>ROUND(英雄升级调参!$D$94*英雄升级调参!$J$11*英雄升级调参!$E$21,0)</x:f>
        <x:v>173</x:v>
      </x:c>
      <x:c r="K647" s="12">
        <x:f>ROUND(英雄升级调参!$D$94*英雄升级调参!$C$11*英雄升级调参!$J$11*英雄升级调参!$G$21,0)</x:f>
        <x:v>1432</x:v>
      </x:c>
      <x:c r="L647" s="12" t="n">
        <x:f>养成消耗调参!$E$176</x:f>
        <x:v>1248</x:v>
      </x:c>
      <x:c r="M647" s="12" t="n">
        <x:f>养成消耗调参!$H$176</x:f>
        <x:v>7800</x:v>
      </x:c>
      <x:c r="N647" s="12" t="n">
        <x:f>养成消耗调参!$I$176</x:f>
        <x:v>0</x:v>
      </x:c>
      <x:c r="O647" s="12" t="n">
        <x:f>养成消耗调参!$L$176</x:f>
        <x:v>17568</x:v>
      </x:c>
      <x:c r="P647" s="12" t="n">
        <x:f>养成消耗调参!$O$176</x:f>
        <x:v>101400</x:v>
      </x:c>
      <x:c r="Q647" s="12" t="n">
        <x:f>养成消耗调参!$P$176</x:f>
        <x:v>250</x:v>
      </x:c>
      <x:c r="R647" s="13">
        <x:f>I647/英雄升级调参!$M$94-1</x:f>
        <x:v>-0.00024384296513046966</x:v>
      </x:c>
      <x:c r="S647" s="6"/>
      <x:c r="T647" s="6"/>
      <x:c r="U647" s="6"/>
    </x:row>
    <x:row r="648" ht="21" customHeight="1">
      <x:c r="A648" s="14" t="n">
        <x:f>英雄升级调参!$B$21</x:f>
        <x:v>310003</x:v>
      </x:c>
      <x:c r="B648" s="14" t="str">
        <x:f>英雄升级调参!$C$21</x:f>
        <x:v>鲀小泡</x:v>
      </x:c>
      <x:c r="C648" s="6" t="str">
        <x:f>英雄升级调参!$D$21</x:f>
        <x:v>战士</x:v>
      </x:c>
      <x:c r="D648" s="6" t="s">
        <x:v>25</x:v>
      </x:c>
      <x:c r="E648" s="6">
        <x:v>30</x:v>
      </x:c>
      <x:c r="F648" s="6" t="n">
        <x:f>英雄升级调参!$C$95</x:f>
        <x:v>6</x:v>
      </x:c>
      <x:c r="G648" s="12">
        <x:f t="shared" si="57"/>
        <x:v>5029</x:v>
      </x:c>
      <x:c r="H648" s="12">
        <x:f t="shared" si="58"/>
        <x:v>41496</x:v>
      </x:c>
      <x:c r="I648" s="12">
        <x:f t="shared" si="59"/>
        <x:v>208683384</x:v>
      </x:c>
      <x:c r="J648" s="12">
        <x:f>ROUND(英雄升级调参!$D$95*英雄升级调参!$J$11*英雄升级调参!$E$21,0)*3</x:f>
        <x:v>519</x:v>
      </x:c>
      <x:c r="K648" s="12">
        <x:f>ROUND(英雄升级调参!$D$95*英雄升级调参!$C$11*英雄升级调参!$J$11*英雄升级调参!$G$21,0)*3</x:f>
        <x:v>4296</x:v>
      </x:c>
      <x:c r="L648" s="12" t="n">
        <x:f>养成消耗调参!$E$177</x:f>
        <x:v>1344</x:v>
      </x:c>
      <x:c r="M648" s="12" t="n">
        <x:f>养成消耗调参!$H$177</x:f>
        <x:v>7800</x:v>
      </x:c>
      <x:c r="N648" s="12" t="n">
        <x:f>养成消耗调参!$I$177</x:f>
        <x:v>110</x:v>
      </x:c>
      <x:c r="O648" s="12" t="n">
        <x:f>养成消耗调参!$L$177</x:f>
        <x:v>18912</x:v>
      </x:c>
      <x:c r="P648" s="12" t="n">
        <x:f>养成消耗调参!$O$177</x:f>
        <x:v>109200</x:v>
      </x:c>
      <x:c r="Q648" s="12" t="n">
        <x:f>养成消耗调参!$P$177</x:f>
        <x:v>360</x:v>
      </x:c>
      <x:c r="R648" s="13">
        <x:f>I648/英雄升级调参!$M$95-1</x:f>
        <x:v>-0.0006823436032531438</x:v>
      </x:c>
      <x:c r="S648" s="6"/>
      <x:c r="T648" s="6"/>
      <x:c r="U648" s="6"/>
    </x:row>
    <x:row r="649" ht="21" customHeight="1">
      <x:c r="A649" s="14" t="n">
        <x:f>英雄升级调参!$B$21</x:f>
        <x:v>310003</x:v>
      </x:c>
      <x:c r="B649" s="14" t="str">
        <x:f>英雄升级调参!$C$21</x:f>
        <x:v>鲀小泡</x:v>
      </x:c>
      <x:c r="C649" s="6" t="str">
        <x:f>英雄升级调参!$D$21</x:f>
        <x:v>战士</x:v>
      </x:c>
      <x:c r="D649" s="6" t="s">
        <x:v>25</x:v>
      </x:c>
      <x:c r="E649" s="6">
        <x:v>31</x:v>
      </x:c>
      <x:c r="F649" s="6" t="n">
        <x:f>英雄升级调参!$C$96</x:f>
        <x:v>7</x:v>
      </x:c>
      <x:c r="G649" s="12">
        <x:f t="shared" si="57"/>
        <x:v>5227</x:v>
      </x:c>
      <x:c r="H649" s="12">
        <x:f t="shared" si="58"/>
        <x:v>43132</x:v>
      </x:c>
      <x:c r="I649" s="12">
        <x:f t="shared" si="59"/>
        <x:v>225450964</x:v>
      </x:c>
      <x:c r="J649" s="12">
        <x:f>ROUND(英雄升级调参!$D$96*英雄升级调参!$J$11*英雄升级调参!$E$21,0)</x:f>
        <x:v>198</x:v>
      </x:c>
      <x:c r="K649" s="12">
        <x:f>ROUND(英雄升级调参!$D$96*英雄升级调参!$C$11*英雄升级调参!$J$11*英雄升级调参!$G$21,0)</x:f>
        <x:v>1636</x:v>
      </x:c>
      <x:c r="L649" s="12" t="n">
        <x:f>养成消耗调参!$E$178</x:f>
        <x:v>1344</x:v>
      </x:c>
      <x:c r="M649" s="12" t="n">
        <x:f>养成消耗调参!$H$178</x:f>
        <x:v>7800</x:v>
      </x:c>
      <x:c r="N649" s="12" t="n">
        <x:f>养成消耗调参!$I$178</x:f>
        <x:v>0</x:v>
      </x:c>
      <x:c r="O649" s="12" t="n">
        <x:f>养成消耗调参!$L$178</x:f>
        <x:v>20256</x:v>
      </x:c>
      <x:c r="P649" s="12" t="n">
        <x:f>养成消耗调参!$O$178</x:f>
        <x:v>117000</x:v>
      </x:c>
      <x:c r="Q649" s="12" t="n">
        <x:f>养成消耗调参!$P$178</x:f>
        <x:v>360</x:v>
      </x:c>
      <x:c r="R649" s="13">
        <x:f>I649/英雄升级调参!$M$96-1</x:f>
        <x:v>-0.0006649395021453008</x:v>
      </x:c>
      <x:c r="S649" s="6"/>
      <x:c r="T649" s="6"/>
      <x:c r="U649" s="6"/>
    </x:row>
    <x:row r="650" ht="21" customHeight="1">
      <x:c r="A650" s="14" t="n">
        <x:f>英雄升级调参!$B$21</x:f>
        <x:v>310003</x:v>
      </x:c>
      <x:c r="B650" s="14" t="str">
        <x:f>英雄升级调参!$C$21</x:f>
        <x:v>鲀小泡</x:v>
      </x:c>
      <x:c r="C650" s="6" t="str">
        <x:f>英雄升级调参!$D$21</x:f>
        <x:v>战士</x:v>
      </x:c>
      <x:c r="D650" s="6" t="s">
        <x:v>25</x:v>
      </x:c>
      <x:c r="E650" s="6">
        <x:v>32</x:v>
      </x:c>
      <x:c r="F650" s="6" t="n">
        <x:f>英雄升级调参!$C$97</x:f>
        <x:v>7</x:v>
      </x:c>
      <x:c r="G650" s="12">
        <x:f t="shared" si="57"/>
        <x:v>5425</x:v>
      </x:c>
      <x:c r="H650" s="12">
        <x:f t="shared" si="58"/>
        <x:v>44768</x:v>
      </x:c>
      <x:c r="I650" s="12">
        <x:f t="shared" si="59"/>
        <x:v>242866400</x:v>
      </x:c>
      <x:c r="J650" s="12">
        <x:f>ROUND(英雄升级调参!$D$97*英雄升级调参!$J$11*英雄升级调参!$E$21,0)</x:f>
        <x:v>198</x:v>
      </x:c>
      <x:c r="K650" s="12">
        <x:f>ROUND(英雄升级调参!$D$97*英雄升级调参!$C$11*英雄升级调参!$J$11*英雄升级调参!$G$21,0)</x:f>
        <x:v>1636</x:v>
      </x:c>
      <x:c r="L650" s="12" t="n">
        <x:f>养成消耗调参!$E$179</x:f>
        <x:v>1440</x:v>
      </x:c>
      <x:c r="M650" s="12" t="n">
        <x:f>养成消耗调参!$H$179</x:f>
        <x:v>9600</x:v>
      </x:c>
      <x:c r="N650" s="12" t="n">
        <x:f>养成消耗调参!$I$179</x:f>
        <x:v>0</x:v>
      </x:c>
      <x:c r="O650" s="12" t="n">
        <x:f>养成消耗调参!$L$179</x:f>
        <x:v>21696</x:v>
      </x:c>
      <x:c r="P650" s="12" t="n">
        <x:f>养成消耗调参!$O$179</x:f>
        <x:v>126600</x:v>
      </x:c>
      <x:c r="Q650" s="12" t="n">
        <x:f>养成消耗调参!$P$179</x:f>
        <x:v>360</x:v>
      </x:c>
      <x:c r="R650" s="13">
        <x:f>I650/英雄升级调参!$M$97-1</x:f>
        <x:v>-0.0006488040330984157</x:v>
      </x:c>
      <x:c r="S650" s="6"/>
      <x:c r="T650" s="6"/>
      <x:c r="U650" s="6"/>
    </x:row>
    <x:row r="651" ht="21" customHeight="1">
      <x:c r="A651" s="14" t="n">
        <x:f>英雄升级调参!$B$21</x:f>
        <x:v>310003</x:v>
      </x:c>
      <x:c r="B651" s="14" t="str">
        <x:f>英雄升级调参!$C$21</x:f>
        <x:v>鲀小泡</x:v>
      </x:c>
      <x:c r="C651" s="6" t="str">
        <x:f>英雄升级调参!$D$21</x:f>
        <x:v>战士</x:v>
      </x:c>
      <x:c r="D651" s="6" t="s">
        <x:v>25</x:v>
      </x:c>
      <x:c r="E651" s="6">
        <x:v>33</x:v>
      </x:c>
      <x:c r="F651" s="6" t="n">
        <x:f>英雄升级调参!$C$98</x:f>
        <x:v>7</x:v>
      </x:c>
      <x:c r="G651" s="12">
        <x:f t="shared" si="57"/>
        <x:v>5623</x:v>
      </x:c>
      <x:c r="H651" s="12">
        <x:f t="shared" si="58"/>
        <x:v>46404</x:v>
      </x:c>
      <x:c r="I651" s="12">
        <x:f t="shared" si="59"/>
        <x:v>260929692</x:v>
      </x:c>
      <x:c r="J651" s="12">
        <x:f>ROUND(英雄升级调参!$D$98*英雄升级调参!$J$11*英雄升级调参!$E$21,0)</x:f>
        <x:v>198</x:v>
      </x:c>
      <x:c r="K651" s="12">
        <x:f>ROUND(英雄升级调参!$D$98*英雄升级调参!$C$11*英雄升级调参!$J$11*英雄升级调参!$G$21,0)</x:f>
        <x:v>1636</x:v>
      </x:c>
      <x:c r="L651" s="12" t="n">
        <x:f>养成消耗调参!$E$180</x:f>
        <x:v>1440</x:v>
      </x:c>
      <x:c r="M651" s="12" t="n">
        <x:f>养成消耗调参!$H$180</x:f>
        <x:v>9600</x:v>
      </x:c>
      <x:c r="N651" s="12" t="n">
        <x:f>养成消耗调参!$I$180</x:f>
        <x:v>0</x:v>
      </x:c>
      <x:c r="O651" s="12" t="n">
        <x:f>养成消耗调参!$L$180</x:f>
        <x:v>23136</x:v>
      </x:c>
      <x:c r="P651" s="12" t="n">
        <x:f>养成消耗调参!$O$180</x:f>
        <x:v>136200</x:v>
      </x:c>
      <x:c r="Q651" s="12" t="n">
        <x:f>养成消耗调参!$P$180</x:f>
        <x:v>360</x:v>
      </x:c>
      <x:c r="R651" s="13">
        <x:f>I651/英雄升级调参!$M$98-1</x:f>
        <x:v>-0.0006338033630839401</x:v>
      </x:c>
      <x:c r="S651" s="6"/>
      <x:c r="T651" s="6"/>
      <x:c r="U651" s="6"/>
    </x:row>
    <x:row r="652" ht="21" customHeight="1">
      <x:c r="A652" s="14" t="n">
        <x:f>英雄升级调参!$B$21</x:f>
        <x:v>310003</x:v>
      </x:c>
      <x:c r="B652" s="14" t="str">
        <x:f>英雄升级调参!$C$21</x:f>
        <x:v>鲀小泡</x:v>
      </x:c>
      <x:c r="C652" s="6" t="str">
        <x:f>英雄升级调参!$D$21</x:f>
        <x:v>战士</x:v>
      </x:c>
      <x:c r="D652" s="6" t="s">
        <x:v>25</x:v>
      </x:c>
      <x:c r="E652" s="6">
        <x:v>34</x:v>
      </x:c>
      <x:c r="F652" s="6" t="n">
        <x:f>英雄升级调参!$C$99</x:f>
        <x:v>7</x:v>
      </x:c>
      <x:c r="G652" s="12">
        <x:f t="shared" ref="G652:G668" si="60">G651+J652</x:f>
        <x:v>5821</x:v>
      </x:c>
      <x:c r="H652" s="12">
        <x:f t="shared" ref="H652:H668" si="61">H651+K652</x:f>
        <x:v>48040</x:v>
      </x:c>
      <x:c r="I652" s="12">
        <x:f t="shared" si="59"/>
        <x:v>279640840</x:v>
      </x:c>
      <x:c r="J652" s="12">
        <x:f>ROUND(英雄升级调参!$D$99*英雄升级调参!$J$11*英雄升级调参!$E$21,0)</x:f>
        <x:v>198</x:v>
      </x:c>
      <x:c r="K652" s="12">
        <x:f>ROUND(英雄升级调参!$D$99*英雄升级调参!$C$11*英雄升级调参!$J$11*英雄升级调参!$G$21,0)</x:f>
        <x:v>1636</x:v>
      </x:c>
      <x:c r="L652" s="12" t="n">
        <x:f>养成消耗调参!$E$181</x:f>
        <x:v>1536</x:v>
      </x:c>
      <x:c r="M652" s="12" t="n">
        <x:f>养成消耗调参!$H$181</x:f>
        <x:v>9600</x:v>
      </x:c>
      <x:c r="N652" s="12" t="n">
        <x:f>养成消耗调参!$I$181</x:f>
        <x:v>0</x:v>
      </x:c>
      <x:c r="O652" s="12" t="n">
        <x:f>养成消耗调参!$L$181</x:f>
        <x:v>24672</x:v>
      </x:c>
      <x:c r="P652" s="12" t="n">
        <x:f>养成消耗调参!$O$181</x:f>
        <x:v>145800</x:v>
      </x:c>
      <x:c r="Q652" s="12" t="n">
        <x:f>养成消耗调参!$P$181</x:f>
        <x:v>360</x:v>
      </x:c>
      <x:c r="R652" s="13">
        <x:f>I652/英雄升级调参!$M$99-1</x:f>
        <x:v>-0.0006198218443287384</x:v>
      </x:c>
      <x:c r="S652" s="6"/>
      <x:c r="T652" s="6"/>
      <x:c r="U652" s="6"/>
    </x:row>
    <x:row r="653" ht="21" customHeight="1">
      <x:c r="A653" s="14" t="n">
        <x:f>英雄升级调参!$B$21</x:f>
        <x:v>310003</x:v>
      </x:c>
      <x:c r="B653" s="14" t="str">
        <x:f>英雄升级调参!$C$21</x:f>
        <x:v>鲀小泡</x:v>
      </x:c>
      <x:c r="C653" s="6" t="str">
        <x:f>英雄升级调参!$D$21</x:f>
        <x:v>战士</x:v>
      </x:c>
      <x:c r="D653" s="6" t="s">
        <x:v>25</x:v>
      </x:c>
      <x:c r="E653" s="6">
        <x:v>35</x:v>
      </x:c>
      <x:c r="F653" s="6" t="n">
        <x:f>英雄升级调参!$C$100</x:f>
        <x:v>7</x:v>
      </x:c>
      <x:c r="G653" s="12">
        <x:f t="shared" si="60"/>
        <x:v>6415</x:v>
      </x:c>
      <x:c r="H653" s="12">
        <x:f t="shared" si="61"/>
        <x:v>52948</x:v>
      </x:c>
      <x:c r="I653" s="12">
        <x:f t="shared" si="59"/>
        <x:v>339661420</x:v>
      </x:c>
      <x:c r="J653" s="12">
        <x:f>ROUND(英雄升级调参!$D$100*英雄升级调参!$J$11*英雄升级调参!$E$21,0)*3</x:f>
        <x:v>594</x:v>
      </x:c>
      <x:c r="K653" s="12">
        <x:f>ROUND(英雄升级调参!$D$100*英雄升级调参!$C$11*英雄升级调参!$J$11*英雄升级调参!$G$21,0)*3</x:f>
        <x:v>4908</x:v>
      </x:c>
      <x:c r="L653" s="12" t="n">
        <x:f>养成消耗调参!$E$182</x:f>
        <x:v>1536</x:v>
      </x:c>
      <x:c r="M653" s="12" t="n">
        <x:f>养成消耗调参!$H$182</x:f>
        <x:v>9600</x:v>
      </x:c>
      <x:c r="N653" s="12" t="n">
        <x:f>养成消耗调参!$I$182</x:f>
        <x:v>130</x:v>
      </x:c>
      <x:c r="O653" s="12" t="n">
        <x:f>养成消耗调参!$L$182</x:f>
        <x:v>26208</x:v>
      </x:c>
      <x:c r="P653" s="12" t="n">
        <x:f>养成消耗调参!$O$182</x:f>
        <x:v>155400</x:v>
      </x:c>
      <x:c r="Q653" s="12" t="n">
        <x:f>养成消耗调参!$P$182</x:f>
        <x:v>490</x:v>
      </x:c>
      <x:c r="R653" s="13">
        <x:f>I653/英雄升级调参!$M$100-1</x:f>
        <x:v>-0.0005830496316014955</x:v>
      </x:c>
      <x:c r="S653" s="6"/>
      <x:c r="T653" s="6"/>
      <x:c r="U653" s="6"/>
    </x:row>
    <x:row r="654" ht="21" customHeight="1">
      <x:c r="A654" s="14" t="n">
        <x:f>英雄升级调参!$B$21</x:f>
        <x:v>310003</x:v>
      </x:c>
      <x:c r="B654" s="14" t="str">
        <x:f>英雄升级调参!$C$21</x:f>
        <x:v>鲀小泡</x:v>
      </x:c>
      <x:c r="C654" s="6" t="str">
        <x:f>英雄升级调参!$D$21</x:f>
        <x:v>战士</x:v>
      </x:c>
      <x:c r="D654" s="6" t="s">
        <x:v>25</x:v>
      </x:c>
      <x:c r="E654" s="6">
        <x:v>36</x:v>
      </x:c>
      <x:c r="F654" s="6" t="n">
        <x:f>英雄升级调参!$C$101</x:f>
        <x:v>8</x:v>
      </x:c>
      <x:c r="G654" s="12">
        <x:f t="shared" si="60"/>
        <x:v>6638</x:v>
      </x:c>
      <x:c r="H654" s="12">
        <x:f t="shared" si="61"/>
        <x:v>54789</x:v>
      </x:c>
      <x:c r="I654" s="12">
        <x:f t="shared" si="59"/>
        <x:v>363689382</x:v>
      </x:c>
      <x:c r="J654" s="12">
        <x:f>ROUND(英雄升级调参!$D$101*英雄升级调参!$J$11*英雄升级调参!$E$21,0)</x:f>
        <x:v>223</x:v>
      </x:c>
      <x:c r="K654" s="12">
        <x:f>ROUND(英雄升级调参!$D$101*英雄升级调参!$C$11*英雄升级调参!$J$11*英雄升级调参!$G$21,0)</x:f>
        <x:v>1841</x:v>
      </x:c>
      <x:c r="L654" s="12" t="n">
        <x:f>养成消耗调参!$E$183</x:f>
        <x:v>1632</x:v>
      </x:c>
      <x:c r="M654" s="12" t="n">
        <x:f>养成消耗调参!$H$183</x:f>
        <x:v>9600</x:v>
      </x:c>
      <x:c r="N654" s="12" t="n">
        <x:f>养成消耗调参!$I$183</x:f>
        <x:v>0</x:v>
      </x:c>
      <x:c r="O654" s="12" t="n">
        <x:f>养成消耗调参!$L$183</x:f>
        <x:v>27840</x:v>
      </x:c>
      <x:c r="P654" s="12" t="n">
        <x:f>养成消耗调参!$O$183</x:f>
        <x:v>165000</x:v>
      </x:c>
      <x:c r="Q654" s="12" t="n">
        <x:f>养成消耗调参!$P$183</x:f>
        <x:v>490</x:v>
      </x:c>
      <x:c r="R654" s="13">
        <x:f>I654/英雄升级调参!$M$101-1</x:f>
        <x:v>-0.0006069573306342058</x:v>
      </x:c>
      <x:c r="S654" s="6"/>
      <x:c r="T654" s="6"/>
      <x:c r="U654" s="6"/>
    </x:row>
    <x:row r="655" ht="21" customHeight="1">
      <x:c r="A655" s="14" t="n">
        <x:f>英雄升级调参!$B$21</x:f>
        <x:v>310003</x:v>
      </x:c>
      <x:c r="B655" s="14" t="str">
        <x:f>英雄升级调参!$C$21</x:f>
        <x:v>鲀小泡</x:v>
      </x:c>
      <x:c r="C655" s="6" t="str">
        <x:f>英雄升级调参!$D$21</x:f>
        <x:v>战士</x:v>
      </x:c>
      <x:c r="D655" s="6" t="s">
        <x:v>25</x:v>
      </x:c>
      <x:c r="E655" s="6">
        <x:v>37</x:v>
      </x:c>
      <x:c r="F655" s="6" t="n">
        <x:f>英雄升级调参!$C$102</x:f>
        <x:v>8</x:v>
      </x:c>
      <x:c r="G655" s="12">
        <x:f t="shared" si="60"/>
        <x:v>6861</x:v>
      </x:c>
      <x:c r="H655" s="12">
        <x:f t="shared" si="61"/>
        <x:v>56630</x:v>
      </x:c>
      <x:c r="I655" s="12">
        <x:f t="shared" si="59"/>
        <x:v>388538430</x:v>
      </x:c>
      <x:c r="J655" s="12">
        <x:f>ROUND(英雄升级调参!$D$102*英雄升级调参!$J$11*英雄升级调参!$E$21,0)</x:f>
        <x:v>223</x:v>
      </x:c>
      <x:c r="K655" s="12">
        <x:f>ROUND(英雄升级调参!$D$102*英雄升级调参!$C$11*英雄升级调参!$J$11*英雄升级调参!$G$21,0)</x:f>
        <x:v>1841</x:v>
      </x:c>
      <x:c r="L655" s="12" t="n">
        <x:f>养成消耗调参!$E$184</x:f>
        <x:v>1632</x:v>
      </x:c>
      <x:c r="M655" s="12" t="n">
        <x:f>养成消耗调参!$H$184</x:f>
        <x:v>11400</x:v>
      </x:c>
      <x:c r="N655" s="12" t="n">
        <x:f>养成消耗调参!$I$184</x:f>
        <x:v>0</x:v>
      </x:c>
      <x:c r="O655" s="12" t="n">
        <x:f>养成消耗调参!$L$184</x:f>
        <x:v>29472</x:v>
      </x:c>
      <x:c r="P655" s="12" t="n">
        <x:f>养成消耗调参!$O$184</x:f>
        <x:v>176400</x:v>
      </x:c>
      <x:c r="Q655" s="12" t="n">
        <x:f>养成消耗调参!$P$184</x:f>
        <x:v>490</x:v>
      </x:c>
      <x:c r="R655" s="13">
        <x:f>I655/英雄升级调参!$M$102-1</x:f>
        <x:v>-0.0006293097697573913</x:v>
      </x:c>
      <x:c r="S655" s="6"/>
      <x:c r="T655" s="6"/>
      <x:c r="U655" s="6"/>
    </x:row>
    <x:row r="656" ht="21" customHeight="1">
      <x:c r="A656" s="14" t="n">
        <x:f>英雄升级调参!$B$21</x:f>
        <x:v>310003</x:v>
      </x:c>
      <x:c r="B656" s="14" t="str">
        <x:f>英雄升级调参!$C$21</x:f>
        <x:v>鲀小泡</x:v>
      </x:c>
      <x:c r="C656" s="6" t="str">
        <x:f>英雄升级调参!$D$21</x:f>
        <x:v>战士</x:v>
      </x:c>
      <x:c r="D656" s="6" t="s">
        <x:v>25</x:v>
      </x:c>
      <x:c r="E656" s="6">
        <x:v>38</x:v>
      </x:c>
      <x:c r="F656" s="6" t="n">
        <x:f>英雄升级调参!$C$103</x:f>
        <x:v>8</x:v>
      </x:c>
      <x:c r="G656" s="12">
        <x:f t="shared" si="60"/>
        <x:v>7084</x:v>
      </x:c>
      <x:c r="H656" s="12">
        <x:f t="shared" si="61"/>
        <x:v>58471</x:v>
      </x:c>
      <x:c r="I656" s="12">
        <x:f t="shared" si="59"/>
        <x:v>414208564</x:v>
      </x:c>
      <x:c r="J656" s="12">
        <x:f>ROUND(英雄升级调参!$D$103*英雄升级调参!$J$11*英雄升级调参!$E$21,0)</x:f>
        <x:v>223</x:v>
      </x:c>
      <x:c r="K656" s="12">
        <x:f>ROUND(英雄升级调参!$D$103*英雄升级调参!$C$11*英雄升级调参!$J$11*英雄升级调参!$G$21,0)</x:f>
        <x:v>1841</x:v>
      </x:c>
      <x:c r="L656" s="12" t="n">
        <x:f>养成消耗调参!$E$185</x:f>
        <x:v>1728</x:v>
      </x:c>
      <x:c r="M656" s="12" t="n">
        <x:f>养成消耗调参!$H$185</x:f>
        <x:v>11400</x:v>
      </x:c>
      <x:c r="N656" s="12" t="n">
        <x:f>养成消耗调参!$I$185</x:f>
        <x:v>0</x:v>
      </x:c>
      <x:c r="O656" s="12" t="n">
        <x:f>养成消耗调参!$L$185</x:f>
        <x:v>31200</x:v>
      </x:c>
      <x:c r="P656" s="12" t="n">
        <x:f>养成消耗调参!$O$185</x:f>
        <x:v>187800</x:v>
      </x:c>
      <x:c r="Q656" s="12" t="n">
        <x:f>养成消耗调参!$P$185</x:f>
        <x:v>490</x:v>
      </x:c>
      <x:c r="R656" s="13">
        <x:f>I656/英雄升级调参!$M$103-1</x:f>
        <x:v>-0.0006502539289894305</x:v>
      </x:c>
      <x:c r="S656" s="6"/>
      <x:c r="T656" s="6"/>
      <x:c r="U656" s="6"/>
    </x:row>
    <x:row r="657" ht="21" customHeight="1">
      <x:c r="A657" s="14" t="n">
        <x:f>英雄升级调参!$B$21</x:f>
        <x:v>310003</x:v>
      </x:c>
      <x:c r="B657" s="14" t="str">
        <x:f>英雄升级调参!$C$21</x:f>
        <x:v>鲀小泡</x:v>
      </x:c>
      <x:c r="C657" s="6" t="str">
        <x:f>英雄升级调参!$D$21</x:f>
        <x:v>战士</x:v>
      </x:c>
      <x:c r="D657" s="6" t="s">
        <x:v>25</x:v>
      </x:c>
      <x:c r="E657" s="6">
        <x:v>39</x:v>
      </x:c>
      <x:c r="F657" s="6" t="n">
        <x:f>英雄升级调参!$C$104</x:f>
        <x:v>8</x:v>
      </x:c>
      <x:c r="G657" s="12">
        <x:f t="shared" si="60"/>
        <x:v>7307</x:v>
      </x:c>
      <x:c r="H657" s="12">
        <x:f t="shared" si="61"/>
        <x:v>60312</x:v>
      </x:c>
      <x:c r="I657" s="12">
        <x:f t="shared" si="59"/>
        <x:v>440699784</x:v>
      </x:c>
      <x:c r="J657" s="12">
        <x:f>ROUND(英雄升级调参!$D$104*英雄升级调参!$J$11*英雄升级调参!$E$21,0)</x:f>
        <x:v>223</x:v>
      </x:c>
      <x:c r="K657" s="12">
        <x:f>ROUND(英雄升级调参!$D$104*英雄升级调参!$C$11*英雄升级调参!$J$11*英雄升级调参!$G$21,0)</x:f>
        <x:v>1841</x:v>
      </x:c>
      <x:c r="L657" s="12" t="n">
        <x:f>养成消耗调参!$E$186</x:f>
        <x:v>1728</x:v>
      </x:c>
      <x:c r="M657" s="12" t="n">
        <x:f>养成消耗调参!$H$186</x:f>
        <x:v>11400</x:v>
      </x:c>
      <x:c r="N657" s="12" t="n">
        <x:f>养成消耗调参!$I$186</x:f>
        <x:v>0</x:v>
      </x:c>
      <x:c r="O657" s="12" t="n">
        <x:f>养成消耗调参!$L$186</x:f>
        <x:v>32928</x:v>
      </x:c>
      <x:c r="P657" s="12" t="n">
        <x:f>养成消耗调参!$O$186</x:f>
        <x:v>199200</x:v>
      </x:c>
      <x:c r="Q657" s="12" t="n">
        <x:f>养成消耗调参!$P$186</x:f>
        <x:v>490</x:v>
      </x:c>
      <x:c r="R657" s="13">
        <x:f>I657/英雄升级调参!$M$104-1</x:f>
        <x:v>-0.0006699188334730044</x:v>
      </x:c>
      <x:c r="S657" s="6"/>
      <x:c r="T657" s="6"/>
      <x:c r="U657" s="6"/>
    </x:row>
    <x:row r="658" ht="21" customHeight="1">
      <x:c r="A658" s="14" t="n">
        <x:f>英雄升级调参!$B$21</x:f>
        <x:v>310003</x:v>
      </x:c>
      <x:c r="B658" s="14" t="str">
        <x:f>英雄升级调参!$C$21</x:f>
        <x:v>鲀小泡</x:v>
      </x:c>
      <x:c r="C658" s="6" t="str">
        <x:f>英雄升级调参!$D$21</x:f>
        <x:v>战士</x:v>
      </x:c>
      <x:c r="D658" s="6" t="s">
        <x:v>25</x:v>
      </x:c>
      <x:c r="E658" s="6">
        <x:v>40</x:v>
      </x:c>
      <x:c r="F658" s="6" t="n">
        <x:f>英雄升级调参!$C$105</x:f>
        <x:v>8</x:v>
      </x:c>
      <x:c r="G658" s="12">
        <x:f t="shared" si="60"/>
        <x:v>7976</x:v>
      </x:c>
      <x:c r="H658" s="12">
        <x:f t="shared" si="61"/>
        <x:v>65835</x:v>
      </x:c>
      <x:c r="I658" s="12">
        <x:f t="shared" si="59"/>
        <x:v>525099960</x:v>
      </x:c>
      <x:c r="J658" s="12">
        <x:f>ROUND(英雄升级调参!$D$105*英雄升级调参!$J$11*英雄升级调参!$E$21,0)*3</x:f>
        <x:v>669</x:v>
      </x:c>
      <x:c r="K658" s="12">
        <x:f>ROUND(英雄升级调参!$D$105*英雄升级调参!$C$11*英雄升级调参!$J$11*英雄升级调参!$G$21,0)*3</x:f>
        <x:v>5523</x:v>
      </x:c>
      <x:c r="L658" s="12" t="n">
        <x:f>养成消耗调参!$E$187</x:f>
        <x:v>1824</x:v>
      </x:c>
      <x:c r="M658" s="12" t="n">
        <x:f>养成消耗调参!$H$187</x:f>
        <x:v>11400</x:v>
      </x:c>
      <x:c r="N658" s="12" t="n">
        <x:f>养成消耗调参!$I$187</x:f>
        <x:v>150</x:v>
      </x:c>
      <x:c r="O658" s="12" t="n">
        <x:f>养成消耗调参!$L$187</x:f>
        <x:v>34752</x:v>
      </x:c>
      <x:c r="P658" s="12" t="n">
        <x:f>养成消耗调参!$O$187</x:f>
        <x:v>210600</x:v>
      </x:c>
      <x:c r="Q658" s="12" t="n">
        <x:f>养成消耗调参!$P$187</x:f>
        <x:v>640</x:v>
      </x:c>
      <x:c r="R658" s="13">
        <x:f>I658/英雄升级调参!$M$105-1</x:f>
        <x:v>-0.0007223116897114856</x:v>
      </x:c>
      <x:c r="S658" s="6"/>
      <x:c r="T658" s="6"/>
      <x:c r="U658" s="6"/>
    </x:row>
    <x:row r="659" ht="21" customHeight="1">
      <x:c r="A659" s="14" t="n">
        <x:f>英雄升级调参!$B$21</x:f>
        <x:v>310003</x:v>
      </x:c>
      <x:c r="B659" s="14" t="str">
        <x:f>英雄升级调参!$C$21</x:f>
        <x:v>鲀小泡</x:v>
      </x:c>
      <x:c r="C659" s="6" t="str">
        <x:f>英雄升级调参!$D$21</x:f>
        <x:v>战士</x:v>
      </x:c>
      <x:c r="D659" s="6" t="s">
        <x:v>25</x:v>
      </x:c>
      <x:c r="E659" s="6">
        <x:v>41</x:v>
      </x:c>
      <x:c r="F659" s="6" t="n">
        <x:f>英雄升级调参!$C$106</x:f>
        <x:v>9</x:v>
      </x:c>
      <x:c r="G659" s="12">
        <x:f t="shared" si="60"/>
        <x:v>8224</x:v>
      </x:c>
      <x:c r="H659" s="12">
        <x:f t="shared" si="61"/>
        <x:v>67880</x:v>
      </x:c>
      <x:c r="I659" s="12">
        <x:f t="shared" si="59"/>
        <x:v>558245120</x:v>
      </x:c>
      <x:c r="J659" s="12">
        <x:f>ROUND(英雄升级调参!$D$106*英雄升级调参!$J$11*英雄升级调参!$E$21,0)</x:f>
        <x:v>248</x:v>
      </x:c>
      <x:c r="K659" s="12">
        <x:f>ROUND(英雄升级调参!$D$106*英雄升级调参!$C$11*英雄升级调参!$J$11*英雄升级调参!$G$21,0)</x:f>
        <x:v>2045</x:v>
      </x:c>
      <x:c r="L659" s="12" t="n">
        <x:f>养成消耗调参!$E$188</x:f>
        <x:v>1824</x:v>
      </x:c>
      <x:c r="M659" s="12" t="n">
        <x:f>养成消耗调参!$H$188</x:f>
        <x:v>11400</x:v>
      </x:c>
      <x:c r="N659" s="12" t="n">
        <x:f>养成消耗调参!$I$188</x:f>
        <x:v>0</x:v>
      </x:c>
      <x:c r="O659" s="12" t="n">
        <x:f>养成消耗调参!$L$188</x:f>
        <x:v>36576</x:v>
      </x:c>
      <x:c r="P659" s="12" t="n">
        <x:f>养成消耗调参!$O$188</x:f>
        <x:v>222000</x:v>
      </x:c>
      <x:c r="Q659" s="12" t="n">
        <x:f>养成消耗调参!$P$188</x:f>
        <x:v>640</x:v>
      </x:c>
      <x:c r="R659" s="13">
        <x:f>I659/英雄升级调参!$M$106-1</x:f>
        <x:v>-0.0006465197750107343</x:v>
      </x:c>
      <x:c r="S659" s="6"/>
      <x:c r="T659" s="6"/>
      <x:c r="U659" s="6"/>
    </x:row>
    <x:row r="660" ht="21" customHeight="1">
      <x:c r="A660" s="14" t="n">
        <x:f>英雄升级调参!$B$21</x:f>
        <x:v>310003</x:v>
      </x:c>
      <x:c r="B660" s="14" t="str">
        <x:f>英雄升级调参!$C$21</x:f>
        <x:v>鲀小泡</x:v>
      </x:c>
      <x:c r="C660" s="6" t="str">
        <x:f>英雄升级调参!$D$21</x:f>
        <x:v>战士</x:v>
      </x:c>
      <x:c r="D660" s="6" t="s">
        <x:v>25</x:v>
      </x:c>
      <x:c r="E660" s="6">
        <x:v>42</x:v>
      </x:c>
      <x:c r="F660" s="6" t="n">
        <x:f>英雄升级调参!$C$107</x:f>
        <x:v>9</x:v>
      </x:c>
      <x:c r="G660" s="12">
        <x:f t="shared" si="60"/>
        <x:v>8472</x:v>
      </x:c>
      <x:c r="H660" s="12">
        <x:f t="shared" si="61"/>
        <x:v>69925</x:v>
      </x:c>
      <x:c r="I660" s="12">
        <x:f t="shared" si="59"/>
        <x:v>592404600</x:v>
      </x:c>
      <x:c r="J660" s="12">
        <x:f>ROUND(英雄升级调参!$D$107*英雄升级调参!$J$11*英雄升级调参!$E$21,0)</x:f>
        <x:v>248</x:v>
      </x:c>
      <x:c r="K660" s="12">
        <x:f>ROUND(英雄升级调参!$D$107*英雄升级调参!$C$11*英雄升级调参!$J$11*英雄升级调参!$G$21,0)</x:f>
        <x:v>2045</x:v>
      </x:c>
      <x:c r="L660" s="12" t="n">
        <x:f>养成消耗调参!$E$189</x:f>
        <x:v>1920</x:v>
      </x:c>
      <x:c r="M660" s="12" t="n">
        <x:f>养成消耗调参!$H$189</x:f>
        <x:v>13200</x:v>
      </x:c>
      <x:c r="N660" s="12" t="n">
        <x:f>养成消耗调参!$I$189</x:f>
        <x:v>0</x:v>
      </x:c>
      <x:c r="O660" s="12" t="n">
        <x:f>养成消耗调参!$L$189</x:f>
        <x:v>38496</x:v>
      </x:c>
      <x:c r="P660" s="12" t="n">
        <x:f>养成消耗调参!$O$189</x:f>
        <x:v>235200</x:v>
      </x:c>
      <x:c r="Q660" s="12" t="n">
        <x:f>养成消耗调参!$P$189</x:f>
        <x:v>640</x:v>
      </x:c>
      <x:c r="R660" s="13">
        <x:f>I660/英雄升级调参!$M$107-1</x:f>
        <x:v>-0.0005751540728642368</x:v>
      </x:c>
      <x:c r="S660" s="6"/>
      <x:c r="T660" s="6"/>
      <x:c r="U660" s="6"/>
    </x:row>
    <x:row r="661" ht="21" customHeight="1">
      <x:c r="A661" s="14" t="n">
        <x:f>英雄升级调参!$B$21</x:f>
        <x:v>310003</x:v>
      </x:c>
      <x:c r="B661" s="14" t="str">
        <x:f>英雄升级调参!$C$21</x:f>
        <x:v>鲀小泡</x:v>
      </x:c>
      <x:c r="C661" s="6" t="str">
        <x:f>英雄升级调参!$D$21</x:f>
        <x:v>战士</x:v>
      </x:c>
      <x:c r="D661" s="6" t="s">
        <x:v>25</x:v>
      </x:c>
      <x:c r="E661" s="6">
        <x:v>43</x:v>
      </x:c>
      <x:c r="F661" s="6" t="n">
        <x:f>英雄升级调参!$C$108</x:f>
        <x:v>9</x:v>
      </x:c>
      <x:c r="G661" s="12">
        <x:f t="shared" si="60"/>
        <x:v>8720</x:v>
      </x:c>
      <x:c r="H661" s="12">
        <x:f t="shared" si="61"/>
        <x:v>71970</x:v>
      </x:c>
      <x:c r="I661" s="12">
        <x:f t="shared" si="59"/>
        <x:v>627578400</x:v>
      </x:c>
      <x:c r="J661" s="12">
        <x:f>ROUND(英雄升级调参!$D$108*英雄升级调参!$J$11*英雄升级调参!$E$21,0)</x:f>
        <x:v>248</x:v>
      </x:c>
      <x:c r="K661" s="12">
        <x:f>ROUND(英雄升级调参!$D$108*英雄升级调参!$C$11*英雄升级调参!$J$11*英雄升级调参!$G$21,0)</x:f>
        <x:v>2045</x:v>
      </x:c>
      <x:c r="L661" s="12" t="n">
        <x:f>养成消耗调参!$E$190</x:f>
        <x:v>1920</x:v>
      </x:c>
      <x:c r="M661" s="12" t="n">
        <x:f>养成消耗调参!$H$190</x:f>
        <x:v>13200</x:v>
      </x:c>
      <x:c r="N661" s="12" t="n">
        <x:f>养成消耗调参!$I$190</x:f>
        <x:v>0</x:v>
      </x:c>
      <x:c r="O661" s="12" t="n">
        <x:f>养成消耗调参!$L$190</x:f>
        <x:v>40416</x:v>
      </x:c>
      <x:c r="P661" s="12" t="n">
        <x:f>养成消耗调参!$O$190</x:f>
        <x:v>248400</x:v>
      </x:c>
      <x:c r="Q661" s="12" t="n">
        <x:f>养成消耗调参!$P$190</x:f>
        <x:v>640</x:v>
      </x:c>
      <x:c r="R661" s="13">
        <x:f>I661/英雄升级调参!$M$108-1</x:f>
        <x:v>-0.0005078378506089276</x:v>
      </x:c>
      <x:c r="S661" s="6"/>
      <x:c r="T661" s="6"/>
      <x:c r="U661" s="6"/>
    </x:row>
    <x:row r="662" ht="21" customHeight="1">
      <x:c r="A662" s="14" t="n">
        <x:f>英雄升级调参!$B$21</x:f>
        <x:v>310003</x:v>
      </x:c>
      <x:c r="B662" s="14" t="str">
        <x:f>英雄升级调参!$C$21</x:f>
        <x:v>鲀小泡</x:v>
      </x:c>
      <x:c r="C662" s="6" t="str">
        <x:f>英雄升级调参!$D$21</x:f>
        <x:v>战士</x:v>
      </x:c>
      <x:c r="D662" s="6" t="s">
        <x:v>25</x:v>
      </x:c>
      <x:c r="E662" s="6">
        <x:v>44</x:v>
      </x:c>
      <x:c r="F662" s="6" t="n">
        <x:f>英雄升级调参!$C$109</x:f>
        <x:v>9</x:v>
      </x:c>
      <x:c r="G662" s="12">
        <x:f t="shared" si="60"/>
        <x:v>8968</x:v>
      </x:c>
      <x:c r="H662" s="12">
        <x:f t="shared" si="61"/>
        <x:v>74015</x:v>
      </x:c>
      <x:c r="I662" s="12">
        <x:f t="shared" si="59"/>
        <x:v>663766520</x:v>
      </x:c>
      <x:c r="J662" s="12">
        <x:f>ROUND(英雄升级调参!$D$109*英雄升级调参!$J$11*英雄升级调参!$E$21,0)</x:f>
        <x:v>248</x:v>
      </x:c>
      <x:c r="K662" s="12">
        <x:f>ROUND(英雄升级调参!$D$109*英雄升级调参!$C$11*英雄升级调参!$J$11*英雄升级调参!$G$21,0)</x:f>
        <x:v>2045</x:v>
      </x:c>
      <x:c r="L662" s="12" t="n">
        <x:f>养成消耗调参!$E$191</x:f>
        <x:v>2016</x:v>
      </x:c>
      <x:c r="M662" s="12" t="n">
        <x:f>养成消耗调参!$H$191</x:f>
        <x:v>13200</x:v>
      </x:c>
      <x:c r="N662" s="12" t="n">
        <x:f>养成消耗调参!$I$191</x:f>
        <x:v>0</x:v>
      </x:c>
      <x:c r="O662" s="12" t="n">
        <x:f>养成消耗调参!$L$191</x:f>
        <x:v>42432</x:v>
      </x:c>
      <x:c r="P662" s="12" t="n">
        <x:f>养成消耗调参!$O$191</x:f>
        <x:v>261600</x:v>
      </x:c>
      <x:c r="Q662" s="12" t="n">
        <x:f>养成消耗调参!$P$191</x:f>
        <x:v>640</x:v>
      </x:c>
      <x:c r="R662" s="13">
        <x:f>I662/英雄升级调参!$M$109-1</x:f>
        <x:v>-0.0004442359497053294</x:v>
      </x:c>
      <x:c r="S662" s="6"/>
      <x:c r="T662" s="6"/>
      <x:c r="U662" s="6"/>
    </x:row>
    <x:row r="663" ht="21" customHeight="1">
      <x:c r="A663" s="14" t="n">
        <x:f>英雄升级调参!$B$21</x:f>
        <x:v>310003</x:v>
      </x:c>
      <x:c r="B663" s="14" t="str">
        <x:f>英雄升级调参!$C$21</x:f>
        <x:v>鲀小泡</x:v>
      </x:c>
      <x:c r="C663" s="6" t="str">
        <x:f>英雄升级调参!$D$21</x:f>
        <x:v>战士</x:v>
      </x:c>
      <x:c r="D663" s="6" t="s">
        <x:v>25</x:v>
      </x:c>
      <x:c r="E663" s="6">
        <x:v>45</x:v>
      </x:c>
      <x:c r="F663" s="6" t="n">
        <x:f>英雄升级调参!$C$110</x:f>
        <x:v>9</x:v>
      </x:c>
      <x:c r="G663" s="12">
        <x:f t="shared" si="60"/>
        <x:v>9712</x:v>
      </x:c>
      <x:c r="H663" s="12">
        <x:f t="shared" si="61"/>
        <x:v>80150</x:v>
      </x:c>
      <x:c r="I663" s="12">
        <x:f t="shared" si="59"/>
        <x:v>778416800</x:v>
      </x:c>
      <x:c r="J663" s="12">
        <x:f>ROUND(英雄升级调参!$D$110*英雄升级调参!$J$11*英雄升级调参!$E$21,0)*3</x:f>
        <x:v>744</x:v>
      </x:c>
      <x:c r="K663" s="12">
        <x:f>ROUND(英雄升级调参!$D$110*英雄升级调参!$C$11*英雄升级调参!$J$11*英雄升级调参!$G$21,0)*3</x:f>
        <x:v>6135</x:v>
      </x:c>
      <x:c r="L663" s="12" t="n">
        <x:f>养成消耗调参!$E$192</x:f>
        <x:v>2016</x:v>
      </x:c>
      <x:c r="M663" s="12" t="n">
        <x:f>养成消耗调参!$H$192</x:f>
        <x:v>13200</x:v>
      </x:c>
      <x:c r="N663" s="12" t="n">
        <x:f>养成消耗调参!$I$192</x:f>
        <x:v>170</x:v>
      </x:c>
      <x:c r="O663" s="12" t="n">
        <x:f>养成消耗调参!$L$192</x:f>
        <x:v>44448</x:v>
      </x:c>
      <x:c r="P663" s="12" t="n">
        <x:f>养成消耗调参!$O$192</x:f>
        <x:v>274800</x:v>
      </x:c>
      <x:c r="Q663" s="12" t="n">
        <x:f>养成消耗调参!$P$192</x:f>
        <x:v>810</x:v>
      </x:c>
      <x:c r="R663" s="13">
        <x:f>I663/英雄升级调参!$M$110-1</x:f>
        <x:v>-0.00027287697520028686</x:v>
      </x:c>
      <x:c r="S663" s="6"/>
      <x:c r="T663" s="6"/>
      <x:c r="U663" s="6"/>
    </x:row>
    <x:row r="664" ht="21" customHeight="1">
      <x:c r="A664" s="14" t="n">
        <x:f>英雄升级调参!$B$21</x:f>
        <x:v>310003</x:v>
      </x:c>
      <x:c r="B664" s="14" t="str">
        <x:f>英雄升级调参!$C$21</x:f>
        <x:v>鲀小泡</x:v>
      </x:c>
      <x:c r="C664" s="6" t="str">
        <x:f>英雄升级调参!$D$21</x:f>
        <x:v>战士</x:v>
      </x:c>
      <x:c r="D664" s="6" t="s">
        <x:v>25</x:v>
      </x:c>
      <x:c r="E664" s="6">
        <x:v>46</x:v>
      </x:c>
      <x:c r="F664" s="6" t="n">
        <x:f>英雄升级调参!$C$111</x:f>
        <x:v>10</x:v>
      </x:c>
      <x:c r="G664" s="12">
        <x:f t="shared" si="60"/>
        <x:v>9984</x:v>
      </x:c>
      <x:c r="H664" s="12">
        <x:f t="shared" si="61"/>
        <x:v>82400</x:v>
      </x:c>
      <x:c r="I664" s="12">
        <x:f t="shared" si="59"/>
        <x:v>822681600</x:v>
      </x:c>
      <x:c r="J664" s="12">
        <x:f>ROUND(英雄升级调参!$D$111*英雄升级调参!$J$11*英雄升级调参!$E$21,0)</x:f>
        <x:v>272</x:v>
      </x:c>
      <x:c r="K664" s="12">
        <x:f>ROUND(英雄升级调参!$D$111*英雄升级调参!$C$11*英雄升级调参!$J$11*英雄升级调参!$G$21,0)</x:f>
        <x:v>2250</x:v>
      </x:c>
      <x:c r="L664" s="12" t="n">
        <x:f>养成消耗调参!$E$193</x:f>
        <x:v>2112</x:v>
      </x:c>
      <x:c r="M664" s="12" t="n">
        <x:f>养成消耗调参!$H$193</x:f>
        <x:v>13200</x:v>
      </x:c>
      <x:c r="N664" s="12" t="n">
        <x:f>养成消耗调参!$I$193</x:f>
        <x:v>0</x:v>
      </x:c>
      <x:c r="O664" s="12" t="n">
        <x:f>养成消耗调参!$L$193</x:f>
        <x:v>46560</x:v>
      </x:c>
      <x:c r="P664" s="12" t="n">
        <x:f>养成消耗调参!$O$193</x:f>
        <x:v>288000</x:v>
      </x:c>
      <x:c r="Q664" s="12" t="n">
        <x:f>养成消耗调参!$P$193</x:f>
        <x:v>810</x:v>
      </x:c>
      <x:c r="R664" s="13">
        <x:f>I664/英雄升级调参!$M$111-1</x:f>
        <x:v>-0.000345524621367832</x:v>
      </x:c>
      <x:c r="S664" s="6"/>
      <x:c r="T664" s="6"/>
      <x:c r="U664" s="6"/>
    </x:row>
    <x:row r="665" ht="21" customHeight="1">
      <x:c r="A665" s="14" t="n">
        <x:f>英雄升级调参!$B$21</x:f>
        <x:v>310003</x:v>
      </x:c>
      <x:c r="B665" s="14" t="str">
        <x:f>英雄升级调参!$C$21</x:f>
        <x:v>鲀小泡</x:v>
      </x:c>
      <x:c r="C665" s="6" t="str">
        <x:f>英雄升级调参!$D$21</x:f>
        <x:v>战士</x:v>
      </x:c>
      <x:c r="D665" s="6" t="s">
        <x:v>25</x:v>
      </x:c>
      <x:c r="E665" s="6">
        <x:v>47</x:v>
      </x:c>
      <x:c r="F665" s="6" t="n">
        <x:f>英雄升级调参!$C$112</x:f>
        <x:v>10</x:v>
      </x:c>
      <x:c r="G665" s="12">
        <x:f t="shared" si="60"/>
        <x:v>10256</x:v>
      </x:c>
      <x:c r="H665" s="12">
        <x:f t="shared" si="61"/>
        <x:v>84650</x:v>
      </x:c>
      <x:c r="I665" s="12">
        <x:f t="shared" si="59"/>
        <x:v>868170400</x:v>
      </x:c>
      <x:c r="J665" s="12">
        <x:f>ROUND(英雄升级调参!$D$112*英雄升级调参!$J$11*英雄升级调参!$E$21,0)</x:f>
        <x:v>272</x:v>
      </x:c>
      <x:c r="K665" s="12">
        <x:f>ROUND(英雄升级调参!$D$112*英雄升级调参!$C$11*英雄升级调参!$J$11*英雄升级调参!$G$21,0)</x:f>
        <x:v>2250</x:v>
      </x:c>
      <x:c r="L665" s="12" t="n">
        <x:f>养成消耗调参!$E$194</x:f>
        <x:v>2112</x:v>
      </x:c>
      <x:c r="M665" s="12" t="n">
        <x:f>养成消耗调参!$H$194</x:f>
        <x:v>15000</x:v>
      </x:c>
      <x:c r="N665" s="12" t="n">
        <x:f>养成消耗调参!$I$194</x:f>
        <x:v>0</x:v>
      </x:c>
      <x:c r="O665" s="12" t="n">
        <x:f>养成消耗调参!$L$194</x:f>
        <x:v>48672</x:v>
      </x:c>
      <x:c r="P665" s="12" t="n">
        <x:f>养成消耗调参!$O$194</x:f>
        <x:v>303000</x:v>
      </x:c>
      <x:c r="Q665" s="12" t="n">
        <x:f>养成消耗调参!$P$194</x:f>
        <x:v>810</x:v>
      </x:c>
      <x:c r="R665" s="13">
        <x:f>I665/英雄升级调参!$M$112-1</x:f>
        <x:v>-0.0004143091206588734</x:v>
      </x:c>
      <x:c r="S665" s="6"/>
      <x:c r="T665" s="6"/>
      <x:c r="U665" s="6"/>
    </x:row>
    <x:row r="666" ht="21" customHeight="1">
      <x:c r="A666" s="14" t="n">
        <x:f>英雄升级调参!$B$21</x:f>
        <x:v>310003</x:v>
      </x:c>
      <x:c r="B666" s="14" t="str">
        <x:f>英雄升级调参!$C$21</x:f>
        <x:v>鲀小泡</x:v>
      </x:c>
      <x:c r="C666" s="6" t="str">
        <x:f>英雄升级调参!$D$21</x:f>
        <x:v>战士</x:v>
      </x:c>
      <x:c r="D666" s="6" t="s">
        <x:v>25</x:v>
      </x:c>
      <x:c r="E666" s="6">
        <x:v>48</x:v>
      </x:c>
      <x:c r="F666" s="6" t="n">
        <x:f>英雄升级调参!$C$113</x:f>
        <x:v>10</x:v>
      </x:c>
      <x:c r="G666" s="12">
        <x:f t="shared" si="60"/>
        <x:v>10528</x:v>
      </x:c>
      <x:c r="H666" s="12">
        <x:f t="shared" si="61"/>
        <x:v>86900</x:v>
      </x:c>
      <x:c r="I666" s="12">
        <x:f t="shared" si="59"/>
        <x:v>914883200</x:v>
      </x:c>
      <x:c r="J666" s="12">
        <x:f>ROUND(英雄升级调参!$D$113*英雄升级调参!$J$11*英雄升级调参!$E$21,0)</x:f>
        <x:v>272</x:v>
      </x:c>
      <x:c r="K666" s="12">
        <x:f>ROUND(英雄升级调参!$D$113*英雄升级调参!$C$11*英雄升级调参!$J$11*英雄升级调参!$G$21,0)</x:f>
        <x:v>2250</x:v>
      </x:c>
      <x:c r="L666" s="12" t="n">
        <x:f>养成消耗调参!$E$195</x:f>
        <x:v>2208</x:v>
      </x:c>
      <x:c r="M666" s="12" t="n">
        <x:f>养成消耗调参!$H$195</x:f>
        <x:v>15000</x:v>
      </x:c>
      <x:c r="N666" s="12" t="n">
        <x:f>养成消耗调参!$I$195</x:f>
        <x:v>0</x:v>
      </x:c>
      <x:c r="O666" s="12" t="n">
        <x:f>养成消耗调参!$L$195</x:f>
        <x:v>50880</x:v>
      </x:c>
      <x:c r="P666" s="12" t="n">
        <x:f>养成消耗调参!$O$195</x:f>
        <x:v>318000</x:v>
      </x:c>
      <x:c r="Q666" s="12" t="n">
        <x:f>养成消耗调参!$P$195</x:f>
        <x:v>810</x:v>
      </x:c>
      <x:c r="R666" s="13">
        <x:f>I666/英雄升级调参!$M$113-1</x:f>
        <x:v>-0.00047953063518479944</x:v>
      </x:c>
      <x:c r="S666" s="6"/>
      <x:c r="T666" s="6"/>
      <x:c r="U666" s="6"/>
    </x:row>
    <x:row r="667" ht="21" customHeight="1">
      <x:c r="A667" s="14" t="n">
        <x:f>英雄升级调参!$B$21</x:f>
        <x:v>310003</x:v>
      </x:c>
      <x:c r="B667" s="14" t="str">
        <x:f>英雄升级调参!$C$21</x:f>
        <x:v>鲀小泡</x:v>
      </x:c>
      <x:c r="C667" s="6" t="str">
        <x:f>英雄升级调参!$D$21</x:f>
        <x:v>战士</x:v>
      </x:c>
      <x:c r="D667" s="6" t="s">
        <x:v>25</x:v>
      </x:c>
      <x:c r="E667" s="6">
        <x:v>49</x:v>
      </x:c>
      <x:c r="F667" s="6" t="n">
        <x:f>英雄升级调参!$C$114</x:f>
        <x:v>10</x:v>
      </x:c>
      <x:c r="G667" s="12">
        <x:f t="shared" si="60"/>
        <x:v>10800</x:v>
      </x:c>
      <x:c r="H667" s="12">
        <x:f t="shared" si="61"/>
        <x:v>89150</x:v>
      </x:c>
      <x:c r="I667" s="12">
        <x:f t="shared" si="59"/>
        <x:v>962820000</x:v>
      </x:c>
      <x:c r="J667" s="12">
        <x:f>ROUND(英雄升级调参!$D$114*英雄升级调参!$J$11*英雄升级调参!$E$21,0)</x:f>
        <x:v>272</x:v>
      </x:c>
      <x:c r="K667" s="12">
        <x:f>ROUND(英雄升级调参!$D$114*英雄升级调参!$C$11*英雄升级调参!$J$11*英雄升级调参!$G$21,0)</x:f>
        <x:v>2250</x:v>
      </x:c>
      <x:c r="L667" s="12" t="n">
        <x:f>养成消耗调参!$E$196</x:f>
        <x:v>2208</x:v>
      </x:c>
      <x:c r="M667" s="12" t="n">
        <x:f>养成消耗调参!$H$196</x:f>
        <x:v>15000</x:v>
      </x:c>
      <x:c r="N667" s="12" t="n">
        <x:f>养成消耗调参!$I$196</x:f>
        <x:v>0</x:v>
      </x:c>
      <x:c r="O667" s="12" t="n">
        <x:f>养成消耗调参!$L$196</x:f>
        <x:v>53088</x:v>
      </x:c>
      <x:c r="P667" s="12" t="n">
        <x:f>养成消耗调参!$O$196</x:f>
        <x:v>333000</x:v>
      </x:c>
      <x:c r="Q667" s="12" t="n">
        <x:f>养成消耗调参!$P$196</x:f>
        <x:v>810</x:v>
      </x:c>
      <x:c r="R667" s="13">
        <x:f>I667/英雄升级调参!$M$114-1</x:f>
        <x:v>-0.0005414590157690746</x:v>
      </x:c>
      <x:c r="S667" s="6"/>
      <x:c r="T667" s="6"/>
      <x:c r="U667" s="6"/>
    </x:row>
    <x:row r="668" ht="21" customHeight="1">
      <x:c r="A668" s="14" t="n">
        <x:f>英雄升级调参!$B$21</x:f>
        <x:v>310003</x:v>
      </x:c>
      <x:c r="B668" s="14" t="str">
        <x:f>英雄升级调参!$C$21</x:f>
        <x:v>鲀小泡</x:v>
      </x:c>
      <x:c r="C668" s="6" t="str">
        <x:f>英雄升级调参!$D$21</x:f>
        <x:v>战士</x:v>
      </x:c>
      <x:c r="D668" s="6" t="s">
        <x:v>25</x:v>
      </x:c>
      <x:c r="E668" s="6">
        <x:v>50</x:v>
      </x:c>
      <x:c r="F668" s="6" t="n">
        <x:f>英雄升级调参!$C$115</x:f>
        <x:v>10</x:v>
      </x:c>
      <x:c r="G668" s="12">
        <x:f t="shared" si="60"/>
        <x:v>11616</x:v>
      </x:c>
      <x:c r="H668" s="12">
        <x:f t="shared" si="61"/>
        <x:v>95900</x:v>
      </x:c>
      <x:c r="I668" s="12">
        <x:f t="shared" si="59"/>
        <x:v>1113974400</x:v>
      </x:c>
      <x:c r="J668" s="12">
        <x:f>ROUND(英雄升级调参!$D$115*英雄升级调参!$J$11*英雄升级调参!$E$21,0)*3</x:f>
        <x:v>816</x:v>
      </x:c>
      <x:c r="K668" s="12">
        <x:f>ROUND(英雄升级调参!$D$115*英雄升级调参!$C$11*英雄升级调参!$J$11*英雄升级调参!$G$21,0)*3</x:f>
        <x:v>6750</x:v>
      </x:c>
      <x:c r="L668" s="12" t="n">
        <x:f>养成消耗调参!$E$197</x:f>
        <x:v>2304</x:v>
      </x:c>
      <x:c r="M668" s="12" t="n">
        <x:f>养成消耗调参!$H$197</x:f>
        <x:v>15000</x:v>
      </x:c>
      <x:c r="N668" s="12" t="n">
        <x:f>养成消耗调参!$I$197</x:f>
        <x:v>190</x:v>
      </x:c>
      <x:c r="O668" s="12" t="n">
        <x:f>养成消耗调参!$L$197</x:f>
        <x:v>55392</x:v>
      </x:c>
      <x:c r="P668" s="12" t="n">
        <x:f>养成消耗调参!$O$197</x:f>
        <x:v>348000</x:v>
      </x:c>
      <x:c r="Q668" s="12" t="n">
        <x:f>养成消耗调参!$P$197</x:f>
        <x:v>1000</x:v>
      </x:c>
      <x:c r="R668" s="13">
        <x:f>I668/英雄升级调参!$M$115-1</x:f>
        <x:v>-0.0007098038851062194</x:v>
      </x:c>
      <x:c r="S668" s="6"/>
      <x:c r="T668" s="6"/>
      <x:c r="U668" s="6"/>
    </x:row>
    <x:row r="669" ht="21" customHeight="1">
      <x:c r="A669" s="14" t="n">
        <x:f>英雄升级调参!$B$22</x:f>
        <x:v>310004</x:v>
      </x:c>
      <x:c r="B669" s="14" t="str">
        <x:f>英雄升级调参!$C$22</x:f>
        <x:v>龟尼克</x:v>
      </x:c>
      <x:c r="C669" s="6" t="str">
        <x:f>英雄升级调参!$D$22</x:f>
        <x:v>生存者</x:v>
      </x:c>
      <x:c r="D669" s="6" t="s">
        <x:v>18</x:v>
      </x:c>
      <x:c r="E669" s="6">
        <x:v>1</x:v>
      </x:c>
      <x:c r="F669" s="6" t="n">
        <x:f>英雄升级调参!$C$66</x:f>
        <x:v>1</x:v>
      </x:c>
      <x:c r="G669" s="12" t="n">
        <x:f>ROUND(英雄升级调参!$E$66*英雄升级调参!$E$22,0)</x:f>
        <x:v>48</x:v>
      </x:c>
      <x:c r="H669" s="12" t="n">
        <x:f>ROUND(英雄升级调参!$F$66*英雄升级调参!$G$22,0)</x:f>
        <x:v>750</x:v>
      </x:c>
      <x:c r="I669" s="12">
        <x:f t="shared" si="59"/>
        <x:v>36000</x:v>
      </x:c>
      <x:c r="J669" s="12" t="n">
        <x:f>0</x:f>
        <x:v>0</x:v>
      </x:c>
      <x:c r="K669" s="12" t="n">
        <x:f>0</x:f>
        <x:v>0</x:v>
      </x:c>
      <x:c r="L669" s="12" t="n">
        <x:f>养成消耗调参!$C$148</x:f>
        <x:v>0</x:v>
      </x:c>
      <x:c r="M669" s="12" t="n">
        <x:f>养成消耗调参!$F$148</x:f>
        <x:v>0</x:v>
      </x:c>
      <x:c r="N669" s="12" t="n">
        <x:f>养成消耗调参!$I$148</x:f>
        <x:v>0</x:v>
      </x:c>
      <x:c r="O669" s="12" t="n">
        <x:f>养成消耗调参!$J$148</x:f>
        <x:v>0</x:v>
      </x:c>
      <x:c r="P669" s="12" t="n">
        <x:f>养成消耗调参!$M$148</x:f>
        <x:v>0</x:v>
      </x:c>
      <x:c r="Q669" s="12" t="n">
        <x:f>养成消耗调参!$P$148</x:f>
        <x:v>0</x:v>
      </x:c>
      <x:c r="R669" s="13" t="n">
        <x:f>I669/英雄升级调参!$G$66-1</x:f>
        <x:v>0</x:v>
      </x:c>
      <x:c r="S669" s="6"/>
      <x:c r="T669" s="6"/>
      <x:c r="U669" s="6"/>
    </x:row>
    <x:row r="670" ht="21" customHeight="1">
      <x:c r="A670" s="14" t="n">
        <x:f>英雄升级调参!$B$22</x:f>
        <x:v>310004</x:v>
      </x:c>
      <x:c r="B670" s="14" t="str">
        <x:f>英雄升级调参!$C$22</x:f>
        <x:v>龟尼克</x:v>
      </x:c>
      <x:c r="C670" s="6" t="str">
        <x:f>英雄升级调参!$D$22</x:f>
        <x:v>生存者</x:v>
      </x:c>
      <x:c r="D670" s="6" t="s">
        <x:v>18</x:v>
      </x:c>
      <x:c r="E670" s="6">
        <x:v>2</x:v>
      </x:c>
      <x:c r="F670" s="6" t="n">
        <x:f>英雄升级调参!$C$67</x:f>
        <x:v>1</x:v>
      </x:c>
      <x:c r="G670" s="12">
        <x:f t="shared" ref="G670:G701" si="62">G669+J670</x:f>
        <x:v>62</x:v>
      </x:c>
      <x:c r="H670" s="12">
        <x:f t="shared" ref="H670:H701" si="63">H669+K670</x:f>
        <x:v>975</x:v>
      </x:c>
      <x:c r="I670" s="12">
        <x:f t="shared" si="59"/>
        <x:v>60450</x:v>
      </x:c>
      <x:c r="J670" s="12">
        <x:f>ROUND(英雄升级调参!$D$67*英雄升级调参!$J$9*英雄升级调参!$E$22,0)</x:f>
        <x:v>14</x:v>
      </x:c>
      <x:c r="K670" s="12">
        <x:f>ROUND(英雄升级调参!$D$67*英雄升级调参!$C$11*英雄升级调参!$J$9*英雄升级调参!$G$22,0)</x:f>
        <x:v>225</x:v>
      </x:c>
      <x:c r="L670" s="12" t="n">
        <x:f>养成消耗调参!$C$149</x:f>
        <x:v>24</x:v>
      </x:c>
      <x:c r="M670" s="12" t="n">
        <x:f>养成消耗调参!$F$149</x:f>
        <x:v>300</x:v>
      </x:c>
      <x:c r="N670" s="12" t="n">
        <x:f>养成消耗调参!$I$149</x:f>
        <x:v>0</x:v>
      </x:c>
      <x:c r="O670" s="12" t="n">
        <x:f>养成消耗调参!$J$149</x:f>
        <x:v>24</x:v>
      </x:c>
      <x:c r="P670" s="12" t="n">
        <x:f>养成消耗调参!$M$149</x:f>
        <x:v>300</x:v>
      </x:c>
      <x:c r="Q670" s="12" t="n">
        <x:f>养成消耗调参!$P$149</x:f>
        <x:v>0</x:v>
      </x:c>
      <x:c r="R670" s="13">
        <x:f>I670/英雄升级调参!$G$67-1</x:f>
        <x:v>-0.0064102564102563875</x:v>
      </x:c>
      <x:c r="S670" s="6"/>
      <x:c r="T670" s="6"/>
      <x:c r="U670" s="6"/>
    </x:row>
    <x:row r="671" ht="21" customHeight="1">
      <x:c r="A671" s="14" t="n">
        <x:f>英雄升级调参!$B$22</x:f>
        <x:v>310004</x:v>
      </x:c>
      <x:c r="B671" s="14" t="str">
        <x:f>英雄升级调参!$C$22</x:f>
        <x:v>龟尼克</x:v>
      </x:c>
      <x:c r="C671" s="6" t="str">
        <x:f>英雄升级调参!$D$22</x:f>
        <x:v>生存者</x:v>
      </x:c>
      <x:c r="D671" s="6" t="s">
        <x:v>18</x:v>
      </x:c>
      <x:c r="E671" s="6">
        <x:v>3</x:v>
      </x:c>
      <x:c r="F671" s="6" t="n">
        <x:f>英雄升级调参!$C$68</x:f>
        <x:v>1</x:v>
      </x:c>
      <x:c r="G671" s="12">
        <x:f t="shared" si="62"/>
        <x:v>76</x:v>
      </x:c>
      <x:c r="H671" s="12">
        <x:f t="shared" si="63"/>
        <x:v>1200</x:v>
      </x:c>
      <x:c r="I671" s="12">
        <x:f t="shared" si="59"/>
        <x:v>91200</x:v>
      </x:c>
      <x:c r="J671" s="12">
        <x:f>ROUND(英雄升级调参!$D$68*英雄升级调参!$J$9*英雄升级调参!$E$22,0)</x:f>
        <x:v>14</x:v>
      </x:c>
      <x:c r="K671" s="12">
        <x:f>ROUND(英雄升级调参!$D$68*英雄升级调参!$C$11*英雄升级调参!$J$9*英雄升级调参!$G$22,0)</x:f>
        <x:v>225</x:v>
      </x:c>
      <x:c r="L671" s="12" t="n">
        <x:f>养成消耗调参!$C$150</x:f>
        <x:v>24</x:v>
      </x:c>
      <x:c r="M671" s="12" t="n">
        <x:f>养成消耗调参!$F$150</x:f>
        <x:v>300</x:v>
      </x:c>
      <x:c r="N671" s="12" t="n">
        <x:f>养成消耗调参!$I$150</x:f>
        <x:v>0</x:v>
      </x:c>
      <x:c r="O671" s="12" t="n">
        <x:f>养成消耗调参!$J$150</x:f>
        <x:v>48</x:v>
      </x:c>
      <x:c r="P671" s="12" t="n">
        <x:f>养成消耗调参!$M$150</x:f>
        <x:v>600</x:v>
      </x:c>
      <x:c r="Q671" s="12" t="n">
        <x:f>养成消耗调参!$P$150</x:f>
        <x:v>0</x:v>
      </x:c>
      <x:c r="R671" s="13">
        <x:f>I671/英雄升级调参!$G$68-1</x:f>
        <x:v>-0.01041666666666663</x:v>
      </x:c>
      <x:c r="S671" s="6"/>
      <x:c r="T671" s="6"/>
      <x:c r="U671" s="6"/>
    </x:row>
    <x:row r="672" ht="21" customHeight="1">
      <x:c r="A672" s="14" t="n">
        <x:f>英雄升级调参!$B$22</x:f>
        <x:v>310004</x:v>
      </x:c>
      <x:c r="B672" s="14" t="str">
        <x:f>英雄升级调参!$C$22</x:f>
        <x:v>龟尼克</x:v>
      </x:c>
      <x:c r="C672" s="6" t="str">
        <x:f>英雄升级调参!$D$22</x:f>
        <x:v>生存者</x:v>
      </x:c>
      <x:c r="D672" s="6" t="s">
        <x:v>18</x:v>
      </x:c>
      <x:c r="E672" s="6">
        <x:v>4</x:v>
      </x:c>
      <x:c r="F672" s="6" t="n">
        <x:f>英雄升级调参!$C$69</x:f>
        <x:v>1</x:v>
      </x:c>
      <x:c r="G672" s="12">
        <x:f t="shared" si="62"/>
        <x:v>90</x:v>
      </x:c>
      <x:c r="H672" s="12">
        <x:f t="shared" si="63"/>
        <x:v>1425</x:v>
      </x:c>
      <x:c r="I672" s="12">
        <x:f t="shared" si="59"/>
        <x:v>128250</x:v>
      </x:c>
      <x:c r="J672" s="12">
        <x:f>ROUND(英雄升级调参!$D$69*英雄升级调参!$J$9*英雄升级调参!$E$22,0)</x:f>
        <x:v>14</x:v>
      </x:c>
      <x:c r="K672" s="12">
        <x:f>ROUND(英雄升级调参!$D$69*英雄升级调参!$C$11*英雄升级调参!$J$9*英雄升级调参!$G$22,0)</x:f>
        <x:v>225</x:v>
      </x:c>
      <x:c r="L672" s="12" t="n">
        <x:f>养成消耗调参!$C$151</x:f>
        <x:v>48</x:v>
      </x:c>
      <x:c r="M672" s="12" t="n">
        <x:f>养成消耗调参!$F$151</x:f>
        <x:v>300</x:v>
      </x:c>
      <x:c r="N672" s="12" t="n">
        <x:f>养成消耗调参!$I$151</x:f>
        <x:v>0</x:v>
      </x:c>
      <x:c r="O672" s="12" t="n">
        <x:f>养成消耗调参!$J$151</x:f>
        <x:v>96</x:v>
      </x:c>
      <x:c r="P672" s="12" t="n">
        <x:f>养成消耗调参!$M$151</x:f>
        <x:v>900</x:v>
      </x:c>
      <x:c r="Q672" s="12" t="n">
        <x:f>养成消耗调参!$P$151</x:f>
        <x:v>0</x:v>
      </x:c>
      <x:c r="R672" s="13">
        <x:f>I672/英雄升级调参!$G$69-1</x:f>
        <x:v>-0.013157894736842146</x:v>
      </x:c>
      <x:c r="S672" s="6"/>
      <x:c r="T672" s="6"/>
      <x:c r="U672" s="6"/>
    </x:row>
    <x:row r="673" ht="21" customHeight="1">
      <x:c r="A673" s="14" t="n">
        <x:f>英雄升级调参!$B$22</x:f>
        <x:v>310004</x:v>
      </x:c>
      <x:c r="B673" s="14" t="str">
        <x:f>英雄升级调参!$C$22</x:f>
        <x:v>龟尼克</x:v>
      </x:c>
      <x:c r="C673" s="6" t="str">
        <x:f>英雄升级调参!$D$22</x:f>
        <x:v>生存者</x:v>
      </x:c>
      <x:c r="D673" s="6" t="s">
        <x:v>18</x:v>
      </x:c>
      <x:c r="E673" s="6">
        <x:v>5</x:v>
      </x:c>
      <x:c r="F673" s="6" t="n">
        <x:f>英雄升级调参!$C$70</x:f>
        <x:v>1</x:v>
      </x:c>
      <x:c r="G673" s="12">
        <x:f t="shared" si="62"/>
        <x:v>132</x:v>
      </x:c>
      <x:c r="H673" s="12">
        <x:f t="shared" si="63"/>
        <x:v>2100</x:v>
      </x:c>
      <x:c r="I673" s="12">
        <x:f t="shared" si="59"/>
        <x:v>277200</x:v>
      </x:c>
      <x:c r="J673" s="12">
        <x:f>ROUND(英雄升级调参!$D$70*英雄升级调参!$J$9*英雄升级调参!$E$22,0)*3</x:f>
        <x:v>42</x:v>
      </x:c>
      <x:c r="K673" s="12">
        <x:f>ROUND(英雄升级调参!$D$70*英雄升级调参!$C$11*英雄升级调参!$J$9*英雄升级调参!$G$22,0)*3</x:f>
        <x:v>675</x:v>
      </x:c>
      <x:c r="L673" s="12" t="n">
        <x:f>养成消耗调参!$C$152</x:f>
        <x:v>72</x:v>
      </x:c>
      <x:c r="M673" s="12" t="n">
        <x:f>养成消耗调参!$F$152</x:f>
        <x:v>300</x:v>
      </x:c>
      <x:c r="N673" s="12" t="n">
        <x:f>养成消耗调参!$I$152</x:f>
        <x:v>10</x:v>
      </x:c>
      <x:c r="O673" s="12" t="n">
        <x:f>养成消耗调参!$J$152</x:f>
        <x:v>168</x:v>
      </x:c>
      <x:c r="P673" s="12" t="n">
        <x:f>养成消耗调参!$M$152</x:f>
        <x:v>1200</x:v>
      </x:c>
      <x:c r="Q673" s="12" t="n">
        <x:f>养成消耗调参!$P$152</x:f>
        <x:v>10</x:v>
      </x:c>
      <x:c r="R673" s="13">
        <x:f>I673/英雄升级调参!$G$70-1</x:f>
        <x:v>-0.017857142857142905</x:v>
      </x:c>
      <x:c r="S673" s="6"/>
      <x:c r="T673" s="6"/>
      <x:c r="U673" s="6"/>
    </x:row>
    <x:row r="674" ht="21" customHeight="1">
      <x:c r="A674" s="14" t="n">
        <x:f>英雄升级调参!$B$22</x:f>
        <x:v>310004</x:v>
      </x:c>
      <x:c r="B674" s="14" t="str">
        <x:f>英雄升级调参!$C$22</x:f>
        <x:v>龟尼克</x:v>
      </x:c>
      <x:c r="C674" s="6" t="str">
        <x:f>英雄升级调参!$D$22</x:f>
        <x:v>生存者</x:v>
      </x:c>
      <x:c r="D674" s="6" t="s">
        <x:v>18</x:v>
      </x:c>
      <x:c r="E674" s="6">
        <x:v>6</x:v>
      </x:c>
      <x:c r="F674" s="6" t="n">
        <x:f>英雄升级调参!$C$71</x:f>
        <x:v>2</x:v>
      </x:c>
      <x:c r="G674" s="12">
        <x:f t="shared" si="62"/>
        <x:v>154</x:v>
      </x:c>
      <x:c r="H674" s="12">
        <x:f t="shared" si="63"/>
        <x:v>2438</x:v>
      </x:c>
      <x:c r="I674" s="12">
        <x:f t="shared" si="59"/>
        <x:v>375452</x:v>
      </x:c>
      <x:c r="J674" s="12">
        <x:f>ROUND(英雄升级调参!$D$71*英雄升级调参!$J$9*英雄升级调参!$E$22,0)</x:f>
        <x:v>22</x:v>
      </x:c>
      <x:c r="K674" s="12">
        <x:f>ROUND(英雄升级调参!$D$71*英雄升级调参!$C$11*英雄升级调参!$J$9*英雄升级调参!$G$22,0)</x:f>
        <x:v>338</x:v>
      </x:c>
      <x:c r="L674" s="12" t="n">
        <x:f>养成消耗调参!$C$153</x:f>
        <x:v>120</x:v>
      </x:c>
      <x:c r="M674" s="12" t="n">
        <x:f>养成消耗调参!$F$153</x:f>
        <x:v>300</x:v>
      </x:c>
      <x:c r="N674" s="12" t="n">
        <x:f>养成消耗调参!$I$153</x:f>
        <x:v>0</x:v>
      </x:c>
      <x:c r="O674" s="12" t="n">
        <x:f>养成消耗调参!$J$153</x:f>
        <x:v>288</x:v>
      </x:c>
      <x:c r="P674" s="12" t="n">
        <x:f>养成消耗调参!$M$153</x:f>
        <x:v>1500</x:v>
      </x:c>
      <x:c r="Q674" s="12" t="n">
        <x:f>养成消耗调参!$P$153</x:f>
        <x:v>10</x:v>
      </x:c>
      <x:c r="R674" s="13">
        <x:f>I674/英雄升级调参!$G$71-1</x:f>
        <x:v>-0.012618014464168326</x:v>
      </x:c>
      <x:c r="S674" s="6"/>
      <x:c r="T674" s="6"/>
      <x:c r="U674" s="6"/>
    </x:row>
    <x:row r="675" ht="21" customHeight="1">
      <x:c r="A675" s="14" t="n">
        <x:f>英雄升级调参!$B$22</x:f>
        <x:v>310004</x:v>
      </x:c>
      <x:c r="B675" s="14" t="str">
        <x:f>英雄升级调参!$C$22</x:f>
        <x:v>龟尼克</x:v>
      </x:c>
      <x:c r="C675" s="6" t="str">
        <x:f>英雄升级调参!$D$22</x:f>
        <x:v>生存者</x:v>
      </x:c>
      <x:c r="D675" s="6" t="s">
        <x:v>18</x:v>
      </x:c>
      <x:c r="E675" s="6">
        <x:v>7</x:v>
      </x:c>
      <x:c r="F675" s="6" t="n">
        <x:f>英雄升级调参!$C$72</x:f>
        <x:v>2</x:v>
      </x:c>
      <x:c r="G675" s="12">
        <x:f t="shared" si="62"/>
        <x:v>176</x:v>
      </x:c>
      <x:c r="H675" s="12">
        <x:f t="shared" si="63"/>
        <x:v>2776</x:v>
      </x:c>
      <x:c r="I675" s="12">
        <x:f t="shared" si="59"/>
        <x:v>488576</x:v>
      </x:c>
      <x:c r="J675" s="12">
        <x:f>ROUND(英雄升级调参!$D$72*英雄升级调参!$J$9*英雄升级调参!$E$22,0)</x:f>
        <x:v>22</x:v>
      </x:c>
      <x:c r="K675" s="12">
        <x:f>ROUND(英雄升级调参!$D$72*英雄升级调参!$C$11*英雄升级调参!$J$9*英雄升级调参!$G$22,0)</x:f>
        <x:v>338</x:v>
      </x:c>
      <x:c r="L675" s="12" t="n">
        <x:f>养成消耗调参!$C$154</x:f>
        <x:v>120</x:v>
      </x:c>
      <x:c r="M675" s="12" t="n">
        <x:f>养成消耗调参!$F$154</x:f>
        <x:v>900</x:v>
      </x:c>
      <x:c r="N675" s="12" t="n">
        <x:f>养成消耗调参!$I$154</x:f>
        <x:v>0</x:v>
      </x:c>
      <x:c r="O675" s="12" t="n">
        <x:f>养成消耗调参!$J$154</x:f>
        <x:v>408</x:v>
      </x:c>
      <x:c r="P675" s="12" t="n">
        <x:f>养成消耗调参!$M$154</x:f>
        <x:v>2400</x:v>
      </x:c>
      <x:c r="Q675" s="12" t="n">
        <x:f>养成消耗调参!$P$154</x:f>
        <x:v>10</x:v>
      </x:c>
      <x:c r="R675" s="13">
        <x:f>I675/英雄升级调参!$G$72-1</x:f>
        <x:v>-0.008651895138381605</x:v>
      </x:c>
      <x:c r="S675" s="6"/>
      <x:c r="T675" s="6"/>
      <x:c r="U675" s="6"/>
    </x:row>
    <x:row r="676" ht="21" customHeight="1">
      <x:c r="A676" s="14" t="n">
        <x:f>英雄升级调参!$B$22</x:f>
        <x:v>310004</x:v>
      </x:c>
      <x:c r="B676" s="14" t="str">
        <x:f>英雄升级调参!$C$22</x:f>
        <x:v>龟尼克</x:v>
      </x:c>
      <x:c r="C676" s="6" t="str">
        <x:f>英雄升级调参!$D$22</x:f>
        <x:v>生存者</x:v>
      </x:c>
      <x:c r="D676" s="6" t="s">
        <x:v>18</x:v>
      </x:c>
      <x:c r="E676" s="6">
        <x:v>8</x:v>
      </x:c>
      <x:c r="F676" s="6" t="n">
        <x:f>英雄升级调参!$C$73</x:f>
        <x:v>2</x:v>
      </x:c>
      <x:c r="G676" s="12">
        <x:f t="shared" si="62"/>
        <x:v>198</x:v>
      </x:c>
      <x:c r="H676" s="12">
        <x:f t="shared" si="63"/>
        <x:v>3114</x:v>
      </x:c>
      <x:c r="I676" s="12">
        <x:f t="shared" si="59"/>
        <x:v>616572</x:v>
      </x:c>
      <x:c r="J676" s="12">
        <x:f>ROUND(英雄升级调参!$D$73*英雄升级调参!$J$9*英雄升级调参!$E$22,0)</x:f>
        <x:v>22</x:v>
      </x:c>
      <x:c r="K676" s="12">
        <x:f>ROUND(英雄升级调参!$D$73*英雄升级调参!$C$11*英雄升级调参!$J$9*英雄升级调参!$G$22,0)</x:f>
        <x:v>338</x:v>
      </x:c>
      <x:c r="L676" s="12" t="n">
        <x:f>养成消耗调参!$C$155</x:f>
        <x:v>144</x:v>
      </x:c>
      <x:c r="M676" s="12" t="n">
        <x:f>养成消耗调参!$F$155</x:f>
        <x:v>900</x:v>
      </x:c>
      <x:c r="N676" s="12" t="n">
        <x:f>养成消耗调参!$I$155</x:f>
        <x:v>0</x:v>
      </x:c>
      <x:c r="O676" s="12" t="n">
        <x:f>养成消耗调参!$J$155</x:f>
        <x:v>552</x:v>
      </x:c>
      <x:c r="P676" s="12" t="n">
        <x:f>养成消耗调参!$M$155</x:f>
        <x:v>3300</x:v>
      </x:c>
      <x:c r="Q676" s="12" t="n">
        <x:f>养成消耗调参!$P$155</x:f>
        <x:v>10</x:v>
      </x:c>
      <x:c r="R676" s="13">
        <x:f>I676/英雄升级调参!$G$73-1</x:f>
        <x:v>-0.005545071853679806</x:v>
      </x:c>
      <x:c r="S676" s="6"/>
      <x:c r="T676" s="6"/>
      <x:c r="U676" s="6"/>
    </x:row>
    <x:row r="677" ht="21" customHeight="1">
      <x:c r="A677" s="14" t="n">
        <x:f>英雄升级调参!$B$22</x:f>
        <x:v>310004</x:v>
      </x:c>
      <x:c r="B677" s="14" t="str">
        <x:f>英雄升级调参!$C$22</x:f>
        <x:v>龟尼克</x:v>
      </x:c>
      <x:c r="C677" s="6" t="str">
        <x:f>英雄升级调参!$D$22</x:f>
        <x:v>生存者</x:v>
      </x:c>
      <x:c r="D677" s="6" t="s">
        <x:v>18</x:v>
      </x:c>
      <x:c r="E677" s="6">
        <x:v>9</x:v>
      </x:c>
      <x:c r="F677" s="6" t="n">
        <x:f>英雄升级调参!$C$74</x:f>
        <x:v>2</x:v>
      </x:c>
      <x:c r="G677" s="12">
        <x:f t="shared" si="62"/>
        <x:v>220</x:v>
      </x:c>
      <x:c r="H677" s="12">
        <x:f t="shared" si="63"/>
        <x:v>3452</x:v>
      </x:c>
      <x:c r="I677" s="12">
        <x:f t="shared" si="59"/>
        <x:v>759440</x:v>
      </x:c>
      <x:c r="J677" s="12">
        <x:f>ROUND(英雄升级调参!$D$74*英雄升级调参!$J$9*英雄升级调参!$E$22,0)</x:f>
        <x:v>22</x:v>
      </x:c>
      <x:c r="K677" s="12">
        <x:f>ROUND(英雄升级调参!$D$74*英雄升级调参!$C$11*英雄升级调参!$J$9*英雄升级调参!$G$22,0)</x:f>
        <x:v>338</x:v>
      </x:c>
      <x:c r="L677" s="12" t="n">
        <x:f>养成消耗调参!$C$156</x:f>
        <x:v>144</x:v>
      </x:c>
      <x:c r="M677" s="12" t="n">
        <x:f>养成消耗调参!$F$156</x:f>
        <x:v>900</x:v>
      </x:c>
      <x:c r="N677" s="12" t="n">
        <x:f>养成消耗调参!$I$156</x:f>
        <x:v>0</x:v>
      </x:c>
      <x:c r="O677" s="12" t="n">
        <x:f>养成消耗调参!$J$156</x:f>
        <x:v>696</x:v>
      </x:c>
      <x:c r="P677" s="12" t="n">
        <x:f>养成消耗调参!$M$156</x:f>
        <x:v>4200</x:v>
      </x:c>
      <x:c r="Q677" s="12" t="n">
        <x:f>养成消耗调参!$P$156</x:f>
        <x:v>10</x:v>
      </x:c>
      <x:c r="R677" s="13">
        <x:f>I677/英雄升级调参!$G$74-1</x:f>
        <x:v>-0.0030455786599453694</x:v>
      </x:c>
      <x:c r="S677" s="6"/>
      <x:c r="T677" s="6"/>
      <x:c r="U677" s="6"/>
    </x:row>
    <x:row r="678" ht="21" customHeight="1">
      <x:c r="A678" s="14" t="n">
        <x:f>英雄升级调参!$B$22</x:f>
        <x:v>310004</x:v>
      </x:c>
      <x:c r="B678" s="14" t="str">
        <x:f>英雄升级调参!$C$22</x:f>
        <x:v>龟尼克</x:v>
      </x:c>
      <x:c r="C678" s="6" t="str">
        <x:f>英雄升级调参!$D$22</x:f>
        <x:v>生存者</x:v>
      </x:c>
      <x:c r="D678" s="6" t="s">
        <x:v>18</x:v>
      </x:c>
      <x:c r="E678" s="6">
        <x:v>10</x:v>
      </x:c>
      <x:c r="F678" s="6" t="n">
        <x:f>英雄升级调参!$C$75</x:f>
        <x:v>2</x:v>
      </x:c>
      <x:c r="G678" s="12">
        <x:f t="shared" si="62"/>
        <x:v>286</x:v>
      </x:c>
      <x:c r="H678" s="12">
        <x:f t="shared" si="63"/>
        <x:v>4466</x:v>
      </x:c>
      <x:c r="I678" s="12">
        <x:f t="shared" si="59"/>
        <x:v>1277276</x:v>
      </x:c>
      <x:c r="J678" s="12">
        <x:f>ROUND(英雄升级调参!$D$75*英雄升级调参!$J$9*英雄升级调参!$E$22,0)*3</x:f>
        <x:v>66</x:v>
      </x:c>
      <x:c r="K678" s="12">
        <x:f>ROUND(英雄升级调参!$D$75*英雄升级调参!$C$11*英雄升级调参!$J$9*英雄升级调参!$G$22,0)*3</x:f>
        <x:v>1014</x:v>
      </x:c>
      <x:c r="L678" s="12" t="n">
        <x:f>养成消耗调参!$C$157</x:f>
        <x:v>216</x:v>
      </x:c>
      <x:c r="M678" s="12" t="n">
        <x:f>养成消耗调参!$F$157</x:f>
        <x:v>900</x:v>
      </x:c>
      <x:c r="N678" s="12" t="n">
        <x:f>养成消耗调参!$I$157</x:f>
        <x:v>30</x:v>
      </x:c>
      <x:c r="O678" s="12" t="n">
        <x:f>养成消耗调参!$J$157</x:f>
        <x:v>912</x:v>
      </x:c>
      <x:c r="P678" s="12" t="n">
        <x:f>养成消耗调参!$M$157</x:f>
        <x:v>5100</x:v>
      </x:c>
      <x:c r="Q678" s="12" t="n">
        <x:f>养成消耗调参!$P$157</x:f>
        <x:v>40</x:v>
      </x:c>
      <x:c r="R678" s="13">
        <x:f>I678/英雄升级调参!$G$75-1</x:f>
        <x:v>0.0021859724281869664</x:v>
      </x:c>
      <x:c r="S678" s="6"/>
      <x:c r="T678" s="6"/>
      <x:c r="U678" s="6"/>
    </x:row>
    <x:row r="679" ht="21" customHeight="1">
      <x:c r="A679" s="14" t="n">
        <x:f>英雄升级调参!$B$22</x:f>
        <x:v>310004</x:v>
      </x:c>
      <x:c r="B679" s="14" t="str">
        <x:f>英雄升级调参!$C$22</x:f>
        <x:v>龟尼克</x:v>
      </x:c>
      <x:c r="C679" s="6" t="str">
        <x:f>英雄升级调参!$D$22</x:f>
        <x:v>生存者</x:v>
      </x:c>
      <x:c r="D679" s="6" t="s">
        <x:v>18</x:v>
      </x:c>
      <x:c r="E679" s="6">
        <x:v>11</x:v>
      </x:c>
      <x:c r="F679" s="6" t="n">
        <x:f>英雄升级调参!$C$76</x:f>
        <x:v>3</x:v>
      </x:c>
      <x:c r="G679" s="12">
        <x:f t="shared" si="62"/>
        <x:v>315</x:v>
      </x:c>
      <x:c r="H679" s="12">
        <x:f t="shared" si="63"/>
        <x:v>4916</x:v>
      </x:c>
      <x:c r="I679" s="12">
        <x:f t="shared" si="59"/>
        <x:v>1548540</x:v>
      </x:c>
      <x:c r="J679" s="12">
        <x:f>ROUND(英雄升级调参!$D$76*英雄升级调参!$J$9*英雄升级调参!$E$22,0)</x:f>
        <x:v>29</x:v>
      </x:c>
      <x:c r="K679" s="12">
        <x:f>ROUND(英雄升级调参!$D$76*英雄升级调参!$C$11*英雄升级调参!$J$9*英雄升级调参!$G$22,0)</x:f>
        <x:v>450</x:v>
      </x:c>
      <x:c r="L679" s="12" t="n">
        <x:f>养成消耗调参!$C$158</x:f>
        <x:v>216</x:v>
      </x:c>
      <x:c r="M679" s="12" t="n">
        <x:f>养成消耗调参!$F$158</x:f>
        <x:v>900</x:v>
      </x:c>
      <x:c r="N679" s="12" t="n">
        <x:f>养成消耗调参!$I$158</x:f>
        <x:v>0</x:v>
      </x:c>
      <x:c r="O679" s="12" t="n">
        <x:f>养成消耗调参!$J$158</x:f>
        <x:v>1128</x:v>
      </x:c>
      <x:c r="P679" s="12" t="n">
        <x:f>养成消耗调参!$M$158</x:f>
        <x:v>6000</x:v>
      </x:c>
      <x:c r="Q679" s="12" t="n">
        <x:f>养成消耗调参!$P$158</x:f>
        <x:v>40</x:v>
      </x:c>
      <x:c r="R679" s="13">
        <x:f>I679/英雄升级调参!$G$76-1</x:f>
        <x:v>0.00262222481207397</x:v>
      </x:c>
      <x:c r="S679" s="6"/>
      <x:c r="T679" s="6"/>
      <x:c r="U679" s="6"/>
    </x:row>
    <x:row r="680" ht="21" customHeight="1">
      <x:c r="A680" s="14" t="n">
        <x:f>英雄升级调参!$B$22</x:f>
        <x:v>310004</x:v>
      </x:c>
      <x:c r="B680" s="14" t="str">
        <x:f>英雄升级调参!$C$22</x:f>
        <x:v>龟尼克</x:v>
      </x:c>
      <x:c r="C680" s="6" t="str">
        <x:f>英雄升级调参!$D$22</x:f>
        <x:v>生存者</x:v>
      </x:c>
      <x:c r="D680" s="6" t="s">
        <x:v>18</x:v>
      </x:c>
      <x:c r="E680" s="6">
        <x:v>12</x:v>
      </x:c>
      <x:c r="F680" s="6" t="n">
        <x:f>英雄升级调参!$C$77</x:f>
        <x:v>3</x:v>
      </x:c>
      <x:c r="G680" s="12">
        <x:f t="shared" si="62"/>
        <x:v>344</x:v>
      </x:c>
      <x:c r="H680" s="12">
        <x:f t="shared" si="63"/>
        <x:v>5366</x:v>
      </x:c>
      <x:c r="I680" s="12">
        <x:f t="shared" si="59"/>
        <x:v>1845904</x:v>
      </x:c>
      <x:c r="J680" s="12">
        <x:f>ROUND(英雄升级调参!$D$77*英雄升级调参!$J$9*英雄升级调参!$E$22,0)</x:f>
        <x:v>29</x:v>
      </x:c>
      <x:c r="K680" s="12">
        <x:f>ROUND(英雄升级调参!$D$77*英雄升级调参!$C$11*英雄升级调参!$J$9*英雄升级调参!$G$22,0)</x:f>
        <x:v>450</x:v>
      </x:c>
      <x:c r="L680" s="12" t="n">
        <x:f>养成消耗调参!$C$159</x:f>
        <x:v>240</x:v>
      </x:c>
      <x:c r="M680" s="12" t="n">
        <x:f>养成消耗调参!$F$159</x:f>
        <x:v>1500</x:v>
      </x:c>
      <x:c r="N680" s="12" t="n">
        <x:f>养成消耗调参!$I$159</x:f>
        <x:v>0</x:v>
      </x:c>
      <x:c r="O680" s="12" t="n">
        <x:f>养成消耗调参!$J$159</x:f>
        <x:v>1368</x:v>
      </x:c>
      <x:c r="P680" s="12" t="n">
        <x:f>养成消耗调参!$M$159</x:f>
        <x:v>7500</x:v>
      </x:c>
      <x:c r="Q680" s="12" t="n">
        <x:f>养成消耗调参!$P$159</x:f>
        <x:v>40</x:v>
      </x:c>
      <x:c r="R680" s="13">
        <x:f>I680/英雄升级调参!$G$77-1</x:f>
        <x:v>0.002985204383805673</x:v>
      </x:c>
      <x:c r="S680" s="6"/>
      <x:c r="T680" s="6"/>
      <x:c r="U680" s="6"/>
    </x:row>
    <x:row r="681" ht="21" customHeight="1">
      <x:c r="A681" s="14" t="n">
        <x:f>英雄升级调参!$B$22</x:f>
        <x:v>310004</x:v>
      </x:c>
      <x:c r="B681" s="14" t="str">
        <x:f>英雄升级调参!$C$22</x:f>
        <x:v>龟尼克</x:v>
      </x:c>
      <x:c r="C681" s="6" t="str">
        <x:f>英雄升级调参!$D$22</x:f>
        <x:v>生存者</x:v>
      </x:c>
      <x:c r="D681" s="6" t="s">
        <x:v>18</x:v>
      </x:c>
      <x:c r="E681" s="6">
        <x:v>13</x:v>
      </x:c>
      <x:c r="F681" s="6" t="n">
        <x:f>英雄升级调参!$C$78</x:f>
        <x:v>3</x:v>
      </x:c>
      <x:c r="G681" s="12">
        <x:f t="shared" si="62"/>
        <x:v>373</x:v>
      </x:c>
      <x:c r="H681" s="12">
        <x:f t="shared" si="63"/>
        <x:v>5816</x:v>
      </x:c>
      <x:c r="I681" s="12">
        <x:f t="shared" si="59"/>
        <x:v>2169368</x:v>
      </x:c>
      <x:c r="J681" s="12">
        <x:f>ROUND(英雄升级调参!$D$78*英雄升级调参!$J$9*英雄升级调参!$E$22,0)</x:f>
        <x:v>29</x:v>
      </x:c>
      <x:c r="K681" s="12">
        <x:f>ROUND(英雄升级调参!$D$78*英雄升级调参!$C$11*英雄升级调参!$J$9*英雄升级调参!$G$22,0)</x:f>
        <x:v>450</x:v>
      </x:c>
      <x:c r="L681" s="12" t="n">
        <x:f>养成消耗调参!$C$160</x:f>
        <x:v>240</x:v>
      </x:c>
      <x:c r="M681" s="12" t="n">
        <x:f>养成消耗调参!$F$160</x:f>
        <x:v>1500</x:v>
      </x:c>
      <x:c r="N681" s="12" t="n">
        <x:f>养成消耗调参!$I$160</x:f>
        <x:v>0</x:v>
      </x:c>
      <x:c r="O681" s="12" t="n">
        <x:f>养成消耗调参!$J$160</x:f>
        <x:v>1608</x:v>
      </x:c>
      <x:c r="P681" s="12" t="n">
        <x:f>养成消耗调参!$M$160</x:f>
        <x:v>9000</x:v>
      </x:c>
      <x:c r="Q681" s="12" t="n">
        <x:f>养成消耗调参!$P$160</x:f>
        <x:v>40</x:v>
      </x:c>
      <x:c r="R681" s="13">
        <x:f>I681/英雄升级调参!$G$78-1</x:f>
        <x:v>0.003291941264886189</x:v>
      </x:c>
      <x:c r="S681" s="6"/>
      <x:c r="T681" s="6"/>
      <x:c r="U681" s="6"/>
    </x:row>
    <x:row r="682" ht="21" customHeight="1">
      <x:c r="A682" s="14" t="n">
        <x:f>英雄升级调参!$B$22</x:f>
        <x:v>310004</x:v>
      </x:c>
      <x:c r="B682" s="14" t="str">
        <x:f>英雄升级调参!$C$22</x:f>
        <x:v>龟尼克</x:v>
      </x:c>
      <x:c r="C682" s="6" t="str">
        <x:f>英雄升级调参!$D$22</x:f>
        <x:v>生存者</x:v>
      </x:c>
      <x:c r="D682" s="6" t="s">
        <x:v>18</x:v>
      </x:c>
      <x:c r="E682" s="6">
        <x:v>14</x:v>
      </x:c>
      <x:c r="F682" s="6" t="n">
        <x:f>英雄升级调参!$C$79</x:f>
        <x:v>3</x:v>
      </x:c>
      <x:c r="G682" s="12">
        <x:f t="shared" si="62"/>
        <x:v>402</x:v>
      </x:c>
      <x:c r="H682" s="12">
        <x:f t="shared" si="63"/>
        <x:v>6266</x:v>
      </x:c>
      <x:c r="I682" s="12">
        <x:f t="shared" si="59"/>
        <x:v>2518932</x:v>
      </x:c>
      <x:c r="J682" s="12">
        <x:f>ROUND(英雄升级调参!$D$79*英雄升级调参!$J$9*英雄升级调参!$E$22,0)</x:f>
        <x:v>29</x:v>
      </x:c>
      <x:c r="K682" s="12">
        <x:f>ROUND(英雄升级调参!$D$79*英雄升级调参!$C$11*英雄升级调参!$J$9*英雄升级调参!$G$22,0)</x:f>
        <x:v>450</x:v>
      </x:c>
      <x:c r="L682" s="12" t="n">
        <x:f>养成消耗调参!$C$161</x:f>
        <x:v>288</x:v>
      </x:c>
      <x:c r="M682" s="12" t="n">
        <x:f>养成消耗调参!$F$161</x:f>
        <x:v>1500</x:v>
      </x:c>
      <x:c r="N682" s="12" t="n">
        <x:f>养成消耗调参!$I$161</x:f>
        <x:v>0</x:v>
      </x:c>
      <x:c r="O682" s="12" t="n">
        <x:f>养成消耗调参!$J$161</x:f>
        <x:v>1896</x:v>
      </x:c>
      <x:c r="P682" s="12" t="n">
        <x:f>养成消耗调参!$M$161</x:f>
        <x:v>10500</x:v>
      </x:c>
      <x:c r="Q682" s="12" t="n">
        <x:f>养成消耗调参!$P$161</x:f>
        <x:v>40</x:v>
      </x:c>
      <x:c r="R682" s="13">
        <x:f>I682/英雄升级调参!$G$79-1</x:f>
        <x:v>0.00355456751168326</x:v>
      </x:c>
      <x:c r="S682" s="6"/>
      <x:c r="T682" s="6"/>
      <x:c r="U682" s="6"/>
    </x:row>
    <x:row r="683" ht="21" customHeight="1">
      <x:c r="A683" s="14" t="n">
        <x:f>英雄升级调参!$B$22</x:f>
        <x:v>310004</x:v>
      </x:c>
      <x:c r="B683" s="14" t="str">
        <x:f>英雄升级调参!$C$22</x:f>
        <x:v>龟尼克</x:v>
      </x:c>
      <x:c r="C683" s="6" t="str">
        <x:f>英雄升级调参!$D$22</x:f>
        <x:v>生存者</x:v>
      </x:c>
      <x:c r="D683" s="6" t="s">
        <x:v>18</x:v>
      </x:c>
      <x:c r="E683" s="6">
        <x:v>15</x:v>
      </x:c>
      <x:c r="F683" s="6" t="n">
        <x:f>英雄升级调参!$C$80</x:f>
        <x:v>3</x:v>
      </x:c>
      <x:c r="G683" s="12">
        <x:f t="shared" si="62"/>
        <x:v>489</x:v>
      </x:c>
      <x:c r="H683" s="12">
        <x:f t="shared" si="63"/>
        <x:v>7616</x:v>
      </x:c>
      <x:c r="I683" s="12">
        <x:f t="shared" si="59"/>
        <x:v>3724224</x:v>
      </x:c>
      <x:c r="J683" s="12">
        <x:f>ROUND(英雄升级调参!$D$80*英雄升级调参!$J$9*英雄升级调参!$E$22,0)*3</x:f>
        <x:v>87</x:v>
      </x:c>
      <x:c r="K683" s="12">
        <x:f>ROUND(英雄升级调参!$D$80*英雄升级调参!$C$11*英雄升级调参!$J$9*英雄升级调参!$G$22,0)*3</x:f>
        <x:v>1350</x:v>
      </x:c>
      <x:c r="L683" s="12" t="n">
        <x:f>养成消耗调参!$C$162</x:f>
        <x:v>288</x:v>
      </x:c>
      <x:c r="M683" s="12" t="n">
        <x:f>养成消耗调参!$F$162</x:f>
        <x:v>1500</x:v>
      </x:c>
      <x:c r="N683" s="12" t="n">
        <x:f>养成消耗调参!$I$162</x:f>
        <x:v>50</x:v>
      </x:c>
      <x:c r="O683" s="12" t="n">
        <x:f>养成消耗调参!$J$162</x:f>
        <x:v>2184</x:v>
      </x:c>
      <x:c r="P683" s="12" t="n">
        <x:f>养成消耗调参!$M$162</x:f>
        <x:v>12000</x:v>
      </x:c>
      <x:c r="Q683" s="12" t="n">
        <x:f>养成消耗调参!$P$162</x:f>
        <x:v>90</x:v>
      </x:c>
      <x:c r="R683" s="13">
        <x:f>I683/英雄升级调参!$G$80-1</x:f>
        <x:v>0.004156050053790938</x:v>
      </x:c>
      <x:c r="S683" s="6"/>
      <x:c r="T683" s="6"/>
      <x:c r="U683" s="6"/>
    </x:row>
    <x:row r="684" ht="21" customHeight="1">
      <x:c r="A684" s="14" t="n">
        <x:f>英雄升级调参!$B$22</x:f>
        <x:v>310004</x:v>
      </x:c>
      <x:c r="B684" s="14" t="str">
        <x:f>英雄升级调参!$C$22</x:f>
        <x:v>龟尼克</x:v>
      </x:c>
      <x:c r="C684" s="6" t="str">
        <x:f>英雄升级调参!$D$22</x:f>
        <x:v>生存者</x:v>
      </x:c>
      <x:c r="D684" s="6" t="s">
        <x:v>18</x:v>
      </x:c>
      <x:c r="E684" s="6">
        <x:v>16</x:v>
      </x:c>
      <x:c r="F684" s="6" t="n">
        <x:f>英雄升级调参!$C$81</x:f>
        <x:v>4</x:v>
      </x:c>
      <x:c r="G684" s="12">
        <x:f t="shared" si="62"/>
        <x:v>525</x:v>
      </x:c>
      <x:c r="H684" s="12">
        <x:f t="shared" si="63"/>
        <x:v>8179</x:v>
      </x:c>
      <x:c r="I684" s="12">
        <x:f t="shared" si="59"/>
        <x:v>4293975</x:v>
      </x:c>
      <x:c r="J684" s="12">
        <x:f>ROUND(英雄升级调参!$D$81*英雄升级调参!$J$9*英雄升级调参!$E$22,0)</x:f>
        <x:v>36</x:v>
      </x:c>
      <x:c r="K684" s="12">
        <x:f>ROUND(英雄升级调参!$D$81*英雄升级调参!$C$11*英雄升级调参!$J$9*英雄升级调参!$G$22,0)</x:f>
        <x:v>563</x:v>
      </x:c>
      <x:c r="L684" s="12" t="n">
        <x:f>养成消耗调参!$C$163</x:f>
        <x:v>336</x:v>
      </x:c>
      <x:c r="M684" s="12" t="n">
        <x:f>养成消耗调参!$F$163</x:f>
        <x:v>1500</x:v>
      </x:c>
      <x:c r="N684" s="12" t="n">
        <x:f>养成消耗调参!$I$163</x:f>
        <x:v>0</x:v>
      </x:c>
      <x:c r="O684" s="12" t="n">
        <x:f>养成消耗调参!$J$163</x:f>
        <x:v>2520</x:v>
      </x:c>
      <x:c r="P684" s="12" t="n">
        <x:f>养成消耗调参!$M$163</x:f>
        <x:v>13500</x:v>
      </x:c>
      <x:c r="Q684" s="12" t="n">
        <x:f>养成消耗调参!$P$163</x:f>
        <x:v>90</x:v>
      </x:c>
      <x:c r="R684" s="13">
        <x:f>I684/英雄升级调参!$G$81-1</x:f>
        <x:v>0.003931346968549132</x:v>
      </x:c>
      <x:c r="S684" s="6"/>
      <x:c r="T684" s="6"/>
      <x:c r="U684" s="6"/>
    </x:row>
    <x:row r="685" ht="21" customHeight="1">
      <x:c r="A685" s="14" t="n">
        <x:f>英雄升级调参!$B$22</x:f>
        <x:v>310004</x:v>
      </x:c>
      <x:c r="B685" s="14" t="str">
        <x:f>英雄升级调参!$C$22</x:f>
        <x:v>龟尼克</x:v>
      </x:c>
      <x:c r="C685" s="6" t="str">
        <x:f>英雄升级调参!$D$22</x:f>
        <x:v>生存者</x:v>
      </x:c>
      <x:c r="D685" s="6" t="s">
        <x:v>18</x:v>
      </x:c>
      <x:c r="E685" s="6">
        <x:v>17</x:v>
      </x:c>
      <x:c r="F685" s="6" t="n">
        <x:f>英雄升级调参!$C$82</x:f>
        <x:v>4</x:v>
      </x:c>
      <x:c r="G685" s="12">
        <x:f t="shared" si="62"/>
        <x:v>561</x:v>
      </x:c>
      <x:c r="H685" s="12">
        <x:f t="shared" si="63"/>
        <x:v>8742</x:v>
      </x:c>
      <x:c r="I685" s="12">
        <x:f t="shared" si="59"/>
        <x:v>4904262</x:v>
      </x:c>
      <x:c r="J685" s="12">
        <x:f>ROUND(英雄升级调参!$D$82*英雄升级调参!$J$9*英雄升级调参!$E$22,0)</x:f>
        <x:v>36</x:v>
      </x:c>
      <x:c r="K685" s="12">
        <x:f>ROUND(英雄升级调参!$D$82*英雄升级调参!$C$11*英雄升级调参!$J$9*英雄升级调参!$G$22,0)</x:f>
        <x:v>563</x:v>
      </x:c>
      <x:c r="L685" s="12" t="n">
        <x:f>养成消耗调参!$C$164</x:f>
        <x:v>336</x:v>
      </x:c>
      <x:c r="M685" s="12" t="n">
        <x:f>养成消耗调参!$F$164</x:f>
        <x:v>2100</x:v>
      </x:c>
      <x:c r="N685" s="12" t="n">
        <x:f>养成消耗调参!$I$164</x:f>
        <x:v>0</x:v>
      </x:c>
      <x:c r="O685" s="12" t="n">
        <x:f>养成消耗调参!$J$164</x:f>
        <x:v>2856</x:v>
      </x:c>
      <x:c r="P685" s="12" t="n">
        <x:f>养成消耗调参!$M$164</x:f>
        <x:v>15600</x:v>
      </x:c>
      <x:c r="Q685" s="12" t="n">
        <x:f>养成消耗调参!$P$164</x:f>
        <x:v>90</x:v>
      </x:c>
      <x:c r="R685" s="13">
        <x:f>I685/英雄升级调参!$G$82-1</x:f>
        <x:v>0.0037355633737958804</x:v>
      </x:c>
      <x:c r="S685" s="6"/>
      <x:c r="T685" s="6"/>
      <x:c r="U685" s="6"/>
    </x:row>
    <x:row r="686" ht="21" customHeight="1">
      <x:c r="A686" s="14" t="n">
        <x:f>英雄升级调参!$B$22</x:f>
        <x:v>310004</x:v>
      </x:c>
      <x:c r="B686" s="14" t="str">
        <x:f>英雄升级调参!$C$22</x:f>
        <x:v>龟尼克</x:v>
      </x:c>
      <x:c r="C686" s="6" t="str">
        <x:f>英雄升级调参!$D$22</x:f>
        <x:v>生存者</x:v>
      </x:c>
      <x:c r="D686" s="6" t="s">
        <x:v>18</x:v>
      </x:c>
      <x:c r="E686" s="6">
        <x:v>18</x:v>
      </x:c>
      <x:c r="F686" s="6" t="n">
        <x:f>英雄升级调参!$C$83</x:f>
        <x:v>4</x:v>
      </x:c>
      <x:c r="G686" s="12">
        <x:f t="shared" si="62"/>
        <x:v>597</x:v>
      </x:c>
      <x:c r="H686" s="12">
        <x:f t="shared" si="63"/>
        <x:v>9305</x:v>
      </x:c>
      <x:c r="I686" s="12">
        <x:f t="shared" si="59"/>
        <x:v>5555085</x:v>
      </x:c>
      <x:c r="J686" s="12">
        <x:f>ROUND(英雄升级调参!$D$83*英雄升级调参!$J$9*英雄升级调参!$E$22,0)</x:f>
        <x:v>36</x:v>
      </x:c>
      <x:c r="K686" s="12">
        <x:f>ROUND(英雄升级调参!$D$83*英雄升级调参!$C$11*英雄升级调参!$J$9*英雄升级调参!$G$22,0)</x:f>
        <x:v>563</x:v>
      </x:c>
      <x:c r="L686" s="12" t="n">
        <x:f>养成消耗调参!$C$165</x:f>
        <x:v>384</x:v>
      </x:c>
      <x:c r="M686" s="12" t="n">
        <x:f>养成消耗调参!$F$165</x:f>
        <x:v>2100</x:v>
      </x:c>
      <x:c r="N686" s="12" t="n">
        <x:f>养成消耗调参!$I$165</x:f>
        <x:v>0</x:v>
      </x:c>
      <x:c r="O686" s="12" t="n">
        <x:f>养成消耗调参!$J$165</x:f>
        <x:v>3240</x:v>
      </x:c>
      <x:c r="P686" s="12" t="n">
        <x:f>养成消耗调参!$M$165</x:f>
        <x:v>17700</x:v>
      </x:c>
      <x:c r="Q686" s="12" t="n">
        <x:f>养成消耗调参!$P$165</x:f>
        <x:v>90</x:v>
      </x:c>
      <x:c r="R686" s="13">
        <x:f>I686/英雄升级调参!$G$83-1</x:f>
        <x:v>0.0035634538674991223</x:v>
      </x:c>
      <x:c r="S686" s="6"/>
      <x:c r="T686" s="6"/>
      <x:c r="U686" s="6"/>
    </x:row>
    <x:row r="687" ht="21" customHeight="1">
      <x:c r="A687" s="14" t="n">
        <x:f>英雄升级调参!$B$22</x:f>
        <x:v>310004</x:v>
      </x:c>
      <x:c r="B687" s="14" t="str">
        <x:f>英雄升级调参!$C$22</x:f>
        <x:v>龟尼克</x:v>
      </x:c>
      <x:c r="C687" s="6" t="str">
        <x:f>英雄升级调参!$D$22</x:f>
        <x:v>生存者</x:v>
      </x:c>
      <x:c r="D687" s="6" t="s">
        <x:v>18</x:v>
      </x:c>
      <x:c r="E687" s="6">
        <x:v>19</x:v>
      </x:c>
      <x:c r="F687" s="6" t="n">
        <x:f>英雄升级调参!$C$84</x:f>
        <x:v>4</x:v>
      </x:c>
      <x:c r="G687" s="12">
        <x:f t="shared" si="62"/>
        <x:v>633</x:v>
      </x:c>
      <x:c r="H687" s="12">
        <x:f t="shared" si="63"/>
        <x:v>9868</x:v>
      </x:c>
      <x:c r="I687" s="12">
        <x:f t="shared" si="59"/>
        <x:v>6246444</x:v>
      </x:c>
      <x:c r="J687" s="12">
        <x:f>ROUND(英雄升级调参!$D$84*英雄升级调参!$J$9*英雄升级调参!$E$22,0)</x:f>
        <x:v>36</x:v>
      </x:c>
      <x:c r="K687" s="12">
        <x:f>ROUND(英雄升级调参!$D$84*英雄升级调参!$C$11*英雄升级调参!$J$9*英雄升级调参!$G$22,0)</x:f>
        <x:v>563</x:v>
      </x:c>
      <x:c r="L687" s="12" t="n">
        <x:f>养成消耗调参!$C$166</x:f>
        <x:v>384</x:v>
      </x:c>
      <x:c r="M687" s="12" t="n">
        <x:f>养成消耗调参!$F$166</x:f>
        <x:v>2100</x:v>
      </x:c>
      <x:c r="N687" s="12" t="n">
        <x:f>养成消耗调参!$I$166</x:f>
        <x:v>0</x:v>
      </x:c>
      <x:c r="O687" s="12" t="n">
        <x:f>养成消耗调参!$J$166</x:f>
        <x:v>3624</x:v>
      </x:c>
      <x:c r="P687" s="12" t="n">
        <x:f>养成消耗调参!$M$166</x:f>
        <x:v>19800</x:v>
      </x:c>
      <x:c r="Q687" s="12" t="n">
        <x:f>养成消耗调参!$P$166</x:f>
        <x:v>90</x:v>
      </x:c>
      <x:c r="R687" s="13">
        <x:f>I687/英雄升级调参!$G$84-1</x:f>
        <x:v>0.003410969268506703</x:v>
      </x:c>
      <x:c r="S687" s="6"/>
      <x:c r="T687" s="6"/>
      <x:c r="U687" s="6"/>
    </x:row>
    <x:row r="688" ht="21" customHeight="1">
      <x:c r="A688" s="14" t="n">
        <x:f>英雄升级调参!$B$22</x:f>
        <x:v>310004</x:v>
      </x:c>
      <x:c r="B688" s="14" t="str">
        <x:f>英雄升级调参!$C$22</x:f>
        <x:v>龟尼克</x:v>
      </x:c>
      <x:c r="C688" s="6" t="str">
        <x:f>英雄升级调参!$D$22</x:f>
        <x:v>生存者</x:v>
      </x:c>
      <x:c r="D688" s="6" t="s">
        <x:v>18</x:v>
      </x:c>
      <x:c r="E688" s="6">
        <x:v>20</x:v>
      </x:c>
      <x:c r="F688" s="6" t="n">
        <x:f>英雄升级调参!$C$85</x:f>
        <x:v>4</x:v>
      </x:c>
      <x:c r="G688" s="12">
        <x:f t="shared" si="62"/>
        <x:v>741</x:v>
      </x:c>
      <x:c r="H688" s="12">
        <x:f t="shared" si="63"/>
        <x:v>11557</x:v>
      </x:c>
      <x:c r="I688" s="12">
        <x:f t="shared" si="59"/>
        <x:v>8563737</x:v>
      </x:c>
      <x:c r="J688" s="12">
        <x:f>ROUND(英雄升级调参!$D$85*英雄升级调参!$J$9*英雄升级调参!$E$22,0)*3</x:f>
        <x:v>108</x:v>
      </x:c>
      <x:c r="K688" s="12">
        <x:f>ROUND(英雄升级调参!$D$85*英雄升级调参!$C$11*英雄升级调参!$J$9*英雄升级调参!$G$22,0)*3</x:f>
        <x:v>1689</x:v>
      </x:c>
      <x:c r="L688" s="12" t="n">
        <x:f>养成消耗调参!$C$167</x:f>
        <x:v>432</x:v>
      </x:c>
      <x:c r="M688" s="12" t="n">
        <x:f>养成消耗调参!$F$167</x:f>
        <x:v>2100</x:v>
      </x:c>
      <x:c r="N688" s="12" t="n">
        <x:f>养成消耗调参!$I$167</x:f>
        <x:v>70</x:v>
      </x:c>
      <x:c r="O688" s="12" t="n">
        <x:f>养成消耗调参!$J$167</x:f>
        <x:v>4056</x:v>
      </x:c>
      <x:c r="P688" s="12" t="n">
        <x:f>养成消耗调参!$M$167</x:f>
        <x:v>21900</x:v>
      </x:c>
      <x:c r="Q688" s="12" t="n">
        <x:f>养成消耗调参!$P$167</x:f>
        <x:v>160</x:v>
      </x:c>
      <x:c r="R688" s="13">
        <x:f>I688/英雄升级调参!$G$85-1</x:f>
        <x:v>0.0030426013380557837</x:v>
      </x:c>
      <x:c r="S688" s="6"/>
      <x:c r="T688" s="6"/>
      <x:c r="U688" s="6"/>
    </x:row>
    <x:row r="689" ht="21" customHeight="1">
      <x:c r="A689" s="14" t="n">
        <x:f>英雄升级调参!$B$22</x:f>
        <x:v>310004</x:v>
      </x:c>
      <x:c r="B689" s="14" t="str">
        <x:f>英雄升级调参!$C$22</x:f>
        <x:v>龟尼克</x:v>
      </x:c>
      <x:c r="C689" s="6" t="str">
        <x:f>英雄升级调参!$D$22</x:f>
        <x:v>生存者</x:v>
      </x:c>
      <x:c r="D689" s="6" t="s">
        <x:v>18</x:v>
      </x:c>
      <x:c r="E689" s="6">
        <x:v>21</x:v>
      </x:c>
      <x:c r="F689" s="6" t="n">
        <x:f>英雄升级调参!$C$86</x:f>
        <x:v>5</x:v>
      </x:c>
      <x:c r="G689" s="12">
        <x:f t="shared" si="62"/>
        <x:v>784</x:v>
      </x:c>
      <x:c r="H689" s="12">
        <x:f t="shared" si="63"/>
        <x:v>12232</x:v>
      </x:c>
      <x:c r="I689" s="12">
        <x:f t="shared" si="59"/>
        <x:v>9589888</x:v>
      </x:c>
      <x:c r="J689" s="12">
        <x:f>ROUND(英雄升级调参!$D$86*英雄升级调参!$J$9*英雄升级调参!$E$22,0)</x:f>
        <x:v>43</x:v>
      </x:c>
      <x:c r="K689" s="12">
        <x:f>ROUND(英雄升级调参!$D$86*英雄升级调参!$C$11*英雄升级调参!$J$9*英雄升级调参!$G$22,0)</x:f>
        <x:v>675</x:v>
      </x:c>
      <x:c r="L689" s="12" t="n">
        <x:f>养成消耗调参!$C$168</x:f>
        <x:v>432</x:v>
      </x:c>
      <x:c r="M689" s="12" t="n">
        <x:f>养成消耗调参!$F$168</x:f>
        <x:v>2100</x:v>
      </x:c>
      <x:c r="N689" s="12" t="n">
        <x:f>养成消耗调参!$I$168</x:f>
        <x:v>0</x:v>
      </x:c>
      <x:c r="O689" s="12" t="n">
        <x:f>养成消耗调参!$J$168</x:f>
        <x:v>4488</x:v>
      </x:c>
      <x:c r="P689" s="12" t="n">
        <x:f>养成消耗调参!$M$168</x:f>
        <x:v>24000</x:v>
      </x:c>
      <x:c r="Q689" s="12" t="n">
        <x:f>养成消耗调参!$P$168</x:f>
        <x:v>160</x:v>
      </x:c>
      <x:c r="R689" s="13">
        <x:f>I689/英雄升级调参!$G$86-1</x:f>
        <x:v>0.00261875786735577</x:v>
      </x:c>
      <x:c r="S689" s="6"/>
      <x:c r="T689" s="6"/>
      <x:c r="U689" s="6"/>
    </x:row>
    <x:row r="690" ht="21" customHeight="1">
      <x:c r="A690" s="14" t="n">
        <x:f>英雄升级调参!$B$22</x:f>
        <x:v>310004</x:v>
      </x:c>
      <x:c r="B690" s="14" t="str">
        <x:f>英雄升级调参!$C$22</x:f>
        <x:v>龟尼克</x:v>
      </x:c>
      <x:c r="C690" s="6" t="str">
        <x:f>英雄升级调参!$D$22</x:f>
        <x:v>生存者</x:v>
      </x:c>
      <x:c r="D690" s="6" t="s">
        <x:v>18</x:v>
      </x:c>
      <x:c r="E690" s="6">
        <x:v>22</x:v>
      </x:c>
      <x:c r="F690" s="6" t="n">
        <x:f>英雄升级调参!$C$87</x:f>
        <x:v>5</x:v>
      </x:c>
      <x:c r="G690" s="12">
        <x:f t="shared" si="62"/>
        <x:v>827</x:v>
      </x:c>
      <x:c r="H690" s="12">
        <x:f t="shared" si="63"/>
        <x:v>12907</x:v>
      </x:c>
      <x:c r="I690" s="12">
        <x:f t="shared" si="59"/>
        <x:v>10674089</x:v>
      </x:c>
      <x:c r="J690" s="12">
        <x:f>ROUND(英雄升级调参!$D$87*英雄升级调参!$J$9*英雄升级调参!$E$22,0)</x:f>
        <x:v>43</x:v>
      </x:c>
      <x:c r="K690" s="12">
        <x:f>ROUND(英雄升级调参!$D$87*英雄升级调参!$C$11*英雄升级调参!$J$9*英雄升级调参!$G$22,0)</x:f>
        <x:v>675</x:v>
      </x:c>
      <x:c r="L690" s="12" t="n">
        <x:f>养成消耗调参!$C$169</x:f>
        <x:v>480</x:v>
      </x:c>
      <x:c r="M690" s="12" t="n">
        <x:f>养成消耗调参!$F$169</x:f>
        <x:v>3000</x:v>
      </x:c>
      <x:c r="N690" s="12" t="n">
        <x:f>养成消耗调参!$I$169</x:f>
        <x:v>0</x:v>
      </x:c>
      <x:c r="O690" s="12" t="n">
        <x:f>养成消耗调参!$J$169</x:f>
        <x:v>4968</x:v>
      </x:c>
      <x:c r="P690" s="12" t="n">
        <x:f>养成消耗调参!$M$169</x:f>
        <x:v>27000</x:v>
      </x:c>
      <x:c r="Q690" s="12" t="n">
        <x:f>养成消耗调参!$P$169</x:f>
        <x:v>160</x:v>
      </x:c>
      <x:c r="R690" s="13">
        <x:f>I690/英雄升级调参!$G$87-1</x:f>
        <x:v>0.002239292260080461</x:v>
      </x:c>
      <x:c r="S690" s="6"/>
      <x:c r="T690" s="6"/>
      <x:c r="U690" s="6"/>
    </x:row>
    <x:row r="691" ht="21" customHeight="1">
      <x:c r="A691" s="14" t="n">
        <x:f>英雄升级调参!$B$22</x:f>
        <x:v>310004</x:v>
      </x:c>
      <x:c r="B691" s="14" t="str">
        <x:f>英雄升级调参!$C$22</x:f>
        <x:v>龟尼克</x:v>
      </x:c>
      <x:c r="C691" s="6" t="str">
        <x:f>英雄升级调参!$D$22</x:f>
        <x:v>生存者</x:v>
      </x:c>
      <x:c r="D691" s="6" t="s">
        <x:v>18</x:v>
      </x:c>
      <x:c r="E691" s="6">
        <x:v>23</x:v>
      </x:c>
      <x:c r="F691" s="6" t="n">
        <x:f>英雄升级调参!$C$88</x:f>
        <x:v>5</x:v>
      </x:c>
      <x:c r="G691" s="12">
        <x:f t="shared" si="62"/>
        <x:v>870</x:v>
      </x:c>
      <x:c r="H691" s="12">
        <x:f t="shared" si="63"/>
        <x:v>13582</x:v>
      </x:c>
      <x:c r="I691" s="12">
        <x:f t="shared" si="59"/>
        <x:v>11816340</x:v>
      </x:c>
      <x:c r="J691" s="12">
        <x:f>ROUND(英雄升级调参!$D$88*英雄升级调参!$J$9*英雄升级调参!$E$22,0)</x:f>
        <x:v>43</x:v>
      </x:c>
      <x:c r="K691" s="12">
        <x:f>ROUND(英雄升级调参!$D$88*英雄升级调参!$C$11*英雄升级调参!$J$9*英雄升级调参!$G$22,0)</x:f>
        <x:v>675</x:v>
      </x:c>
      <x:c r="L691" s="12" t="n">
        <x:f>养成消耗调参!$C$170</x:f>
        <x:v>480</x:v>
      </x:c>
      <x:c r="M691" s="12" t="n">
        <x:f>养成消耗调参!$F$170</x:f>
        <x:v>3000</x:v>
      </x:c>
      <x:c r="N691" s="12" t="n">
        <x:f>养成消耗调参!$I$170</x:f>
        <x:v>0</x:v>
      </x:c>
      <x:c r="O691" s="12" t="n">
        <x:f>养成消耗调参!$J$170</x:f>
        <x:v>5448</x:v>
      </x:c>
      <x:c r="P691" s="12" t="n">
        <x:f>养成消耗调参!$M$170</x:f>
        <x:v>30000</x:v>
      </x:c>
      <x:c r="Q691" s="12" t="n">
        <x:f>养成消耗调参!$P$170</x:f>
        <x:v>160</x:v>
      </x:c>
      <x:c r="R691" s="13">
        <x:f>I691/英雄升级调参!$G$88-1</x:f>
        <x:v>0.0018975814739070618</x:v>
      </x:c>
      <x:c r="S691" s="6"/>
      <x:c r="T691" s="6"/>
      <x:c r="U691" s="6"/>
    </x:row>
    <x:row r="692" ht="21" customHeight="1">
      <x:c r="A692" s="14" t="n">
        <x:f>英雄升级调参!$B$22</x:f>
        <x:v>310004</x:v>
      </x:c>
      <x:c r="B692" s="14" t="str">
        <x:f>英雄升级调参!$C$22</x:f>
        <x:v>龟尼克</x:v>
      </x:c>
      <x:c r="C692" s="6" t="str">
        <x:f>英雄升级调参!$D$22</x:f>
        <x:v>生存者</x:v>
      </x:c>
      <x:c r="D692" s="6" t="s">
        <x:v>18</x:v>
      </x:c>
      <x:c r="E692" s="6">
        <x:v>24</x:v>
      </x:c>
      <x:c r="F692" s="6" t="n">
        <x:f>英雄升级调参!$C$89</x:f>
        <x:v>5</x:v>
      </x:c>
      <x:c r="G692" s="12">
        <x:f t="shared" si="62"/>
        <x:v>913</x:v>
      </x:c>
      <x:c r="H692" s="12">
        <x:f t="shared" si="63"/>
        <x:v>14257</x:v>
      </x:c>
      <x:c r="I692" s="12">
        <x:f t="shared" si="59"/>
        <x:v>13016641</x:v>
      </x:c>
      <x:c r="J692" s="12">
        <x:f>ROUND(英雄升级调参!$D$89*英雄升级调参!$J$9*英雄升级调参!$E$22,0)</x:f>
        <x:v>43</x:v>
      </x:c>
      <x:c r="K692" s="12">
        <x:f>ROUND(英雄升级调参!$D$89*英雄升级调参!$C$11*英雄升级调参!$J$9*英雄升级调参!$G$22,0)</x:f>
        <x:v>675</x:v>
      </x:c>
      <x:c r="L692" s="12" t="n">
        <x:f>养成消耗调参!$C$171</x:f>
        <x:v>528</x:v>
      </x:c>
      <x:c r="M692" s="12" t="n">
        <x:f>养成消耗调参!$F$171</x:f>
        <x:v>3000</x:v>
      </x:c>
      <x:c r="N692" s="12" t="n">
        <x:f>养成消耗调参!$I$171</x:f>
        <x:v>0</x:v>
      </x:c>
      <x:c r="O692" s="12" t="n">
        <x:f>养成消耗调参!$J$171</x:f>
        <x:v>5976</x:v>
      </x:c>
      <x:c r="P692" s="12" t="n">
        <x:f>养成消耗调参!$M$171</x:f>
        <x:v>33000</x:v>
      </x:c>
      <x:c r="Q692" s="12" t="n">
        <x:f>养成消耗调参!$P$171</x:f>
        <x:v>160</x:v>
      </x:c>
      <x:c r="R692" s="13">
        <x:f>I692/英雄升级调参!$G$89-1</x:f>
        <x:v>0.001588257925515535</x:v>
      </x:c>
      <x:c r="S692" s="6"/>
      <x:c r="T692" s="6"/>
      <x:c r="U692" s="6"/>
    </x:row>
    <x:row r="693" ht="21" customHeight="1">
      <x:c r="A693" s="14" t="n">
        <x:f>英雄升级调参!$B$22</x:f>
        <x:v>310004</x:v>
      </x:c>
      <x:c r="B693" s="14" t="str">
        <x:f>英雄升级调参!$C$22</x:f>
        <x:v>龟尼克</x:v>
      </x:c>
      <x:c r="C693" s="6" t="str">
        <x:f>英雄升级调参!$D$22</x:f>
        <x:v>生存者</x:v>
      </x:c>
      <x:c r="D693" s="6" t="s">
        <x:v>18</x:v>
      </x:c>
      <x:c r="E693" s="6">
        <x:v>25</x:v>
      </x:c>
      <x:c r="F693" s="6" t="n">
        <x:f>英雄升级调参!$C$90</x:f>
        <x:v>5</x:v>
      </x:c>
      <x:c r="G693" s="12">
        <x:f t="shared" si="62"/>
        <x:v>1042</x:v>
      </x:c>
      <x:c r="H693" s="12">
        <x:f t="shared" si="63"/>
        <x:v>16282</x:v>
      </x:c>
      <x:c r="I693" s="12">
        <x:f t="shared" si="59"/>
        <x:v>16965844</x:v>
      </x:c>
      <x:c r="J693" s="12">
        <x:f>ROUND(英雄升级调参!$D$90*英雄升级调参!$J$9*英雄升级调参!$E$22,0)*3</x:f>
        <x:v>129</x:v>
      </x:c>
      <x:c r="K693" s="12">
        <x:f>ROUND(英雄升级调参!$D$90*英雄升级调参!$C$11*英雄升级调参!$J$9*英雄升级调参!$G$22,0)*3</x:f>
        <x:v>2025</x:v>
      </x:c>
      <x:c r="L693" s="12" t="n">
        <x:f>养成消耗调参!$C$172</x:f>
        <x:v>528</x:v>
      </x:c>
      <x:c r="M693" s="12" t="n">
        <x:f>养成消耗调参!$F$172</x:f>
        <x:v>3000</x:v>
      </x:c>
      <x:c r="N693" s="12" t="n">
        <x:f>养成消耗调参!$I$172</x:f>
        <x:v>90</x:v>
      </x:c>
      <x:c r="O693" s="12" t="n">
        <x:f>养成消耗调参!$J$172</x:f>
        <x:v>6504</x:v>
      </x:c>
      <x:c r="P693" s="12" t="n">
        <x:f>养成消耗调参!$M$172</x:f>
        <x:v>36000</x:v>
      </x:c>
      <x:c r="Q693" s="12" t="n">
        <x:f>养成消耗调参!$P$172</x:f>
        <x:v>250</x:v>
      </x:c>
      <x:c r="R693" s="13">
        <x:f>I693/英雄升级调参!$G$90-1</x:f>
        <x:v>0.0008142972763161005</x:v>
      </x:c>
      <x:c r="S693" s="6"/>
      <x:c r="T693" s="6"/>
      <x:c r="U693" s="6"/>
    </x:row>
    <x:row r="694" ht="21" customHeight="1">
      <x:c r="A694" s="14" t="n">
        <x:f>英雄升级调参!$B$22</x:f>
        <x:v>310004</x:v>
      </x:c>
      <x:c r="B694" s="14" t="str">
        <x:f>英雄升级调参!$C$22</x:f>
        <x:v>龟尼克</x:v>
      </x:c>
      <x:c r="C694" s="6" t="str">
        <x:f>英雄升级调参!$D$22</x:f>
        <x:v>生存者</x:v>
      </x:c>
      <x:c r="D694" s="6" t="s">
        <x:v>18</x:v>
      </x:c>
      <x:c r="E694" s="6">
        <x:v>26</x:v>
      </x:c>
      <x:c r="F694" s="6" t="n">
        <x:f>英雄升级调参!$C$91</x:f>
        <x:v>6</x:v>
      </x:c>
      <x:c r="G694" s="12">
        <x:f t="shared" si="62"/>
        <x:v>1092</x:v>
      </x:c>
      <x:c r="H694" s="12">
        <x:f t="shared" si="63"/>
        <x:v>17070</x:v>
      </x:c>
      <x:c r="I694" s="12">
        <x:f t="shared" si="59"/>
        <x:v>18640440</x:v>
      </x:c>
      <x:c r="J694" s="12">
        <x:f>ROUND(英雄升级调参!$D$91*英雄升级调参!$J$9*英雄升级调参!$E$22,0)</x:f>
        <x:v>50</x:v>
      </x:c>
      <x:c r="K694" s="12">
        <x:f>ROUND(英雄升级调参!$D$91*英雄升级调参!$C$11*英雄升级调参!$J$9*英雄升级调参!$G$22,0)</x:f>
        <x:v>788</x:v>
      </x:c>
      <x:c r="L694" s="12" t="n">
        <x:f>养成消耗调参!$C$173</x:f>
        <x:v>576</x:v>
      </x:c>
      <x:c r="M694" s="12" t="n">
        <x:f>养成消耗调参!$F$173</x:f>
        <x:v>3000</x:v>
      </x:c>
      <x:c r="N694" s="12" t="n">
        <x:f>养成消耗调参!$I$173</x:f>
        <x:v>0</x:v>
      </x:c>
      <x:c r="O694" s="12" t="n">
        <x:f>养成消耗调参!$J$173</x:f>
        <x:v>7080</x:v>
      </x:c>
      <x:c r="P694" s="12" t="n">
        <x:f>养成消耗调参!$M$173</x:f>
        <x:v>39000</x:v>
      </x:c>
      <x:c r="Q694" s="12" t="n">
        <x:f>养成消耗调参!$P$173</x:f>
        <x:v>250</x:v>
      </x:c>
      <x:c r="R694" s="13">
        <x:f>I694/英雄升级调参!$G$91-1</x:f>
        <x:v>0.0004395604395603936</x:v>
      </x:c>
      <x:c r="S694" s="6"/>
      <x:c r="T694" s="6"/>
      <x:c r="U694" s="6"/>
    </x:row>
    <x:row r="695" ht="21" customHeight="1">
      <x:c r="A695" s="14" t="n">
        <x:f>英雄升级调参!$B$22</x:f>
        <x:v>310004</x:v>
      </x:c>
      <x:c r="B695" s="14" t="str">
        <x:f>英雄升级调参!$C$22</x:f>
        <x:v>龟尼克</x:v>
      </x:c>
      <x:c r="C695" s="6" t="str">
        <x:f>英雄升级调参!$D$22</x:f>
        <x:v>生存者</x:v>
      </x:c>
      <x:c r="D695" s="6" t="s">
        <x:v>18</x:v>
      </x:c>
      <x:c r="E695" s="6">
        <x:v>27</x:v>
      </x:c>
      <x:c r="F695" s="6" t="n">
        <x:f>英雄升级调参!$C$92</x:f>
        <x:v>6</x:v>
      </x:c>
      <x:c r="G695" s="12">
        <x:f t="shared" si="62"/>
        <x:v>1142</x:v>
      </x:c>
      <x:c r="H695" s="12">
        <x:f t="shared" si="63"/>
        <x:v>17858</x:v>
      </x:c>
      <x:c r="I695" s="12">
        <x:f t="shared" si="59"/>
        <x:v>20393836</x:v>
      </x:c>
      <x:c r="J695" s="12">
        <x:f>ROUND(英雄升级调参!$D$92*英雄升级调参!$J$9*英雄升级调参!$E$22,0)</x:f>
        <x:v>50</x:v>
      </x:c>
      <x:c r="K695" s="12">
        <x:f>ROUND(英雄升级调参!$D$92*英雄升级调参!$C$11*英雄升级调参!$J$9*英雄升级调参!$G$22,0)</x:f>
        <x:v>788</x:v>
      </x:c>
      <x:c r="L695" s="12" t="n">
        <x:f>养成消耗调参!$C$174</x:f>
        <x:v>576</x:v>
      </x:c>
      <x:c r="M695" s="12" t="n">
        <x:f>养成消耗调参!$F$174</x:f>
        <x:v>3900</x:v>
      </x:c>
      <x:c r="N695" s="12" t="n">
        <x:f>养成消耗调参!$I$174</x:f>
        <x:v>0</x:v>
      </x:c>
      <x:c r="O695" s="12" t="n">
        <x:f>养成消耗调参!$J$174</x:f>
        <x:v>7656</x:v>
      </x:c>
      <x:c r="P695" s="12" t="n">
        <x:f>养成消耗调参!$M$174</x:f>
        <x:v>42900</x:v>
      </x:c>
      <x:c r="Q695" s="12" t="n">
        <x:f>养成消耗调参!$P$174</x:f>
        <x:v>250</x:v>
      </x:c>
      <x:c r="R695" s="13">
        <x:f>I695/英雄升级调参!$G$92-1</x:f>
        <x:v>9.788229017093641e-05</x:v>
      </x:c>
      <x:c r="S695" s="6"/>
      <x:c r="T695" s="6"/>
      <x:c r="U695" s="6"/>
    </x:row>
    <x:row r="696" ht="21" customHeight="1">
      <x:c r="A696" s="14" t="n">
        <x:f>英雄升级调参!$B$22</x:f>
        <x:v>310004</x:v>
      </x:c>
      <x:c r="B696" s="14" t="str">
        <x:f>英雄升级调参!$C$22</x:f>
        <x:v>龟尼克</x:v>
      </x:c>
      <x:c r="C696" s="6" t="str">
        <x:f>英雄升级调参!$D$22</x:f>
        <x:v>生存者</x:v>
      </x:c>
      <x:c r="D696" s="6" t="s">
        <x:v>18</x:v>
      </x:c>
      <x:c r="E696" s="6">
        <x:v>28</x:v>
      </x:c>
      <x:c r="F696" s="6" t="n">
        <x:f>英雄升级调参!$C$93</x:f>
        <x:v>6</x:v>
      </x:c>
      <x:c r="G696" s="12">
        <x:f t="shared" si="62"/>
        <x:v>1192</x:v>
      </x:c>
      <x:c r="H696" s="12">
        <x:f t="shared" si="63"/>
        <x:v>18646</x:v>
      </x:c>
      <x:c r="I696" s="12">
        <x:f t="shared" si="59"/>
        <x:v>22226032</x:v>
      </x:c>
      <x:c r="J696" s="12">
        <x:f>ROUND(英雄升级调参!$D$93*英雄升级调参!$J$9*英雄升级调参!$E$22,0)</x:f>
        <x:v>50</x:v>
      </x:c>
      <x:c r="K696" s="12">
        <x:f>ROUND(英雄升级调参!$D$93*英雄升级调参!$C$11*英雄升级调参!$J$9*英雄升级调参!$G$22,0)</x:f>
        <x:v>788</x:v>
      </x:c>
      <x:c r="L696" s="12" t="n">
        <x:f>养成消耗调参!$C$175</x:f>
        <x:v>624</x:v>
      </x:c>
      <x:c r="M696" s="12" t="n">
        <x:f>养成消耗调参!$F$175</x:f>
        <x:v>3900</x:v>
      </x:c>
      <x:c r="N696" s="12" t="n">
        <x:f>养成消耗调参!$I$175</x:f>
        <x:v>0</x:v>
      </x:c>
      <x:c r="O696" s="12" t="n">
        <x:f>养成消耗调参!$J$175</x:f>
        <x:v>8280</x:v>
      </x:c>
      <x:c r="P696" s="12" t="n">
        <x:f>养成消耗调参!$M$175</x:f>
        <x:v>46800</x:v>
      </x:c>
      <x:c r="Q696" s="12" t="n">
        <x:f>养成消耗调参!$P$175</x:f>
        <x:v>250</x:v>
      </x:c>
      <x:c r="R696" s="13">
        <x:f>I696/英雄升级调参!$G$93-1</x:f>
        <x:v>-0.00021492694148350644</x:v>
      </x:c>
      <x:c r="S696" s="6"/>
      <x:c r="T696" s="6"/>
      <x:c r="U696" s="6"/>
    </x:row>
    <x:row r="697" ht="21" customHeight="1">
      <x:c r="A697" s="14" t="n">
        <x:f>英雄升级调参!$B$22</x:f>
        <x:v>310004</x:v>
      </x:c>
      <x:c r="B697" s="14" t="str">
        <x:f>英雄升级调参!$C$22</x:f>
        <x:v>龟尼克</x:v>
      </x:c>
      <x:c r="C697" s="6" t="str">
        <x:f>英雄升级调参!$D$22</x:f>
        <x:v>生存者</x:v>
      </x:c>
      <x:c r="D697" s="6" t="s">
        <x:v>18</x:v>
      </x:c>
      <x:c r="E697" s="6">
        <x:v>29</x:v>
      </x:c>
      <x:c r="F697" s="6" t="n">
        <x:f>英雄升级调参!$C$94</x:f>
        <x:v>6</x:v>
      </x:c>
      <x:c r="G697" s="12">
        <x:f t="shared" si="62"/>
        <x:v>1242</x:v>
      </x:c>
      <x:c r="H697" s="12">
        <x:f t="shared" si="63"/>
        <x:v>19434</x:v>
      </x:c>
      <x:c r="I697" s="12">
        <x:f t="shared" si="59"/>
        <x:v>24137028</x:v>
      </x:c>
      <x:c r="J697" s="12">
        <x:f>ROUND(英雄升级调参!$D$94*英雄升级调参!$J$9*英雄升级调参!$E$22,0)</x:f>
        <x:v>50</x:v>
      </x:c>
      <x:c r="K697" s="12">
        <x:f>ROUND(英雄升级调参!$D$94*英雄升级调参!$C$11*英雄升级调参!$J$9*英雄升级调参!$G$22,0)</x:f>
        <x:v>788</x:v>
      </x:c>
      <x:c r="L697" s="12" t="n">
        <x:f>养成消耗调参!$C$176</x:f>
        <x:v>624</x:v>
      </x:c>
      <x:c r="M697" s="12" t="n">
        <x:f>养成消耗调参!$F$176</x:f>
        <x:v>3900</x:v>
      </x:c>
      <x:c r="N697" s="12" t="n">
        <x:f>养成消耗调参!$I$176</x:f>
        <x:v>0</x:v>
      </x:c>
      <x:c r="O697" s="12" t="n">
        <x:f>养成消耗调参!$J$176</x:f>
        <x:v>8904</x:v>
      </x:c>
      <x:c r="P697" s="12" t="n">
        <x:f>养成消耗调参!$M$176</x:f>
        <x:v>50700</x:v>
      </x:c>
      <x:c r="Q697" s="12" t="n">
        <x:f>养成消耗调参!$P$176</x:f>
        <x:v>250</x:v>
      </x:c>
      <x:c r="R697" s="13">
        <x:f>I697/英雄升级调参!$G$94-1</x:f>
        <x:v>-0.000502377722454983</x:v>
      </x:c>
      <x:c r="S697" s="6"/>
      <x:c r="T697" s="6"/>
      <x:c r="U697" s="6"/>
    </x:row>
    <x:row r="698" ht="21" customHeight="1">
      <x:c r="A698" s="14" t="n">
        <x:f>英雄升级调参!$B$22</x:f>
        <x:v>310004</x:v>
      </x:c>
      <x:c r="B698" s="14" t="str">
        <x:f>英雄升级调参!$C$22</x:f>
        <x:v>龟尼克</x:v>
      </x:c>
      <x:c r="C698" s="6" t="str">
        <x:f>英雄升级调参!$D$22</x:f>
        <x:v>生存者</x:v>
      </x:c>
      <x:c r="D698" s="6" t="s">
        <x:v>18</x:v>
      </x:c>
      <x:c r="E698" s="6">
        <x:v>30</x:v>
      </x:c>
      <x:c r="F698" s="6" t="n">
        <x:f>英雄升级调参!$C$95</x:f>
        <x:v>6</x:v>
      </x:c>
      <x:c r="G698" s="12">
        <x:f t="shared" si="62"/>
        <x:v>1392</x:v>
      </x:c>
      <x:c r="H698" s="12">
        <x:f t="shared" si="63"/>
        <x:v>21798</x:v>
      </x:c>
      <x:c r="I698" s="12">
        <x:f t="shared" si="59"/>
        <x:v>30342816</x:v>
      </x:c>
      <x:c r="J698" s="12">
        <x:f>ROUND(英雄升级调参!$D$95*英雄升级调参!$J$9*英雄升级调参!$E$22,0)*3</x:f>
        <x:v>150</x:v>
      </x:c>
      <x:c r="K698" s="12">
        <x:f>ROUND(英雄升级调参!$D$95*英雄升级调参!$C$11*英雄升级调参!$J$9*英雄升级调参!$G$22,0)*3</x:f>
        <x:v>2364</x:v>
      </x:c>
      <x:c r="L698" s="12" t="n">
        <x:f>养成消耗调参!$C$177</x:f>
        <x:v>672</x:v>
      </x:c>
      <x:c r="M698" s="12" t="n">
        <x:f>养成消耗调参!$F$177</x:f>
        <x:v>3900</x:v>
      </x:c>
      <x:c r="N698" s="12" t="n">
        <x:f>养成消耗调参!$I$177</x:f>
        <x:v>110</x:v>
      </x:c>
      <x:c r="O698" s="12" t="n">
        <x:f>养成消耗调参!$J$177</x:f>
        <x:v>9576</x:v>
      </x:c>
      <x:c r="P698" s="12" t="n">
        <x:f>养成消耗调参!$M$177</x:f>
        <x:v>54600</x:v>
      </x:c>
      <x:c r="Q698" s="12" t="n">
        <x:f>养成消耗调参!$P$177</x:f>
        <x:v>360</x:v>
      </x:c>
      <x:c r="R698" s="13">
        <x:f>I698/英雄升级调参!$G$95-1</x:f>
        <x:v>-0.0012400721647346513</x:v>
      </x:c>
      <x:c r="S698" s="6"/>
      <x:c r="T698" s="6"/>
      <x:c r="U698" s="6"/>
    </x:row>
    <x:row r="699" ht="21" customHeight="1">
      <x:c r="A699" s="14" t="n">
        <x:f>英雄升级调参!$B$22</x:f>
        <x:v>310004</x:v>
      </x:c>
      <x:c r="B699" s="14" t="str">
        <x:f>英雄升级调参!$C$22</x:f>
        <x:v>龟尼克</x:v>
      </x:c>
      <x:c r="C699" s="6" t="str">
        <x:f>英雄升级调参!$D$22</x:f>
        <x:v>生存者</x:v>
      </x:c>
      <x:c r="D699" s="6" t="s">
        <x:v>18</x:v>
      </x:c>
      <x:c r="E699" s="6">
        <x:v>31</x:v>
      </x:c>
      <x:c r="F699" s="6" t="n">
        <x:f>英雄升级调参!$C$96</x:f>
        <x:v>7</x:v>
      </x:c>
      <x:c r="G699" s="12">
        <x:f t="shared" si="62"/>
        <x:v>1450</x:v>
      </x:c>
      <x:c r="H699" s="12">
        <x:f t="shared" si="63"/>
        <x:v>22698</x:v>
      </x:c>
      <x:c r="I699" s="12">
        <x:f t="shared" si="59"/>
        <x:v>32912100</x:v>
      </x:c>
      <x:c r="J699" s="12">
        <x:f>ROUND(英雄升级调参!$D$96*英雄升级调参!$J$9*英雄升级调参!$E$22,0)</x:f>
        <x:v>58</x:v>
      </x:c>
      <x:c r="K699" s="12">
        <x:f>ROUND(英雄升级调参!$D$96*英雄升级调参!$C$11*英雄升级调参!$J$9*英雄升级调参!$G$22,0)</x:f>
        <x:v>900</x:v>
      </x:c>
      <x:c r="L699" s="12" t="n">
        <x:f>养成消耗调参!$C$178</x:f>
        <x:v>672</x:v>
      </x:c>
      <x:c r="M699" s="12" t="n">
        <x:f>养成消耗调参!$F$178</x:f>
        <x:v>3900</x:v>
      </x:c>
      <x:c r="N699" s="12" t="n">
        <x:f>养成消耗调参!$I$178</x:f>
        <x:v>0</x:v>
      </x:c>
      <x:c r="O699" s="12" t="n">
        <x:f>养成消耗调参!$J$178</x:f>
        <x:v>10248</x:v>
      </x:c>
      <x:c r="P699" s="12" t="n">
        <x:f>养成消耗调参!$M$178</x:f>
        <x:v>58500</x:v>
      </x:c>
      <x:c r="Q699" s="12" t="n">
        <x:f>养成消耗调参!$P$178</x:f>
        <x:v>360</x:v>
      </x:c>
      <x:c r="R699" s="13">
        <x:f>I699/英雄升级调参!$G$96-1</x:f>
        <x:v>-0.0009152380301892249</x:v>
      </x:c>
      <x:c r="S699" s="6"/>
      <x:c r="T699" s="6"/>
      <x:c r="U699" s="6"/>
    </x:row>
    <x:row r="700" ht="21" customHeight="1">
      <x:c r="A700" s="14" t="n">
        <x:f>英雄升级调参!$B$22</x:f>
        <x:v>310004</x:v>
      </x:c>
      <x:c r="B700" s="14" t="str">
        <x:f>英雄升级调参!$C$22</x:f>
        <x:v>龟尼克</x:v>
      </x:c>
      <x:c r="C700" s="6" t="str">
        <x:f>英雄升级调参!$D$22</x:f>
        <x:v>生存者</x:v>
      </x:c>
      <x:c r="D700" s="6" t="s">
        <x:v>18</x:v>
      </x:c>
      <x:c r="E700" s="6">
        <x:v>32</x:v>
      </x:c>
      <x:c r="F700" s="6" t="n">
        <x:f>英雄升级调参!$C$97</x:f>
        <x:v>7</x:v>
      </x:c>
      <x:c r="G700" s="12">
        <x:f t="shared" si="62"/>
        <x:v>1508</x:v>
      </x:c>
      <x:c r="H700" s="12">
        <x:f t="shared" si="63"/>
        <x:v>23598</x:v>
      </x:c>
      <x:c r="I700" s="12">
        <x:f t="shared" si="59"/>
        <x:v>35585784</x:v>
      </x:c>
      <x:c r="J700" s="12">
        <x:f>ROUND(英雄升级调参!$D$97*英雄升级调参!$J$9*英雄升级调参!$E$22,0)</x:f>
        <x:v>58</x:v>
      </x:c>
      <x:c r="K700" s="12">
        <x:f>ROUND(英雄升级调参!$D$97*英雄升级调参!$C$11*英雄升级调参!$J$9*英雄升级调参!$G$22,0)</x:f>
        <x:v>900</x:v>
      </x:c>
      <x:c r="L700" s="12" t="n">
        <x:f>养成消耗调参!$C$179</x:f>
        <x:v>720</x:v>
      </x:c>
      <x:c r="M700" s="12" t="n">
        <x:f>养成消耗调参!$F$179</x:f>
        <x:v>4800</x:v>
      </x:c>
      <x:c r="N700" s="12" t="n">
        <x:f>养成消耗调参!$I$179</x:f>
        <x:v>0</x:v>
      </x:c>
      <x:c r="O700" s="12" t="n">
        <x:f>养成消耗调参!$J$179</x:f>
        <x:v>10968</x:v>
      </x:c>
      <x:c r="P700" s="12" t="n">
        <x:f>养成消耗调参!$M$179</x:f>
        <x:v>63300</x:v>
      </x:c>
      <x:c r="Q700" s="12" t="n">
        <x:f>养成消耗调参!$P$179</x:f>
        <x:v>360</x:v>
      </x:c>
      <x:c r="R700" s="13">
        <x:f>I700/英雄升级调参!$G$97-1</x:f>
        <x:v>-0.0006152041876347214</x:v>
      </x:c>
      <x:c r="S700" s="6"/>
      <x:c r="T700" s="6"/>
      <x:c r="U700" s="6"/>
    </x:row>
    <x:row r="701" ht="21" customHeight="1">
      <x:c r="A701" s="14" t="n">
        <x:f>英雄升级调参!$B$22</x:f>
        <x:v>310004</x:v>
      </x:c>
      <x:c r="B701" s="14" t="str">
        <x:f>英雄升级调参!$C$22</x:f>
        <x:v>龟尼克</x:v>
      </x:c>
      <x:c r="C701" s="6" t="str">
        <x:f>英雄升级调参!$D$22</x:f>
        <x:v>生存者</x:v>
      </x:c>
      <x:c r="D701" s="6" t="s">
        <x:v>18</x:v>
      </x:c>
      <x:c r="E701" s="6">
        <x:v>33</x:v>
      </x:c>
      <x:c r="F701" s="6" t="n">
        <x:f>英雄升级调参!$C$98</x:f>
        <x:v>7</x:v>
      </x:c>
      <x:c r="G701" s="12">
        <x:f t="shared" si="62"/>
        <x:v>1566</x:v>
      </x:c>
      <x:c r="H701" s="12">
        <x:f t="shared" si="63"/>
        <x:v>24498</x:v>
      </x:c>
      <x:c r="I701" s="12">
        <x:f t="shared" si="59"/>
        <x:v>38363868</x:v>
      </x:c>
      <x:c r="J701" s="12">
        <x:f>ROUND(英雄升级调参!$D$98*英雄升级调参!$J$9*英雄升级调参!$E$22,0)</x:f>
        <x:v>58</x:v>
      </x:c>
      <x:c r="K701" s="12">
        <x:f>ROUND(英雄升级调参!$D$98*英雄升级调参!$C$11*英雄升级调参!$J$9*英雄升级调参!$G$22,0)</x:f>
        <x:v>900</x:v>
      </x:c>
      <x:c r="L701" s="12" t="n">
        <x:f>养成消耗调参!$C$180</x:f>
        <x:v>720</x:v>
      </x:c>
      <x:c r="M701" s="12" t="n">
        <x:f>养成消耗调参!$F$180</x:f>
        <x:v>4800</x:v>
      </x:c>
      <x:c r="N701" s="12" t="n">
        <x:f>养成消耗调参!$I$180</x:f>
        <x:v>0</x:v>
      </x:c>
      <x:c r="O701" s="12" t="n">
        <x:f>养成消耗调参!$J$180</x:f>
        <x:v>11688</x:v>
      </x:c>
      <x:c r="P701" s="12" t="n">
        <x:f>养成消耗调参!$M$180</x:f>
        <x:v>68100</x:v>
      </x:c>
      <x:c r="Q701" s="12" t="n">
        <x:f>养成消耗调参!$P$180</x:f>
        <x:v>360</x:v>
      </x:c>
      <x:c r="R701" s="13">
        <x:f>I701/英雄升级调参!$G$98-1</x:f>
        <x:v>-0.0003372349082688686</x:v>
      </x:c>
      <x:c r="S701" s="6"/>
      <x:c r="T701" s="6"/>
      <x:c r="U701" s="6"/>
    </x:row>
    <x:row r="702" ht="21" customHeight="1">
      <x:c r="A702" s="14" t="n">
        <x:f>英雄升级调参!$B$22</x:f>
        <x:v>310004</x:v>
      </x:c>
      <x:c r="B702" s="14" t="str">
        <x:f>英雄升级调参!$C$22</x:f>
        <x:v>龟尼克</x:v>
      </x:c>
      <x:c r="C702" s="6" t="str">
        <x:f>英雄升级调参!$D$22</x:f>
        <x:v>生存者</x:v>
      </x:c>
      <x:c r="D702" s="6" t="s">
        <x:v>18</x:v>
      </x:c>
      <x:c r="E702" s="6">
        <x:v>34</x:v>
      </x:c>
      <x:c r="F702" s="6" t="n">
        <x:f>英雄升级调参!$C$99</x:f>
        <x:v>7</x:v>
      </x:c>
      <x:c r="G702" s="12">
        <x:f t="shared" ref="G702:G718" si="64">G701+J702</x:f>
        <x:v>1624</x:v>
      </x:c>
      <x:c r="H702" s="12">
        <x:f t="shared" ref="H702:H718" si="65">H701+K702</x:f>
        <x:v>25398</x:v>
      </x:c>
      <x:c r="I702" s="12">
        <x:f t="shared" si="59"/>
        <x:v>41246352</x:v>
      </x:c>
      <x:c r="J702" s="12">
        <x:f>ROUND(英雄升级调参!$D$99*英雄升级调参!$J$9*英雄升级调参!$E$22,0)</x:f>
        <x:v>58</x:v>
      </x:c>
      <x:c r="K702" s="12">
        <x:f>ROUND(英雄升级调参!$D$99*英雄升级调参!$C$11*英雄升级调参!$J$9*英雄升级调参!$G$22,0)</x:f>
        <x:v>900</x:v>
      </x:c>
      <x:c r="L702" s="12" t="n">
        <x:f>养成消耗调参!$C$181</x:f>
        <x:v>768</x:v>
      </x:c>
      <x:c r="M702" s="12" t="n">
        <x:f>养成消耗调参!$F$181</x:f>
        <x:v>4800</x:v>
      </x:c>
      <x:c r="N702" s="12" t="n">
        <x:f>养成消耗调参!$I$181</x:f>
        <x:v>0</x:v>
      </x:c>
      <x:c r="O702" s="12" t="n">
        <x:f>养成消耗调参!$J$181</x:f>
        <x:v>12456</x:v>
      </x:c>
      <x:c r="P702" s="12" t="n">
        <x:f>养成消耗调参!$M$181</x:f>
        <x:v>72900</x:v>
      </x:c>
      <x:c r="Q702" s="12" t="n">
        <x:f>养成消耗调参!$P$181</x:f>
        <x:v>360</x:v>
      </x:c>
      <x:c r="R702" s="13">
        <x:f>I702/英雄升级调参!$G$99-1</x:f>
        <x:v>-7.898256492611111e-05</x:v>
      </x:c>
      <x:c r="S702" s="6"/>
      <x:c r="T702" s="6"/>
      <x:c r="U702" s="6"/>
    </x:row>
    <x:row r="703" ht="21" customHeight="1">
      <x:c r="A703" s="14" t="n">
        <x:f>英雄升级调参!$B$22</x:f>
        <x:v>310004</x:v>
      </x:c>
      <x:c r="B703" s="14" t="str">
        <x:f>英雄升级调参!$C$22</x:f>
        <x:v>龟尼克</x:v>
      </x:c>
      <x:c r="C703" s="6" t="str">
        <x:f>英雄升级调参!$D$22</x:f>
        <x:v>生存者</x:v>
      </x:c>
      <x:c r="D703" s="6" t="s">
        <x:v>18</x:v>
      </x:c>
      <x:c r="E703" s="6">
        <x:v>35</x:v>
      </x:c>
      <x:c r="F703" s="6" t="n">
        <x:f>英雄升级调参!$C$100</x:f>
        <x:v>7</x:v>
      </x:c>
      <x:c r="G703" s="12">
        <x:f t="shared" si="64"/>
        <x:v>1798</x:v>
      </x:c>
      <x:c r="H703" s="12">
        <x:f t="shared" si="65"/>
        <x:v>28098</x:v>
      </x:c>
      <x:c r="I703" s="12">
        <x:f t="shared" si="59"/>
        <x:v>50520204</x:v>
      </x:c>
      <x:c r="J703" s="12">
        <x:f>ROUND(英雄升级调参!$D$100*英雄升级调参!$J$9*英雄升级调参!$E$22,0)*3</x:f>
        <x:v>174</x:v>
      </x:c>
      <x:c r="K703" s="12">
        <x:f>ROUND(英雄升级调参!$D$100*英雄升级调参!$C$11*英雄升级调参!$J$9*英雄升级调参!$G$22,0)*3</x:f>
        <x:v>2700</x:v>
      </x:c>
      <x:c r="L703" s="12" t="n">
        <x:f>养成消耗调参!$C$182</x:f>
        <x:v>768</x:v>
      </x:c>
      <x:c r="M703" s="12" t="n">
        <x:f>养成消耗调参!$F$182</x:f>
        <x:v>4800</x:v>
      </x:c>
      <x:c r="N703" s="12" t="n">
        <x:f>养成消耗调参!$I$182</x:f>
        <x:v>130</x:v>
      </x:c>
      <x:c r="O703" s="12" t="n">
        <x:f>养成消耗调参!$J$182</x:f>
        <x:v>13224</x:v>
      </x:c>
      <x:c r="P703" s="12" t="n">
        <x:f>养成消耗调参!$M$182</x:f>
        <x:v>77700</x:v>
      </x:c>
      <x:c r="Q703" s="12" t="n">
        <x:f>养成消耗调参!$P$182</x:f>
        <x:v>490</x:v>
      </x:c>
      <x:c r="R703" s="13">
        <x:f>I703/英雄升级调参!$G$100-1</x:f>
        <x:v>0.0005964338744495201</x:v>
      </x:c>
      <x:c r="S703" s="6"/>
      <x:c r="T703" s="6"/>
      <x:c r="U703" s="6"/>
    </x:row>
    <x:row r="704" ht="21" customHeight="1">
      <x:c r="A704" s="14" t="n">
        <x:f>英雄升级调参!$B$22</x:f>
        <x:v>310004</x:v>
      </x:c>
      <x:c r="B704" s="14" t="str">
        <x:f>英雄升级调参!$C$22</x:f>
        <x:v>龟尼克</x:v>
      </x:c>
      <x:c r="C704" s="6" t="str">
        <x:f>英雄升级调参!$D$22</x:f>
        <x:v>生存者</x:v>
      </x:c>
      <x:c r="D704" s="6" t="s">
        <x:v>18</x:v>
      </x:c>
      <x:c r="E704" s="6">
        <x:v>36</x:v>
      </x:c>
      <x:c r="F704" s="6" t="n">
        <x:f>英雄升级调参!$C$101</x:f>
        <x:v>8</x:v>
      </x:c>
      <x:c r="G704" s="12">
        <x:f t="shared" si="64"/>
        <x:v>1863</x:v>
      </x:c>
      <x:c r="H704" s="12">
        <x:f t="shared" si="65"/>
        <x:v>29111</x:v>
      </x:c>
      <x:c r="I704" s="12">
        <x:f t="shared" si="59"/>
        <x:v>54233793</x:v>
      </x:c>
      <x:c r="J704" s="12">
        <x:f>ROUND(英雄升级调参!$D$101*英雄升级调参!$J$9*英雄升级调参!$E$22,0)</x:f>
        <x:v>65</x:v>
      </x:c>
      <x:c r="K704" s="12">
        <x:f>ROUND(英雄升级调参!$D$101*英雄升级调参!$C$11*英雄升级调参!$J$9*英雄升级调参!$G$22,0)</x:f>
        <x:v>1013</x:v>
      </x:c>
      <x:c r="L704" s="12" t="n">
        <x:f>养成消耗调参!$C$183</x:f>
        <x:v>816</x:v>
      </x:c>
      <x:c r="M704" s="12" t="n">
        <x:f>养成消耗调参!$F$183</x:f>
        <x:v>4800</x:v>
      </x:c>
      <x:c r="N704" s="12" t="n">
        <x:f>养成消耗调参!$I$183</x:f>
        <x:v>0</x:v>
      </x:c>
      <x:c r="O704" s="12" t="n">
        <x:f>养成消耗调参!$J$183</x:f>
        <x:v>14040</x:v>
      </x:c>
      <x:c r="P704" s="12" t="n">
        <x:f>养成消耗调参!$M$183</x:f>
        <x:v>82500</x:v>
      </x:c>
      <x:c r="Q704" s="12" t="n">
        <x:f>养成消耗调参!$P$183</x:f>
        <x:v>490</x:v>
      </x:c>
      <x:c r="R704" s="13">
        <x:f>I704/英雄升级调参!$G$101-1</x:f>
        <x:v>0.0007002936018705164</x:v>
      </x:c>
      <x:c r="S704" s="6"/>
      <x:c r="T704" s="6"/>
      <x:c r="U704" s="6"/>
    </x:row>
    <x:row r="705" ht="21" customHeight="1">
      <x:c r="A705" s="14" t="n">
        <x:f>英雄升级调参!$B$22</x:f>
        <x:v>310004</x:v>
      </x:c>
      <x:c r="B705" s="14" t="str">
        <x:f>英雄升级调参!$C$22</x:f>
        <x:v>龟尼克</x:v>
      </x:c>
      <x:c r="C705" s="6" t="str">
        <x:f>英雄升级调参!$D$22</x:f>
        <x:v>生存者</x:v>
      </x:c>
      <x:c r="D705" s="6" t="s">
        <x:v>18</x:v>
      </x:c>
      <x:c r="E705" s="6">
        <x:v>37</x:v>
      </x:c>
      <x:c r="F705" s="6" t="n">
        <x:f>英雄升级调参!$C$102</x:f>
        <x:v>8</x:v>
      </x:c>
      <x:c r="G705" s="12">
        <x:f t="shared" si="64"/>
        <x:v>1928</x:v>
      </x:c>
      <x:c r="H705" s="12">
        <x:f t="shared" si="65"/>
        <x:v>30124</x:v>
      </x:c>
      <x:c r="I705" s="12">
        <x:f t="shared" si="59"/>
        <x:v>58079072</x:v>
      </x:c>
      <x:c r="J705" s="12">
        <x:f>ROUND(英雄升级调参!$D$102*英雄升级调参!$J$9*英雄升级调参!$E$22,0)</x:f>
        <x:v>65</x:v>
      </x:c>
      <x:c r="K705" s="12">
        <x:f>ROUND(英雄升级调参!$D$102*英雄升级调参!$C$11*英雄升级调参!$J$9*英雄升级调参!$G$22,0)</x:f>
        <x:v>1013</x:v>
      </x:c>
      <x:c r="L705" s="12" t="n">
        <x:f>养成消耗调参!$C$184</x:f>
        <x:v>816</x:v>
      </x:c>
      <x:c r="M705" s="12" t="n">
        <x:f>养成消耗调参!$F$184</x:f>
        <x:v>5700</x:v>
      </x:c>
      <x:c r="N705" s="12" t="n">
        <x:f>养成消耗调参!$I$184</x:f>
        <x:v>0</x:v>
      </x:c>
      <x:c r="O705" s="12" t="n">
        <x:f>养成消耗调参!$J$184</x:f>
        <x:v>14856</x:v>
      </x:c>
      <x:c r="P705" s="12" t="n">
        <x:f>养成消耗调参!$M$184</x:f>
        <x:v>88200</x:v>
      </x:c>
      <x:c r="Q705" s="12" t="n">
        <x:f>养成消耗调参!$P$184</x:f>
        <x:v>490</x:v>
      </x:c>
      <x:c r="R705" s="13">
        <x:f>I705/英雄升级调参!$G$102-1</x:f>
        <x:v>0.0007971697389803634</x:v>
      </x:c>
      <x:c r="S705" s="6"/>
      <x:c r="T705" s="6"/>
      <x:c r="U705" s="6"/>
    </x:row>
    <x:row r="706" ht="21" customHeight="1">
      <x:c r="A706" s="14" t="n">
        <x:f>英雄升级调参!$B$22</x:f>
        <x:v>310004</x:v>
      </x:c>
      <x:c r="B706" s="14" t="str">
        <x:f>英雄升级调参!$C$22</x:f>
        <x:v>龟尼克</x:v>
      </x:c>
      <x:c r="C706" s="6" t="str">
        <x:f>英雄升级调参!$D$22</x:f>
        <x:v>生存者</x:v>
      </x:c>
      <x:c r="D706" s="6" t="s">
        <x:v>18</x:v>
      </x:c>
      <x:c r="E706" s="6">
        <x:v>38</x:v>
      </x:c>
      <x:c r="F706" s="6" t="n">
        <x:f>英雄升级调参!$C$103</x:f>
        <x:v>8</x:v>
      </x:c>
      <x:c r="G706" s="12">
        <x:f t="shared" si="64"/>
        <x:v>1993</x:v>
      </x:c>
      <x:c r="H706" s="12">
        <x:f t="shared" si="65"/>
        <x:v>31137</x:v>
      </x:c>
      <x:c r="I706" s="12">
        <x:f t="shared" si="59"/>
        <x:v>62056041</x:v>
      </x:c>
      <x:c r="J706" s="12">
        <x:f>ROUND(英雄升级调参!$D$103*英雄升级调参!$J$9*英雄升级调参!$E$22,0)</x:f>
        <x:v>65</x:v>
      </x:c>
      <x:c r="K706" s="12">
        <x:f>ROUND(英雄升级调参!$D$103*英雄升级调参!$C$11*英雄升级调参!$J$9*英雄升级调参!$G$22,0)</x:f>
        <x:v>1013</x:v>
      </x:c>
      <x:c r="L706" s="12" t="n">
        <x:f>养成消耗调参!$C$185</x:f>
        <x:v>864</x:v>
      </x:c>
      <x:c r="M706" s="12" t="n">
        <x:f>养成消耗调参!$F$185</x:f>
        <x:v>5700</x:v>
      </x:c>
      <x:c r="N706" s="12" t="n">
        <x:f>养成消耗调参!$I$185</x:f>
        <x:v>0</x:v>
      </x:c>
      <x:c r="O706" s="12" t="n">
        <x:f>养成消耗调参!$J$185</x:f>
        <x:v>15720</x:v>
      </x:c>
      <x:c r="P706" s="12" t="n">
        <x:f>养成消耗调参!$M$185</x:f>
        <x:v>93900</x:v>
      </x:c>
      <x:c r="Q706" s="12" t="n">
        <x:f>养成消耗调参!$P$185</x:f>
        <x:v>490</x:v>
      </x:c>
      <x:c r="R706" s="13">
        <x:f>I706/英雄升级调参!$G$103-1</x:f>
        <x:v>0.0008877437460685922</x:v>
      </x:c>
      <x:c r="S706" s="6"/>
      <x:c r="T706" s="6"/>
      <x:c r="U706" s="6"/>
    </x:row>
    <x:row r="707" ht="21" customHeight="1">
      <x:c r="A707" s="14" t="n">
        <x:f>英雄升级调参!$B$22</x:f>
        <x:v>310004</x:v>
      </x:c>
      <x:c r="B707" s="14" t="str">
        <x:f>英雄升级调参!$C$22</x:f>
        <x:v>龟尼克</x:v>
      </x:c>
      <x:c r="C707" s="6" t="str">
        <x:f>英雄升级调参!$D$22</x:f>
        <x:v>生存者</x:v>
      </x:c>
      <x:c r="D707" s="6" t="s">
        <x:v>18</x:v>
      </x:c>
      <x:c r="E707" s="6">
        <x:v>39</x:v>
      </x:c>
      <x:c r="F707" s="6" t="n">
        <x:f>英雄升级调参!$C$104</x:f>
        <x:v>8</x:v>
      </x:c>
      <x:c r="G707" s="12">
        <x:f t="shared" si="64"/>
        <x:v>2058</x:v>
      </x:c>
      <x:c r="H707" s="12">
        <x:f t="shared" si="65"/>
        <x:v>32150</x:v>
      </x:c>
      <x:c r="I707" s="12">
        <x:f t="shared" si="59"/>
        <x:v>66164700</x:v>
      </x:c>
      <x:c r="J707" s="12">
        <x:f>ROUND(英雄升级调参!$D$104*英雄升级调参!$J$9*英雄升级调参!$E$22,0)</x:f>
        <x:v>65</x:v>
      </x:c>
      <x:c r="K707" s="12">
        <x:f>ROUND(英雄升级调参!$D$104*英雄升级调参!$C$11*英雄升级调参!$J$9*英雄升级调参!$G$22,0)</x:f>
        <x:v>1013</x:v>
      </x:c>
      <x:c r="L707" s="12" t="n">
        <x:f>养成消耗调参!$C$186</x:f>
        <x:v>864</x:v>
      </x:c>
      <x:c r="M707" s="12" t="n">
        <x:f>养成消耗调参!$F$186</x:f>
        <x:v>5700</x:v>
      </x:c>
      <x:c r="N707" s="12" t="n">
        <x:f>养成消耗调参!$I$186</x:f>
        <x:v>0</x:v>
      </x:c>
      <x:c r="O707" s="12" t="n">
        <x:f>养成消耗调参!$J$186</x:f>
        <x:v>16584</x:v>
      </x:c>
      <x:c r="P707" s="12" t="n">
        <x:f>养成消耗调参!$M$186</x:f>
        <x:v>99600</x:v>
      </x:c>
      <x:c r="Q707" s="12" t="n">
        <x:f>养成消耗调参!$P$186</x:f>
        <x:v>490</x:v>
      </x:c>
      <x:c r="R707" s="13">
        <x:f>I707/英雄升级调参!$G$104-1</x:f>
        <x:v>0.0009726112137580234</x:v>
      </x:c>
      <x:c r="S707" s="6"/>
      <x:c r="T707" s="6"/>
      <x:c r="U707" s="6"/>
    </x:row>
    <x:row r="708" ht="21" customHeight="1">
      <x:c r="A708" s="14" t="n">
        <x:f>英雄升级调参!$B$22</x:f>
        <x:v>310004</x:v>
      </x:c>
      <x:c r="B708" s="14" t="str">
        <x:f>英雄升级调参!$C$22</x:f>
        <x:v>龟尼克</x:v>
      </x:c>
      <x:c r="C708" s="6" t="str">
        <x:f>英雄升级调参!$D$22</x:f>
        <x:v>生存者</x:v>
      </x:c>
      <x:c r="D708" s="6" t="s">
        <x:v>18</x:v>
      </x:c>
      <x:c r="E708" s="6">
        <x:v>40</x:v>
      </x:c>
      <x:c r="F708" s="6" t="n">
        <x:f>英雄升级调参!$C$105</x:f>
        <x:v>8</x:v>
      </x:c>
      <x:c r="G708" s="12">
        <x:f t="shared" si="64"/>
        <x:v>2253</x:v>
      </x:c>
      <x:c r="H708" s="12">
        <x:f t="shared" si="65"/>
        <x:v>35189</x:v>
      </x:c>
      <x:c r="I708" s="12">
        <x:f t="shared" si="59"/>
        <x:v>79280817</x:v>
      </x:c>
      <x:c r="J708" s="12">
        <x:f>ROUND(英雄升级调参!$D$105*英雄升级调参!$J$9*英雄升级调参!$E$22,0)*3</x:f>
        <x:v>195</x:v>
      </x:c>
      <x:c r="K708" s="12">
        <x:f>ROUND(英雄升级调参!$D$105*英雄升级调参!$C$11*英雄升级调参!$J$9*英雄升级调参!$G$22,0)*3</x:f>
        <x:v>3039</x:v>
      </x:c>
      <x:c r="L708" s="12" t="n">
        <x:f>养成消耗调参!$C$187</x:f>
        <x:v>912</x:v>
      </x:c>
      <x:c r="M708" s="12" t="n">
        <x:f>养成消耗调参!$F$187</x:f>
        <x:v>5700</x:v>
      </x:c>
      <x:c r="N708" s="12" t="n">
        <x:f>养成消耗调参!$I$187</x:f>
        <x:v>150</x:v>
      </x:c>
      <x:c r="O708" s="12" t="n">
        <x:f>养成消耗调参!$J$187</x:f>
        <x:v>17496</x:v>
      </x:c>
      <x:c r="P708" s="12" t="n">
        <x:f>养成消耗调参!$M$187</x:f>
        <x:v>105300</x:v>
      </x:c>
      <x:c r="Q708" s="12" t="n">
        <x:f>养成消耗调参!$P$187</x:f>
        <x:v>640</x:v>
      </x:c>
      <x:c r="R708" s="13">
        <x:f>I708/英雄升级调参!$G$105-1</x:f>
        <x:v>0.001197901749249386</x:v>
      </x:c>
      <x:c r="S708" s="6"/>
      <x:c r="T708" s="6"/>
      <x:c r="U708" s="6"/>
    </x:row>
    <x:row r="709" ht="21" customHeight="1">
      <x:c r="A709" s="14" t="n">
        <x:f>英雄升级调参!$B$22</x:f>
        <x:v>310004</x:v>
      </x:c>
      <x:c r="B709" s="14" t="str">
        <x:f>英雄升级调参!$C$22</x:f>
        <x:v>龟尼克</x:v>
      </x:c>
      <x:c r="C709" s="6" t="str">
        <x:f>英雄升级调参!$D$22</x:f>
        <x:v>生存者</x:v>
      </x:c>
      <x:c r="D709" s="6" t="s">
        <x:v>18</x:v>
      </x:c>
      <x:c r="E709" s="6">
        <x:v>41</x:v>
      </x:c>
      <x:c r="F709" s="6" t="n">
        <x:f>英雄升级调参!$C$106</x:f>
        <x:v>9</x:v>
      </x:c>
      <x:c r="G709" s="12">
        <x:f t="shared" si="64"/>
        <x:v>2325</x:v>
      </x:c>
      <x:c r="H709" s="12">
        <x:f t="shared" si="65"/>
        <x:v>36314</x:v>
      </x:c>
      <x:c r="I709" s="12">
        <x:f t="shared" ref="I709:I772" si="66">G709*H709</x:f>
        <x:v>84430050</x:v>
      </x:c>
      <x:c r="J709" s="12">
        <x:f>ROUND(英雄升级调参!$D$106*英雄升级调参!$J$9*英雄升级调参!$E$22,0)</x:f>
        <x:v>72</x:v>
      </x:c>
      <x:c r="K709" s="12">
        <x:f>ROUND(英雄升级调参!$D$106*英雄升级调参!$C$11*英雄升级调参!$J$9*英雄升级调参!$G$22,0)</x:f>
        <x:v>1125</x:v>
      </x:c>
      <x:c r="L709" s="12" t="n">
        <x:f>养成消耗调参!$C$188</x:f>
        <x:v>912</x:v>
      </x:c>
      <x:c r="M709" s="12" t="n">
        <x:f>养成消耗调参!$F$188</x:f>
        <x:v>5700</x:v>
      </x:c>
      <x:c r="N709" s="12" t="n">
        <x:f>养成消耗调参!$I$188</x:f>
        <x:v>0</x:v>
      </x:c>
      <x:c r="O709" s="12" t="n">
        <x:f>养成消耗调参!$J$188</x:f>
        <x:v>18408</x:v>
      </x:c>
      <x:c r="P709" s="12" t="n">
        <x:f>养成消耗调参!$M$188</x:f>
        <x:v>111000</x:v>
      </x:c>
      <x:c r="Q709" s="12" t="n">
        <x:f>养成消耗调参!$P$188</x:f>
        <x:v>640</x:v>
      </x:c>
      <x:c r="R709" s="13">
        <x:f>I709/英雄升级调参!$G$106-1</x:f>
        <x:v>0.001160767137945884</x:v>
      </x:c>
      <x:c r="S709" s="6"/>
      <x:c r="T709" s="6"/>
      <x:c r="U709" s="6"/>
    </x:row>
    <x:row r="710" ht="21" customHeight="1">
      <x:c r="A710" s="14" t="n">
        <x:f>英雄升级调参!$B$22</x:f>
        <x:v>310004</x:v>
      </x:c>
      <x:c r="B710" s="14" t="str">
        <x:f>英雄升级调参!$C$22</x:f>
        <x:v>龟尼克</x:v>
      </x:c>
      <x:c r="C710" s="6" t="str">
        <x:f>英雄升级调参!$D$22</x:f>
        <x:v>生存者</x:v>
      </x:c>
      <x:c r="D710" s="6" t="s">
        <x:v>18</x:v>
      </x:c>
      <x:c r="E710" s="6">
        <x:v>42</x:v>
      </x:c>
      <x:c r="F710" s="6" t="n">
        <x:f>英雄升级调参!$C$107</x:f>
        <x:v>9</x:v>
      </x:c>
      <x:c r="G710" s="12">
        <x:f t="shared" si="64"/>
        <x:v>2397</x:v>
      </x:c>
      <x:c r="H710" s="12">
        <x:f t="shared" si="65"/>
        <x:v>37439</x:v>
      </x:c>
      <x:c r="I710" s="12">
        <x:f t="shared" si="66"/>
        <x:v>89741283</x:v>
      </x:c>
      <x:c r="J710" s="12">
        <x:f>ROUND(英雄升级调参!$D$107*英雄升级调参!$J$9*英雄升级调参!$E$22,0)</x:f>
        <x:v>72</x:v>
      </x:c>
      <x:c r="K710" s="12">
        <x:f>ROUND(英雄升级调参!$D$107*英雄升级调参!$C$11*英雄升级调参!$J$9*英雄升级调参!$G$22,0)</x:f>
        <x:v>1125</x:v>
      </x:c>
      <x:c r="L710" s="12" t="n">
        <x:f>养成消耗调参!$C$189</x:f>
        <x:v>960</x:v>
      </x:c>
      <x:c r="M710" s="12" t="n">
        <x:f>养成消耗调参!$F$189</x:f>
        <x:v>6600</x:v>
      </x:c>
      <x:c r="N710" s="12" t="n">
        <x:f>养成消耗调参!$I$189</x:f>
        <x:v>0</x:v>
      </x:c>
      <x:c r="O710" s="12" t="n">
        <x:f>养成消耗调参!$J$189</x:f>
        <x:v>19368</x:v>
      </x:c>
      <x:c r="P710" s="12" t="n">
        <x:f>养成消耗调参!$M$189</x:f>
        <x:v>117600</x:v>
      </x:c>
      <x:c r="Q710" s="12" t="n">
        <x:f>养成消耗调参!$P$189</x:f>
        <x:v>640</x:v>
      </x:c>
      <x:c r="R710" s="13">
        <x:f>I710/英雄升级调参!$G$107-1</x:f>
        <x:v>0.0011258656257069344</x:v>
      </x:c>
      <x:c r="S710" s="6"/>
      <x:c r="T710" s="6"/>
      <x:c r="U710" s="6"/>
    </x:row>
    <x:row r="711" ht="21" customHeight="1">
      <x:c r="A711" s="14" t="n">
        <x:f>英雄升级调参!$B$22</x:f>
        <x:v>310004</x:v>
      </x:c>
      <x:c r="B711" s="14" t="str">
        <x:f>英雄升级调参!$C$22</x:f>
        <x:v>龟尼克</x:v>
      </x:c>
      <x:c r="C711" s="6" t="str">
        <x:f>英雄升级调参!$D$22</x:f>
        <x:v>生存者</x:v>
      </x:c>
      <x:c r="D711" s="6" t="s">
        <x:v>18</x:v>
      </x:c>
      <x:c r="E711" s="6">
        <x:v>43</x:v>
      </x:c>
      <x:c r="F711" s="6" t="n">
        <x:f>英雄升级调参!$C$108</x:f>
        <x:v>9</x:v>
      </x:c>
      <x:c r="G711" s="12">
        <x:f t="shared" si="64"/>
        <x:v>2469</x:v>
      </x:c>
      <x:c r="H711" s="12">
        <x:f t="shared" si="65"/>
        <x:v>38564</x:v>
      </x:c>
      <x:c r="I711" s="12">
        <x:f t="shared" si="66"/>
        <x:v>95214516</x:v>
      </x:c>
      <x:c r="J711" s="12">
        <x:f>ROUND(英雄升级调参!$D$108*英雄升级调参!$J$9*英雄升级调参!$E$22,0)</x:f>
        <x:v>72</x:v>
      </x:c>
      <x:c r="K711" s="12">
        <x:f>ROUND(英雄升级调参!$D$108*英雄升级调参!$C$11*英雄升级调参!$J$9*英雄升级调参!$G$22,0)</x:f>
        <x:v>1125</x:v>
      </x:c>
      <x:c r="L711" s="12" t="n">
        <x:f>养成消耗调参!$C$190</x:f>
        <x:v>960</x:v>
      </x:c>
      <x:c r="M711" s="12" t="n">
        <x:f>养成消耗调参!$F$190</x:f>
        <x:v>6600</x:v>
      </x:c>
      <x:c r="N711" s="12" t="n">
        <x:f>养成消耗调参!$I$190</x:f>
        <x:v>0</x:v>
      </x:c>
      <x:c r="O711" s="12" t="n">
        <x:f>养成消耗调参!$J$190</x:f>
        <x:v>20328</x:v>
      </x:c>
      <x:c r="P711" s="12" t="n">
        <x:f>养成消耗调参!$M$190</x:f>
        <x:v>124200</x:v>
      </x:c>
      <x:c r="Q711" s="12" t="n">
        <x:f>养成消耗调参!$P$190</x:f>
        <x:v>640</x:v>
      </x:c>
      <x:c r="R711" s="13">
        <x:f>I711/英雄升级调参!$G$108-1</x:f>
        <x:v>0.001093001660383397</x:v>
      </x:c>
      <x:c r="S711" s="6"/>
      <x:c r="T711" s="6"/>
      <x:c r="U711" s="6"/>
    </x:row>
    <x:row r="712" ht="21" customHeight="1">
      <x:c r="A712" s="14" t="n">
        <x:f>英雄升级调参!$B$22</x:f>
        <x:v>310004</x:v>
      </x:c>
      <x:c r="B712" s="14" t="str">
        <x:f>英雄升级调参!$C$22</x:f>
        <x:v>龟尼克</x:v>
      </x:c>
      <x:c r="C712" s="6" t="str">
        <x:f>英雄升级调参!$D$22</x:f>
        <x:v>生存者</x:v>
      </x:c>
      <x:c r="D712" s="6" t="s">
        <x:v>18</x:v>
      </x:c>
      <x:c r="E712" s="6">
        <x:v>44</x:v>
      </x:c>
      <x:c r="F712" s="6" t="n">
        <x:f>英雄升级调参!$C$109</x:f>
        <x:v>9</x:v>
      </x:c>
      <x:c r="G712" s="12">
        <x:f t="shared" si="64"/>
        <x:v>2541</x:v>
      </x:c>
      <x:c r="H712" s="12">
        <x:f t="shared" si="65"/>
        <x:v>39689</x:v>
      </x:c>
      <x:c r="I712" s="12">
        <x:f t="shared" si="66"/>
        <x:v>100849749</x:v>
      </x:c>
      <x:c r="J712" s="12">
        <x:f>ROUND(英雄升级调参!$D$109*英雄升级调参!$J$9*英雄升级调参!$E$22,0)</x:f>
        <x:v>72</x:v>
      </x:c>
      <x:c r="K712" s="12">
        <x:f>ROUND(英雄升级调参!$D$109*英雄升级调参!$C$11*英雄升级调参!$J$9*英雄升级调参!$G$22,0)</x:f>
        <x:v>1125</x:v>
      </x:c>
      <x:c r="L712" s="12" t="n">
        <x:f>养成消耗调参!$C$191</x:f>
        <x:v>1008</x:v>
      </x:c>
      <x:c r="M712" s="12" t="n">
        <x:f>养成消耗调参!$F$191</x:f>
        <x:v>6600</x:v>
      </x:c>
      <x:c r="N712" s="12" t="n">
        <x:f>养成消耗调参!$I$191</x:f>
        <x:v>0</x:v>
      </x:c>
      <x:c r="O712" s="12" t="n">
        <x:f>养成消耗调参!$J$191</x:f>
        <x:v>21336</x:v>
      </x:c>
      <x:c r="P712" s="12" t="n">
        <x:f>养成消耗调参!$M$191</x:f>
        <x:v>130800</x:v>
      </x:c>
      <x:c r="Q712" s="12" t="n">
        <x:f>养成消耗调参!$P$191</x:f>
        <x:v>640</x:v>
      </x:c>
      <x:c r="R712" s="13">
        <x:f>I712/英雄升级调参!$G$109-1</x:f>
        <x:v>0.0010620018748741522</x:v>
      </x:c>
      <x:c r="S712" s="6"/>
      <x:c r="T712" s="6"/>
      <x:c r="U712" s="6"/>
    </x:row>
    <x:row r="713" ht="21" customHeight="1">
      <x:c r="A713" s="14" t="n">
        <x:f>英雄升级调参!$B$22</x:f>
        <x:v>310004</x:v>
      </x:c>
      <x:c r="B713" s="14" t="str">
        <x:f>英雄升级调参!$C$22</x:f>
        <x:v>龟尼克</x:v>
      </x:c>
      <x:c r="C713" s="6" t="str">
        <x:f>英雄升级调参!$D$22</x:f>
        <x:v>生存者</x:v>
      </x:c>
      <x:c r="D713" s="6" t="s">
        <x:v>18</x:v>
      </x:c>
      <x:c r="E713" s="6">
        <x:v>45</x:v>
      </x:c>
      <x:c r="F713" s="6" t="n">
        <x:f>英雄升级调参!$C$110</x:f>
        <x:v>9</x:v>
      </x:c>
      <x:c r="G713" s="12">
        <x:f t="shared" si="64"/>
        <x:v>2757</x:v>
      </x:c>
      <x:c r="H713" s="12">
        <x:f t="shared" si="65"/>
        <x:v>43064</x:v>
      </x:c>
      <x:c r="I713" s="12">
        <x:f t="shared" si="66"/>
        <x:v>118727448</x:v>
      </x:c>
      <x:c r="J713" s="12">
        <x:f>ROUND(英雄升级调参!$D$110*英雄升级调参!$J$9*英雄升级调参!$E$22,0)*3</x:f>
        <x:v>216</x:v>
      </x:c>
      <x:c r="K713" s="12">
        <x:f>ROUND(英雄升级调参!$D$110*英雄升级调参!$C$11*英雄升级调参!$J$9*英雄升级调参!$G$22,0)*3</x:f>
        <x:v>3375</x:v>
      </x:c>
      <x:c r="L713" s="12" t="n">
        <x:f>养成消耗调参!$C$192</x:f>
        <x:v>1008</x:v>
      </x:c>
      <x:c r="M713" s="12" t="n">
        <x:f>养成消耗调参!$F$192</x:f>
        <x:v>6600</x:v>
      </x:c>
      <x:c r="N713" s="12" t="n">
        <x:f>养成消耗调参!$I$192</x:f>
        <x:v>170</x:v>
      </x:c>
      <x:c r="O713" s="12" t="n">
        <x:f>养成消耗调参!$J$192</x:f>
        <x:v>22344</x:v>
      </x:c>
      <x:c r="P713" s="12" t="n">
        <x:f>养成消耗调参!$M$192</x:f>
        <x:v>137400</x:v>
      </x:c>
      <x:c r="Q713" s="12" t="n">
        <x:f>养成消耗调参!$P$192</x:f>
        <x:v>810</x:v>
      </x:c>
      <x:c r="R713" s="13">
        <x:f>I713/英雄升级调参!$G$110-1</x:f>
        <x:v>0.0009787258151328082</x:v>
      </x:c>
      <x:c r="S713" s="6"/>
      <x:c r="T713" s="6"/>
      <x:c r="U713" s="6"/>
    </x:row>
    <x:row r="714" ht="21" customHeight="1">
      <x:c r="A714" s="14" t="n">
        <x:f>英雄升级调参!$B$22</x:f>
        <x:v>310004</x:v>
      </x:c>
      <x:c r="B714" s="14" t="str">
        <x:f>英雄升级调参!$C$22</x:f>
        <x:v>龟尼克</x:v>
      </x:c>
      <x:c r="C714" s="6" t="str">
        <x:f>英雄升级调参!$D$22</x:f>
        <x:v>生存者</x:v>
      </x:c>
      <x:c r="D714" s="6" t="s">
        <x:v>18</x:v>
      </x:c>
      <x:c r="E714" s="6">
        <x:v>46</x:v>
      </x:c>
      <x:c r="F714" s="6" t="n">
        <x:f>英雄升级调参!$C$111</x:f>
        <x:v>10</x:v>
      </x:c>
      <x:c r="G714" s="12">
        <x:f t="shared" si="64"/>
        <x:v>2836</x:v>
      </x:c>
      <x:c r="H714" s="12">
        <x:f t="shared" si="65"/>
        <x:v>44302</x:v>
      </x:c>
      <x:c r="I714" s="12">
        <x:f t="shared" si="66"/>
        <x:v>125640472</x:v>
      </x:c>
      <x:c r="J714" s="12">
        <x:f>ROUND(英雄升级调参!$D$111*英雄升级调参!$J$9*英雄升级调参!$E$22,0)</x:f>
        <x:v>79</x:v>
      </x:c>
      <x:c r="K714" s="12">
        <x:f>ROUND(英雄升级调参!$D$111*英雄升级调参!$C$11*英雄升级调参!$J$9*英雄升级调参!$G$22,0)</x:f>
        <x:v>1238</x:v>
      </x:c>
      <x:c r="L714" s="12" t="n">
        <x:f>养成消耗调参!$C$193</x:f>
        <x:v>1056</x:v>
      </x:c>
      <x:c r="M714" s="12" t="n">
        <x:f>养成消耗调参!$F$193</x:f>
        <x:v>6600</x:v>
      </x:c>
      <x:c r="N714" s="12" t="n">
        <x:f>养成消耗调参!$I$193</x:f>
        <x:v>0</x:v>
      </x:c>
      <x:c r="O714" s="12" t="n">
        <x:f>养成消耗调参!$J$193</x:f>
        <x:v>23400</x:v>
      </x:c>
      <x:c r="P714" s="12" t="n">
        <x:f>养成消耗调参!$M$193</x:f>
        <x:v>144000</x:v>
      </x:c>
      <x:c r="Q714" s="12" t="n">
        <x:f>养成消耗调参!$P$193</x:f>
        <x:v>810</x:v>
      </x:c>
      <x:c r="R714" s="13">
        <x:f>I714/英雄升级调参!$G$111-1</x:f>
        <x:v>0.0008920843387822952</x:v>
      </x:c>
      <x:c r="S714" s="6"/>
      <x:c r="T714" s="6"/>
      <x:c r="U714" s="6"/>
    </x:row>
    <x:row r="715" ht="21" customHeight="1">
      <x:c r="A715" s="14" t="n">
        <x:f>英雄升级调参!$B$22</x:f>
        <x:v>310004</x:v>
      </x:c>
      <x:c r="B715" s="14" t="str">
        <x:f>英雄升级调参!$C$22</x:f>
        <x:v>龟尼克</x:v>
      </x:c>
      <x:c r="C715" s="6" t="str">
        <x:f>英雄升级调参!$D$22</x:f>
        <x:v>生存者</x:v>
      </x:c>
      <x:c r="D715" s="6" t="s">
        <x:v>18</x:v>
      </x:c>
      <x:c r="E715" s="6">
        <x:v>47</x:v>
      </x:c>
      <x:c r="F715" s="6" t="n">
        <x:f>英雄升级调参!$C$112</x:f>
        <x:v>10</x:v>
      </x:c>
      <x:c r="G715" s="12">
        <x:f t="shared" si="64"/>
        <x:v>2915</x:v>
      </x:c>
      <x:c r="H715" s="12">
        <x:f t="shared" si="65"/>
        <x:v>45540</x:v>
      </x:c>
      <x:c r="I715" s="12">
        <x:f t="shared" si="66"/>
        <x:v>132749100</x:v>
      </x:c>
      <x:c r="J715" s="12">
        <x:f>ROUND(英雄升级调参!$D$112*英雄升级调参!$J$9*英雄升级调参!$E$22,0)</x:f>
        <x:v>79</x:v>
      </x:c>
      <x:c r="K715" s="12">
        <x:f>ROUND(英雄升级调参!$D$112*英雄升级调参!$C$11*英雄升级调参!$J$9*英雄升级调参!$G$22,0)</x:f>
        <x:v>1238</x:v>
      </x:c>
      <x:c r="L715" s="12" t="n">
        <x:f>养成消耗调参!$C$194</x:f>
        <x:v>1056</x:v>
      </x:c>
      <x:c r="M715" s="12" t="n">
        <x:f>养成消耗调参!$F$194</x:f>
        <x:v>7500</x:v>
      </x:c>
      <x:c r="N715" s="12" t="n">
        <x:f>养成消耗调参!$I$194</x:f>
        <x:v>0</x:v>
      </x:c>
      <x:c r="O715" s="12" t="n">
        <x:f>养成消耗调参!$J$194</x:f>
        <x:v>24456</x:v>
      </x:c>
      <x:c r="P715" s="12" t="n">
        <x:f>养成消耗调参!$M$194</x:f>
        <x:v>151500</x:v>
      </x:c>
      <x:c r="Q715" s="12" t="n">
        <x:f>养成消耗调参!$P$194</x:f>
        <x:v>810</x:v>
      </x:c>
      <x:c r="R715" s="13">
        <x:f>I715/英雄升级调参!$G$112-1</x:f>
        <x:v>0.000810152829835431</x:v>
      </x:c>
      <x:c r="S715" s="6"/>
      <x:c r="T715" s="6"/>
      <x:c r="U715" s="6"/>
    </x:row>
    <x:row r="716" ht="21" customHeight="1">
      <x:c r="A716" s="14" t="n">
        <x:f>英雄升级调参!$B$22</x:f>
        <x:v>310004</x:v>
      </x:c>
      <x:c r="B716" s="14" t="str">
        <x:f>英雄升级调参!$C$22</x:f>
        <x:v>龟尼克</x:v>
      </x:c>
      <x:c r="C716" s="6" t="str">
        <x:f>英雄升级调参!$D$22</x:f>
        <x:v>生存者</x:v>
      </x:c>
      <x:c r="D716" s="6" t="s">
        <x:v>18</x:v>
      </x:c>
      <x:c r="E716" s="6">
        <x:v>48</x:v>
      </x:c>
      <x:c r="F716" s="6" t="n">
        <x:f>英雄升级调参!$C$113</x:f>
        <x:v>10</x:v>
      </x:c>
      <x:c r="G716" s="12">
        <x:f t="shared" si="64"/>
        <x:v>2994</x:v>
      </x:c>
      <x:c r="H716" s="12">
        <x:f t="shared" si="65"/>
        <x:v>46778</x:v>
      </x:c>
      <x:c r="I716" s="12">
        <x:f t="shared" si="66"/>
        <x:v>140053332</x:v>
      </x:c>
      <x:c r="J716" s="12">
        <x:f>ROUND(英雄升级调参!$D$113*英雄升级调参!$J$9*英雄升级调参!$E$22,0)</x:f>
        <x:v>79</x:v>
      </x:c>
      <x:c r="K716" s="12">
        <x:f>ROUND(英雄升级调参!$D$113*英雄升级调参!$C$11*英雄升级调参!$J$9*英雄升级调参!$G$22,0)</x:f>
        <x:v>1238</x:v>
      </x:c>
      <x:c r="L716" s="12" t="n">
        <x:f>养成消耗调参!$C$195</x:f>
        <x:v>1104</x:v>
      </x:c>
      <x:c r="M716" s="12" t="n">
        <x:f>养成消耗调参!$F$195</x:f>
        <x:v>7500</x:v>
      </x:c>
      <x:c r="N716" s="12" t="n">
        <x:f>养成消耗调参!$I$195</x:f>
        <x:v>0</x:v>
      </x:c>
      <x:c r="O716" s="12" t="n">
        <x:f>养成消耗调参!$J$195</x:f>
        <x:v>25560</x:v>
      </x:c>
      <x:c r="P716" s="12" t="n">
        <x:f>养成消耗调参!$M$195</x:f>
        <x:v>159000</x:v>
      </x:c>
      <x:c r="Q716" s="12" t="n">
        <x:f>养成消耗调参!$P$195</x:f>
        <x:v>810</x:v>
      </x:c>
      <x:c r="R716" s="13">
        <x:f>I716/英雄升级调参!$G$113-1</x:f>
        <x:v>0.0007325573892713599</x:v>
      </x:c>
      <x:c r="S716" s="6"/>
      <x:c r="T716" s="6"/>
      <x:c r="U716" s="6"/>
    </x:row>
    <x:row r="717" ht="21" customHeight="1">
      <x:c r="A717" s="14" t="n">
        <x:f>英雄升级调参!$B$22</x:f>
        <x:v>310004</x:v>
      </x:c>
      <x:c r="B717" s="14" t="str">
        <x:f>英雄升级调参!$C$22</x:f>
        <x:v>龟尼克</x:v>
      </x:c>
      <x:c r="C717" s="6" t="str">
        <x:f>英雄升级调参!$D$22</x:f>
        <x:v>生存者</x:v>
      </x:c>
      <x:c r="D717" s="6" t="s">
        <x:v>18</x:v>
      </x:c>
      <x:c r="E717" s="6">
        <x:v>49</x:v>
      </x:c>
      <x:c r="F717" s="6" t="n">
        <x:f>英雄升级调参!$C$114</x:f>
        <x:v>10</x:v>
      </x:c>
      <x:c r="G717" s="12">
        <x:f t="shared" si="64"/>
        <x:v>3073</x:v>
      </x:c>
      <x:c r="H717" s="12">
        <x:f t="shared" si="65"/>
        <x:v>48016</x:v>
      </x:c>
      <x:c r="I717" s="12">
        <x:f t="shared" si="66"/>
        <x:v>147553168</x:v>
      </x:c>
      <x:c r="J717" s="12">
        <x:f>ROUND(英雄升级调参!$D$114*英雄升级调参!$J$9*英雄升级调参!$E$22,0)</x:f>
        <x:v>79</x:v>
      </x:c>
      <x:c r="K717" s="12">
        <x:f>ROUND(英雄升级调参!$D$114*英雄升级调参!$C$11*英雄升级调参!$J$9*英雄升级调参!$G$22,0)</x:f>
        <x:v>1238</x:v>
      </x:c>
      <x:c r="L717" s="12" t="n">
        <x:f>养成消耗调参!$C$196</x:f>
        <x:v>1104</x:v>
      </x:c>
      <x:c r="M717" s="12" t="n">
        <x:f>养成消耗调参!$F$196</x:f>
        <x:v>7500</x:v>
      </x:c>
      <x:c r="N717" s="12" t="n">
        <x:f>养成消耗调参!$I$196</x:f>
        <x:v>0</x:v>
      </x:c>
      <x:c r="O717" s="12" t="n">
        <x:f>养成消耗调参!$J$196</x:f>
        <x:v>26664</x:v>
      </x:c>
      <x:c r="P717" s="12" t="n">
        <x:f>养成消耗调参!$M$196</x:f>
        <x:v>166500</x:v>
      </x:c>
      <x:c r="Q717" s="12" t="n">
        <x:f>养成消耗调参!$P$196</x:f>
        <x:v>810</x:v>
      </x:c>
      <x:c r="R717" s="13">
        <x:f>I717/英雄升级调参!$G$114-1</x:f>
        <x:v>0.0006589626736110965</x:v>
      </x:c>
      <x:c r="S717" s="6"/>
      <x:c r="T717" s="6"/>
      <x:c r="U717" s="6"/>
    </x:row>
    <x:row r="718" ht="21" customHeight="1">
      <x:c r="A718" s="14" t="n">
        <x:f>英雄升级调参!$B$22</x:f>
        <x:v>310004</x:v>
      </x:c>
      <x:c r="B718" s="14" t="str">
        <x:f>英雄升级调参!$C$22</x:f>
        <x:v>龟尼克</x:v>
      </x:c>
      <x:c r="C718" s="6" t="str">
        <x:f>英雄升级调参!$D$22</x:f>
        <x:v>生存者</x:v>
      </x:c>
      <x:c r="D718" s="6" t="s">
        <x:v>18</x:v>
      </x:c>
      <x:c r="E718" s="6">
        <x:v>50</x:v>
      </x:c>
      <x:c r="F718" s="6" t="n">
        <x:f>英雄升级调参!$C$115</x:f>
        <x:v>10</x:v>
      </x:c>
      <x:c r="G718" s="12">
        <x:f t="shared" si="64"/>
        <x:v>3310</x:v>
      </x:c>
      <x:c r="H718" s="12">
        <x:f t="shared" si="65"/>
        <x:v>51730</x:v>
      </x:c>
      <x:c r="I718" s="12">
        <x:f t="shared" si="66"/>
        <x:v>171226300</x:v>
      </x:c>
      <x:c r="J718" s="12">
        <x:f>ROUND(英雄升级调参!$D$115*英雄升级调参!$J$9*英雄升级调参!$E$22,0)*3</x:f>
        <x:v>237</x:v>
      </x:c>
      <x:c r="K718" s="12">
        <x:f>ROUND(英雄升级调参!$D$115*英雄升级调参!$C$11*英雄升级调参!$J$9*英雄升级调参!$G$22,0)*3</x:f>
        <x:v>3714</x:v>
      </x:c>
      <x:c r="L718" s="12" t="n">
        <x:f>养成消耗调参!$C$197</x:f>
        <x:v>1152</x:v>
      </x:c>
      <x:c r="M718" s="12" t="n">
        <x:f>养成消耗调参!$F$197</x:f>
        <x:v>7500</x:v>
      </x:c>
      <x:c r="N718" s="12" t="n">
        <x:f>养成消耗调参!$I$197</x:f>
        <x:v>190</x:v>
      </x:c>
      <x:c r="O718" s="12" t="n">
        <x:f>养成消耗调参!$J$197</x:f>
        <x:v>27816</x:v>
      </x:c>
      <x:c r="P718" s="12" t="n">
        <x:f>养成消耗调参!$M$197</x:f>
        <x:v>174000</x:v>
      </x:c>
      <x:c r="Q718" s="12" t="n">
        <x:f>养成消耗调参!$P$197</x:f>
        <x:v>1000</x:v>
      </x:c>
      <x:c r="R718" s="13">
        <x:f>I718/英雄升级调参!$G$115-1</x:f>
        <x:v>0.0004593109027646314</x:v>
      </x:c>
      <x:c r="S718" s="6"/>
      <x:c r="T718" s="6"/>
      <x:c r="U718" s="6"/>
    </x:row>
    <x:row r="719" ht="21" customHeight="1">
      <x:c r="A719" s="14" t="n">
        <x:f>英雄升级调参!$B$22</x:f>
        <x:v>310004</x:v>
      </x:c>
      <x:c r="B719" s="14" t="str">
        <x:f>英雄升级调参!$C$22</x:f>
        <x:v>龟尼克</x:v>
      </x:c>
      <x:c r="C719" s="6" t="str">
        <x:f>英雄升级调参!$D$22</x:f>
        <x:v>生存者</x:v>
      </x:c>
      <x:c r="D719" s="6" t="s">
        <x:v>22</x:v>
      </x:c>
      <x:c r="E719" s="6">
        <x:v>1</x:v>
      </x:c>
      <x:c r="F719" s="6" t="n">
        <x:f>英雄升级调参!$C$66</x:f>
        <x:v>1</x:v>
      </x:c>
      <x:c r="G719" s="12">
        <x:f>G678-SUM(J720:J723)</x:f>
        <x:v>154</x:v>
      </x:c>
      <x:c r="H719" s="12">
        <x:f>H678-SUM(K720:K723)</x:f>
        <x:v>2438</x:v>
      </x:c>
      <x:c r="I719" s="12">
        <x:f t="shared" si="66"/>
        <x:v>375452</x:v>
      </x:c>
      <x:c r="J719" s="12" t="n">
        <x:f>0</x:f>
        <x:v>0</x:v>
      </x:c>
      <x:c r="K719" s="12" t="n">
        <x:f>0</x:f>
        <x:v>0</x:v>
      </x:c>
      <x:c r="L719" s="12" t="n">
        <x:f>养成消耗调参!$D$148</x:f>
        <x:v>0</x:v>
      </x:c>
      <x:c r="M719" s="12" t="n">
        <x:f>养成消耗调参!$G$148</x:f>
        <x:v>0</x:v>
      </x:c>
      <x:c r="N719" s="12" t="n">
        <x:f>养成消耗调参!$I$148</x:f>
        <x:v>0</x:v>
      </x:c>
      <x:c r="O719" s="12" t="n">
        <x:f>养成消耗调参!$K$148</x:f>
        <x:v>0</x:v>
      </x:c>
      <x:c r="P719" s="12" t="n">
        <x:f>养成消耗调参!$N$148</x:f>
        <x:v>0</x:v>
      </x:c>
      <x:c r="Q719" s="12" t="n">
        <x:f>养成消耗调参!$P$148</x:f>
        <x:v>0</x:v>
      </x:c>
      <x:c r="R719" s="13">
        <x:f>I719/英雄升级调参!$J$66-1</x:f>
        <x:v>-0.012618014464168326</x:v>
      </x:c>
      <x:c r="S719" s="6"/>
      <x:c r="T719" s="6"/>
      <x:c r="U719" s="6"/>
    </x:row>
    <x:row r="720" ht="21" customHeight="1">
      <x:c r="A720" s="14" t="n">
        <x:f>英雄升级调参!$B$22</x:f>
        <x:v>310004</x:v>
      </x:c>
      <x:c r="B720" s="14" t="str">
        <x:f>英雄升级调参!$C$22</x:f>
        <x:v>龟尼克</x:v>
      </x:c>
      <x:c r="C720" s="6" t="str">
        <x:f>英雄升级调参!$D$22</x:f>
        <x:v>生存者</x:v>
      </x:c>
      <x:c r="D720" s="6" t="s">
        <x:v>22</x:v>
      </x:c>
      <x:c r="E720" s="6">
        <x:v>2</x:v>
      </x:c>
      <x:c r="F720" s="6" t="n">
        <x:f>英雄升级调参!$C$67</x:f>
        <x:v>1</x:v>
      </x:c>
      <x:c r="G720" s="12">
        <x:f t="shared" ref="G720:G751" si="67">G719+J720</x:f>
        <x:v>176</x:v>
      </x:c>
      <x:c r="H720" s="12">
        <x:f t="shared" ref="H720:H751" si="68">H719+K720</x:f>
        <x:v>2776</x:v>
      </x:c>
      <x:c r="I720" s="12">
        <x:f t="shared" si="66"/>
        <x:v>488576</x:v>
      </x:c>
      <x:c r="J720" s="12">
        <x:f>ROUND(英雄升级调参!$D$67*英雄升级调参!$J$10*英雄升级调参!$E$22,0)</x:f>
        <x:v>22</x:v>
      </x:c>
      <x:c r="K720" s="12">
        <x:f>ROUND(英雄升级调参!$D$67*英雄升级调参!$C$11*英雄升级调参!$J$10*英雄升级调参!$G$22,0)</x:f>
        <x:v>338</x:v>
      </x:c>
      <x:c r="L720" s="12" t="n">
        <x:f>养成消耗调参!$D$149</x:f>
        <x:v>36</x:v>
      </x:c>
      <x:c r="M720" s="12" t="n">
        <x:f>养成消耗调参!$G$149</x:f>
        <x:v>450</x:v>
      </x:c>
      <x:c r="N720" s="12" t="n">
        <x:f>养成消耗调参!$I$149</x:f>
        <x:v>0</x:v>
      </x:c>
      <x:c r="O720" s="12" t="n">
        <x:f>养成消耗调参!$K$149</x:f>
        <x:v>36</x:v>
      </x:c>
      <x:c r="P720" s="12" t="n">
        <x:f>养成消耗调参!$N$149</x:f>
        <x:v>450</x:v>
      </x:c>
      <x:c r="Q720" s="12" t="n">
        <x:f>养成消耗调参!$P$149</x:f>
        <x:v>0</x:v>
      </x:c>
      <x:c r="R720" s="13">
        <x:f>I720/英雄升级调参!$J$67-1</x:f>
        <x:v>-0.008651895138381605</x:v>
      </x:c>
      <x:c r="S720" s="6"/>
      <x:c r="T720" s="6"/>
      <x:c r="U720" s="6"/>
    </x:row>
    <x:row r="721" ht="21" customHeight="1">
      <x:c r="A721" s="14" t="n">
        <x:f>英雄升级调参!$B$22</x:f>
        <x:v>310004</x:v>
      </x:c>
      <x:c r="B721" s="14" t="str">
        <x:f>英雄升级调参!$C$22</x:f>
        <x:v>龟尼克</x:v>
      </x:c>
      <x:c r="C721" s="6" t="str">
        <x:f>英雄升级调参!$D$22</x:f>
        <x:v>生存者</x:v>
      </x:c>
      <x:c r="D721" s="6" t="s">
        <x:v>22</x:v>
      </x:c>
      <x:c r="E721" s="6">
        <x:v>3</x:v>
      </x:c>
      <x:c r="F721" s="6" t="n">
        <x:f>英雄升级调参!$C$68</x:f>
        <x:v>1</x:v>
      </x:c>
      <x:c r="G721" s="12">
        <x:f t="shared" si="67"/>
        <x:v>198</x:v>
      </x:c>
      <x:c r="H721" s="12">
        <x:f t="shared" si="68"/>
        <x:v>3114</x:v>
      </x:c>
      <x:c r="I721" s="12">
        <x:f t="shared" si="66"/>
        <x:v>616572</x:v>
      </x:c>
      <x:c r="J721" s="12">
        <x:f>ROUND(英雄升级调参!$D$68*英雄升级调参!$J$10*英雄升级调参!$E$22,0)</x:f>
        <x:v>22</x:v>
      </x:c>
      <x:c r="K721" s="12">
        <x:f>ROUND(英雄升级调参!$D$68*英雄升级调参!$C$11*英雄升级调参!$J$10*英雄升级调参!$G$22,0)</x:f>
        <x:v>338</x:v>
      </x:c>
      <x:c r="L721" s="12" t="n">
        <x:f>养成消耗调参!$D$150</x:f>
        <x:v>36</x:v>
      </x:c>
      <x:c r="M721" s="12" t="n">
        <x:f>养成消耗调参!$G$150</x:f>
        <x:v>450</x:v>
      </x:c>
      <x:c r="N721" s="12" t="n">
        <x:f>养成消耗调参!$I$150</x:f>
        <x:v>0</x:v>
      </x:c>
      <x:c r="O721" s="12" t="n">
        <x:f>养成消耗调参!$K$150</x:f>
        <x:v>72</x:v>
      </x:c>
      <x:c r="P721" s="12" t="n">
        <x:f>养成消耗调参!$N$150</x:f>
        <x:v>900</x:v>
      </x:c>
      <x:c r="Q721" s="12" t="n">
        <x:f>养成消耗调参!$P$150</x:f>
        <x:v>0</x:v>
      </x:c>
      <x:c r="R721" s="13">
        <x:f>I721/英雄升级调参!$J$68-1</x:f>
        <x:v>-0.005545071853679806</x:v>
      </x:c>
      <x:c r="S721" s="6"/>
      <x:c r="T721" s="6"/>
      <x:c r="U721" s="6"/>
    </x:row>
    <x:row r="722" ht="21" customHeight="1">
      <x:c r="A722" s="14" t="n">
        <x:f>英雄升级调参!$B$22</x:f>
        <x:v>310004</x:v>
      </x:c>
      <x:c r="B722" s="14" t="str">
        <x:f>英雄升级调参!$C$22</x:f>
        <x:v>龟尼克</x:v>
      </x:c>
      <x:c r="C722" s="6" t="str">
        <x:f>英雄升级调参!$D$22</x:f>
        <x:v>生存者</x:v>
      </x:c>
      <x:c r="D722" s="6" t="s">
        <x:v>22</x:v>
      </x:c>
      <x:c r="E722" s="6">
        <x:v>4</x:v>
      </x:c>
      <x:c r="F722" s="6" t="n">
        <x:f>英雄升级调参!$C$69</x:f>
        <x:v>1</x:v>
      </x:c>
      <x:c r="G722" s="12">
        <x:f t="shared" si="67"/>
        <x:v>220</x:v>
      </x:c>
      <x:c r="H722" s="12">
        <x:f t="shared" si="68"/>
        <x:v>3452</x:v>
      </x:c>
      <x:c r="I722" s="12">
        <x:f t="shared" si="66"/>
        <x:v>759440</x:v>
      </x:c>
      <x:c r="J722" s="12">
        <x:f>ROUND(英雄升级调参!$D$69*英雄升级调参!$J$10*英雄升级调参!$E$22,0)</x:f>
        <x:v>22</x:v>
      </x:c>
      <x:c r="K722" s="12">
        <x:f>ROUND(英雄升级调参!$D$69*英雄升级调参!$C$11*英雄升级调参!$J$10*英雄升级调参!$G$22,0)</x:f>
        <x:v>338</x:v>
      </x:c>
      <x:c r="L722" s="12" t="n">
        <x:f>养成消耗调参!$D$151</x:f>
        <x:v>72</x:v>
      </x:c>
      <x:c r="M722" s="12" t="n">
        <x:f>养成消耗调参!$G$151</x:f>
        <x:v>450</x:v>
      </x:c>
      <x:c r="N722" s="12" t="n">
        <x:f>养成消耗调参!$I$151</x:f>
        <x:v>0</x:v>
      </x:c>
      <x:c r="O722" s="12" t="n">
        <x:f>养成消耗调参!$K$151</x:f>
        <x:v>144</x:v>
      </x:c>
      <x:c r="P722" s="12" t="n">
        <x:f>养成消耗调参!$N$151</x:f>
        <x:v>1350</x:v>
      </x:c>
      <x:c r="Q722" s="12" t="n">
        <x:f>养成消耗调参!$P$151</x:f>
        <x:v>0</x:v>
      </x:c>
      <x:c r="R722" s="13">
        <x:f>I722/英雄升级调参!$J$69-1</x:f>
        <x:v>-0.0030455786599453694</x:v>
      </x:c>
      <x:c r="S722" s="6"/>
      <x:c r="T722" s="6"/>
      <x:c r="U722" s="6"/>
    </x:row>
    <x:row r="723" ht="21" customHeight="1">
      <x:c r="A723" s="14" t="n">
        <x:f>英雄升级调参!$B$22</x:f>
        <x:v>310004</x:v>
      </x:c>
      <x:c r="B723" s="14" t="str">
        <x:f>英雄升级调参!$C$22</x:f>
        <x:v>龟尼克</x:v>
      </x:c>
      <x:c r="C723" s="6" t="str">
        <x:f>英雄升级调参!$D$22</x:f>
        <x:v>生存者</x:v>
      </x:c>
      <x:c r="D723" s="6" t="s">
        <x:v>22</x:v>
      </x:c>
      <x:c r="E723" s="6">
        <x:v>5</x:v>
      </x:c>
      <x:c r="F723" s="6" t="n">
        <x:f>英雄升级调参!$C$70</x:f>
        <x:v>1</x:v>
      </x:c>
      <x:c r="G723" s="12">
        <x:f t="shared" si="67"/>
        <x:v>286</x:v>
      </x:c>
      <x:c r="H723" s="12">
        <x:f t="shared" si="68"/>
        <x:v>4466</x:v>
      </x:c>
      <x:c r="I723" s="12">
        <x:f t="shared" si="66"/>
        <x:v>1277276</x:v>
      </x:c>
      <x:c r="J723" s="12">
        <x:f>ROUND(英雄升级调参!$D$70*英雄升级调参!$J$10*英雄升级调参!$E$22,0)*3</x:f>
        <x:v>66</x:v>
      </x:c>
      <x:c r="K723" s="12">
        <x:f>ROUND(英雄升级调参!$D$70*英雄升级调参!$C$11*英雄升级调参!$J$10*英雄升级调参!$G$22,0)*3</x:f>
        <x:v>1014</x:v>
      </x:c>
      <x:c r="L723" s="12" t="n">
        <x:f>养成消耗调参!$D$152</x:f>
        <x:v>72</x:v>
      </x:c>
      <x:c r="M723" s="12" t="n">
        <x:f>养成消耗调参!$G$152</x:f>
        <x:v>450</x:v>
      </x:c>
      <x:c r="N723" s="12" t="n">
        <x:f>养成消耗调参!$I$152</x:f>
        <x:v>10</x:v>
      </x:c>
      <x:c r="O723" s="12" t="n">
        <x:f>养成消耗调参!$K$152</x:f>
        <x:v>216</x:v>
      </x:c>
      <x:c r="P723" s="12" t="n">
        <x:f>养成消耗调参!$N$152</x:f>
        <x:v>1800</x:v>
      </x:c>
      <x:c r="Q723" s="12" t="n">
        <x:f>养成消耗调参!$P$152</x:f>
        <x:v>10</x:v>
      </x:c>
      <x:c r="R723" s="13">
        <x:f>I723/英雄升级调参!$J$70-1</x:f>
        <x:v>0.0021859724281869664</x:v>
      </x:c>
      <x:c r="S723" s="6"/>
      <x:c r="T723" s="6"/>
      <x:c r="U723" s="6"/>
    </x:row>
    <x:row r="724" ht="21" customHeight="1">
      <x:c r="A724" s="14" t="n">
        <x:f>英雄升级调参!$B$22</x:f>
        <x:v>310004</x:v>
      </x:c>
      <x:c r="B724" s="14" t="str">
        <x:f>英雄升级调参!$C$22</x:f>
        <x:v>龟尼克</x:v>
      </x:c>
      <x:c r="C724" s="6" t="str">
        <x:f>英雄升级调参!$D$22</x:f>
        <x:v>生存者</x:v>
      </x:c>
      <x:c r="D724" s="6" t="s">
        <x:v>22</x:v>
      </x:c>
      <x:c r="E724" s="6">
        <x:v>6</x:v>
      </x:c>
      <x:c r="F724" s="6" t="n">
        <x:f>英雄升级调参!$C$71</x:f>
        <x:v>2</x:v>
      </x:c>
      <x:c r="G724" s="12">
        <x:f t="shared" si="67"/>
        <x:v>318</x:v>
      </x:c>
      <x:c r="H724" s="12">
        <x:f t="shared" si="68"/>
        <x:v>4972</x:v>
      </x:c>
      <x:c r="I724" s="12">
        <x:f t="shared" si="66"/>
        <x:v>1581096</x:v>
      </x:c>
      <x:c r="J724" s="12">
        <x:f>ROUND(英雄升级调参!$D$71*英雄升级调参!$J$10*英雄升级调参!$E$22,0)</x:f>
        <x:v>32</x:v>
      </x:c>
      <x:c r="K724" s="12">
        <x:f>ROUND(英雄升级调参!$D$71*英雄升级调参!$C$11*英雄升级调参!$J$10*英雄升级调参!$G$22,0)</x:f>
        <x:v>506</x:v>
      </x:c>
      <x:c r="L724" s="12" t="n">
        <x:f>养成消耗调参!$D$153</x:f>
        <x:v>144</x:v>
      </x:c>
      <x:c r="M724" s="12" t="n">
        <x:f>养成消耗调参!$G$153</x:f>
        <x:v>450</x:v>
      </x:c>
      <x:c r="N724" s="12" t="n">
        <x:f>养成消耗调参!$I$153</x:f>
        <x:v>0</x:v>
      </x:c>
      <x:c r="O724" s="12" t="n">
        <x:f>养成消耗调参!$K$153</x:f>
        <x:v>360</x:v>
      </x:c>
      <x:c r="P724" s="12" t="n">
        <x:f>养成消耗调参!$N$153</x:f>
        <x:v>2250</x:v>
      </x:c>
      <x:c r="Q724" s="12" t="n">
        <x:f>养成消耗调参!$P$153</x:f>
        <x:v>10</x:v>
      </x:c>
      <x:c r="R724" s="13">
        <x:f>I724/英雄升级调参!$J$71-1</x:f>
        <x:v>-0.000603015075376856</x:v>
      </x:c>
      <x:c r="S724" s="6"/>
      <x:c r="T724" s="6"/>
      <x:c r="U724" s="6"/>
    </x:row>
    <x:row r="725" ht="21" customHeight="1">
      <x:c r="A725" s="14" t="n">
        <x:f>英雄升级调参!$B$22</x:f>
        <x:v>310004</x:v>
      </x:c>
      <x:c r="B725" s="14" t="str">
        <x:f>英雄升级调参!$C$22</x:f>
        <x:v>龟尼克</x:v>
      </x:c>
      <x:c r="C725" s="6" t="str">
        <x:f>英雄升级调参!$D$22</x:f>
        <x:v>生存者</x:v>
      </x:c>
      <x:c r="D725" s="6" t="s">
        <x:v>22</x:v>
      </x:c>
      <x:c r="E725" s="6">
        <x:v>7</x:v>
      </x:c>
      <x:c r="F725" s="6" t="n">
        <x:f>英雄升级调参!$C$72</x:f>
        <x:v>2</x:v>
      </x:c>
      <x:c r="G725" s="12">
        <x:f t="shared" si="67"/>
        <x:v>350</x:v>
      </x:c>
      <x:c r="H725" s="12">
        <x:f t="shared" si="68"/>
        <x:v>5478</x:v>
      </x:c>
      <x:c r="I725" s="12">
        <x:f t="shared" si="66"/>
        <x:v>1917300</x:v>
      </x:c>
      <x:c r="J725" s="12">
        <x:f>ROUND(英雄升级调参!$D$72*英雄升级调参!$J$10*英雄升级调参!$E$22,0)</x:f>
        <x:v>32</x:v>
      </x:c>
      <x:c r="K725" s="12">
        <x:f>ROUND(英雄升级调参!$D$72*英雄升级调参!$C$11*英雄升级调参!$J$10*英雄升级调参!$G$22,0)</x:f>
        <x:v>506</x:v>
      </x:c>
      <x:c r="L725" s="12" t="n">
        <x:f>养成消耗调参!$D$154</x:f>
        <x:v>144</x:v>
      </x:c>
      <x:c r="M725" s="12" t="n">
        <x:f>养成消耗调参!$G$154</x:f>
        <x:v>1350</x:v>
      </x:c>
      <x:c r="N725" s="12" t="n">
        <x:f>养成消耗调参!$I$154</x:f>
        <x:v>0</x:v>
      </x:c>
      <x:c r="O725" s="12" t="n">
        <x:f>养成消耗调参!$K$154</x:f>
        <x:v>504</x:v>
      </x:c>
      <x:c r="P725" s="12" t="n">
        <x:f>养成消耗调参!$N$154</x:f>
        <x:v>3600</x:v>
      </x:c>
      <x:c r="Q725" s="12" t="n">
        <x:f>养成消耗调参!$P$154</x:f>
        <x:v>10</x:v>
      </x:c>
      <x:c r="R725" s="13">
        <x:f>I725/英雄升级调参!$J$72-1</x:f>
        <x:v>-0.0028707835366804657</x:v>
      </x:c>
      <x:c r="S725" s="6"/>
      <x:c r="T725" s="6"/>
      <x:c r="U725" s="6"/>
    </x:row>
    <x:row r="726" ht="21" customHeight="1">
      <x:c r="A726" s="14" t="n">
        <x:f>英雄升级调参!$B$22</x:f>
        <x:v>310004</x:v>
      </x:c>
      <x:c r="B726" s="14" t="str">
        <x:f>英雄升级调参!$C$22</x:f>
        <x:v>龟尼克</x:v>
      </x:c>
      <x:c r="C726" s="6" t="str">
        <x:f>英雄升级调参!$D$22</x:f>
        <x:v>生存者</x:v>
      </x:c>
      <x:c r="D726" s="6" t="s">
        <x:v>22</x:v>
      </x:c>
      <x:c r="E726" s="6">
        <x:v>8</x:v>
      </x:c>
      <x:c r="F726" s="6" t="n">
        <x:f>英雄升级调参!$C$73</x:f>
        <x:v>2</x:v>
      </x:c>
      <x:c r="G726" s="12">
        <x:f t="shared" si="67"/>
        <x:v>382</x:v>
      </x:c>
      <x:c r="H726" s="12">
        <x:f t="shared" si="68"/>
        <x:v>5984</x:v>
      </x:c>
      <x:c r="I726" s="12">
        <x:f t="shared" si="66"/>
        <x:v>2285888</x:v>
      </x:c>
      <x:c r="J726" s="12">
        <x:f>ROUND(英雄升级调参!$D$73*英雄升级调参!$J$10*英雄升级调参!$E$22,0)</x:f>
        <x:v>32</x:v>
      </x:c>
      <x:c r="K726" s="12">
        <x:f>ROUND(英雄升级调参!$D$73*英雄升级调参!$C$11*英雄升级调参!$J$10*英雄升级调参!$G$22,0)</x:f>
        <x:v>506</x:v>
      </x:c>
      <x:c r="L726" s="12" t="n">
        <x:f>养成消耗调参!$D$155</x:f>
        <x:v>216</x:v>
      </x:c>
      <x:c r="M726" s="12" t="n">
        <x:f>养成消耗调参!$G$155</x:f>
        <x:v>1350</x:v>
      </x:c>
      <x:c r="N726" s="12" t="n">
        <x:f>养成消耗调参!$I$155</x:f>
        <x:v>0</x:v>
      </x:c>
      <x:c r="O726" s="12" t="n">
        <x:f>养成消耗调参!$K$155</x:f>
        <x:v>720</x:v>
      </x:c>
      <x:c r="P726" s="12" t="n">
        <x:f>养成消耗调参!$N$155</x:f>
        <x:v>4950</x:v>
      </x:c>
      <x:c r="Q726" s="12" t="n">
        <x:f>养成消耗调参!$P$155</x:f>
        <x:v>10</x:v>
      </x:c>
      <x:c r="R726" s="13">
        <x:f>I726/英雄升级调参!$J$73-1</x:f>
        <x:v>-0.004750957854406157</x:v>
      </x:c>
      <x:c r="S726" s="6"/>
      <x:c r="T726" s="6"/>
      <x:c r="U726" s="6"/>
    </x:row>
    <x:row r="727" ht="21" customHeight="1">
      <x:c r="A727" s="14" t="n">
        <x:f>英雄升级调参!$B$22</x:f>
        <x:v>310004</x:v>
      </x:c>
      <x:c r="B727" s="14" t="str">
        <x:f>英雄升级调参!$C$22</x:f>
        <x:v>龟尼克</x:v>
      </x:c>
      <x:c r="C727" s="6" t="str">
        <x:f>英雄升级调参!$D$22</x:f>
        <x:v>生存者</x:v>
      </x:c>
      <x:c r="D727" s="6" t="s">
        <x:v>22</x:v>
      </x:c>
      <x:c r="E727" s="6">
        <x:v>9</x:v>
      </x:c>
      <x:c r="F727" s="6" t="n">
        <x:f>英雄升级调参!$C$74</x:f>
        <x:v>2</x:v>
      </x:c>
      <x:c r="G727" s="12">
        <x:f t="shared" si="67"/>
        <x:v>414</x:v>
      </x:c>
      <x:c r="H727" s="12">
        <x:f t="shared" si="68"/>
        <x:v>6490</x:v>
      </x:c>
      <x:c r="I727" s="12">
        <x:f t="shared" si="66"/>
        <x:v>2686860</x:v>
      </x:c>
      <x:c r="J727" s="12">
        <x:f>ROUND(英雄升级调参!$D$74*英雄升级调参!$J$10*英雄升级调参!$E$22,0)</x:f>
        <x:v>32</x:v>
      </x:c>
      <x:c r="K727" s="12">
        <x:f>ROUND(英雄升级调参!$D$74*英雄升级调参!$C$11*英雄升级调参!$J$10*英雄升级调参!$G$22,0)</x:f>
        <x:v>506</x:v>
      </x:c>
      <x:c r="L727" s="12" t="n">
        <x:f>养成消耗调参!$D$156</x:f>
        <x:v>216</x:v>
      </x:c>
      <x:c r="M727" s="12" t="n">
        <x:f>养成消耗调参!$G$156</x:f>
        <x:v>1350</x:v>
      </x:c>
      <x:c r="N727" s="12" t="n">
        <x:f>养成消耗调参!$I$156</x:f>
        <x:v>0</x:v>
      </x:c>
      <x:c r="O727" s="12" t="n">
        <x:f>养成消耗调参!$K$156</x:f>
        <x:v>936</x:v>
      </x:c>
      <x:c r="P727" s="12" t="n">
        <x:f>养成消耗调参!$N$156</x:f>
        <x:v>6300</x:v>
      </x:c>
      <x:c r="Q727" s="12" t="n">
        <x:f>养成消耗调参!$P$156</x:f>
        <x:v>10</x:v>
      </x:c>
      <x:c r="R727" s="13">
        <x:f>I727/英雄升级调参!$J$74-1</x:f>
        <x:v>-0.006335082600157582</x:v>
      </x:c>
      <x:c r="S727" s="6"/>
      <x:c r="T727" s="6"/>
      <x:c r="U727" s="6"/>
    </x:row>
    <x:row r="728" ht="21" customHeight="1">
      <x:c r="A728" s="14" t="n">
        <x:f>英雄升级调参!$B$22</x:f>
        <x:v>310004</x:v>
      </x:c>
      <x:c r="B728" s="14" t="str">
        <x:f>英雄升级调参!$C$22</x:f>
        <x:v>龟尼克</x:v>
      </x:c>
      <x:c r="C728" s="6" t="str">
        <x:f>英雄升级调参!$D$22</x:f>
        <x:v>生存者</x:v>
      </x:c>
      <x:c r="D728" s="6" t="s">
        <x:v>22</x:v>
      </x:c>
      <x:c r="E728" s="6">
        <x:v>10</x:v>
      </x:c>
      <x:c r="F728" s="6" t="n">
        <x:f>英雄升级调参!$C$75</x:f>
        <x:v>2</x:v>
      </x:c>
      <x:c r="G728" s="12">
        <x:f t="shared" si="67"/>
        <x:v>510</x:v>
      </x:c>
      <x:c r="H728" s="12">
        <x:f t="shared" si="68"/>
        <x:v>8008</x:v>
      </x:c>
      <x:c r="I728" s="12">
        <x:f t="shared" si="66"/>
        <x:v>4084080</x:v>
      </x:c>
      <x:c r="J728" s="12">
        <x:f>ROUND(英雄升级调参!$D$75*英雄升级调参!$J$10*英雄升级调参!$E$22,0)*3</x:f>
        <x:v>96</x:v>
      </x:c>
      <x:c r="K728" s="12">
        <x:f>ROUND(英雄升级调参!$D$75*英雄升级调参!$C$11*英雄升级调参!$J$10*英雄升级调参!$G$22,0)*3</x:f>
        <x:v>1518</x:v>
      </x:c>
      <x:c r="L728" s="12" t="n">
        <x:f>养成消耗调参!$D$157</x:f>
        <x:v>288</x:v>
      </x:c>
      <x:c r="M728" s="12" t="n">
        <x:f>养成消耗调参!$G$157</x:f>
        <x:v>1350</x:v>
      </x:c>
      <x:c r="N728" s="12" t="n">
        <x:f>养成消耗调参!$I$157</x:f>
        <x:v>30</x:v>
      </x:c>
      <x:c r="O728" s="12" t="n">
        <x:f>养成消耗调参!$K$157</x:f>
        <x:v>1224</x:v>
      </x:c>
      <x:c r="P728" s="12" t="n">
        <x:f>养成消耗调参!$N$157</x:f>
        <x:v>7650</x:v>
      </x:c>
      <x:c r="Q728" s="12" t="n">
        <x:f>养成消耗调参!$P$157</x:f>
        <x:v>40</x:v>
      </x:c>
      <x:c r="R728" s="13">
        <x:f>I728/英雄升级调参!$J$75-1</x:f>
        <x:v>-0.00987679462376545</x:v>
      </x:c>
      <x:c r="S728" s="6"/>
      <x:c r="T728" s="6"/>
      <x:c r="U728" s="6"/>
    </x:row>
    <x:row r="729" ht="21" customHeight="1">
      <x:c r="A729" s="14" t="n">
        <x:f>英雄升级调参!$B$22</x:f>
        <x:v>310004</x:v>
      </x:c>
      <x:c r="B729" s="14" t="str">
        <x:f>英雄升级调参!$C$22</x:f>
        <x:v>龟尼克</x:v>
      </x:c>
      <x:c r="C729" s="6" t="str">
        <x:f>英雄升级调参!$D$22</x:f>
        <x:v>生存者</x:v>
      </x:c>
      <x:c r="D729" s="6" t="s">
        <x:v>22</x:v>
      </x:c>
      <x:c r="E729" s="6">
        <x:v>11</x:v>
      </x:c>
      <x:c r="F729" s="6" t="n">
        <x:f>英雄升级调参!$C$76</x:f>
        <x:v>3</x:v>
      </x:c>
      <x:c r="G729" s="12">
        <x:f t="shared" si="67"/>
        <x:v>553</x:v>
      </x:c>
      <x:c r="H729" s="12">
        <x:f t="shared" si="68"/>
        <x:v>8683</x:v>
      </x:c>
      <x:c r="I729" s="12">
        <x:f t="shared" si="66"/>
        <x:v>4801699</x:v>
      </x:c>
      <x:c r="J729" s="12">
        <x:f>ROUND(英雄升级调参!$D$76*英雄升级调参!$J$10*英雄升级调参!$E$22,0)</x:f>
        <x:v>43</x:v>
      </x:c>
      <x:c r="K729" s="12">
        <x:f>ROUND(英雄升级调参!$D$76*英雄升级调参!$C$11*英雄升级调参!$J$10*英雄升级调参!$G$22,0)</x:f>
        <x:v>675</x:v>
      </x:c>
      <x:c r="L729" s="12" t="n">
        <x:f>养成消耗调参!$D$158</x:f>
        <x:v>288</x:v>
      </x:c>
      <x:c r="M729" s="12" t="n">
        <x:f>养成消耗调参!$G$158</x:f>
        <x:v>1350</x:v>
      </x:c>
      <x:c r="N729" s="12" t="n">
        <x:f>养成消耗调参!$I$158</x:f>
        <x:v>0</x:v>
      </x:c>
      <x:c r="O729" s="12" t="n">
        <x:f>养成消耗调参!$K$158</x:f>
        <x:v>1512</x:v>
      </x:c>
      <x:c r="P729" s="12" t="n">
        <x:f>养成消耗调参!$N$158</x:f>
        <x:v>9000</x:v>
      </x:c>
      <x:c r="Q729" s="12" t="n">
        <x:f>养成消耗调参!$P$158</x:f>
        <x:v>40</x:v>
      </x:c>
      <x:c r="R729" s="13">
        <x:f>I729/英雄升级调参!$J$76-1</x:f>
        <x:v>-0.009470852646974448</x:v>
      </x:c>
      <x:c r="S729" s="6"/>
      <x:c r="T729" s="6"/>
      <x:c r="U729" s="6"/>
    </x:row>
    <x:row r="730" ht="21" customHeight="1">
      <x:c r="A730" s="14" t="n">
        <x:f>英雄升级调参!$B$22</x:f>
        <x:v>310004</x:v>
      </x:c>
      <x:c r="B730" s="14" t="str">
        <x:f>英雄升级调参!$C$22</x:f>
        <x:v>龟尼克</x:v>
      </x:c>
      <x:c r="C730" s="6" t="str">
        <x:f>英雄升级调参!$D$22</x:f>
        <x:v>生存者</x:v>
      </x:c>
      <x:c r="D730" s="6" t="s">
        <x:v>22</x:v>
      </x:c>
      <x:c r="E730" s="6">
        <x:v>12</x:v>
      </x:c>
      <x:c r="F730" s="6" t="n">
        <x:f>英雄升级调参!$C$77</x:f>
        <x:v>3</x:v>
      </x:c>
      <x:c r="G730" s="12">
        <x:f t="shared" si="67"/>
        <x:v>596</x:v>
      </x:c>
      <x:c r="H730" s="12">
        <x:f t="shared" si="68"/>
        <x:v>9358</x:v>
      </x:c>
      <x:c r="I730" s="12">
        <x:f t="shared" si="66"/>
        <x:v>5577368</x:v>
      </x:c>
      <x:c r="J730" s="12">
        <x:f>ROUND(英雄升级调参!$D$77*英雄升级调参!$J$10*英雄升级调参!$E$22,0)</x:f>
        <x:v>43</x:v>
      </x:c>
      <x:c r="K730" s="12">
        <x:f>ROUND(英雄升级调参!$D$77*英雄升级调参!$C$11*英雄升级调参!$J$10*英雄升级调参!$G$22,0)</x:f>
        <x:v>675</x:v>
      </x:c>
      <x:c r="L730" s="12" t="n">
        <x:f>养成消耗调参!$D$159</x:f>
        <x:v>360</x:v>
      </x:c>
      <x:c r="M730" s="12" t="n">
        <x:f>养成消耗调参!$G$159</x:f>
        <x:v>2250</x:v>
      </x:c>
      <x:c r="N730" s="12" t="n">
        <x:f>养成消耗调参!$I$159</x:f>
        <x:v>0</x:v>
      </x:c>
      <x:c r="O730" s="12" t="n">
        <x:f>养成消耗调参!$K$159</x:f>
        <x:v>1872</x:v>
      </x:c>
      <x:c r="P730" s="12" t="n">
        <x:f>养成消耗调参!$N$159</x:f>
        <x:v>11250</x:v>
      </x:c>
      <x:c r="Q730" s="12" t="n">
        <x:f>养成消耗调参!$P$159</x:f>
        <x:v>40</x:v>
      </x:c>
      <x:c r="R730" s="13">
        <x:f>I730/英雄升级调参!$J$77-1</x:f>
        <x:v>-0.00912321096092894</x:v>
      </x:c>
      <x:c r="S730" s="6"/>
      <x:c r="T730" s="6"/>
      <x:c r="U730" s="6"/>
    </x:row>
    <x:row r="731" ht="21" customHeight="1">
      <x:c r="A731" s="14" t="n">
        <x:f>英雄升级调参!$B$22</x:f>
        <x:v>310004</x:v>
      </x:c>
      <x:c r="B731" s="14" t="str">
        <x:f>英雄升级调参!$C$22</x:f>
        <x:v>龟尼克</x:v>
      </x:c>
      <x:c r="C731" s="6" t="str">
        <x:f>英雄升级调参!$D$22</x:f>
        <x:v>生存者</x:v>
      </x:c>
      <x:c r="D731" s="6" t="s">
        <x:v>22</x:v>
      </x:c>
      <x:c r="E731" s="6">
        <x:v>13</x:v>
      </x:c>
      <x:c r="F731" s="6" t="n">
        <x:f>英雄升级调参!$C$78</x:f>
        <x:v>3</x:v>
      </x:c>
      <x:c r="G731" s="12">
        <x:f t="shared" si="67"/>
        <x:v>639</x:v>
      </x:c>
      <x:c r="H731" s="12">
        <x:f t="shared" si="68"/>
        <x:v>10033</x:v>
      </x:c>
      <x:c r="I731" s="12">
        <x:f t="shared" si="66"/>
        <x:v>6411087</x:v>
      </x:c>
      <x:c r="J731" s="12">
        <x:f>ROUND(英雄升级调参!$D$78*英雄升级调参!$J$10*英雄升级调参!$E$22,0)</x:f>
        <x:v>43</x:v>
      </x:c>
      <x:c r="K731" s="12">
        <x:f>ROUND(英雄升级调参!$D$78*英雄升级调参!$C$11*英雄升级调参!$J$10*英雄升级调参!$G$22,0)</x:f>
        <x:v>675</x:v>
      </x:c>
      <x:c r="L731" s="12" t="n">
        <x:f>养成消耗调参!$D$160</x:f>
        <x:v>360</x:v>
      </x:c>
      <x:c r="M731" s="12" t="n">
        <x:f>养成消耗调参!$G$160</x:f>
        <x:v>2250</x:v>
      </x:c>
      <x:c r="N731" s="12" t="n">
        <x:f>养成消耗调参!$I$160</x:f>
        <x:v>0</x:v>
      </x:c>
      <x:c r="O731" s="12" t="n">
        <x:f>养成消耗调参!$K$160</x:f>
        <x:v>2232</x:v>
      </x:c>
      <x:c r="P731" s="12" t="n">
        <x:f>养成消耗调参!$N$160</x:f>
        <x:v>13500</x:v>
      </x:c>
      <x:c r="Q731" s="12" t="n">
        <x:f>养成消耗调参!$P$160</x:f>
        <x:v>40</x:v>
      </x:c>
      <x:c r="R731" s="13">
        <x:f>I731/英雄升级调参!$J$78-1</x:f>
        <x:v>-0.008822151619860441</x:v>
      </x:c>
      <x:c r="S731" s="6"/>
      <x:c r="T731" s="6"/>
      <x:c r="U731" s="6"/>
    </x:row>
    <x:row r="732" ht="21" customHeight="1">
      <x:c r="A732" s="14" t="n">
        <x:f>英雄升级调参!$B$22</x:f>
        <x:v>310004</x:v>
      </x:c>
      <x:c r="B732" s="14" t="str">
        <x:f>英雄升级调参!$C$22</x:f>
        <x:v>龟尼克</x:v>
      </x:c>
      <x:c r="C732" s="6" t="str">
        <x:f>英雄升级调参!$D$22</x:f>
        <x:v>生存者</x:v>
      </x:c>
      <x:c r="D732" s="6" t="s">
        <x:v>22</x:v>
      </x:c>
      <x:c r="E732" s="6">
        <x:v>14</x:v>
      </x:c>
      <x:c r="F732" s="6" t="n">
        <x:f>英雄升级调参!$C$79</x:f>
        <x:v>3</x:v>
      </x:c>
      <x:c r="G732" s="12">
        <x:f t="shared" si="67"/>
        <x:v>682</x:v>
      </x:c>
      <x:c r="H732" s="12">
        <x:f t="shared" si="68"/>
        <x:v>10708</x:v>
      </x:c>
      <x:c r="I732" s="12">
        <x:f t="shared" si="66"/>
        <x:v>7302856</x:v>
      </x:c>
      <x:c r="J732" s="12">
        <x:f>ROUND(英雄升级调参!$D$79*英雄升级调参!$J$10*英雄升级调参!$E$22,0)</x:f>
        <x:v>43</x:v>
      </x:c>
      <x:c r="K732" s="12">
        <x:f>ROUND(英雄升级调参!$D$79*英雄升级调参!$C$11*英雄升级调参!$J$10*英雄升级调参!$G$22,0)</x:f>
        <x:v>675</x:v>
      </x:c>
      <x:c r="L732" s="12" t="n">
        <x:f>养成消耗调参!$D$161</x:f>
        <x:v>432</x:v>
      </x:c>
      <x:c r="M732" s="12" t="n">
        <x:f>养成消耗调参!$G$161</x:f>
        <x:v>2250</x:v>
      </x:c>
      <x:c r="N732" s="12" t="n">
        <x:f>养成消耗调参!$I$161</x:f>
        <x:v>0</x:v>
      </x:c>
      <x:c r="O732" s="12" t="n">
        <x:f>养成消耗调参!$K$161</x:f>
        <x:v>2664</x:v>
      </x:c>
      <x:c r="P732" s="12" t="n">
        <x:f>养成消耗调参!$N$161</x:f>
        <x:v>15750</x:v>
      </x:c>
      <x:c r="Q732" s="12" t="n">
        <x:f>养成消耗调参!$P$161</x:f>
        <x:v>40</x:v>
      </x:c>
      <x:c r="R732" s="13">
        <x:f>I732/英雄升级调参!$J$79-1</x:f>
        <x:v>-0.00855889979500124</x:v>
      </x:c>
      <x:c r="S732" s="6"/>
      <x:c r="T732" s="6"/>
      <x:c r="U732" s="6"/>
    </x:row>
    <x:row r="733" ht="21" customHeight="1">
      <x:c r="A733" s="14" t="n">
        <x:f>英雄升级调参!$B$22</x:f>
        <x:v>310004</x:v>
      </x:c>
      <x:c r="B733" s="14" t="str">
        <x:f>英雄升级调参!$C$22</x:f>
        <x:v>龟尼克</x:v>
      </x:c>
      <x:c r="C733" s="6" t="str">
        <x:f>英雄升级调参!$D$22</x:f>
        <x:v>生存者</x:v>
      </x:c>
      <x:c r="D733" s="6" t="s">
        <x:v>22</x:v>
      </x:c>
      <x:c r="E733" s="6">
        <x:v>15</x:v>
      </x:c>
      <x:c r="F733" s="6" t="n">
        <x:f>英雄升级调参!$C$80</x:f>
        <x:v>3</x:v>
      </x:c>
      <x:c r="G733" s="12">
        <x:f t="shared" si="67"/>
        <x:v>811</x:v>
      </x:c>
      <x:c r="H733" s="12">
        <x:f t="shared" si="68"/>
        <x:v>12733</x:v>
      </x:c>
      <x:c r="I733" s="12">
        <x:f t="shared" si="66"/>
        <x:v>10326463</x:v>
      </x:c>
      <x:c r="J733" s="12">
        <x:f>ROUND(英雄升级调参!$D$80*英雄升级调参!$J$10*英雄升级调参!$E$22,0)*3</x:f>
        <x:v>129</x:v>
      </x:c>
      <x:c r="K733" s="12">
        <x:f>ROUND(英雄升级调参!$D$80*英雄升级调参!$C$11*英雄升级调参!$J$10*英雄升级调参!$G$22,0)*3</x:f>
        <x:v>2025</x:v>
      </x:c>
      <x:c r="L733" s="12" t="n">
        <x:f>养成消耗调参!$D$162</x:f>
        <x:v>432</x:v>
      </x:c>
      <x:c r="M733" s="12" t="n">
        <x:f>养成消耗调参!$G$162</x:f>
        <x:v>2250</x:v>
      </x:c>
      <x:c r="N733" s="12" t="n">
        <x:f>养成消耗调参!$I$162</x:f>
        <x:v>50</x:v>
      </x:c>
      <x:c r="O733" s="12" t="n">
        <x:f>养成消耗调参!$K$162</x:f>
        <x:v>3096</x:v>
      </x:c>
      <x:c r="P733" s="12" t="n">
        <x:f>养成消耗调参!$N$162</x:f>
        <x:v>18000</x:v>
      </x:c>
      <x:c r="Q733" s="12" t="n">
        <x:f>养成消耗调参!$P$162</x:f>
        <x:v>90</x:v>
      </x:c>
      <x:c r="R733" s="13">
        <x:f>I733/英雄升级调参!$J$80-1</x:f>
        <x:v>-0.007936059609552015</x:v>
      </x:c>
      <x:c r="S733" s="6"/>
      <x:c r="T733" s="6"/>
      <x:c r="U733" s="6"/>
    </x:row>
    <x:row r="734" ht="21" customHeight="1">
      <x:c r="A734" s="14" t="n">
        <x:f>英雄升级调参!$B$22</x:f>
        <x:v>310004</x:v>
      </x:c>
      <x:c r="B734" s="14" t="str">
        <x:f>英雄升级调参!$C$22</x:f>
        <x:v>龟尼克</x:v>
      </x:c>
      <x:c r="C734" s="6" t="str">
        <x:f>英雄升级调参!$D$22</x:f>
        <x:v>生存者</x:v>
      </x:c>
      <x:c r="D734" s="6" t="s">
        <x:v>22</x:v>
      </x:c>
      <x:c r="E734" s="6">
        <x:v>16</x:v>
      </x:c>
      <x:c r="F734" s="6" t="n">
        <x:f>英雄升级调参!$C$81</x:f>
        <x:v>4</x:v>
      </x:c>
      <x:c r="G734" s="12">
        <x:f t="shared" si="67"/>
        <x:v>865</x:v>
      </x:c>
      <x:c r="H734" s="12">
        <x:f t="shared" si="68"/>
        <x:v>13577</x:v>
      </x:c>
      <x:c r="I734" s="12">
        <x:f t="shared" si="66"/>
        <x:v>11744105</x:v>
      </x:c>
      <x:c r="J734" s="12">
        <x:f>ROUND(英雄升级调参!$D$81*英雄升级调参!$J$10*英雄升级调参!$E$22,0)</x:f>
        <x:v>54</x:v>
      </x:c>
      <x:c r="K734" s="12">
        <x:f>ROUND(英雄升级调参!$D$81*英雄升级调参!$C$11*英雄升级调参!$J$10*英雄升级调参!$G$22,0)</x:f>
        <x:v>844</x:v>
      </x:c>
      <x:c r="L734" s="12" t="n">
        <x:f>养成消耗调参!$D$163</x:f>
        <x:v>504</x:v>
      </x:c>
      <x:c r="M734" s="12" t="n">
        <x:f>养成消耗调参!$G$163</x:f>
        <x:v>2250</x:v>
      </x:c>
      <x:c r="N734" s="12" t="n">
        <x:f>养成消耗调参!$I$163</x:f>
        <x:v>0</x:v>
      </x:c>
      <x:c r="O734" s="12" t="n">
        <x:f>养成消耗调参!$K$163</x:f>
        <x:v>3600</x:v>
      </x:c>
      <x:c r="P734" s="12" t="n">
        <x:f>养成消耗调参!$N$163</x:f>
        <x:v>20250</x:v>
      </x:c>
      <x:c r="Q734" s="12" t="n">
        <x:f>养成消耗调参!$P$163</x:f>
        <x:v>90</x:v>
      </x:c>
      <x:c r="R734" s="13">
        <x:f>I734/英雄升级调参!$J$81-1</x:f>
        <x:v>-0.007881375977833005</x:v>
      </x:c>
      <x:c r="S734" s="6"/>
      <x:c r="T734" s="6"/>
      <x:c r="U734" s="6"/>
    </x:row>
    <x:row r="735" ht="21" customHeight="1">
      <x:c r="A735" s="14" t="n">
        <x:f>英雄升级调参!$B$22</x:f>
        <x:v>310004</x:v>
      </x:c>
      <x:c r="B735" s="14" t="str">
        <x:f>英雄升级调参!$C$22</x:f>
        <x:v>龟尼克</x:v>
      </x:c>
      <x:c r="C735" s="6" t="str">
        <x:f>英雄升级调参!$D$22</x:f>
        <x:v>生存者</x:v>
      </x:c>
      <x:c r="D735" s="6" t="s">
        <x:v>22</x:v>
      </x:c>
      <x:c r="E735" s="6">
        <x:v>17</x:v>
      </x:c>
      <x:c r="F735" s="6" t="n">
        <x:f>英雄升级调参!$C$82</x:f>
        <x:v>4</x:v>
      </x:c>
      <x:c r="G735" s="12">
        <x:f t="shared" si="67"/>
        <x:v>919</x:v>
      </x:c>
      <x:c r="H735" s="12">
        <x:f t="shared" si="68"/>
        <x:v>14421</x:v>
      </x:c>
      <x:c r="I735" s="12">
        <x:f t="shared" si="66"/>
        <x:v>13252899</x:v>
      </x:c>
      <x:c r="J735" s="12">
        <x:f>ROUND(英雄升级调参!$D$82*英雄升级调参!$J$10*英雄升级调参!$E$22,0)</x:f>
        <x:v>54</x:v>
      </x:c>
      <x:c r="K735" s="12">
        <x:f>ROUND(英雄升级调参!$D$82*英雄升级调参!$C$11*英雄升级调参!$J$10*英雄升级调参!$G$22,0)</x:f>
        <x:v>844</x:v>
      </x:c>
      <x:c r="L735" s="12" t="n">
        <x:f>养成消耗调参!$D$164</x:f>
        <x:v>504</x:v>
      </x:c>
      <x:c r="M735" s="12" t="n">
        <x:f>养成消耗调参!$G$164</x:f>
        <x:v>3150</x:v>
      </x:c>
      <x:c r="N735" s="12" t="n">
        <x:f>养成消耗调参!$I$164</x:f>
        <x:v>0</x:v>
      </x:c>
      <x:c r="O735" s="12" t="n">
        <x:f>养成消耗调参!$K$164</x:f>
        <x:v>4104</x:v>
      </x:c>
      <x:c r="P735" s="12" t="n">
        <x:f>养成消耗调参!$N$164</x:f>
        <x:v>23400</x:v>
      </x:c>
      <x:c r="Q735" s="12" t="n">
        <x:f>养成消耗调参!$P$164</x:f>
        <x:v>90</x:v>
      </x:c>
      <x:c r="R735" s="13">
        <x:f>I735/英雄升级调参!$J$82-1</x:f>
        <x:v>-0.007833109863874532</x:v>
      </x:c>
      <x:c r="S735" s="6"/>
      <x:c r="T735" s="6"/>
      <x:c r="U735" s="6"/>
    </x:row>
    <x:row r="736" ht="21" customHeight="1">
      <x:c r="A736" s="14" t="n">
        <x:f>英雄升级调参!$B$22</x:f>
        <x:v>310004</x:v>
      </x:c>
      <x:c r="B736" s="14" t="str">
        <x:f>英雄升级调参!$C$22</x:f>
        <x:v>龟尼克</x:v>
      </x:c>
      <x:c r="C736" s="6" t="str">
        <x:f>英雄升级调参!$D$22</x:f>
        <x:v>生存者</x:v>
      </x:c>
      <x:c r="D736" s="6" t="s">
        <x:v>22</x:v>
      </x:c>
      <x:c r="E736" s="6">
        <x:v>18</x:v>
      </x:c>
      <x:c r="F736" s="6" t="n">
        <x:f>英雄升级调参!$C$83</x:f>
        <x:v>4</x:v>
      </x:c>
      <x:c r="G736" s="12">
        <x:f t="shared" si="67"/>
        <x:v>973</x:v>
      </x:c>
      <x:c r="H736" s="12">
        <x:f t="shared" si="68"/>
        <x:v>15265</x:v>
      </x:c>
      <x:c r="I736" s="12">
        <x:f t="shared" si="66"/>
        <x:v>14852845</x:v>
      </x:c>
      <x:c r="J736" s="12">
        <x:f>ROUND(英雄升级调参!$D$83*英雄升级调参!$J$10*英雄升级调参!$E$22,0)</x:f>
        <x:v>54</x:v>
      </x:c>
      <x:c r="K736" s="12">
        <x:f>ROUND(英雄升级调参!$D$83*英雄升级调参!$C$11*英雄升级调参!$J$10*英雄升级调参!$G$22,0)</x:f>
        <x:v>844</x:v>
      </x:c>
      <x:c r="L736" s="12" t="n">
        <x:f>养成消耗调参!$D$165</x:f>
        <x:v>576</x:v>
      </x:c>
      <x:c r="M736" s="12" t="n">
        <x:f>养成消耗调参!$G$165</x:f>
        <x:v>3150</x:v>
      </x:c>
      <x:c r="N736" s="12" t="n">
        <x:f>养成消耗调参!$I$165</x:f>
        <x:v>0</x:v>
      </x:c>
      <x:c r="O736" s="12" t="n">
        <x:f>养成消耗调参!$K$165</x:f>
        <x:v>4680</x:v>
      </x:c>
      <x:c r="P736" s="12" t="n">
        <x:f>养成消耗调参!$N$165</x:f>
        <x:v>26550</x:v>
      </x:c>
      <x:c r="Q736" s="12" t="n">
        <x:f>养成消耗调参!$P$165</x:f>
        <x:v>90</x:v>
      </x:c>
      <x:c r="R736" s="13">
        <x:f>I736/英雄升级调参!$J$83-1</x:f>
        <x:v>-0.00779019416866078</x:v>
      </x:c>
      <x:c r="S736" s="6"/>
      <x:c r="T736" s="6"/>
      <x:c r="U736" s="6"/>
    </x:row>
    <x:row r="737" ht="21" customHeight="1">
      <x:c r="A737" s="14" t="n">
        <x:f>英雄升级调参!$B$22</x:f>
        <x:v>310004</x:v>
      </x:c>
      <x:c r="B737" s="14" t="str">
        <x:f>英雄升级调参!$C$22</x:f>
        <x:v>龟尼克</x:v>
      </x:c>
      <x:c r="C737" s="6" t="str">
        <x:f>英雄升级调参!$D$22</x:f>
        <x:v>生存者</x:v>
      </x:c>
      <x:c r="D737" s="6" t="s">
        <x:v>22</x:v>
      </x:c>
      <x:c r="E737" s="6">
        <x:v>19</x:v>
      </x:c>
      <x:c r="F737" s="6" t="n">
        <x:f>英雄升级调参!$C$84</x:f>
        <x:v>4</x:v>
      </x:c>
      <x:c r="G737" s="12">
        <x:f t="shared" si="67"/>
        <x:v>1027</x:v>
      </x:c>
      <x:c r="H737" s="12">
        <x:f t="shared" si="68"/>
        <x:v>16109</x:v>
      </x:c>
      <x:c r="I737" s="12">
        <x:f t="shared" si="66"/>
        <x:v>16543943</x:v>
      </x:c>
      <x:c r="J737" s="12">
        <x:f>ROUND(英雄升级调参!$D$84*英雄升级调参!$J$10*英雄升级调参!$E$22,0)</x:f>
        <x:v>54</x:v>
      </x:c>
      <x:c r="K737" s="12">
        <x:f>ROUND(英雄升级调参!$D$84*英雄升级调参!$C$11*英雄升级调参!$J$10*英雄升级调参!$G$22,0)</x:f>
        <x:v>844</x:v>
      </x:c>
      <x:c r="L737" s="12" t="n">
        <x:f>养成消耗调参!$D$166</x:f>
        <x:v>576</x:v>
      </x:c>
      <x:c r="M737" s="12" t="n">
        <x:f>养成消耗调参!$G$166</x:f>
        <x:v>3150</x:v>
      </x:c>
      <x:c r="N737" s="12" t="n">
        <x:f>养成消耗调参!$I$166</x:f>
        <x:v>0</x:v>
      </x:c>
      <x:c r="O737" s="12" t="n">
        <x:f>养成消耗调参!$K$166</x:f>
        <x:v>5256</x:v>
      </x:c>
      <x:c r="P737" s="12" t="n">
        <x:f>养成消耗调参!$N$166</x:f>
        <x:v>29700</x:v>
      </x:c>
      <x:c r="Q737" s="12" t="n">
        <x:f>养成消耗调参!$P$166</x:f>
        <x:v>90</x:v>
      </x:c>
      <x:c r="R737" s="13">
        <x:f>I737/英雄升级调参!$J$84-1</x:f>
        <x:v>-0.007751785950978807</x:v>
      </x:c>
      <x:c r="S737" s="6"/>
      <x:c r="T737" s="6"/>
      <x:c r="U737" s="6"/>
    </x:row>
    <x:row r="738" ht="21" customHeight="1">
      <x:c r="A738" s="14" t="n">
        <x:f>英雄升级调参!$B$22</x:f>
        <x:v>310004</x:v>
      </x:c>
      <x:c r="B738" s="14" t="str">
        <x:f>英雄升级调参!$C$22</x:f>
        <x:v>龟尼克</x:v>
      </x:c>
      <x:c r="C738" s="6" t="str">
        <x:f>英雄升级调参!$D$22</x:f>
        <x:v>生存者</x:v>
      </x:c>
      <x:c r="D738" s="6" t="s">
        <x:v>22</x:v>
      </x:c>
      <x:c r="E738" s="6">
        <x:v>20</x:v>
      </x:c>
      <x:c r="F738" s="6" t="n">
        <x:f>英雄升级调参!$C$85</x:f>
        <x:v>4</x:v>
      </x:c>
      <x:c r="G738" s="12">
        <x:f t="shared" si="67"/>
        <x:v>1189</x:v>
      </x:c>
      <x:c r="H738" s="12">
        <x:f t="shared" si="68"/>
        <x:v>18641</x:v>
      </x:c>
      <x:c r="I738" s="12">
        <x:f t="shared" si="66"/>
        <x:v>22164149</x:v>
      </x:c>
      <x:c r="J738" s="12">
        <x:f>ROUND(英雄升级调参!$D$85*英雄升级调参!$J$10*英雄升级调参!$E$22,0)*3</x:f>
        <x:v>162</x:v>
      </x:c>
      <x:c r="K738" s="12">
        <x:f>ROUND(英雄升级调参!$D$85*英雄升级调参!$C$11*英雄升级调参!$J$10*英雄升级调参!$G$22,0)*3</x:f>
        <x:v>2532</x:v>
      </x:c>
      <x:c r="L738" s="12" t="n">
        <x:f>养成消耗调参!$D$167</x:f>
        <x:v>648</x:v>
      </x:c>
      <x:c r="M738" s="12" t="n">
        <x:f>养成消耗调参!$G$167</x:f>
        <x:v>3150</x:v>
      </x:c>
      <x:c r="N738" s="12" t="n">
        <x:f>养成消耗调参!$I$167</x:f>
        <x:v>70</x:v>
      </x:c>
      <x:c r="O738" s="12" t="n">
        <x:f>养成消耗调参!$K$167</x:f>
        <x:v>5904</x:v>
      </x:c>
      <x:c r="P738" s="12" t="n">
        <x:f>养成消耗调参!$N$167</x:f>
        <x:v>32850</x:v>
      </x:c>
      <x:c r="Q738" s="12" t="n">
        <x:f>养成消耗调参!$P$167</x:f>
        <x:v>160</x:v>
      </x:c>
      <x:c r="R738" s="13">
        <x:f>I738/英雄升级调参!$J$85-1</x:f>
        <x:v>-0.0076574713075963086</x:v>
      </x:c>
      <x:c r="S738" s="6"/>
      <x:c r="T738" s="6"/>
      <x:c r="U738" s="6"/>
    </x:row>
    <x:row r="739" ht="21" customHeight="1">
      <x:c r="A739" s="14" t="n">
        <x:f>英雄升级调参!$B$22</x:f>
        <x:v>310004</x:v>
      </x:c>
      <x:c r="B739" s="14" t="str">
        <x:f>英雄升级调参!$C$22</x:f>
        <x:v>龟尼克</x:v>
      </x:c>
      <x:c r="C739" s="6" t="str">
        <x:f>英雄升级调参!$D$22</x:f>
        <x:v>生存者</x:v>
      </x:c>
      <x:c r="D739" s="6" t="s">
        <x:v>22</x:v>
      </x:c>
      <x:c r="E739" s="6">
        <x:v>21</x:v>
      </x:c>
      <x:c r="F739" s="6" t="n">
        <x:f>英雄升级调参!$C$86</x:f>
        <x:v>5</x:v>
      </x:c>
      <x:c r="G739" s="12">
        <x:f t="shared" si="67"/>
        <x:v>1254</x:v>
      </x:c>
      <x:c r="H739" s="12">
        <x:f t="shared" si="68"/>
        <x:v>19654</x:v>
      </x:c>
      <x:c r="I739" s="12">
        <x:f t="shared" si="66"/>
        <x:v>24646116</x:v>
      </x:c>
      <x:c r="J739" s="12">
        <x:f>ROUND(英雄升级调参!$D$86*英雄升级调参!$J$10*英雄升级调参!$E$22,0)</x:f>
        <x:v>65</x:v>
      </x:c>
      <x:c r="K739" s="12">
        <x:f>ROUND(英雄升级调参!$D$86*英雄升级调参!$C$11*英雄升级调参!$J$10*英雄升级调参!$G$22,0)</x:f>
        <x:v>1013</x:v>
      </x:c>
      <x:c r="L739" s="12" t="n">
        <x:f>养成消耗调参!$D$168</x:f>
        <x:v>648</x:v>
      </x:c>
      <x:c r="M739" s="12" t="n">
        <x:f>养成消耗调参!$G$168</x:f>
        <x:v>3150</x:v>
      </x:c>
      <x:c r="N739" s="12" t="n">
        <x:f>养成消耗调参!$I$168</x:f>
        <x:v>0</x:v>
      </x:c>
      <x:c r="O739" s="12" t="n">
        <x:f>养成消耗调参!$K$168</x:f>
        <x:v>6552</x:v>
      </x:c>
      <x:c r="P739" s="12" t="n">
        <x:f>养成消耗调参!$N$168</x:f>
        <x:v>36000</x:v>
      </x:c>
      <x:c r="Q739" s="12" t="n">
        <x:f>养成消耗调参!$P$168</x:f>
        <x:v>160</x:v>
      </x:c>
      <x:c r="R739" s="13">
        <x:f>I739/英雄升级调参!$J$86-1</x:f>
        <x:v>-0.007081010785645603</x:v>
      </x:c>
      <x:c r="S739" s="6"/>
      <x:c r="T739" s="6"/>
      <x:c r="U739" s="6"/>
    </x:row>
    <x:row r="740" ht="21" customHeight="1">
      <x:c r="A740" s="14" t="n">
        <x:f>英雄升级调参!$B$22</x:f>
        <x:v>310004</x:v>
      </x:c>
      <x:c r="B740" s="14" t="str">
        <x:f>英雄升级调参!$C$22</x:f>
        <x:v>龟尼克</x:v>
      </x:c>
      <x:c r="C740" s="6" t="str">
        <x:f>英雄升级调参!$D$22</x:f>
        <x:v>生存者</x:v>
      </x:c>
      <x:c r="D740" s="6" t="s">
        <x:v>22</x:v>
      </x:c>
      <x:c r="E740" s="6">
        <x:v>22</x:v>
      </x:c>
      <x:c r="F740" s="6" t="n">
        <x:f>英雄升级调参!$C$87</x:f>
        <x:v>5</x:v>
      </x:c>
      <x:c r="G740" s="12">
        <x:f t="shared" si="67"/>
        <x:v>1319</x:v>
      </x:c>
      <x:c r="H740" s="12">
        <x:f t="shared" si="68"/>
        <x:v>20667</x:v>
      </x:c>
      <x:c r="I740" s="12">
        <x:f t="shared" si="66"/>
        <x:v>27259773</x:v>
      </x:c>
      <x:c r="J740" s="12">
        <x:f>ROUND(英雄升级调参!$D$87*英雄升级调参!$J$10*英雄升级调参!$E$22,0)</x:f>
        <x:v>65</x:v>
      </x:c>
      <x:c r="K740" s="12">
        <x:f>ROUND(英雄升级调参!$D$87*英雄升级调参!$C$11*英雄升级调参!$J$10*英雄升级调参!$G$22,0)</x:f>
        <x:v>1013</x:v>
      </x:c>
      <x:c r="L740" s="12" t="n">
        <x:f>养成消耗调参!$D$169</x:f>
        <x:v>720</x:v>
      </x:c>
      <x:c r="M740" s="12" t="n">
        <x:f>养成消耗调参!$G$169</x:f>
        <x:v>4500</x:v>
      </x:c>
      <x:c r="N740" s="12" t="n">
        <x:f>养成消耗调参!$I$169</x:f>
        <x:v>0</x:v>
      </x:c>
      <x:c r="O740" s="12" t="n">
        <x:f>养成消耗调参!$K$169</x:f>
        <x:v>7272</x:v>
      </x:c>
      <x:c r="P740" s="12" t="n">
        <x:f>养成消耗调参!$N$169</x:f>
        <x:v>40500</x:v>
      </x:c>
      <x:c r="Q740" s="12" t="n">
        <x:f>养成消耗调参!$P$169</x:f>
        <x:v>160</x:v>
      </x:c>
      <x:c r="R740" s="13">
        <x:f>I740/英雄升级调参!$J$87-1</x:f>
        <x:v>-0.0065607985480943265</x:v>
      </x:c>
      <x:c r="S740" s="6"/>
      <x:c r="T740" s="6"/>
      <x:c r="U740" s="6"/>
    </x:row>
    <x:row r="741" ht="21" customHeight="1">
      <x:c r="A741" s="14" t="n">
        <x:f>英雄升级调参!$B$22</x:f>
        <x:v>310004</x:v>
      </x:c>
      <x:c r="B741" s="14" t="str">
        <x:f>英雄升级调参!$C$22</x:f>
        <x:v>龟尼克</x:v>
      </x:c>
      <x:c r="C741" s="6" t="str">
        <x:f>英雄升级调参!$D$22</x:f>
        <x:v>生存者</x:v>
      </x:c>
      <x:c r="D741" s="6" t="s">
        <x:v>22</x:v>
      </x:c>
      <x:c r="E741" s="6">
        <x:v>23</x:v>
      </x:c>
      <x:c r="F741" s="6" t="n">
        <x:f>英雄升级调参!$C$88</x:f>
        <x:v>5</x:v>
      </x:c>
      <x:c r="G741" s="12">
        <x:f t="shared" si="67"/>
        <x:v>1384</x:v>
      </x:c>
      <x:c r="H741" s="12">
        <x:f t="shared" si="68"/>
        <x:v>21680</x:v>
      </x:c>
      <x:c r="I741" s="12">
        <x:f t="shared" si="66"/>
        <x:v>30005120</x:v>
      </x:c>
      <x:c r="J741" s="12">
        <x:f>ROUND(英雄升级调参!$D$88*英雄升级调参!$J$10*英雄升级调参!$E$22,0)</x:f>
        <x:v>65</x:v>
      </x:c>
      <x:c r="K741" s="12">
        <x:f>ROUND(英雄升级调参!$D$88*英雄升级调参!$C$11*英雄升级调参!$J$10*英雄升级调参!$G$22,0)</x:f>
        <x:v>1013</x:v>
      </x:c>
      <x:c r="L741" s="12" t="n">
        <x:f>养成消耗调参!$D$170</x:f>
        <x:v>720</x:v>
      </x:c>
      <x:c r="M741" s="12" t="n">
        <x:f>养成消耗调参!$G$170</x:f>
        <x:v>4500</x:v>
      </x:c>
      <x:c r="N741" s="12" t="n">
        <x:f>养成消耗调参!$I$170</x:f>
        <x:v>0</x:v>
      </x:c>
      <x:c r="O741" s="12" t="n">
        <x:f>养成消耗调参!$K$170</x:f>
        <x:v>7992</x:v>
      </x:c>
      <x:c r="P741" s="12" t="n">
        <x:f>养成消耗调参!$N$170</x:f>
        <x:v>45000</x:v>
      </x:c>
      <x:c r="Q741" s="12" t="n">
        <x:f>养成消耗调参!$P$170</x:f>
        <x:v>160</x:v>
      </x:c>
      <x:c r="R741" s="13">
        <x:f>I741/英雄升级调参!$J$88-1</x:f>
        <x:v>-0.006088984906392869</x:v>
      </x:c>
      <x:c r="S741" s="6"/>
      <x:c r="T741" s="6"/>
      <x:c r="U741" s="6"/>
    </x:row>
    <x:row r="742" ht="21" customHeight="1">
      <x:c r="A742" s="14" t="n">
        <x:f>英雄升级调参!$B$22</x:f>
        <x:v>310004</x:v>
      </x:c>
      <x:c r="B742" s="14" t="str">
        <x:f>英雄升级调参!$C$22</x:f>
        <x:v>龟尼克</x:v>
      </x:c>
      <x:c r="C742" s="6" t="str">
        <x:f>英雄升级调参!$D$22</x:f>
        <x:v>生存者</x:v>
      </x:c>
      <x:c r="D742" s="6" t="s">
        <x:v>22</x:v>
      </x:c>
      <x:c r="E742" s="6">
        <x:v>24</x:v>
      </x:c>
      <x:c r="F742" s="6" t="n">
        <x:f>英雄升级调参!$C$89</x:f>
        <x:v>5</x:v>
      </x:c>
      <x:c r="G742" s="12">
        <x:f t="shared" si="67"/>
        <x:v>1449</x:v>
      </x:c>
      <x:c r="H742" s="12">
        <x:f t="shared" si="68"/>
        <x:v>22693</x:v>
      </x:c>
      <x:c r="I742" s="12">
        <x:f t="shared" si="66"/>
        <x:v>32882157</x:v>
      </x:c>
      <x:c r="J742" s="12">
        <x:f>ROUND(英雄升级调参!$D$89*英雄升级调参!$J$10*英雄升级调参!$E$22,0)</x:f>
        <x:v>65</x:v>
      </x:c>
      <x:c r="K742" s="12">
        <x:f>ROUND(英雄升级调参!$D$89*英雄升级调参!$C$11*英雄升级调参!$J$10*英雄升级调参!$G$22,0)</x:f>
        <x:v>1013</x:v>
      </x:c>
      <x:c r="L742" s="12" t="n">
        <x:f>养成消耗调参!$D$171</x:f>
        <x:v>792</x:v>
      </x:c>
      <x:c r="M742" s="12" t="n">
        <x:f>养成消耗调参!$G$171</x:f>
        <x:v>4500</x:v>
      </x:c>
      <x:c r="N742" s="12" t="n">
        <x:f>养成消耗调参!$I$171</x:f>
        <x:v>0</x:v>
      </x:c>
      <x:c r="O742" s="12" t="n">
        <x:f>养成消耗调参!$K$171</x:f>
        <x:v>8784</x:v>
      </x:c>
      <x:c r="P742" s="12" t="n">
        <x:f>养成消耗调参!$N$171</x:f>
        <x:v>49500</x:v>
      </x:c>
      <x:c r="Q742" s="12" t="n">
        <x:f>养成消耗调参!$P$171</x:f>
        <x:v>160</x:v>
      </x:c>
      <x:c r="R742" s="13">
        <x:f>I742/英雄升级调参!$J$89-1</x:f>
        <x:v>-0.00565911585670098</x:v>
      </x:c>
      <x:c r="S742" s="6"/>
      <x:c r="T742" s="6"/>
      <x:c r="U742" s="6"/>
    </x:row>
    <x:row r="743" ht="21" customHeight="1">
      <x:c r="A743" s="14" t="n">
        <x:f>英雄升级调参!$B$22</x:f>
        <x:v>310004</x:v>
      </x:c>
      <x:c r="B743" s="14" t="str">
        <x:f>英雄升级调参!$C$22</x:f>
        <x:v>龟尼克</x:v>
      </x:c>
      <x:c r="C743" s="6" t="str">
        <x:f>英雄升级调参!$D$22</x:f>
        <x:v>生存者</x:v>
      </x:c>
      <x:c r="D743" s="6" t="s">
        <x:v>22</x:v>
      </x:c>
      <x:c r="E743" s="6">
        <x:v>25</x:v>
      </x:c>
      <x:c r="F743" s="6" t="n">
        <x:f>英雄升级调参!$C$90</x:f>
        <x:v>5</x:v>
      </x:c>
      <x:c r="G743" s="12">
        <x:f t="shared" si="67"/>
        <x:v>1644</x:v>
      </x:c>
      <x:c r="H743" s="12">
        <x:f t="shared" si="68"/>
        <x:v>25732</x:v>
      </x:c>
      <x:c r="I743" s="12">
        <x:f t="shared" si="66"/>
        <x:v>42303408</x:v>
      </x:c>
      <x:c r="J743" s="12">
        <x:f>ROUND(英雄升级调参!$D$90*英雄升级调参!$J$10*英雄升级调参!$E$22,0)*3</x:f>
        <x:v>195</x:v>
      </x:c>
      <x:c r="K743" s="12">
        <x:f>ROUND(英雄升级调参!$D$90*英雄升级调参!$C$11*英雄升级调参!$J$10*英雄升级调参!$G$22,0)*3</x:f>
        <x:v>3039</x:v>
      </x:c>
      <x:c r="L743" s="12" t="n">
        <x:f>养成消耗调参!$D$172</x:f>
        <x:v>792</x:v>
      </x:c>
      <x:c r="M743" s="12" t="n">
        <x:f>养成消耗调参!$G$172</x:f>
        <x:v>4500</x:v>
      </x:c>
      <x:c r="N743" s="12" t="n">
        <x:f>养成消耗调参!$I$172</x:f>
        <x:v>90</x:v>
      </x:c>
      <x:c r="O743" s="12" t="n">
        <x:f>养成消耗调参!$K$172</x:f>
        <x:v>9576</x:v>
      </x:c>
      <x:c r="P743" s="12" t="n">
        <x:f>养成消耗调参!$N$172</x:f>
        <x:v>54000</x:v>
      </x:c>
      <x:c r="Q743" s="12" t="n">
        <x:f>养成消耗调参!$P$172</x:f>
        <x:v>250</x:v>
      </x:c>
      <x:c r="R743" s="13">
        <x:f>I743/英雄升级调参!$J$90-1</x:f>
        <x:v>-0.004571823886939774</x:v>
      </x:c>
      <x:c r="S743" s="6"/>
      <x:c r="T743" s="6"/>
      <x:c r="U743" s="6"/>
    </x:row>
    <x:row r="744" ht="21" customHeight="1">
      <x:c r="A744" s="14" t="n">
        <x:f>英雄升级调参!$B$22</x:f>
        <x:v>310004</x:v>
      </x:c>
      <x:c r="B744" s="14" t="str">
        <x:f>英雄升级调参!$C$22</x:f>
        <x:v>龟尼克</x:v>
      </x:c>
      <x:c r="C744" s="6" t="str">
        <x:f>英雄升级调参!$D$22</x:f>
        <x:v>生存者</x:v>
      </x:c>
      <x:c r="D744" s="6" t="s">
        <x:v>22</x:v>
      </x:c>
      <x:c r="E744" s="6">
        <x:v>26</x:v>
      </x:c>
      <x:c r="F744" s="6" t="n">
        <x:f>英雄升级调参!$C$91</x:f>
        <x:v>6</x:v>
      </x:c>
      <x:c r="G744" s="12">
        <x:f t="shared" si="67"/>
        <x:v>1720</x:v>
      </x:c>
      <x:c r="H744" s="12">
        <x:f t="shared" si="68"/>
        <x:v>26913</x:v>
      </x:c>
      <x:c r="I744" s="12">
        <x:f t="shared" si="66"/>
        <x:v>46290360</x:v>
      </x:c>
      <x:c r="J744" s="12">
        <x:f>ROUND(英雄升级调参!$D$91*英雄升级调参!$J$10*英雄升级调参!$E$22,0)</x:f>
        <x:v>76</x:v>
      </x:c>
      <x:c r="K744" s="12">
        <x:f>ROUND(英雄升级调参!$D$91*英雄升级调参!$C$11*英雄升级调参!$J$10*英雄升级调参!$G$22,0)</x:f>
        <x:v>1181</x:v>
      </x:c>
      <x:c r="L744" s="12" t="n">
        <x:f>养成消耗调参!$D$173</x:f>
        <x:v>864</x:v>
      </x:c>
      <x:c r="M744" s="12" t="n">
        <x:f>养成消耗调参!$G$173</x:f>
        <x:v>4500</x:v>
      </x:c>
      <x:c r="N744" s="12" t="n">
        <x:f>养成消耗调参!$I$173</x:f>
        <x:v>0</x:v>
      </x:c>
      <x:c r="O744" s="12" t="n">
        <x:f>养成消耗调参!$K$173</x:f>
        <x:v>10440</x:v>
      </x:c>
      <x:c r="P744" s="12" t="n">
        <x:f>养成消耗调参!$N$173</x:f>
        <x:v>58500</x:v>
      </x:c>
      <x:c r="Q744" s="12" t="n">
        <x:f>养成消耗调参!$P$173</x:f>
        <x:v>250</x:v>
      </x:c>
      <x:c r="R744" s="13">
        <x:f>I744/英雄升级调参!$J$91-1</x:f>
        <x:v>-0.004379919989676129</x:v>
      </x:c>
      <x:c r="S744" s="6"/>
      <x:c r="T744" s="6"/>
      <x:c r="U744" s="6"/>
    </x:row>
    <x:row r="745" ht="21" customHeight="1">
      <x:c r="A745" s="14" t="n">
        <x:f>英雄升级调参!$B$22</x:f>
        <x:v>310004</x:v>
      </x:c>
      <x:c r="B745" s="14" t="str">
        <x:f>英雄升级调参!$C$22</x:f>
        <x:v>龟尼克</x:v>
      </x:c>
      <x:c r="C745" s="6" t="str">
        <x:f>英雄升级调参!$D$22</x:f>
        <x:v>生存者</x:v>
      </x:c>
      <x:c r="D745" s="6" t="s">
        <x:v>22</x:v>
      </x:c>
      <x:c r="E745" s="6">
        <x:v>27</x:v>
      </x:c>
      <x:c r="F745" s="6" t="n">
        <x:f>英雄升级调参!$C$92</x:f>
        <x:v>6</x:v>
      </x:c>
      <x:c r="G745" s="12">
        <x:f t="shared" si="67"/>
        <x:v>1796</x:v>
      </x:c>
      <x:c r="H745" s="12">
        <x:f t="shared" si="68"/>
        <x:v>28094</x:v>
      </x:c>
      <x:c r="I745" s="12">
        <x:f t="shared" si="66"/>
        <x:v>50456824</x:v>
      </x:c>
      <x:c r="J745" s="12">
        <x:f>ROUND(英雄升级调参!$D$92*英雄升级调参!$J$10*英雄升级调参!$E$22,0)</x:f>
        <x:v>76</x:v>
      </x:c>
      <x:c r="K745" s="12">
        <x:f>ROUND(英雄升级调参!$D$92*英雄升级调参!$C$11*英雄升级调参!$J$10*英雄升级调参!$G$22,0)</x:f>
        <x:v>1181</x:v>
      </x:c>
      <x:c r="L745" s="12" t="n">
        <x:f>养成消耗调参!$D$174</x:f>
        <x:v>864</x:v>
      </x:c>
      <x:c r="M745" s="12" t="n">
        <x:f>养成消耗调参!$G$174</x:f>
        <x:v>5850</x:v>
      </x:c>
      <x:c r="N745" s="12" t="n">
        <x:f>养成消耗调参!$I$174</x:f>
        <x:v>0</x:v>
      </x:c>
      <x:c r="O745" s="12" t="n">
        <x:f>养成消耗调参!$K$174</x:f>
        <x:v>11304</x:v>
      </x:c>
      <x:c r="P745" s="12" t="n">
        <x:f>养成消耗调参!$N$174</x:f>
        <x:v>64350</x:v>
      </x:c>
      <x:c r="Q745" s="12" t="n">
        <x:f>养成消耗调参!$P$174</x:f>
        <x:v>250</x:v>
      </x:c>
      <x:c r="R745" s="13">
        <x:f>I745/英雄升级调参!$J$92-1</x:f>
        <x:v>-0.004204196381082603</x:v>
      </x:c>
      <x:c r="S745" s="6"/>
      <x:c r="T745" s="6"/>
      <x:c r="U745" s="6"/>
    </x:row>
    <x:row r="746" ht="21" customHeight="1">
      <x:c r="A746" s="14" t="n">
        <x:f>英雄升级调参!$B$22</x:f>
        <x:v>310004</x:v>
      </x:c>
      <x:c r="B746" s="14" t="str">
        <x:f>英雄升级调参!$C$22</x:f>
        <x:v>龟尼克</x:v>
      </x:c>
      <x:c r="C746" s="6" t="str">
        <x:f>英雄升级调参!$D$22</x:f>
        <x:v>生存者</x:v>
      </x:c>
      <x:c r="D746" s="6" t="s">
        <x:v>22</x:v>
      </x:c>
      <x:c r="E746" s="6">
        <x:v>28</x:v>
      </x:c>
      <x:c r="F746" s="6" t="n">
        <x:f>英雄升级调参!$C$93</x:f>
        <x:v>6</x:v>
      </x:c>
      <x:c r="G746" s="12">
        <x:f t="shared" si="67"/>
        <x:v>1872</x:v>
      </x:c>
      <x:c r="H746" s="12">
        <x:f t="shared" si="68"/>
        <x:v>29275</x:v>
      </x:c>
      <x:c r="I746" s="12">
        <x:f t="shared" si="66"/>
        <x:v>54802800</x:v>
      </x:c>
      <x:c r="J746" s="12">
        <x:f>ROUND(英雄升级调参!$D$93*英雄升级调参!$J$10*英雄升级调参!$E$22,0)</x:f>
        <x:v>76</x:v>
      </x:c>
      <x:c r="K746" s="12">
        <x:f>ROUND(英雄升级调参!$D$93*英雄升级调参!$C$11*英雄升级调参!$J$10*英雄升级调参!$G$22,0)</x:f>
        <x:v>1181</x:v>
      </x:c>
      <x:c r="L746" s="12" t="n">
        <x:f>养成消耗调参!$D$175</x:f>
        <x:v>936</x:v>
      </x:c>
      <x:c r="M746" s="12" t="n">
        <x:f>养成消耗调参!$G$175</x:f>
        <x:v>5850</x:v>
      </x:c>
      <x:c r="N746" s="12" t="n">
        <x:f>养成消耗调参!$I$175</x:f>
        <x:v>0</x:v>
      </x:c>
      <x:c r="O746" s="12" t="n">
        <x:f>养成消耗调参!$K$175</x:f>
        <x:v>12240</x:v>
      </x:c>
      <x:c r="P746" s="12" t="n">
        <x:f>养成消耗调参!$N$175</x:f>
        <x:v>70200</x:v>
      </x:c>
      <x:c r="Q746" s="12" t="n">
        <x:f>养成消耗调参!$P$175</x:f>
        <x:v>250</x:v>
      </x:c>
      <x:c r="R746" s="13">
        <x:f>I746/英雄升级调参!$J$93-1</x:f>
        <x:v>-0.004042689492551155</x:v>
      </x:c>
      <x:c r="S746" s="6"/>
      <x:c r="T746" s="6"/>
      <x:c r="U746" s="6"/>
    </x:row>
    <x:row r="747" ht="21" customHeight="1">
      <x:c r="A747" s="14" t="n">
        <x:f>英雄升级调参!$B$22</x:f>
        <x:v>310004</x:v>
      </x:c>
      <x:c r="B747" s="14" t="str">
        <x:f>英雄升级调参!$C$22</x:f>
        <x:v>龟尼克</x:v>
      </x:c>
      <x:c r="C747" s="6" t="str">
        <x:f>英雄升级调参!$D$22</x:f>
        <x:v>生存者</x:v>
      </x:c>
      <x:c r="D747" s="6" t="s">
        <x:v>22</x:v>
      </x:c>
      <x:c r="E747" s="6">
        <x:v>29</x:v>
      </x:c>
      <x:c r="F747" s="6" t="n">
        <x:f>英雄升级调参!$C$94</x:f>
        <x:v>6</x:v>
      </x:c>
      <x:c r="G747" s="12">
        <x:f t="shared" si="67"/>
        <x:v>1948</x:v>
      </x:c>
      <x:c r="H747" s="12">
        <x:f t="shared" si="68"/>
        <x:v>30456</x:v>
      </x:c>
      <x:c r="I747" s="12">
        <x:f t="shared" si="66"/>
        <x:v>59328288</x:v>
      </x:c>
      <x:c r="J747" s="12">
        <x:f>ROUND(英雄升级调参!$D$94*英雄升级调参!$J$10*英雄升级调参!$E$22,0)</x:f>
        <x:v>76</x:v>
      </x:c>
      <x:c r="K747" s="12">
        <x:f>ROUND(英雄升级调参!$D$94*英雄升级调参!$C$11*英雄升级调参!$J$10*英雄升级调参!$G$22,0)</x:f>
        <x:v>1181</x:v>
      </x:c>
      <x:c r="L747" s="12" t="n">
        <x:f>养成消耗调参!$D$176</x:f>
        <x:v>936</x:v>
      </x:c>
      <x:c r="M747" s="12" t="n">
        <x:f>养成消耗调参!$G$176</x:f>
        <x:v>5850</x:v>
      </x:c>
      <x:c r="N747" s="12" t="n">
        <x:f>养成消耗调参!$I$176</x:f>
        <x:v>0</x:v>
      </x:c>
      <x:c r="O747" s="12" t="n">
        <x:f>养成消耗调参!$K$176</x:f>
        <x:v>13176</x:v>
      </x:c>
      <x:c r="P747" s="12" t="n">
        <x:f>养成消耗调参!$N$176</x:f>
        <x:v>76050</x:v>
      </x:c>
      <x:c r="Q747" s="12" t="n">
        <x:f>养成消耗调参!$P$176</x:f>
        <x:v>250</x:v>
      </x:c>
      <x:c r="R747" s="13">
        <x:f>I747/英雄升级调参!$J$94-1</x:f>
        <x:v>-0.003893741122427352</x:v>
      </x:c>
      <x:c r="S747" s="6"/>
      <x:c r="T747" s="6"/>
      <x:c r="U747" s="6"/>
    </x:row>
    <x:row r="748" ht="21" customHeight="1">
      <x:c r="A748" s="14" t="n">
        <x:f>英雄升级调参!$B$22</x:f>
        <x:v>310004</x:v>
      </x:c>
      <x:c r="B748" s="14" t="str">
        <x:f>英雄升级调参!$C$22</x:f>
        <x:v>龟尼克</x:v>
      </x:c>
      <x:c r="C748" s="6" t="str">
        <x:f>英雄升级调参!$D$22</x:f>
        <x:v>生存者</x:v>
      </x:c>
      <x:c r="D748" s="6" t="s">
        <x:v>22</x:v>
      </x:c>
      <x:c r="E748" s="6">
        <x:v>30</x:v>
      </x:c>
      <x:c r="F748" s="6" t="n">
        <x:f>英雄升级调参!$C$95</x:f>
        <x:v>6</x:v>
      </x:c>
      <x:c r="G748" s="12">
        <x:f t="shared" si="67"/>
        <x:v>2176</x:v>
      </x:c>
      <x:c r="H748" s="12">
        <x:f t="shared" si="68"/>
        <x:v>33999</x:v>
      </x:c>
      <x:c r="I748" s="12">
        <x:f t="shared" si="66"/>
        <x:v>73981824</x:v>
      </x:c>
      <x:c r="J748" s="12">
        <x:f>ROUND(英雄升级调参!$D$95*英雄升级调参!$J$10*英雄升级调参!$E$22,0)*3</x:f>
        <x:v>228</x:v>
      </x:c>
      <x:c r="K748" s="12">
        <x:f>ROUND(英雄升级调参!$D$95*英雄升级调参!$C$11*英雄升级调参!$J$10*英雄升级调参!$G$22,0)*3</x:f>
        <x:v>3543</x:v>
      </x:c>
      <x:c r="L748" s="12" t="n">
        <x:f>养成消耗调参!$D$177</x:f>
        <x:v>1008</x:v>
      </x:c>
      <x:c r="M748" s="12" t="n">
        <x:f>养成消耗调参!$G$177</x:f>
        <x:v>5850</x:v>
      </x:c>
      <x:c r="N748" s="12" t="n">
        <x:f>养成消耗调参!$I$177</x:f>
        <x:v>110</x:v>
      </x:c>
      <x:c r="O748" s="12" t="n">
        <x:f>养成消耗调参!$K$177</x:f>
        <x:v>14184</x:v>
      </x:c>
      <x:c r="P748" s="12" t="n">
        <x:f>养成消耗调参!$N$177</x:f>
        <x:v>81900</x:v>
      </x:c>
      <x:c r="Q748" s="12" t="n">
        <x:f>养成消耗调参!$P$177</x:f>
        <x:v>360</x:v>
      </x:c>
      <x:c r="R748" s="13">
        <x:f>I748/英雄升级调参!$J$95-1</x:f>
        <x:v>-0.003509129223414953</x:v>
      </x:c>
      <x:c r="S748" s="6"/>
      <x:c r="T748" s="6"/>
      <x:c r="U748" s="6"/>
    </x:row>
    <x:row r="749" ht="21" customHeight="1">
      <x:c r="A749" s="14" t="n">
        <x:f>英雄升级调参!$B$22</x:f>
        <x:v>310004</x:v>
      </x:c>
      <x:c r="B749" s="14" t="str">
        <x:f>英雄升级调参!$C$22</x:f>
        <x:v>龟尼克</x:v>
      </x:c>
      <x:c r="C749" s="6" t="str">
        <x:f>英雄升级调参!$D$22</x:f>
        <x:v>生存者</x:v>
      </x:c>
      <x:c r="D749" s="6" t="s">
        <x:v>22</x:v>
      </x:c>
      <x:c r="E749" s="6">
        <x:v>31</x:v>
      </x:c>
      <x:c r="F749" s="6" t="n">
        <x:f>英雄升级调参!$C$96</x:f>
        <x:v>7</x:v>
      </x:c>
      <x:c r="G749" s="12">
        <x:f t="shared" si="67"/>
        <x:v>2262</x:v>
      </x:c>
      <x:c r="H749" s="12">
        <x:f t="shared" si="68"/>
        <x:v>35349</x:v>
      </x:c>
      <x:c r="I749" s="12">
        <x:f t="shared" si="66"/>
        <x:v>79959438</x:v>
      </x:c>
      <x:c r="J749" s="12">
        <x:f>ROUND(英雄升级调参!$D$96*英雄升级调参!$J$10*英雄升级调参!$E$22,0)</x:f>
        <x:v>86</x:v>
      </x:c>
      <x:c r="K749" s="12">
        <x:f>ROUND(英雄升级调参!$D$96*英雄升级调参!$C$11*英雄升级调参!$J$10*英雄升级调参!$G$22,0)</x:f>
        <x:v>1350</x:v>
      </x:c>
      <x:c r="L749" s="12" t="n">
        <x:f>养成消耗调参!$D$178</x:f>
        <x:v>1008</x:v>
      </x:c>
      <x:c r="M749" s="12" t="n">
        <x:f>养成消耗调参!$G$178</x:f>
        <x:v>5850</x:v>
      </x:c>
      <x:c r="N749" s="12" t="n">
        <x:f>养成消耗调参!$I$178</x:f>
        <x:v>0</x:v>
      </x:c>
      <x:c r="O749" s="12" t="n">
        <x:f>养成消耗调参!$K$178</x:f>
        <x:v>15192</x:v>
      </x:c>
      <x:c r="P749" s="12" t="n">
        <x:f>养成消耗调参!$N$178</x:f>
        <x:v>87750</x:v>
      </x:c>
      <x:c r="Q749" s="12" t="n">
        <x:f>养成消耗调参!$P$178</x:f>
        <x:v>360</x:v>
      </x:c>
      <x:c r="R749" s="13">
        <x:f>I749/英雄升级调参!$J$96-1</x:f>
        <x:v>-0.003551797040169169</x:v>
      </x:c>
      <x:c r="S749" s="6"/>
      <x:c r="T749" s="6"/>
      <x:c r="U749" s="6"/>
    </x:row>
    <x:row r="750" ht="21" customHeight="1">
      <x:c r="A750" s="14" t="n">
        <x:f>英雄升级调参!$B$22</x:f>
        <x:v>310004</x:v>
      </x:c>
      <x:c r="B750" s="14" t="str">
        <x:f>英雄升级调参!$C$22</x:f>
        <x:v>龟尼克</x:v>
      </x:c>
      <x:c r="C750" s="6" t="str">
        <x:f>英雄升级调参!$D$22</x:f>
        <x:v>生存者</x:v>
      </x:c>
      <x:c r="D750" s="6" t="s">
        <x:v>22</x:v>
      </x:c>
      <x:c r="E750" s="6">
        <x:v>32</x:v>
      </x:c>
      <x:c r="F750" s="6" t="n">
        <x:f>英雄升级调参!$C$97</x:f>
        <x:v>7</x:v>
      </x:c>
      <x:c r="G750" s="12">
        <x:f t="shared" si="67"/>
        <x:v>2348</x:v>
      </x:c>
      <x:c r="H750" s="12">
        <x:f t="shared" si="68"/>
        <x:v>36699</x:v>
      </x:c>
      <x:c r="I750" s="12">
        <x:f t="shared" si="66"/>
        <x:v>86169252</x:v>
      </x:c>
      <x:c r="J750" s="12">
        <x:f>ROUND(英雄升级调参!$D$97*英雄升级调参!$J$10*英雄升级调参!$E$22,0)</x:f>
        <x:v>86</x:v>
      </x:c>
      <x:c r="K750" s="12">
        <x:f>ROUND(英雄升级调参!$D$97*英雄升级调参!$C$11*英雄升级调参!$J$10*英雄升级调参!$G$22,0)</x:f>
        <x:v>1350</x:v>
      </x:c>
      <x:c r="L750" s="12" t="n">
        <x:f>养成消耗调参!$D$179</x:f>
        <x:v>1080</x:v>
      </x:c>
      <x:c r="M750" s="12" t="n">
        <x:f>养成消耗调参!$G$179</x:f>
        <x:v>7200</x:v>
      </x:c>
      <x:c r="N750" s="12" t="n">
        <x:f>养成消耗调参!$I$179</x:f>
        <x:v>0</x:v>
      </x:c>
      <x:c r="O750" s="12" t="n">
        <x:f>养成消耗调参!$K$179</x:f>
        <x:v>16272</x:v>
      </x:c>
      <x:c r="P750" s="12" t="n">
        <x:f>养成消耗调参!$N$179</x:f>
        <x:v>94950</x:v>
      </x:c>
      <x:c r="Q750" s="12" t="n">
        <x:f>养成消耗调参!$P$179</x:f>
        <x:v>360</x:v>
      </x:c>
      <x:c r="R750" s="13">
        <x:f>I750/英雄升级调参!$J$97-1</x:f>
        <x:v>-0.0035913345343070446</x:v>
      </x:c>
      <x:c r="S750" s="6"/>
      <x:c r="T750" s="6"/>
      <x:c r="U750" s="6"/>
    </x:row>
    <x:row r="751" ht="21" customHeight="1">
      <x:c r="A751" s="14" t="n">
        <x:f>英雄升级调参!$B$22</x:f>
        <x:v>310004</x:v>
      </x:c>
      <x:c r="B751" s="14" t="str">
        <x:f>英雄升级调参!$C$22</x:f>
        <x:v>龟尼克</x:v>
      </x:c>
      <x:c r="C751" s="6" t="str">
        <x:f>英雄升级调参!$D$22</x:f>
        <x:v>生存者</x:v>
      </x:c>
      <x:c r="D751" s="6" t="s">
        <x:v>22</x:v>
      </x:c>
      <x:c r="E751" s="6">
        <x:v>33</x:v>
      </x:c>
      <x:c r="F751" s="6" t="n">
        <x:f>英雄升级调参!$C$98</x:f>
        <x:v>7</x:v>
      </x:c>
      <x:c r="G751" s="12">
        <x:f t="shared" si="67"/>
        <x:v>2434</x:v>
      </x:c>
      <x:c r="H751" s="12">
        <x:f t="shared" si="68"/>
        <x:v>38049</x:v>
      </x:c>
      <x:c r="I751" s="12">
        <x:f t="shared" si="66"/>
        <x:v>92611266</x:v>
      </x:c>
      <x:c r="J751" s="12">
        <x:f>ROUND(英雄升级调参!$D$98*英雄升级调参!$J$10*英雄升级调参!$E$22,0)</x:f>
        <x:v>86</x:v>
      </x:c>
      <x:c r="K751" s="12">
        <x:f>ROUND(英雄升级调参!$D$98*英雄升级调参!$C$11*英雄升级调参!$J$10*英雄升级调参!$G$22,0)</x:f>
        <x:v>1350</x:v>
      </x:c>
      <x:c r="L751" s="12" t="n">
        <x:f>养成消耗调参!$D$180</x:f>
        <x:v>1080</x:v>
      </x:c>
      <x:c r="M751" s="12" t="n">
        <x:f>养成消耗调参!$G$180</x:f>
        <x:v>7200</x:v>
      </x:c>
      <x:c r="N751" s="12" t="n">
        <x:f>养成消耗调参!$I$180</x:f>
        <x:v>0</x:v>
      </x:c>
      <x:c r="O751" s="12" t="n">
        <x:f>养成消耗调参!$K$180</x:f>
        <x:v>17352</x:v>
      </x:c>
      <x:c r="P751" s="12" t="n">
        <x:f>养成消耗调参!$N$180</x:f>
        <x:v>102150</x:v>
      </x:c>
      <x:c r="Q751" s="12" t="n">
        <x:f>养成消耗调参!$P$180</x:f>
        <x:v>360</x:v>
      </x:c>
      <x:c r="R751" s="13">
        <x:f>I751/英雄升级调参!$J$98-1</x:f>
        <x:v>-0.0036280740009869694</x:v>
      </x:c>
      <x:c r="S751" s="6"/>
      <x:c r="T751" s="6"/>
      <x:c r="U751" s="6"/>
    </x:row>
    <x:row r="752" ht="21" customHeight="1">
      <x:c r="A752" s="14" t="n">
        <x:f>英雄升级调参!$B$22</x:f>
        <x:v>310004</x:v>
      </x:c>
      <x:c r="B752" s="14" t="str">
        <x:f>英雄升级调参!$C$22</x:f>
        <x:v>龟尼克</x:v>
      </x:c>
      <x:c r="C752" s="6" t="str">
        <x:f>英雄升级调参!$D$22</x:f>
        <x:v>生存者</x:v>
      </x:c>
      <x:c r="D752" s="6" t="s">
        <x:v>22</x:v>
      </x:c>
      <x:c r="E752" s="6">
        <x:v>34</x:v>
      </x:c>
      <x:c r="F752" s="6" t="n">
        <x:f>英雄升级调参!$C$99</x:f>
        <x:v>7</x:v>
      </x:c>
      <x:c r="G752" s="12">
        <x:f t="shared" ref="G752:G768" si="69">G751+J752</x:f>
        <x:v>2520</x:v>
      </x:c>
      <x:c r="H752" s="12">
        <x:f t="shared" ref="H752:H768" si="70">H751+K752</x:f>
        <x:v>39399</x:v>
      </x:c>
      <x:c r="I752" s="12">
        <x:f t="shared" si="66"/>
        <x:v>99285480</x:v>
      </x:c>
      <x:c r="J752" s="12">
        <x:f>ROUND(英雄升级调参!$D$99*英雄升级调参!$J$10*英雄升级调参!$E$22,0)</x:f>
        <x:v>86</x:v>
      </x:c>
      <x:c r="K752" s="12">
        <x:f>ROUND(英雄升级调参!$D$99*英雄升级调参!$C$11*英雄升级调参!$J$10*英雄升级调参!$G$22,0)</x:f>
        <x:v>1350</x:v>
      </x:c>
      <x:c r="L752" s="12" t="n">
        <x:f>养成消耗调参!$D$181</x:f>
        <x:v>1152</x:v>
      </x:c>
      <x:c r="M752" s="12" t="n">
        <x:f>养成消耗调参!$G$181</x:f>
        <x:v>7200</x:v>
      </x:c>
      <x:c r="N752" s="12" t="n">
        <x:f>养成消耗调参!$I$181</x:f>
        <x:v>0</x:v>
      </x:c>
      <x:c r="O752" s="12" t="n">
        <x:f>养成消耗调参!$K$181</x:f>
        <x:v>18504</x:v>
      </x:c>
      <x:c r="P752" s="12" t="n">
        <x:f>养成消耗调参!$N$181</x:f>
        <x:v>109350</x:v>
      </x:c>
      <x:c r="Q752" s="12" t="n">
        <x:f>养成消耗调参!$P$181</x:f>
        <x:v>360</x:v>
      </x:c>
      <x:c r="R752" s="13">
        <x:f>I752/英雄升级调参!$J$99-1</x:f>
        <x:v>-0.0036623023101857166</x:v>
      </x:c>
      <x:c r="S752" s="6"/>
      <x:c r="T752" s="6"/>
      <x:c r="U752" s="6"/>
    </x:row>
    <x:row r="753" ht="21" customHeight="1">
      <x:c r="A753" s="14" t="n">
        <x:f>英雄升级调参!$B$22</x:f>
        <x:v>310004</x:v>
      </x:c>
      <x:c r="B753" s="14" t="str">
        <x:f>英雄升级调参!$C$22</x:f>
        <x:v>龟尼克</x:v>
      </x:c>
      <x:c r="C753" s="6" t="str">
        <x:f>英雄升级调参!$D$22</x:f>
        <x:v>生存者</x:v>
      </x:c>
      <x:c r="D753" s="6" t="s">
        <x:v>22</x:v>
      </x:c>
      <x:c r="E753" s="6">
        <x:v>35</x:v>
      </x:c>
      <x:c r="F753" s="6" t="n">
        <x:f>英雄升级调参!$C$100</x:f>
        <x:v>7</x:v>
      </x:c>
      <x:c r="G753" s="12">
        <x:f t="shared" si="69"/>
        <x:v>2778</x:v>
      </x:c>
      <x:c r="H753" s="12">
        <x:f t="shared" si="70"/>
        <x:v>43449</x:v>
      </x:c>
      <x:c r="I753" s="12">
        <x:f t="shared" si="66"/>
        <x:v>120701322</x:v>
      </x:c>
      <x:c r="J753" s="12">
        <x:f>ROUND(英雄升级调参!$D$100*英雄升级调参!$J$10*英雄升级调参!$E$22,0)*3</x:f>
        <x:v>258</x:v>
      </x:c>
      <x:c r="K753" s="12">
        <x:f>ROUND(英雄升级调参!$D$100*英雄升级调参!$C$11*英雄升级调参!$J$10*英雄升级调参!$G$22,0)*3</x:f>
        <x:v>4050</x:v>
      </x:c>
      <x:c r="L753" s="12" t="n">
        <x:f>养成消耗调参!$D$182</x:f>
        <x:v>1152</x:v>
      </x:c>
      <x:c r="M753" s="12" t="n">
        <x:f>养成消耗调参!$G$182</x:f>
        <x:v>7200</x:v>
      </x:c>
      <x:c r="N753" s="12" t="n">
        <x:f>养成消耗调参!$I$182</x:f>
        <x:v>130</x:v>
      </x:c>
      <x:c r="O753" s="12" t="n">
        <x:f>养成消耗调参!$K$182</x:f>
        <x:v>19656</x:v>
      </x:c>
      <x:c r="P753" s="12" t="n">
        <x:f>养成消耗调参!$N$182</x:f>
        <x:v>116550</x:v>
      </x:c>
      <x:c r="Q753" s="12" t="n">
        <x:f>养成消耗调参!$P$182</x:f>
        <x:v>490</x:v>
      </x:c>
      <x:c r="R753" s="13">
        <x:f>I753/英雄升级调参!$J$100-1</x:f>
        <x:v>-0.0037522554612060555</x:v>
      </x:c>
      <x:c r="S753" s="6"/>
      <x:c r="T753" s="6"/>
      <x:c r="U753" s="6"/>
    </x:row>
    <x:row r="754" ht="21" customHeight="1">
      <x:c r="A754" s="14" t="n">
        <x:f>英雄升级调参!$B$22</x:f>
        <x:v>310004</x:v>
      </x:c>
      <x:c r="B754" s="14" t="str">
        <x:f>英雄升级调参!$C$22</x:f>
        <x:v>龟尼克</x:v>
      </x:c>
      <x:c r="C754" s="6" t="str">
        <x:f>英雄升级调参!$D$22</x:f>
        <x:v>生存者</x:v>
      </x:c>
      <x:c r="D754" s="6" t="s">
        <x:v>22</x:v>
      </x:c>
      <x:c r="E754" s="6">
        <x:v>36</x:v>
      </x:c>
      <x:c r="F754" s="6" t="n">
        <x:f>英雄升级调参!$C$101</x:f>
        <x:v>8</x:v>
      </x:c>
      <x:c r="G754" s="12">
        <x:f t="shared" si="69"/>
        <x:v>2875</x:v>
      </x:c>
      <x:c r="H754" s="12">
        <x:f t="shared" si="70"/>
        <x:v>44968</x:v>
      </x:c>
      <x:c r="I754" s="12">
        <x:f t="shared" si="66"/>
        <x:v>129283000</x:v>
      </x:c>
      <x:c r="J754" s="12">
        <x:f>ROUND(英雄升级调参!$D$101*英雄升级调参!$J$10*英雄升级调参!$E$22,0)</x:f>
        <x:v>97</x:v>
      </x:c>
      <x:c r="K754" s="12">
        <x:f>ROUND(英雄升级调参!$D$101*英雄升级调参!$C$11*英雄升级调参!$J$10*英雄升级调参!$G$22,0)</x:f>
        <x:v>1519</x:v>
      </x:c>
      <x:c r="L754" s="12" t="n">
        <x:f>养成消耗调参!$D$183</x:f>
        <x:v>1224</x:v>
      </x:c>
      <x:c r="M754" s="12" t="n">
        <x:f>养成消耗调参!$G$183</x:f>
        <x:v>7200</x:v>
      </x:c>
      <x:c r="N754" s="12" t="n">
        <x:f>养成消耗调参!$I$183</x:f>
        <x:v>0</x:v>
      </x:c>
      <x:c r="O754" s="12" t="n">
        <x:f>养成消耗调参!$K$183</x:f>
        <x:v>20880</x:v>
      </x:c>
      <x:c r="P754" s="12" t="n">
        <x:f>养成消耗调参!$N$183</x:f>
        <x:v>123750</x:v>
      </x:c>
      <x:c r="Q754" s="12" t="n">
        <x:f>养成消耗调参!$P$183</x:f>
        <x:v>490</x:v>
      </x:c>
      <x:c r="R754" s="13">
        <x:f>I754/英雄升级调参!$J$101-1</x:f>
        <x:v>-0.003827715508180951</x:v>
      </x:c>
      <x:c r="S754" s="6"/>
      <x:c r="T754" s="6"/>
      <x:c r="U754" s="6"/>
    </x:row>
    <x:row r="755" ht="21" customHeight="1">
      <x:c r="A755" s="14" t="n">
        <x:f>英雄升级调参!$B$22</x:f>
        <x:v>310004</x:v>
      </x:c>
      <x:c r="B755" s="14" t="str">
        <x:f>英雄升级调参!$C$22</x:f>
        <x:v>龟尼克</x:v>
      </x:c>
      <x:c r="C755" s="6" t="str">
        <x:f>英雄升级调参!$D$22</x:f>
        <x:v>生存者</x:v>
      </x:c>
      <x:c r="D755" s="6" t="s">
        <x:v>22</x:v>
      </x:c>
      <x:c r="E755" s="6">
        <x:v>37</x:v>
      </x:c>
      <x:c r="F755" s="6" t="n">
        <x:f>英雄升级调参!$C$102</x:f>
        <x:v>8</x:v>
      </x:c>
      <x:c r="G755" s="12">
        <x:f t="shared" si="69"/>
        <x:v>2972</x:v>
      </x:c>
      <x:c r="H755" s="12">
        <x:f t="shared" si="70"/>
        <x:v>46487</x:v>
      </x:c>
      <x:c r="I755" s="12">
        <x:f t="shared" si="66"/>
        <x:v>138159364</x:v>
      </x:c>
      <x:c r="J755" s="12">
        <x:f>ROUND(英雄升级调参!$D$102*英雄升级调参!$J$10*英雄升级调参!$E$22,0)</x:f>
        <x:v>97</x:v>
      </x:c>
      <x:c r="K755" s="12">
        <x:f>ROUND(英雄升级调参!$D$102*英雄升级调参!$C$11*英雄升级调参!$J$10*英雄升级调参!$G$22,0)</x:f>
        <x:v>1519</x:v>
      </x:c>
      <x:c r="L755" s="12" t="n">
        <x:f>养成消耗调参!$D$184</x:f>
        <x:v>1224</x:v>
      </x:c>
      <x:c r="M755" s="12" t="n">
        <x:f>养成消耗调参!$G$184</x:f>
        <x:v>8550</x:v>
      </x:c>
      <x:c r="N755" s="12" t="n">
        <x:f>养成消耗调参!$I$184</x:f>
        <x:v>0</x:v>
      </x:c>
      <x:c r="O755" s="12" t="n">
        <x:f>养成消耗调参!$K$184</x:f>
        <x:v>22104</x:v>
      </x:c>
      <x:c r="P755" s="12" t="n">
        <x:f>养成消耗调参!$N$184</x:f>
        <x:v>132300</x:v>
      </x:c>
      <x:c r="Q755" s="12" t="n">
        <x:f>养成消耗调参!$P$184</x:f>
        <x:v>490</x:v>
      </x:c>
      <x:c r="R755" s="13">
        <x:f>I755/英雄升级调参!$J$102-1</x:f>
        <x:v>-0.0038982394022207822</x:v>
      </x:c>
      <x:c r="S755" s="6"/>
      <x:c r="T755" s="6"/>
      <x:c r="U755" s="6"/>
    </x:row>
    <x:row r="756" ht="21" customHeight="1">
      <x:c r="A756" s="14" t="n">
        <x:f>英雄升级调参!$B$22</x:f>
        <x:v>310004</x:v>
      </x:c>
      <x:c r="B756" s="14" t="str">
        <x:f>英雄升级调参!$C$22</x:f>
        <x:v>龟尼克</x:v>
      </x:c>
      <x:c r="C756" s="6" t="str">
        <x:f>英雄升级调参!$D$22</x:f>
        <x:v>生存者</x:v>
      </x:c>
      <x:c r="D756" s="6" t="s">
        <x:v>22</x:v>
      </x:c>
      <x:c r="E756" s="6">
        <x:v>38</x:v>
      </x:c>
      <x:c r="F756" s="6" t="n">
        <x:f>英雄升级调参!$C$103</x:f>
        <x:v>8</x:v>
      </x:c>
      <x:c r="G756" s="12">
        <x:f t="shared" si="69"/>
        <x:v>3069</x:v>
      </x:c>
      <x:c r="H756" s="12">
        <x:f t="shared" si="70"/>
        <x:v>48006</x:v>
      </x:c>
      <x:c r="I756" s="12">
        <x:f t="shared" si="66"/>
        <x:v>147330414</x:v>
      </x:c>
      <x:c r="J756" s="12">
        <x:f>ROUND(英雄升级调参!$D$103*英雄升级调参!$J$10*英雄升级调参!$E$22,0)</x:f>
        <x:v>97</x:v>
      </x:c>
      <x:c r="K756" s="12">
        <x:f>ROUND(英雄升级调参!$D$103*英雄升级调参!$C$11*英雄升级调参!$J$10*英雄升级调参!$G$22,0)</x:f>
        <x:v>1519</x:v>
      </x:c>
      <x:c r="L756" s="12" t="n">
        <x:f>养成消耗调参!$D$185</x:f>
        <x:v>1296</x:v>
      </x:c>
      <x:c r="M756" s="12" t="n">
        <x:f>养成消耗调参!$G$185</x:f>
        <x:v>8550</x:v>
      </x:c>
      <x:c r="N756" s="12" t="n">
        <x:f>养成消耗调参!$I$185</x:f>
        <x:v>0</x:v>
      </x:c>
      <x:c r="O756" s="12" t="n">
        <x:f>养成消耗调参!$K$185</x:f>
        <x:v>23400</x:v>
      </x:c>
      <x:c r="P756" s="12" t="n">
        <x:f>养成消耗调参!$N$185</x:f>
        <x:v>140850</x:v>
      </x:c>
      <x:c r="Q756" s="12" t="n">
        <x:f>养成消耗调参!$P$185</x:f>
        <x:v>490</x:v>
      </x:c>
      <x:c r="R756" s="13">
        <x:f>I756/英雄升级调参!$J$103-1</x:f>
        <x:v>-0.003964296144859825</x:v>
      </x:c>
      <x:c r="S756" s="6"/>
      <x:c r="T756" s="6"/>
      <x:c r="U756" s="6"/>
    </x:row>
    <x:row r="757" ht="21" customHeight="1">
      <x:c r="A757" s="14" t="n">
        <x:f>英雄升级调参!$B$22</x:f>
        <x:v>310004</x:v>
      </x:c>
      <x:c r="B757" s="14" t="str">
        <x:f>英雄升级调参!$C$22</x:f>
        <x:v>龟尼克</x:v>
      </x:c>
      <x:c r="C757" s="6" t="str">
        <x:f>英雄升级调参!$D$22</x:f>
        <x:v>生存者</x:v>
      </x:c>
      <x:c r="D757" s="6" t="s">
        <x:v>22</x:v>
      </x:c>
      <x:c r="E757" s="6">
        <x:v>39</x:v>
      </x:c>
      <x:c r="F757" s="6" t="n">
        <x:f>英雄升级调参!$C$104</x:f>
        <x:v>8</x:v>
      </x:c>
      <x:c r="G757" s="12">
        <x:f t="shared" si="69"/>
        <x:v>3166</x:v>
      </x:c>
      <x:c r="H757" s="12">
        <x:f t="shared" si="70"/>
        <x:v>49525</x:v>
      </x:c>
      <x:c r="I757" s="12">
        <x:f t="shared" si="66"/>
        <x:v>156796150</x:v>
      </x:c>
      <x:c r="J757" s="12">
        <x:f>ROUND(英雄升级调参!$D$104*英雄升级调参!$J$10*英雄升级调参!$E$22,0)</x:f>
        <x:v>97</x:v>
      </x:c>
      <x:c r="K757" s="12">
        <x:f>ROUND(英雄升级调参!$D$104*英雄升级调参!$C$11*英雄升级调参!$J$10*英雄升级调参!$G$22,0)</x:f>
        <x:v>1519</x:v>
      </x:c>
      <x:c r="L757" s="12" t="n">
        <x:f>养成消耗调参!$D$186</x:f>
        <x:v>1296</x:v>
      </x:c>
      <x:c r="M757" s="12" t="n">
        <x:f>养成消耗调参!$G$186</x:f>
        <x:v>8550</x:v>
      </x:c>
      <x:c r="N757" s="12" t="n">
        <x:f>养成消耗调参!$I$186</x:f>
        <x:v>0</x:v>
      </x:c>
      <x:c r="O757" s="12" t="n">
        <x:f>养成消耗调参!$K$186</x:f>
        <x:v>24696</x:v>
      </x:c>
      <x:c r="P757" s="12" t="n">
        <x:f>养成消耗调参!$N$186</x:f>
        <x:v>149400</x:v>
      </x:c>
      <x:c r="Q757" s="12" t="n">
        <x:f>养成消耗调参!$P$186</x:f>
        <x:v>490</x:v>
      </x:c>
      <x:c r="R757" s="13">
        <x:f>I757/英雄升级调参!$J$104-1</x:f>
        <x:v>-0.004026297146268343</x:v>
      </x:c>
      <x:c r="S757" s="6"/>
      <x:c r="T757" s="6"/>
      <x:c r="U757" s="6"/>
    </x:row>
    <x:row r="758" ht="21" customHeight="1">
      <x:c r="A758" s="14" t="n">
        <x:f>英雄升级调参!$B$22</x:f>
        <x:v>310004</x:v>
      </x:c>
      <x:c r="B758" s="14" t="str">
        <x:f>英雄升级调参!$C$22</x:f>
        <x:v>龟尼克</x:v>
      </x:c>
      <x:c r="C758" s="6" t="str">
        <x:f>英雄升级调参!$D$22</x:f>
        <x:v>生存者</x:v>
      </x:c>
      <x:c r="D758" s="6" t="s">
        <x:v>22</x:v>
      </x:c>
      <x:c r="E758" s="6">
        <x:v>40</x:v>
      </x:c>
      <x:c r="F758" s="6" t="n">
        <x:f>英雄升级调参!$C$105</x:f>
        <x:v>8</x:v>
      </x:c>
      <x:c r="G758" s="12">
        <x:f t="shared" si="69"/>
        <x:v>3457</x:v>
      </x:c>
      <x:c r="H758" s="12">
        <x:f t="shared" si="70"/>
        <x:v>54082</x:v>
      </x:c>
      <x:c r="I758" s="12">
        <x:f t="shared" si="66"/>
        <x:v>186961474</x:v>
      </x:c>
      <x:c r="J758" s="12">
        <x:f>ROUND(英雄升级调参!$D$105*英雄升级调参!$J$10*英雄升级调参!$E$22,0)*3</x:f>
        <x:v>291</x:v>
      </x:c>
      <x:c r="K758" s="12">
        <x:f>ROUND(英雄升级调参!$D$105*英雄升级调参!$C$11*英雄升级调参!$J$10*英雄升级调参!$G$22,0)*3</x:f>
        <x:v>4557</x:v>
      </x:c>
      <x:c r="L758" s="12" t="n">
        <x:f>养成消耗调参!$D$187</x:f>
        <x:v>1368</x:v>
      </x:c>
      <x:c r="M758" s="12" t="n">
        <x:f>养成消耗调参!$G$187</x:f>
        <x:v>8550</x:v>
      </x:c>
      <x:c r="N758" s="12" t="n">
        <x:f>养成消耗调参!$I$187</x:f>
        <x:v>150</x:v>
      </x:c>
      <x:c r="O758" s="12" t="n">
        <x:f>养成消耗调参!$K$187</x:f>
        <x:v>26064</x:v>
      </x:c>
      <x:c r="P758" s="12" t="n">
        <x:f>养成消耗调参!$N$187</x:f>
        <x:v>157950</x:v>
      </x:c>
      <x:c r="Q758" s="12" t="n">
        <x:f>养成消耗调参!$P$187</x:f>
        <x:v>640</x:v>
      </x:c>
      <x:c r="R758" s="13">
        <x:f>I758/英雄升级调参!$J$105-1</x:f>
        <x:v>-0.004191385918601687</x:v>
      </x:c>
      <x:c r="S758" s="6"/>
      <x:c r="T758" s="6"/>
      <x:c r="U758" s="6"/>
    </x:row>
    <x:row r="759" ht="21" customHeight="1">
      <x:c r="A759" s="14" t="n">
        <x:f>英雄升级调参!$B$22</x:f>
        <x:v>310004</x:v>
      </x:c>
      <x:c r="B759" s="14" t="str">
        <x:f>英雄升级调参!$C$22</x:f>
        <x:v>龟尼克</x:v>
      </x:c>
      <x:c r="C759" s="6" t="str">
        <x:f>英雄升级调参!$D$22</x:f>
        <x:v>生存者</x:v>
      </x:c>
      <x:c r="D759" s="6" t="s">
        <x:v>22</x:v>
      </x:c>
      <x:c r="E759" s="6">
        <x:v>41</x:v>
      </x:c>
      <x:c r="F759" s="6" t="n">
        <x:f>英雄升级调参!$C$106</x:f>
        <x:v>9</x:v>
      </x:c>
      <x:c r="G759" s="12">
        <x:f t="shared" si="69"/>
        <x:v>3565</x:v>
      </x:c>
      <x:c r="H759" s="12">
        <x:f t="shared" si="70"/>
        <x:v>55770</x:v>
      </x:c>
      <x:c r="I759" s="12">
        <x:f t="shared" si="66"/>
        <x:v>198820050</x:v>
      </x:c>
      <x:c r="J759" s="12">
        <x:f>ROUND(英雄升级调参!$D$106*英雄升级调参!$J$10*英雄升级调参!$E$22,0)</x:f>
        <x:v>108</x:v>
      </x:c>
      <x:c r="K759" s="12">
        <x:f>ROUND(英雄升级调参!$D$106*英雄升级调参!$C$11*英雄升级调参!$J$10*英雄升级调参!$G$22,0)</x:f>
        <x:v>1688</x:v>
      </x:c>
      <x:c r="L759" s="12" t="n">
        <x:f>养成消耗调参!$D$188</x:f>
        <x:v>1368</x:v>
      </x:c>
      <x:c r="M759" s="12" t="n">
        <x:f>养成消耗调参!$G$188</x:f>
        <x:v>8550</x:v>
      </x:c>
      <x:c r="N759" s="12" t="n">
        <x:f>养成消耗调参!$I$188</x:f>
        <x:v>0</x:v>
      </x:c>
      <x:c r="O759" s="12" t="n">
        <x:f>养成消耗调参!$K$188</x:f>
        <x:v>27432</x:v>
      </x:c>
      <x:c r="P759" s="12" t="n">
        <x:f>养成消耗调参!$N$188</x:f>
        <x:v>166500</x:v>
      </x:c>
      <x:c r="Q759" s="12" t="n">
        <x:f>养成消耗调参!$P$188</x:f>
        <x:v>640</x:v>
      </x:c>
      <x:c r="R759" s="13">
        <x:f>I759/英雄升级调参!$J$106-1</x:f>
        <x:v>-0.004056008686080137</x:v>
      </x:c>
      <x:c r="S759" s="6"/>
      <x:c r="T759" s="6"/>
      <x:c r="U759" s="6"/>
    </x:row>
    <x:row r="760" ht="21" customHeight="1">
      <x:c r="A760" s="14" t="n">
        <x:f>英雄升级调参!$B$22</x:f>
        <x:v>310004</x:v>
      </x:c>
      <x:c r="B760" s="14" t="str">
        <x:f>英雄升级调参!$C$22</x:f>
        <x:v>龟尼克</x:v>
      </x:c>
      <x:c r="C760" s="6" t="str">
        <x:f>英雄升级调参!$D$22</x:f>
        <x:v>生存者</x:v>
      </x:c>
      <x:c r="D760" s="6" t="s">
        <x:v>22</x:v>
      </x:c>
      <x:c r="E760" s="6">
        <x:v>42</x:v>
      </x:c>
      <x:c r="F760" s="6" t="n">
        <x:f>英雄升级调参!$C$107</x:f>
        <x:v>9</x:v>
      </x:c>
      <x:c r="G760" s="12">
        <x:f t="shared" si="69"/>
        <x:v>3673</x:v>
      </x:c>
      <x:c r="H760" s="12">
        <x:f t="shared" si="70"/>
        <x:v>57458</x:v>
      </x:c>
      <x:c r="I760" s="12">
        <x:f t="shared" si="66"/>
        <x:v>211043234</x:v>
      </x:c>
      <x:c r="J760" s="12">
        <x:f>ROUND(英雄升级调参!$D$107*英雄升级调参!$J$10*英雄升级调参!$E$22,0)</x:f>
        <x:v>108</x:v>
      </x:c>
      <x:c r="K760" s="12">
        <x:f>ROUND(英雄升级调参!$D$107*英雄升级调参!$C$11*英雄升级调参!$J$10*英雄升级调参!$G$22,0)</x:f>
        <x:v>1688</x:v>
      </x:c>
      <x:c r="L760" s="12" t="n">
        <x:f>养成消耗调参!$D$189</x:f>
        <x:v>1440</x:v>
      </x:c>
      <x:c r="M760" s="12" t="n">
        <x:f>养成消耗调参!$G$189</x:f>
        <x:v>9900</x:v>
      </x:c>
      <x:c r="N760" s="12" t="n">
        <x:f>养成消耗调参!$I$189</x:f>
        <x:v>0</x:v>
      </x:c>
      <x:c r="O760" s="12" t="n">
        <x:f>养成消耗调参!$K$189</x:f>
        <x:v>28872</x:v>
      </x:c>
      <x:c r="P760" s="12" t="n">
        <x:f>养成消耗调参!$N$189</x:f>
        <x:v>176400</x:v>
      </x:c>
      <x:c r="Q760" s="12" t="n">
        <x:f>养成消耗调参!$P$189</x:f>
        <x:v>640</x:v>
      </x:c>
      <x:c r="R760" s="13">
        <x:f>I760/英雄升级调参!$J$107-1</x:f>
        <x:v>-0.003928559966319911</x:v>
      </x:c>
      <x:c r="S760" s="6"/>
      <x:c r="T760" s="6"/>
      <x:c r="U760" s="6"/>
    </x:row>
    <x:row r="761" ht="21" customHeight="1">
      <x:c r="A761" s="14" t="n">
        <x:f>英雄升级调参!$B$22</x:f>
        <x:v>310004</x:v>
      </x:c>
      <x:c r="B761" s="14" t="str">
        <x:f>英雄升级调参!$C$22</x:f>
        <x:v>龟尼克</x:v>
      </x:c>
      <x:c r="C761" s="6" t="str">
        <x:f>英雄升级调参!$D$22</x:f>
        <x:v>生存者</x:v>
      </x:c>
      <x:c r="D761" s="6" t="s">
        <x:v>22</x:v>
      </x:c>
      <x:c r="E761" s="6">
        <x:v>43</x:v>
      </x:c>
      <x:c r="F761" s="6" t="n">
        <x:f>英雄升级调参!$C$108</x:f>
        <x:v>9</x:v>
      </x:c>
      <x:c r="G761" s="12">
        <x:f t="shared" si="69"/>
        <x:v>3781</x:v>
      </x:c>
      <x:c r="H761" s="12">
        <x:f t="shared" si="70"/>
        <x:v>59146</x:v>
      </x:c>
      <x:c r="I761" s="12">
        <x:f t="shared" si="66"/>
        <x:v>223631026</x:v>
      </x:c>
      <x:c r="J761" s="12">
        <x:f>ROUND(英雄升级调参!$D$108*英雄升级调参!$J$10*英雄升级调参!$E$22,0)</x:f>
        <x:v>108</x:v>
      </x:c>
      <x:c r="K761" s="12">
        <x:f>ROUND(英雄升级调参!$D$108*英雄升级调参!$C$11*英雄升级调参!$J$10*英雄升级调参!$G$22,0)</x:f>
        <x:v>1688</x:v>
      </x:c>
      <x:c r="L761" s="12" t="n">
        <x:f>养成消耗调参!$D$190</x:f>
        <x:v>1440</x:v>
      </x:c>
      <x:c r="M761" s="12" t="n">
        <x:f>养成消耗调参!$G$190</x:f>
        <x:v>9900</x:v>
      </x:c>
      <x:c r="N761" s="12" t="n">
        <x:f>养成消耗调参!$I$190</x:f>
        <x:v>0</x:v>
      </x:c>
      <x:c r="O761" s="12" t="n">
        <x:f>养成消耗调参!$K$190</x:f>
        <x:v>30312</x:v>
      </x:c>
      <x:c r="P761" s="12" t="n">
        <x:f>养成消耗调参!$N$190</x:f>
        <x:v>186300</x:v>
      </x:c>
      <x:c r="Q761" s="12" t="n">
        <x:f>养成消耗调参!$P$190</x:f>
        <x:v>640</x:v>
      </x:c>
      <x:c r="R761" s="13">
        <x:f>I761/英雄升级调参!$J$108-1</x:f>
        <x:v>-0.0038083630623654274</x:v>
      </x:c>
      <x:c r="S761" s="6"/>
      <x:c r="T761" s="6"/>
      <x:c r="U761" s="6"/>
    </x:row>
    <x:row r="762" ht="21" customHeight="1">
      <x:c r="A762" s="14" t="n">
        <x:f>英雄升级调参!$B$22</x:f>
        <x:v>310004</x:v>
      </x:c>
      <x:c r="B762" s="14" t="str">
        <x:f>英雄升级调参!$C$22</x:f>
        <x:v>龟尼克</x:v>
      </x:c>
      <x:c r="C762" s="6" t="str">
        <x:f>英雄升级调参!$D$22</x:f>
        <x:v>生存者</x:v>
      </x:c>
      <x:c r="D762" s="6" t="s">
        <x:v>22</x:v>
      </x:c>
      <x:c r="E762" s="6">
        <x:v>44</x:v>
      </x:c>
      <x:c r="F762" s="6" t="n">
        <x:f>英雄升级调参!$C$109</x:f>
        <x:v>9</x:v>
      </x:c>
      <x:c r="G762" s="12">
        <x:f t="shared" si="69"/>
        <x:v>3889</x:v>
      </x:c>
      <x:c r="H762" s="12">
        <x:f t="shared" si="70"/>
        <x:v>60834</x:v>
      </x:c>
      <x:c r="I762" s="12">
        <x:f t="shared" si="66"/>
        <x:v>236583426</x:v>
      </x:c>
      <x:c r="J762" s="12">
        <x:f>ROUND(英雄升级调参!$D$109*英雄升级调参!$J$10*英雄升级调参!$E$22,0)</x:f>
        <x:v>108</x:v>
      </x:c>
      <x:c r="K762" s="12">
        <x:f>ROUND(英雄升级调参!$D$109*英雄升级调参!$C$11*英雄升级调参!$J$10*英雄升级调参!$G$22,0)</x:f>
        <x:v>1688</x:v>
      </x:c>
      <x:c r="L762" s="12" t="n">
        <x:f>养成消耗调参!$D$191</x:f>
        <x:v>1512</x:v>
      </x:c>
      <x:c r="M762" s="12" t="n">
        <x:f>养成消耗调参!$G$191</x:f>
        <x:v>9900</x:v>
      </x:c>
      <x:c r="N762" s="12" t="n">
        <x:f>养成消耗调参!$I$191</x:f>
        <x:v>0</x:v>
      </x:c>
      <x:c r="O762" s="12" t="n">
        <x:f>养成消耗调参!$K$191</x:f>
        <x:v>31824</x:v>
      </x:c>
      <x:c r="P762" s="12" t="n">
        <x:f>养成消耗调参!$N$191</x:f>
        <x:v>196200</x:v>
      </x:c>
      <x:c r="Q762" s="12" t="n">
        <x:f>养成消耗调参!$P$191</x:f>
        <x:v>640</x:v>
      </x:c>
      <x:c r="R762" s="13">
        <x:f>I762/英雄升级调参!$J$109-1</x:f>
        <x:v>-0.0036948161549190672</x:v>
      </x:c>
      <x:c r="S762" s="6"/>
      <x:c r="T762" s="6"/>
      <x:c r="U762" s="6"/>
    </x:row>
    <x:row r="763" ht="21" customHeight="1">
      <x:c r="A763" s="14" t="n">
        <x:f>英雄升级调参!$B$22</x:f>
        <x:v>310004</x:v>
      </x:c>
      <x:c r="B763" s="14" t="str">
        <x:f>英雄升级调参!$C$22</x:f>
        <x:v>龟尼克</x:v>
      </x:c>
      <x:c r="C763" s="6" t="str">
        <x:f>英雄升级调参!$D$22</x:f>
        <x:v>生存者</x:v>
      </x:c>
      <x:c r="D763" s="6" t="s">
        <x:v>22</x:v>
      </x:c>
      <x:c r="E763" s="6">
        <x:v>45</x:v>
      </x:c>
      <x:c r="F763" s="6" t="n">
        <x:f>英雄升级调参!$C$110</x:f>
        <x:v>9</x:v>
      </x:c>
      <x:c r="G763" s="12">
        <x:f t="shared" si="69"/>
        <x:v>4213</x:v>
      </x:c>
      <x:c r="H763" s="12">
        <x:f t="shared" si="70"/>
        <x:v>65898</x:v>
      </x:c>
      <x:c r="I763" s="12">
        <x:f t="shared" si="66"/>
        <x:v>277628274</x:v>
      </x:c>
      <x:c r="J763" s="12">
        <x:f>ROUND(英雄升级调参!$D$110*英雄升级调参!$J$10*英雄升级调参!$E$22,0)*3</x:f>
        <x:v>324</x:v>
      </x:c>
      <x:c r="K763" s="12">
        <x:f>ROUND(英雄升级调参!$D$110*英雄升级调参!$C$11*英雄升级调参!$J$10*英雄升级调参!$G$22,0)*3</x:f>
        <x:v>5064</x:v>
      </x:c>
      <x:c r="L763" s="12" t="n">
        <x:f>养成消耗调参!$D$192</x:f>
        <x:v>1512</x:v>
      </x:c>
      <x:c r="M763" s="12" t="n">
        <x:f>养成消耗调参!$G$192</x:f>
        <x:v>9900</x:v>
      </x:c>
      <x:c r="N763" s="12" t="n">
        <x:f>养成消耗调参!$I$192</x:f>
        <x:v>170</x:v>
      </x:c>
      <x:c r="O763" s="12" t="n">
        <x:f>养成消耗调参!$K$192</x:f>
        <x:v>33336</x:v>
      </x:c>
      <x:c r="P763" s="12" t="n">
        <x:f>养成消耗调参!$N$192</x:f>
        <x:v>206100</x:v>
      </x:c>
      <x:c r="Q763" s="12" t="n">
        <x:f>养成消耗调参!$P$192</x:f>
        <x:v>810</x:v>
      </x:c>
      <x:c r="R763" s="13">
        <x:f>I763/英雄升级调参!$J$110-1</x:f>
        <x:v>-0.003388979559529104</x:v>
      </x:c>
      <x:c r="S763" s="6"/>
      <x:c r="T763" s="6"/>
      <x:c r="U763" s="6"/>
    </x:row>
    <x:row r="764" ht="21" customHeight="1">
      <x:c r="A764" s="14" t="n">
        <x:f>英雄升级调参!$B$22</x:f>
        <x:v>310004</x:v>
      </x:c>
      <x:c r="B764" s="14" t="str">
        <x:f>英雄升级调参!$C$22</x:f>
        <x:v>龟尼克</x:v>
      </x:c>
      <x:c r="C764" s="6" t="str">
        <x:f>英雄升级调参!$D$22</x:f>
        <x:v>生存者</x:v>
      </x:c>
      <x:c r="D764" s="6" t="s">
        <x:v>22</x:v>
      </x:c>
      <x:c r="E764" s="6">
        <x:v>46</x:v>
      </x:c>
      <x:c r="F764" s="6" t="n">
        <x:f>英雄升级调参!$C$111</x:f>
        <x:v>10</x:v>
      </x:c>
      <x:c r="G764" s="12">
        <x:f t="shared" si="69"/>
        <x:v>4332</x:v>
      </x:c>
      <x:c r="H764" s="12">
        <x:f t="shared" si="70"/>
        <x:v>67754</x:v>
      </x:c>
      <x:c r="I764" s="12">
        <x:f t="shared" si="66"/>
        <x:v>293510328</x:v>
      </x:c>
      <x:c r="J764" s="12">
        <x:f>ROUND(英雄升级调参!$D$111*英雄升级调参!$J$10*英雄升级调参!$E$22,0)</x:f>
        <x:v>119</x:v>
      </x:c>
      <x:c r="K764" s="12">
        <x:f>ROUND(英雄升级调参!$D$111*英雄升级调参!$C$11*英雄升级调参!$J$10*英雄升级调参!$G$22,0)</x:f>
        <x:v>1856</x:v>
      </x:c>
      <x:c r="L764" s="12" t="n">
        <x:f>养成消耗调参!$D$193</x:f>
        <x:v>1584</x:v>
      </x:c>
      <x:c r="M764" s="12" t="n">
        <x:f>养成消耗调参!$G$193</x:f>
        <x:v>9900</x:v>
      </x:c>
      <x:c r="N764" s="12" t="n">
        <x:f>养成消耗调参!$I$193</x:f>
        <x:v>0</x:v>
      </x:c>
      <x:c r="O764" s="12" t="n">
        <x:f>养成消耗调参!$K$193</x:f>
        <x:v>34920</x:v>
      </x:c>
      <x:c r="P764" s="12" t="n">
        <x:f>养成消耗调参!$N$193</x:f>
        <x:v>216000</x:v>
      </x:c>
      <x:c r="Q764" s="12" t="n">
        <x:f>养成消耗调参!$P$193</x:f>
        <x:v>810</x:v>
      </x:c>
      <x:c r="R764" s="13">
        <x:f>I764/英雄升级调参!$J$111-1</x:f>
        <x:v>-0.003345727065627413</x:v>
      </x:c>
      <x:c r="S764" s="6"/>
      <x:c r="T764" s="6"/>
      <x:c r="U764" s="6"/>
    </x:row>
    <x:row r="765" ht="21" customHeight="1">
      <x:c r="A765" s="14" t="n">
        <x:f>英雄升级调参!$B$22</x:f>
        <x:v>310004</x:v>
      </x:c>
      <x:c r="B765" s="14" t="str">
        <x:f>英雄升级调参!$C$22</x:f>
        <x:v>龟尼克</x:v>
      </x:c>
      <x:c r="C765" s="6" t="str">
        <x:f>英雄升级调参!$D$22</x:f>
        <x:v>生存者</x:v>
      </x:c>
      <x:c r="D765" s="6" t="s">
        <x:v>22</x:v>
      </x:c>
      <x:c r="E765" s="6">
        <x:v>47</x:v>
      </x:c>
      <x:c r="F765" s="6" t="n">
        <x:f>英雄升级调参!$C$112</x:f>
        <x:v>10</x:v>
      </x:c>
      <x:c r="G765" s="12">
        <x:f t="shared" si="69"/>
        <x:v>4451</x:v>
      </x:c>
      <x:c r="H765" s="12">
        <x:f t="shared" si="70"/>
        <x:v>69610</x:v>
      </x:c>
      <x:c r="I765" s="12">
        <x:f t="shared" si="66"/>
        <x:v>309834110</x:v>
      </x:c>
      <x:c r="J765" s="12">
        <x:f>ROUND(英雄升级调参!$D$112*英雄升级调参!$J$10*英雄升级调参!$E$22,0)</x:f>
        <x:v>119</x:v>
      </x:c>
      <x:c r="K765" s="12">
        <x:f>ROUND(英雄升级调参!$D$112*英雄升级调参!$C$11*英雄升级调参!$J$10*英雄升级调参!$G$22,0)</x:f>
        <x:v>1856</x:v>
      </x:c>
      <x:c r="L765" s="12" t="n">
        <x:f>养成消耗调参!$D$194</x:f>
        <x:v>1584</x:v>
      </x:c>
      <x:c r="M765" s="12" t="n">
        <x:f>养成消耗调参!$G$194</x:f>
        <x:v>11250</x:v>
      </x:c>
      <x:c r="N765" s="12" t="n">
        <x:f>养成消耗调参!$I$194</x:f>
        <x:v>0</x:v>
      </x:c>
      <x:c r="O765" s="12" t="n">
        <x:f>养成消耗调参!$K$194</x:f>
        <x:v>36504</x:v>
      </x:c>
      <x:c r="P765" s="12" t="n">
        <x:f>养成消耗调参!$N$194</x:f>
        <x:v>227250</x:v>
      </x:c>
      <x:c r="Q765" s="12" t="n">
        <x:f>养成消耗调参!$P$194</x:f>
        <x:v>810</x:v>
      </x:c>
      <x:c r="R765" s="13">
        <x:f>I765/英雄升级调参!$J$112-1</x:f>
        <x:v>-0.0033047842794525772</x:v>
      </x:c>
      <x:c r="S765" s="6"/>
      <x:c r="T765" s="6"/>
      <x:c r="U765" s="6"/>
    </x:row>
    <x:row r="766" ht="21" customHeight="1">
      <x:c r="A766" s="14" t="n">
        <x:f>英雄升级调参!$B$22</x:f>
        <x:v>310004</x:v>
      </x:c>
      <x:c r="B766" s="14" t="str">
        <x:f>英雄升级调参!$C$22</x:f>
        <x:v>龟尼克</x:v>
      </x:c>
      <x:c r="C766" s="6" t="str">
        <x:f>英雄升级调参!$D$22</x:f>
        <x:v>生存者</x:v>
      </x:c>
      <x:c r="D766" s="6" t="s">
        <x:v>22</x:v>
      </x:c>
      <x:c r="E766" s="6">
        <x:v>48</x:v>
      </x:c>
      <x:c r="F766" s="6" t="n">
        <x:f>英雄升级调参!$C$113</x:f>
        <x:v>10</x:v>
      </x:c>
      <x:c r="G766" s="12">
        <x:f t="shared" si="69"/>
        <x:v>4570</x:v>
      </x:c>
      <x:c r="H766" s="12">
        <x:f t="shared" si="70"/>
        <x:v>71466</x:v>
      </x:c>
      <x:c r="I766" s="12">
        <x:f t="shared" si="66"/>
        <x:v>326599620</x:v>
      </x:c>
      <x:c r="J766" s="12">
        <x:f>ROUND(英雄升级调参!$D$113*英雄升级调参!$J$10*英雄升级调参!$E$22,0)</x:f>
        <x:v>119</x:v>
      </x:c>
      <x:c r="K766" s="12">
        <x:f>ROUND(英雄升级调参!$D$113*英雄升级调参!$C$11*英雄升级调参!$J$10*英雄升级调参!$G$22,0)</x:f>
        <x:v>1856</x:v>
      </x:c>
      <x:c r="L766" s="12" t="n">
        <x:f>养成消耗调参!$D$195</x:f>
        <x:v>1656</x:v>
      </x:c>
      <x:c r="M766" s="12" t="n">
        <x:f>养成消耗调参!$G$195</x:f>
        <x:v>11250</x:v>
      </x:c>
      <x:c r="N766" s="12" t="n">
        <x:f>养成消耗调参!$I$195</x:f>
        <x:v>0</x:v>
      </x:c>
      <x:c r="O766" s="12" t="n">
        <x:f>养成消耗调参!$K$195</x:f>
        <x:v>38160</x:v>
      </x:c>
      <x:c r="P766" s="12" t="n">
        <x:f>养成消耗调参!$N$195</x:f>
        <x:v>238500</x:v>
      </x:c>
      <x:c r="Q766" s="12" t="n">
        <x:f>养成消耗调参!$P$195</x:f>
        <x:v>810</x:v>
      </x:c>
      <x:c r="R766" s="13">
        <x:f>I766/英雄升级调参!$J$113-1</x:f>
        <x:v>-0.0032659710028798417</x:v>
      </x:c>
      <x:c r="S766" s="6"/>
      <x:c r="T766" s="6"/>
      <x:c r="U766" s="6"/>
    </x:row>
    <x:row r="767" ht="21" customHeight="1">
      <x:c r="A767" s="14" t="n">
        <x:f>英雄升级调参!$B$22</x:f>
        <x:v>310004</x:v>
      </x:c>
      <x:c r="B767" s="14" t="str">
        <x:f>英雄升级调参!$C$22</x:f>
        <x:v>龟尼克</x:v>
      </x:c>
      <x:c r="C767" s="6" t="str">
        <x:f>英雄升级调参!$D$22</x:f>
        <x:v>生存者</x:v>
      </x:c>
      <x:c r="D767" s="6" t="s">
        <x:v>22</x:v>
      </x:c>
      <x:c r="E767" s="6">
        <x:v>49</x:v>
      </x:c>
      <x:c r="F767" s="6" t="n">
        <x:f>英雄升级调参!$C$114</x:f>
        <x:v>10</x:v>
      </x:c>
      <x:c r="G767" s="12">
        <x:f t="shared" si="69"/>
        <x:v>4689</x:v>
      </x:c>
      <x:c r="H767" s="12">
        <x:f t="shared" si="70"/>
        <x:v>73322</x:v>
      </x:c>
      <x:c r="I767" s="12">
        <x:f t="shared" si="66"/>
        <x:v>343806858</x:v>
      </x:c>
      <x:c r="J767" s="12">
        <x:f>ROUND(英雄升级调参!$D$114*英雄升级调参!$J$10*英雄升级调参!$E$22,0)</x:f>
        <x:v>119</x:v>
      </x:c>
      <x:c r="K767" s="12">
        <x:f>ROUND(英雄升级调参!$D$114*英雄升级调参!$C$11*英雄升级调参!$J$10*英雄升级调参!$G$22,0)</x:f>
        <x:v>1856</x:v>
      </x:c>
      <x:c r="L767" s="12" t="n">
        <x:f>养成消耗调参!$D$196</x:f>
        <x:v>1656</x:v>
      </x:c>
      <x:c r="M767" s="12" t="n">
        <x:f>养成消耗调参!$G$196</x:f>
        <x:v>11250</x:v>
      </x:c>
      <x:c r="N767" s="12" t="n">
        <x:f>养成消耗调参!$I$196</x:f>
        <x:v>0</x:v>
      </x:c>
      <x:c r="O767" s="12" t="n">
        <x:f>养成消耗调参!$K$196</x:f>
        <x:v>39816</x:v>
      </x:c>
      <x:c r="P767" s="12" t="n">
        <x:f>养成消耗调参!$N$196</x:f>
        <x:v>249750</x:v>
      </x:c>
      <x:c r="Q767" s="12" t="n">
        <x:f>养成消耗调参!$P$196</x:f>
        <x:v>810</x:v>
      </x:c>
      <x:c r="R767" s="13">
        <x:f>I767/英雄升级调参!$J$114-1</x:f>
        <x:v>-0.0032291253075164006</x:v>
      </x:c>
      <x:c r="S767" s="6"/>
      <x:c r="T767" s="6"/>
      <x:c r="U767" s="6"/>
    </x:row>
    <x:row r="768" ht="21" customHeight="1">
      <x:c r="A768" s="14" t="n">
        <x:f>英雄升级调参!$B$22</x:f>
        <x:v>310004</x:v>
      </x:c>
      <x:c r="B768" s="14" t="str">
        <x:f>英雄升级调参!$C$22</x:f>
        <x:v>龟尼克</x:v>
      </x:c>
      <x:c r="C768" s="6" t="str">
        <x:f>英雄升级调参!$D$22</x:f>
        <x:v>生存者</x:v>
      </x:c>
      <x:c r="D768" s="6" t="s">
        <x:v>22</x:v>
      </x:c>
      <x:c r="E768" s="6">
        <x:v>50</x:v>
      </x:c>
      <x:c r="F768" s="6" t="n">
        <x:f>英雄升级调参!$C$115</x:f>
        <x:v>10</x:v>
      </x:c>
      <x:c r="G768" s="12">
        <x:f t="shared" si="69"/>
        <x:v>5046</x:v>
      </x:c>
      <x:c r="H768" s="12">
        <x:f t="shared" si="70"/>
        <x:v>78890</x:v>
      </x:c>
      <x:c r="I768" s="12">
        <x:f t="shared" si="66"/>
        <x:v>398078940</x:v>
      </x:c>
      <x:c r="J768" s="12">
        <x:f>ROUND(英雄升级调参!$D$115*英雄升级调参!$J$10*英雄升级调参!$E$22,0)*3</x:f>
        <x:v>357</x:v>
      </x:c>
      <x:c r="K768" s="12">
        <x:f>ROUND(英雄升级调参!$D$115*英雄升级调参!$C$11*英雄升级调参!$J$10*英雄升级调参!$G$22,0)*3</x:f>
        <x:v>5568</x:v>
      </x:c>
      <x:c r="L768" s="12" t="n">
        <x:f>养成消耗调参!$D$197</x:f>
        <x:v>1728</x:v>
      </x:c>
      <x:c r="M768" s="12" t="n">
        <x:f>养成消耗调参!$G$197</x:f>
        <x:v>11250</x:v>
      </x:c>
      <x:c r="N768" s="12" t="n">
        <x:f>养成消耗调参!$I$197</x:f>
        <x:v>190</x:v>
      </x:c>
      <x:c r="O768" s="12" t="n">
        <x:f>养成消耗调参!$K$197</x:f>
        <x:v>41544</x:v>
      </x:c>
      <x:c r="P768" s="12" t="n">
        <x:f>养成消耗调参!$N$197</x:f>
        <x:v>261000</x:v>
      </x:c>
      <x:c r="Q768" s="12" t="n">
        <x:f>养成消耗调参!$P$197</x:f>
        <x:v>1000</x:v>
      </x:c>
      <x:c r="R768" s="13">
        <x:f>I768/英雄升级调参!$J$115-1</x:f>
        <x:v>-0.0031290032836128745</x:v>
      </x:c>
      <x:c r="S768" s="6"/>
      <x:c r="T768" s="6"/>
      <x:c r="U768" s="6"/>
    </x:row>
    <x:row r="769" ht="21" customHeight="1">
      <x:c r="A769" s="14" t="n">
        <x:f>英雄升级调参!$B$22</x:f>
        <x:v>310004</x:v>
      </x:c>
      <x:c r="B769" s="14" t="str">
        <x:f>英雄升级调参!$C$22</x:f>
        <x:v>龟尼克</x:v>
      </x:c>
      <x:c r="C769" s="6" t="str">
        <x:f>英雄升级调参!$D$22</x:f>
        <x:v>生存者</x:v>
      </x:c>
      <x:c r="D769" s="6" t="s">
        <x:v>25</x:v>
      </x:c>
      <x:c r="E769" s="6">
        <x:v>1</x:v>
      </x:c>
      <x:c r="F769" s="6" t="n">
        <x:f>英雄升级调参!$C$66</x:f>
        <x:v>1</x:v>
      </x:c>
      <x:c r="G769" s="12">
        <x:f>G678</x:f>
        <x:v>286</x:v>
      </x:c>
      <x:c r="H769" s="12">
        <x:f>H678</x:f>
        <x:v>4466</x:v>
      </x:c>
      <x:c r="I769" s="12">
        <x:f t="shared" si="66"/>
        <x:v>1277276</x:v>
      </x:c>
      <x:c r="J769" s="12" t="n">
        <x:f>0</x:f>
        <x:v>0</x:v>
      </x:c>
      <x:c r="K769" s="12" t="n">
        <x:f>0</x:f>
        <x:v>0</x:v>
      </x:c>
      <x:c r="L769" s="12" t="n">
        <x:f>养成消耗调参!$E$148</x:f>
        <x:v>0</x:v>
      </x:c>
      <x:c r="M769" s="12" t="n">
        <x:f>养成消耗调参!$H$148</x:f>
        <x:v>0</x:v>
      </x:c>
      <x:c r="N769" s="12" t="n">
        <x:f>养成消耗调参!$I$148</x:f>
        <x:v>0</x:v>
      </x:c>
      <x:c r="O769" s="12" t="n">
        <x:f>养成消耗调参!$L$148</x:f>
        <x:v>0</x:v>
      </x:c>
      <x:c r="P769" s="12" t="n">
        <x:f>养成消耗调参!$O$148</x:f>
        <x:v>0</x:v>
      </x:c>
      <x:c r="Q769" s="12" t="n">
        <x:f>养成消耗调参!$P$148</x:f>
        <x:v>0</x:v>
      </x:c>
      <x:c r="R769" s="13">
        <x:f>I769/英雄升级调参!$M$66-1</x:f>
        <x:v>0.0021859724281869664</x:v>
      </x:c>
      <x:c r="S769" s="6"/>
      <x:c r="T769" s="6"/>
      <x:c r="U769" s="6"/>
    </x:row>
    <x:row r="770" ht="21" customHeight="1">
      <x:c r="A770" s="14" t="n">
        <x:f>英雄升级调参!$B$22</x:f>
        <x:v>310004</x:v>
      </x:c>
      <x:c r="B770" s="14" t="str">
        <x:f>英雄升级调参!$C$22</x:f>
        <x:v>龟尼克</x:v>
      </x:c>
      <x:c r="C770" s="6" t="str">
        <x:f>英雄升级调参!$D$22</x:f>
        <x:v>生存者</x:v>
      </x:c>
      <x:c r="D770" s="6" t="s">
        <x:v>25</x:v>
      </x:c>
      <x:c r="E770" s="6">
        <x:v>2</x:v>
      </x:c>
      <x:c r="F770" s="6" t="n">
        <x:f>英雄升级调参!$C$67</x:f>
        <x:v>1</x:v>
      </x:c>
      <x:c r="G770" s="12">
        <x:f t="shared" ref="G770:G801" si="71">G769+J770</x:f>
        <x:v>322</x:v>
      </x:c>
      <x:c r="H770" s="12">
        <x:f t="shared" ref="H770:H801" si="72">H769+K770</x:f>
        <x:v>5029</x:v>
      </x:c>
      <x:c r="I770" s="12">
        <x:f t="shared" si="66"/>
        <x:v>1619338</x:v>
      </x:c>
      <x:c r="J770" s="12">
        <x:f>ROUND(英雄升级调参!$D$67*英雄升级调参!$J$11*英雄升级调参!$E$22,0)</x:f>
        <x:v>36</x:v>
      </x:c>
      <x:c r="K770" s="12">
        <x:f>ROUND(英雄升级调参!$D$67*英雄升级调参!$C$11*英雄升级调参!$J$11*英雄升级调参!$G$22,0)</x:f>
        <x:v>563</x:v>
      </x:c>
      <x:c r="L770" s="12" t="n">
        <x:f>养成消耗调参!$E$149</x:f>
        <x:v>48</x:v>
      </x:c>
      <x:c r="M770" s="12" t="n">
        <x:f>养成消耗调参!$H$149</x:f>
        <x:v>600</x:v>
      </x:c>
      <x:c r="N770" s="12" t="n">
        <x:f>养成消耗调参!$I$149</x:f>
        <x:v>0</x:v>
      </x:c>
      <x:c r="O770" s="12" t="n">
        <x:f>养成消耗调参!$L$149</x:f>
        <x:v>48</x:v>
      </x:c>
      <x:c r="P770" s="12" t="n">
        <x:f>养成消耗调参!$O$149</x:f>
        <x:v>600</x:v>
      </x:c>
      <x:c r="Q770" s="12" t="n">
        <x:f>养成消耗调参!$P$149</x:f>
        <x:v>0</x:v>
      </x:c>
      <x:c r="R770" s="13">
        <x:f>I770/英雄升级调参!$M$67-1</x:f>
        <x:v>0.002040791069527925</x:v>
      </x:c>
      <x:c r="S770" s="6"/>
      <x:c r="T770" s="6"/>
      <x:c r="U770" s="6"/>
    </x:row>
    <x:row r="771" ht="21" customHeight="1">
      <x:c r="A771" s="14" t="n">
        <x:f>英雄升级调参!$B$22</x:f>
        <x:v>310004</x:v>
      </x:c>
      <x:c r="B771" s="14" t="str">
        <x:f>英雄升级调参!$C$22</x:f>
        <x:v>龟尼克</x:v>
      </x:c>
      <x:c r="C771" s="6" t="str">
        <x:f>英雄升级调参!$D$22</x:f>
        <x:v>生存者</x:v>
      </x:c>
      <x:c r="D771" s="6" t="s">
        <x:v>25</x:v>
      </x:c>
      <x:c r="E771" s="6">
        <x:v>3</x:v>
      </x:c>
      <x:c r="F771" s="6" t="n">
        <x:f>英雄升级调参!$C$68</x:f>
        <x:v>1</x:v>
      </x:c>
      <x:c r="G771" s="12">
        <x:f t="shared" si="71"/>
        <x:v>358</x:v>
      </x:c>
      <x:c r="H771" s="12">
        <x:f t="shared" si="72"/>
        <x:v>5592</x:v>
      </x:c>
      <x:c r="I771" s="12">
        <x:f t="shared" si="66"/>
        <x:v>2001936</x:v>
      </x:c>
      <x:c r="J771" s="12">
        <x:f>ROUND(英雄升级调参!$D$68*英雄升级调参!$J$11*英雄升级调参!$E$22,0)</x:f>
        <x:v>36</x:v>
      </x:c>
      <x:c r="K771" s="12">
        <x:f>ROUND(英雄升级调参!$D$68*英雄升级调参!$C$11*英雄升级调参!$J$11*英雄升级调参!$G$22,0)</x:f>
        <x:v>563</x:v>
      </x:c>
      <x:c r="L771" s="12" t="n">
        <x:f>养成消耗调参!$E$150</x:f>
        <x:v>48</x:v>
      </x:c>
      <x:c r="M771" s="12" t="n">
        <x:f>养成消耗调参!$H$150</x:f>
        <x:v>600</x:v>
      </x:c>
      <x:c r="N771" s="12" t="n">
        <x:f>养成消耗调参!$I$150</x:f>
        <x:v>0</x:v>
      </x:c>
      <x:c r="O771" s="12" t="n">
        <x:f>养成消耗调参!$L$150</x:f>
        <x:v>96</x:v>
      </x:c>
      <x:c r="P771" s="12" t="n">
        <x:f>养成消耗调参!$O$150</x:f>
        <x:v>1200</x:v>
      </x:c>
      <x:c r="Q771" s="12" t="n">
        <x:f>养成消耗调参!$P$150</x:f>
        <x:v>0</x:v>
      </x:c>
      <x:c r="R771" s="13">
        <x:f>I771/英雄升级调参!$M$68-1</x:f>
        <x:v>0.001924838220500602</x:v>
      </x:c>
      <x:c r="S771" s="6"/>
      <x:c r="T771" s="6"/>
      <x:c r="U771" s="6"/>
    </x:row>
    <x:row r="772" ht="21" customHeight="1">
      <x:c r="A772" s="14" t="n">
        <x:f>英雄升级调参!$B$22</x:f>
        <x:v>310004</x:v>
      </x:c>
      <x:c r="B772" s="14" t="str">
        <x:f>英雄升级调参!$C$22</x:f>
        <x:v>龟尼克</x:v>
      </x:c>
      <x:c r="C772" s="6" t="str">
        <x:f>英雄升级调参!$D$22</x:f>
        <x:v>生存者</x:v>
      </x:c>
      <x:c r="D772" s="6" t="s">
        <x:v>25</x:v>
      </x:c>
      <x:c r="E772" s="6">
        <x:v>4</x:v>
      </x:c>
      <x:c r="F772" s="6" t="n">
        <x:f>英雄升级调参!$C$69</x:f>
        <x:v>1</x:v>
      </x:c>
      <x:c r="G772" s="12">
        <x:f t="shared" si="71"/>
        <x:v>394</x:v>
      </x:c>
      <x:c r="H772" s="12">
        <x:f t="shared" si="72"/>
        <x:v>6155</x:v>
      </x:c>
      <x:c r="I772" s="12">
        <x:f t="shared" si="66"/>
        <x:v>2425070</x:v>
      </x:c>
      <x:c r="J772" s="12">
        <x:f>ROUND(英雄升级调参!$D$69*英雄升级调参!$J$11*英雄升级调参!$E$22,0)</x:f>
        <x:v>36</x:v>
      </x:c>
      <x:c r="K772" s="12">
        <x:f>ROUND(英雄升级调参!$D$69*英雄升级调参!$C$11*英雄升级调参!$J$11*英雄升级调参!$G$22,0)</x:f>
        <x:v>563</x:v>
      </x:c>
      <x:c r="L772" s="12" t="n">
        <x:f>养成消耗调参!$E$151</x:f>
        <x:v>96</x:v>
      </x:c>
      <x:c r="M772" s="12" t="n">
        <x:f>养成消耗调参!$H$151</x:f>
        <x:v>600</x:v>
      </x:c>
      <x:c r="N772" s="12" t="n">
        <x:f>养成消耗调参!$I$151</x:f>
        <x:v>0</x:v>
      </x:c>
      <x:c r="O772" s="12" t="n">
        <x:f>养成消耗调参!$L$151</x:f>
        <x:v>192</x:v>
      </x:c>
      <x:c r="P772" s="12" t="n">
        <x:f>养成消耗调参!$O$151</x:f>
        <x:v>1800</x:v>
      </x:c>
      <x:c r="Q772" s="12" t="n">
        <x:f>养成消耗调参!$P$151</x:f>
        <x:v>0</x:v>
      </x:c>
      <x:c r="R772" s="13">
        <x:f>I772/英雄升级调参!$M$69-1</x:f>
        <x:v>0.0018300945204574592</x:v>
      </x:c>
      <x:c r="S772" s="6"/>
      <x:c r="T772" s="6"/>
      <x:c r="U772" s="6"/>
    </x:row>
    <x:row r="773" ht="21" customHeight="1">
      <x:c r="A773" s="14" t="n">
        <x:f>英雄升级调参!$B$22</x:f>
        <x:v>310004</x:v>
      </x:c>
      <x:c r="B773" s="14" t="str">
        <x:f>英雄升级调参!$C$22</x:f>
        <x:v>龟尼克</x:v>
      </x:c>
      <x:c r="C773" s="6" t="str">
        <x:f>英雄升级调参!$D$22</x:f>
        <x:v>生存者</x:v>
      </x:c>
      <x:c r="D773" s="6" t="s">
        <x:v>25</x:v>
      </x:c>
      <x:c r="E773" s="6">
        <x:v>5</x:v>
      </x:c>
      <x:c r="F773" s="6" t="n">
        <x:f>英雄升级调参!$C$70</x:f>
        <x:v>1</x:v>
      </x:c>
      <x:c r="G773" s="12">
        <x:f t="shared" si="71"/>
        <x:v>502</x:v>
      </x:c>
      <x:c r="H773" s="12">
        <x:f t="shared" si="72"/>
        <x:v>7844</x:v>
      </x:c>
      <x:c r="I773" s="12">
        <x:f t="shared" ref="I773:I836" si="73">G773*H773</x:f>
        <x:v>3937688</x:v>
      </x:c>
      <x:c r="J773" s="12">
        <x:f>ROUND(英雄升级调参!$D$70*英雄升级调参!$J$11*英雄升级调参!$E$22,0)*3</x:f>
        <x:v>108</x:v>
      </x:c>
      <x:c r="K773" s="12">
        <x:f>ROUND(英雄升级调参!$D$70*英雄升级调参!$C$11*英雄升级调参!$J$11*英雄升级调参!$G$22,0)*3</x:f>
        <x:v>1689</x:v>
      </x:c>
      <x:c r="L773" s="12" t="n">
        <x:f>养成消耗调参!$E$152</x:f>
        <x:v>96</x:v>
      </x:c>
      <x:c r="M773" s="12" t="n">
        <x:f>养成消耗调参!$H$152</x:f>
        <x:v>600</x:v>
      </x:c>
      <x:c r="N773" s="12" t="n">
        <x:f>养成消耗调参!$I$152</x:f>
        <x:v>10</x:v>
      </x:c>
      <x:c r="O773" s="12" t="n">
        <x:f>养成消耗调参!$L$152</x:f>
        <x:v>288</x:v>
      </x:c>
      <x:c r="P773" s="12" t="n">
        <x:f>养成消耗调参!$O$152</x:f>
        <x:v>2400</x:v>
      </x:c>
      <x:c r="Q773" s="12" t="n">
        <x:f>养成消耗调参!$P$152</x:f>
        <x:v>10</x:v>
      </x:c>
      <x:c r="R773" s="13">
        <x:f>I773/英雄升级调参!$M$70-1</x:f>
        <x:v>0.0016274556188935474</x:v>
      </x:c>
      <x:c r="S773" s="6"/>
      <x:c r="T773" s="6"/>
      <x:c r="U773" s="6"/>
    </x:row>
    <x:row r="774" ht="21" customHeight="1">
      <x:c r="A774" s="14" t="n">
        <x:f>英雄升级调参!$B$22</x:f>
        <x:v>310004</x:v>
      </x:c>
      <x:c r="B774" s="14" t="str">
        <x:f>英雄升级调参!$C$22</x:f>
        <x:v>龟尼克</x:v>
      </x:c>
      <x:c r="C774" s="6" t="str">
        <x:f>英雄升级调参!$D$22</x:f>
        <x:v>生存者</x:v>
      </x:c>
      <x:c r="D774" s="6" t="s">
        <x:v>25</x:v>
      </x:c>
      <x:c r="E774" s="6">
        <x:v>6</x:v>
      </x:c>
      <x:c r="F774" s="6" t="n">
        <x:f>英雄升级调参!$C$71</x:f>
        <x:v>2</x:v>
      </x:c>
      <x:c r="G774" s="12">
        <x:f t="shared" si="71"/>
        <x:v>556</x:v>
      </x:c>
      <x:c r="H774" s="12">
        <x:f t="shared" si="72"/>
        <x:v>8688</x:v>
      </x:c>
      <x:c r="I774" s="12">
        <x:f t="shared" si="73"/>
        <x:v>4830528</x:v>
      </x:c>
      <x:c r="J774" s="12">
        <x:f>ROUND(英雄升级调参!$D$71*英雄升级调参!$J$11*英雄升级调参!$E$22,0)</x:f>
        <x:v>54</x:v>
      </x:c>
      <x:c r="K774" s="12">
        <x:f>ROUND(英雄升级调参!$D$71*英雄升级调参!$C$11*英雄升级调参!$J$11*英雄升级调参!$G$22,0)</x:f>
        <x:v>844</x:v>
      </x:c>
      <x:c r="L774" s="12" t="n">
        <x:f>养成消耗调参!$E$153</x:f>
        <x:v>192</x:v>
      </x:c>
      <x:c r="M774" s="12" t="n">
        <x:f>养成消耗调参!$H$153</x:f>
        <x:v>600</x:v>
      </x:c>
      <x:c r="N774" s="12" t="n">
        <x:f>养成消耗调参!$I$153</x:f>
        <x:v>0</x:v>
      </x:c>
      <x:c r="O774" s="12" t="n">
        <x:f>养成消耗调参!$L$153</x:f>
        <x:v>480</x:v>
      </x:c>
      <x:c r="P774" s="12" t="n">
        <x:f>养成消耗调参!$O$153</x:f>
        <x:v>3000</x:v>
      </x:c>
      <x:c r="Q774" s="12" t="n">
        <x:f>养成消耗调参!$P$153</x:f>
        <x:v>10</x:v>
      </x:c>
      <x:c r="R774" s="13">
        <x:f>I774/英雄升级调参!$M$71-1</x:f>
        <x:v>0.0007775377969763131</x:v>
      </x:c>
      <x:c r="S774" s="6"/>
      <x:c r="T774" s="6"/>
      <x:c r="U774" s="6"/>
    </x:row>
    <x:row r="775" ht="21" customHeight="1">
      <x:c r="A775" s="14" t="n">
        <x:f>英雄升级调参!$B$22</x:f>
        <x:v>310004</x:v>
      </x:c>
      <x:c r="B775" s="14" t="str">
        <x:f>英雄升级调参!$C$22</x:f>
        <x:v>龟尼克</x:v>
      </x:c>
      <x:c r="C775" s="6" t="str">
        <x:f>英雄升级调参!$D$22</x:f>
        <x:v>生存者</x:v>
      </x:c>
      <x:c r="D775" s="6" t="s">
        <x:v>25</x:v>
      </x:c>
      <x:c r="E775" s="6">
        <x:v>7</x:v>
      </x:c>
      <x:c r="F775" s="6" t="n">
        <x:f>英雄升级调参!$C$72</x:f>
        <x:v>2</x:v>
      </x:c>
      <x:c r="G775" s="12">
        <x:f t="shared" si="71"/>
        <x:v>610</x:v>
      </x:c>
      <x:c r="H775" s="12">
        <x:f t="shared" si="72"/>
        <x:v>9532</x:v>
      </x:c>
      <x:c r="I775" s="12">
        <x:f t="shared" si="73"/>
        <x:v>5814520</x:v>
      </x:c>
      <x:c r="J775" s="12">
        <x:f>ROUND(英雄升级调参!$D$72*英雄升级调参!$J$11*英雄升级调参!$E$22,0)</x:f>
        <x:v>54</x:v>
      </x:c>
      <x:c r="K775" s="12">
        <x:f>ROUND(英雄升级调参!$D$72*英雄升级调参!$C$11*英雄升级调参!$J$11*英雄升级调参!$G$22,0)</x:f>
        <x:v>844</x:v>
      </x:c>
      <x:c r="L775" s="12" t="n">
        <x:f>养成消耗调参!$E$154</x:f>
        <x:v>192</x:v>
      </x:c>
      <x:c r="M775" s="12" t="n">
        <x:f>养成消耗调参!$H$154</x:f>
        <x:v>1800</x:v>
      </x:c>
      <x:c r="N775" s="12" t="n">
        <x:f>养成消耗调参!$I$154</x:f>
        <x:v>0</x:v>
      </x:c>
      <x:c r="O775" s="12" t="n">
        <x:f>养成消耗调参!$L$154</x:f>
        <x:v>672</x:v>
      </x:c>
      <x:c r="P775" s="12" t="n">
        <x:f>养成消耗调参!$O$154</x:f>
        <x:v>4800</x:v>
      </x:c>
      <x:c r="Q775" s="12" t="n">
        <x:f>养成消耗调参!$P$154</x:f>
        <x:v>10</x:v>
      </x:c>
      <x:c r="R775" s="13">
        <x:f>I775/英雄升级调参!$M$72-1</x:f>
        <x:v>7.911855054820727e-05</x:v>
      </x:c>
      <x:c r="S775" s="6"/>
      <x:c r="T775" s="6"/>
      <x:c r="U775" s="6"/>
    </x:row>
    <x:row r="776" ht="21" customHeight="1">
      <x:c r="A776" s="14" t="n">
        <x:f>英雄升级调参!$B$22</x:f>
        <x:v>310004</x:v>
      </x:c>
      <x:c r="B776" s="14" t="str">
        <x:f>英雄升级调参!$C$22</x:f>
        <x:v>龟尼克</x:v>
      </x:c>
      <x:c r="C776" s="6" t="str">
        <x:f>英雄升级调参!$D$22</x:f>
        <x:v>生存者</x:v>
      </x:c>
      <x:c r="D776" s="6" t="s">
        <x:v>25</x:v>
      </x:c>
      <x:c r="E776" s="6">
        <x:v>8</x:v>
      </x:c>
      <x:c r="F776" s="6" t="n">
        <x:f>英雄升级调参!$C$73</x:f>
        <x:v>2</x:v>
      </x:c>
      <x:c r="G776" s="12">
        <x:f t="shared" si="71"/>
        <x:v>664</x:v>
      </x:c>
      <x:c r="H776" s="12">
        <x:f t="shared" si="72"/>
        <x:v>10376</x:v>
      </x:c>
      <x:c r="I776" s="12">
        <x:f t="shared" si="73"/>
        <x:v>6889664</x:v>
      </x:c>
      <x:c r="J776" s="12">
        <x:f>ROUND(英雄升级调参!$D$73*英雄升级调参!$J$11*英雄升级调参!$E$22,0)</x:f>
        <x:v>54</x:v>
      </x:c>
      <x:c r="K776" s="12">
        <x:f>ROUND(英雄升级调参!$D$73*英雄升级调参!$C$11*英雄升级调参!$J$11*英雄升级调参!$G$22,0)</x:f>
        <x:v>844</x:v>
      </x:c>
      <x:c r="L776" s="12" t="n">
        <x:f>养成消耗调参!$E$155</x:f>
        <x:v>288</x:v>
      </x:c>
      <x:c r="M776" s="12" t="n">
        <x:f>养成消耗调参!$H$155</x:f>
        <x:v>1800</x:v>
      </x:c>
      <x:c r="N776" s="12" t="n">
        <x:f>养成消耗调参!$I$155</x:f>
        <x:v>0</x:v>
      </x:c>
      <x:c r="O776" s="12" t="n">
        <x:f>养成消耗调参!$L$155</x:f>
        <x:v>960</x:v>
      </x:c>
      <x:c r="P776" s="12" t="n">
        <x:f>养成消耗调参!$O$155</x:f>
        <x:v>6600</x:v>
      </x:c>
      <x:c r="Q776" s="12" t="n">
        <x:f>养成消耗调参!$P$155</x:f>
        <x:v>10</x:v>
      </x:c>
      <x:c r="R776" s="13">
        <x:f>I776/英雄升级调参!$M$73-1</x:f>
        <x:v>-0.0005049944546356988</x:v>
      </x:c>
      <x:c r="S776" s="6"/>
      <x:c r="T776" s="6"/>
      <x:c r="U776" s="6"/>
    </x:row>
    <x:row r="777" ht="21" customHeight="1">
      <x:c r="A777" s="14" t="n">
        <x:f>英雄升级调参!$B$22</x:f>
        <x:v>310004</x:v>
      </x:c>
      <x:c r="B777" s="14" t="str">
        <x:f>英雄升级调参!$C$22</x:f>
        <x:v>龟尼克</x:v>
      </x:c>
      <x:c r="C777" s="6" t="str">
        <x:f>英雄升级调参!$D$22</x:f>
        <x:v>生存者</x:v>
      </x:c>
      <x:c r="D777" s="6" t="s">
        <x:v>25</x:v>
      </x:c>
      <x:c r="E777" s="6">
        <x:v>9</x:v>
      </x:c>
      <x:c r="F777" s="6" t="n">
        <x:f>英雄升级调参!$C$74</x:f>
        <x:v>2</x:v>
      </x:c>
      <x:c r="G777" s="12">
        <x:f t="shared" si="71"/>
        <x:v>718</x:v>
      </x:c>
      <x:c r="H777" s="12">
        <x:f t="shared" si="72"/>
        <x:v>11220</x:v>
      </x:c>
      <x:c r="I777" s="12">
        <x:f t="shared" si="73"/>
        <x:v>8055960</x:v>
      </x:c>
      <x:c r="J777" s="12">
        <x:f>ROUND(英雄升级调参!$D$74*英雄升级调参!$J$11*英雄升级调参!$E$22,0)</x:f>
        <x:v>54</x:v>
      </x:c>
      <x:c r="K777" s="12">
        <x:f>ROUND(英雄升级调参!$D$74*英雄升级调参!$C$11*英雄升级调参!$J$11*英雄升级调参!$G$22,0)</x:f>
        <x:v>844</x:v>
      </x:c>
      <x:c r="L777" s="12" t="n">
        <x:f>养成消耗调参!$E$156</x:f>
        <x:v>288</x:v>
      </x:c>
      <x:c r="M777" s="12" t="n">
        <x:f>养成消耗调参!$H$156</x:f>
        <x:v>1800</x:v>
      </x:c>
      <x:c r="N777" s="12" t="n">
        <x:f>养成消耗调参!$I$156</x:f>
        <x:v>0</x:v>
      </x:c>
      <x:c r="O777" s="12" t="n">
        <x:f>养成消耗调参!$L$156</x:f>
        <x:v>1248</x:v>
      </x:c>
      <x:c r="P777" s="12" t="n">
        <x:f>养成消耗调参!$O$156</x:f>
        <x:v>8400</x:v>
      </x:c>
      <x:c r="Q777" s="12" t="n">
        <x:f>养成消耗调参!$P$156</x:f>
        <x:v>10</x:v>
      </x:c>
      <x:c r="R777" s="13">
        <x:f>I777/英雄升级调参!$M$74-1</x:f>
        <x:v>-0.0010007403246267144</x:v>
      </x:c>
      <x:c r="S777" s="6"/>
      <x:c r="T777" s="6"/>
      <x:c r="U777" s="6"/>
    </x:row>
    <x:row r="778" ht="21" customHeight="1">
      <x:c r="A778" s="14" t="n">
        <x:f>英雄升级调参!$B$22</x:f>
        <x:v>310004</x:v>
      </x:c>
      <x:c r="B778" s="14" t="str">
        <x:f>英雄升级调参!$C$22</x:f>
        <x:v>龟尼克</x:v>
      </x:c>
      <x:c r="C778" s="6" t="str">
        <x:f>英雄升级调参!$D$22</x:f>
        <x:v>生存者</x:v>
      </x:c>
      <x:c r="D778" s="6" t="s">
        <x:v>25</x:v>
      </x:c>
      <x:c r="E778" s="6">
        <x:v>10</x:v>
      </x:c>
      <x:c r="F778" s="6" t="n">
        <x:f>英雄升级调参!$C$75</x:f>
        <x:v>2</x:v>
      </x:c>
      <x:c r="G778" s="12">
        <x:f t="shared" si="71"/>
        <x:v>880</x:v>
      </x:c>
      <x:c r="H778" s="12">
        <x:f t="shared" si="72"/>
        <x:v>13752</x:v>
      </x:c>
      <x:c r="I778" s="12">
        <x:f t="shared" si="73"/>
        <x:v>12101760</x:v>
      </x:c>
      <x:c r="J778" s="12">
        <x:f>ROUND(英雄升级调参!$D$75*英雄升级调参!$J$11*英雄升级调参!$E$22,0)*3</x:f>
        <x:v>162</x:v>
      </x:c>
      <x:c r="K778" s="12">
        <x:f>ROUND(英雄升级调参!$D$75*英雄升级调参!$C$11*英雄升级调参!$J$11*英雄升级调参!$G$22,0)*3</x:f>
        <x:v>2532</x:v>
      </x:c>
      <x:c r="L778" s="12" t="n">
        <x:f>养成消耗调参!$E$157</x:f>
        <x:v>384</x:v>
      </x:c>
      <x:c r="M778" s="12" t="n">
        <x:f>养成消耗调参!$H$157</x:f>
        <x:v>1800</x:v>
      </x:c>
      <x:c r="N778" s="12" t="n">
        <x:f>养成消耗调参!$I$157</x:f>
        <x:v>30</x:v>
      </x:c>
      <x:c r="O778" s="12" t="n">
        <x:f>养成消耗调参!$L$157</x:f>
        <x:v>1632</x:v>
      </x:c>
      <x:c r="P778" s="12" t="n">
        <x:f>养成消耗调参!$O$157</x:f>
        <x:v>10200</x:v>
      </x:c>
      <x:c r="Q778" s="12" t="n">
        <x:f>养成消耗调参!$P$157</x:f>
        <x:v>40</x:v>
      </x:c>
      <x:c r="R778" s="13">
        <x:f>I778/英雄升级调参!$M$75-1</x:f>
        <x:v>-0.0021212147448543828</x:v>
      </x:c>
      <x:c r="S778" s="6"/>
      <x:c r="T778" s="6"/>
      <x:c r="U778" s="6"/>
    </x:row>
    <x:row r="779" ht="21" customHeight="1">
      <x:c r="A779" s="14" t="n">
        <x:f>英雄升级调参!$B$22</x:f>
        <x:v>310004</x:v>
      </x:c>
      <x:c r="B779" s="14" t="str">
        <x:f>英雄升级调参!$C$22</x:f>
        <x:v>龟尼克</x:v>
      </x:c>
      <x:c r="C779" s="6" t="str">
        <x:f>英雄升级调参!$D$22</x:f>
        <x:v>生存者</x:v>
      </x:c>
      <x:c r="D779" s="6" t="s">
        <x:v>25</x:v>
      </x:c>
      <x:c r="E779" s="6">
        <x:v>11</x:v>
      </x:c>
      <x:c r="F779" s="6" t="n">
        <x:f>英雄升级调参!$C$76</x:f>
        <x:v>3</x:v>
      </x:c>
      <x:c r="G779" s="12">
        <x:f t="shared" si="71"/>
        <x:v>952</x:v>
      </x:c>
      <x:c r="H779" s="12">
        <x:f t="shared" si="72"/>
        <x:v>14877</x:v>
      </x:c>
      <x:c r="I779" s="12">
        <x:f t="shared" si="73"/>
        <x:v>14162904</x:v>
      </x:c>
      <x:c r="J779" s="12">
        <x:f>ROUND(英雄升级调参!$D$76*英雄升级调参!$J$11*英雄升级调参!$E$22,0)</x:f>
        <x:v>72</x:v>
      </x:c>
      <x:c r="K779" s="12">
        <x:f>ROUND(英雄升级调参!$D$76*英雄升级调参!$C$11*英雄升级调参!$J$11*英雄升级调参!$G$22,0)</x:f>
        <x:v>1125</x:v>
      </x:c>
      <x:c r="L779" s="12" t="n">
        <x:f>养成消耗调参!$E$158</x:f>
        <x:v>384</x:v>
      </x:c>
      <x:c r="M779" s="12" t="n">
        <x:f>养成消耗调参!$H$158</x:f>
        <x:v>1800</x:v>
      </x:c>
      <x:c r="N779" s="12" t="n">
        <x:f>养成消耗调参!$I$158</x:f>
        <x:v>0</x:v>
      </x:c>
      <x:c r="O779" s="12" t="n">
        <x:f>养成消耗调参!$L$158</x:f>
        <x:v>2016</x:v>
      </x:c>
      <x:c r="P779" s="12" t="n">
        <x:f>养成消耗调参!$O$158</x:f>
        <x:v>12000</x:v>
      </x:c>
      <x:c r="Q779" s="12" t="n">
        <x:f>养成消耗调参!$P$158</x:f>
        <x:v>40</x:v>
      </x:c>
      <x:c r="R779" s="13">
        <x:f>I779/英雄升级调参!$M$76-1</x:f>
        <x:v>-0.001961209197409386</x:v>
      </x:c>
      <x:c r="S779" s="6"/>
      <x:c r="T779" s="6"/>
      <x:c r="U779" s="6"/>
    </x:row>
    <x:row r="780" ht="21" customHeight="1">
      <x:c r="A780" s="14" t="n">
        <x:f>英雄升级调参!$B$22</x:f>
        <x:v>310004</x:v>
      </x:c>
      <x:c r="B780" s="14" t="str">
        <x:f>英雄升级调参!$C$22</x:f>
        <x:v>龟尼克</x:v>
      </x:c>
      <x:c r="C780" s="6" t="str">
        <x:f>英雄升级调参!$D$22</x:f>
        <x:v>生存者</x:v>
      </x:c>
      <x:c r="D780" s="6" t="s">
        <x:v>25</x:v>
      </x:c>
      <x:c r="E780" s="6">
        <x:v>12</x:v>
      </x:c>
      <x:c r="F780" s="6" t="n">
        <x:f>英雄升级调参!$C$77</x:f>
        <x:v>3</x:v>
      </x:c>
      <x:c r="G780" s="12">
        <x:f t="shared" si="71"/>
        <x:v>1024</x:v>
      </x:c>
      <x:c r="H780" s="12">
        <x:f t="shared" si="72"/>
        <x:v>16002</x:v>
      </x:c>
      <x:c r="I780" s="12">
        <x:f t="shared" si="73"/>
        <x:v>16386048</x:v>
      </x:c>
      <x:c r="J780" s="12">
        <x:f>ROUND(英雄升级调参!$D$77*英雄升级调参!$J$11*英雄升级调参!$E$22,0)</x:f>
        <x:v>72</x:v>
      </x:c>
      <x:c r="K780" s="12">
        <x:f>ROUND(英雄升级调参!$D$77*英雄升级调参!$C$11*英雄升级调参!$J$11*英雄升级调参!$G$22,0)</x:f>
        <x:v>1125</x:v>
      </x:c>
      <x:c r="L780" s="12" t="n">
        <x:f>养成消耗调参!$E$159</x:f>
        <x:v>480</x:v>
      </x:c>
      <x:c r="M780" s="12" t="n">
        <x:f>养成消耗调参!$H$159</x:f>
        <x:v>3000</x:v>
      </x:c>
      <x:c r="N780" s="12" t="n">
        <x:f>养成消耗调参!$I$159</x:f>
        <x:v>0</x:v>
      </x:c>
      <x:c r="O780" s="12" t="n">
        <x:f>养成消耗调参!$L$159</x:f>
        <x:v>2496</x:v>
      </x:c>
      <x:c r="P780" s="12" t="n">
        <x:f>养成消耗调参!$O$159</x:f>
        <x:v>15000</x:v>
      </x:c>
      <x:c r="Q780" s="12" t="n">
        <x:f>养成消耗调参!$P$159</x:f>
        <x:v>40</x:v>
      </x:c>
      <x:c r="R780" s="13">
        <x:f>I780/英雄升级调参!$M$77-1</x:f>
        <x:v>-0.0018236493271649445</x:v>
      </x:c>
      <x:c r="S780" s="6"/>
      <x:c r="T780" s="6"/>
      <x:c r="U780" s="6"/>
    </x:row>
    <x:row r="781" ht="21" customHeight="1">
      <x:c r="A781" s="14" t="n">
        <x:f>英雄升级调参!$B$22</x:f>
        <x:v>310004</x:v>
      </x:c>
      <x:c r="B781" s="14" t="str">
        <x:f>英雄升级调参!$C$22</x:f>
        <x:v>龟尼克</x:v>
      </x:c>
      <x:c r="C781" s="6" t="str">
        <x:f>英雄升级调参!$D$22</x:f>
        <x:v>生存者</x:v>
      </x:c>
      <x:c r="D781" s="6" t="s">
        <x:v>25</x:v>
      </x:c>
      <x:c r="E781" s="6">
        <x:v>13</x:v>
      </x:c>
      <x:c r="F781" s="6" t="n">
        <x:f>英雄升级调参!$C$78</x:f>
        <x:v>3</x:v>
      </x:c>
      <x:c r="G781" s="12">
        <x:f t="shared" si="71"/>
        <x:v>1096</x:v>
      </x:c>
      <x:c r="H781" s="12">
        <x:f t="shared" si="72"/>
        <x:v>17127</x:v>
      </x:c>
      <x:c r="I781" s="12">
        <x:f t="shared" si="73"/>
        <x:v>18771192</x:v>
      </x:c>
      <x:c r="J781" s="12">
        <x:f>ROUND(英雄升级调参!$D$78*英雄升级调参!$J$11*英雄升级调参!$E$22,0)</x:f>
        <x:v>72</x:v>
      </x:c>
      <x:c r="K781" s="12">
        <x:f>ROUND(英雄升级调参!$D$78*英雄升级调参!$C$11*英雄升级调参!$J$11*英雄升级调参!$G$22,0)</x:f>
        <x:v>1125</x:v>
      </x:c>
      <x:c r="L781" s="12" t="n">
        <x:f>养成消耗调参!$E$160</x:f>
        <x:v>480</x:v>
      </x:c>
      <x:c r="M781" s="12" t="n">
        <x:f>养成消耗调参!$H$160</x:f>
        <x:v>3000</x:v>
      </x:c>
      <x:c r="N781" s="12" t="n">
        <x:f>养成消耗调参!$I$160</x:f>
        <x:v>0</x:v>
      </x:c>
      <x:c r="O781" s="12" t="n">
        <x:f>养成消耗调参!$L$160</x:f>
        <x:v>2976</x:v>
      </x:c>
      <x:c r="P781" s="12" t="n">
        <x:f>养成消耗调参!$O$160</x:f>
        <x:v>18000</x:v>
      </x:c>
      <x:c r="Q781" s="12" t="n">
        <x:f>养成消耗调参!$P$160</x:f>
        <x:v>40</x:v>
      </x:c>
      <x:c r="R781" s="13">
        <x:f>I781/英雄升级调参!$M$78-1</x:f>
        <x:v>-0.0017041216577892149</x:v>
      </x:c>
      <x:c r="S781" s="6"/>
      <x:c r="T781" s="6"/>
      <x:c r="U781" s="6"/>
    </x:row>
    <x:row r="782" ht="21" customHeight="1">
      <x:c r="A782" s="14" t="n">
        <x:f>英雄升级调参!$B$22</x:f>
        <x:v>310004</x:v>
      </x:c>
      <x:c r="B782" s="14" t="str">
        <x:f>英雄升级调参!$C$22</x:f>
        <x:v>龟尼克</x:v>
      </x:c>
      <x:c r="C782" s="6" t="str">
        <x:f>英雄升级调参!$D$22</x:f>
        <x:v>生存者</x:v>
      </x:c>
      <x:c r="D782" s="6" t="s">
        <x:v>25</x:v>
      </x:c>
      <x:c r="E782" s="6">
        <x:v>14</x:v>
      </x:c>
      <x:c r="F782" s="6" t="n">
        <x:f>英雄升级调参!$C$79</x:f>
        <x:v>3</x:v>
      </x:c>
      <x:c r="G782" s="12">
        <x:f t="shared" si="71"/>
        <x:v>1168</x:v>
      </x:c>
      <x:c r="H782" s="12">
        <x:f t="shared" si="72"/>
        <x:v>18252</x:v>
      </x:c>
      <x:c r="I782" s="12">
        <x:f t="shared" si="73"/>
        <x:v>21318336</x:v>
      </x:c>
      <x:c r="J782" s="12">
        <x:f>ROUND(英雄升级调参!$D$79*英雄升级调参!$J$11*英雄升级调参!$E$22,0)</x:f>
        <x:v>72</x:v>
      </x:c>
      <x:c r="K782" s="12">
        <x:f>ROUND(英雄升级调参!$D$79*英雄升级调参!$C$11*英雄升级调参!$J$11*英雄升级调参!$G$22,0)</x:f>
        <x:v>1125</x:v>
      </x:c>
      <x:c r="L782" s="12" t="n">
        <x:f>养成消耗调参!$E$161</x:f>
        <x:v>576</x:v>
      </x:c>
      <x:c r="M782" s="12" t="n">
        <x:f>养成消耗调参!$H$161</x:f>
        <x:v>3000</x:v>
      </x:c>
      <x:c r="N782" s="12" t="n">
        <x:f>养成消耗调参!$I$161</x:f>
        <x:v>0</x:v>
      </x:c>
      <x:c r="O782" s="12" t="n">
        <x:f>养成消耗调参!$L$161</x:f>
        <x:v>3552</x:v>
      </x:c>
      <x:c r="P782" s="12" t="n">
        <x:f>养成消耗调参!$O$161</x:f>
        <x:v>21000</x:v>
      </x:c>
      <x:c r="Q782" s="12" t="n">
        <x:f>养成消耗调参!$P$161</x:f>
        <x:v>40</x:v>
      </x:c>
      <x:c r="R782" s="13">
        <x:f>I782/英雄升级调参!$M$79-1</x:f>
        <x:v>-0.0015992986296442524</x:v>
      </x:c>
      <x:c r="S782" s="6"/>
      <x:c r="T782" s="6"/>
      <x:c r="U782" s="6"/>
    </x:row>
    <x:row r="783" ht="21" customHeight="1">
      <x:c r="A783" s="14" t="n">
        <x:f>英雄升级调参!$B$22</x:f>
        <x:v>310004</x:v>
      </x:c>
      <x:c r="B783" s="14" t="str">
        <x:f>英雄升级调参!$C$22</x:f>
        <x:v>龟尼克</x:v>
      </x:c>
      <x:c r="C783" s="6" t="str">
        <x:f>英雄升级调参!$D$22</x:f>
        <x:v>生存者</x:v>
      </x:c>
      <x:c r="D783" s="6" t="s">
        <x:v>25</x:v>
      </x:c>
      <x:c r="E783" s="6">
        <x:v>15</x:v>
      </x:c>
      <x:c r="F783" s="6" t="n">
        <x:f>英雄升级调参!$C$80</x:f>
        <x:v>3</x:v>
      </x:c>
      <x:c r="G783" s="12">
        <x:f t="shared" si="71"/>
        <x:v>1384</x:v>
      </x:c>
      <x:c r="H783" s="12">
        <x:f t="shared" si="72"/>
        <x:v>21627</x:v>
      </x:c>
      <x:c r="I783" s="12">
        <x:f t="shared" si="73"/>
        <x:v>29931768</x:v>
      </x:c>
      <x:c r="J783" s="12">
        <x:f>ROUND(英雄升级调参!$D$80*英雄升级调参!$J$11*英雄升级调参!$E$22,0)*3</x:f>
        <x:v>216</x:v>
      </x:c>
      <x:c r="K783" s="12">
        <x:f>ROUND(英雄升级调参!$D$80*英雄升级调参!$C$11*英雄升级调参!$J$11*英雄升级调参!$G$22,0)*3</x:f>
        <x:v>3375</x:v>
      </x:c>
      <x:c r="L783" s="12" t="n">
        <x:f>养成消耗调参!$E$162</x:f>
        <x:v>576</x:v>
      </x:c>
      <x:c r="M783" s="12" t="n">
        <x:f>养成消耗调参!$H$162</x:f>
        <x:v>3000</x:v>
      </x:c>
      <x:c r="N783" s="12" t="n">
        <x:f>养成消耗调参!$I$162</x:f>
        <x:v>50</x:v>
      </x:c>
      <x:c r="O783" s="12" t="n">
        <x:f>养成消耗调参!$L$162</x:f>
        <x:v>4128</x:v>
      </x:c>
      <x:c r="P783" s="12" t="n">
        <x:f>养成消耗调参!$O$162</x:f>
        <x:v>24000</x:v>
      </x:c>
      <x:c r="Q783" s="12" t="n">
        <x:f>养成消耗调参!$P$162</x:f>
        <x:v>90</x:v>
      </x:c>
      <x:c r="R783" s="13">
        <x:f>I783/英雄升级调参!$M$80-1</x:f>
        <x:v>-0.0013501495634209437</x:v>
      </x:c>
      <x:c r="S783" s="6"/>
      <x:c r="T783" s="6"/>
      <x:c r="U783" s="6"/>
    </x:row>
    <x:row r="784" ht="21" customHeight="1">
      <x:c r="A784" s="14" t="n">
        <x:f>英雄升级调参!$B$22</x:f>
        <x:v>310004</x:v>
      </x:c>
      <x:c r="B784" s="14" t="str">
        <x:f>英雄升级调参!$C$22</x:f>
        <x:v>龟尼克</x:v>
      </x:c>
      <x:c r="C784" s="6" t="str">
        <x:f>英雄升级调参!$D$22</x:f>
        <x:v>生存者</x:v>
      </x:c>
      <x:c r="D784" s="6" t="s">
        <x:v>25</x:v>
      </x:c>
      <x:c r="E784" s="6">
        <x:v>16</x:v>
      </x:c>
      <x:c r="F784" s="6" t="n">
        <x:f>英雄升级调参!$C$81</x:f>
        <x:v>4</x:v>
      </x:c>
      <x:c r="G784" s="12">
        <x:f t="shared" si="71"/>
        <x:v>1474</x:v>
      </x:c>
      <x:c r="H784" s="12">
        <x:f t="shared" si="72"/>
        <x:v>23033</x:v>
      </x:c>
      <x:c r="I784" s="12">
        <x:f t="shared" si="73"/>
        <x:v>33950642</x:v>
      </x:c>
      <x:c r="J784" s="12">
        <x:f>ROUND(英雄升级调参!$D$81*英雄升级调参!$J$11*英雄升级调参!$E$22,0)</x:f>
        <x:v>90</x:v>
      </x:c>
      <x:c r="K784" s="12">
        <x:f>ROUND(英雄升级调参!$D$81*英雄升级调参!$C$11*英雄升级调参!$J$11*英雄升级调参!$G$22,0)</x:f>
        <x:v>1406</x:v>
      </x:c>
      <x:c r="L784" s="12" t="n">
        <x:f>养成消耗调参!$E$163</x:f>
        <x:v>672</x:v>
      </x:c>
      <x:c r="M784" s="12" t="n">
        <x:f>养成消耗调参!$H$163</x:f>
        <x:v>3000</x:v>
      </x:c>
      <x:c r="N784" s="12" t="n">
        <x:f>养成消耗调参!$I$163</x:f>
        <x:v>0</x:v>
      </x:c>
      <x:c r="O784" s="12" t="n">
        <x:f>养成消耗调参!$L$163</x:f>
        <x:v>4800</x:v>
      </x:c>
      <x:c r="P784" s="12" t="n">
        <x:f>养成消耗调参!$O$163</x:f>
        <x:v>27000</x:v>
      </x:c>
      <x:c r="Q784" s="12" t="n">
        <x:f>养成消耗调参!$P$163</x:f>
        <x:v>90</x:v>
      </x:c>
      <x:c r="R784" s="13">
        <x:f>I784/英雄升级调参!$M$81-1</x:f>
        <x:v>-0.0015492016661902142</x:v>
      </x:c>
      <x:c r="S784" s="6"/>
      <x:c r="T784" s="6"/>
      <x:c r="U784" s="6"/>
    </x:row>
    <x:row r="785" ht="21" customHeight="1">
      <x:c r="A785" s="14" t="n">
        <x:f>英雄升级调参!$B$22</x:f>
        <x:v>310004</x:v>
      </x:c>
      <x:c r="B785" s="14" t="str">
        <x:f>英雄升级调参!$C$22</x:f>
        <x:v>龟尼克</x:v>
      </x:c>
      <x:c r="C785" s="6" t="str">
        <x:f>英雄升级调参!$D$22</x:f>
        <x:v>生存者</x:v>
      </x:c>
      <x:c r="D785" s="6" t="s">
        <x:v>25</x:v>
      </x:c>
      <x:c r="E785" s="6">
        <x:v>17</x:v>
      </x:c>
      <x:c r="F785" s="6" t="n">
        <x:f>英雄升级调参!$C$82</x:f>
        <x:v>4</x:v>
      </x:c>
      <x:c r="G785" s="12">
        <x:f t="shared" si="71"/>
        <x:v>1564</x:v>
      </x:c>
      <x:c r="H785" s="12">
        <x:f t="shared" si="72"/>
        <x:v>24439</x:v>
      </x:c>
      <x:c r="I785" s="12">
        <x:f t="shared" si="73"/>
        <x:v>38222596</x:v>
      </x:c>
      <x:c r="J785" s="12">
        <x:f>ROUND(英雄升级调参!$D$82*英雄升级调参!$J$11*英雄升级调参!$E$22,0)</x:f>
        <x:v>90</x:v>
      </x:c>
      <x:c r="K785" s="12">
        <x:f>ROUND(英雄升级调参!$D$82*英雄升级调参!$C$11*英雄升级调参!$J$11*英雄升级调参!$G$22,0)</x:f>
        <x:v>1406</x:v>
      </x:c>
      <x:c r="L785" s="12" t="n">
        <x:f>养成消耗调参!$E$164</x:f>
        <x:v>672</x:v>
      </x:c>
      <x:c r="M785" s="12" t="n">
        <x:f>养成消耗调参!$H$164</x:f>
        <x:v>4200</x:v>
      </x:c>
      <x:c r="N785" s="12" t="n">
        <x:f>养成消耗调参!$I$164</x:f>
        <x:v>0</x:v>
      </x:c>
      <x:c r="O785" s="12" t="n">
        <x:f>养成消耗调参!$L$164</x:f>
        <x:v>5472</x:v>
      </x:c>
      <x:c r="P785" s="12" t="n">
        <x:f>养成消耗调参!$O$164</x:f>
        <x:v>31200</x:v>
      </x:c>
      <x:c r="Q785" s="12" t="n">
        <x:f>养成消耗调参!$P$164</x:f>
        <x:v>90</x:v>
      </x:c>
      <x:c r="R785" s="13">
        <x:f>I785/英雄升级调参!$M$82-1</x:f>
        <x:v>-0.0017252891228485279</x:v>
      </x:c>
      <x:c r="S785" s="6"/>
      <x:c r="T785" s="6"/>
      <x:c r="U785" s="6"/>
    </x:row>
    <x:row r="786" ht="21" customHeight="1">
      <x:c r="A786" s="14" t="n">
        <x:f>英雄升级调参!$B$22</x:f>
        <x:v>310004</x:v>
      </x:c>
      <x:c r="B786" s="14" t="str">
        <x:f>英雄升级调参!$C$22</x:f>
        <x:v>龟尼克</x:v>
      </x:c>
      <x:c r="C786" s="6" t="str">
        <x:f>英雄升级调参!$D$22</x:f>
        <x:v>生存者</x:v>
      </x:c>
      <x:c r="D786" s="6" t="s">
        <x:v>25</x:v>
      </x:c>
      <x:c r="E786" s="6">
        <x:v>18</x:v>
      </x:c>
      <x:c r="F786" s="6" t="n">
        <x:f>英雄升级调参!$C$83</x:f>
        <x:v>4</x:v>
      </x:c>
      <x:c r="G786" s="12">
        <x:f t="shared" si="71"/>
        <x:v>1654</x:v>
      </x:c>
      <x:c r="H786" s="12">
        <x:f t="shared" si="72"/>
        <x:v>25845</x:v>
      </x:c>
      <x:c r="I786" s="12">
        <x:f t="shared" si="73"/>
        <x:v>42747630</x:v>
      </x:c>
      <x:c r="J786" s="12">
        <x:f>ROUND(英雄升级调参!$D$83*英雄升级调参!$J$11*英雄升级调参!$E$22,0)</x:f>
        <x:v>90</x:v>
      </x:c>
      <x:c r="K786" s="12">
        <x:f>ROUND(英雄升级调参!$D$83*英雄升级调参!$C$11*英雄升级调参!$J$11*英雄升级调参!$G$22,0)</x:f>
        <x:v>1406</x:v>
      </x:c>
      <x:c r="L786" s="12" t="n">
        <x:f>养成消耗调参!$E$165</x:f>
        <x:v>768</x:v>
      </x:c>
      <x:c r="M786" s="12" t="n">
        <x:f>养成消耗调参!$H$165</x:f>
        <x:v>4200</x:v>
      </x:c>
      <x:c r="N786" s="12" t="n">
        <x:f>养成消耗调参!$I$165</x:f>
        <x:v>0</x:v>
      </x:c>
      <x:c r="O786" s="12" t="n">
        <x:f>养成消耗调参!$L$165</x:f>
        <x:v>6240</x:v>
      </x:c>
      <x:c r="P786" s="12" t="n">
        <x:f>养成消耗调参!$O$165</x:f>
        <x:v>35400</x:v>
      </x:c>
      <x:c r="Q786" s="12" t="n">
        <x:f>养成消耗调参!$P$165</x:f>
        <x:v>90</x:v>
      </x:c>
      <x:c r="R786" s="13">
        <x:f>I786/英雄升级调参!$M$83-1</x:f>
        <x:v>-0.0018821693349995172</x:v>
      </x:c>
      <x:c r="S786" s="6"/>
      <x:c r="T786" s="6"/>
      <x:c r="U786" s="6"/>
    </x:row>
    <x:row r="787" ht="21" customHeight="1">
      <x:c r="A787" s="14" t="n">
        <x:f>英雄升级调参!$B$22</x:f>
        <x:v>310004</x:v>
      </x:c>
      <x:c r="B787" s="14" t="str">
        <x:f>英雄升级调参!$C$22</x:f>
        <x:v>龟尼克</x:v>
      </x:c>
      <x:c r="C787" s="6" t="str">
        <x:f>英雄升级调参!$D$22</x:f>
        <x:v>生存者</x:v>
      </x:c>
      <x:c r="D787" s="6" t="s">
        <x:v>25</x:v>
      </x:c>
      <x:c r="E787" s="6">
        <x:v>19</x:v>
      </x:c>
      <x:c r="F787" s="6" t="n">
        <x:f>英雄升级调参!$C$84</x:f>
        <x:v>4</x:v>
      </x:c>
      <x:c r="G787" s="12">
        <x:f t="shared" si="71"/>
        <x:v>1744</x:v>
      </x:c>
      <x:c r="H787" s="12">
        <x:f t="shared" si="72"/>
        <x:v>27251</x:v>
      </x:c>
      <x:c r="I787" s="12">
        <x:f t="shared" si="73"/>
        <x:v>47525744</x:v>
      </x:c>
      <x:c r="J787" s="12">
        <x:f>ROUND(英雄升级调参!$D$84*英雄升级调参!$J$11*英雄升级调参!$E$22,0)</x:f>
        <x:v>90</x:v>
      </x:c>
      <x:c r="K787" s="12">
        <x:f>ROUND(英雄升级调参!$D$84*英雄升级调参!$C$11*英雄升级调参!$J$11*英雄升级调参!$G$22,0)</x:f>
        <x:v>1406</x:v>
      </x:c>
      <x:c r="L787" s="12" t="n">
        <x:f>养成消耗调参!$E$166</x:f>
        <x:v>768</x:v>
      </x:c>
      <x:c r="M787" s="12" t="n">
        <x:f>养成消耗调参!$H$166</x:f>
        <x:v>4200</x:v>
      </x:c>
      <x:c r="N787" s="12" t="n">
        <x:f>养成消耗调参!$I$166</x:f>
        <x:v>0</x:v>
      </x:c>
      <x:c r="O787" s="12" t="n">
        <x:f>养成消耗调参!$L$166</x:f>
        <x:v>7008</x:v>
      </x:c>
      <x:c r="P787" s="12" t="n">
        <x:f>养成消耗调参!$O$166</x:f>
        <x:v>39600</x:v>
      </x:c>
      <x:c r="Q787" s="12" t="n">
        <x:f>养成消耗调参!$P$166</x:f>
        <x:v>90</x:v>
      </x:c>
      <x:c r="R787" s="13">
        <x:f>I787/英雄升级调参!$M$84-1</x:f>
        <x:v>-0.0020228223990659266</x:v>
      </x:c>
      <x:c r="S787" s="6"/>
      <x:c r="T787" s="6"/>
      <x:c r="U787" s="6"/>
    </x:row>
    <x:row r="788" ht="21" customHeight="1">
      <x:c r="A788" s="14" t="n">
        <x:f>英雄升级调参!$B$22</x:f>
        <x:v>310004</x:v>
      </x:c>
      <x:c r="B788" s="14" t="str">
        <x:f>英雄升级调参!$C$22</x:f>
        <x:v>龟尼克</x:v>
      </x:c>
      <x:c r="C788" s="6" t="str">
        <x:f>英雄升级调参!$D$22</x:f>
        <x:v>生存者</x:v>
      </x:c>
      <x:c r="D788" s="6" t="s">
        <x:v>25</x:v>
      </x:c>
      <x:c r="E788" s="6">
        <x:v>20</x:v>
      </x:c>
      <x:c r="F788" s="6" t="n">
        <x:f>英雄升级调参!$C$85</x:f>
        <x:v>4</x:v>
      </x:c>
      <x:c r="G788" s="12">
        <x:f t="shared" si="71"/>
        <x:v>2014</x:v>
      </x:c>
      <x:c r="H788" s="12">
        <x:f t="shared" si="72"/>
        <x:v>31469</x:v>
      </x:c>
      <x:c r="I788" s="12">
        <x:f t="shared" si="73"/>
        <x:v>63378566</x:v>
      </x:c>
      <x:c r="J788" s="12">
        <x:f>ROUND(英雄升级调参!$D$85*英雄升级调参!$J$11*英雄升级调参!$E$22,0)*3</x:f>
        <x:v>270</x:v>
      </x:c>
      <x:c r="K788" s="12">
        <x:f>ROUND(英雄升级调参!$D$85*英雄升级调参!$C$11*英雄升级调参!$J$11*英雄升级调参!$G$22,0)*3</x:f>
        <x:v>4218</x:v>
      </x:c>
      <x:c r="L788" s="12" t="n">
        <x:f>养成消耗调参!$E$167</x:f>
        <x:v>864</x:v>
      </x:c>
      <x:c r="M788" s="12" t="n">
        <x:f>养成消耗调参!$H$167</x:f>
        <x:v>4200</x:v>
      </x:c>
      <x:c r="N788" s="12" t="n">
        <x:f>养成消耗调参!$I$167</x:f>
        <x:v>70</x:v>
      </x:c>
      <x:c r="O788" s="12" t="n">
        <x:f>养成消耗调参!$L$167</x:f>
        <x:v>7872</x:v>
      </x:c>
      <x:c r="P788" s="12" t="n">
        <x:f>养成消耗调参!$O$167</x:f>
        <x:v>43800</x:v>
      </x:c>
      <x:c r="Q788" s="12" t="n">
        <x:f>养成消耗调参!$P$167</x:f>
        <x:v>160</x:v>
      </x:c>
      <x:c r="R788" s="13">
        <x:f>I788/英雄升级调参!$M$85-1</x:f>
        <x:v>-0.0023692142244150505</x:v>
      </x:c>
      <x:c r="S788" s="6"/>
      <x:c r="T788" s="6"/>
      <x:c r="U788" s="6"/>
    </x:row>
    <x:row r="789" ht="21" customHeight="1">
      <x:c r="A789" s="14" t="n">
        <x:f>英雄升级调参!$B$22</x:f>
        <x:v>310004</x:v>
      </x:c>
      <x:c r="B789" s="14" t="str">
        <x:f>英雄升级调参!$C$22</x:f>
        <x:v>龟尼克</x:v>
      </x:c>
      <x:c r="C789" s="6" t="str">
        <x:f>英雄升级调参!$D$22</x:f>
        <x:v>生存者</x:v>
      </x:c>
      <x:c r="D789" s="6" t="s">
        <x:v>25</x:v>
      </x:c>
      <x:c r="E789" s="6">
        <x:v>21</x:v>
      </x:c>
      <x:c r="F789" s="6" t="n">
        <x:f>英雄升级调参!$C$86</x:f>
        <x:v>5</x:v>
      </x:c>
      <x:c r="G789" s="12">
        <x:f t="shared" si="71"/>
        <x:v>2122</x:v>
      </x:c>
      <x:c r="H789" s="12">
        <x:f t="shared" si="72"/>
        <x:v>33157</x:v>
      </x:c>
      <x:c r="I789" s="12">
        <x:f t="shared" si="73"/>
        <x:v>70359154</x:v>
      </x:c>
      <x:c r="J789" s="12">
        <x:f>ROUND(英雄升级调参!$D$86*英雄升级调参!$J$11*英雄升级调参!$E$22,0)</x:f>
        <x:v>108</x:v>
      </x:c>
      <x:c r="K789" s="12">
        <x:f>ROUND(英雄升级调参!$D$86*英雄升级调参!$C$11*英雄升级调参!$J$11*英雄升级调参!$G$22,0)</x:f>
        <x:v>1688</x:v>
      </x:c>
      <x:c r="L789" s="12" t="n">
        <x:f>养成消耗调参!$E$168</x:f>
        <x:v>864</x:v>
      </x:c>
      <x:c r="M789" s="12" t="n">
        <x:f>养成消耗调参!$H$168</x:f>
        <x:v>4200</x:v>
      </x:c>
      <x:c r="N789" s="12" t="n">
        <x:f>养成消耗调参!$I$168</x:f>
        <x:v>0</x:v>
      </x:c>
      <x:c r="O789" s="12" t="n">
        <x:f>养成消耗调参!$L$168</x:f>
        <x:v>8736</x:v>
      </x:c>
      <x:c r="P789" s="12" t="n">
        <x:f>养成消耗调参!$O$168</x:f>
        <x:v>48000</x:v>
      </x:c>
      <x:c r="Q789" s="12" t="n">
        <x:f>养成消耗调参!$P$168</x:f>
        <x:v>160</x:v>
      </x:c>
      <x:c r="R789" s="13">
        <x:f>I789/英雄升级调参!$M$86-1</x:f>
        <x:v>-0.0022338828203483097</x:v>
      </x:c>
      <x:c r="S789" s="6"/>
      <x:c r="T789" s="6"/>
      <x:c r="U789" s="6"/>
    </x:row>
    <x:row r="790" ht="21" customHeight="1">
      <x:c r="A790" s="14" t="n">
        <x:f>英雄升级调参!$B$22</x:f>
        <x:v>310004</x:v>
      </x:c>
      <x:c r="B790" s="14" t="str">
        <x:f>英雄升级调参!$C$22</x:f>
        <x:v>龟尼克</x:v>
      </x:c>
      <x:c r="C790" s="6" t="str">
        <x:f>英雄升级调参!$D$22</x:f>
        <x:v>生存者</x:v>
      </x:c>
      <x:c r="D790" s="6" t="s">
        <x:v>25</x:v>
      </x:c>
      <x:c r="E790" s="6">
        <x:v>22</x:v>
      </x:c>
      <x:c r="F790" s="6" t="n">
        <x:f>英雄升级调参!$C$87</x:f>
        <x:v>5</x:v>
      </x:c>
      <x:c r="G790" s="12">
        <x:f t="shared" si="71"/>
        <x:v>2230</x:v>
      </x:c>
      <x:c r="H790" s="12">
        <x:f t="shared" si="72"/>
        <x:v>34845</x:v>
      </x:c>
      <x:c r="I790" s="12">
        <x:f t="shared" si="73"/>
        <x:v>77704350</x:v>
      </x:c>
      <x:c r="J790" s="12">
        <x:f>ROUND(英雄升级调参!$D$87*英雄升级调参!$J$11*英雄升级调参!$E$22,0)</x:f>
        <x:v>108</x:v>
      </x:c>
      <x:c r="K790" s="12">
        <x:f>ROUND(英雄升级调参!$D$87*英雄升级调参!$C$11*英雄升级调参!$J$11*英雄升级调参!$G$22,0)</x:f>
        <x:v>1688</x:v>
      </x:c>
      <x:c r="L790" s="12" t="n">
        <x:f>养成消耗调参!$E$169</x:f>
        <x:v>960</x:v>
      </x:c>
      <x:c r="M790" s="12" t="n">
        <x:f>养成消耗调参!$H$169</x:f>
        <x:v>6000</x:v>
      </x:c>
      <x:c r="N790" s="12" t="n">
        <x:f>养成消耗调参!$I$169</x:f>
        <x:v>0</x:v>
      </x:c>
      <x:c r="O790" s="12" t="n">
        <x:f>养成消耗调参!$L$169</x:f>
        <x:v>9696</x:v>
      </x:c>
      <x:c r="P790" s="12" t="n">
        <x:f>养成消耗调参!$O$169</x:f>
        <x:v>54000</x:v>
      </x:c>
      <x:c r="Q790" s="12" t="n">
        <x:f>养成消耗调参!$P$169</x:f>
        <x:v>160</x:v>
      </x:c>
      <x:c r="R790" s="13">
        <x:f>I790/英雄升级调参!$M$87-1</x:f>
        <x:v>-0.002111629333347742</x:v>
      </x:c>
      <x:c r="S790" s="6"/>
      <x:c r="T790" s="6"/>
      <x:c r="U790" s="6"/>
    </x:row>
    <x:row r="791" ht="21" customHeight="1">
      <x:c r="A791" s="14" t="n">
        <x:f>英雄升级调参!$B$22</x:f>
        <x:v>310004</x:v>
      </x:c>
      <x:c r="B791" s="14" t="str">
        <x:f>英雄升级调参!$C$22</x:f>
        <x:v>龟尼克</x:v>
      </x:c>
      <x:c r="C791" s="6" t="str">
        <x:f>英雄升级调参!$D$22</x:f>
        <x:v>生存者</x:v>
      </x:c>
      <x:c r="D791" s="6" t="s">
        <x:v>25</x:v>
      </x:c>
      <x:c r="E791" s="6">
        <x:v>23</x:v>
      </x:c>
      <x:c r="F791" s="6" t="n">
        <x:f>英雄升级调参!$C$88</x:f>
        <x:v>5</x:v>
      </x:c>
      <x:c r="G791" s="12">
        <x:f t="shared" si="71"/>
        <x:v>2338</x:v>
      </x:c>
      <x:c r="H791" s="12">
        <x:f t="shared" si="72"/>
        <x:v>36533</x:v>
      </x:c>
      <x:c r="I791" s="12">
        <x:f t="shared" si="73"/>
        <x:v>85414154</x:v>
      </x:c>
      <x:c r="J791" s="12">
        <x:f>ROUND(英雄升级调参!$D$88*英雄升级调参!$J$11*英雄升级调参!$E$22,0)</x:f>
        <x:v>108</x:v>
      </x:c>
      <x:c r="K791" s="12">
        <x:f>ROUND(英雄升级调参!$D$88*英雄升级调参!$C$11*英雄升级调参!$J$11*英雄升级调参!$G$22,0)</x:f>
        <x:v>1688</x:v>
      </x:c>
      <x:c r="L791" s="12" t="n">
        <x:f>养成消耗调参!$E$170</x:f>
        <x:v>960</x:v>
      </x:c>
      <x:c r="M791" s="12" t="n">
        <x:f>养成消耗调参!$H$170</x:f>
        <x:v>6000</x:v>
      </x:c>
      <x:c r="N791" s="12" t="n">
        <x:f>养成消耗调参!$I$170</x:f>
        <x:v>0</x:v>
      </x:c>
      <x:c r="O791" s="12" t="n">
        <x:f>养成消耗调参!$L$170</x:f>
        <x:v>10656</x:v>
      </x:c>
      <x:c r="P791" s="12" t="n">
        <x:f>养成消耗调参!$O$170</x:f>
        <x:v>60000</x:v>
      </x:c>
      <x:c r="Q791" s="12" t="n">
        <x:f>养成消耗调参!$P$170</x:f>
        <x:v>160</x:v>
      </x:c>
      <x:c r="R791" s="13">
        <x:f>I791/英雄升级调参!$M$88-1</x:f>
        <x:v>-0.0020006454373399096</x:v>
      </x:c>
      <x:c r="S791" s="6"/>
      <x:c r="T791" s="6"/>
      <x:c r="U791" s="6"/>
    </x:row>
    <x:row r="792" ht="21" customHeight="1">
      <x:c r="A792" s="14" t="n">
        <x:f>英雄升级调参!$B$22</x:f>
        <x:v>310004</x:v>
      </x:c>
      <x:c r="B792" s="14" t="str">
        <x:f>英雄升级调参!$C$22</x:f>
        <x:v>龟尼克</x:v>
      </x:c>
      <x:c r="C792" s="6" t="str">
        <x:f>英雄升级调参!$D$22</x:f>
        <x:v>生存者</x:v>
      </x:c>
      <x:c r="D792" s="6" t="s">
        <x:v>25</x:v>
      </x:c>
      <x:c r="E792" s="6">
        <x:v>24</x:v>
      </x:c>
      <x:c r="F792" s="6" t="n">
        <x:f>英雄升级调参!$C$89</x:f>
        <x:v>5</x:v>
      </x:c>
      <x:c r="G792" s="12">
        <x:f t="shared" si="71"/>
        <x:v>2446</x:v>
      </x:c>
      <x:c r="H792" s="12">
        <x:f t="shared" si="72"/>
        <x:v>38221</x:v>
      </x:c>
      <x:c r="I792" s="12">
        <x:f t="shared" si="73"/>
        <x:v>93488566</x:v>
      </x:c>
      <x:c r="J792" s="12">
        <x:f>ROUND(英雄升级调参!$D$89*英雄升级调参!$J$11*英雄升级调参!$E$22,0)</x:f>
        <x:v>108</x:v>
      </x:c>
      <x:c r="K792" s="12">
        <x:f>ROUND(英雄升级调参!$D$89*英雄升级调参!$C$11*英雄升级调参!$J$11*英雄升级调参!$G$22,0)</x:f>
        <x:v>1688</x:v>
      </x:c>
      <x:c r="L792" s="12" t="n">
        <x:f>养成消耗调参!$E$171</x:f>
        <x:v>1056</x:v>
      </x:c>
      <x:c r="M792" s="12" t="n">
        <x:f>养成消耗调参!$H$171</x:f>
        <x:v>6000</x:v>
      </x:c>
      <x:c r="N792" s="12" t="n">
        <x:f>养成消耗调参!$I$171</x:f>
        <x:v>0</x:v>
      </x:c>
      <x:c r="O792" s="12" t="n">
        <x:f>养成消耗调参!$L$171</x:f>
        <x:v>11712</x:v>
      </x:c>
      <x:c r="P792" s="12" t="n">
        <x:f>养成消耗调参!$O$171</x:f>
        <x:v>66000</x:v>
      </x:c>
      <x:c r="Q792" s="12" t="n">
        <x:f>养成消耗调参!$P$171</x:f>
        <x:v>160</x:v>
      </x:c>
      <x:c r="R792" s="13">
        <x:f>I792/英雄升级调参!$M$89-1</x:f>
        <x:v>-0.0018994415077837612</x:v>
      </x:c>
      <x:c r="S792" s="6"/>
      <x:c r="T792" s="6"/>
      <x:c r="U792" s="6"/>
    </x:row>
    <x:row r="793" ht="21" customHeight="1">
      <x:c r="A793" s="14" t="n">
        <x:f>英雄升级调参!$B$22</x:f>
        <x:v>310004</x:v>
      </x:c>
      <x:c r="B793" s="14" t="str">
        <x:f>英雄升级调参!$C$22</x:f>
        <x:v>龟尼克</x:v>
      </x:c>
      <x:c r="C793" s="6" t="str">
        <x:f>英雄升级调参!$D$22</x:f>
        <x:v>生存者</x:v>
      </x:c>
      <x:c r="D793" s="6" t="s">
        <x:v>25</x:v>
      </x:c>
      <x:c r="E793" s="6">
        <x:v>25</x:v>
      </x:c>
      <x:c r="F793" s="6" t="n">
        <x:f>英雄升级调参!$C$90</x:f>
        <x:v>5</x:v>
      </x:c>
      <x:c r="G793" s="12">
        <x:f t="shared" si="71"/>
        <x:v>2770</x:v>
      </x:c>
      <x:c r="H793" s="12">
        <x:f t="shared" si="72"/>
        <x:v>43285</x:v>
      </x:c>
      <x:c r="I793" s="12">
        <x:f t="shared" si="73"/>
        <x:v>119899450</x:v>
      </x:c>
      <x:c r="J793" s="12">
        <x:f>ROUND(英雄升级调参!$D$90*英雄升级调参!$J$11*英雄升级调参!$E$22,0)*3</x:f>
        <x:v>324</x:v>
      </x:c>
      <x:c r="K793" s="12">
        <x:f>ROUND(英雄升级调参!$D$90*英雄升级调参!$C$11*英雄升级调参!$J$11*英雄升级调参!$G$22,0)*3</x:f>
        <x:v>5064</x:v>
      </x:c>
      <x:c r="L793" s="12" t="n">
        <x:f>养成消耗调参!$E$172</x:f>
        <x:v>1056</x:v>
      </x:c>
      <x:c r="M793" s="12" t="n">
        <x:f>养成消耗调参!$H$172</x:f>
        <x:v>6000</x:v>
      </x:c>
      <x:c r="N793" s="12" t="n">
        <x:f>养成消耗调参!$I$172</x:f>
        <x:v>90</x:v>
      </x:c>
      <x:c r="O793" s="12" t="n">
        <x:f>养成消耗调参!$L$172</x:f>
        <x:v>12768</x:v>
      </x:c>
      <x:c r="P793" s="12" t="n">
        <x:f>养成消耗调参!$O$172</x:f>
        <x:v>72000</x:v>
      </x:c>
      <x:c r="Q793" s="12" t="n">
        <x:f>养成消耗调参!$P$172</x:f>
        <x:v>250</x:v>
      </x:c>
      <x:c r="R793" s="13">
        <x:f>I793/英雄升级调参!$M$90-1</x:f>
        <x:v>-0.0016430915133611723</x:v>
      </x:c>
      <x:c r="S793" s="6"/>
      <x:c r="T793" s="6"/>
      <x:c r="U793" s="6"/>
    </x:row>
    <x:row r="794" ht="21" customHeight="1">
      <x:c r="A794" s="14" t="n">
        <x:f>英雄升级调参!$B$22</x:f>
        <x:v>310004</x:v>
      </x:c>
      <x:c r="B794" s="14" t="str">
        <x:f>英雄升级调参!$C$22</x:f>
        <x:v>龟尼克</x:v>
      </x:c>
      <x:c r="C794" s="6" t="str">
        <x:f>英雄升级调参!$D$22</x:f>
        <x:v>生存者</x:v>
      </x:c>
      <x:c r="D794" s="6" t="s">
        <x:v>25</x:v>
      </x:c>
      <x:c r="E794" s="6">
        <x:v>26</x:v>
      </x:c>
      <x:c r="F794" s="6" t="n">
        <x:f>英雄升级调参!$C$91</x:f>
        <x:v>6</x:v>
      </x:c>
      <x:c r="G794" s="12">
        <x:f t="shared" si="71"/>
        <x:v>2896</x:v>
      </x:c>
      <x:c r="H794" s="12">
        <x:f t="shared" si="72"/>
        <x:v>45254</x:v>
      </x:c>
      <x:c r="I794" s="12">
        <x:f t="shared" si="73"/>
        <x:v>131055584</x:v>
      </x:c>
      <x:c r="J794" s="12">
        <x:f>ROUND(英雄升级调参!$D$91*英雄升级调参!$J$11*英雄升级调参!$E$22,0)</x:f>
        <x:v>126</x:v>
      </x:c>
      <x:c r="K794" s="12">
        <x:f>ROUND(英雄升级调参!$D$91*英雄升级调参!$C$11*英雄升级调参!$J$11*英雄升级调参!$G$22,0)</x:f>
        <x:v>1969</x:v>
      </x:c>
      <x:c r="L794" s="12" t="n">
        <x:f>养成消耗调参!$E$173</x:f>
        <x:v>1152</x:v>
      </x:c>
      <x:c r="M794" s="12" t="n">
        <x:f>养成消耗调参!$H$173</x:f>
        <x:v>6000</x:v>
      </x:c>
      <x:c r="N794" s="12" t="n">
        <x:f>养成消耗调参!$I$173</x:f>
        <x:v>0</x:v>
      </x:c>
      <x:c r="O794" s="12" t="n">
        <x:f>养成消耗调参!$L$173</x:f>
        <x:v>13920</x:v>
      </x:c>
      <x:c r="P794" s="12" t="n">
        <x:f>养成消耗调参!$O$173</x:f>
        <x:v>78000</x:v>
      </x:c>
      <x:c r="Q794" s="12" t="n">
        <x:f>养成消耗调参!$P$173</x:f>
        <x:v>250</x:v>
      </x:c>
      <x:c r="R794" s="13">
        <x:f>I794/英雄升级调参!$M$91-1</x:f>
        <x:v>-0.0017038562792075496</x:v>
      </x:c>
      <x:c r="S794" s="6"/>
      <x:c r="T794" s="6"/>
      <x:c r="U794" s="6"/>
    </x:row>
    <x:row r="795" ht="21" customHeight="1">
      <x:c r="A795" s="14" t="n">
        <x:f>英雄升级调参!$B$22</x:f>
        <x:v>310004</x:v>
      </x:c>
      <x:c r="B795" s="14" t="str">
        <x:f>英雄升级调参!$C$22</x:f>
        <x:v>龟尼克</x:v>
      </x:c>
      <x:c r="C795" s="6" t="str">
        <x:f>英雄升级调参!$D$22</x:f>
        <x:v>生存者</x:v>
      </x:c>
      <x:c r="D795" s="6" t="s">
        <x:v>25</x:v>
      </x:c>
      <x:c r="E795" s="6">
        <x:v>27</x:v>
      </x:c>
      <x:c r="F795" s="6" t="n">
        <x:f>英雄升级调参!$C$92</x:f>
        <x:v>6</x:v>
      </x:c>
      <x:c r="G795" s="12">
        <x:f t="shared" si="71"/>
        <x:v>3022</x:v>
      </x:c>
      <x:c r="H795" s="12">
        <x:f t="shared" si="72"/>
        <x:v>47223</x:v>
      </x:c>
      <x:c r="I795" s="12">
        <x:f t="shared" si="73"/>
        <x:v>142707906</x:v>
      </x:c>
      <x:c r="J795" s="12">
        <x:f>ROUND(英雄升级调参!$D$92*英雄升级调参!$J$11*英雄升级调参!$E$22,0)</x:f>
        <x:v>126</x:v>
      </x:c>
      <x:c r="K795" s="12">
        <x:f>ROUND(英雄升级调参!$D$92*英雄升级调参!$C$11*英雄升级调参!$J$11*英雄升级调参!$G$22,0)</x:f>
        <x:v>1969</x:v>
      </x:c>
      <x:c r="L795" s="12" t="n">
        <x:f>养成消耗调参!$E$174</x:f>
        <x:v>1152</x:v>
      </x:c>
      <x:c r="M795" s="12" t="n">
        <x:f>养成消耗调参!$H$174</x:f>
        <x:v>7800</x:v>
      </x:c>
      <x:c r="N795" s="12" t="n">
        <x:f>养成消耗调参!$I$174</x:f>
        <x:v>0</x:v>
      </x:c>
      <x:c r="O795" s="12" t="n">
        <x:f>养成消耗调参!$L$174</x:f>
        <x:v>15072</x:v>
      </x:c>
      <x:c r="P795" s="12" t="n">
        <x:f>养成消耗调参!$O$174</x:f>
        <x:v>85800</x:v>
      </x:c>
      <x:c r="Q795" s="12" t="n">
        <x:f>养成消耗调参!$P$174</x:f>
        <x:v>250</x:v>
      </x:c>
      <x:c r="R795" s="13">
        <x:f>I795/英雄升级调参!$M$92-1</x:f>
        <x:v>-0.0017595478997716185</x:v>
      </x:c>
      <x:c r="S795" s="6"/>
      <x:c r="T795" s="6"/>
      <x:c r="U795" s="6"/>
    </x:row>
    <x:row r="796" ht="21" customHeight="1">
      <x:c r="A796" s="14" t="n">
        <x:f>英雄升级调参!$B$22</x:f>
        <x:v>310004</x:v>
      </x:c>
      <x:c r="B796" s="14" t="str">
        <x:f>英雄升级调参!$C$22</x:f>
        <x:v>龟尼克</x:v>
      </x:c>
      <x:c r="C796" s="6" t="str">
        <x:f>英雄升级调参!$D$22</x:f>
        <x:v>生存者</x:v>
      </x:c>
      <x:c r="D796" s="6" t="s">
        <x:v>25</x:v>
      </x:c>
      <x:c r="E796" s="6">
        <x:v>28</x:v>
      </x:c>
      <x:c r="F796" s="6" t="n">
        <x:f>英雄升级调参!$C$93</x:f>
        <x:v>6</x:v>
      </x:c>
      <x:c r="G796" s="12">
        <x:f t="shared" si="71"/>
        <x:v>3148</x:v>
      </x:c>
      <x:c r="H796" s="12">
        <x:f t="shared" si="72"/>
        <x:v>49192</x:v>
      </x:c>
      <x:c r="I796" s="12">
        <x:f t="shared" si="73"/>
        <x:v>154856416</x:v>
      </x:c>
      <x:c r="J796" s="12">
        <x:f>ROUND(英雄升级调参!$D$93*英雄升级调参!$J$11*英雄升级调参!$E$22,0)</x:f>
        <x:v>126</x:v>
      </x:c>
      <x:c r="K796" s="12">
        <x:f>ROUND(英雄升级调参!$D$93*英雄升级调参!$C$11*英雄升级调参!$J$11*英雄升级调参!$G$22,0)</x:f>
        <x:v>1969</x:v>
      </x:c>
      <x:c r="L796" s="12" t="n">
        <x:f>养成消耗调参!$E$175</x:f>
        <x:v>1248</x:v>
      </x:c>
      <x:c r="M796" s="12" t="n">
        <x:f>养成消耗调参!$H$175</x:f>
        <x:v>7800</x:v>
      </x:c>
      <x:c r="N796" s="12" t="n">
        <x:f>养成消耗调参!$I$175</x:f>
        <x:v>0</x:v>
      </x:c>
      <x:c r="O796" s="12" t="n">
        <x:f>养成消耗调参!$L$175</x:f>
        <x:v>16320</x:v>
      </x:c>
      <x:c r="P796" s="12" t="n">
        <x:f>养成消耗调参!$O$175</x:f>
        <x:v>93600</x:v>
      </x:c>
      <x:c r="Q796" s="12" t="n">
        <x:f>养成消耗调参!$P$175</x:f>
        <x:v>250</x:v>
      </x:c>
      <x:c r="R796" s="13">
        <x:f>I796/英雄升级调参!$M$93-1</x:f>
        <x:v>-0.0018107762390013882</x:v>
      </x:c>
      <x:c r="S796" s="6"/>
      <x:c r="T796" s="6"/>
      <x:c r="U796" s="6"/>
    </x:row>
    <x:row r="797" ht="21" customHeight="1">
      <x:c r="A797" s="14" t="n">
        <x:f>英雄升级调参!$B$22</x:f>
        <x:v>310004</x:v>
      </x:c>
      <x:c r="B797" s="14" t="str">
        <x:f>英雄升级调参!$C$22</x:f>
        <x:v>龟尼克</x:v>
      </x:c>
      <x:c r="C797" s="6" t="str">
        <x:f>英雄升级调参!$D$22</x:f>
        <x:v>生存者</x:v>
      </x:c>
      <x:c r="D797" s="6" t="s">
        <x:v>25</x:v>
      </x:c>
      <x:c r="E797" s="6">
        <x:v>29</x:v>
      </x:c>
      <x:c r="F797" s="6" t="n">
        <x:f>英雄升级调参!$C$94</x:f>
        <x:v>6</x:v>
      </x:c>
      <x:c r="G797" s="12">
        <x:f t="shared" si="71"/>
        <x:v>3274</x:v>
      </x:c>
      <x:c r="H797" s="12">
        <x:f t="shared" si="72"/>
        <x:v>51161</x:v>
      </x:c>
      <x:c r="I797" s="12">
        <x:f t="shared" si="73"/>
        <x:v>167501114</x:v>
      </x:c>
      <x:c r="J797" s="12">
        <x:f>ROUND(英雄升级调参!$D$94*英雄升级调参!$J$11*英雄升级调参!$E$22,0)</x:f>
        <x:v>126</x:v>
      </x:c>
      <x:c r="K797" s="12">
        <x:f>ROUND(英雄升级调参!$D$94*英雄升级调参!$C$11*英雄升级调参!$J$11*英雄升级调参!$G$22,0)</x:f>
        <x:v>1969</x:v>
      </x:c>
      <x:c r="L797" s="12" t="n">
        <x:f>养成消耗调参!$E$176</x:f>
        <x:v>1248</x:v>
      </x:c>
      <x:c r="M797" s="12" t="n">
        <x:f>养成消耗调参!$H$176</x:f>
        <x:v>7800</x:v>
      </x:c>
      <x:c r="N797" s="12" t="n">
        <x:f>养成消耗调参!$I$176</x:f>
        <x:v>0</x:v>
      </x:c>
      <x:c r="O797" s="12" t="n">
        <x:f>养成消耗调参!$L$176</x:f>
        <x:v>17568</x:v>
      </x:c>
      <x:c r="P797" s="12" t="n">
        <x:f>养成消耗调参!$O$176</x:f>
        <x:v>101400</x:v>
      </x:c>
      <x:c r="Q797" s="12" t="n">
        <x:f>养成消耗调参!$P$176</x:f>
        <x:v>250</x:v>
      </x:c>
      <x:c r="R797" s="13">
        <x:f>I797/英雄升级调参!$M$94-1</x:f>
        <x:v>-0.0018580571746203978</x:v>
      </x:c>
      <x:c r="S797" s="6"/>
      <x:c r="T797" s="6"/>
      <x:c r="U797" s="6"/>
    </x:row>
    <x:row r="798" ht="21" customHeight="1">
      <x:c r="A798" s="14" t="n">
        <x:f>英雄升级调参!$B$22</x:f>
        <x:v>310004</x:v>
      </x:c>
      <x:c r="B798" s="14" t="str">
        <x:f>英雄升级调参!$C$22</x:f>
        <x:v>龟尼克</x:v>
      </x:c>
      <x:c r="C798" s="6" t="str">
        <x:f>英雄升级调参!$D$22</x:f>
        <x:v>生存者</x:v>
      </x:c>
      <x:c r="D798" s="6" t="s">
        <x:v>25</x:v>
      </x:c>
      <x:c r="E798" s="6">
        <x:v>30</x:v>
      </x:c>
      <x:c r="F798" s="6" t="n">
        <x:f>英雄升级调参!$C$95</x:f>
        <x:v>6</x:v>
      </x:c>
      <x:c r="G798" s="12">
        <x:f t="shared" si="71"/>
        <x:v>3652</x:v>
      </x:c>
      <x:c r="H798" s="12">
        <x:f t="shared" si="72"/>
        <x:v>57068</x:v>
      </x:c>
      <x:c r="I798" s="12">
        <x:f t="shared" si="73"/>
        <x:v>208412336</x:v>
      </x:c>
      <x:c r="J798" s="12">
        <x:f>ROUND(英雄升级调参!$D$95*英雄升级调参!$J$11*英雄升级调参!$E$22,0)*3</x:f>
        <x:v>378</x:v>
      </x:c>
      <x:c r="K798" s="12">
        <x:f>ROUND(英雄升级调参!$D$95*英雄升级调参!$C$11*英雄升级调参!$J$11*英雄升级调参!$G$22,0)*3</x:f>
        <x:v>5907</x:v>
      </x:c>
      <x:c r="L798" s="12" t="n">
        <x:f>养成消耗调参!$E$177</x:f>
        <x:v>1344</x:v>
      </x:c>
      <x:c r="M798" s="12" t="n">
        <x:f>养成消耗调参!$H$177</x:f>
        <x:v>7800</x:v>
      </x:c>
      <x:c r="N798" s="12" t="n">
        <x:f>养成消耗调参!$I$177</x:f>
        <x:v>110</x:v>
      </x:c>
      <x:c r="O798" s="12" t="n">
        <x:f>养成消耗调参!$L$177</x:f>
        <x:v>18912</x:v>
      </x:c>
      <x:c r="P798" s="12" t="n">
        <x:f>养成消耗调参!$O$177</x:f>
        <x:v>109200</x:v>
      </x:c>
      <x:c r="Q798" s="12" t="n">
        <x:f>养成消耗调参!$P$177</x:f>
        <x:v>360</x:v>
      </x:c>
      <x:c r="R798" s="13">
        <x:f>I798/英雄升级调参!$M$95-1</x:f>
        <x:v>-0.0019803053620630617</x:v>
      </x:c>
      <x:c r="S798" s="6"/>
      <x:c r="T798" s="6"/>
      <x:c r="U798" s="6"/>
    </x:row>
    <x:row r="799" ht="21" customHeight="1">
      <x:c r="A799" s="14" t="n">
        <x:f>英雄升级调参!$B$22</x:f>
        <x:v>310004</x:v>
      </x:c>
      <x:c r="B799" s="14" t="str">
        <x:f>英雄升级调参!$C$22</x:f>
        <x:v>龟尼克</x:v>
      </x:c>
      <x:c r="C799" s="6" t="str">
        <x:f>英雄升级调参!$D$22</x:f>
        <x:v>生存者</x:v>
      </x:c>
      <x:c r="D799" s="6" t="s">
        <x:v>25</x:v>
      </x:c>
      <x:c r="E799" s="6">
        <x:v>31</x:v>
      </x:c>
      <x:c r="F799" s="6" t="n">
        <x:f>英雄升级调参!$C$96</x:f>
        <x:v>7</x:v>
      </x:c>
      <x:c r="G799" s="12">
        <x:f t="shared" si="71"/>
        <x:v>3796</x:v>
      </x:c>
      <x:c r="H799" s="12">
        <x:f t="shared" si="72"/>
        <x:v>59318</x:v>
      </x:c>
      <x:c r="I799" s="12">
        <x:f t="shared" si="73"/>
        <x:v>225171128</x:v>
      </x:c>
      <x:c r="J799" s="12">
        <x:f>ROUND(英雄升级调参!$D$96*英雄升级调参!$J$11*英雄升级调参!$E$22,0)</x:f>
        <x:v>144</x:v>
      </x:c>
      <x:c r="K799" s="12">
        <x:f>ROUND(英雄升级调参!$D$96*英雄升级调参!$C$11*英雄升级调参!$J$11*英雄升级调参!$G$22,0)</x:f>
        <x:v>2250</x:v>
      </x:c>
      <x:c r="L799" s="12" t="n">
        <x:f>养成消耗调参!$E$178</x:f>
        <x:v>1344</x:v>
      </x:c>
      <x:c r="M799" s="12" t="n">
        <x:f>养成消耗调参!$H$178</x:f>
        <x:v>7800</x:v>
      </x:c>
      <x:c r="N799" s="12" t="n">
        <x:f>养成消耗调参!$I$178</x:f>
        <x:v>0</x:v>
      </x:c>
      <x:c r="O799" s="12" t="n">
        <x:f>养成消耗调参!$L$178</x:f>
        <x:v>20256</x:v>
      </x:c>
      <x:c r="P799" s="12" t="n">
        <x:f>养成消耗调参!$O$178</x:f>
        <x:v>117000</x:v>
      </x:c>
      <x:c r="Q799" s="12" t="n">
        <x:f>养成消耗调参!$P$178</x:f>
        <x:v>360</x:v>
      </x:c>
      <x:c r="R799" s="13">
        <x:f>I799/英雄升级调参!$M$96-1</x:f>
        <x:v>-0.001905341942781913</x:v>
      </x:c>
      <x:c r="S799" s="6"/>
      <x:c r="T799" s="6"/>
      <x:c r="U799" s="6"/>
    </x:row>
    <x:row r="800" ht="21" customHeight="1">
      <x:c r="A800" s="14" t="n">
        <x:f>英雄升级调参!$B$22</x:f>
        <x:v>310004</x:v>
      </x:c>
      <x:c r="B800" s="14" t="str">
        <x:f>英雄升级调参!$C$22</x:f>
        <x:v>龟尼克</x:v>
      </x:c>
      <x:c r="C800" s="6" t="str">
        <x:f>英雄升级调参!$D$22</x:f>
        <x:v>生存者</x:v>
      </x:c>
      <x:c r="D800" s="6" t="s">
        <x:v>25</x:v>
      </x:c>
      <x:c r="E800" s="6">
        <x:v>32</x:v>
      </x:c>
      <x:c r="F800" s="6" t="n">
        <x:f>英雄升级调参!$C$97</x:f>
        <x:v>7</x:v>
      </x:c>
      <x:c r="G800" s="12">
        <x:f t="shared" si="71"/>
        <x:v>3940</x:v>
      </x:c>
      <x:c r="H800" s="12">
        <x:f t="shared" si="72"/>
        <x:v>61568</x:v>
      </x:c>
      <x:c r="I800" s="12">
        <x:f t="shared" si="73"/>
        <x:v>242577920</x:v>
      </x:c>
      <x:c r="J800" s="12">
        <x:f>ROUND(英雄升级调参!$D$97*英雄升级调参!$J$11*英雄升级调参!$E$22,0)</x:f>
        <x:v>144</x:v>
      </x:c>
      <x:c r="K800" s="12">
        <x:f>ROUND(英雄升级调参!$D$97*英雄升级调参!$C$11*英雄升级调参!$J$11*英雄升级调参!$G$22,0)</x:f>
        <x:v>2250</x:v>
      </x:c>
      <x:c r="L800" s="12" t="n">
        <x:f>养成消耗调参!$E$179</x:f>
        <x:v>1440</x:v>
      </x:c>
      <x:c r="M800" s="12" t="n">
        <x:f>养成消耗调参!$H$179</x:f>
        <x:v>9600</x:v>
      </x:c>
      <x:c r="N800" s="12" t="n">
        <x:f>养成消耗调参!$I$179</x:f>
        <x:v>0</x:v>
      </x:c>
      <x:c r="O800" s="12" t="n">
        <x:f>养成消耗调参!$L$179</x:f>
        <x:v>21696</x:v>
      </x:c>
      <x:c r="P800" s="12" t="n">
        <x:f>养成消耗调参!$O$179</x:f>
        <x:v>126600</x:v>
      </x:c>
      <x:c r="Q800" s="12" t="n">
        <x:f>养成消耗调参!$P$179</x:f>
        <x:v>360</x:v>
      </x:c>
      <x:c r="R800" s="13">
        <x:f>I800/英雄升级调参!$M$97-1</x:f>
        <x:v>-0.001835846921750428</x:v>
      </x:c>
      <x:c r="S800" s="6"/>
      <x:c r="T800" s="6"/>
      <x:c r="U800" s="6"/>
    </x:row>
    <x:row r="801" ht="21" customHeight="1">
      <x:c r="A801" s="14" t="n">
        <x:f>英雄升级调参!$B$22</x:f>
        <x:v>310004</x:v>
      </x:c>
      <x:c r="B801" s="14" t="str">
        <x:f>英雄升级调参!$C$22</x:f>
        <x:v>龟尼克</x:v>
      </x:c>
      <x:c r="C801" s="6" t="str">
        <x:f>英雄升级调参!$D$22</x:f>
        <x:v>生存者</x:v>
      </x:c>
      <x:c r="D801" s="6" t="s">
        <x:v>25</x:v>
      </x:c>
      <x:c r="E801" s="6">
        <x:v>33</x:v>
      </x:c>
      <x:c r="F801" s="6" t="n">
        <x:f>英雄升级调参!$C$98</x:f>
        <x:v>7</x:v>
      </x:c>
      <x:c r="G801" s="12">
        <x:f t="shared" si="71"/>
        <x:v>4084</x:v>
      </x:c>
      <x:c r="H801" s="12">
        <x:f t="shared" si="72"/>
        <x:v>63818</x:v>
      </x:c>
      <x:c r="I801" s="12">
        <x:f t="shared" si="73"/>
        <x:v>260632712</x:v>
      </x:c>
      <x:c r="J801" s="12">
        <x:f>ROUND(英雄升级调参!$D$98*英雄升级调参!$J$11*英雄升级调参!$E$22,0)</x:f>
        <x:v>144</x:v>
      </x:c>
      <x:c r="K801" s="12">
        <x:f>ROUND(英雄升级调参!$D$98*英雄升级调参!$C$11*英雄升级调参!$J$11*英雄升级调参!$G$22,0)</x:f>
        <x:v>2250</x:v>
      </x:c>
      <x:c r="L801" s="12" t="n">
        <x:f>养成消耗调参!$E$180</x:f>
        <x:v>1440</x:v>
      </x:c>
      <x:c r="M801" s="12" t="n">
        <x:f>养成消耗调参!$H$180</x:f>
        <x:v>9600</x:v>
      </x:c>
      <x:c r="N801" s="12" t="n">
        <x:f>养成消耗调参!$I$180</x:f>
        <x:v>0</x:v>
      </x:c>
      <x:c r="O801" s="12" t="n">
        <x:f>养成消耗调参!$L$180</x:f>
        <x:v>23136</x:v>
      </x:c>
      <x:c r="P801" s="12" t="n">
        <x:f>养成消耗调参!$O$180</x:f>
        <x:v>136200</x:v>
      </x:c>
      <x:c r="Q801" s="12" t="n">
        <x:f>养成消耗调参!$P$180</x:f>
        <x:v>360</x:v>
      </x:c>
      <x:c r="R801" s="13">
        <x:f>I801/英雄升级调参!$M$98-1</x:f>
        <x:v>-0.0017712429959687581</x:v>
      </x:c>
      <x:c r="S801" s="6"/>
      <x:c r="T801" s="6"/>
      <x:c r="U801" s="6"/>
    </x:row>
    <x:row r="802" ht="21" customHeight="1">
      <x:c r="A802" s="14" t="n">
        <x:f>英雄升级调参!$B$22</x:f>
        <x:v>310004</x:v>
      </x:c>
      <x:c r="B802" s="14" t="str">
        <x:f>英雄升级调参!$C$22</x:f>
        <x:v>龟尼克</x:v>
      </x:c>
      <x:c r="C802" s="6" t="str">
        <x:f>英雄升级调参!$D$22</x:f>
        <x:v>生存者</x:v>
      </x:c>
      <x:c r="D802" s="6" t="s">
        <x:v>25</x:v>
      </x:c>
      <x:c r="E802" s="6">
        <x:v>34</x:v>
      </x:c>
      <x:c r="F802" s="6" t="n">
        <x:f>英雄升级调参!$C$99</x:f>
        <x:v>7</x:v>
      </x:c>
      <x:c r="G802" s="12">
        <x:f t="shared" ref="G802:G818" si="74">G801+J802</x:f>
        <x:v>4228</x:v>
      </x:c>
      <x:c r="H802" s="12">
        <x:f t="shared" ref="H802:H818" si="75">H801+K802</x:f>
        <x:v>66068</x:v>
      </x:c>
      <x:c r="I802" s="12">
        <x:f t="shared" si="73"/>
        <x:v>279335504</x:v>
      </x:c>
      <x:c r="J802" s="12">
        <x:f>ROUND(英雄升级调参!$D$99*英雄升级调参!$J$11*英雄升级调参!$E$22,0)</x:f>
        <x:v>144</x:v>
      </x:c>
      <x:c r="K802" s="12">
        <x:f>ROUND(英雄升级调参!$D$99*英雄升级调参!$C$11*英雄升级调参!$J$11*英雄升级调参!$G$22,0)</x:f>
        <x:v>2250</x:v>
      </x:c>
      <x:c r="L802" s="12" t="n">
        <x:f>养成消耗调参!$E$181</x:f>
        <x:v>1536</x:v>
      </x:c>
      <x:c r="M802" s="12" t="n">
        <x:f>养成消耗调参!$H$181</x:f>
        <x:v>9600</x:v>
      </x:c>
      <x:c r="N802" s="12" t="n">
        <x:f>养成消耗调参!$I$181</x:f>
        <x:v>0</x:v>
      </x:c>
      <x:c r="O802" s="12" t="n">
        <x:f>养成消耗调参!$L$181</x:f>
        <x:v>24672</x:v>
      </x:c>
      <x:c r="P802" s="12" t="n">
        <x:f>养成消耗调参!$O$181</x:f>
        <x:v>145800</x:v>
      </x:c>
      <x:c r="Q802" s="12" t="n">
        <x:f>养成消耗调参!$P$181</x:f>
        <x:v>360</x:v>
      </x:c>
      <x:c r="R802" s="13">
        <x:f>I802/英雄升级调参!$M$99-1</x:f>
        <x:v>-0.0017110313617845208</x:v>
      </x:c>
      <x:c r="S802" s="6"/>
      <x:c r="T802" s="6"/>
      <x:c r="U802" s="6"/>
    </x:row>
    <x:row r="803" ht="21" customHeight="1">
      <x:c r="A803" s="14" t="n">
        <x:f>英雄升级调参!$B$22</x:f>
        <x:v>310004</x:v>
      </x:c>
      <x:c r="B803" s="14" t="str">
        <x:f>英雄升级调参!$C$22</x:f>
        <x:v>龟尼克</x:v>
      </x:c>
      <x:c r="C803" s="6" t="str">
        <x:f>英雄升级调参!$D$22</x:f>
        <x:v>生存者</x:v>
      </x:c>
      <x:c r="D803" s="6" t="s">
        <x:v>25</x:v>
      </x:c>
      <x:c r="E803" s="6">
        <x:v>35</x:v>
      </x:c>
      <x:c r="F803" s="6" t="n">
        <x:f>英雄升级调参!$C$100</x:f>
        <x:v>7</x:v>
      </x:c>
      <x:c r="G803" s="12">
        <x:f t="shared" si="74"/>
        <x:v>4660</x:v>
      </x:c>
      <x:c r="H803" s="12">
        <x:f t="shared" si="75"/>
        <x:v>72818</x:v>
      </x:c>
      <x:c r="I803" s="12">
        <x:f t="shared" si="73"/>
        <x:v>339331880</x:v>
      </x:c>
      <x:c r="J803" s="12">
        <x:f>ROUND(英雄升级调参!$D$100*英雄升级调参!$J$11*英雄升级调参!$E$22,0)*3</x:f>
        <x:v>432</x:v>
      </x:c>
      <x:c r="K803" s="12">
        <x:f>ROUND(英雄升级调参!$D$100*英雄升级调参!$C$11*英雄升级调参!$J$11*英雄升级调参!$G$22,0)*3</x:f>
        <x:v>6750</x:v>
      </x:c>
      <x:c r="L803" s="12" t="n">
        <x:f>养成消耗调参!$E$182</x:f>
        <x:v>1536</x:v>
      </x:c>
      <x:c r="M803" s="12" t="n">
        <x:f>养成消耗调参!$H$182</x:f>
        <x:v>9600</x:v>
      </x:c>
      <x:c r="N803" s="12" t="n">
        <x:f>养成消耗调参!$I$182</x:f>
        <x:v>130</x:v>
      </x:c>
      <x:c r="O803" s="12" t="n">
        <x:f>养成消耗调参!$L$182</x:f>
        <x:v>26208</x:v>
      </x:c>
      <x:c r="P803" s="12" t="n">
        <x:f>养成消耗调参!$O$182</x:f>
        <x:v>155400</x:v>
      </x:c>
      <x:c r="Q803" s="12" t="n">
        <x:f>养成消耗调参!$P$182</x:f>
        <x:v>490</x:v>
      </x:c>
      <x:c r="R803" s="13">
        <x:f>I803/英雄升级调参!$M$100-1</x:f>
        <x:v>-0.0015526853995506684</x:v>
      </x:c>
      <x:c r="S803" s="6"/>
      <x:c r="T803" s="6"/>
      <x:c r="U803" s="6"/>
    </x:row>
    <x:row r="804" ht="21" customHeight="1">
      <x:c r="A804" s="14" t="n">
        <x:f>英雄升级调参!$B$22</x:f>
        <x:v>310004</x:v>
      </x:c>
      <x:c r="B804" s="14" t="str">
        <x:f>英雄升级调参!$C$22</x:f>
        <x:v>龟尼克</x:v>
      </x:c>
      <x:c r="C804" s="6" t="str">
        <x:f>英雄升级调参!$D$22</x:f>
        <x:v>生存者</x:v>
      </x:c>
      <x:c r="D804" s="6" t="s">
        <x:v>25</x:v>
      </x:c>
      <x:c r="E804" s="6">
        <x:v>36</x:v>
      </x:c>
      <x:c r="F804" s="6" t="n">
        <x:f>英雄升级调参!$C$101</x:f>
        <x:v>8</x:v>
      </x:c>
      <x:c r="G804" s="12">
        <x:f t="shared" si="74"/>
        <x:v>4822</x:v>
      </x:c>
      <x:c r="H804" s="12">
        <x:f t="shared" si="75"/>
        <x:v>75349</x:v>
      </x:c>
      <x:c r="I804" s="12">
        <x:f t="shared" si="73"/>
        <x:v>363332878</x:v>
      </x:c>
      <x:c r="J804" s="12">
        <x:f>ROUND(英雄升级调参!$D$101*英雄升级调参!$J$11*英雄升级调参!$E$22,0)</x:f>
        <x:v>162</x:v>
      </x:c>
      <x:c r="K804" s="12">
        <x:f>ROUND(英雄升级调参!$D$101*英雄升级调参!$C$11*英雄升级调参!$J$11*英雄升级调参!$G$22,0)</x:f>
        <x:v>2531</x:v>
      </x:c>
      <x:c r="L804" s="12" t="n">
        <x:f>养成消耗调参!$E$183</x:f>
        <x:v>1632</x:v>
      </x:c>
      <x:c r="M804" s="12" t="n">
        <x:f>养成消耗调参!$H$183</x:f>
        <x:v>9600</x:v>
      </x:c>
      <x:c r="N804" s="12" t="n">
        <x:f>养成消耗调参!$I$183</x:f>
        <x:v>0</x:v>
      </x:c>
      <x:c r="O804" s="12" t="n">
        <x:f>养成消耗调参!$L$183</x:f>
        <x:v>27840</x:v>
      </x:c>
      <x:c r="P804" s="12" t="n">
        <x:f>养成消耗调参!$O$183</x:f>
        <x:v>165000</x:v>
      </x:c>
      <x:c r="Q804" s="12" t="n">
        <x:f>养成消耗调参!$P$183</x:f>
        <x:v>490</x:v>
      </x:c>
      <x:c r="R804" s="13">
        <x:f>I804/英雄升级调参!$M$101-1</x:f>
        <x:v>-0.001586605444979794</x:v>
      </x:c>
      <x:c r="S804" s="6"/>
      <x:c r="T804" s="6"/>
      <x:c r="U804" s="6"/>
    </x:row>
    <x:row r="805" ht="21" customHeight="1">
      <x:c r="A805" s="14" t="n">
        <x:f>英雄升级调参!$B$22</x:f>
        <x:v>310004</x:v>
      </x:c>
      <x:c r="B805" s="14" t="str">
        <x:f>英雄升级调参!$C$22</x:f>
        <x:v>龟尼克</x:v>
      </x:c>
      <x:c r="C805" s="6" t="str">
        <x:f>英雄升级调参!$D$22</x:f>
        <x:v>生存者</x:v>
      </x:c>
      <x:c r="D805" s="6" t="s">
        <x:v>25</x:v>
      </x:c>
      <x:c r="E805" s="6">
        <x:v>37</x:v>
      </x:c>
      <x:c r="F805" s="6" t="n">
        <x:f>英雄升级调参!$C$102</x:f>
        <x:v>8</x:v>
      </x:c>
      <x:c r="G805" s="12">
        <x:f t="shared" si="74"/>
        <x:v>4984</x:v>
      </x:c>
      <x:c r="H805" s="12">
        <x:f t="shared" si="75"/>
        <x:v>77880</x:v>
      </x:c>
      <x:c r="I805" s="12">
        <x:f t="shared" si="73"/>
        <x:v>388153920</x:v>
      </x:c>
      <x:c r="J805" s="12">
        <x:f>ROUND(英雄升级调参!$D$102*英雄升级调参!$J$11*英雄升级调参!$E$22,0)</x:f>
        <x:v>162</x:v>
      </x:c>
      <x:c r="K805" s="12">
        <x:f>ROUND(英雄升级调参!$D$102*英雄升级调参!$C$11*英雄升级调参!$J$11*英雄升级调参!$G$22,0)</x:f>
        <x:v>2531</x:v>
      </x:c>
      <x:c r="L805" s="12" t="n">
        <x:f>养成消耗调参!$E$184</x:f>
        <x:v>1632</x:v>
      </x:c>
      <x:c r="M805" s="12" t="n">
        <x:f>养成消耗调参!$H$184</x:f>
        <x:v>11400</x:v>
      </x:c>
      <x:c r="N805" s="12" t="n">
        <x:f>养成消耗调参!$I$184</x:f>
        <x:v>0</x:v>
      </x:c>
      <x:c r="O805" s="12" t="n">
        <x:f>养成消耗调参!$L$184</x:f>
        <x:v>29472</x:v>
      </x:c>
      <x:c r="P805" s="12" t="n">
        <x:f>养成消耗调参!$O$184</x:f>
        <x:v>176400</x:v>
      </x:c>
      <x:c r="Q805" s="12" t="n">
        <x:f>养成消耗调参!$P$184</x:f>
        <x:v>490</x:v>
      </x:c>
      <x:c r="R805" s="13">
        <x:f>I805/英雄升级调参!$M$102-1</x:f>
        <x:v>-0.0016183188211925659</x:v>
      </x:c>
      <x:c r="S805" s="6"/>
      <x:c r="T805" s="6"/>
      <x:c r="U805" s="6"/>
    </x:row>
    <x:row r="806" ht="21" customHeight="1">
      <x:c r="A806" s="14" t="n">
        <x:f>英雄升级调参!$B$22</x:f>
        <x:v>310004</x:v>
      </x:c>
      <x:c r="B806" s="14" t="str">
        <x:f>英雄升级调参!$C$22</x:f>
        <x:v>龟尼克</x:v>
      </x:c>
      <x:c r="C806" s="6" t="str">
        <x:f>英雄升级调参!$D$22</x:f>
        <x:v>生存者</x:v>
      </x:c>
      <x:c r="D806" s="6" t="s">
        <x:v>25</x:v>
      </x:c>
      <x:c r="E806" s="6">
        <x:v>38</x:v>
      </x:c>
      <x:c r="F806" s="6" t="n">
        <x:f>英雄升级调参!$C$103</x:f>
        <x:v>8</x:v>
      </x:c>
      <x:c r="G806" s="12">
        <x:f t="shared" si="74"/>
        <x:v>5146</x:v>
      </x:c>
      <x:c r="H806" s="12">
        <x:f t="shared" si="75"/>
        <x:v>80411</x:v>
      </x:c>
      <x:c r="I806" s="12">
        <x:f t="shared" si="73"/>
        <x:v>413795006</x:v>
      </x:c>
      <x:c r="J806" s="12">
        <x:f>ROUND(英雄升级调参!$D$103*英雄升级调参!$J$11*英雄升级调参!$E$22,0)</x:f>
        <x:v>162</x:v>
      </x:c>
      <x:c r="K806" s="12">
        <x:f>ROUND(英雄升级调参!$D$103*英雄升级调参!$C$11*英雄升级调参!$J$11*英雄升级调参!$G$22,0)</x:f>
        <x:v>2531</x:v>
      </x:c>
      <x:c r="L806" s="12" t="n">
        <x:f>养成消耗调参!$E$185</x:f>
        <x:v>1728</x:v>
      </x:c>
      <x:c r="M806" s="12" t="n">
        <x:f>养成消耗调参!$H$185</x:f>
        <x:v>11400</x:v>
      </x:c>
      <x:c r="N806" s="12" t="n">
        <x:f>养成消耗调参!$I$185</x:f>
        <x:v>0</x:v>
      </x:c>
      <x:c r="O806" s="12" t="n">
        <x:f>养成消耗调参!$L$185</x:f>
        <x:v>31200</x:v>
      </x:c>
      <x:c r="P806" s="12" t="n">
        <x:f>养成消耗调参!$O$185</x:f>
        <x:v>187800</x:v>
      </x:c>
      <x:c r="Q806" s="12" t="n">
        <x:f>养成消耗调参!$P$185</x:f>
        <x:v>490</x:v>
      </x:c>
      <x:c r="R806" s="13">
        <x:f>I806/英雄升级调参!$M$103-1</x:f>
        <x:v>-0.0016480340769770008</x:v>
      </x:c>
      <x:c r="S806" s="6"/>
      <x:c r="T806" s="6"/>
      <x:c r="U806" s="6"/>
    </x:row>
    <x:row r="807" ht="21" customHeight="1">
      <x:c r="A807" s="14" t="n">
        <x:f>英雄升级调参!$B$22</x:f>
        <x:v>310004</x:v>
      </x:c>
      <x:c r="B807" s="14" t="str">
        <x:f>英雄升级调参!$C$22</x:f>
        <x:v>龟尼克</x:v>
      </x:c>
      <x:c r="C807" s="6" t="str">
        <x:f>英雄升级调参!$D$22</x:f>
        <x:v>生存者</x:v>
      </x:c>
      <x:c r="D807" s="6" t="s">
        <x:v>25</x:v>
      </x:c>
      <x:c r="E807" s="6">
        <x:v>39</x:v>
      </x:c>
      <x:c r="F807" s="6" t="n">
        <x:f>英雄升级调参!$C$104</x:f>
        <x:v>8</x:v>
      </x:c>
      <x:c r="G807" s="12">
        <x:f t="shared" si="74"/>
        <x:v>5308</x:v>
      </x:c>
      <x:c r="H807" s="12">
        <x:f t="shared" si="75"/>
        <x:v>82942</x:v>
      </x:c>
      <x:c r="I807" s="12">
        <x:f t="shared" si="73"/>
        <x:v>440256136</x:v>
      </x:c>
      <x:c r="J807" s="12">
        <x:f>ROUND(英雄升级调参!$D$104*英雄升级调参!$J$11*英雄升级调参!$E$22,0)</x:f>
        <x:v>162</x:v>
      </x:c>
      <x:c r="K807" s="12">
        <x:f>ROUND(英雄升级调参!$D$104*英雄升级调参!$C$11*英雄升级调参!$J$11*英雄升级调参!$G$22,0)</x:f>
        <x:v>2531</x:v>
      </x:c>
      <x:c r="L807" s="12" t="n">
        <x:f>养成消耗调参!$E$186</x:f>
        <x:v>1728</x:v>
      </x:c>
      <x:c r="M807" s="12" t="n">
        <x:f>养成消耗调参!$H$186</x:f>
        <x:v>11400</x:v>
      </x:c>
      <x:c r="N807" s="12" t="n">
        <x:f>养成消耗调参!$I$186</x:f>
        <x:v>0</x:v>
      </x:c>
      <x:c r="O807" s="12" t="n">
        <x:f>养成消耗调参!$L$186</x:f>
        <x:v>32928</x:v>
      </x:c>
      <x:c r="P807" s="12" t="n">
        <x:f>养成消耗调参!$O$186</x:f>
        <x:v>199200</x:v>
      </x:c>
      <x:c r="Q807" s="12" t="n">
        <x:f>养成消耗调参!$P$186</x:f>
        <x:v>490</x:v>
      </x:c>
      <x:c r="R807" s="13">
        <x:f>I807/英雄升级调参!$M$104-1</x:f>
        <x:v>-0.001675934284230296</x:v>
      </x:c>
      <x:c r="S807" s="6"/>
      <x:c r="T807" s="6"/>
      <x:c r="U807" s="6"/>
    </x:row>
    <x:row r="808" ht="21" customHeight="1">
      <x:c r="A808" s="14" t="n">
        <x:f>英雄升级调参!$B$22</x:f>
        <x:v>310004</x:v>
      </x:c>
      <x:c r="B808" s="14" t="str">
        <x:f>英雄升级调参!$C$22</x:f>
        <x:v>龟尼克</x:v>
      </x:c>
      <x:c r="C808" s="6" t="str">
        <x:f>英雄升级调参!$D$22</x:f>
        <x:v>生存者</x:v>
      </x:c>
      <x:c r="D808" s="6" t="s">
        <x:v>25</x:v>
      </x:c>
      <x:c r="E808" s="6">
        <x:v>40</x:v>
      </x:c>
      <x:c r="F808" s="6" t="n">
        <x:f>英雄升级调参!$C$105</x:f>
        <x:v>8</x:v>
      </x:c>
      <x:c r="G808" s="12">
        <x:f t="shared" si="74"/>
        <x:v>5794</x:v>
      </x:c>
      <x:c r="H808" s="12">
        <x:f t="shared" si="75"/>
        <x:v>90535</x:v>
      </x:c>
      <x:c r="I808" s="12">
        <x:f t="shared" si="73"/>
        <x:v>524559790</x:v>
      </x:c>
      <x:c r="J808" s="12">
        <x:f>ROUND(英雄升级调参!$D$105*英雄升级调参!$J$11*英雄升级调参!$E$22,0)*3</x:f>
        <x:v>486</x:v>
      </x:c>
      <x:c r="K808" s="12">
        <x:f>ROUND(英雄升级调参!$D$105*英雄升级调参!$C$11*英雄升级调参!$J$11*英雄升级调参!$G$22,0)*3</x:f>
        <x:v>7593</x:v>
      </x:c>
      <x:c r="L808" s="12" t="n">
        <x:f>养成消耗调参!$E$187</x:f>
        <x:v>1824</x:v>
      </x:c>
      <x:c r="M808" s="12" t="n">
        <x:f>养成消耗调参!$H$187</x:f>
        <x:v>11400</x:v>
      </x:c>
      <x:c r="N808" s="12" t="n">
        <x:f>养成消耗调参!$I$187</x:f>
        <x:v>150</x:v>
      </x:c>
      <x:c r="O808" s="12" t="n">
        <x:f>养成消耗调参!$L$187</x:f>
        <x:v>34752</x:v>
      </x:c>
      <x:c r="P808" s="12" t="n">
        <x:f>养成消耗调参!$O$187</x:f>
        <x:v>210600</x:v>
      </x:c>
      <x:c r="Q808" s="12" t="n">
        <x:f>养成消耗调参!$P$187</x:f>
        <x:v>640</x:v>
      </x:c>
      <x:c r="R808" s="13">
        <x:f>I808/英雄升级调参!$M$105-1</x:f>
        <x:v>-0.0017502680218631772</x:v>
      </x:c>
      <x:c r="S808" s="6"/>
      <x:c r="T808" s="6"/>
      <x:c r="U808" s="6"/>
    </x:row>
    <x:row r="809" ht="21" customHeight="1">
      <x:c r="A809" s="14" t="n">
        <x:f>英雄升级调参!$B$22</x:f>
        <x:v>310004</x:v>
      </x:c>
      <x:c r="B809" s="14" t="str">
        <x:f>英雄升级调参!$C$22</x:f>
        <x:v>龟尼克</x:v>
      </x:c>
      <x:c r="C809" s="6" t="str">
        <x:f>英雄升级调参!$D$22</x:f>
        <x:v>生存者</x:v>
      </x:c>
      <x:c r="D809" s="6" t="s">
        <x:v>25</x:v>
      </x:c>
      <x:c r="E809" s="6">
        <x:v>41</x:v>
      </x:c>
      <x:c r="F809" s="6" t="n">
        <x:f>英雄升级调参!$C$106</x:f>
        <x:v>9</x:v>
      </x:c>
      <x:c r="G809" s="12">
        <x:f t="shared" si="74"/>
        <x:v>5974</x:v>
      </x:c>
      <x:c r="H809" s="12">
        <x:f t="shared" si="75"/>
        <x:v>93348</x:v>
      </x:c>
      <x:c r="I809" s="12">
        <x:f t="shared" si="73"/>
        <x:v>557660952</x:v>
      </x:c>
      <x:c r="J809" s="12">
        <x:f>ROUND(英雄升级调参!$D$106*英雄升级调参!$J$11*英雄升级调参!$E$22,0)</x:f>
        <x:v>180</x:v>
      </x:c>
      <x:c r="K809" s="12">
        <x:f>ROUND(英雄升级调参!$D$106*英雄升级调参!$C$11*英雄升级调参!$J$11*英雄升级调参!$G$22,0)</x:f>
        <x:v>2813</x:v>
      </x:c>
      <x:c r="L809" s="12" t="n">
        <x:f>养成消耗调参!$E$188</x:f>
        <x:v>1824</x:v>
      </x:c>
      <x:c r="M809" s="12" t="n">
        <x:f>养成消耗调参!$H$188</x:f>
        <x:v>11400</x:v>
      </x:c>
      <x:c r="N809" s="12" t="n">
        <x:f>养成消耗调参!$I$188</x:f>
        <x:v>0</x:v>
      </x:c>
      <x:c r="O809" s="12" t="n">
        <x:f>养成消耗调参!$L$188</x:f>
        <x:v>36576</x:v>
      </x:c>
      <x:c r="P809" s="12" t="n">
        <x:f>养成消耗调参!$O$188</x:f>
        <x:v>222000</x:v>
      </x:c>
      <x:c r="Q809" s="12" t="n">
        <x:f>养成消耗调参!$P$188</x:f>
        <x:v>640</x:v>
      </x:c>
      <x:c r="R809" s="13">
        <x:f>I809/英雄升级调参!$M$106-1</x:f>
        <x:v>-0.0016922796086767944</x:v>
      </x:c>
      <x:c r="S809" s="6"/>
      <x:c r="T809" s="6"/>
      <x:c r="U809" s="6"/>
    </x:row>
    <x:row r="810" ht="21" customHeight="1">
      <x:c r="A810" s="14" t="n">
        <x:f>英雄升级调参!$B$22</x:f>
        <x:v>310004</x:v>
      </x:c>
      <x:c r="B810" s="14" t="str">
        <x:f>英雄升级调参!$C$22</x:f>
        <x:v>龟尼克</x:v>
      </x:c>
      <x:c r="C810" s="6" t="str">
        <x:f>英雄升级调参!$D$22</x:f>
        <x:v>生存者</x:v>
      </x:c>
      <x:c r="D810" s="6" t="s">
        <x:v>25</x:v>
      </x:c>
      <x:c r="E810" s="6">
        <x:v>42</x:v>
      </x:c>
      <x:c r="F810" s="6" t="n">
        <x:f>英雄升级调参!$C$107</x:f>
        <x:v>9</x:v>
      </x:c>
      <x:c r="G810" s="12">
        <x:f t="shared" si="74"/>
        <x:v>6154</x:v>
      </x:c>
      <x:c r="H810" s="12">
        <x:f t="shared" si="75"/>
        <x:v>96161</x:v>
      </x:c>
      <x:c r="I810" s="12">
        <x:f t="shared" si="73"/>
        <x:v>591774794</x:v>
      </x:c>
      <x:c r="J810" s="12">
        <x:f>ROUND(英雄升级调参!$D$107*英雄升级调参!$J$11*英雄升级调参!$E$22,0)</x:f>
        <x:v>180</x:v>
      </x:c>
      <x:c r="K810" s="12">
        <x:f>ROUND(英雄升级调参!$D$107*英雄升级调参!$C$11*英雄升级调参!$J$11*英雄升级调参!$G$22,0)</x:f>
        <x:v>2813</x:v>
      </x:c>
      <x:c r="L810" s="12" t="n">
        <x:f>养成消耗调参!$E$189</x:f>
        <x:v>1920</x:v>
      </x:c>
      <x:c r="M810" s="12" t="n">
        <x:f>养成消耗调参!$H$189</x:f>
        <x:v>13200</x:v>
      </x:c>
      <x:c r="N810" s="12" t="n">
        <x:f>养成消耗调参!$I$189</x:f>
        <x:v>0</x:v>
      </x:c>
      <x:c r="O810" s="12" t="n">
        <x:f>养成消耗调参!$L$189</x:f>
        <x:v>38496</x:v>
      </x:c>
      <x:c r="P810" s="12" t="n">
        <x:f>养成消耗调参!$O$189</x:f>
        <x:v>235200</x:v>
      </x:c>
      <x:c r="Q810" s="12" t="n">
        <x:f>养成消耗调参!$P$189</x:f>
        <x:v>640</x:v>
      </x:c>
      <x:c r="R810" s="13">
        <x:f>I810/英雄升级调参!$M$107-1</x:f>
        <x:v>-0.0016376774977565622</x:v>
      </x:c>
      <x:c r="S810" s="6"/>
      <x:c r="T810" s="6"/>
      <x:c r="U810" s="6"/>
    </x:row>
    <x:row r="811" ht="21" customHeight="1">
      <x:c r="A811" s="14" t="n">
        <x:f>英雄升级调参!$B$22</x:f>
        <x:v>310004</x:v>
      </x:c>
      <x:c r="B811" s="14" t="str">
        <x:f>英雄升级调参!$C$22</x:f>
        <x:v>龟尼克</x:v>
      </x:c>
      <x:c r="C811" s="6" t="str">
        <x:f>英雄升级调参!$D$22</x:f>
        <x:v>生存者</x:v>
      </x:c>
      <x:c r="D811" s="6" t="s">
        <x:v>25</x:v>
      </x:c>
      <x:c r="E811" s="6">
        <x:v>43</x:v>
      </x:c>
      <x:c r="F811" s="6" t="n">
        <x:f>英雄升级调参!$C$108</x:f>
        <x:v>9</x:v>
      </x:c>
      <x:c r="G811" s="12">
        <x:f t="shared" si="74"/>
        <x:v>6334</x:v>
      </x:c>
      <x:c r="H811" s="12">
        <x:f t="shared" si="75"/>
        <x:v>98974</x:v>
      </x:c>
      <x:c r="I811" s="12">
        <x:f t="shared" si="73"/>
        <x:v>626901316</x:v>
      </x:c>
      <x:c r="J811" s="12">
        <x:f>ROUND(英雄升级调参!$D$108*英雄升级调参!$J$11*英雄升级调参!$E$22,0)</x:f>
        <x:v>180</x:v>
      </x:c>
      <x:c r="K811" s="12">
        <x:f>ROUND(英雄升级调参!$D$108*英雄升级调参!$C$11*英雄升级调参!$J$11*英雄升级调参!$G$22,0)</x:f>
        <x:v>2813</x:v>
      </x:c>
      <x:c r="L811" s="12" t="n">
        <x:f>养成消耗调参!$E$190</x:f>
        <x:v>1920</x:v>
      </x:c>
      <x:c r="M811" s="12" t="n">
        <x:f>养成消耗调参!$H$190</x:f>
        <x:v>13200</x:v>
      </x:c>
      <x:c r="N811" s="12" t="n">
        <x:f>养成消耗调参!$I$190</x:f>
        <x:v>0</x:v>
      </x:c>
      <x:c r="O811" s="12" t="n">
        <x:f>养成消耗调参!$L$190</x:f>
        <x:v>40416</x:v>
      </x:c>
      <x:c r="P811" s="12" t="n">
        <x:f>养成消耗调参!$O$190</x:f>
        <x:v>248400</x:v>
      </x:c>
      <x:c r="Q811" s="12" t="n">
        <x:f>养成消耗调参!$P$190</x:f>
        <x:v>640</x:v>
      </x:c>
      <x:c r="R811" s="13">
        <x:f>I811/英雄升级调参!$M$108-1</x:f>
        <x:v>-0.0015861734834425878</x:v>
      </x:c>
      <x:c r="S811" s="6"/>
      <x:c r="T811" s="6"/>
      <x:c r="U811" s="6"/>
    </x:row>
    <x:row r="812" ht="21" customHeight="1">
      <x:c r="A812" s="14" t="n">
        <x:f>英雄升级调参!$B$22</x:f>
        <x:v>310004</x:v>
      </x:c>
      <x:c r="B812" s="14" t="str">
        <x:f>英雄升级调参!$C$22</x:f>
        <x:v>龟尼克</x:v>
      </x:c>
      <x:c r="C812" s="6" t="str">
        <x:f>英雄升级调参!$D$22</x:f>
        <x:v>生存者</x:v>
      </x:c>
      <x:c r="D812" s="6" t="s">
        <x:v>25</x:v>
      </x:c>
      <x:c r="E812" s="6">
        <x:v>44</x:v>
      </x:c>
      <x:c r="F812" s="6" t="n">
        <x:f>英雄升级调参!$C$109</x:f>
        <x:v>9</x:v>
      </x:c>
      <x:c r="G812" s="12">
        <x:f t="shared" si="74"/>
        <x:v>6514</x:v>
      </x:c>
      <x:c r="H812" s="12">
        <x:f t="shared" si="75"/>
        <x:v>101787</x:v>
      </x:c>
      <x:c r="I812" s="12">
        <x:f t="shared" si="73"/>
        <x:v>663040518</x:v>
      </x:c>
      <x:c r="J812" s="12">
        <x:f>ROUND(英雄升级调参!$D$109*英雄升级调参!$J$11*英雄升级调参!$E$22,0)</x:f>
        <x:v>180</x:v>
      </x:c>
      <x:c r="K812" s="12">
        <x:f>ROUND(英雄升级调参!$D$109*英雄升级调参!$C$11*英雄升级调参!$J$11*英雄升级调参!$G$22,0)</x:f>
        <x:v>2813</x:v>
      </x:c>
      <x:c r="L812" s="12" t="n">
        <x:f>养成消耗调参!$E$191</x:f>
        <x:v>2016</x:v>
      </x:c>
      <x:c r="M812" s="12" t="n">
        <x:f>养成消耗调参!$H$191</x:f>
        <x:v>13200</x:v>
      </x:c>
      <x:c r="N812" s="12" t="n">
        <x:f>养成消耗调参!$I$191</x:f>
        <x:v>0</x:v>
      </x:c>
      <x:c r="O812" s="12" t="n">
        <x:f>养成消耗调参!$L$191</x:f>
        <x:v>42432</x:v>
      </x:c>
      <x:c r="P812" s="12" t="n">
        <x:f>养成消耗调参!$O$191</x:f>
        <x:v>261600</x:v>
      </x:c>
      <x:c r="Q812" s="12" t="n">
        <x:f>养成消耗调参!$P$191</x:f>
        <x:v>640</x:v>
      </x:c>
      <x:c r="R812" s="13">
        <x:f>I812/英雄升级调参!$M$109-1</x:f>
        <x:v>-0.0015375111631223959</x:v>
      </x:c>
      <x:c r="S812" s="6"/>
      <x:c r="T812" s="6"/>
      <x:c r="U812" s="6"/>
    </x:row>
    <x:row r="813" ht="21" customHeight="1">
      <x:c r="A813" s="14" t="n">
        <x:f>英雄升级调参!$B$22</x:f>
        <x:v>310004</x:v>
      </x:c>
      <x:c r="B813" s="14" t="str">
        <x:f>英雄升级调参!$C$22</x:f>
        <x:v>龟尼克</x:v>
      </x:c>
      <x:c r="C813" s="6" t="str">
        <x:f>英雄升级调参!$D$22</x:f>
        <x:v>生存者</x:v>
      </x:c>
      <x:c r="D813" s="6" t="s">
        <x:v>25</x:v>
      </x:c>
      <x:c r="E813" s="6">
        <x:v>45</x:v>
      </x:c>
      <x:c r="F813" s="6" t="n">
        <x:f>英雄升级调参!$C$110</x:f>
        <x:v>9</x:v>
      </x:c>
      <x:c r="G813" s="12">
        <x:f t="shared" si="74"/>
        <x:v>7054</x:v>
      </x:c>
      <x:c r="H813" s="12">
        <x:f t="shared" si="75"/>
        <x:v>110226</x:v>
      </x:c>
      <x:c r="I813" s="12">
        <x:f t="shared" si="73"/>
        <x:v>777534204</x:v>
      </x:c>
      <x:c r="J813" s="12">
        <x:f>ROUND(英雄升级调参!$D$110*英雄升级调参!$J$11*英雄升级调参!$E$22,0)*3</x:f>
        <x:v>540</x:v>
      </x:c>
      <x:c r="K813" s="12">
        <x:f>ROUND(英雄升级调参!$D$110*英雄升级调参!$C$11*英雄升级调参!$J$11*英雄升级调参!$G$22,0)*3</x:f>
        <x:v>8439</x:v>
      </x:c>
      <x:c r="L813" s="12" t="n">
        <x:f>养成消耗调参!$E$192</x:f>
        <x:v>2016</x:v>
      </x:c>
      <x:c r="M813" s="12" t="n">
        <x:f>养成消耗调参!$H$192</x:f>
        <x:v>13200</x:v>
      </x:c>
      <x:c r="N813" s="12" t="n">
        <x:f>养成消耗调参!$I$192</x:f>
        <x:v>170</x:v>
      </x:c>
      <x:c r="O813" s="12" t="n">
        <x:f>养成消耗调参!$L$192</x:f>
        <x:v>44448</x:v>
      </x:c>
      <x:c r="P813" s="12" t="n">
        <x:f>养成消耗调参!$O$192</x:f>
        <x:v>274800</x:v>
      </x:c>
      <x:c r="Q813" s="12" t="n">
        <x:f>养成消耗调参!$P$192</x:f>
        <x:v>810</x:v>
      </x:c>
      <x:c r="R813" s="13">
        <x:f>I813/英雄升级调参!$M$110-1</x:f>
        <x:v>-0.0014064023049120689</x:v>
      </x:c>
      <x:c r="S813" s="6"/>
      <x:c r="T813" s="6"/>
      <x:c r="U813" s="6"/>
    </x:row>
    <x:row r="814" ht="21" customHeight="1">
      <x:c r="A814" s="14" t="n">
        <x:f>英雄升级调参!$B$22</x:f>
        <x:v>310004</x:v>
      </x:c>
      <x:c r="B814" s="14" t="str">
        <x:f>英雄升级调参!$C$22</x:f>
        <x:v>龟尼克</x:v>
      </x:c>
      <x:c r="C814" s="6" t="str">
        <x:f>英雄升级调参!$D$22</x:f>
        <x:v>生存者</x:v>
      </x:c>
      <x:c r="D814" s="6" t="s">
        <x:v>25</x:v>
      </x:c>
      <x:c r="E814" s="6">
        <x:v>46</x:v>
      </x:c>
      <x:c r="F814" s="6" t="n">
        <x:f>英雄升级调参!$C$111</x:f>
        <x:v>10</x:v>
      </x:c>
      <x:c r="G814" s="12">
        <x:f t="shared" si="74"/>
        <x:v>7252</x:v>
      </x:c>
      <x:c r="H814" s="12">
        <x:f t="shared" si="75"/>
        <x:v>113320</x:v>
      </x:c>
      <x:c r="I814" s="12">
        <x:f t="shared" si="73"/>
        <x:v>821796640</x:v>
      </x:c>
      <x:c r="J814" s="12">
        <x:f>ROUND(英雄升级调参!$D$111*英雄升级调参!$J$11*英雄升级调参!$E$22,0)</x:f>
        <x:v>198</x:v>
      </x:c>
      <x:c r="K814" s="12">
        <x:f>ROUND(英雄升级调参!$D$111*英雄升级调参!$C$11*英雄升级调参!$J$11*英雄升级调参!$G$22,0)</x:f>
        <x:v>3094</x:v>
      </x:c>
      <x:c r="L814" s="12" t="n">
        <x:f>养成消耗调参!$E$193</x:f>
        <x:v>2112</x:v>
      </x:c>
      <x:c r="M814" s="12" t="n">
        <x:f>养成消耗调参!$H$193</x:f>
        <x:v>13200</x:v>
      </x:c>
      <x:c r="N814" s="12" t="n">
        <x:f>养成消耗调参!$I$193</x:f>
        <x:v>0</x:v>
      </x:c>
      <x:c r="O814" s="12" t="n">
        <x:f>养成消耗调参!$L$193</x:f>
        <x:v>46560</x:v>
      </x:c>
      <x:c r="P814" s="12" t="n">
        <x:f>养成消耗调参!$O$193</x:f>
        <x:v>288000</x:v>
      </x:c>
      <x:c r="Q814" s="12" t="n">
        <x:f>养成消耗调参!$P$193</x:f>
        <x:v>810</x:v>
      </x:c>
      <x:c r="R814" s="13">
        <x:f>I814/英雄升级调参!$M$111-1</x:f>
        <x:v>-0.0014208546451961457</x:v>
      </x:c>
      <x:c r="S814" s="6"/>
      <x:c r="T814" s="6"/>
      <x:c r="U814" s="6"/>
    </x:row>
    <x:row r="815" ht="21" customHeight="1">
      <x:c r="A815" s="14" t="n">
        <x:f>英雄升级调参!$B$22</x:f>
        <x:v>310004</x:v>
      </x:c>
      <x:c r="B815" s="14" t="str">
        <x:f>英雄升级调参!$C$22</x:f>
        <x:v>龟尼克</x:v>
      </x:c>
      <x:c r="C815" s="6" t="str">
        <x:f>英雄升级调参!$D$22</x:f>
        <x:v>生存者</x:v>
      </x:c>
      <x:c r="D815" s="6" t="s">
        <x:v>25</x:v>
      </x:c>
      <x:c r="E815" s="6">
        <x:v>47</x:v>
      </x:c>
      <x:c r="F815" s="6" t="n">
        <x:f>英雄升级调参!$C$112</x:f>
        <x:v>10</x:v>
      </x:c>
      <x:c r="G815" s="12">
        <x:f t="shared" si="74"/>
        <x:v>7450</x:v>
      </x:c>
      <x:c r="H815" s="12">
        <x:f t="shared" si="75"/>
        <x:v>116414</x:v>
      </x:c>
      <x:c r="I815" s="12">
        <x:f t="shared" si="73"/>
        <x:v>867284300</x:v>
      </x:c>
      <x:c r="J815" s="12">
        <x:f>ROUND(英雄升级调参!$D$112*英雄升级调参!$J$11*英雄升级调参!$E$22,0)</x:f>
        <x:v>198</x:v>
      </x:c>
      <x:c r="K815" s="12">
        <x:f>ROUND(英雄升级调参!$D$112*英雄升级调参!$C$11*英雄升级调参!$J$11*英雄升级调参!$G$22,0)</x:f>
        <x:v>3094</x:v>
      </x:c>
      <x:c r="L815" s="12" t="n">
        <x:f>养成消耗调参!$E$194</x:f>
        <x:v>2112</x:v>
      </x:c>
      <x:c r="M815" s="12" t="n">
        <x:f>养成消耗调参!$H$194</x:f>
        <x:v>15000</x:v>
      </x:c>
      <x:c r="N815" s="12" t="n">
        <x:f>养成消耗调参!$I$194</x:f>
        <x:v>0</x:v>
      </x:c>
      <x:c r="O815" s="12" t="n">
        <x:f>养成消耗调参!$L$194</x:f>
        <x:v>48672</x:v>
      </x:c>
      <x:c r="P815" s="12" t="n">
        <x:f>养成消耗调参!$O$194</x:f>
        <x:v>303000</x:v>
      </x:c>
      <x:c r="Q815" s="12" t="n">
        <x:f>养成消耗调参!$P$194</x:f>
        <x:v>810</x:v>
      </x:c>
      <x:c r="R815" s="13">
        <x:f>I815/英雄升级调参!$M$112-1</x:f>
        <x:v>-0.001434538422058873</x:v>
      </x:c>
      <x:c r="S815" s="6"/>
      <x:c r="T815" s="6"/>
      <x:c r="U815" s="6"/>
    </x:row>
    <x:row r="816" ht="21" customHeight="1">
      <x:c r="A816" s="14" t="n">
        <x:f>英雄升级调参!$B$22</x:f>
        <x:v>310004</x:v>
      </x:c>
      <x:c r="B816" s="14" t="str">
        <x:f>英雄升级调参!$C$22</x:f>
        <x:v>龟尼克</x:v>
      </x:c>
      <x:c r="C816" s="6" t="str">
        <x:f>英雄升级调参!$D$22</x:f>
        <x:v>生存者</x:v>
      </x:c>
      <x:c r="D816" s="6" t="s">
        <x:v>25</x:v>
      </x:c>
      <x:c r="E816" s="6">
        <x:v>48</x:v>
      </x:c>
      <x:c r="F816" s="6" t="n">
        <x:f>英雄升级调参!$C$113</x:f>
        <x:v>10</x:v>
      </x:c>
      <x:c r="G816" s="12">
        <x:f t="shared" si="74"/>
        <x:v>7648</x:v>
      </x:c>
      <x:c r="H816" s="12">
        <x:f t="shared" si="75"/>
        <x:v>119508</x:v>
      </x:c>
      <x:c r="I816" s="12">
        <x:f t="shared" si="73"/>
        <x:v>913997184</x:v>
      </x:c>
      <x:c r="J816" s="12">
        <x:f>ROUND(英雄升级调参!$D$113*英雄升级调参!$J$11*英雄升级调参!$E$22,0)</x:f>
        <x:v>198</x:v>
      </x:c>
      <x:c r="K816" s="12">
        <x:f>ROUND(英雄升级调参!$D$113*英雄升级调参!$C$11*英雄升级调参!$J$11*英雄升级调参!$G$22,0)</x:f>
        <x:v>3094</x:v>
      </x:c>
      <x:c r="L816" s="12" t="n">
        <x:f>养成消耗调参!$E$195</x:f>
        <x:v>2208</x:v>
      </x:c>
      <x:c r="M816" s="12" t="n">
        <x:f>养成消耗调参!$H$195</x:f>
        <x:v>15000</x:v>
      </x:c>
      <x:c r="N816" s="12" t="n">
        <x:f>养成消耗调参!$I$195</x:f>
        <x:v>0</x:v>
      </x:c>
      <x:c r="O816" s="12" t="n">
        <x:f>养成消耗调参!$L$195</x:f>
        <x:v>50880</x:v>
      </x:c>
      <x:c r="P816" s="12" t="n">
        <x:f>养成消耗调参!$O$195</x:f>
        <x:v>318000</x:v>
      </x:c>
      <x:c r="Q816" s="12" t="n">
        <x:f>养成消耗调参!$P$195</x:f>
        <x:v>810</x:v>
      </x:c>
      <x:c r="R816" s="13">
        <x:f>I816/英雄升级调参!$M$113-1</x:f>
        <x:v>-0.0014475133549295416</x:v>
      </x:c>
      <x:c r="S816" s="6"/>
      <x:c r="T816" s="6"/>
      <x:c r="U816" s="6"/>
    </x:row>
    <x:row r="817" ht="21" customHeight="1">
      <x:c r="A817" s="14" t="n">
        <x:f>英雄升级调参!$B$22</x:f>
        <x:v>310004</x:v>
      </x:c>
      <x:c r="B817" s="14" t="str">
        <x:f>英雄升级调参!$C$22</x:f>
        <x:v>龟尼克</x:v>
      </x:c>
      <x:c r="C817" s="6" t="str">
        <x:f>英雄升级调参!$D$22</x:f>
        <x:v>生存者</x:v>
      </x:c>
      <x:c r="D817" s="6" t="s">
        <x:v>25</x:v>
      </x:c>
      <x:c r="E817" s="6">
        <x:v>49</x:v>
      </x:c>
      <x:c r="F817" s="6" t="n">
        <x:f>英雄升级调参!$C$114</x:f>
        <x:v>10</x:v>
      </x:c>
      <x:c r="G817" s="12">
        <x:f t="shared" si="74"/>
        <x:v>7846</x:v>
      </x:c>
      <x:c r="H817" s="12">
        <x:f t="shared" si="75"/>
        <x:v>122602</x:v>
      </x:c>
      <x:c r="I817" s="12">
        <x:f t="shared" si="73"/>
        <x:v>961935292</x:v>
      </x:c>
      <x:c r="J817" s="12">
        <x:f>ROUND(英雄升级调参!$D$114*英雄升级调参!$J$11*英雄升级调参!$E$22,0)</x:f>
        <x:v>198</x:v>
      </x:c>
      <x:c r="K817" s="12">
        <x:f>ROUND(英雄升级调参!$D$114*英雄升级调参!$C$11*英雄升级调参!$J$11*英雄升级调参!$G$22,0)</x:f>
        <x:v>3094</x:v>
      </x:c>
      <x:c r="L817" s="12" t="n">
        <x:f>养成消耗调参!$E$196</x:f>
        <x:v>2208</x:v>
      </x:c>
      <x:c r="M817" s="12" t="n">
        <x:f>养成消耗调参!$H$196</x:f>
        <x:v>15000</x:v>
      </x:c>
      <x:c r="N817" s="12" t="n">
        <x:f>养成消耗调参!$I$196</x:f>
        <x:v>0</x:v>
      </x:c>
      <x:c r="O817" s="12" t="n">
        <x:f>养成消耗调参!$L$196</x:f>
        <x:v>53088</x:v>
      </x:c>
      <x:c r="P817" s="12" t="n">
        <x:f>养成消耗调参!$O$196</x:f>
        <x:v>333000</x:v>
      </x:c>
      <x:c r="Q817" s="12" t="n">
        <x:f>养成消耗调参!$P$196</x:f>
        <x:v>810</x:v>
      </x:c>
      <x:c r="R817" s="13">
        <x:f>I817/英雄升级调参!$M$114-1</x:f>
        <x:v>-0.0014598331322986935</x:v>
      </x:c>
      <x:c r="S817" s="6"/>
      <x:c r="T817" s="6"/>
      <x:c r="U817" s="6"/>
    </x:row>
    <x:row r="818" ht="21" customHeight="1">
      <x:c r="A818" s="14" t="n">
        <x:f>英雄升级调参!$B$22</x:f>
        <x:v>310004</x:v>
      </x:c>
      <x:c r="B818" s="14" t="str">
        <x:f>英雄升级调参!$C$22</x:f>
        <x:v>龟尼克</x:v>
      </x:c>
      <x:c r="C818" s="6" t="str">
        <x:f>英雄升级调参!$D$22</x:f>
        <x:v>生存者</x:v>
      </x:c>
      <x:c r="D818" s="6" t="s">
        <x:v>25</x:v>
      </x:c>
      <x:c r="E818" s="6">
        <x:v>50</x:v>
      </x:c>
      <x:c r="F818" s="6" t="n">
        <x:f>英雄升级调参!$C$115</x:f>
        <x:v>10</x:v>
      </x:c>
      <x:c r="G818" s="12">
        <x:f t="shared" si="74"/>
        <x:v>8440</x:v>
      </x:c>
      <x:c r="H818" s="12">
        <x:f t="shared" si="75"/>
        <x:v>131884</x:v>
      </x:c>
      <x:c r="I818" s="12">
        <x:f t="shared" si="73"/>
        <x:v>1113100960</x:v>
      </x:c>
      <x:c r="J818" s="12">
        <x:f>ROUND(英雄升级调参!$D$115*英雄升级调参!$J$11*英雄升级调参!$E$22,0)*3</x:f>
        <x:v>594</x:v>
      </x:c>
      <x:c r="K818" s="12">
        <x:f>ROUND(英雄升级调参!$D$115*英雄升级调参!$C$11*英雄升级调参!$J$11*英雄升级调参!$G$22,0)*3</x:f>
        <x:v>9282</x:v>
      </x:c>
      <x:c r="L818" s="12" t="n">
        <x:f>养成消耗调参!$E$197</x:f>
        <x:v>2304</x:v>
      </x:c>
      <x:c r="M818" s="12" t="n">
        <x:f>养成消耗调参!$H$197</x:f>
        <x:v>15000</x:v>
      </x:c>
      <x:c r="N818" s="12" t="n">
        <x:f>养成消耗调参!$I$197</x:f>
        <x:v>190</x:v>
      </x:c>
      <x:c r="O818" s="12" t="n">
        <x:f>养成消耗调参!$L$197</x:f>
        <x:v>55392</x:v>
      </x:c>
      <x:c r="P818" s="12" t="n">
        <x:f>养成消耗调参!$O$197</x:f>
        <x:v>348000</x:v>
      </x:c>
      <x:c r="Q818" s="12" t="n">
        <x:f>养成消耗调参!$P$197</x:f>
        <x:v>1000</x:v>
      </x:c>
      <x:c r="R818" s="13">
        <x:f>I818/英雄升级调参!$M$115-1</x:f>
        <x:v>-0.0014933228141719157</x:v>
      </x:c>
      <x:c r="S818" s="6"/>
      <x:c r="T818" s="6"/>
      <x:c r="U818" s="6"/>
    </x:row>
    <x:row r="819" ht="21" customHeight="1">
      <x:c r="A819" s="14" t="n">
        <x:f>英雄升级调参!$B$23</x:f>
        <x:v>310005</x:v>
      </x:c>
      <x:c r="B819" s="14" t="str">
        <x:f>英雄升级调参!$C$23</x:f>
        <x:v>焦焦鸮</x:v>
      </x:c>
      <x:c r="C819" s="6" t="str">
        <x:f>英雄升级调参!$D$23</x:f>
        <x:v>探险家</x:v>
      </x:c>
      <x:c r="D819" s="6" t="s">
        <x:v>18</x:v>
      </x:c>
      <x:c r="E819" s="6">
        <x:v>1</x:v>
      </x:c>
      <x:c r="F819" s="6" t="n">
        <x:f>英雄升级调参!$C$66</x:f>
        <x:v>1</x:v>
      </x:c>
      <x:c r="G819" s="12" t="n">
        <x:f>ROUND(英雄升级调参!$E$66*英雄升级调参!$E$23,0)</x:f>
        <x:v>69</x:v>
      </x:c>
      <x:c r="H819" s="12" t="n">
        <x:f>ROUND(英雄升级调参!$F$66*英雄升级调参!$G$23,0)</x:f>
        <x:v>522</x:v>
      </x:c>
      <x:c r="I819" s="12">
        <x:f t="shared" si="73"/>
        <x:v>36018</x:v>
      </x:c>
      <x:c r="J819" s="12" t="n">
        <x:f>0</x:f>
        <x:v>0</x:v>
      </x:c>
      <x:c r="K819" s="12" t="n">
        <x:f>0</x:f>
        <x:v>0</x:v>
      </x:c>
      <x:c r="L819" s="12" t="n">
        <x:f>养成消耗调参!$C$148</x:f>
        <x:v>0</x:v>
      </x:c>
      <x:c r="M819" s="12" t="n">
        <x:f>养成消耗调参!$F$148</x:f>
        <x:v>0</x:v>
      </x:c>
      <x:c r="N819" s="12" t="n">
        <x:f>养成消耗调参!$I$148</x:f>
        <x:v>0</x:v>
      </x:c>
      <x:c r="O819" s="12" t="n">
        <x:f>养成消耗调参!$J$148</x:f>
        <x:v>0</x:v>
      </x:c>
      <x:c r="P819" s="12" t="n">
        <x:f>养成消耗调参!$M$148</x:f>
        <x:v>0</x:v>
      </x:c>
      <x:c r="Q819" s="12" t="n">
        <x:f>养成消耗调参!$P$148</x:f>
        <x:v>0</x:v>
      </x:c>
      <x:c r="R819" s="13" t="n">
        <x:f>I819/英雄升级调参!$G$66-1</x:f>
        <x:v>0.0004999999999999449</x:v>
      </x:c>
      <x:c r="S819" s="6"/>
      <x:c r="T819" s="6"/>
      <x:c r="U819" s="6"/>
    </x:row>
    <x:row r="820" ht="21" customHeight="1">
      <x:c r="A820" s="14" t="n">
        <x:f>英雄升级调参!$B$23</x:f>
        <x:v>310005</x:v>
      </x:c>
      <x:c r="B820" s="14" t="str">
        <x:f>英雄升级调参!$C$23</x:f>
        <x:v>焦焦鸮</x:v>
      </x:c>
      <x:c r="C820" s="6" t="str">
        <x:f>英雄升级调参!$D$23</x:f>
        <x:v>探险家</x:v>
      </x:c>
      <x:c r="D820" s="6" t="s">
        <x:v>18</x:v>
      </x:c>
      <x:c r="E820" s="6">
        <x:v>2</x:v>
      </x:c>
      <x:c r="F820" s="6" t="n">
        <x:f>英雄升级调参!$C$67</x:f>
        <x:v>1</x:v>
      </x:c>
      <x:c r="G820" s="12">
        <x:f t="shared" ref="G820:G851" si="76">G819+J820</x:f>
        <x:v>90</x:v>
      </x:c>
      <x:c r="H820" s="12">
        <x:f t="shared" ref="H820:H851" si="77">H819+K820</x:f>
        <x:v>679</x:v>
      </x:c>
      <x:c r="I820" s="12">
        <x:f t="shared" si="73"/>
        <x:v>61110</x:v>
      </x:c>
      <x:c r="J820" s="12">
        <x:f>ROUND(英雄升级调参!$D$67*英雄升级调参!$J$9*英雄升级调参!$E$23,0)</x:f>
        <x:v>21</x:v>
      </x:c>
      <x:c r="K820" s="12">
        <x:f>ROUND(英雄升级调参!$D$67*英雄升级调参!$C$11*英雄升级调参!$J$9*英雄升级调参!$G$23,0)</x:f>
        <x:v>157</x:v>
      </x:c>
      <x:c r="L820" s="12" t="n">
        <x:f>养成消耗调参!$C$149</x:f>
        <x:v>24</x:v>
      </x:c>
      <x:c r="M820" s="12" t="n">
        <x:f>养成消耗调参!$F$149</x:f>
        <x:v>300</x:v>
      </x:c>
      <x:c r="N820" s="12" t="n">
        <x:f>养成消耗调参!$I$149</x:f>
        <x:v>0</x:v>
      </x:c>
      <x:c r="O820" s="12" t="n">
        <x:f>养成消耗调参!$J$149</x:f>
        <x:v>24</x:v>
      </x:c>
      <x:c r="P820" s="12" t="n">
        <x:f>养成消耗调参!$M$149</x:f>
        <x:v>300</x:v>
      </x:c>
      <x:c r="Q820" s="12" t="n">
        <x:f>养成消耗调参!$P$149</x:f>
        <x:v>0</x:v>
      </x:c>
      <x:c r="R820" s="13">
        <x:f>I820/英雄升级调参!$G$67-1</x:f>
        <x:v>0.004437869822485174</x:v>
      </x:c>
      <x:c r="S820" s="6"/>
      <x:c r="T820" s="6"/>
      <x:c r="U820" s="6"/>
    </x:row>
    <x:row r="821" ht="21" customHeight="1">
      <x:c r="A821" s="14" t="n">
        <x:f>英雄升级调参!$B$23</x:f>
        <x:v>310005</x:v>
      </x:c>
      <x:c r="B821" s="14" t="str">
        <x:f>英雄升级调参!$C$23</x:f>
        <x:v>焦焦鸮</x:v>
      </x:c>
      <x:c r="C821" s="6" t="str">
        <x:f>英雄升级调参!$D$23</x:f>
        <x:v>探险家</x:v>
      </x:c>
      <x:c r="D821" s="6" t="s">
        <x:v>18</x:v>
      </x:c>
      <x:c r="E821" s="6">
        <x:v>3</x:v>
      </x:c>
      <x:c r="F821" s="6" t="n">
        <x:f>英雄升级调参!$C$68</x:f>
        <x:v>1</x:v>
      </x:c>
      <x:c r="G821" s="12">
        <x:f t="shared" si="76"/>
        <x:v>111</x:v>
      </x:c>
      <x:c r="H821" s="12">
        <x:f t="shared" si="77"/>
        <x:v>836</x:v>
      </x:c>
      <x:c r="I821" s="12">
        <x:f t="shared" si="73"/>
        <x:v>92796</x:v>
      </x:c>
      <x:c r="J821" s="12">
        <x:f>ROUND(英雄升级调参!$D$68*英雄升级调参!$J$9*英雄升级调参!$E$23,0)</x:f>
        <x:v>21</x:v>
      </x:c>
      <x:c r="K821" s="12">
        <x:f>ROUND(英雄升级调参!$D$68*英雄升级调参!$C$11*英雄升级调参!$J$9*英雄升级调参!$G$23,0)</x:f>
        <x:v>157</x:v>
      </x:c>
      <x:c r="L821" s="12" t="n">
        <x:f>养成消耗调参!$C$150</x:f>
        <x:v>24</x:v>
      </x:c>
      <x:c r="M821" s="12" t="n">
        <x:f>养成消耗调参!$F$150</x:f>
        <x:v>300</x:v>
      </x:c>
      <x:c r="N821" s="12" t="n">
        <x:f>养成消耗调参!$I$150</x:f>
        <x:v>0</x:v>
      </x:c>
      <x:c r="O821" s="12" t="n">
        <x:f>养成消耗调参!$J$150</x:f>
        <x:v>48</x:v>
      </x:c>
      <x:c r="P821" s="12" t="n">
        <x:f>养成消耗调参!$M$150</x:f>
        <x:v>600</x:v>
      </x:c>
      <x:c r="Q821" s="12" t="n">
        <x:f>养成消耗调参!$P$150</x:f>
        <x:v>0</x:v>
      </x:c>
      <x:c r="R821" s="13">
        <x:f>I821/英雄升级调参!$G$68-1</x:f>
        <x:v>0.0069010416666666075</x:v>
      </x:c>
      <x:c r="S821" s="6"/>
      <x:c r="T821" s="6"/>
      <x:c r="U821" s="6"/>
    </x:row>
    <x:row r="822" ht="21" customHeight="1">
      <x:c r="A822" s="14" t="n">
        <x:f>英雄升级调参!$B$23</x:f>
        <x:v>310005</x:v>
      </x:c>
      <x:c r="B822" s="14" t="str">
        <x:f>英雄升级调参!$C$23</x:f>
        <x:v>焦焦鸮</x:v>
      </x:c>
      <x:c r="C822" s="6" t="str">
        <x:f>英雄升级调参!$D$23</x:f>
        <x:v>探险家</x:v>
      </x:c>
      <x:c r="D822" s="6" t="s">
        <x:v>18</x:v>
      </x:c>
      <x:c r="E822" s="6">
        <x:v>4</x:v>
      </x:c>
      <x:c r="F822" s="6" t="n">
        <x:f>英雄升级调参!$C$69</x:f>
        <x:v>1</x:v>
      </x:c>
      <x:c r="G822" s="12">
        <x:f t="shared" si="76"/>
        <x:v>132</x:v>
      </x:c>
      <x:c r="H822" s="12">
        <x:f t="shared" si="77"/>
        <x:v>993</x:v>
      </x:c>
      <x:c r="I822" s="12">
        <x:f t="shared" si="73"/>
        <x:v>131076</x:v>
      </x:c>
      <x:c r="J822" s="12">
        <x:f>ROUND(英雄升级调参!$D$69*英雄升级调参!$J$9*英雄升级调参!$E$23,0)</x:f>
        <x:v>21</x:v>
      </x:c>
      <x:c r="K822" s="12">
        <x:f>ROUND(英雄升级调参!$D$69*英雄升级调参!$C$11*英雄升级调参!$J$9*英雄升级调参!$G$23,0)</x:f>
        <x:v>157</x:v>
      </x:c>
      <x:c r="L822" s="12" t="n">
        <x:f>养成消耗调参!$C$151</x:f>
        <x:v>48</x:v>
      </x:c>
      <x:c r="M822" s="12" t="n">
        <x:f>养成消耗调参!$F$151</x:f>
        <x:v>300</x:v>
      </x:c>
      <x:c r="N822" s="12" t="n">
        <x:f>养成消耗调参!$I$151</x:f>
        <x:v>0</x:v>
      </x:c>
      <x:c r="O822" s="12" t="n">
        <x:f>养成消耗调参!$J$151</x:f>
        <x:v>96</x:v>
      </x:c>
      <x:c r="P822" s="12" t="n">
        <x:f>养成消耗调参!$M$151</x:f>
        <x:v>900</x:v>
      </x:c>
      <x:c r="Q822" s="12" t="n">
        <x:f>养成消耗调参!$P$151</x:f>
        <x:v>0</x:v>
      </x:c>
      <x:c r="R822" s="13">
        <x:f>I822/英雄升级调参!$G$69-1</x:f>
        <x:v>0.008587257617728605</x:v>
      </x:c>
      <x:c r="S822" s="6"/>
      <x:c r="T822" s="6"/>
      <x:c r="U822" s="6"/>
    </x:row>
    <x:row r="823" ht="21" customHeight="1">
      <x:c r="A823" s="14" t="n">
        <x:f>英雄升级调参!$B$23</x:f>
        <x:v>310005</x:v>
      </x:c>
      <x:c r="B823" s="14" t="str">
        <x:f>英雄升级调参!$C$23</x:f>
        <x:v>焦焦鸮</x:v>
      </x:c>
      <x:c r="C823" s="6" t="str">
        <x:f>英雄升级调参!$D$23</x:f>
        <x:v>探险家</x:v>
      </x:c>
      <x:c r="D823" s="6" t="s">
        <x:v>18</x:v>
      </x:c>
      <x:c r="E823" s="6">
        <x:v>5</x:v>
      </x:c>
      <x:c r="F823" s="6" t="n">
        <x:f>英雄升级调参!$C$70</x:f>
        <x:v>1</x:v>
      </x:c>
      <x:c r="G823" s="12">
        <x:f t="shared" si="76"/>
        <x:v>195</x:v>
      </x:c>
      <x:c r="H823" s="12">
        <x:f t="shared" si="77"/>
        <x:v>1464</x:v>
      </x:c>
      <x:c r="I823" s="12">
        <x:f t="shared" si="73"/>
        <x:v>285480</x:v>
      </x:c>
      <x:c r="J823" s="12">
        <x:f>ROUND(英雄升级调参!$D$70*英雄升级调参!$J$9*英雄升级调参!$E$23,0)*3</x:f>
        <x:v>63</x:v>
      </x:c>
      <x:c r="K823" s="12">
        <x:f>ROUND(英雄升级调参!$D$70*英雄升级调参!$C$11*英雄升级调参!$J$9*英雄升级调参!$G$23,0)*3</x:f>
        <x:v>471</x:v>
      </x:c>
      <x:c r="L823" s="12" t="n">
        <x:f>养成消耗调参!$C$152</x:f>
        <x:v>72</x:v>
      </x:c>
      <x:c r="M823" s="12" t="n">
        <x:f>养成消耗调参!$F$152</x:f>
        <x:v>300</x:v>
      </x:c>
      <x:c r="N823" s="12" t="n">
        <x:f>养成消耗调参!$I$152</x:f>
        <x:v>10</x:v>
      </x:c>
      <x:c r="O823" s="12" t="n">
        <x:f>养成消耗调参!$J$152</x:f>
        <x:v>168</x:v>
      </x:c>
      <x:c r="P823" s="12" t="n">
        <x:f>养成消耗调参!$M$152</x:f>
        <x:v>1200</x:v>
      </x:c>
      <x:c r="Q823" s="12" t="n">
        <x:f>养成消耗调参!$P$152</x:f>
        <x:v>10</x:v>
      </x:c>
      <x:c r="R823" s="13">
        <x:f>I823/英雄升级调参!$G$70-1</x:f>
        <x:v>0.011479591836734748</x:v>
      </x:c>
      <x:c r="S823" s="6"/>
      <x:c r="T823" s="6"/>
      <x:c r="U823" s="6"/>
    </x:row>
    <x:row r="824" ht="21" customHeight="1">
      <x:c r="A824" s="14" t="n">
        <x:f>英雄升级调参!$B$23</x:f>
        <x:v>310005</x:v>
      </x:c>
      <x:c r="B824" s="14" t="str">
        <x:f>英雄升级调参!$C$23</x:f>
        <x:v>焦焦鸮</x:v>
      </x:c>
      <x:c r="C824" s="6" t="str">
        <x:f>英雄升级调参!$D$23</x:f>
        <x:v>探险家</x:v>
      </x:c>
      <x:c r="D824" s="6" t="s">
        <x:v>18</x:v>
      </x:c>
      <x:c r="E824" s="6">
        <x:v>6</x:v>
      </x:c>
      <x:c r="F824" s="6" t="n">
        <x:f>英雄升级调参!$C$71</x:f>
        <x:v>2</x:v>
      </x:c>
      <x:c r="G824" s="12">
        <x:f t="shared" si="76"/>
        <x:v>226</x:v>
      </x:c>
      <x:c r="H824" s="12">
        <x:f t="shared" si="77"/>
        <x:v>1699</x:v>
      </x:c>
      <x:c r="I824" s="12">
        <x:f t="shared" si="73"/>
        <x:v>383974</x:v>
      </x:c>
      <x:c r="J824" s="12">
        <x:f>ROUND(英雄升级调参!$D$71*英雄升级调参!$J$9*英雄升级调参!$E$23,0)</x:f>
        <x:v>31</x:v>
      </x:c>
      <x:c r="K824" s="12">
        <x:f>ROUND(英雄升级调参!$D$71*英雄升级调参!$C$11*英雄升级调参!$J$9*英雄升级调参!$G$23,0)</x:f>
        <x:v>235</x:v>
      </x:c>
      <x:c r="L824" s="12" t="n">
        <x:f>养成消耗调参!$C$153</x:f>
        <x:v>120</x:v>
      </x:c>
      <x:c r="M824" s="12" t="n">
        <x:f>养成消耗调参!$F$153</x:f>
        <x:v>300</x:v>
      </x:c>
      <x:c r="N824" s="12" t="n">
        <x:f>养成消耗调参!$I$153</x:f>
        <x:v>0</x:v>
      </x:c>
      <x:c r="O824" s="12" t="n">
        <x:f>养成消耗调参!$J$153</x:f>
        <x:v>288</x:v>
      </x:c>
      <x:c r="P824" s="12" t="n">
        <x:f>养成消耗调参!$M$153</x:f>
        <x:v>1500</x:v>
      </x:c>
      <x:c r="Q824" s="12" t="n">
        <x:f>养成消耗调参!$P$153</x:f>
        <x:v>10</x:v>
      </x:c>
      <x:c r="R824" s="13">
        <x:f>I824/英雄升级调参!$G$71-1</x:f>
        <x:v>0.009793556870479891</x:v>
      </x:c>
      <x:c r="S824" s="6"/>
      <x:c r="T824" s="6"/>
      <x:c r="U824" s="6"/>
    </x:row>
    <x:row r="825" ht="21" customHeight="1">
      <x:c r="A825" s="14" t="n">
        <x:f>英雄升级调参!$B$23</x:f>
        <x:v>310005</x:v>
      </x:c>
      <x:c r="B825" s="14" t="str">
        <x:f>英雄升级调参!$C$23</x:f>
        <x:v>焦焦鸮</x:v>
      </x:c>
      <x:c r="C825" s="6" t="str">
        <x:f>英雄升级调参!$D$23</x:f>
        <x:v>探险家</x:v>
      </x:c>
      <x:c r="D825" s="6" t="s">
        <x:v>18</x:v>
      </x:c>
      <x:c r="E825" s="6">
        <x:v>7</x:v>
      </x:c>
      <x:c r="F825" s="6" t="n">
        <x:f>英雄升级调参!$C$72</x:f>
        <x:v>2</x:v>
      </x:c>
      <x:c r="G825" s="12">
        <x:f t="shared" si="76"/>
        <x:v>257</x:v>
      </x:c>
      <x:c r="H825" s="12">
        <x:f t="shared" si="77"/>
        <x:v>1934</x:v>
      </x:c>
      <x:c r="I825" s="12">
        <x:f t="shared" si="73"/>
        <x:v>497038</x:v>
      </x:c>
      <x:c r="J825" s="12">
        <x:f>ROUND(英雄升级调参!$D$72*英雄升级调参!$J$9*英雄升级调参!$E$23,0)</x:f>
        <x:v>31</x:v>
      </x:c>
      <x:c r="K825" s="12">
        <x:f>ROUND(英雄升级调参!$D$72*英雄升级调参!$C$11*英雄升级调参!$J$9*英雄升级调参!$G$23,0)</x:f>
        <x:v>235</x:v>
      </x:c>
      <x:c r="L825" s="12" t="n">
        <x:f>养成消耗调参!$C$154</x:f>
        <x:v>120</x:v>
      </x:c>
      <x:c r="M825" s="12" t="n">
        <x:f>养成消耗调参!$F$154</x:f>
        <x:v>900</x:v>
      </x:c>
      <x:c r="N825" s="12" t="n">
        <x:f>养成消耗调参!$I$154</x:f>
        <x:v>0</x:v>
      </x:c>
      <x:c r="O825" s="12" t="n">
        <x:f>养成消耗调参!$J$154</x:f>
        <x:v>408</x:v>
      </x:c>
      <x:c r="P825" s="12" t="n">
        <x:f>养成消耗调参!$M$154</x:f>
        <x:v>2400</x:v>
      </x:c>
      <x:c r="Q825" s="12" t="n">
        <x:f>养成消耗调参!$P$154</x:f>
        <x:v>10</x:v>
      </x:c>
      <x:c r="R825" s="13">
        <x:f>I825/英雄升级调参!$G$72-1</x:f>
        <x:v>0.008517977436896418</x:v>
      </x:c>
      <x:c r="S825" s="6"/>
      <x:c r="T825" s="6"/>
      <x:c r="U825" s="6"/>
    </x:row>
    <x:row r="826" ht="21" customHeight="1">
      <x:c r="A826" s="14" t="n">
        <x:f>英雄升级调参!$B$23</x:f>
        <x:v>310005</x:v>
      </x:c>
      <x:c r="B826" s="14" t="str">
        <x:f>英雄升级调参!$C$23</x:f>
        <x:v>焦焦鸮</x:v>
      </x:c>
      <x:c r="C826" s="6" t="str">
        <x:f>英雄升级调参!$D$23</x:f>
        <x:v>探险家</x:v>
      </x:c>
      <x:c r="D826" s="6" t="s">
        <x:v>18</x:v>
      </x:c>
      <x:c r="E826" s="6">
        <x:v>8</x:v>
      </x:c>
      <x:c r="F826" s="6" t="n">
        <x:f>英雄升级调参!$C$73</x:f>
        <x:v>2</x:v>
      </x:c>
      <x:c r="G826" s="12">
        <x:f t="shared" si="76"/>
        <x:v>288</x:v>
      </x:c>
      <x:c r="H826" s="12">
        <x:f t="shared" si="77"/>
        <x:v>2169</x:v>
      </x:c>
      <x:c r="I826" s="12">
        <x:f t="shared" si="73"/>
        <x:v>624672</x:v>
      </x:c>
      <x:c r="J826" s="12">
        <x:f>ROUND(英雄升级调参!$D$73*英雄升级调参!$J$9*英雄升级调参!$E$23,0)</x:f>
        <x:v>31</x:v>
      </x:c>
      <x:c r="K826" s="12">
        <x:f>ROUND(英雄升级调参!$D$73*英雄升级调参!$C$11*英雄升级调参!$J$9*英雄升级调参!$G$23,0)</x:f>
        <x:v>235</x:v>
      </x:c>
      <x:c r="L826" s="12" t="n">
        <x:f>养成消耗调参!$C$155</x:f>
        <x:v>144</x:v>
      </x:c>
      <x:c r="M826" s="12" t="n">
        <x:f>养成消耗调参!$F$155</x:f>
        <x:v>900</x:v>
      </x:c>
      <x:c r="N826" s="12" t="n">
        <x:f>养成消耗调参!$I$155</x:f>
        <x:v>0</x:v>
      </x:c>
      <x:c r="O826" s="12" t="n">
        <x:f>养成消耗调参!$J$155</x:f>
        <x:v>552</x:v>
      </x:c>
      <x:c r="P826" s="12" t="n">
        <x:f>养成消耗调参!$M$155</x:f>
        <x:v>3300</x:v>
      </x:c>
      <x:c r="Q826" s="12" t="n">
        <x:f>养成消耗调参!$P$155</x:f>
        <x:v>10</x:v>
      </x:c>
      <x:c r="R826" s="13">
        <x:f>I826/英雄升级调参!$G$73-1</x:f>
        <x:v>0.007519233560749017</x:v>
      </x:c>
      <x:c r="S826" s="6"/>
      <x:c r="T826" s="6"/>
      <x:c r="U826" s="6"/>
    </x:row>
    <x:row r="827" ht="21" customHeight="1">
      <x:c r="A827" s="14" t="n">
        <x:f>英雄升级调参!$B$23</x:f>
        <x:v>310005</x:v>
      </x:c>
      <x:c r="B827" s="14" t="str">
        <x:f>英雄升级调参!$C$23</x:f>
        <x:v>焦焦鸮</x:v>
      </x:c>
      <x:c r="C827" s="6" t="str">
        <x:f>英雄升级调参!$D$23</x:f>
        <x:v>探险家</x:v>
      </x:c>
      <x:c r="D827" s="6" t="s">
        <x:v>18</x:v>
      </x:c>
      <x:c r="E827" s="6">
        <x:v>9</x:v>
      </x:c>
      <x:c r="F827" s="6" t="n">
        <x:f>英雄升级调参!$C$74</x:f>
        <x:v>2</x:v>
      </x:c>
      <x:c r="G827" s="12">
        <x:f t="shared" si="76"/>
        <x:v>319</x:v>
      </x:c>
      <x:c r="H827" s="12">
        <x:f t="shared" si="77"/>
        <x:v>2404</x:v>
      </x:c>
      <x:c r="I827" s="12">
        <x:f t="shared" si="73"/>
        <x:v>766876</x:v>
      </x:c>
      <x:c r="J827" s="12">
        <x:f>ROUND(英雄升级调参!$D$74*英雄升级调参!$J$9*英雄升级调参!$E$23,0)</x:f>
        <x:v>31</x:v>
      </x:c>
      <x:c r="K827" s="12">
        <x:f>ROUND(英雄升级调参!$D$74*英雄升级调参!$C$11*英雄升级调参!$J$9*英雄升级调参!$G$23,0)</x:f>
        <x:v>235</x:v>
      </x:c>
      <x:c r="L827" s="12" t="n">
        <x:f>养成消耗调参!$C$156</x:f>
        <x:v>144</x:v>
      </x:c>
      <x:c r="M827" s="12" t="n">
        <x:f>养成消耗调参!$F$156</x:f>
        <x:v>900</x:v>
      </x:c>
      <x:c r="N827" s="12" t="n">
        <x:f>养成消耗调参!$I$156</x:f>
        <x:v>0</x:v>
      </x:c>
      <x:c r="O827" s="12" t="n">
        <x:f>养成消耗调参!$J$156</x:f>
        <x:v>696</x:v>
      </x:c>
      <x:c r="P827" s="12" t="n">
        <x:f>养成消耗调参!$M$156</x:f>
        <x:v>4200</x:v>
      </x:c>
      <x:c r="Q827" s="12" t="n">
        <x:f>养成消耗调参!$P$156</x:f>
        <x:v>10</x:v>
      </x:c>
      <x:c r="R827" s="13">
        <x:f>I827/英雄升级调参!$G$74-1</x:f>
        <x:v>0.0067160260449485865</x:v>
      </x:c>
      <x:c r="S827" s="6"/>
      <x:c r="T827" s="6"/>
      <x:c r="U827" s="6"/>
    </x:row>
    <x:row r="828" ht="21" customHeight="1">
      <x:c r="A828" s="14" t="n">
        <x:f>英雄升级调参!$B$23</x:f>
        <x:v>310005</x:v>
      </x:c>
      <x:c r="B828" s="14" t="str">
        <x:f>英雄升级调参!$C$23</x:f>
        <x:v>焦焦鸮</x:v>
      </x:c>
      <x:c r="C828" s="6" t="str">
        <x:f>英雄升级调参!$D$23</x:f>
        <x:v>探险家</x:v>
      </x:c>
      <x:c r="D828" s="6" t="s">
        <x:v>18</x:v>
      </x:c>
      <x:c r="E828" s="6">
        <x:v>10</x:v>
      </x:c>
      <x:c r="F828" s="6" t="n">
        <x:f>英雄升级调参!$C$75</x:f>
        <x:v>2</x:v>
      </x:c>
      <x:c r="G828" s="12">
        <x:f t="shared" si="76"/>
        <x:v>412</x:v>
      </x:c>
      <x:c r="H828" s="12">
        <x:f t="shared" si="77"/>
        <x:v>3109</x:v>
      </x:c>
      <x:c r="I828" s="12">
        <x:f t="shared" si="73"/>
        <x:v>1280908</x:v>
      </x:c>
      <x:c r="J828" s="12">
        <x:f>ROUND(英雄升级调参!$D$75*英雄升级调参!$J$9*英雄升级调参!$E$23,0)*3</x:f>
        <x:v>93</x:v>
      </x:c>
      <x:c r="K828" s="12">
        <x:f>ROUND(英雄升级调参!$D$75*英雄升级调参!$C$11*英雄升级调参!$J$9*英雄升级调参!$G$23,0)*3</x:f>
        <x:v>705</x:v>
      </x:c>
      <x:c r="L828" s="12" t="n">
        <x:f>养成消耗调参!$C$157</x:f>
        <x:v>216</x:v>
      </x:c>
      <x:c r="M828" s="12" t="n">
        <x:f>养成消耗调参!$F$157</x:f>
        <x:v>900</x:v>
      </x:c>
      <x:c r="N828" s="12" t="n">
        <x:f>养成消耗调参!$I$157</x:f>
        <x:v>30</x:v>
      </x:c>
      <x:c r="O828" s="12" t="n">
        <x:f>养成消耗调参!$J$157</x:f>
        <x:v>912</x:v>
      </x:c>
      <x:c r="P828" s="12" t="n">
        <x:f>养成消耗调参!$M$157</x:f>
        <x:v>5100</x:v>
      </x:c>
      <x:c r="Q828" s="12" t="n">
        <x:f>养成消耗调参!$P$157</x:f>
        <x:v>40</x:v>
      </x:c>
      <x:c r="R828" s="13">
        <x:f>I828/英雄升级调参!$G$75-1</x:f>
        <x:v>0.0050357397861104936</x:v>
      </x:c>
      <x:c r="S828" s="6"/>
      <x:c r="T828" s="6"/>
      <x:c r="U828" s="6"/>
    </x:row>
    <x:row r="829" ht="21" customHeight="1">
      <x:c r="A829" s="14" t="n">
        <x:f>英雄升级调参!$B$23</x:f>
        <x:v>310005</x:v>
      </x:c>
      <x:c r="B829" s="14" t="str">
        <x:f>英雄升级调参!$C$23</x:f>
        <x:v>焦焦鸮</x:v>
      </x:c>
      <x:c r="C829" s="6" t="str">
        <x:f>英雄升级调参!$D$23</x:f>
        <x:v>探险家</x:v>
      </x:c>
      <x:c r="D829" s="6" t="s">
        <x:v>18</x:v>
      </x:c>
      <x:c r="E829" s="6">
        <x:v>11</x:v>
      </x:c>
      <x:c r="F829" s="6" t="n">
        <x:f>英雄升级调参!$C$76</x:f>
        <x:v>3</x:v>
      </x:c>
      <x:c r="G829" s="12">
        <x:f t="shared" si="76"/>
        <x:v>453</x:v>
      </x:c>
      <x:c r="H829" s="12">
        <x:f t="shared" si="77"/>
        <x:v>3422</x:v>
      </x:c>
      <x:c r="I829" s="12">
        <x:f t="shared" si="73"/>
        <x:v>1550166</x:v>
      </x:c>
      <x:c r="J829" s="12">
        <x:f>ROUND(英雄升级调参!$D$76*英雄升级调参!$J$9*英雄升级调参!$E$23,0)</x:f>
        <x:v>41</x:v>
      </x:c>
      <x:c r="K829" s="12">
        <x:f>ROUND(英雄升级调参!$D$76*英雄升级调参!$C$11*英雄升级调参!$J$9*英雄升级调参!$G$23,0)</x:f>
        <x:v>313</x:v>
      </x:c>
      <x:c r="L829" s="12" t="n">
        <x:f>养成消耗调参!$C$158</x:f>
        <x:v>216</x:v>
      </x:c>
      <x:c r="M829" s="12" t="n">
        <x:f>养成消耗调参!$F$158</x:f>
        <x:v>900</x:v>
      </x:c>
      <x:c r="N829" s="12" t="n">
        <x:f>养成消耗调参!$I$158</x:f>
        <x:v>0</x:v>
      </x:c>
      <x:c r="O829" s="12" t="n">
        <x:f>养成消耗调参!$J$158</x:f>
        <x:v>1128</x:v>
      </x:c>
      <x:c r="P829" s="12" t="n">
        <x:f>养成消耗调参!$M$158</x:f>
        <x:v>6000</x:v>
      </x:c>
      <x:c r="Q829" s="12" t="n">
        <x:f>养成消耗调参!$P$158</x:f>
        <x:v>40</x:v>
      </x:c>
      <x:c r="R829" s="13">
        <x:f>I829/英雄升级调参!$G$76-1</x:f>
        <x:v>0.0036749995144027547</x:v>
      </x:c>
      <x:c r="S829" s="6"/>
      <x:c r="T829" s="6"/>
      <x:c r="U829" s="6"/>
    </x:row>
    <x:row r="830" ht="21" customHeight="1">
      <x:c r="A830" s="14" t="n">
        <x:f>英雄升级调参!$B$23</x:f>
        <x:v>310005</x:v>
      </x:c>
      <x:c r="B830" s="14" t="str">
        <x:f>英雄升级调参!$C$23</x:f>
        <x:v>焦焦鸮</x:v>
      </x:c>
      <x:c r="C830" s="6" t="str">
        <x:f>英雄升级调参!$D$23</x:f>
        <x:v>探险家</x:v>
      </x:c>
      <x:c r="D830" s="6" t="s">
        <x:v>18</x:v>
      </x:c>
      <x:c r="E830" s="6">
        <x:v>12</x:v>
      </x:c>
      <x:c r="F830" s="6" t="n">
        <x:f>英雄升级调参!$C$77</x:f>
        <x:v>3</x:v>
      </x:c>
      <x:c r="G830" s="12">
        <x:f t="shared" si="76"/>
        <x:v>494</x:v>
      </x:c>
      <x:c r="H830" s="12">
        <x:f t="shared" si="77"/>
        <x:v>3735</x:v>
      </x:c>
      <x:c r="I830" s="12">
        <x:f t="shared" si="73"/>
        <x:v>1845090</x:v>
      </x:c>
      <x:c r="J830" s="12">
        <x:f>ROUND(英雄升级调参!$D$77*英雄升级调参!$J$9*英雄升级调参!$E$23,0)</x:f>
        <x:v>41</x:v>
      </x:c>
      <x:c r="K830" s="12">
        <x:f>ROUND(英雄升级调参!$D$77*英雄升级调参!$C$11*英雄升级调参!$J$9*英雄升级调参!$G$23,0)</x:f>
        <x:v>313</x:v>
      </x:c>
      <x:c r="L830" s="12" t="n">
        <x:f>养成消耗调参!$C$159</x:f>
        <x:v>240</x:v>
      </x:c>
      <x:c r="M830" s="12" t="n">
        <x:f>养成消耗调参!$F$159</x:f>
        <x:v>1500</x:v>
      </x:c>
      <x:c r="N830" s="12" t="n">
        <x:f>养成消耗调参!$I$159</x:f>
        <x:v>0</x:v>
      </x:c>
      <x:c r="O830" s="12" t="n">
        <x:f>养成消耗调参!$J$159</x:f>
        <x:v>1368</x:v>
      </x:c>
      <x:c r="P830" s="12" t="n">
        <x:f>养成消耗调参!$M$159</x:f>
        <x:v>7500</x:v>
      </x:c>
      <x:c r="Q830" s="12" t="n">
        <x:f>养成消耗调参!$P$159</x:f>
        <x:v>40</x:v>
      </x:c>
      <x:c r="R830" s="13">
        <x:f>I830/英雄升级调参!$G$77-1</x:f>
        <x:v>0.002542911633820699</x:v>
      </x:c>
      <x:c r="S830" s="6"/>
      <x:c r="T830" s="6"/>
      <x:c r="U830" s="6"/>
    </x:row>
    <x:row r="831" ht="21" customHeight="1">
      <x:c r="A831" s="14" t="n">
        <x:f>英雄升级调参!$B$23</x:f>
        <x:v>310005</x:v>
      </x:c>
      <x:c r="B831" s="14" t="str">
        <x:f>英雄升级调参!$C$23</x:f>
        <x:v>焦焦鸮</x:v>
      </x:c>
      <x:c r="C831" s="6" t="str">
        <x:f>英雄升级调参!$D$23</x:f>
        <x:v>探险家</x:v>
      </x:c>
      <x:c r="D831" s="6" t="s">
        <x:v>18</x:v>
      </x:c>
      <x:c r="E831" s="6">
        <x:v>13</x:v>
      </x:c>
      <x:c r="F831" s="6" t="n">
        <x:f>英雄升级调参!$C$78</x:f>
        <x:v>3</x:v>
      </x:c>
      <x:c r="G831" s="12">
        <x:f t="shared" si="76"/>
        <x:v>535</x:v>
      </x:c>
      <x:c r="H831" s="12">
        <x:f t="shared" si="77"/>
        <x:v>4048</x:v>
      </x:c>
      <x:c r="I831" s="12">
        <x:f t="shared" si="73"/>
        <x:v>2165680</x:v>
      </x:c>
      <x:c r="J831" s="12">
        <x:f>ROUND(英雄升级调参!$D$78*英雄升级调参!$J$9*英雄升级调参!$E$23,0)</x:f>
        <x:v>41</x:v>
      </x:c>
      <x:c r="K831" s="12">
        <x:f>ROUND(英雄升级调参!$D$78*英雄升级调参!$C$11*英雄升级调参!$J$9*英雄升级调参!$G$23,0)</x:f>
        <x:v>313</x:v>
      </x:c>
      <x:c r="L831" s="12" t="n">
        <x:f>养成消耗调参!$C$160</x:f>
        <x:v>240</x:v>
      </x:c>
      <x:c r="M831" s="12" t="n">
        <x:f>养成消耗调参!$F$160</x:f>
        <x:v>1500</x:v>
      </x:c>
      <x:c r="N831" s="12" t="n">
        <x:f>养成消耗调参!$I$160</x:f>
        <x:v>0</x:v>
      </x:c>
      <x:c r="O831" s="12" t="n">
        <x:f>养成消耗调参!$J$160</x:f>
        <x:v>1608</x:v>
      </x:c>
      <x:c r="P831" s="12" t="n">
        <x:f>养成消耗调参!$M$160</x:f>
        <x:v>9000</x:v>
      </x:c>
      <x:c r="Q831" s="12" t="n">
        <x:f>养成消耗调参!$P$160</x:f>
        <x:v>40</x:v>
      </x:c>
      <x:c r="R831" s="13">
        <x:f>I831/英雄升级调参!$G$78-1</x:f>
        <x:v>0.0015863105561335633</x:v>
      </x:c>
      <x:c r="S831" s="6"/>
      <x:c r="T831" s="6"/>
      <x:c r="U831" s="6"/>
    </x:row>
    <x:row r="832" ht="21" customHeight="1">
      <x:c r="A832" s="14" t="n">
        <x:f>英雄升级调参!$B$23</x:f>
        <x:v>310005</x:v>
      </x:c>
      <x:c r="B832" s="14" t="str">
        <x:f>英雄升级调参!$C$23</x:f>
        <x:v>焦焦鸮</x:v>
      </x:c>
      <x:c r="C832" s="6" t="str">
        <x:f>英雄升级调参!$D$23</x:f>
        <x:v>探险家</x:v>
      </x:c>
      <x:c r="D832" s="6" t="s">
        <x:v>18</x:v>
      </x:c>
      <x:c r="E832" s="6">
        <x:v>14</x:v>
      </x:c>
      <x:c r="F832" s="6" t="n">
        <x:f>英雄升级调参!$C$79</x:f>
        <x:v>3</x:v>
      </x:c>
      <x:c r="G832" s="12">
        <x:f t="shared" si="76"/>
        <x:v>576</x:v>
      </x:c>
      <x:c r="H832" s="12">
        <x:f t="shared" si="77"/>
        <x:v>4361</x:v>
      </x:c>
      <x:c r="I832" s="12">
        <x:f t="shared" si="73"/>
        <x:v>2511936</x:v>
      </x:c>
      <x:c r="J832" s="12">
        <x:f>ROUND(英雄升级调参!$D$79*英雄升级调参!$J$9*英雄升级调参!$E$23,0)</x:f>
        <x:v>41</x:v>
      </x:c>
      <x:c r="K832" s="12">
        <x:f>ROUND(英雄升级调参!$D$79*英雄升级调参!$C$11*英雄升级调参!$J$9*英雄升级调参!$G$23,0)</x:f>
        <x:v>313</x:v>
      </x:c>
      <x:c r="L832" s="12" t="n">
        <x:f>养成消耗调参!$C$161</x:f>
        <x:v>288</x:v>
      </x:c>
      <x:c r="M832" s="12" t="n">
        <x:f>养成消耗调参!$F$161</x:f>
        <x:v>1500</x:v>
      </x:c>
      <x:c r="N832" s="12" t="n">
        <x:f>养成消耗调参!$I$161</x:f>
        <x:v>0</x:v>
      </x:c>
      <x:c r="O832" s="12" t="n">
        <x:f>养成消耗调参!$J$161</x:f>
        <x:v>1896</x:v>
      </x:c>
      <x:c r="P832" s="12" t="n">
        <x:f>养成消耗调参!$M$161</x:f>
        <x:v>10500</x:v>
      </x:c>
      <x:c r="Q832" s="12" t="n">
        <x:f>养成消耗调参!$P$161</x:f>
        <x:v>40</x:v>
      </x:c>
      <x:c r="R832" s="13">
        <x:f>I832/英雄升级调参!$G$79-1</x:f>
        <x:v>0.000767327620208702</x:v>
      </x:c>
      <x:c r="S832" s="6"/>
      <x:c r="T832" s="6"/>
      <x:c r="U832" s="6"/>
    </x:row>
    <x:row r="833" ht="21" customHeight="1">
      <x:c r="A833" s="14" t="n">
        <x:f>英雄升级调参!$B$23</x:f>
        <x:v>310005</x:v>
      </x:c>
      <x:c r="B833" s="14" t="str">
        <x:f>英雄升级调参!$C$23</x:f>
        <x:v>焦焦鸮</x:v>
      </x:c>
      <x:c r="C833" s="6" t="str">
        <x:f>英雄升级调参!$D$23</x:f>
        <x:v>探险家</x:v>
      </x:c>
      <x:c r="D833" s="6" t="s">
        <x:v>18</x:v>
      </x:c>
      <x:c r="E833" s="6">
        <x:v>15</x:v>
      </x:c>
      <x:c r="F833" s="6" t="n">
        <x:f>英雄升级调参!$C$80</x:f>
        <x:v>3</x:v>
      </x:c>
      <x:c r="G833" s="12">
        <x:f t="shared" si="76"/>
        <x:v>699</x:v>
      </x:c>
      <x:c r="H833" s="12">
        <x:f t="shared" si="77"/>
        <x:v>5300</x:v>
      </x:c>
      <x:c r="I833" s="12">
        <x:f t="shared" si="73"/>
        <x:v>3704700</x:v>
      </x:c>
      <x:c r="J833" s="12">
        <x:f>ROUND(英雄升级调参!$D$80*英雄升级调参!$J$9*英雄升级调参!$E$23,0)*3</x:f>
        <x:v>123</x:v>
      </x:c>
      <x:c r="K833" s="12">
        <x:f>ROUND(英雄升级调参!$D$80*英雄升级调参!$C$11*英雄升级调参!$J$9*英雄升级调参!$G$23,0)*3</x:f>
        <x:v>939</x:v>
      </x:c>
      <x:c r="L833" s="12" t="n">
        <x:f>养成消耗调参!$C$162</x:f>
        <x:v>288</x:v>
      </x:c>
      <x:c r="M833" s="12" t="n">
        <x:f>养成消耗调参!$F$162</x:f>
        <x:v>1500</x:v>
      </x:c>
      <x:c r="N833" s="12" t="n">
        <x:f>养成消耗调参!$I$162</x:f>
        <x:v>50</x:v>
      </x:c>
      <x:c r="O833" s="12" t="n">
        <x:f>养成消耗调参!$J$162</x:f>
        <x:v>2184</x:v>
      </x:c>
      <x:c r="P833" s="12" t="n">
        <x:f>养成消耗调参!$M$162</x:f>
        <x:v>12000</x:v>
      </x:c>
      <x:c r="Q833" s="12" t="n">
        <x:f>养成消耗调参!$P$162</x:f>
        <x:v>90</x:v>
      </x:c>
      <x:c r="R833" s="13">
        <x:f>I833/英雄升级调参!$G$80-1</x:f>
        <x:v>-0.001108172163038823</x:v>
      </x:c>
      <x:c r="S833" s="6"/>
      <x:c r="T833" s="6"/>
      <x:c r="U833" s="6"/>
    </x:row>
    <x:row r="834" ht="21" customHeight="1">
      <x:c r="A834" s="14" t="n">
        <x:f>英雄升级调参!$B$23</x:f>
        <x:v>310005</x:v>
      </x:c>
      <x:c r="B834" s="14" t="str">
        <x:f>英雄升级调参!$C$23</x:f>
        <x:v>焦焦鸮</x:v>
      </x:c>
      <x:c r="C834" s="6" t="str">
        <x:f>英雄升级调参!$D$23</x:f>
        <x:v>探险家</x:v>
      </x:c>
      <x:c r="D834" s="6" t="s">
        <x:v>18</x:v>
      </x:c>
      <x:c r="E834" s="6">
        <x:v>16</x:v>
      </x:c>
      <x:c r="F834" s="6" t="n">
        <x:f>英雄升级调参!$C$81</x:f>
        <x:v>4</x:v>
      </x:c>
      <x:c r="G834" s="12">
        <x:f t="shared" si="76"/>
        <x:v>751</x:v>
      </x:c>
      <x:c r="H834" s="12">
        <x:f t="shared" si="77"/>
        <x:v>5691</x:v>
      </x:c>
      <x:c r="I834" s="12">
        <x:f t="shared" si="73"/>
        <x:v>4273941</x:v>
      </x:c>
      <x:c r="J834" s="12">
        <x:f>ROUND(英雄升级调参!$D$81*英雄升级调参!$J$9*英雄升级调参!$E$23,0)</x:f>
        <x:v>52</x:v>
      </x:c>
      <x:c r="K834" s="12">
        <x:f>ROUND(英雄升级调参!$D$81*英雄升级调参!$C$11*英雄升级调参!$J$9*英雄升级调参!$G$23,0)</x:f>
        <x:v>391</x:v>
      </x:c>
      <x:c r="L834" s="12" t="n">
        <x:f>养成消耗调参!$C$163</x:f>
        <x:v>336</x:v>
      </x:c>
      <x:c r="M834" s="12" t="n">
        <x:f>养成消耗调参!$F$163</x:f>
        <x:v>1500</x:v>
      </x:c>
      <x:c r="N834" s="12" t="n">
        <x:f>养成消耗调参!$I$163</x:f>
        <x:v>0</x:v>
      </x:c>
      <x:c r="O834" s="12" t="n">
        <x:f>养成消耗调参!$J$163</x:f>
        <x:v>2520</x:v>
      </x:c>
      <x:c r="P834" s="12" t="n">
        <x:f>养成消耗调参!$M$163</x:f>
        <x:v>13500</x:v>
      </x:c>
      <x:c r="Q834" s="12" t="n">
        <x:f>养成消耗调参!$P$163</x:f>
        <x:v>90</x:v>
      </x:c>
      <x:c r="R834" s="13">
        <x:f>I834/英雄升级调参!$G$81-1</x:f>
        <x:v>-0.0007526021939792127</x:v>
      </x:c>
      <x:c r="S834" s="6"/>
      <x:c r="T834" s="6"/>
      <x:c r="U834" s="6"/>
    </x:row>
    <x:row r="835" ht="21" customHeight="1">
      <x:c r="A835" s="14" t="n">
        <x:f>英雄升级调参!$B$23</x:f>
        <x:v>310005</x:v>
      </x:c>
      <x:c r="B835" s="14" t="str">
        <x:f>英雄升级调参!$C$23</x:f>
        <x:v>焦焦鸮</x:v>
      </x:c>
      <x:c r="C835" s="6" t="str">
        <x:f>英雄升级调参!$D$23</x:f>
        <x:v>探险家</x:v>
      </x:c>
      <x:c r="D835" s="6" t="s">
        <x:v>18</x:v>
      </x:c>
      <x:c r="E835" s="6">
        <x:v>17</x:v>
      </x:c>
      <x:c r="F835" s="6" t="n">
        <x:f>英雄升级调参!$C$82</x:f>
        <x:v>4</x:v>
      </x:c>
      <x:c r="G835" s="12">
        <x:f t="shared" si="76"/>
        <x:v>803</x:v>
      </x:c>
      <x:c r="H835" s="12">
        <x:f t="shared" si="77"/>
        <x:v>6082</x:v>
      </x:c>
      <x:c r="I835" s="12">
        <x:f t="shared" si="73"/>
        <x:v>4883846</x:v>
      </x:c>
      <x:c r="J835" s="12">
        <x:f>ROUND(英雄升级调参!$D$82*英雄升级调参!$J$9*英雄升级调参!$E$23,0)</x:f>
        <x:v>52</x:v>
      </x:c>
      <x:c r="K835" s="12">
        <x:f>ROUND(英雄升级调参!$D$82*英雄升级调参!$C$11*英雄升级调参!$J$9*英雄升级调参!$G$23,0)</x:f>
        <x:v>391</x:v>
      </x:c>
      <x:c r="L835" s="12" t="n">
        <x:f>养成消耗调参!$C$164</x:f>
        <x:v>336</x:v>
      </x:c>
      <x:c r="M835" s="12" t="n">
        <x:f>养成消耗调参!$F$164</x:f>
        <x:v>2100</x:v>
      </x:c>
      <x:c r="N835" s="12" t="n">
        <x:f>养成消耗调参!$I$164</x:f>
        <x:v>0</x:v>
      </x:c>
      <x:c r="O835" s="12" t="n">
        <x:f>养成消耗调参!$J$164</x:f>
        <x:v>2856</x:v>
      </x:c>
      <x:c r="P835" s="12" t="n">
        <x:f>养成消耗调参!$M$164</x:f>
        <x:v>15600</x:v>
      </x:c>
      <x:c r="Q835" s="12" t="n">
        <x:f>养成消耗调参!$P$164</x:f>
        <x:v>90</x:v>
      </x:c>
      <x:c r="R835" s="13">
        <x:f>I835/英雄升级调参!$G$82-1</x:f>
        <x:v>-0.0004428971696742723</x:v>
      </x:c>
      <x:c r="S835" s="6"/>
      <x:c r="T835" s="6"/>
      <x:c r="U835" s="6"/>
    </x:row>
    <x:row r="836" ht="21" customHeight="1">
      <x:c r="A836" s="14" t="n">
        <x:f>英雄升级调参!$B$23</x:f>
        <x:v>310005</x:v>
      </x:c>
      <x:c r="B836" s="14" t="str">
        <x:f>英雄升级调参!$C$23</x:f>
        <x:v>焦焦鸮</x:v>
      </x:c>
      <x:c r="C836" s="6" t="str">
        <x:f>英雄升级调参!$D$23</x:f>
        <x:v>探险家</x:v>
      </x:c>
      <x:c r="D836" s="6" t="s">
        <x:v>18</x:v>
      </x:c>
      <x:c r="E836" s="6">
        <x:v>18</x:v>
      </x:c>
      <x:c r="F836" s="6" t="n">
        <x:f>英雄升级调参!$C$83</x:f>
        <x:v>4</x:v>
      </x:c>
      <x:c r="G836" s="12">
        <x:f t="shared" si="76"/>
        <x:v>855</x:v>
      </x:c>
      <x:c r="H836" s="12">
        <x:f t="shared" si="77"/>
        <x:v>6473</x:v>
      </x:c>
      <x:c r="I836" s="12">
        <x:f t="shared" si="73"/>
        <x:v>5534415</x:v>
      </x:c>
      <x:c r="J836" s="12">
        <x:f>ROUND(英雄升级调参!$D$83*英雄升级调参!$J$9*英雄升级调参!$E$23,0)</x:f>
        <x:v>52</x:v>
      </x:c>
      <x:c r="K836" s="12">
        <x:f>ROUND(英雄升级调参!$D$83*英雄升级调参!$C$11*英雄升级调参!$J$9*英雄升级调参!$G$23,0)</x:f>
        <x:v>391</x:v>
      </x:c>
      <x:c r="L836" s="12" t="n">
        <x:f>养成消耗调参!$C$165</x:f>
        <x:v>384</x:v>
      </x:c>
      <x:c r="M836" s="12" t="n">
        <x:f>养成消耗调参!$F$165</x:f>
        <x:v>2100</x:v>
      </x:c>
      <x:c r="N836" s="12" t="n">
        <x:f>养成消耗调参!$I$165</x:f>
        <x:v>0</x:v>
      </x:c>
      <x:c r="O836" s="12" t="n">
        <x:f>养成消耗调参!$J$165</x:f>
        <x:v>3240</x:v>
      </x:c>
      <x:c r="P836" s="12" t="n">
        <x:f>养成消耗调参!$M$165</x:f>
        <x:v>17700</x:v>
      </x:c>
      <x:c r="Q836" s="12" t="n">
        <x:f>养成消耗调参!$P$165</x:f>
        <x:v>90</x:v>
      </x:c>
      <x:c r="R836" s="13">
        <x:f>I836/英雄升级调参!$G$83-1</x:f>
        <x:v>-0.00017072060353795493</x:v>
      </x:c>
      <x:c r="S836" s="6"/>
      <x:c r="T836" s="6"/>
      <x:c r="U836" s="6"/>
    </x:row>
    <x:row r="837" ht="21" customHeight="1">
      <x:c r="A837" s="14" t="n">
        <x:f>英雄升级调参!$B$23</x:f>
        <x:v>310005</x:v>
      </x:c>
      <x:c r="B837" s="14" t="str">
        <x:f>英雄升级调参!$C$23</x:f>
        <x:v>焦焦鸮</x:v>
      </x:c>
      <x:c r="C837" s="6" t="str">
        <x:f>英雄升级调参!$D$23</x:f>
        <x:v>探险家</x:v>
      </x:c>
      <x:c r="D837" s="6" t="s">
        <x:v>18</x:v>
      </x:c>
      <x:c r="E837" s="6">
        <x:v>19</x:v>
      </x:c>
      <x:c r="F837" s="6" t="n">
        <x:f>英雄升级调参!$C$84</x:f>
        <x:v>4</x:v>
      </x:c>
      <x:c r="G837" s="12">
        <x:f t="shared" si="76"/>
        <x:v>907</x:v>
      </x:c>
      <x:c r="H837" s="12">
        <x:f t="shared" si="77"/>
        <x:v>6864</x:v>
      </x:c>
      <x:c r="I837" s="12">
        <x:f t="shared" ref="I837:I900" si="78">G837*H837</x:f>
        <x:v>6225648</x:v>
      </x:c>
      <x:c r="J837" s="12">
        <x:f>ROUND(英雄升级调参!$D$84*英雄升级调参!$J$9*英雄升级调参!$E$23,0)</x:f>
        <x:v>52</x:v>
      </x:c>
      <x:c r="K837" s="12">
        <x:f>ROUND(英雄升级调参!$D$84*英雄升级调参!$C$11*英雄升级调参!$J$9*英雄升级调参!$G$23,0)</x:f>
        <x:v>391</x:v>
      </x:c>
      <x:c r="L837" s="12" t="n">
        <x:f>养成消耗调参!$C$166</x:f>
        <x:v>384</x:v>
      </x:c>
      <x:c r="M837" s="12" t="n">
        <x:f>养成消耗调参!$F$166</x:f>
        <x:v>2100</x:v>
      </x:c>
      <x:c r="N837" s="12" t="n">
        <x:f>养成消耗调参!$I$166</x:f>
        <x:v>0</x:v>
      </x:c>
      <x:c r="O837" s="12" t="n">
        <x:f>养成消耗调参!$J$166</x:f>
        <x:v>3624</x:v>
      </x:c>
      <x:c r="P837" s="12" t="n">
        <x:f>养成消耗调参!$M$166</x:f>
        <x:v>19800</x:v>
      </x:c>
      <x:c r="Q837" s="12" t="n">
        <x:f>养成消耗调参!$P$166</x:f>
        <x:v>90</x:v>
      </x:c>
      <x:c r="R837" s="13">
        <x:f>I837/英雄升级调参!$G$84-1</x:f>
        <x:v>7.035907222396887e-05</x:v>
      </x:c>
      <x:c r="S837" s="6"/>
      <x:c r="T837" s="6"/>
      <x:c r="U837" s="6"/>
    </x:row>
    <x:row r="838" ht="21" customHeight="1">
      <x:c r="A838" s="14" t="n">
        <x:f>英雄升级调参!$B$23</x:f>
        <x:v>310005</x:v>
      </x:c>
      <x:c r="B838" s="14" t="str">
        <x:f>英雄升级调参!$C$23</x:f>
        <x:v>焦焦鸮</x:v>
      </x:c>
      <x:c r="C838" s="6" t="str">
        <x:f>英雄升级调参!$D$23</x:f>
        <x:v>探险家</x:v>
      </x:c>
      <x:c r="D838" s="6" t="s">
        <x:v>18</x:v>
      </x:c>
      <x:c r="E838" s="6">
        <x:v>20</x:v>
      </x:c>
      <x:c r="F838" s="6" t="n">
        <x:f>英雄升级调参!$C$85</x:f>
        <x:v>4</x:v>
      </x:c>
      <x:c r="G838" s="12">
        <x:f t="shared" si="76"/>
        <x:v>1063</x:v>
      </x:c>
      <x:c r="H838" s="12">
        <x:f t="shared" si="77"/>
        <x:v>8037</x:v>
      </x:c>
      <x:c r="I838" s="12">
        <x:f t="shared" si="78"/>
        <x:v>8543331</x:v>
      </x:c>
      <x:c r="J838" s="12">
        <x:f>ROUND(英雄升级调参!$D$85*英雄升级调参!$J$9*英雄升级调参!$E$23,0)*3</x:f>
        <x:v>156</x:v>
      </x:c>
      <x:c r="K838" s="12">
        <x:f>ROUND(英雄升级调参!$D$85*英雄升级调参!$C$11*英雄升级调参!$J$9*英雄升级调参!$G$23,0)*3</x:f>
        <x:v>1173</x:v>
      </x:c>
      <x:c r="L838" s="12" t="n">
        <x:f>养成消耗调参!$C$167</x:f>
        <x:v>432</x:v>
      </x:c>
      <x:c r="M838" s="12" t="n">
        <x:f>养成消耗调参!$F$167</x:f>
        <x:v>2100</x:v>
      </x:c>
      <x:c r="N838" s="12" t="n">
        <x:f>养成消耗调参!$I$167</x:f>
        <x:v>70</x:v>
      </x:c>
      <x:c r="O838" s="12" t="n">
        <x:f>养成消耗调参!$J$167</x:f>
        <x:v>4056</x:v>
      </x:c>
      <x:c r="P838" s="12" t="n">
        <x:f>养成消耗调参!$M$167</x:f>
        <x:v>21900</x:v>
      </x:c>
      <x:c r="Q838" s="12" t="n">
        <x:f>养成消耗调参!$P$167</x:f>
        <x:v>160</x:v>
      </x:c>
      <x:c r="R838" s="13">
        <x:f>I838/英雄升级调参!$G$85-1</x:f>
        <x:v>0.000652513071344174</x:v>
      </x:c>
      <x:c r="S838" s="6"/>
      <x:c r="T838" s="6"/>
      <x:c r="U838" s="6"/>
    </x:row>
    <x:row r="839" ht="21" customHeight="1">
      <x:c r="A839" s="14" t="n">
        <x:f>英雄升级调参!$B$23</x:f>
        <x:v>310005</x:v>
      </x:c>
      <x:c r="B839" s="14" t="str">
        <x:f>英雄升级调参!$C$23</x:f>
        <x:v>焦焦鸮</x:v>
      </x:c>
      <x:c r="C839" s="6" t="str">
        <x:f>英雄升级调参!$D$23</x:f>
        <x:v>探险家</x:v>
      </x:c>
      <x:c r="D839" s="6" t="s">
        <x:v>18</x:v>
      </x:c>
      <x:c r="E839" s="6">
        <x:v>21</x:v>
      </x:c>
      <x:c r="F839" s="6" t="n">
        <x:f>英雄升级调参!$C$86</x:f>
        <x:v>5</x:v>
      </x:c>
      <x:c r="G839" s="12">
        <x:f t="shared" si="76"/>
        <x:v>1125</x:v>
      </x:c>
      <x:c r="H839" s="12">
        <x:f t="shared" si="77"/>
        <x:v>8507</x:v>
      </x:c>
      <x:c r="I839" s="12">
        <x:f t="shared" si="78"/>
        <x:v>9570375</x:v>
      </x:c>
      <x:c r="J839" s="12">
        <x:f>ROUND(英雄升级调参!$D$86*英雄升级调参!$J$9*英雄升级调参!$E$23,0)</x:f>
        <x:v>62</x:v>
      </x:c>
      <x:c r="K839" s="12">
        <x:f>ROUND(英雄升级调参!$D$86*英雄升级调参!$C$11*英雄升级调参!$J$9*英雄升级调参!$G$23,0)</x:f>
        <x:v>470</x:v>
      </x:c>
      <x:c r="L839" s="12" t="n">
        <x:f>养成消耗调参!$C$168</x:f>
        <x:v>432</x:v>
      </x:c>
      <x:c r="M839" s="12" t="n">
        <x:f>养成消耗调参!$F$168</x:f>
        <x:v>2100</x:v>
      </x:c>
      <x:c r="N839" s="12" t="n">
        <x:f>养成消耗调参!$I$168</x:f>
        <x:v>0</x:v>
      </x:c>
      <x:c r="O839" s="12" t="n">
        <x:f>养成消耗调参!$J$168</x:f>
        <x:v>4488</x:v>
      </x:c>
      <x:c r="P839" s="12" t="n">
        <x:f>养成消耗调参!$M$168</x:f>
        <x:v>24000</x:v>
      </x:c>
      <x:c r="Q839" s="12" t="n">
        <x:f>养成消耗调参!$P$168</x:f>
        <x:v>160</x:v>
      </x:c>
      <x:c r="R839" s="13">
        <x:f>I839/英雄升级调参!$G$86-1</x:f>
        <x:v>0.0005786819225412909</x:v>
      </x:c>
      <x:c r="S839" s="6"/>
      <x:c r="T839" s="6"/>
      <x:c r="U839" s="6"/>
    </x:row>
    <x:row r="840" ht="21" customHeight="1">
      <x:c r="A840" s="14" t="n">
        <x:f>英雄升级调参!$B$23</x:f>
        <x:v>310005</x:v>
      </x:c>
      <x:c r="B840" s="14" t="str">
        <x:f>英雄升级调参!$C$23</x:f>
        <x:v>焦焦鸮</x:v>
      </x:c>
      <x:c r="C840" s="6" t="str">
        <x:f>英雄升级调参!$D$23</x:f>
        <x:v>探险家</x:v>
      </x:c>
      <x:c r="D840" s="6" t="s">
        <x:v>18</x:v>
      </x:c>
      <x:c r="E840" s="6">
        <x:v>22</x:v>
      </x:c>
      <x:c r="F840" s="6" t="n">
        <x:f>英雄升级调参!$C$87</x:f>
        <x:v>5</x:v>
      </x:c>
      <x:c r="G840" s="12">
        <x:f t="shared" si="76"/>
        <x:v>1187</x:v>
      </x:c>
      <x:c r="H840" s="12">
        <x:f t="shared" si="77"/>
        <x:v>8977</x:v>
      </x:c>
      <x:c r="I840" s="12">
        <x:f t="shared" si="78"/>
        <x:v>10655699</x:v>
      </x:c>
      <x:c r="J840" s="12">
        <x:f>ROUND(英雄升级调参!$D$87*英雄升级调参!$J$9*英雄升级调参!$E$23,0)</x:f>
        <x:v>62</x:v>
      </x:c>
      <x:c r="K840" s="12">
        <x:f>ROUND(英雄升级调参!$D$87*英雄升级调参!$C$11*英雄升级调参!$J$9*英雄升级调参!$G$23,0)</x:f>
        <x:v>470</x:v>
      </x:c>
      <x:c r="L840" s="12" t="n">
        <x:f>养成消耗调参!$C$169</x:f>
        <x:v>480</x:v>
      </x:c>
      <x:c r="M840" s="12" t="n">
        <x:f>养成消耗调参!$F$169</x:f>
        <x:v>3000</x:v>
      </x:c>
      <x:c r="N840" s="12" t="n">
        <x:f>养成消耗调参!$I$169</x:f>
        <x:v>0</x:v>
      </x:c>
      <x:c r="O840" s="12" t="n">
        <x:f>养成消耗调参!$J$169</x:f>
        <x:v>4968</x:v>
      </x:c>
      <x:c r="P840" s="12" t="n">
        <x:f>养成消耗调参!$M$169</x:f>
        <x:v>27000</x:v>
      </x:c>
      <x:c r="Q840" s="12" t="n">
        <x:f>养成消耗调参!$P$169</x:f>
        <x:v>160</x:v>
      </x:c>
      <x:c r="R840" s="13">
        <x:f>I840/英雄升级调参!$G$87-1</x:f>
        <x:v>0.0005125706087374393</x:v>
      </x:c>
      <x:c r="S840" s="6"/>
      <x:c r="T840" s="6"/>
      <x:c r="U840" s="6"/>
    </x:row>
    <x:row r="841" ht="21" customHeight="1">
      <x:c r="A841" s="14" t="n">
        <x:f>英雄升级调参!$B$23</x:f>
        <x:v>310005</x:v>
      </x:c>
      <x:c r="B841" s="14" t="str">
        <x:f>英雄升级调参!$C$23</x:f>
        <x:v>焦焦鸮</x:v>
      </x:c>
      <x:c r="C841" s="6" t="str">
        <x:f>英雄升级调参!$D$23</x:f>
        <x:v>探险家</x:v>
      </x:c>
      <x:c r="D841" s="6" t="s">
        <x:v>18</x:v>
      </x:c>
      <x:c r="E841" s="6">
        <x:v>23</x:v>
      </x:c>
      <x:c r="F841" s="6" t="n">
        <x:f>英雄升级调参!$C$88</x:f>
        <x:v>5</x:v>
      </x:c>
      <x:c r="G841" s="12">
        <x:f t="shared" si="76"/>
        <x:v>1249</x:v>
      </x:c>
      <x:c r="H841" s="12">
        <x:f t="shared" si="77"/>
        <x:v>9447</x:v>
      </x:c>
      <x:c r="I841" s="12">
        <x:f t="shared" si="78"/>
        <x:v>11799303</x:v>
      </x:c>
      <x:c r="J841" s="12">
        <x:f>ROUND(英雄升级调参!$D$88*英雄升级调参!$J$9*英雄升级调参!$E$23,0)</x:f>
        <x:v>62</x:v>
      </x:c>
      <x:c r="K841" s="12">
        <x:f>ROUND(英雄升级调参!$D$88*英雄升级调参!$C$11*英雄升级调参!$J$9*英雄升级调参!$G$23,0)</x:f>
        <x:v>470</x:v>
      </x:c>
      <x:c r="L841" s="12" t="n">
        <x:f>养成消耗调参!$C$170</x:f>
        <x:v>480</x:v>
      </x:c>
      <x:c r="M841" s="12" t="n">
        <x:f>养成消耗调参!$F$170</x:f>
        <x:v>3000</x:v>
      </x:c>
      <x:c r="N841" s="12" t="n">
        <x:f>养成消耗调参!$I$170</x:f>
        <x:v>0</x:v>
      </x:c>
      <x:c r="O841" s="12" t="n">
        <x:f>养成消耗调参!$J$170</x:f>
        <x:v>5448</x:v>
      </x:c>
      <x:c r="P841" s="12" t="n">
        <x:f>养成消耗调参!$M$170</x:f>
        <x:v>30000</x:v>
      </x:c>
      <x:c r="Q841" s="12" t="n">
        <x:f>养成消耗调参!$P$170</x:f>
        <x:v>160</x:v>
      </x:c>
      <x:c r="R841" s="13">
        <x:f>I841/英雄升级调参!$G$88-1</x:f>
        <x:v>0.00045302849933359646</x:v>
      </x:c>
      <x:c r="S841" s="6"/>
      <x:c r="T841" s="6"/>
      <x:c r="U841" s="6"/>
    </x:row>
    <x:row r="842" ht="21" customHeight="1">
      <x:c r="A842" s="14" t="n">
        <x:f>英雄升级调参!$B$23</x:f>
        <x:v>310005</x:v>
      </x:c>
      <x:c r="B842" s="14" t="str">
        <x:f>英雄升级调参!$C$23</x:f>
        <x:v>焦焦鸮</x:v>
      </x:c>
      <x:c r="C842" s="6" t="str">
        <x:f>英雄升级调参!$D$23</x:f>
        <x:v>探险家</x:v>
      </x:c>
      <x:c r="D842" s="6" t="s">
        <x:v>18</x:v>
      </x:c>
      <x:c r="E842" s="6">
        <x:v>24</x:v>
      </x:c>
      <x:c r="F842" s="6" t="n">
        <x:f>英雄升级调参!$C$89</x:f>
        <x:v>5</x:v>
      </x:c>
      <x:c r="G842" s="12">
        <x:f t="shared" si="76"/>
        <x:v>1311</x:v>
      </x:c>
      <x:c r="H842" s="12">
        <x:f t="shared" si="77"/>
        <x:v>9917</x:v>
      </x:c>
      <x:c r="I842" s="12">
        <x:f t="shared" si="78"/>
        <x:v>13001187</x:v>
      </x:c>
      <x:c r="J842" s="12">
        <x:f>ROUND(英雄升级调参!$D$89*英雄升级调参!$J$9*英雄升级调参!$E$23,0)</x:f>
        <x:v>62</x:v>
      </x:c>
      <x:c r="K842" s="12">
        <x:f>ROUND(英雄升级调参!$D$89*英雄升级调参!$C$11*英雄升级调参!$J$9*英雄升级调参!$G$23,0)</x:f>
        <x:v>470</x:v>
      </x:c>
      <x:c r="L842" s="12" t="n">
        <x:f>养成消耗调参!$C$171</x:f>
        <x:v>528</x:v>
      </x:c>
      <x:c r="M842" s="12" t="n">
        <x:f>养成消耗调参!$F$171</x:f>
        <x:v>3000</x:v>
      </x:c>
      <x:c r="N842" s="12" t="n">
        <x:f>养成消耗调参!$I$171</x:f>
        <x:v>0</x:v>
      </x:c>
      <x:c r="O842" s="12" t="n">
        <x:f>养成消耗调参!$J$171</x:f>
        <x:v>5976</x:v>
      </x:c>
      <x:c r="P842" s="12" t="n">
        <x:f>养成消耗调参!$M$171</x:f>
        <x:v>33000</x:v>
      </x:c>
      <x:c r="Q842" s="12" t="n">
        <x:f>养成消耗调参!$P$171</x:f>
        <x:v>160</x:v>
      </x:c>
      <x:c r="R842" s="13">
        <x:f>I842/英雄升级调参!$G$89-1</x:f>
        <x:v>0.00039912280701748237</x:v>
      </x:c>
      <x:c r="S842" s="6"/>
      <x:c r="T842" s="6"/>
      <x:c r="U842" s="6"/>
    </x:row>
    <x:row r="843" ht="21" customHeight="1">
      <x:c r="A843" s="14" t="n">
        <x:f>英雄升级调参!$B$23</x:f>
        <x:v>310005</x:v>
      </x:c>
      <x:c r="B843" s="14" t="str">
        <x:f>英雄升级调参!$C$23</x:f>
        <x:v>焦焦鸮</x:v>
      </x:c>
      <x:c r="C843" s="6" t="str">
        <x:f>英雄升级调参!$D$23</x:f>
        <x:v>探险家</x:v>
      </x:c>
      <x:c r="D843" s="6" t="s">
        <x:v>18</x:v>
      </x:c>
      <x:c r="E843" s="6">
        <x:v>25</x:v>
      </x:c>
      <x:c r="F843" s="6" t="n">
        <x:f>英雄升级调参!$C$90</x:f>
        <x:v>5</x:v>
      </x:c>
      <x:c r="G843" s="12">
        <x:f t="shared" si="76"/>
        <x:v>1497</x:v>
      </x:c>
      <x:c r="H843" s="12">
        <x:f t="shared" si="77"/>
        <x:v>11327</x:v>
      </x:c>
      <x:c r="I843" s="12">
        <x:f t="shared" si="78"/>
        <x:v>16956519</x:v>
      </x:c>
      <x:c r="J843" s="12">
        <x:f>ROUND(英雄升级调参!$D$90*英雄升级调参!$J$9*英雄升级调参!$E$23,0)*3</x:f>
        <x:v>186</x:v>
      </x:c>
      <x:c r="K843" s="12">
        <x:f>ROUND(英雄升级调参!$D$90*英雄升级调参!$C$11*英雄升级调参!$J$9*英雄升级调参!$G$23,0)*3</x:f>
        <x:v>1410</x:v>
      </x:c>
      <x:c r="L843" s="12" t="n">
        <x:f>养成消耗调参!$C$172</x:f>
        <x:v>528</x:v>
      </x:c>
      <x:c r="M843" s="12" t="n">
        <x:f>养成消耗调参!$F$172</x:f>
        <x:v>3000</x:v>
      </x:c>
      <x:c r="N843" s="12" t="n">
        <x:f>养成消耗调参!$I$172</x:f>
        <x:v>90</x:v>
      </x:c>
      <x:c r="O843" s="12" t="n">
        <x:f>养成消耗调参!$J$172</x:f>
        <x:v>6504</x:v>
      </x:c>
      <x:c r="P843" s="12" t="n">
        <x:f>养成消耗调参!$M$172</x:f>
        <x:v>36000</x:v>
      </x:c>
      <x:c r="Q843" s="12" t="n">
        <x:f>养成消耗调参!$P$172</x:f>
        <x:v>250</x:v>
      </x:c>
      <x:c r="R843" s="13">
        <x:f>I843/英雄升级调参!$G$90-1</x:f>
        <x:v>0.0002642159881642847</x:v>
      </x:c>
      <x:c r="S843" s="6"/>
      <x:c r="T843" s="6"/>
      <x:c r="U843" s="6"/>
    </x:row>
    <x:row r="844" ht="21" customHeight="1">
      <x:c r="A844" s="14" t="n">
        <x:f>英雄升级调参!$B$23</x:f>
        <x:v>310005</x:v>
      </x:c>
      <x:c r="B844" s="14" t="str">
        <x:f>英雄升级调参!$C$23</x:f>
        <x:v>焦焦鸮</x:v>
      </x:c>
      <x:c r="C844" s="6" t="str">
        <x:f>英雄升级调参!$D$23</x:f>
        <x:v>探险家</x:v>
      </x:c>
      <x:c r="D844" s="6" t="s">
        <x:v>18</x:v>
      </x:c>
      <x:c r="E844" s="6">
        <x:v>26</x:v>
      </x:c>
      <x:c r="F844" s="6" t="n">
        <x:f>英雄升级调参!$C$91</x:f>
        <x:v>6</x:v>
      </x:c>
      <x:c r="G844" s="12">
        <x:f t="shared" si="76"/>
        <x:v>1569</x:v>
      </x:c>
      <x:c r="H844" s="12">
        <x:f t="shared" si="77"/>
        <x:v>11875</x:v>
      </x:c>
      <x:c r="I844" s="12">
        <x:f t="shared" si="78"/>
        <x:v>18631875</x:v>
      </x:c>
      <x:c r="J844" s="12">
        <x:f>ROUND(英雄升级调参!$D$91*英雄升级调参!$J$9*英雄升级调参!$E$23,0)</x:f>
        <x:v>72</x:v>
      </x:c>
      <x:c r="K844" s="12">
        <x:f>ROUND(英雄升级调参!$D$91*英雄升级调参!$C$11*英雄升级调参!$J$9*英雄升级调参!$G$23,0)</x:f>
        <x:v>548</x:v>
      </x:c>
      <x:c r="L844" s="12" t="n">
        <x:f>养成消耗调参!$C$173</x:f>
        <x:v>576</x:v>
      </x:c>
      <x:c r="M844" s="12" t="n">
        <x:f>养成消耗调参!$F$173</x:f>
        <x:v>3000</x:v>
      </x:c>
      <x:c r="N844" s="12" t="n">
        <x:f>养成消耗调参!$I$173</x:f>
        <x:v>0</x:v>
      </x:c>
      <x:c r="O844" s="12" t="n">
        <x:f>养成消耗调参!$J$173</x:f>
        <x:v>7080</x:v>
      </x:c>
      <x:c r="P844" s="12" t="n">
        <x:f>养成消耗调参!$M$173</x:f>
        <x:v>39000</x:v>
      </x:c>
      <x:c r="Q844" s="12" t="n">
        <x:f>养成消耗调参!$P$173</x:f>
        <x:v>250</x:v>
      </x:c>
      <x:c r="R844" s="13">
        <x:f>I844/英雄升级调参!$G$91-1</x:f>
        <x:v>-2.012639375281733e-05</x:v>
      </x:c>
      <x:c r="S844" s="6"/>
      <x:c r="T844" s="6"/>
      <x:c r="U844" s="6"/>
    </x:row>
    <x:row r="845" ht="21" customHeight="1">
      <x:c r="A845" s="14" t="n">
        <x:f>英雄升级调参!$B$23</x:f>
        <x:v>310005</x:v>
      </x:c>
      <x:c r="B845" s="14" t="str">
        <x:f>英雄升级调参!$C$23</x:f>
        <x:v>焦焦鸮</x:v>
      </x:c>
      <x:c r="C845" s="6" t="str">
        <x:f>英雄升级调参!$D$23</x:f>
        <x:v>探险家</x:v>
      </x:c>
      <x:c r="D845" s="6" t="s">
        <x:v>18</x:v>
      </x:c>
      <x:c r="E845" s="6">
        <x:v>27</x:v>
      </x:c>
      <x:c r="F845" s="6" t="n">
        <x:f>英雄升级调参!$C$92</x:f>
        <x:v>6</x:v>
      </x:c>
      <x:c r="G845" s="12">
        <x:f t="shared" si="76"/>
        <x:v>1641</x:v>
      </x:c>
      <x:c r="H845" s="12">
        <x:f t="shared" si="77"/>
        <x:v>12423</x:v>
      </x:c>
      <x:c r="I845" s="12">
        <x:f t="shared" si="78"/>
        <x:v>20386143</x:v>
      </x:c>
      <x:c r="J845" s="12">
        <x:f>ROUND(英雄升级调参!$D$92*英雄升级调参!$J$9*英雄升级调参!$E$23,0)</x:f>
        <x:v>72</x:v>
      </x:c>
      <x:c r="K845" s="12">
        <x:f>ROUND(英雄升级调参!$D$92*英雄升级调参!$C$11*英雄升级调参!$J$9*英雄升级调参!$G$23,0)</x:f>
        <x:v>548</x:v>
      </x:c>
      <x:c r="L845" s="12" t="n">
        <x:f>养成消耗调参!$C$174</x:f>
        <x:v>576</x:v>
      </x:c>
      <x:c r="M845" s="12" t="n">
        <x:f>养成消耗调参!$F$174</x:f>
        <x:v>3900</x:v>
      </x:c>
      <x:c r="N845" s="12" t="n">
        <x:f>养成消耗调参!$I$174</x:f>
        <x:v>0</x:v>
      </x:c>
      <x:c r="O845" s="12" t="n">
        <x:f>养成消耗调参!$J$174</x:f>
        <x:v>7656</x:v>
      </x:c>
      <x:c r="P845" s="12" t="n">
        <x:f>养成消耗调参!$M$174</x:f>
        <x:v>42900</x:v>
      </x:c>
      <x:c r="Q845" s="12" t="n">
        <x:f>养成消耗调参!$P$174</x:f>
        <x:v>250</x:v>
      </x:c>
      <x:c r="R845" s="13">
        <x:f>I845/英雄升级调参!$G$92-1</x:f>
        <x:v>-0.00027937645646491926</x:v>
      </x:c>
      <x:c r="S845" s="6"/>
      <x:c r="T845" s="6"/>
      <x:c r="U845" s="6"/>
    </x:row>
    <x:row r="846" ht="21" customHeight="1">
      <x:c r="A846" s="14" t="n">
        <x:f>英雄升级调参!$B$23</x:f>
        <x:v>310005</x:v>
      </x:c>
      <x:c r="B846" s="14" t="str">
        <x:f>英雄升级调参!$C$23</x:f>
        <x:v>焦焦鸮</x:v>
      </x:c>
      <x:c r="C846" s="6" t="str">
        <x:f>英雄升级调参!$D$23</x:f>
        <x:v>探险家</x:v>
      </x:c>
      <x:c r="D846" s="6" t="s">
        <x:v>18</x:v>
      </x:c>
      <x:c r="E846" s="6">
        <x:v>28</x:v>
      </x:c>
      <x:c r="F846" s="6" t="n">
        <x:f>英雄升级调参!$C$93</x:f>
        <x:v>6</x:v>
      </x:c>
      <x:c r="G846" s="12">
        <x:f t="shared" si="76"/>
        <x:v>1713</x:v>
      </x:c>
      <x:c r="H846" s="12">
        <x:f t="shared" si="77"/>
        <x:v>12971</x:v>
      </x:c>
      <x:c r="I846" s="12">
        <x:f t="shared" si="78"/>
        <x:v>22219323</x:v>
      </x:c>
      <x:c r="J846" s="12">
        <x:f>ROUND(英雄升级调参!$D$93*英雄升级调参!$J$9*英雄升级调参!$E$23,0)</x:f>
        <x:v>72</x:v>
      </x:c>
      <x:c r="K846" s="12">
        <x:f>ROUND(英雄升级调参!$D$93*英雄升级调参!$C$11*英雄升级调参!$J$9*英雄升级调参!$G$23,0)</x:f>
        <x:v>548</x:v>
      </x:c>
      <x:c r="L846" s="12" t="n">
        <x:f>养成消耗调参!$C$175</x:f>
        <x:v>624</x:v>
      </x:c>
      <x:c r="M846" s="12" t="n">
        <x:f>养成消耗调参!$F$175</x:f>
        <x:v>3900</x:v>
      </x:c>
      <x:c r="N846" s="12" t="n">
        <x:f>养成消耗调参!$I$175</x:f>
        <x:v>0</x:v>
      </x:c>
      <x:c r="O846" s="12" t="n">
        <x:f>养成消耗调参!$J$175</x:f>
        <x:v>8280</x:v>
      </x:c>
      <x:c r="P846" s="12" t="n">
        <x:f>养成消耗调参!$M$175</x:f>
        <x:v>46800</x:v>
      </x:c>
      <x:c r="Q846" s="12" t="n">
        <x:f>养成消耗调参!$P$175</x:f>
        <x:v>250</x:v>
      </x:c>
      <x:c r="R846" s="13">
        <x:f>I846/英雄升级调参!$G$93-1</x:f>
        <x:v>-0.0005167153153663451</x:v>
      </x:c>
      <x:c r="S846" s="6"/>
      <x:c r="T846" s="6"/>
      <x:c r="U846" s="6"/>
    </x:row>
    <x:row r="847" ht="21" customHeight="1">
      <x:c r="A847" s="14" t="n">
        <x:f>英雄升级调参!$B$23</x:f>
        <x:v>310005</x:v>
      </x:c>
      <x:c r="B847" s="14" t="str">
        <x:f>英雄升级调参!$C$23</x:f>
        <x:v>焦焦鸮</x:v>
      </x:c>
      <x:c r="C847" s="6" t="str">
        <x:f>英雄升级调参!$D$23</x:f>
        <x:v>探险家</x:v>
      </x:c>
      <x:c r="D847" s="6" t="s">
        <x:v>18</x:v>
      </x:c>
      <x:c r="E847" s="6">
        <x:v>29</x:v>
      </x:c>
      <x:c r="F847" s="6" t="n">
        <x:f>英雄升级调参!$C$94</x:f>
        <x:v>6</x:v>
      </x:c>
      <x:c r="G847" s="12">
        <x:f t="shared" si="76"/>
        <x:v>1785</x:v>
      </x:c>
      <x:c r="H847" s="12">
        <x:f t="shared" si="77"/>
        <x:v>13519</x:v>
      </x:c>
      <x:c r="I847" s="12">
        <x:f t="shared" si="78"/>
        <x:v>24131415</x:v>
      </x:c>
      <x:c r="J847" s="12">
        <x:f>ROUND(英雄升级调参!$D$94*英雄升级调参!$J$9*英雄升级调参!$E$23,0)</x:f>
        <x:v>72</x:v>
      </x:c>
      <x:c r="K847" s="12">
        <x:f>ROUND(英雄升级调参!$D$94*英雄升级调参!$C$11*英雄升级调参!$J$9*英雄升级调参!$G$23,0)</x:f>
        <x:v>548</x:v>
      </x:c>
      <x:c r="L847" s="12" t="n">
        <x:f>养成消耗调参!$C$176</x:f>
        <x:v>624</x:v>
      </x:c>
      <x:c r="M847" s="12" t="n">
        <x:f>养成消耗调参!$F$176</x:f>
        <x:v>3900</x:v>
      </x:c>
      <x:c r="N847" s="12" t="n">
        <x:f>养成消耗调参!$I$176</x:f>
        <x:v>0</x:v>
      </x:c>
      <x:c r="O847" s="12" t="n">
        <x:f>养成消耗调参!$J$176</x:f>
        <x:v>8904</x:v>
      </x:c>
      <x:c r="P847" s="12" t="n">
        <x:f>养成消耗调参!$M$176</x:f>
        <x:v>50700</x:v>
      </x:c>
      <x:c r="Q847" s="12" t="n">
        <x:f>养成消耗调参!$P$176</x:f>
        <x:v>250</x:v>
      </x:c>
      <x:c r="R847" s="13">
        <x:f>I847/英雄升级调参!$G$94-1</x:f>
        <x:v>-0.000734808167240586</x:v>
      </x:c>
      <x:c r="S847" s="6"/>
      <x:c r="T847" s="6"/>
      <x:c r="U847" s="6"/>
    </x:row>
    <x:row r="848" ht="21" customHeight="1">
      <x:c r="A848" s="14" t="n">
        <x:f>英雄升级调参!$B$23</x:f>
        <x:v>310005</x:v>
      </x:c>
      <x:c r="B848" s="14" t="str">
        <x:f>英雄升级调参!$C$23</x:f>
        <x:v>焦焦鸮</x:v>
      </x:c>
      <x:c r="C848" s="6" t="str">
        <x:f>英雄升级调参!$D$23</x:f>
        <x:v>探险家</x:v>
      </x:c>
      <x:c r="D848" s="6" t="s">
        <x:v>18</x:v>
      </x:c>
      <x:c r="E848" s="6">
        <x:v>30</x:v>
      </x:c>
      <x:c r="F848" s="6" t="n">
        <x:f>英雄升级调参!$C$95</x:f>
        <x:v>6</x:v>
      </x:c>
      <x:c r="G848" s="12">
        <x:f t="shared" si="76"/>
        <x:v>2001</x:v>
      </x:c>
      <x:c r="H848" s="12">
        <x:f t="shared" si="77"/>
        <x:v>15163</x:v>
      </x:c>
      <x:c r="I848" s="12">
        <x:f t="shared" si="78"/>
        <x:v>30341163</x:v>
      </x:c>
      <x:c r="J848" s="12">
        <x:f>ROUND(英雄升级调参!$D$95*英雄升级调参!$J$9*英雄升级调参!$E$23,0)*3</x:f>
        <x:v>216</x:v>
      </x:c>
      <x:c r="K848" s="12">
        <x:f>ROUND(英雄升级调参!$D$95*英雄升级调参!$C$11*英雄升级调参!$J$9*英雄升级调参!$G$23,0)*3</x:f>
        <x:v>1644</x:v>
      </x:c>
      <x:c r="L848" s="12" t="n">
        <x:f>养成消耗调参!$C$177</x:f>
        <x:v>672</x:v>
      </x:c>
      <x:c r="M848" s="12" t="n">
        <x:f>养成消耗调参!$F$177</x:f>
        <x:v>3900</x:v>
      </x:c>
      <x:c r="N848" s="12" t="n">
        <x:f>养成消耗调参!$I$177</x:f>
        <x:v>110</x:v>
      </x:c>
      <x:c r="O848" s="12" t="n">
        <x:f>养成消耗调参!$J$177</x:f>
        <x:v>9576</x:v>
      </x:c>
      <x:c r="P848" s="12" t="n">
        <x:f>养成消耗调参!$M$177</x:f>
        <x:v>54600</x:v>
      </x:c>
      <x:c r="Q848" s="12" t="n">
        <x:f>养成消耗调参!$P$177</x:f>
        <x:v>360</x:v>
      </x:c>
      <x:c r="R848" s="13">
        <x:f>I848/英雄升级调参!$G$95-1</x:f>
        <x:v>-0.0012944820837320625</x:v>
      </x:c>
      <x:c r="S848" s="6"/>
      <x:c r="T848" s="6"/>
      <x:c r="U848" s="6"/>
    </x:row>
    <x:row r="849" ht="21" customHeight="1">
      <x:c r="A849" s="14" t="n">
        <x:f>英雄升级调参!$B$23</x:f>
        <x:v>310005</x:v>
      </x:c>
      <x:c r="B849" s="14" t="str">
        <x:f>英雄升级调参!$C$23</x:f>
        <x:v>焦焦鸮</x:v>
      </x:c>
      <x:c r="C849" s="6" t="str">
        <x:f>英雄升级调参!$D$23</x:f>
        <x:v>探险家</x:v>
      </x:c>
      <x:c r="D849" s="6" t="s">
        <x:v>18</x:v>
      </x:c>
      <x:c r="E849" s="6">
        <x:v>31</x:v>
      </x:c>
      <x:c r="F849" s="6" t="n">
        <x:f>英雄升级调参!$C$96</x:f>
        <x:v>7</x:v>
      </x:c>
      <x:c r="G849" s="12">
        <x:f t="shared" si="76"/>
        <x:v>2084</x:v>
      </x:c>
      <x:c r="H849" s="12">
        <x:f t="shared" si="77"/>
        <x:v>15789</x:v>
      </x:c>
      <x:c r="I849" s="12">
        <x:f t="shared" si="78"/>
        <x:v>32904276</x:v>
      </x:c>
      <x:c r="J849" s="12">
        <x:f>ROUND(英雄升级调参!$D$96*英雄升级调参!$J$9*英雄升级调参!$E$23,0)</x:f>
        <x:v>83</x:v>
      </x:c>
      <x:c r="K849" s="12">
        <x:f>ROUND(英雄升级调参!$D$96*英雄升级调参!$C$11*英雄升级调参!$J$9*英雄升级调参!$G$23,0)</x:f>
        <x:v>626</x:v>
      </x:c>
      <x:c r="L849" s="12" t="n">
        <x:f>养成消耗调参!$C$178</x:f>
        <x:v>672</x:v>
      </x:c>
      <x:c r="M849" s="12" t="n">
        <x:f>养成消耗调参!$F$178</x:f>
        <x:v>3900</x:v>
      </x:c>
      <x:c r="N849" s="12" t="n">
        <x:f>养成消耗调参!$I$178</x:f>
        <x:v>0</x:v>
      </x:c>
      <x:c r="O849" s="12" t="n">
        <x:f>养成消耗调参!$J$178</x:f>
        <x:v>10248</x:v>
      </x:c>
      <x:c r="P849" s="12" t="n">
        <x:f>养成消耗调参!$M$178</x:f>
        <x:v>58500</x:v>
      </x:c>
      <x:c r="Q849" s="12" t="n">
        <x:f>养成消耗调参!$P$178</x:f>
        <x:v>360</x:v>
      </x:c>
      <x:c r="R849" s="13">
        <x:f>I849/英雄升级调参!$G$96-1</x:f>
        <x:v>-0.0011527445757347765</x:v>
      </x:c>
      <x:c r="S849" s="6"/>
      <x:c r="T849" s="6"/>
      <x:c r="U849" s="6"/>
    </x:row>
    <x:row r="850" ht="21" customHeight="1">
      <x:c r="A850" s="14" t="n">
        <x:f>英雄升级调参!$B$23</x:f>
        <x:v>310005</x:v>
      </x:c>
      <x:c r="B850" s="14" t="str">
        <x:f>英雄升级调参!$C$23</x:f>
        <x:v>焦焦鸮</x:v>
      </x:c>
      <x:c r="C850" s="6" t="str">
        <x:f>英雄升级调参!$D$23</x:f>
        <x:v>探险家</x:v>
      </x:c>
      <x:c r="D850" s="6" t="s">
        <x:v>18</x:v>
      </x:c>
      <x:c r="E850" s="6">
        <x:v>32</x:v>
      </x:c>
      <x:c r="F850" s="6" t="n">
        <x:f>英雄升级调参!$C$97</x:f>
        <x:v>7</x:v>
      </x:c>
      <x:c r="G850" s="12">
        <x:f t="shared" si="76"/>
        <x:v>2167</x:v>
      </x:c>
      <x:c r="H850" s="12">
        <x:f t="shared" si="77"/>
        <x:v>16415</x:v>
      </x:c>
      <x:c r="I850" s="12">
        <x:f t="shared" si="78"/>
        <x:v>35571305</x:v>
      </x:c>
      <x:c r="J850" s="12">
        <x:f>ROUND(英雄升级调参!$D$97*英雄升级调参!$J$9*英雄升级调参!$E$23,0)</x:f>
        <x:v>83</x:v>
      </x:c>
      <x:c r="K850" s="12">
        <x:f>ROUND(英雄升级调参!$D$97*英雄升级调参!$C$11*英雄升级调参!$J$9*英雄升级调参!$G$23,0)</x:f>
        <x:v>626</x:v>
      </x:c>
      <x:c r="L850" s="12" t="n">
        <x:f>养成消耗调参!$C$179</x:f>
        <x:v>720</x:v>
      </x:c>
      <x:c r="M850" s="12" t="n">
        <x:f>养成消耗调参!$F$179</x:f>
        <x:v>4800</x:v>
      </x:c>
      <x:c r="N850" s="12" t="n">
        <x:f>养成消耗调参!$I$179</x:f>
        <x:v>0</x:v>
      </x:c>
      <x:c r="O850" s="12" t="n">
        <x:f>养成消耗调参!$J$179</x:f>
        <x:v>10968</x:v>
      </x:c>
      <x:c r="P850" s="12" t="n">
        <x:f>养成消耗调参!$M$179</x:f>
        <x:v>63300</x:v>
      </x:c>
      <x:c r="Q850" s="12" t="n">
        <x:f>养成消耗调参!$P$179</x:f>
        <x:v>360</x:v>
      </x:c>
      <x:c r="R850" s="13">
        <x:f>I850/英雄升级调参!$G$97-1</x:f>
        <x:v>-0.0010218298350721522</x:v>
      </x:c>
      <x:c r="S850" s="6"/>
      <x:c r="T850" s="6"/>
      <x:c r="U850" s="6"/>
    </x:row>
    <x:row r="851" ht="21" customHeight="1">
      <x:c r="A851" s="14" t="n">
        <x:f>英雄升级调参!$B$23</x:f>
        <x:v>310005</x:v>
      </x:c>
      <x:c r="B851" s="14" t="str">
        <x:f>英雄升级调参!$C$23</x:f>
        <x:v>焦焦鸮</x:v>
      </x:c>
      <x:c r="C851" s="6" t="str">
        <x:f>英雄升级调参!$D$23</x:f>
        <x:v>探险家</x:v>
      </x:c>
      <x:c r="D851" s="6" t="s">
        <x:v>18</x:v>
      </x:c>
      <x:c r="E851" s="6">
        <x:v>33</x:v>
      </x:c>
      <x:c r="F851" s="6" t="n">
        <x:f>英雄升级调参!$C$98</x:f>
        <x:v>7</x:v>
      </x:c>
      <x:c r="G851" s="12">
        <x:f t="shared" si="76"/>
        <x:v>2250</x:v>
      </x:c>
      <x:c r="H851" s="12">
        <x:f t="shared" si="77"/>
        <x:v>17041</x:v>
      </x:c>
      <x:c r="I851" s="12">
        <x:f t="shared" si="78"/>
        <x:v>38342250</x:v>
      </x:c>
      <x:c r="J851" s="12">
        <x:f>ROUND(英雄升级调参!$D$98*英雄升级调参!$J$9*英雄升级调参!$E$23,0)</x:f>
        <x:v>83</x:v>
      </x:c>
      <x:c r="K851" s="12">
        <x:f>ROUND(英雄升级调参!$D$98*英雄升级调参!$C$11*英雄升级调参!$J$9*英雄升级调参!$G$23,0)</x:f>
        <x:v>626</x:v>
      </x:c>
      <x:c r="L851" s="12" t="n">
        <x:f>养成消耗调参!$C$180</x:f>
        <x:v>720</x:v>
      </x:c>
      <x:c r="M851" s="12" t="n">
        <x:f>养成消耗调参!$F$180</x:f>
        <x:v>4800</x:v>
      </x:c>
      <x:c r="N851" s="12" t="n">
        <x:f>养成消耗调参!$I$180</x:f>
        <x:v>0</x:v>
      </x:c>
      <x:c r="O851" s="12" t="n">
        <x:f>养成消耗调参!$J$180</x:f>
        <x:v>11688</x:v>
      </x:c>
      <x:c r="P851" s="12" t="n">
        <x:f>养成消耗调参!$M$180</x:f>
        <x:v>68100</x:v>
      </x:c>
      <x:c r="Q851" s="12" t="n">
        <x:f>养成消耗调参!$P$180</x:f>
        <x:v>360</x:v>
      </x:c>
      <x:c r="R851" s="13">
        <x:f>I851/英雄升级调参!$G$98-1</x:f>
        <x:v>-0.0009005438440558011</x:v>
      </x:c>
      <x:c r="S851" s="6"/>
      <x:c r="T851" s="6"/>
      <x:c r="U851" s="6"/>
    </x:row>
    <x:row r="852" ht="21" customHeight="1">
      <x:c r="A852" s="14" t="n">
        <x:f>英雄升级调参!$B$23</x:f>
        <x:v>310005</x:v>
      </x:c>
      <x:c r="B852" s="14" t="str">
        <x:f>英雄升级调参!$C$23</x:f>
        <x:v>焦焦鸮</x:v>
      </x:c>
      <x:c r="C852" s="6" t="str">
        <x:f>英雄升级调参!$D$23</x:f>
        <x:v>探险家</x:v>
      </x:c>
      <x:c r="D852" s="6" t="s">
        <x:v>18</x:v>
      </x:c>
      <x:c r="E852" s="6">
        <x:v>34</x:v>
      </x:c>
      <x:c r="F852" s="6" t="n">
        <x:f>英雄升级调参!$C$99</x:f>
        <x:v>7</x:v>
      </x:c>
      <x:c r="G852" s="12">
        <x:f t="shared" ref="G852:G868" si="79">G851+J852</x:f>
        <x:v>2333</x:v>
      </x:c>
      <x:c r="H852" s="12">
        <x:f t="shared" ref="H852:H868" si="80">H851+K852</x:f>
        <x:v>17667</x:v>
      </x:c>
      <x:c r="I852" s="12">
        <x:f t="shared" si="78"/>
        <x:v>41217111</x:v>
      </x:c>
      <x:c r="J852" s="12">
        <x:f>ROUND(英雄升级调参!$D$99*英雄升级调参!$J$9*英雄升级调参!$E$23,0)</x:f>
        <x:v>83</x:v>
      </x:c>
      <x:c r="K852" s="12">
        <x:f>ROUND(英雄升级调参!$D$99*英雄升级调参!$C$11*英雄升级调参!$J$9*英雄升级调参!$G$23,0)</x:f>
        <x:v>626</x:v>
      </x:c>
      <x:c r="L852" s="12" t="n">
        <x:f>养成消耗调参!$C$181</x:f>
        <x:v>768</x:v>
      </x:c>
      <x:c r="M852" s="12" t="n">
        <x:f>养成消耗调参!$F$181</x:f>
        <x:v>4800</x:v>
      </x:c>
      <x:c r="N852" s="12" t="n">
        <x:f>养成消耗调参!$I$181</x:f>
        <x:v>0</x:v>
      </x:c>
      <x:c r="O852" s="12" t="n">
        <x:f>养成消耗调参!$J$181</x:f>
        <x:v>12456</x:v>
      </x:c>
      <x:c r="P852" s="12" t="n">
        <x:f>养成消耗调参!$M$181</x:f>
        <x:v>72900</x:v>
      </x:c>
      <x:c r="Q852" s="12" t="n">
        <x:f>养成消耗调参!$P$181</x:f>
        <x:v>360</x:v>
      </x:c>
      <x:c r="R852" s="13">
        <x:f>I852/英雄升级调参!$G$99-1</x:f>
        <x:v>-0.0007878619943315623</x:v>
      </x:c>
      <x:c r="S852" s="6"/>
      <x:c r="T852" s="6"/>
      <x:c r="U852" s="6"/>
    </x:row>
    <x:row r="853" ht="21" customHeight="1">
      <x:c r="A853" s="14" t="n">
        <x:f>英雄升级调参!$B$23</x:f>
        <x:v>310005</x:v>
      </x:c>
      <x:c r="B853" s="14" t="str">
        <x:f>英雄升级调参!$C$23</x:f>
        <x:v>焦焦鸮</x:v>
      </x:c>
      <x:c r="C853" s="6" t="str">
        <x:f>英雄升级调参!$D$23</x:f>
        <x:v>探险家</x:v>
      </x:c>
      <x:c r="D853" s="6" t="s">
        <x:v>18</x:v>
      </x:c>
      <x:c r="E853" s="6">
        <x:v>35</x:v>
      </x:c>
      <x:c r="F853" s="6" t="n">
        <x:f>英雄升级调参!$C$100</x:f>
        <x:v>7</x:v>
      </x:c>
      <x:c r="G853" s="12">
        <x:f t="shared" si="79"/>
        <x:v>2582</x:v>
      </x:c>
      <x:c r="H853" s="12">
        <x:f t="shared" si="80"/>
        <x:v>19545</x:v>
      </x:c>
      <x:c r="I853" s="12">
        <x:f t="shared" si="78"/>
        <x:v>50465190</x:v>
      </x:c>
      <x:c r="J853" s="12">
        <x:f>ROUND(英雄升级调参!$D$100*英雄升级调参!$J$9*英雄升级调参!$E$23,0)*3</x:f>
        <x:v>249</x:v>
      </x:c>
      <x:c r="K853" s="12">
        <x:f>ROUND(英雄升级调参!$D$100*英雄升级调参!$C$11*英雄升级调参!$J$9*英雄升级调参!$G$23,0)*3</x:f>
        <x:v>1878</x:v>
      </x:c>
      <x:c r="L853" s="12" t="n">
        <x:f>养成消耗调参!$C$182</x:f>
        <x:v>768</x:v>
      </x:c>
      <x:c r="M853" s="12" t="n">
        <x:f>养成消耗调参!$F$182</x:f>
        <x:v>4800</x:v>
      </x:c>
      <x:c r="N853" s="12" t="n">
        <x:f>养成消耗调参!$I$182</x:f>
        <x:v>130</x:v>
      </x:c>
      <x:c r="O853" s="12" t="n">
        <x:f>养成消耗调参!$J$182</x:f>
        <x:v>13224</x:v>
      </x:c>
      <x:c r="P853" s="12" t="n">
        <x:f>养成消耗调参!$M$182</x:f>
        <x:v>77700</x:v>
      </x:c>
      <x:c r="Q853" s="12" t="n">
        <x:f>养成消耗调参!$P$182</x:f>
        <x:v>490</x:v>
      </x:c>
      <x:c r="R853" s="13">
        <x:f>I853/英雄升级调参!$G$100-1</x:f>
        <x:v>-0.0004931660846713148</x:v>
      </x:c>
      <x:c r="S853" s="6"/>
      <x:c r="T853" s="6"/>
      <x:c r="U853" s="6"/>
    </x:row>
    <x:row r="854" ht="21" customHeight="1">
      <x:c r="A854" s="14" t="n">
        <x:f>英雄升级调参!$B$23</x:f>
        <x:v>310005</x:v>
      </x:c>
      <x:c r="B854" s="14" t="str">
        <x:f>英雄升级调参!$C$23</x:f>
        <x:v>焦焦鸮</x:v>
      </x:c>
      <x:c r="C854" s="6" t="str">
        <x:f>英雄升级调参!$D$23</x:f>
        <x:v>探险家</x:v>
      </x:c>
      <x:c r="D854" s="6" t="s">
        <x:v>18</x:v>
      </x:c>
      <x:c r="E854" s="6">
        <x:v>36</x:v>
      </x:c>
      <x:c r="F854" s="6" t="n">
        <x:f>英雄升级调参!$C$101</x:f>
        <x:v>8</x:v>
      </x:c>
      <x:c r="G854" s="12">
        <x:f t="shared" si="79"/>
        <x:v>2675</x:v>
      </x:c>
      <x:c r="H854" s="12">
        <x:f t="shared" si="80"/>
        <x:v>20249</x:v>
      </x:c>
      <x:c r="I854" s="12">
        <x:f t="shared" si="78"/>
        <x:v>54166075</x:v>
      </x:c>
      <x:c r="J854" s="12">
        <x:f>ROUND(英雄升级调参!$D$101*英雄升级调参!$J$9*英雄升级调参!$E$23,0)</x:f>
        <x:v>93</x:v>
      </x:c>
      <x:c r="K854" s="12">
        <x:f>ROUND(英雄升级调参!$D$101*英雄升级调参!$C$11*英雄升级调参!$J$9*英雄升级调参!$G$23,0)</x:f>
        <x:v>704</x:v>
      </x:c>
      <x:c r="L854" s="12" t="n">
        <x:f>养成消耗调参!$C$183</x:f>
        <x:v>816</x:v>
      </x:c>
      <x:c r="M854" s="12" t="n">
        <x:f>养成消耗调参!$F$183</x:f>
        <x:v>4800</x:v>
      </x:c>
      <x:c r="N854" s="12" t="n">
        <x:f>养成消耗调参!$I$183</x:f>
        <x:v>0</x:v>
      </x:c>
      <x:c r="O854" s="12" t="n">
        <x:f>养成消耗调参!$J$183</x:f>
        <x:v>14040</x:v>
      </x:c>
      <x:c r="P854" s="12" t="n">
        <x:f>养成消耗调参!$M$183</x:f>
        <x:v>82500</x:v>
      </x:c>
      <x:c r="Q854" s="12" t="n">
        <x:f>养成消耗调参!$P$183</x:f>
        <x:v>490</x:v>
      </x:c>
      <x:c r="R854" s="13">
        <x:f>I854/英雄升级调参!$G$101-1</x:f>
        <x:v>-0.0005492118952303837</x:v>
      </x:c>
      <x:c r="S854" s="6"/>
      <x:c r="T854" s="6"/>
      <x:c r="U854" s="6"/>
    </x:row>
    <x:row r="855" ht="21" customHeight="1">
      <x:c r="A855" s="14" t="n">
        <x:f>英雄升级调参!$B$23</x:f>
        <x:v>310005</x:v>
      </x:c>
      <x:c r="B855" s="14" t="str">
        <x:f>英雄升级调参!$C$23</x:f>
        <x:v>焦焦鸮</x:v>
      </x:c>
      <x:c r="C855" s="6" t="str">
        <x:f>英雄升级调参!$D$23</x:f>
        <x:v>探险家</x:v>
      </x:c>
      <x:c r="D855" s="6" t="s">
        <x:v>18</x:v>
      </x:c>
      <x:c r="E855" s="6">
        <x:v>37</x:v>
      </x:c>
      <x:c r="F855" s="6" t="n">
        <x:f>英雄升级调参!$C$102</x:f>
        <x:v>8</x:v>
      </x:c>
      <x:c r="G855" s="12">
        <x:f t="shared" si="79"/>
        <x:v>2768</x:v>
      </x:c>
      <x:c r="H855" s="12">
        <x:f t="shared" si="80"/>
        <x:v>20953</x:v>
      </x:c>
      <x:c r="I855" s="12">
        <x:f t="shared" si="78"/>
        <x:v>57997904</x:v>
      </x:c>
      <x:c r="J855" s="12">
        <x:f>ROUND(英雄升级调参!$D$102*英雄升级调参!$J$9*英雄升级调参!$E$23,0)</x:f>
        <x:v>93</x:v>
      </x:c>
      <x:c r="K855" s="12">
        <x:f>ROUND(英雄升级调参!$D$102*英雄升级调参!$C$11*英雄升级调参!$J$9*英雄升级调参!$G$23,0)</x:f>
        <x:v>704</x:v>
      </x:c>
      <x:c r="L855" s="12" t="n">
        <x:f>养成消耗调参!$C$184</x:f>
        <x:v>816</x:v>
      </x:c>
      <x:c r="M855" s="12" t="n">
        <x:f>养成消耗调参!$F$184</x:f>
        <x:v>5700</x:v>
      </x:c>
      <x:c r="N855" s="12" t="n">
        <x:f>养成消耗调参!$I$184</x:f>
        <x:v>0</x:v>
      </x:c>
      <x:c r="O855" s="12" t="n">
        <x:f>养成消耗调参!$J$184</x:f>
        <x:v>14856</x:v>
      </x:c>
      <x:c r="P855" s="12" t="n">
        <x:f>养成消耗调参!$M$184</x:f>
        <x:v>88200</x:v>
      </x:c>
      <x:c r="Q855" s="12" t="n">
        <x:f>养成消耗调参!$P$184</x:f>
        <x:v>490</x:v>
      </x:c>
      <x:c r="R855" s="13">
        <x:f>I855/英雄升级调参!$G$102-1</x:f>
        <x:v>-0.0006014873310460356</x:v>
      </x:c>
      <x:c r="S855" s="6"/>
      <x:c r="T855" s="6"/>
      <x:c r="U855" s="6"/>
    </x:row>
    <x:row r="856" ht="21" customHeight="1">
      <x:c r="A856" s="14" t="n">
        <x:f>英雄升级调参!$B$23</x:f>
        <x:v>310005</x:v>
      </x:c>
      <x:c r="B856" s="14" t="str">
        <x:f>英雄升级调参!$C$23</x:f>
        <x:v>焦焦鸮</x:v>
      </x:c>
      <x:c r="C856" s="6" t="str">
        <x:f>英雄升级调参!$D$23</x:f>
        <x:v>探险家</x:v>
      </x:c>
      <x:c r="D856" s="6" t="s">
        <x:v>18</x:v>
      </x:c>
      <x:c r="E856" s="6">
        <x:v>38</x:v>
      </x:c>
      <x:c r="F856" s="6" t="n">
        <x:f>英雄升级调参!$C$103</x:f>
        <x:v>8</x:v>
      </x:c>
      <x:c r="G856" s="12">
        <x:f t="shared" si="79"/>
        <x:v>2861</x:v>
      </x:c>
      <x:c r="H856" s="12">
        <x:f t="shared" si="80"/>
        <x:v>21657</x:v>
      </x:c>
      <x:c r="I856" s="12">
        <x:f t="shared" si="78"/>
        <x:v>61960677</x:v>
      </x:c>
      <x:c r="J856" s="12">
        <x:f>ROUND(英雄升级调参!$D$103*英雄升级调参!$J$9*英雄升级调参!$E$23,0)</x:f>
        <x:v>93</x:v>
      </x:c>
      <x:c r="K856" s="12">
        <x:f>ROUND(英雄升级调参!$D$103*英雄升级调参!$C$11*英雄升级调参!$J$9*英雄升级调参!$G$23,0)</x:f>
        <x:v>704</x:v>
      </x:c>
      <x:c r="L856" s="12" t="n">
        <x:f>养成消耗调参!$C$185</x:f>
        <x:v>864</x:v>
      </x:c>
      <x:c r="M856" s="12" t="n">
        <x:f>养成消耗调参!$F$185</x:f>
        <x:v>5700</x:v>
      </x:c>
      <x:c r="N856" s="12" t="n">
        <x:f>养成消耗调参!$I$185</x:f>
        <x:v>0</x:v>
      </x:c>
      <x:c r="O856" s="12" t="n">
        <x:f>养成消耗调参!$J$185</x:f>
        <x:v>15720</x:v>
      </x:c>
      <x:c r="P856" s="12" t="n">
        <x:f>养成消耗调参!$M$185</x:f>
        <x:v>93900</x:v>
      </x:c>
      <x:c r="Q856" s="12" t="n">
        <x:f>养成消耗调参!$P$185</x:f>
        <x:v>490</x:v>
      </x:c>
      <x:c r="R856" s="13">
        <x:f>I856/英雄升级调参!$G$103-1</x:f>
        <x:v>-0.0006503604780567773</x:v>
      </x:c>
      <x:c r="S856" s="6"/>
      <x:c r="T856" s="6"/>
      <x:c r="U856" s="6"/>
    </x:row>
    <x:row r="857" ht="21" customHeight="1">
      <x:c r="A857" s="14" t="n">
        <x:f>英雄升级调参!$B$23</x:f>
        <x:v>310005</x:v>
      </x:c>
      <x:c r="B857" s="14" t="str">
        <x:f>英雄升级调参!$C$23</x:f>
        <x:v>焦焦鸮</x:v>
      </x:c>
      <x:c r="C857" s="6" t="str">
        <x:f>英雄升级调参!$D$23</x:f>
        <x:v>探险家</x:v>
      </x:c>
      <x:c r="D857" s="6" t="s">
        <x:v>18</x:v>
      </x:c>
      <x:c r="E857" s="6">
        <x:v>39</x:v>
      </x:c>
      <x:c r="F857" s="6" t="n">
        <x:f>英雄升级调参!$C$104</x:f>
        <x:v>8</x:v>
      </x:c>
      <x:c r="G857" s="12">
        <x:f t="shared" si="79"/>
        <x:v>2954</x:v>
      </x:c>
      <x:c r="H857" s="12">
        <x:f t="shared" si="80"/>
        <x:v>22361</x:v>
      </x:c>
      <x:c r="I857" s="12">
        <x:f t="shared" si="78"/>
        <x:v>66054394</x:v>
      </x:c>
      <x:c r="J857" s="12">
        <x:f>ROUND(英雄升级调参!$D$104*英雄升级调参!$J$9*英雄升级调参!$E$23,0)</x:f>
        <x:v>93</x:v>
      </x:c>
      <x:c r="K857" s="12">
        <x:f>ROUND(英雄升级调参!$D$104*英雄升级调参!$C$11*英雄升级调参!$J$9*英雄升级调参!$G$23,0)</x:f>
        <x:v>704</x:v>
      </x:c>
      <x:c r="L857" s="12" t="n">
        <x:f>养成消耗调参!$C$186</x:f>
        <x:v>864</x:v>
      </x:c>
      <x:c r="M857" s="12" t="n">
        <x:f>养成消耗调参!$F$186</x:f>
        <x:v>5700</x:v>
      </x:c>
      <x:c r="N857" s="12" t="n">
        <x:f>养成消耗调参!$I$186</x:f>
        <x:v>0</x:v>
      </x:c>
      <x:c r="O857" s="12" t="n">
        <x:f>养成消耗调参!$J$186</x:f>
        <x:v>16584</x:v>
      </x:c>
      <x:c r="P857" s="12" t="n">
        <x:f>养成消耗调参!$M$186</x:f>
        <x:v>99600</x:v>
      </x:c>
      <x:c r="Q857" s="12" t="n">
        <x:f>养成消耗调参!$P$186</x:f>
        <x:v>490</x:v>
      </x:c>
      <x:c r="R857" s="13">
        <x:f>I857/英雄升级调参!$G$104-1</x:f>
        <x:v>-0.0006961530193231313</x:v>
      </x:c>
      <x:c r="S857" s="6"/>
      <x:c r="T857" s="6"/>
      <x:c r="U857" s="6"/>
    </x:row>
    <x:row r="858" ht="21" customHeight="1">
      <x:c r="A858" s="14" t="n">
        <x:f>英雄升级调参!$B$23</x:f>
        <x:v>310005</x:v>
      </x:c>
      <x:c r="B858" s="14" t="str">
        <x:f>英雄升级调参!$C$23</x:f>
        <x:v>焦焦鸮</x:v>
      </x:c>
      <x:c r="C858" s="6" t="str">
        <x:f>英雄升级调参!$D$23</x:f>
        <x:v>探险家</x:v>
      </x:c>
      <x:c r="D858" s="6" t="s">
        <x:v>18</x:v>
      </x:c>
      <x:c r="E858" s="6">
        <x:v>40</x:v>
      </x:c>
      <x:c r="F858" s="6" t="n">
        <x:f>英雄升级调参!$C$105</x:f>
        <x:v>8</x:v>
      </x:c>
      <x:c r="G858" s="12">
        <x:f t="shared" si="79"/>
        <x:v>3233</x:v>
      </x:c>
      <x:c r="H858" s="12">
        <x:f t="shared" si="80"/>
        <x:v>24473</x:v>
      </x:c>
      <x:c r="I858" s="12">
        <x:f t="shared" si="78"/>
        <x:v>79121209</x:v>
      </x:c>
      <x:c r="J858" s="12">
        <x:f>ROUND(英雄升级调参!$D$105*英雄升级调参!$J$9*英雄升级调参!$E$23,0)*3</x:f>
        <x:v>279</x:v>
      </x:c>
      <x:c r="K858" s="12">
        <x:f>ROUND(英雄升级调参!$D$105*英雄升级调参!$C$11*英雄升级调参!$J$9*英雄升级调参!$G$23,0)*3</x:f>
        <x:v>2112</x:v>
      </x:c>
      <x:c r="L858" s="12" t="n">
        <x:f>养成消耗调参!$C$187</x:f>
        <x:v>912</x:v>
      </x:c>
      <x:c r="M858" s="12" t="n">
        <x:f>养成消耗调参!$F$187</x:f>
        <x:v>5700</x:v>
      </x:c>
      <x:c r="N858" s="12" t="n">
        <x:f>养成消耗调参!$I$187</x:f>
        <x:v>150</x:v>
      </x:c>
      <x:c r="O858" s="12" t="n">
        <x:f>养成消耗调参!$J$187</x:f>
        <x:v>17496</x:v>
      </x:c>
      <x:c r="P858" s="12" t="n">
        <x:f>养成消耗调参!$M$187</x:f>
        <x:v>105300</x:v>
      </x:c>
      <x:c r="Q858" s="12" t="n">
        <x:f>养成消耗调参!$P$187</x:f>
        <x:v>640</x:v>
      </x:c>
      <x:c r="R858" s="13">
        <x:f>I858/英雄升级调参!$G$105-1</x:f>
        <x:v>-0.0008177080886561106</x:v>
      </x:c>
      <x:c r="S858" s="6"/>
      <x:c r="T858" s="6"/>
      <x:c r="U858" s="6"/>
    </x:row>
    <x:row r="859" ht="21" customHeight="1">
      <x:c r="A859" s="14" t="n">
        <x:f>英雄升级调参!$B$23</x:f>
        <x:v>310005</x:v>
      </x:c>
      <x:c r="B859" s="14" t="str">
        <x:f>英雄升级调参!$C$23</x:f>
        <x:v>焦焦鸮</x:v>
      </x:c>
      <x:c r="C859" s="6" t="str">
        <x:f>英雄升级调参!$D$23</x:f>
        <x:v>探险家</x:v>
      </x:c>
      <x:c r="D859" s="6" t="s">
        <x:v>18</x:v>
      </x:c>
      <x:c r="E859" s="6">
        <x:v>41</x:v>
      </x:c>
      <x:c r="F859" s="6" t="n">
        <x:f>英雄升级调参!$C$106</x:f>
        <x:v>9</x:v>
      </x:c>
      <x:c r="G859" s="12">
        <x:f t="shared" si="79"/>
        <x:v>3336</x:v>
      </x:c>
      <x:c r="H859" s="12">
        <x:f t="shared" si="80"/>
        <x:v>25256</x:v>
      </x:c>
      <x:c r="I859" s="12">
        <x:f t="shared" si="78"/>
        <x:v>84254016</x:v>
      </x:c>
      <x:c r="J859" s="12">
        <x:f>ROUND(英雄升级调参!$D$106*英雄升级调参!$J$9*英雄升级调参!$E$23,0)</x:f>
        <x:v>103</x:v>
      </x:c>
      <x:c r="K859" s="12">
        <x:f>ROUND(英雄升级调参!$D$106*英雄升级调参!$C$11*英雄升级调参!$J$9*英雄升级调参!$G$23,0)</x:f>
        <x:v>783</x:v>
      </x:c>
      <x:c r="L859" s="12" t="n">
        <x:f>养成消耗调参!$C$188</x:f>
        <x:v>912</x:v>
      </x:c>
      <x:c r="M859" s="12" t="n">
        <x:f>养成消耗调参!$F$188</x:f>
        <x:v>5700</x:v>
      </x:c>
      <x:c r="N859" s="12" t="n">
        <x:f>养成消耗调参!$I$188</x:f>
        <x:v>0</x:v>
      </x:c>
      <x:c r="O859" s="12" t="n">
        <x:f>养成消耗调参!$J$188</x:f>
        <x:v>18408</x:v>
      </x:c>
      <x:c r="P859" s="12" t="n">
        <x:f>养成消耗调参!$M$188</x:f>
        <x:v>111000</x:v>
      </x:c>
      <x:c r="Q859" s="12" t="n">
        <x:f>养成消耗调参!$P$188</x:f>
        <x:v>640</x:v>
      </x:c>
      <x:c r="R859" s="13">
        <x:f>I859/英雄升级调参!$G$106-1</x:f>
        <x:v>-0.0009266215877785644</x:v>
      </x:c>
      <x:c r="S859" s="6"/>
      <x:c r="T859" s="6"/>
      <x:c r="U859" s="6"/>
    </x:row>
    <x:row r="860" ht="21" customHeight="1">
      <x:c r="A860" s="14" t="n">
        <x:f>英雄升级调参!$B$23</x:f>
        <x:v>310005</x:v>
      </x:c>
      <x:c r="B860" s="14" t="str">
        <x:f>英雄升级调参!$C$23</x:f>
        <x:v>焦焦鸮</x:v>
      </x:c>
      <x:c r="C860" s="6" t="str">
        <x:f>英雄升级调参!$D$23</x:f>
        <x:v>探险家</x:v>
      </x:c>
      <x:c r="D860" s="6" t="s">
        <x:v>18</x:v>
      </x:c>
      <x:c r="E860" s="6">
        <x:v>42</x:v>
      </x:c>
      <x:c r="F860" s="6" t="n">
        <x:f>英雄升级调参!$C$107</x:f>
        <x:v>9</x:v>
      </x:c>
      <x:c r="G860" s="12">
        <x:f t="shared" si="79"/>
        <x:v>3439</x:v>
      </x:c>
      <x:c r="H860" s="12">
        <x:f t="shared" si="80"/>
        <x:v>26039</x:v>
      </x:c>
      <x:c r="I860" s="12">
        <x:f t="shared" si="78"/>
        <x:v>89548121</x:v>
      </x:c>
      <x:c r="J860" s="12">
        <x:f>ROUND(英雄升级调参!$D$107*英雄升级调参!$J$9*英雄升级调参!$E$23,0)</x:f>
        <x:v>103</x:v>
      </x:c>
      <x:c r="K860" s="12">
        <x:f>ROUND(英雄升级调参!$D$107*英雄升级调参!$C$11*英雄升级调参!$J$9*英雄升级调参!$G$23,0)</x:f>
        <x:v>783</x:v>
      </x:c>
      <x:c r="L860" s="12" t="n">
        <x:f>养成消耗调参!$C$189</x:f>
        <x:v>960</x:v>
      </x:c>
      <x:c r="M860" s="12" t="n">
        <x:f>养成消耗调参!$F$189</x:f>
        <x:v>6600</x:v>
      </x:c>
      <x:c r="N860" s="12" t="n">
        <x:f>养成消耗调参!$I$189</x:f>
        <x:v>0</x:v>
      </x:c>
      <x:c r="O860" s="12" t="n">
        <x:f>养成消耗调参!$J$189</x:f>
        <x:v>19368</x:v>
      </x:c>
      <x:c r="P860" s="12" t="n">
        <x:f>养成消耗调参!$M$189</x:f>
        <x:v>117600</x:v>
      </x:c>
      <x:c r="Q860" s="12" t="n">
        <x:f>养成消耗调参!$P$189</x:f>
        <x:v>640</x:v>
      </x:c>
      <x:c r="R860" s="13">
        <x:f>I860/英雄升级调参!$G$107-1</x:f>
        <x:v>-0.0010289896203005133</x:v>
      </x:c>
      <x:c r="S860" s="6"/>
      <x:c r="T860" s="6"/>
      <x:c r="U860" s="6"/>
    </x:row>
    <x:row r="861" ht="21" customHeight="1">
      <x:c r="A861" s="14" t="n">
        <x:f>英雄升级调参!$B$23</x:f>
        <x:v>310005</x:v>
      </x:c>
      <x:c r="B861" s="14" t="str">
        <x:f>英雄升级调参!$C$23</x:f>
        <x:v>焦焦鸮</x:v>
      </x:c>
      <x:c r="C861" s="6" t="str">
        <x:f>英雄升级调参!$D$23</x:f>
        <x:v>探险家</x:v>
      </x:c>
      <x:c r="D861" s="6" t="s">
        <x:v>18</x:v>
      </x:c>
      <x:c r="E861" s="6">
        <x:v>43</x:v>
      </x:c>
      <x:c r="F861" s="6" t="n">
        <x:f>英雄升级调参!$C$108</x:f>
        <x:v>9</x:v>
      </x:c>
      <x:c r="G861" s="12">
        <x:f t="shared" si="79"/>
        <x:v>3542</x:v>
      </x:c>
      <x:c r="H861" s="12">
        <x:f t="shared" si="80"/>
        <x:v>26822</x:v>
      </x:c>
      <x:c r="I861" s="12">
        <x:f t="shared" si="78"/>
        <x:v>95003524</x:v>
      </x:c>
      <x:c r="J861" s="12">
        <x:f>ROUND(英雄升级调参!$D$108*英雄升级调参!$J$9*英雄升级调参!$E$23,0)</x:f>
        <x:v>103</x:v>
      </x:c>
      <x:c r="K861" s="12">
        <x:f>ROUND(英雄升级调参!$D$108*英雄升级调参!$C$11*英雄升级调参!$J$9*英雄升级调参!$G$23,0)</x:f>
        <x:v>783</x:v>
      </x:c>
      <x:c r="L861" s="12" t="n">
        <x:f>养成消耗调参!$C$190</x:f>
        <x:v>960</x:v>
      </x:c>
      <x:c r="M861" s="12" t="n">
        <x:f>养成消耗调参!$F$190</x:f>
        <x:v>6600</x:v>
      </x:c>
      <x:c r="N861" s="12" t="n">
        <x:f>养成消耗调参!$I$190</x:f>
        <x:v>0</x:v>
      </x:c>
      <x:c r="O861" s="12" t="n">
        <x:f>养成消耗调参!$J$190</x:f>
        <x:v>20328</x:v>
      </x:c>
      <x:c r="P861" s="12" t="n">
        <x:f>养成消耗调参!$M$190</x:f>
        <x:v>124200</x:v>
      </x:c>
      <x:c r="Q861" s="12" t="n">
        <x:f>养成消耗调参!$P$190</x:f>
        <x:v>640</x:v>
      </x:c>
      <x:c r="R861" s="13">
        <x:f>I861/英雄升级调参!$G$108-1</x:f>
        <x:v>-0.001125385025595449</x:v>
      </x:c>
      <x:c r="S861" s="6"/>
      <x:c r="T861" s="6"/>
      <x:c r="U861" s="6"/>
    </x:row>
    <x:row r="862" ht="21" customHeight="1">
      <x:c r="A862" s="14" t="n">
        <x:f>英雄升级调参!$B$23</x:f>
        <x:v>310005</x:v>
      </x:c>
      <x:c r="B862" s="14" t="str">
        <x:f>英雄升级调参!$C$23</x:f>
        <x:v>焦焦鸮</x:v>
      </x:c>
      <x:c r="C862" s="6" t="str">
        <x:f>英雄升级调参!$D$23</x:f>
        <x:v>探险家</x:v>
      </x:c>
      <x:c r="D862" s="6" t="s">
        <x:v>18</x:v>
      </x:c>
      <x:c r="E862" s="6">
        <x:v>44</x:v>
      </x:c>
      <x:c r="F862" s="6" t="n">
        <x:f>英雄升级调参!$C$109</x:f>
        <x:v>9</x:v>
      </x:c>
      <x:c r="G862" s="12">
        <x:f t="shared" si="79"/>
        <x:v>3645</x:v>
      </x:c>
      <x:c r="H862" s="12">
        <x:f t="shared" si="80"/>
        <x:v>27605</x:v>
      </x:c>
      <x:c r="I862" s="12">
        <x:f t="shared" si="78"/>
        <x:v>100620225</x:v>
      </x:c>
      <x:c r="J862" s="12">
        <x:f>ROUND(英雄升级调参!$D$109*英雄升级调参!$J$9*英雄升级调参!$E$23,0)</x:f>
        <x:v>103</x:v>
      </x:c>
      <x:c r="K862" s="12">
        <x:f>ROUND(英雄升级调参!$D$109*英雄升级调参!$C$11*英雄升级调参!$J$9*英雄升级调参!$G$23,0)</x:f>
        <x:v>783</x:v>
      </x:c>
      <x:c r="L862" s="12" t="n">
        <x:f>养成消耗调参!$C$191</x:f>
        <x:v>1008</x:v>
      </x:c>
      <x:c r="M862" s="12" t="n">
        <x:f>养成消耗调参!$F$191</x:f>
        <x:v>6600</x:v>
      </x:c>
      <x:c r="N862" s="12" t="n">
        <x:f>养成消耗调参!$I$191</x:f>
        <x:v>0</x:v>
      </x:c>
      <x:c r="O862" s="12" t="n">
        <x:f>养成消耗调参!$J$191</x:f>
        <x:v>21336</x:v>
      </x:c>
      <x:c r="P862" s="12" t="n">
        <x:f>养成消耗调参!$M$191</x:f>
        <x:v>130800</x:v>
      </x:c>
      <x:c r="Q862" s="12" t="n">
        <x:f>养成消耗调参!$P$191</x:f>
        <x:v>640</x:v>
      </x:c>
      <x:c r="R862" s="13">
        <x:f>I862/英雄升级调参!$G$109-1</x:f>
        <x:v>-0.001216315693554515</x:v>
      </x:c>
      <x:c r="S862" s="6"/>
      <x:c r="T862" s="6"/>
      <x:c r="U862" s="6"/>
    </x:row>
    <x:row r="863" ht="21" customHeight="1">
      <x:c r="A863" s="14" t="n">
        <x:f>英雄升级调参!$B$23</x:f>
        <x:v>310005</x:v>
      </x:c>
      <x:c r="B863" s="14" t="str">
        <x:f>英雄升级调参!$C$23</x:f>
        <x:v>焦焦鸮</x:v>
      </x:c>
      <x:c r="C863" s="6" t="str">
        <x:f>英雄升级调参!$D$23</x:f>
        <x:v>探险家</x:v>
      </x:c>
      <x:c r="D863" s="6" t="s">
        <x:v>18</x:v>
      </x:c>
      <x:c r="E863" s="6">
        <x:v>45</x:v>
      </x:c>
      <x:c r="F863" s="6" t="n">
        <x:f>英雄升级调参!$C$110</x:f>
        <x:v>9</x:v>
      </x:c>
      <x:c r="G863" s="12">
        <x:f t="shared" si="79"/>
        <x:v>3954</x:v>
      </x:c>
      <x:c r="H863" s="12">
        <x:f t="shared" si="80"/>
        <x:v>29954</x:v>
      </x:c>
      <x:c r="I863" s="12">
        <x:f t="shared" si="78"/>
        <x:v>118438116</x:v>
      </x:c>
      <x:c r="J863" s="12">
        <x:f>ROUND(英雄升级调参!$D$110*英雄升级调参!$J$9*英雄升级调参!$E$23,0)*3</x:f>
        <x:v>309</x:v>
      </x:c>
      <x:c r="K863" s="12">
        <x:f>ROUND(英雄升级调参!$D$110*英雄升级调参!$C$11*英雄升级调参!$J$9*英雄升级调参!$G$23,0)*3</x:f>
        <x:v>2349</x:v>
      </x:c>
      <x:c r="L863" s="12" t="n">
        <x:f>养成消耗调参!$C$192</x:f>
        <x:v>1008</x:v>
      </x:c>
      <x:c r="M863" s="12" t="n">
        <x:f>养成消耗调参!$F$192</x:f>
        <x:v>6600</x:v>
      </x:c>
      <x:c r="N863" s="12" t="n">
        <x:f>养成消耗调参!$I$192</x:f>
        <x:v>170</x:v>
      </x:c>
      <x:c r="O863" s="12" t="n">
        <x:f>养成消耗调参!$J$192</x:f>
        <x:v>22344</x:v>
      </x:c>
      <x:c r="P863" s="12" t="n">
        <x:f>养成消耗调参!$M$192</x:f>
        <x:v>137400</x:v>
      </x:c>
      <x:c r="Q863" s="12" t="n">
        <x:f>养成消耗调参!$P$192</x:f>
        <x:v>810</x:v>
      </x:c>
      <x:c r="R863" s="13">
        <x:f>I863/英雄升级调参!$G$110-1</x:f>
        <x:v>-0.0014606020873548786</x:v>
      </x:c>
      <x:c r="S863" s="6"/>
      <x:c r="T863" s="6"/>
      <x:c r="U863" s="6"/>
    </x:row>
    <x:row r="864" ht="21" customHeight="1">
      <x:c r="A864" s="14" t="n">
        <x:f>英雄升级调参!$B$23</x:f>
        <x:v>310005</x:v>
      </x:c>
      <x:c r="B864" s="14" t="str">
        <x:f>英雄升级调参!$C$23</x:f>
        <x:v>焦焦鸮</x:v>
      </x:c>
      <x:c r="C864" s="6" t="str">
        <x:f>英雄升级调参!$D$23</x:f>
        <x:v>探险家</x:v>
      </x:c>
      <x:c r="D864" s="6" t="s">
        <x:v>18</x:v>
      </x:c>
      <x:c r="E864" s="6">
        <x:v>46</x:v>
      </x:c>
      <x:c r="F864" s="6" t="n">
        <x:f>英雄升级调参!$C$111</x:f>
        <x:v>10</x:v>
      </x:c>
      <x:c r="G864" s="12">
        <x:f t="shared" si="79"/>
        <x:v>4068</x:v>
      </x:c>
      <x:c r="H864" s="12">
        <x:f t="shared" si="80"/>
        <x:v>30815</x:v>
      </x:c>
      <x:c r="I864" s="12">
        <x:f t="shared" si="78"/>
        <x:v>125355420</x:v>
      </x:c>
      <x:c r="J864" s="12">
        <x:f>ROUND(英雄升级调参!$D$111*英雄升级调参!$J$9*英雄升级调参!$E$23,0)</x:f>
        <x:v>114</x:v>
      </x:c>
      <x:c r="K864" s="12">
        <x:f>ROUND(英雄升级调参!$D$111*英雄升级调参!$C$11*英雄升级调参!$J$9*英雄升级调参!$G$23,0)</x:f>
        <x:v>861</x:v>
      </x:c>
      <x:c r="L864" s="12" t="n">
        <x:f>养成消耗调参!$C$193</x:f>
        <x:v>1056</x:v>
      </x:c>
      <x:c r="M864" s="12" t="n">
        <x:f>养成消耗调参!$F$193</x:f>
        <x:v>6600</x:v>
      </x:c>
      <x:c r="N864" s="12" t="n">
        <x:f>养成消耗调参!$I$193</x:f>
        <x:v>0</x:v>
      </x:c>
      <x:c r="O864" s="12" t="n">
        <x:f>养成消耗调参!$J$193</x:f>
        <x:v>23400</x:v>
      </x:c>
      <x:c r="P864" s="12" t="n">
        <x:f>养成消耗调参!$M$193</x:f>
        <x:v>144000</x:v>
      </x:c>
      <x:c r="Q864" s="12" t="n">
        <x:f>养成消耗调参!$P$193</x:f>
        <x:v>810</x:v>
      </x:c>
      <x:c r="R864" s="13">
        <x:f>I864/英雄升级调参!$G$111-1</x:f>
        <x:v>-0.0013787308363224504</x:v>
      </x:c>
      <x:c r="S864" s="6"/>
      <x:c r="T864" s="6"/>
      <x:c r="U864" s="6"/>
    </x:row>
    <x:row r="865" ht="21" customHeight="1">
      <x:c r="A865" s="14" t="n">
        <x:f>英雄升级调参!$B$23</x:f>
        <x:v>310005</x:v>
      </x:c>
      <x:c r="B865" s="14" t="str">
        <x:f>英雄升级调参!$C$23</x:f>
        <x:v>焦焦鸮</x:v>
      </x:c>
      <x:c r="C865" s="6" t="str">
        <x:f>英雄升级调参!$D$23</x:f>
        <x:v>探险家</x:v>
      </x:c>
      <x:c r="D865" s="6" t="s">
        <x:v>18</x:v>
      </x:c>
      <x:c r="E865" s="6">
        <x:v>47</x:v>
      </x:c>
      <x:c r="F865" s="6" t="n">
        <x:f>英雄升级调参!$C$112</x:f>
        <x:v>10</x:v>
      </x:c>
      <x:c r="G865" s="12">
        <x:f t="shared" si="79"/>
        <x:v>4182</x:v>
      </x:c>
      <x:c r="H865" s="12">
        <x:f t="shared" si="80"/>
        <x:v>31676</x:v>
      </x:c>
      <x:c r="I865" s="12">
        <x:f t="shared" si="78"/>
        <x:v>132469032</x:v>
      </x:c>
      <x:c r="J865" s="12">
        <x:f>ROUND(英雄升级调参!$D$112*英雄升级调参!$J$9*英雄升级调参!$E$23,0)</x:f>
        <x:v>114</x:v>
      </x:c>
      <x:c r="K865" s="12">
        <x:f>ROUND(英雄升级调参!$D$112*英雄升级调参!$C$11*英雄升级调参!$J$9*英雄升级调参!$G$23,0)</x:f>
        <x:v>861</x:v>
      </x:c>
      <x:c r="L865" s="12" t="n">
        <x:f>养成消耗调参!$C$194</x:f>
        <x:v>1056</x:v>
      </x:c>
      <x:c r="M865" s="12" t="n">
        <x:f>养成消耗调参!$F$194</x:f>
        <x:v>7500</x:v>
      </x:c>
      <x:c r="N865" s="12" t="n">
        <x:f>养成消耗调参!$I$194</x:f>
        <x:v>0</x:v>
      </x:c>
      <x:c r="O865" s="12" t="n">
        <x:f>养成消耗调参!$J$194</x:f>
        <x:v>24456</x:v>
      </x:c>
      <x:c r="P865" s="12" t="n">
        <x:f>养成消耗调参!$M$194</x:f>
        <x:v>151500</x:v>
      </x:c>
      <x:c r="Q865" s="12" t="n">
        <x:f>养成消耗调参!$P$194</x:f>
        <x:v>810</x:v>
      </x:c>
      <x:c r="R865" s="13">
        <x:f>I865/英雄升级调参!$G$112-1</x:f>
        <x:v>-0.001301310810089551</x:v>
      </x:c>
      <x:c r="S865" s="6"/>
      <x:c r="T865" s="6"/>
      <x:c r="U865" s="6"/>
    </x:row>
    <x:row r="866" ht="21" customHeight="1">
      <x:c r="A866" s="14" t="n">
        <x:f>英雄升级调参!$B$23</x:f>
        <x:v>310005</x:v>
      </x:c>
      <x:c r="B866" s="14" t="str">
        <x:f>英雄升级调参!$C$23</x:f>
        <x:v>焦焦鸮</x:v>
      </x:c>
      <x:c r="C866" s="6" t="str">
        <x:f>英雄升级调参!$D$23</x:f>
        <x:v>探险家</x:v>
      </x:c>
      <x:c r="D866" s="6" t="s">
        <x:v>18</x:v>
      </x:c>
      <x:c r="E866" s="6">
        <x:v>48</x:v>
      </x:c>
      <x:c r="F866" s="6" t="n">
        <x:f>英雄升级调参!$C$113</x:f>
        <x:v>10</x:v>
      </x:c>
      <x:c r="G866" s="12">
        <x:f t="shared" si="79"/>
        <x:v>4296</x:v>
      </x:c>
      <x:c r="H866" s="12">
        <x:f t="shared" si="80"/>
        <x:v>32537</x:v>
      </x:c>
      <x:c r="I866" s="12">
        <x:f t="shared" si="78"/>
        <x:v>139778952</x:v>
      </x:c>
      <x:c r="J866" s="12">
        <x:f>ROUND(英雄升级调参!$D$113*英雄升级调参!$J$9*英雄升级调参!$E$23,0)</x:f>
        <x:v>114</x:v>
      </x:c>
      <x:c r="K866" s="12">
        <x:f>ROUND(英雄升级调参!$D$113*英雄升级调参!$C$11*英雄升级调参!$J$9*英雄升级调参!$G$23,0)</x:f>
        <x:v>861</x:v>
      </x:c>
      <x:c r="L866" s="12" t="n">
        <x:f>养成消耗调参!$C$195</x:f>
        <x:v>1104</x:v>
      </x:c>
      <x:c r="M866" s="12" t="n">
        <x:f>养成消耗调参!$F$195</x:f>
        <x:v>7500</x:v>
      </x:c>
      <x:c r="N866" s="12" t="n">
        <x:f>养成消耗调参!$I$195</x:f>
        <x:v>0</x:v>
      </x:c>
      <x:c r="O866" s="12" t="n">
        <x:f>养成消耗调参!$J$195</x:f>
        <x:v>25560</x:v>
      </x:c>
      <x:c r="P866" s="12" t="n">
        <x:f>养成消耗调参!$M$195</x:f>
        <x:v>159000</x:v>
      </x:c>
      <x:c r="Q866" s="12" t="n">
        <x:f>养成消耗调参!$P$195</x:f>
        <x:v>810</x:v>
      </x:c>
      <x:c r="R866" s="13">
        <x:f>I866/英雄升级调参!$G$113-1</x:f>
        <x:v>-0.0012279886054250566</x:v>
      </x:c>
      <x:c r="S866" s="6"/>
      <x:c r="T866" s="6"/>
      <x:c r="U866" s="6"/>
    </x:row>
    <x:row r="867" ht="21" customHeight="1">
      <x:c r="A867" s="14" t="n">
        <x:f>英雄升级调参!$B$23</x:f>
        <x:v>310005</x:v>
      </x:c>
      <x:c r="B867" s="14" t="str">
        <x:f>英雄升级调参!$C$23</x:f>
        <x:v>焦焦鸮</x:v>
      </x:c>
      <x:c r="C867" s="6" t="str">
        <x:f>英雄升级调参!$D$23</x:f>
        <x:v>探险家</x:v>
      </x:c>
      <x:c r="D867" s="6" t="s">
        <x:v>18</x:v>
      </x:c>
      <x:c r="E867" s="6">
        <x:v>49</x:v>
      </x:c>
      <x:c r="F867" s="6" t="n">
        <x:f>英雄升级调参!$C$114</x:f>
        <x:v>10</x:v>
      </x:c>
      <x:c r="G867" s="12">
        <x:f t="shared" si="79"/>
        <x:v>4410</x:v>
      </x:c>
      <x:c r="H867" s="12">
        <x:f t="shared" si="80"/>
        <x:v>33398</x:v>
      </x:c>
      <x:c r="I867" s="12">
        <x:f t="shared" si="78"/>
        <x:v>147285180</x:v>
      </x:c>
      <x:c r="J867" s="12">
        <x:f>ROUND(英雄升级调参!$D$114*英雄升级调参!$J$9*英雄升级调参!$E$23,0)</x:f>
        <x:v>114</x:v>
      </x:c>
      <x:c r="K867" s="12">
        <x:f>ROUND(英雄升级调参!$D$114*英雄升级调参!$C$11*英雄升级调参!$J$9*英雄升级调参!$G$23,0)</x:f>
        <x:v>861</x:v>
      </x:c>
      <x:c r="L867" s="12" t="n">
        <x:f>养成消耗调参!$C$196</x:f>
        <x:v>1104</x:v>
      </x:c>
      <x:c r="M867" s="12" t="n">
        <x:f>养成消耗调参!$F$196</x:f>
        <x:v>7500</x:v>
      </x:c>
      <x:c r="N867" s="12" t="n">
        <x:f>养成消耗调参!$I$196</x:f>
        <x:v>0</x:v>
      </x:c>
      <x:c r="O867" s="12" t="n">
        <x:f>养成消耗调参!$J$196</x:f>
        <x:v>26664</x:v>
      </x:c>
      <x:c r="P867" s="12" t="n">
        <x:f>养成消耗调参!$M$196</x:f>
        <x:v>166500</x:v>
      </x:c>
      <x:c r="Q867" s="12" t="n">
        <x:f>养成消耗调参!$P$196</x:f>
        <x:v>810</x:v>
      </x:c>
      <x:c r="R867" s="13">
        <x:f>I867/英雄升级调参!$G$114-1</x:f>
        <x:v>-0.0011584472656249734</x:v>
      </x:c>
      <x:c r="S867" s="6"/>
      <x:c r="T867" s="6"/>
      <x:c r="U867" s="6"/>
    </x:row>
    <x:row r="868" ht="21" customHeight="1">
      <x:c r="A868" s="14" t="n">
        <x:f>英雄升级调参!$B$23</x:f>
        <x:v>310005</x:v>
      </x:c>
      <x:c r="B868" s="14" t="str">
        <x:f>英雄升级调参!$C$23</x:f>
        <x:v>焦焦鸮</x:v>
      </x:c>
      <x:c r="C868" s="6" t="str">
        <x:f>英雄升级调参!$D$23</x:f>
        <x:v>探险家</x:v>
      </x:c>
      <x:c r="D868" s="6" t="s">
        <x:v>18</x:v>
      </x:c>
      <x:c r="E868" s="6">
        <x:v>50</x:v>
      </x:c>
      <x:c r="F868" s="6" t="n">
        <x:f>英雄升级调参!$C$115</x:f>
        <x:v>10</x:v>
      </x:c>
      <x:c r="G868" s="12">
        <x:f t="shared" si="79"/>
        <x:v>4752</x:v>
      </x:c>
      <x:c r="H868" s="12">
        <x:f t="shared" si="80"/>
        <x:v>35981</x:v>
      </x:c>
      <x:c r="I868" s="12">
        <x:f t="shared" si="78"/>
        <x:v>170981712</x:v>
      </x:c>
      <x:c r="J868" s="12">
        <x:f>ROUND(英雄升级调参!$D$115*英雄升级调参!$J$9*英雄升级调参!$E$23,0)*3</x:f>
        <x:v>342</x:v>
      </x:c>
      <x:c r="K868" s="12">
        <x:f>ROUND(英雄升级调参!$D$115*英雄升级调参!$C$11*英雄升级调参!$J$9*英雄升级调参!$G$23,0)*3</x:f>
        <x:v>2583</x:v>
      </x:c>
      <x:c r="L868" s="12" t="n">
        <x:f>养成消耗调参!$C$197</x:f>
        <x:v>1152</x:v>
      </x:c>
      <x:c r="M868" s="12" t="n">
        <x:f>养成消耗调参!$F$197</x:f>
        <x:v>7500</x:v>
      </x:c>
      <x:c r="N868" s="12" t="n">
        <x:f>养成消耗调参!$I$197</x:f>
        <x:v>190</x:v>
      </x:c>
      <x:c r="O868" s="12" t="n">
        <x:f>养成消耗调参!$J$197</x:f>
        <x:v>27816</x:v>
      </x:c>
      <x:c r="P868" s="12" t="n">
        <x:f>养成消耗调参!$M$197</x:f>
        <x:v>174000</x:v>
      </x:c>
      <x:c r="Q868" s="12" t="n">
        <x:f>养成消耗调参!$P$197</x:f>
        <x:v>1000</x:v>
      </x:c>
      <x:c r="R868" s="13">
        <x:f>I868/英雄升级调参!$G$115-1</x:f>
        <x:v>-0.0009697939831966318</x:v>
      </x:c>
      <x:c r="S868" s="6"/>
      <x:c r="T868" s="6"/>
      <x:c r="U868" s="6"/>
    </x:row>
    <x:row r="869" ht="21" customHeight="1">
      <x:c r="A869" s="14" t="n">
        <x:f>英雄升级调参!$B$23</x:f>
        <x:v>310005</x:v>
      </x:c>
      <x:c r="B869" s="14" t="str">
        <x:f>英雄升级调参!$C$23</x:f>
        <x:v>焦焦鸮</x:v>
      </x:c>
      <x:c r="C869" s="6" t="str">
        <x:f>英雄升级调参!$D$23</x:f>
        <x:v>探险家</x:v>
      </x:c>
      <x:c r="D869" s="6" t="s">
        <x:v>22</x:v>
      </x:c>
      <x:c r="E869" s="6">
        <x:v>1</x:v>
      </x:c>
      <x:c r="F869" s="6" t="n">
        <x:f>英雄升级调参!$C$66</x:f>
        <x:v>1</x:v>
      </x:c>
      <x:c r="G869" s="12">
        <x:f>G828-SUM(J870:J873)</x:f>
        <x:v>226</x:v>
      </x:c>
      <x:c r="H869" s="12">
        <x:f>H828-SUM(K870:K873)</x:f>
        <x:v>1699</x:v>
      </x:c>
      <x:c r="I869" s="12">
        <x:f t="shared" si="78"/>
        <x:v>383974</x:v>
      </x:c>
      <x:c r="J869" s="12" t="n">
        <x:f>0</x:f>
        <x:v>0</x:v>
      </x:c>
      <x:c r="K869" s="12" t="n">
        <x:f>0</x:f>
        <x:v>0</x:v>
      </x:c>
      <x:c r="L869" s="12" t="n">
        <x:f>养成消耗调参!$D$148</x:f>
        <x:v>0</x:v>
      </x:c>
      <x:c r="M869" s="12" t="n">
        <x:f>养成消耗调参!$G$148</x:f>
        <x:v>0</x:v>
      </x:c>
      <x:c r="N869" s="12" t="n">
        <x:f>养成消耗调参!$I$148</x:f>
        <x:v>0</x:v>
      </x:c>
      <x:c r="O869" s="12" t="n">
        <x:f>养成消耗调参!$K$148</x:f>
        <x:v>0</x:v>
      </x:c>
      <x:c r="P869" s="12" t="n">
        <x:f>养成消耗调参!$N$148</x:f>
        <x:v>0</x:v>
      </x:c>
      <x:c r="Q869" s="12" t="n">
        <x:f>养成消耗调参!$P$148</x:f>
        <x:v>0</x:v>
      </x:c>
      <x:c r="R869" s="13">
        <x:f>I869/英雄升级调参!$J$66-1</x:f>
        <x:v>0.009793556870479891</x:v>
      </x:c>
      <x:c r="S869" s="6"/>
      <x:c r="T869" s="6"/>
      <x:c r="U869" s="6"/>
    </x:row>
    <x:row r="870" ht="21" customHeight="1">
      <x:c r="A870" s="14" t="n">
        <x:f>英雄升级调参!$B$23</x:f>
        <x:v>310005</x:v>
      </x:c>
      <x:c r="B870" s="14" t="str">
        <x:f>英雄升级调参!$C$23</x:f>
        <x:v>焦焦鸮</x:v>
      </x:c>
      <x:c r="C870" s="6" t="str">
        <x:f>英雄升级调参!$D$23</x:f>
        <x:v>探险家</x:v>
      </x:c>
      <x:c r="D870" s="6" t="s">
        <x:v>22</x:v>
      </x:c>
      <x:c r="E870" s="6">
        <x:v>2</x:v>
      </x:c>
      <x:c r="F870" s="6" t="n">
        <x:f>英雄升级调参!$C$67</x:f>
        <x:v>1</x:v>
      </x:c>
      <x:c r="G870" s="12">
        <x:f t="shared" ref="G870:G901" si="81">G869+J870</x:f>
        <x:v>257</x:v>
      </x:c>
      <x:c r="H870" s="12">
        <x:f t="shared" ref="H870:H901" si="82">H869+K870</x:f>
        <x:v>1934</x:v>
      </x:c>
      <x:c r="I870" s="12">
        <x:f t="shared" si="78"/>
        <x:v>497038</x:v>
      </x:c>
      <x:c r="J870" s="12">
        <x:f>ROUND(英雄升级调参!$D$67*英雄升级调参!$J$10*英雄升级调参!$E$23,0)</x:f>
        <x:v>31</x:v>
      </x:c>
      <x:c r="K870" s="12">
        <x:f>ROUND(英雄升级调参!$D$67*英雄升级调参!$C$11*英雄升级调参!$J$10*英雄升级调参!$G$23,0)</x:f>
        <x:v>235</x:v>
      </x:c>
      <x:c r="L870" s="12" t="n">
        <x:f>养成消耗调参!$D$149</x:f>
        <x:v>36</x:v>
      </x:c>
      <x:c r="M870" s="12" t="n">
        <x:f>养成消耗调参!$G$149</x:f>
        <x:v>450</x:v>
      </x:c>
      <x:c r="N870" s="12" t="n">
        <x:f>养成消耗调参!$I$149</x:f>
        <x:v>0</x:v>
      </x:c>
      <x:c r="O870" s="12" t="n">
        <x:f>养成消耗调参!$K$149</x:f>
        <x:v>36</x:v>
      </x:c>
      <x:c r="P870" s="12" t="n">
        <x:f>养成消耗调参!$N$149</x:f>
        <x:v>450</x:v>
      </x:c>
      <x:c r="Q870" s="12" t="n">
        <x:f>养成消耗调参!$P$149</x:f>
        <x:v>0</x:v>
      </x:c>
      <x:c r="R870" s="13">
        <x:f>I870/英雄升级调参!$J$67-1</x:f>
        <x:v>0.008517977436896418</x:v>
      </x:c>
      <x:c r="S870" s="6"/>
      <x:c r="T870" s="6"/>
      <x:c r="U870" s="6"/>
    </x:row>
    <x:row r="871" ht="21" customHeight="1">
      <x:c r="A871" s="14" t="n">
        <x:f>英雄升级调参!$B$23</x:f>
        <x:v>310005</x:v>
      </x:c>
      <x:c r="B871" s="14" t="str">
        <x:f>英雄升级调参!$C$23</x:f>
        <x:v>焦焦鸮</x:v>
      </x:c>
      <x:c r="C871" s="6" t="str">
        <x:f>英雄升级调参!$D$23</x:f>
        <x:v>探险家</x:v>
      </x:c>
      <x:c r="D871" s="6" t="s">
        <x:v>22</x:v>
      </x:c>
      <x:c r="E871" s="6">
        <x:v>3</x:v>
      </x:c>
      <x:c r="F871" s="6" t="n">
        <x:f>英雄升级调参!$C$68</x:f>
        <x:v>1</x:v>
      </x:c>
      <x:c r="G871" s="12">
        <x:f t="shared" si="81"/>
        <x:v>288</x:v>
      </x:c>
      <x:c r="H871" s="12">
        <x:f t="shared" si="82"/>
        <x:v>2169</x:v>
      </x:c>
      <x:c r="I871" s="12">
        <x:f t="shared" si="78"/>
        <x:v>624672</x:v>
      </x:c>
      <x:c r="J871" s="12">
        <x:f>ROUND(英雄升级调参!$D$68*英雄升级调参!$J$10*英雄升级调参!$E$23,0)</x:f>
        <x:v>31</x:v>
      </x:c>
      <x:c r="K871" s="12">
        <x:f>ROUND(英雄升级调参!$D$68*英雄升级调参!$C$11*英雄升级调参!$J$10*英雄升级调参!$G$23,0)</x:f>
        <x:v>235</x:v>
      </x:c>
      <x:c r="L871" s="12" t="n">
        <x:f>养成消耗调参!$D$150</x:f>
        <x:v>36</x:v>
      </x:c>
      <x:c r="M871" s="12" t="n">
        <x:f>养成消耗调参!$G$150</x:f>
        <x:v>450</x:v>
      </x:c>
      <x:c r="N871" s="12" t="n">
        <x:f>养成消耗调参!$I$150</x:f>
        <x:v>0</x:v>
      </x:c>
      <x:c r="O871" s="12" t="n">
        <x:f>养成消耗调参!$K$150</x:f>
        <x:v>72</x:v>
      </x:c>
      <x:c r="P871" s="12" t="n">
        <x:f>养成消耗调参!$N$150</x:f>
        <x:v>900</x:v>
      </x:c>
      <x:c r="Q871" s="12" t="n">
        <x:f>养成消耗调参!$P$150</x:f>
        <x:v>0</x:v>
      </x:c>
      <x:c r="R871" s="13">
        <x:f>I871/英雄升级调参!$J$68-1</x:f>
        <x:v>0.007519233560749017</x:v>
      </x:c>
      <x:c r="S871" s="6"/>
      <x:c r="T871" s="6"/>
      <x:c r="U871" s="6"/>
    </x:row>
    <x:row r="872" ht="21" customHeight="1">
      <x:c r="A872" s="14" t="n">
        <x:f>英雄升级调参!$B$23</x:f>
        <x:v>310005</x:v>
      </x:c>
      <x:c r="B872" s="14" t="str">
        <x:f>英雄升级调参!$C$23</x:f>
        <x:v>焦焦鸮</x:v>
      </x:c>
      <x:c r="C872" s="6" t="str">
        <x:f>英雄升级调参!$D$23</x:f>
        <x:v>探险家</x:v>
      </x:c>
      <x:c r="D872" s="6" t="s">
        <x:v>22</x:v>
      </x:c>
      <x:c r="E872" s="6">
        <x:v>4</x:v>
      </x:c>
      <x:c r="F872" s="6" t="n">
        <x:f>英雄升级调参!$C$69</x:f>
        <x:v>1</x:v>
      </x:c>
      <x:c r="G872" s="12">
        <x:f t="shared" si="81"/>
        <x:v>319</x:v>
      </x:c>
      <x:c r="H872" s="12">
        <x:f t="shared" si="82"/>
        <x:v>2404</x:v>
      </x:c>
      <x:c r="I872" s="12">
        <x:f t="shared" si="78"/>
        <x:v>766876</x:v>
      </x:c>
      <x:c r="J872" s="12">
        <x:f>ROUND(英雄升级调参!$D$69*英雄升级调参!$J$10*英雄升级调参!$E$23,0)</x:f>
        <x:v>31</x:v>
      </x:c>
      <x:c r="K872" s="12">
        <x:f>ROUND(英雄升级调参!$D$69*英雄升级调参!$C$11*英雄升级调参!$J$10*英雄升级调参!$G$23,0)</x:f>
        <x:v>235</x:v>
      </x:c>
      <x:c r="L872" s="12" t="n">
        <x:f>养成消耗调参!$D$151</x:f>
        <x:v>72</x:v>
      </x:c>
      <x:c r="M872" s="12" t="n">
        <x:f>养成消耗调参!$G$151</x:f>
        <x:v>450</x:v>
      </x:c>
      <x:c r="N872" s="12" t="n">
        <x:f>养成消耗调参!$I$151</x:f>
        <x:v>0</x:v>
      </x:c>
      <x:c r="O872" s="12" t="n">
        <x:f>养成消耗调参!$K$151</x:f>
        <x:v>144</x:v>
      </x:c>
      <x:c r="P872" s="12" t="n">
        <x:f>养成消耗调参!$N$151</x:f>
        <x:v>1350</x:v>
      </x:c>
      <x:c r="Q872" s="12" t="n">
        <x:f>养成消耗调参!$P$151</x:f>
        <x:v>0</x:v>
      </x:c>
      <x:c r="R872" s="13">
        <x:f>I872/英雄升级调参!$J$69-1</x:f>
        <x:v>0.0067160260449485865</x:v>
      </x:c>
      <x:c r="S872" s="6"/>
      <x:c r="T872" s="6"/>
      <x:c r="U872" s="6"/>
    </x:row>
    <x:row r="873" ht="21" customHeight="1">
      <x:c r="A873" s="14" t="n">
        <x:f>英雄升级调参!$B$23</x:f>
        <x:v>310005</x:v>
      </x:c>
      <x:c r="B873" s="14" t="str">
        <x:f>英雄升级调参!$C$23</x:f>
        <x:v>焦焦鸮</x:v>
      </x:c>
      <x:c r="C873" s="6" t="str">
        <x:f>英雄升级调参!$D$23</x:f>
        <x:v>探险家</x:v>
      </x:c>
      <x:c r="D873" s="6" t="s">
        <x:v>22</x:v>
      </x:c>
      <x:c r="E873" s="6">
        <x:v>5</x:v>
      </x:c>
      <x:c r="F873" s="6" t="n">
        <x:f>英雄升级调参!$C$70</x:f>
        <x:v>1</x:v>
      </x:c>
      <x:c r="G873" s="12">
        <x:f t="shared" si="81"/>
        <x:v>412</x:v>
      </x:c>
      <x:c r="H873" s="12">
        <x:f t="shared" si="82"/>
        <x:v>3109</x:v>
      </x:c>
      <x:c r="I873" s="12">
        <x:f t="shared" si="78"/>
        <x:v>1280908</x:v>
      </x:c>
      <x:c r="J873" s="12">
        <x:f>ROUND(英雄升级调参!$D$70*英雄升级调参!$J$10*英雄升级调参!$E$23,0)*3</x:f>
        <x:v>93</x:v>
      </x:c>
      <x:c r="K873" s="12">
        <x:f>ROUND(英雄升级调参!$D$70*英雄升级调参!$C$11*英雄升级调参!$J$10*英雄升级调参!$G$23,0)*3</x:f>
        <x:v>705</x:v>
      </x:c>
      <x:c r="L873" s="12" t="n">
        <x:f>养成消耗调参!$D$152</x:f>
        <x:v>72</x:v>
      </x:c>
      <x:c r="M873" s="12" t="n">
        <x:f>养成消耗调参!$G$152</x:f>
        <x:v>450</x:v>
      </x:c>
      <x:c r="N873" s="12" t="n">
        <x:f>养成消耗调参!$I$152</x:f>
        <x:v>10</x:v>
      </x:c>
      <x:c r="O873" s="12" t="n">
        <x:f>养成消耗调参!$K$152</x:f>
        <x:v>216</x:v>
      </x:c>
      <x:c r="P873" s="12" t="n">
        <x:f>养成消耗调参!$N$152</x:f>
        <x:v>1800</x:v>
      </x:c>
      <x:c r="Q873" s="12" t="n">
        <x:f>养成消耗调参!$P$152</x:f>
        <x:v>10</x:v>
      </x:c>
      <x:c r="R873" s="13">
        <x:f>I873/英雄升级调参!$J$70-1</x:f>
        <x:v>0.0050357397861104936</x:v>
      </x:c>
      <x:c r="S873" s="6"/>
      <x:c r="T873" s="6"/>
      <x:c r="U873" s="6"/>
    </x:row>
    <x:row r="874" ht="21" customHeight="1">
      <x:c r="A874" s="14" t="n">
        <x:f>英雄升级调参!$B$23</x:f>
        <x:v>310005</x:v>
      </x:c>
      <x:c r="B874" s="14" t="str">
        <x:f>英雄升级调参!$C$23</x:f>
        <x:v>焦焦鸮</x:v>
      </x:c>
      <x:c r="C874" s="6" t="str">
        <x:f>英雄升级调参!$D$23</x:f>
        <x:v>探险家</x:v>
      </x:c>
      <x:c r="D874" s="6" t="s">
        <x:v>22</x:v>
      </x:c>
      <x:c r="E874" s="6">
        <x:v>6</x:v>
      </x:c>
      <x:c r="F874" s="6" t="n">
        <x:f>英雄升级调参!$C$71</x:f>
        <x:v>2</x:v>
      </x:c>
      <x:c r="G874" s="12">
        <x:f t="shared" si="81"/>
        <x:v>459</x:v>
      </x:c>
      <x:c r="H874" s="12">
        <x:f t="shared" si="82"/>
        <x:v>3461</x:v>
      </x:c>
      <x:c r="I874" s="12">
        <x:f t="shared" si="78"/>
        <x:v>1588599</x:v>
      </x:c>
      <x:c r="J874" s="12">
        <x:f>ROUND(英雄升级调参!$D$71*英雄升级调参!$J$10*英雄升级调参!$E$23,0)</x:f>
        <x:v>47</x:v>
      </x:c>
      <x:c r="K874" s="12">
        <x:f>ROUND(英雄升级调参!$D$71*英雄升级调参!$C$11*英雄升级调参!$J$10*英雄升级调参!$G$23,0)</x:f>
        <x:v>352</x:v>
      </x:c>
      <x:c r="L874" s="12" t="n">
        <x:f>养成消耗调参!$D$153</x:f>
        <x:v>144</x:v>
      </x:c>
      <x:c r="M874" s="12" t="n">
        <x:f>养成消耗调参!$G$153</x:f>
        <x:v>450</x:v>
      </x:c>
      <x:c r="N874" s="12" t="n">
        <x:f>养成消耗调参!$I$153</x:f>
        <x:v>0</x:v>
      </x:c>
      <x:c r="O874" s="12" t="n">
        <x:f>养成消耗调参!$K$153</x:f>
        <x:v>360</x:v>
      </x:c>
      <x:c r="P874" s="12" t="n">
        <x:f>养成消耗调参!$N$153</x:f>
        <x:v>2250</x:v>
      </x:c>
      <x:c r="Q874" s="12" t="n">
        <x:f>养成消耗调参!$P$153</x:f>
        <x:v>10</x:v>
      </x:c>
      <x:c r="R874" s="13">
        <x:f>I874/英雄升级调参!$J$71-1</x:f>
        <x:v>0.004139565753294772</x:v>
      </x:c>
      <x:c r="S874" s="6"/>
      <x:c r="T874" s="6"/>
      <x:c r="U874" s="6"/>
    </x:row>
    <x:row r="875" ht="21" customHeight="1">
      <x:c r="A875" s="14" t="n">
        <x:f>英雄升级调参!$B$23</x:f>
        <x:v>310005</x:v>
      </x:c>
      <x:c r="B875" s="14" t="str">
        <x:f>英雄升级调参!$C$23</x:f>
        <x:v>焦焦鸮</x:v>
      </x:c>
      <x:c r="C875" s="6" t="str">
        <x:f>英雄升级调参!$D$23</x:f>
        <x:v>探险家</x:v>
      </x:c>
      <x:c r="D875" s="6" t="s">
        <x:v>22</x:v>
      </x:c>
      <x:c r="E875" s="6">
        <x:v>7</x:v>
      </x:c>
      <x:c r="F875" s="6" t="n">
        <x:f>英雄升级调参!$C$72</x:f>
        <x:v>2</x:v>
      </x:c>
      <x:c r="G875" s="12">
        <x:f t="shared" si="81"/>
        <x:v>506</x:v>
      </x:c>
      <x:c r="H875" s="12">
        <x:f t="shared" si="82"/>
        <x:v>3813</x:v>
      </x:c>
      <x:c r="I875" s="12">
        <x:f t="shared" si="78"/>
        <x:v>1929378</x:v>
      </x:c>
      <x:c r="J875" s="12">
        <x:f>ROUND(英雄升级调参!$D$72*英雄升级调参!$J$10*英雄升级调参!$E$23,0)</x:f>
        <x:v>47</x:v>
      </x:c>
      <x:c r="K875" s="12">
        <x:f>ROUND(英雄升级调参!$D$72*英雄升级调参!$C$11*英雄升级调参!$J$10*英雄升级调参!$G$23,0)</x:f>
        <x:v>352</x:v>
      </x:c>
      <x:c r="L875" s="12" t="n">
        <x:f>养成消耗调参!$D$154</x:f>
        <x:v>144</x:v>
      </x:c>
      <x:c r="M875" s="12" t="n">
        <x:f>养成消耗调参!$G$154</x:f>
        <x:v>1350</x:v>
      </x:c>
      <x:c r="N875" s="12" t="n">
        <x:f>养成消耗调参!$I$154</x:f>
        <x:v>0</x:v>
      </x:c>
      <x:c r="O875" s="12" t="n">
        <x:f>养成消耗调参!$K$154</x:f>
        <x:v>504</x:v>
      </x:c>
      <x:c r="P875" s="12" t="n">
        <x:f>养成消耗调参!$N$154</x:f>
        <x:v>3600</x:v>
      </x:c>
      <x:c r="Q875" s="12" t="n">
        <x:f>养成消耗调参!$P$154</x:f>
        <x:v>10</x:v>
      </x:c>
      <x:c r="R875" s="13">
        <x:f>I875/英雄升级调参!$J$72-1</x:f>
        <x:v>0.0034106156582518476</x:v>
      </x:c>
      <x:c r="S875" s="6"/>
      <x:c r="T875" s="6"/>
      <x:c r="U875" s="6"/>
    </x:row>
    <x:row r="876" ht="21" customHeight="1">
      <x:c r="A876" s="14" t="n">
        <x:f>英雄升级调参!$B$23</x:f>
        <x:v>310005</x:v>
      </x:c>
      <x:c r="B876" s="14" t="str">
        <x:f>英雄升级调参!$C$23</x:f>
        <x:v>焦焦鸮</x:v>
      </x:c>
      <x:c r="C876" s="6" t="str">
        <x:f>英雄升级调参!$D$23</x:f>
        <x:v>探险家</x:v>
      </x:c>
      <x:c r="D876" s="6" t="s">
        <x:v>22</x:v>
      </x:c>
      <x:c r="E876" s="6">
        <x:v>8</x:v>
      </x:c>
      <x:c r="F876" s="6" t="n">
        <x:f>英雄升级调参!$C$73</x:f>
        <x:v>2</x:v>
      </x:c>
      <x:c r="G876" s="12">
        <x:f t="shared" si="81"/>
        <x:v>553</x:v>
      </x:c>
      <x:c r="H876" s="12">
        <x:f t="shared" si="82"/>
        <x:v>4165</x:v>
      </x:c>
      <x:c r="I876" s="12">
        <x:f t="shared" si="78"/>
        <x:v>2303245</x:v>
      </x:c>
      <x:c r="J876" s="12">
        <x:f>ROUND(英雄升级调参!$D$73*英雄升级调参!$J$10*英雄升级调参!$E$23,0)</x:f>
        <x:v>47</x:v>
      </x:c>
      <x:c r="K876" s="12">
        <x:f>ROUND(英雄升级调参!$D$73*英雄升级调参!$C$11*英雄升级调参!$J$10*英雄升级调参!$G$23,0)</x:f>
        <x:v>352</x:v>
      </x:c>
      <x:c r="L876" s="12" t="n">
        <x:f>养成消耗调参!$D$155</x:f>
        <x:v>216</x:v>
      </x:c>
      <x:c r="M876" s="12" t="n">
        <x:f>养成消耗调参!$G$155</x:f>
        <x:v>1350</x:v>
      </x:c>
      <x:c r="N876" s="12" t="n">
        <x:f>养成消耗调参!$I$155</x:f>
        <x:v>0</x:v>
      </x:c>
      <x:c r="O876" s="12" t="n">
        <x:f>养成消耗调参!$K$155</x:f>
        <x:v>720</x:v>
      </x:c>
      <x:c r="P876" s="12" t="n">
        <x:f>养成消耗调参!$N$155</x:f>
        <x:v>4950</x:v>
      </x:c>
      <x:c r="Q876" s="12" t="n">
        <x:f>养成消耗调参!$P$155</x:f>
        <x:v>10</x:v>
      </x:c>
      <x:c r="R876" s="13">
        <x:f>I876/英雄升级调参!$J$73-1</x:f>
        <x:v>0.0028060780215952708</x:v>
      </x:c>
      <x:c r="S876" s="6"/>
      <x:c r="T876" s="6"/>
      <x:c r="U876" s="6"/>
    </x:row>
    <x:row r="877" ht="21" customHeight="1">
      <x:c r="A877" s="14" t="n">
        <x:f>英雄升级调参!$B$23</x:f>
        <x:v>310005</x:v>
      </x:c>
      <x:c r="B877" s="14" t="str">
        <x:f>英雄升级调参!$C$23</x:f>
        <x:v>焦焦鸮</x:v>
      </x:c>
      <x:c r="C877" s="6" t="str">
        <x:f>英雄升级调参!$D$23</x:f>
        <x:v>探险家</x:v>
      </x:c>
      <x:c r="D877" s="6" t="s">
        <x:v>22</x:v>
      </x:c>
      <x:c r="E877" s="6">
        <x:v>9</x:v>
      </x:c>
      <x:c r="F877" s="6" t="n">
        <x:f>英雄升级调参!$C$74</x:f>
        <x:v>2</x:v>
      </x:c>
      <x:c r="G877" s="12">
        <x:f t="shared" si="81"/>
        <x:v>600</x:v>
      </x:c>
      <x:c r="H877" s="12">
        <x:f t="shared" si="82"/>
        <x:v>4517</x:v>
      </x:c>
      <x:c r="I877" s="12">
        <x:f t="shared" si="78"/>
        <x:v>2710200</x:v>
      </x:c>
      <x:c r="J877" s="12">
        <x:f>ROUND(英雄升级调参!$D$74*英雄升级调参!$J$10*英雄升级调参!$E$23,0)</x:f>
        <x:v>47</x:v>
      </x:c>
      <x:c r="K877" s="12">
        <x:f>ROUND(英雄升级调参!$D$74*英雄升级调参!$C$11*英雄升级调参!$J$10*英雄升级调参!$G$23,0)</x:f>
        <x:v>352</x:v>
      </x:c>
      <x:c r="L877" s="12" t="n">
        <x:f>养成消耗调参!$D$156</x:f>
        <x:v>216</x:v>
      </x:c>
      <x:c r="M877" s="12" t="n">
        <x:f>养成消耗调参!$G$156</x:f>
        <x:v>1350</x:v>
      </x:c>
      <x:c r="N877" s="12" t="n">
        <x:f>养成消耗调参!$I$156</x:f>
        <x:v>0</x:v>
      </x:c>
      <x:c r="O877" s="12" t="n">
        <x:f>养成消耗调参!$K$156</x:f>
        <x:v>936</x:v>
      </x:c>
      <x:c r="P877" s="12" t="n">
        <x:f>养成消耗调参!$N$156</x:f>
        <x:v>6300</x:v>
      </x:c>
      <x:c r="Q877" s="12" t="n">
        <x:f>养成消耗调参!$P$156</x:f>
        <x:v>10</x:v>
      </x:c>
      <x:c r="R877" s="13">
        <x:f>I877/英雄升级调参!$J$74-1</x:f>
        <x:v>0.0022966061265019544</x:v>
      </x:c>
      <x:c r="S877" s="6"/>
      <x:c r="T877" s="6"/>
      <x:c r="U877" s="6"/>
    </x:row>
    <x:row r="878" ht="21" customHeight="1">
      <x:c r="A878" s="14" t="n">
        <x:f>英雄升级调参!$B$23</x:f>
        <x:v>310005</x:v>
      </x:c>
      <x:c r="B878" s="14" t="str">
        <x:f>英雄升级调参!$C$23</x:f>
        <x:v>焦焦鸮</x:v>
      </x:c>
      <x:c r="C878" s="6" t="str">
        <x:f>英雄升级调参!$D$23</x:f>
        <x:v>探险家</x:v>
      </x:c>
      <x:c r="D878" s="6" t="s">
        <x:v>22</x:v>
      </x:c>
      <x:c r="E878" s="6">
        <x:v>10</x:v>
      </x:c>
      <x:c r="F878" s="6" t="n">
        <x:f>英雄升级调参!$C$75</x:f>
        <x:v>2</x:v>
      </x:c>
      <x:c r="G878" s="12">
        <x:f t="shared" si="81"/>
        <x:v>741</x:v>
      </x:c>
      <x:c r="H878" s="12">
        <x:f t="shared" si="82"/>
        <x:v>5573</x:v>
      </x:c>
      <x:c r="I878" s="12">
        <x:f t="shared" si="78"/>
        <x:v>4129593</x:v>
      </x:c>
      <x:c r="J878" s="12">
        <x:f>ROUND(英雄升级调参!$D$75*英雄升级调参!$J$10*英雄升级调参!$E$23,0)*3</x:f>
        <x:v>141</x:v>
      </x:c>
      <x:c r="K878" s="12">
        <x:f>ROUND(英雄升级调参!$D$75*英雄升级调参!$C$11*英雄升级调参!$J$10*英雄升级调参!$G$23,0)*3</x:f>
        <x:v>1056</x:v>
      </x:c>
      <x:c r="L878" s="12" t="n">
        <x:f>养成消耗调参!$D$157</x:f>
        <x:v>288</x:v>
      </x:c>
      <x:c r="M878" s="12" t="n">
        <x:f>养成消耗调参!$G$157</x:f>
        <x:v>1350</x:v>
      </x:c>
      <x:c r="N878" s="12" t="n">
        <x:f>养成消耗调参!$I$157</x:f>
        <x:v>30</x:v>
      </x:c>
      <x:c r="O878" s="12" t="n">
        <x:f>养成消耗调参!$K$157</x:f>
        <x:v>1224</x:v>
      </x:c>
      <x:c r="P878" s="12" t="n">
        <x:f>养成消耗调参!$N$157</x:f>
        <x:v>7650</x:v>
      </x:c>
      <x:c r="Q878" s="12" t="n">
        <x:f>养成消耗调参!$P$157</x:f>
        <x:v>40</x:v>
      </x:c>
      <x:c r="R878" s="13">
        <x:f>I878/英雄升级调参!$J$75-1</x:f>
        <x:v>0.0011571414025339788</x:v>
      </x:c>
      <x:c r="S878" s="6"/>
      <x:c r="T878" s="6"/>
      <x:c r="U878" s="6"/>
    </x:row>
    <x:row r="879" ht="21" customHeight="1">
      <x:c r="A879" s="14" t="n">
        <x:f>英雄升级调参!$B$23</x:f>
        <x:v>310005</x:v>
      </x:c>
      <x:c r="B879" s="14" t="str">
        <x:f>英雄升级调参!$C$23</x:f>
        <x:v>焦焦鸮</x:v>
      </x:c>
      <x:c r="C879" s="6" t="str">
        <x:f>英雄升级调参!$D$23</x:f>
        <x:v>探险家</x:v>
      </x:c>
      <x:c r="D879" s="6" t="s">
        <x:v>22</x:v>
      </x:c>
      <x:c r="E879" s="6">
        <x:v>11</x:v>
      </x:c>
      <x:c r="F879" s="6" t="n">
        <x:f>英雄升级调参!$C$76</x:f>
        <x:v>3</x:v>
      </x:c>
      <x:c r="G879" s="12">
        <x:f t="shared" si="81"/>
        <x:v>803</x:v>
      </x:c>
      <x:c r="H879" s="12">
        <x:f t="shared" si="82"/>
        <x:v>6043</x:v>
      </x:c>
      <x:c r="I879" s="12">
        <x:f t="shared" si="78"/>
        <x:v>4852529</x:v>
      </x:c>
      <x:c r="J879" s="12">
        <x:f>ROUND(英雄升级调参!$D$76*英雄升级调参!$J$10*英雄升级调参!$E$23,0)</x:f>
        <x:v>62</x:v>
      </x:c>
      <x:c r="K879" s="12">
        <x:f>ROUND(英雄升级调参!$D$76*英雄升级调参!$C$11*英雄升级调参!$J$10*英雄升级调参!$G$23,0)</x:f>
        <x:v>470</x:v>
      </x:c>
      <x:c r="L879" s="12" t="n">
        <x:f>养成消耗调参!$D$158</x:f>
        <x:v>288</x:v>
      </x:c>
      <x:c r="M879" s="12" t="n">
        <x:f>养成消耗调参!$G$158</x:f>
        <x:v>1350</x:v>
      </x:c>
      <x:c r="N879" s="12" t="n">
        <x:f>养成消耗调参!$I$158</x:f>
        <x:v>0</x:v>
      </x:c>
      <x:c r="O879" s="12" t="n">
        <x:f>养成消耗调参!$K$158</x:f>
        <x:v>1512</x:v>
      </x:c>
      <x:c r="P879" s="12" t="n">
        <x:f>养成消耗调参!$N$158</x:f>
        <x:v>9000</x:v>
      </x:c>
      <x:c r="Q879" s="12" t="n">
        <x:f>养成消耗调参!$P$158</x:f>
        <x:v>40</x:v>
      </x:c>
      <x:c r="R879" s="13">
        <x:f>I879/英雄升级调参!$J$76-1</x:f>
        <x:v>0.0010147268447751046</x:v>
      </x:c>
      <x:c r="S879" s="6"/>
      <x:c r="T879" s="6"/>
      <x:c r="U879" s="6"/>
    </x:row>
    <x:row r="880" ht="21" customHeight="1">
      <x:c r="A880" s="14" t="n">
        <x:f>英雄升级调参!$B$23</x:f>
        <x:v>310005</x:v>
      </x:c>
      <x:c r="B880" s="14" t="str">
        <x:f>英雄升级调参!$C$23</x:f>
        <x:v>焦焦鸮</x:v>
      </x:c>
      <x:c r="C880" s="6" t="str">
        <x:f>英雄升级调参!$D$23</x:f>
        <x:v>探险家</x:v>
      </x:c>
      <x:c r="D880" s="6" t="s">
        <x:v>22</x:v>
      </x:c>
      <x:c r="E880" s="6">
        <x:v>12</x:v>
      </x:c>
      <x:c r="F880" s="6" t="n">
        <x:f>英雄升级调参!$C$77</x:f>
        <x:v>3</x:v>
      </x:c>
      <x:c r="G880" s="12">
        <x:f t="shared" si="81"/>
        <x:v>865</x:v>
      </x:c>
      <x:c r="H880" s="12">
        <x:f t="shared" si="82"/>
        <x:v>6513</x:v>
      </x:c>
      <x:c r="I880" s="12">
        <x:f t="shared" si="78"/>
        <x:v>5633745</x:v>
      </x:c>
      <x:c r="J880" s="12">
        <x:f>ROUND(英雄升级调参!$D$77*英雄升级调参!$J$10*英雄升级调参!$E$23,0)</x:f>
        <x:v>62</x:v>
      </x:c>
      <x:c r="K880" s="12">
        <x:f>ROUND(英雄升级调参!$D$77*英雄升级调参!$C$11*英雄升级调参!$J$10*英雄升级调参!$G$23,0)</x:f>
        <x:v>470</x:v>
      </x:c>
      <x:c r="L880" s="12" t="n">
        <x:f>养成消耗调参!$D$159</x:f>
        <x:v>360</x:v>
      </x:c>
      <x:c r="M880" s="12" t="n">
        <x:f>养成消耗调参!$G$159</x:f>
        <x:v>2250</x:v>
      </x:c>
      <x:c r="N880" s="12" t="n">
        <x:f>养成消耗调参!$I$159</x:f>
        <x:v>0</x:v>
      </x:c>
      <x:c r="O880" s="12" t="n">
        <x:f>养成消耗调参!$K$159</x:f>
        <x:v>1872</x:v>
      </x:c>
      <x:c r="P880" s="12" t="n">
        <x:f>养成消耗调参!$N$159</x:f>
        <x:v>11250</x:v>
      </x:c>
      <x:c r="Q880" s="12" t="n">
        <x:f>养成消耗调参!$P$159</x:f>
        <x:v>40</x:v>
      </x:c>
      <x:c r="R880" s="13">
        <x:f>I880/英雄升级调参!$J$77-1</x:f>
        <x:v>0.00089274293267394</x:v>
      </x:c>
      <x:c r="S880" s="6"/>
      <x:c r="T880" s="6"/>
      <x:c r="U880" s="6"/>
    </x:row>
    <x:row r="881" ht="21" customHeight="1">
      <x:c r="A881" s="14" t="n">
        <x:f>英雄升级调参!$B$23</x:f>
        <x:v>310005</x:v>
      </x:c>
      <x:c r="B881" s="14" t="str">
        <x:f>英雄升级调参!$C$23</x:f>
        <x:v>焦焦鸮</x:v>
      </x:c>
      <x:c r="C881" s="6" t="str">
        <x:f>英雄升级调参!$D$23</x:f>
        <x:v>探险家</x:v>
      </x:c>
      <x:c r="D881" s="6" t="s">
        <x:v>22</x:v>
      </x:c>
      <x:c r="E881" s="6">
        <x:v>13</x:v>
      </x:c>
      <x:c r="F881" s="6" t="n">
        <x:f>英雄升级调参!$C$78</x:f>
        <x:v>3</x:v>
      </x:c>
      <x:c r="G881" s="12">
        <x:f t="shared" si="81"/>
        <x:v>927</x:v>
      </x:c>
      <x:c r="H881" s="12">
        <x:f t="shared" si="82"/>
        <x:v>6983</x:v>
      </x:c>
      <x:c r="I881" s="12">
        <x:f t="shared" si="78"/>
        <x:v>6473241</x:v>
      </x:c>
      <x:c r="J881" s="12">
        <x:f>ROUND(英雄升级调参!$D$78*英雄升级调参!$J$10*英雄升级调参!$E$23,0)</x:f>
        <x:v>62</x:v>
      </x:c>
      <x:c r="K881" s="12">
        <x:f>ROUND(英雄升级调参!$D$78*英雄升级调参!$C$11*英雄升级调参!$J$10*英雄升级调参!$G$23,0)</x:f>
        <x:v>470</x:v>
      </x:c>
      <x:c r="L881" s="12" t="n">
        <x:f>养成消耗调参!$D$160</x:f>
        <x:v>360</x:v>
      </x:c>
      <x:c r="M881" s="12" t="n">
        <x:f>养成消耗调参!$G$160</x:f>
        <x:v>2250</x:v>
      </x:c>
      <x:c r="N881" s="12" t="n">
        <x:f>养成消耗调参!$I$160</x:f>
        <x:v>0</x:v>
      </x:c>
      <x:c r="O881" s="12" t="n">
        <x:f>养成消耗调参!$K$160</x:f>
        <x:v>2232</x:v>
      </x:c>
      <x:c r="P881" s="12" t="n">
        <x:f>养成消耗调参!$N$160</x:f>
        <x:v>13500</x:v>
      </x:c>
      <x:c r="Q881" s="12" t="n">
        <x:f>养成消耗调参!$P$160</x:f>
        <x:v>40</x:v>
      </x:c>
      <x:c r="R881" s="13">
        <x:f>I881/英雄升级调参!$J$78-1</x:f>
        <x:v>0.0007870874979707398</x:v>
      </x:c>
      <x:c r="S881" s="6"/>
      <x:c r="T881" s="6"/>
      <x:c r="U881" s="6"/>
    </x:row>
    <x:row r="882" ht="21" customHeight="1">
      <x:c r="A882" s="14" t="n">
        <x:f>英雄升级调参!$B$23</x:f>
        <x:v>310005</x:v>
      </x:c>
      <x:c r="B882" s="14" t="str">
        <x:f>英雄升级调参!$C$23</x:f>
        <x:v>焦焦鸮</x:v>
      </x:c>
      <x:c r="C882" s="6" t="str">
        <x:f>英雄升级调参!$D$23</x:f>
        <x:v>探险家</x:v>
      </x:c>
      <x:c r="D882" s="6" t="s">
        <x:v>22</x:v>
      </x:c>
      <x:c r="E882" s="6">
        <x:v>14</x:v>
      </x:c>
      <x:c r="F882" s="6" t="n">
        <x:f>英雄升级调参!$C$79</x:f>
        <x:v>3</x:v>
      </x:c>
      <x:c r="G882" s="12">
        <x:f t="shared" si="81"/>
        <x:v>989</x:v>
      </x:c>
      <x:c r="H882" s="12">
        <x:f t="shared" si="82"/>
        <x:v>7453</x:v>
      </x:c>
      <x:c r="I882" s="12">
        <x:f t="shared" si="78"/>
        <x:v>7371017</x:v>
      </x:c>
      <x:c r="J882" s="12">
        <x:f>ROUND(英雄升级调参!$D$79*英雄升级调参!$J$10*英雄升级调参!$E$23,0)</x:f>
        <x:v>62</x:v>
      </x:c>
      <x:c r="K882" s="12">
        <x:f>ROUND(英雄升级调参!$D$79*英雄升级调参!$C$11*英雄升级调参!$J$10*英雄升级调参!$G$23,0)</x:f>
        <x:v>470</x:v>
      </x:c>
      <x:c r="L882" s="12" t="n">
        <x:f>养成消耗调参!$D$161</x:f>
        <x:v>432</x:v>
      </x:c>
      <x:c r="M882" s="12" t="n">
        <x:f>养成消耗调参!$G$161</x:f>
        <x:v>2250</x:v>
      </x:c>
      <x:c r="N882" s="12" t="n">
        <x:f>养成消耗调参!$I$161</x:f>
        <x:v>0</x:v>
      </x:c>
      <x:c r="O882" s="12" t="n">
        <x:f>养成消耗调参!$K$161</x:f>
        <x:v>2664</x:v>
      </x:c>
      <x:c r="P882" s="12" t="n">
        <x:f>养成消耗调参!$N$161</x:f>
        <x:v>15750</x:v>
      </x:c>
      <x:c r="Q882" s="12" t="n">
        <x:f>养成消耗调参!$P$161</x:f>
        <x:v>40</x:v>
      </x:c>
      <x:c r="R882" s="13">
        <x:f>I882/英雄升级调参!$J$79-1</x:f>
        <x:v>0.0006946876824285297</x:v>
      </x:c>
      <x:c r="S882" s="6"/>
      <x:c r="T882" s="6"/>
      <x:c r="U882" s="6"/>
    </x:row>
    <x:row r="883" ht="21" customHeight="1">
      <x:c r="A883" s="14" t="n">
        <x:f>英雄升级调参!$B$23</x:f>
        <x:v>310005</x:v>
      </x:c>
      <x:c r="B883" s="14" t="str">
        <x:f>英雄升级调参!$C$23</x:f>
        <x:v>焦焦鸮</x:v>
      </x:c>
      <x:c r="C883" s="6" t="str">
        <x:f>英雄升级调参!$D$23</x:f>
        <x:v>探险家</x:v>
      </x:c>
      <x:c r="D883" s="6" t="s">
        <x:v>22</x:v>
      </x:c>
      <x:c r="E883" s="6">
        <x:v>15</x:v>
      </x:c>
      <x:c r="F883" s="6" t="n">
        <x:f>英雄升级调参!$C$80</x:f>
        <x:v>3</x:v>
      </x:c>
      <x:c r="G883" s="12">
        <x:f t="shared" si="81"/>
        <x:v>1175</x:v>
      </x:c>
      <x:c r="H883" s="12">
        <x:f t="shared" si="82"/>
        <x:v>8863</x:v>
      </x:c>
      <x:c r="I883" s="12">
        <x:f t="shared" si="78"/>
        <x:v>10414025</x:v>
      </x:c>
      <x:c r="J883" s="12">
        <x:f>ROUND(英雄升级调参!$D$80*英雄升级调参!$J$10*英雄升级调参!$E$23,0)*3</x:f>
        <x:v>186</x:v>
      </x:c>
      <x:c r="K883" s="12">
        <x:f>ROUND(英雄升级调参!$D$80*英雄升级调参!$C$11*英雄升级调参!$J$10*英雄升级调参!$G$23,0)*3</x:f>
        <x:v>1410</x:v>
      </x:c>
      <x:c r="L883" s="12" t="n">
        <x:f>养成消耗调参!$D$162</x:f>
        <x:v>432</x:v>
      </x:c>
      <x:c r="M883" s="12" t="n">
        <x:f>养成消耗调参!$G$162</x:f>
        <x:v>2250</x:v>
      </x:c>
      <x:c r="N883" s="12" t="n">
        <x:f>养成消耗调参!$I$162</x:f>
        <x:v>50</x:v>
      </x:c>
      <x:c r="O883" s="12" t="n">
        <x:f>养成消耗调参!$K$162</x:f>
        <x:v>3096</x:v>
      </x:c>
      <x:c r="P883" s="12" t="n">
        <x:f>养成消耗调参!$N$162</x:f>
        <x:v>18000</x:v>
      </x:c>
      <x:c r="Q883" s="12" t="n">
        <x:f>养成消耗调参!$P$162</x:f>
        <x:v>90</x:v>
      </x:c>
      <x:c r="R883" s="13">
        <x:f>I883/英雄升级调参!$J$80-1</x:f>
        <x:v>0.0004760271570851682</x:v>
      </x:c>
      <x:c r="S883" s="6"/>
      <x:c r="T883" s="6"/>
      <x:c r="U883" s="6"/>
    </x:row>
    <x:row r="884" ht="21" customHeight="1">
      <x:c r="A884" s="14" t="n">
        <x:f>英雄升级调参!$B$23</x:f>
        <x:v>310005</x:v>
      </x:c>
      <x:c r="B884" s="14" t="str">
        <x:f>英雄升级调参!$C$23</x:f>
        <x:v>焦焦鸮</x:v>
      </x:c>
      <x:c r="C884" s="6" t="str">
        <x:f>英雄升级调参!$D$23</x:f>
        <x:v>探险家</x:v>
      </x:c>
      <x:c r="D884" s="6" t="s">
        <x:v>22</x:v>
      </x:c>
      <x:c r="E884" s="6">
        <x:v>16</x:v>
      </x:c>
      <x:c r="F884" s="6" t="n">
        <x:f>英雄升级调参!$C$81</x:f>
        <x:v>4</x:v>
      </x:c>
      <x:c r="G884" s="12">
        <x:f t="shared" si="81"/>
        <x:v>1253</x:v>
      </x:c>
      <x:c r="H884" s="12">
        <x:f t="shared" si="82"/>
        <x:v>9450</x:v>
      </x:c>
      <x:c r="I884" s="12">
        <x:f t="shared" si="78"/>
        <x:v>11840850</x:v>
      </x:c>
      <x:c r="J884" s="12">
        <x:f>ROUND(英雄升级调参!$D$81*英雄升级调参!$J$10*英雄升级调参!$E$23,0)</x:f>
        <x:v>78</x:v>
      </x:c>
      <x:c r="K884" s="12">
        <x:f>ROUND(英雄升级调参!$D$81*英雄升级调参!$C$11*英雄升级调参!$J$10*英雄升级调参!$G$23,0)</x:f>
        <x:v>587</x:v>
      </x:c>
      <x:c r="L884" s="12" t="n">
        <x:f>养成消耗调参!$D$163</x:f>
        <x:v>504</x:v>
      </x:c>
      <x:c r="M884" s="12" t="n">
        <x:f>养成消耗调参!$G$163</x:f>
        <x:v>2250</x:v>
      </x:c>
      <x:c r="N884" s="12" t="n">
        <x:f>养成消耗调参!$I$163</x:f>
        <x:v>0</x:v>
      </x:c>
      <x:c r="O884" s="12" t="n">
        <x:f>养成消耗调参!$K$163</x:f>
        <x:v>3600</x:v>
      </x:c>
      <x:c r="P884" s="12" t="n">
        <x:f>养成消耗调参!$N$163</x:f>
        <x:v>20250</x:v>
      </x:c>
      <x:c r="Q884" s="12" t="n">
        <x:f>养成消耗调参!$P$163</x:f>
        <x:v>90</x:v>
      </x:c>
      <x:c r="R884" s="13">
        <x:f>I884/英雄升级调参!$J$81-1</x:f>
        <x:v>0.00029144913578993403</x:v>
      </x:c>
      <x:c r="S884" s="6"/>
      <x:c r="T884" s="6"/>
      <x:c r="U884" s="6"/>
    </x:row>
    <x:row r="885" ht="21" customHeight="1">
      <x:c r="A885" s="14" t="n">
        <x:f>英雄升级调参!$B$23</x:f>
        <x:v>310005</x:v>
      </x:c>
      <x:c r="B885" s="14" t="str">
        <x:f>英雄升级调参!$C$23</x:f>
        <x:v>焦焦鸮</x:v>
      </x:c>
      <x:c r="C885" s="6" t="str">
        <x:f>英雄升级调参!$D$23</x:f>
        <x:v>探险家</x:v>
      </x:c>
      <x:c r="D885" s="6" t="s">
        <x:v>22</x:v>
      </x:c>
      <x:c r="E885" s="6">
        <x:v>17</x:v>
      </x:c>
      <x:c r="F885" s="6" t="n">
        <x:f>英雄升级调参!$C$82</x:f>
        <x:v>4</x:v>
      </x:c>
      <x:c r="G885" s="12">
        <x:f t="shared" si="81"/>
        <x:v>1331</x:v>
      </x:c>
      <x:c r="H885" s="12">
        <x:f t="shared" si="82"/>
        <x:v>10037</x:v>
      </x:c>
      <x:c r="I885" s="12">
        <x:f t="shared" si="78"/>
        <x:v>13359247</x:v>
      </x:c>
      <x:c r="J885" s="12">
        <x:f>ROUND(英雄升级调参!$D$82*英雄升级调参!$J$10*英雄升级调参!$E$23,0)</x:f>
        <x:v>78</x:v>
      </x:c>
      <x:c r="K885" s="12">
        <x:f>ROUND(英雄升级调参!$D$82*英雄升级调参!$C$11*英雄升级调参!$J$10*英雄升级调参!$G$23,0)</x:f>
        <x:v>587</x:v>
      </x:c>
      <x:c r="L885" s="12" t="n">
        <x:f>养成消耗调参!$D$164</x:f>
        <x:v>504</x:v>
      </x:c>
      <x:c r="M885" s="12" t="n">
        <x:f>养成消耗调参!$G$164</x:f>
        <x:v>3150</x:v>
      </x:c>
      <x:c r="N885" s="12" t="n">
        <x:f>养成消耗调参!$I$164</x:f>
        <x:v>0</x:v>
      </x:c>
      <x:c r="O885" s="12" t="n">
        <x:f>养成消耗调参!$K$164</x:f>
        <x:v>4104</x:v>
      </x:c>
      <x:c r="P885" s="12" t="n">
        <x:f>养成消耗调参!$N$164</x:f>
        <x:v>23400</x:v>
      </x:c>
      <x:c r="Q885" s="12" t="n">
        <x:f>养成消耗调参!$P$164</x:f>
        <x:v>90</x:v>
      </x:c>
      <x:c r="R885" s="13">
        <x:f>I885/英雄升级调参!$J$82-1</x:f>
        <x:v>0.00012854172889742443</x:v>
      </x:c>
      <x:c r="S885" s="6"/>
      <x:c r="T885" s="6"/>
      <x:c r="U885" s="6"/>
    </x:row>
    <x:row r="886" ht="21" customHeight="1">
      <x:c r="A886" s="14" t="n">
        <x:f>英雄升级调参!$B$23</x:f>
        <x:v>310005</x:v>
      </x:c>
      <x:c r="B886" s="14" t="str">
        <x:f>英雄升级调参!$C$23</x:f>
        <x:v>焦焦鸮</x:v>
      </x:c>
      <x:c r="C886" s="6" t="str">
        <x:f>英雄升级调参!$D$23</x:f>
        <x:v>探险家</x:v>
      </x:c>
      <x:c r="D886" s="6" t="s">
        <x:v>22</x:v>
      </x:c>
      <x:c r="E886" s="6">
        <x:v>18</x:v>
      </x:c>
      <x:c r="F886" s="6" t="n">
        <x:f>英雄升级调参!$C$83</x:f>
        <x:v>4</x:v>
      </x:c>
      <x:c r="G886" s="12">
        <x:f t="shared" si="81"/>
        <x:v>1409</x:v>
      </x:c>
      <x:c r="H886" s="12">
        <x:f t="shared" si="82"/>
        <x:v>10624</x:v>
      </x:c>
      <x:c r="I886" s="12">
        <x:f t="shared" si="78"/>
        <x:v>14969216</x:v>
      </x:c>
      <x:c r="J886" s="12">
        <x:f>ROUND(英雄升级调参!$D$83*英雄升级调参!$J$10*英雄升级调参!$E$23,0)</x:f>
        <x:v>78</x:v>
      </x:c>
      <x:c r="K886" s="12">
        <x:f>ROUND(英雄升级调参!$D$83*英雄升级调参!$C$11*英雄升级调参!$J$10*英雄升级调参!$G$23,0)</x:f>
        <x:v>587</x:v>
      </x:c>
      <x:c r="L886" s="12" t="n">
        <x:f>养成消耗调参!$D$165</x:f>
        <x:v>576</x:v>
      </x:c>
      <x:c r="M886" s="12" t="n">
        <x:f>养成消耗调参!$G$165</x:f>
        <x:v>3150</x:v>
      </x:c>
      <x:c r="N886" s="12" t="n">
        <x:f>养成消耗调参!$I$165</x:f>
        <x:v>0</x:v>
      </x:c>
      <x:c r="O886" s="12" t="n">
        <x:f>养成消耗调参!$K$165</x:f>
        <x:v>4680</x:v>
      </x:c>
      <x:c r="P886" s="12" t="n">
        <x:f>养成消耗调参!$N$165</x:f>
        <x:v>26550</x:v>
      </x:c>
      <x:c r="Q886" s="12" t="n">
        <x:f>养成消耗调参!$P$165</x:f>
        <x:v>90</x:v>
      </x:c>
      <x:c r="R886" s="13">
        <x:f>I886/英雄升级调参!$J$83-1</x:f>
        <x:v>-1.6299853167756062e-05</x:v>
      </x:c>
      <x:c r="S886" s="6"/>
      <x:c r="T886" s="6"/>
      <x:c r="U886" s="6"/>
    </x:row>
    <x:row r="887" ht="21" customHeight="1">
      <x:c r="A887" s="14" t="n">
        <x:f>英雄升级调参!$B$23</x:f>
        <x:v>310005</x:v>
      </x:c>
      <x:c r="B887" s="14" t="str">
        <x:f>英雄升级调参!$C$23</x:f>
        <x:v>焦焦鸮</x:v>
      </x:c>
      <x:c r="C887" s="6" t="str">
        <x:f>英雄升级调参!$D$23</x:f>
        <x:v>探险家</x:v>
      </x:c>
      <x:c r="D887" s="6" t="s">
        <x:v>22</x:v>
      </x:c>
      <x:c r="E887" s="6">
        <x:v>19</x:v>
      </x:c>
      <x:c r="F887" s="6" t="n">
        <x:f>英雄升级调参!$C$84</x:f>
        <x:v>4</x:v>
      </x:c>
      <x:c r="G887" s="12">
        <x:f t="shared" si="81"/>
        <x:v>1487</x:v>
      </x:c>
      <x:c r="H887" s="12">
        <x:f t="shared" si="82"/>
        <x:v>11211</x:v>
      </x:c>
      <x:c r="I887" s="12">
        <x:f t="shared" si="78"/>
        <x:v>16670757</x:v>
      </x:c>
      <x:c r="J887" s="12">
        <x:f>ROUND(英雄升级调参!$D$84*英雄升级调参!$J$10*英雄升级调参!$E$23,0)</x:f>
        <x:v>78</x:v>
      </x:c>
      <x:c r="K887" s="12">
        <x:f>ROUND(英雄升级调参!$D$84*英雄升级调参!$C$11*英雄升级调参!$J$10*英雄升级调参!$G$23,0)</x:f>
        <x:v>587</x:v>
      </x:c>
      <x:c r="L887" s="12" t="n">
        <x:f>养成消耗调参!$D$166</x:f>
        <x:v>576</x:v>
      </x:c>
      <x:c r="M887" s="12" t="n">
        <x:f>养成消耗调参!$G$166</x:f>
        <x:v>3150</x:v>
      </x:c>
      <x:c r="N887" s="12" t="n">
        <x:f>养成消耗调参!$I$166</x:f>
        <x:v>0</x:v>
      </x:c>
      <x:c r="O887" s="12" t="n">
        <x:f>养成消耗调参!$K$166</x:f>
        <x:v>5256</x:v>
      </x:c>
      <x:c r="P887" s="12" t="n">
        <x:f>养成消耗调参!$N$166</x:f>
        <x:v>29700</x:v>
      </x:c>
      <x:c r="Q887" s="12" t="n">
        <x:f>养成消耗调参!$P$166</x:f>
        <x:v>90</x:v>
      </x:c>
      <x:c r="R887" s="13">
        <x:f>I887/英雄升级调参!$J$84-1</x:f>
        <x:v>-0.00014592288578252344</x:v>
      </x:c>
      <x:c r="S887" s="6"/>
      <x:c r="T887" s="6"/>
      <x:c r="U887" s="6"/>
    </x:row>
    <x:row r="888" ht="21" customHeight="1">
      <x:c r="A888" s="14" t="n">
        <x:f>英雄升级调参!$B$23</x:f>
        <x:v>310005</x:v>
      </x:c>
      <x:c r="B888" s="14" t="str">
        <x:f>英雄升级调参!$C$23</x:f>
        <x:v>焦焦鸮</x:v>
      </x:c>
      <x:c r="C888" s="6" t="str">
        <x:f>英雄升级调参!$D$23</x:f>
        <x:v>探险家</x:v>
      </x:c>
      <x:c r="D888" s="6" t="s">
        <x:v>22</x:v>
      </x:c>
      <x:c r="E888" s="6">
        <x:v>20</x:v>
      </x:c>
      <x:c r="F888" s="6" t="n">
        <x:f>英雄升级调参!$C$85</x:f>
        <x:v>4</x:v>
      </x:c>
      <x:c r="G888" s="12">
        <x:f t="shared" si="81"/>
        <x:v>1721</x:v>
      </x:c>
      <x:c r="H888" s="12">
        <x:f t="shared" si="82"/>
        <x:v>12972</x:v>
      </x:c>
      <x:c r="I888" s="12">
        <x:f t="shared" si="78"/>
        <x:v>22324812</x:v>
      </x:c>
      <x:c r="J888" s="12">
        <x:f>ROUND(英雄升级调参!$D$85*英雄升级调参!$J$10*英雄升级调参!$E$23,0)*3</x:f>
        <x:v>234</x:v>
      </x:c>
      <x:c r="K888" s="12">
        <x:f>ROUND(英雄升级调参!$D$85*英雄升级调参!$C$11*英雄升级调参!$J$10*英雄升级调参!$G$23,0)*3</x:f>
        <x:v>1761</x:v>
      </x:c>
      <x:c r="L888" s="12" t="n">
        <x:f>养成消耗调参!$D$167</x:f>
        <x:v>648</x:v>
      </x:c>
      <x:c r="M888" s="12" t="n">
        <x:f>养成消耗调参!$G$167</x:f>
        <x:v>3150</x:v>
      </x:c>
      <x:c r="N888" s="12" t="n">
        <x:f>养成消耗调参!$I$167</x:f>
        <x:v>70</x:v>
      </x:c>
      <x:c r="O888" s="12" t="n">
        <x:f>养成消耗调参!$K$167</x:f>
        <x:v>5904</x:v>
      </x:c>
      <x:c r="P888" s="12" t="n">
        <x:f>养成消耗调参!$N$167</x:f>
        <x:v>32850</x:v>
      </x:c>
      <x:c r="Q888" s="12" t="n">
        <x:f>养成消耗调参!$P$167</x:f>
        <x:v>160</x:v>
      </x:c>
      <x:c r="R888" s="13">
        <x:f>I888/英雄升级调参!$J$85-1</x:f>
        <x:v>-0.0004642004228306851</x:v>
      </x:c>
      <x:c r="S888" s="6"/>
      <x:c r="T888" s="6"/>
      <x:c r="U888" s="6"/>
    </x:row>
    <x:row r="889" ht="21" customHeight="1">
      <x:c r="A889" s="14" t="n">
        <x:f>英雄升级调参!$B$23</x:f>
        <x:v>310005</x:v>
      </x:c>
      <x:c r="B889" s="14" t="str">
        <x:f>英雄升级调参!$C$23</x:f>
        <x:v>焦焦鸮</x:v>
      </x:c>
      <x:c r="C889" s="6" t="str">
        <x:f>英雄升级调参!$D$23</x:f>
        <x:v>探险家</x:v>
      </x:c>
      <x:c r="D889" s="6" t="s">
        <x:v>22</x:v>
      </x:c>
      <x:c r="E889" s="6">
        <x:v>21</x:v>
      </x:c>
      <x:c r="F889" s="6" t="n">
        <x:f>英雄升级调参!$C$86</x:f>
        <x:v>5</x:v>
      </x:c>
      <x:c r="G889" s="12">
        <x:f t="shared" si="81"/>
        <x:v>1814</x:v>
      </x:c>
      <x:c r="H889" s="12">
        <x:f t="shared" si="82"/>
        <x:v>13676</x:v>
      </x:c>
      <x:c r="I889" s="12">
        <x:f t="shared" si="78"/>
        <x:v>24808264</x:v>
      </x:c>
      <x:c r="J889" s="12">
        <x:f>ROUND(英雄升级调参!$D$86*英雄升级调参!$J$10*英雄升级调参!$E$23,0)</x:f>
        <x:v>93</x:v>
      </x:c>
      <x:c r="K889" s="12">
        <x:f>ROUND(英雄升级调参!$D$86*英雄升级调参!$C$11*英雄升级调参!$J$10*英雄升级调参!$G$23,0)</x:f>
        <x:v>704</x:v>
      </x:c>
      <x:c r="L889" s="12" t="n">
        <x:f>养成消耗调参!$D$168</x:f>
        <x:v>648</x:v>
      </x:c>
      <x:c r="M889" s="12" t="n">
        <x:f>养成消耗调参!$G$168</x:f>
        <x:v>3150</x:v>
      </x:c>
      <x:c r="N889" s="12" t="n">
        <x:f>养成消耗调参!$I$168</x:f>
        <x:v>0</x:v>
      </x:c>
      <x:c r="O889" s="12" t="n">
        <x:f>养成消耗调参!$K$168</x:f>
        <x:v>6552</x:v>
      </x:c>
      <x:c r="P889" s="12" t="n">
        <x:f>养成消耗调参!$N$168</x:f>
        <x:v>36000</x:v>
      </x:c>
      <x:c r="Q889" s="12" t="n">
        <x:f>养成消耗调参!$P$168</x:f>
        <x:v>160</x:v>
      </x:c>
      <x:c r="R889" s="13">
        <x:f>I889/英雄升级调参!$J$86-1</x:f>
        <x:v>-0.0005485482969057598</x:v>
      </x:c>
      <x:c r="S889" s="6"/>
      <x:c r="T889" s="6"/>
      <x:c r="U889" s="6"/>
    </x:row>
    <x:row r="890" ht="21" customHeight="1">
      <x:c r="A890" s="14" t="n">
        <x:f>英雄升级调参!$B$23</x:f>
        <x:v>310005</x:v>
      </x:c>
      <x:c r="B890" s="14" t="str">
        <x:f>英雄升级调参!$C$23</x:f>
        <x:v>焦焦鸮</x:v>
      </x:c>
      <x:c r="C890" s="6" t="str">
        <x:f>英雄升级调参!$D$23</x:f>
        <x:v>探险家</x:v>
      </x:c>
      <x:c r="D890" s="6" t="s">
        <x:v>22</x:v>
      </x:c>
      <x:c r="E890" s="6">
        <x:v>22</x:v>
      </x:c>
      <x:c r="F890" s="6" t="n">
        <x:f>英雄升级调参!$C$87</x:f>
        <x:v>5</x:v>
      </x:c>
      <x:c r="G890" s="12">
        <x:f t="shared" si="81"/>
        <x:v>1907</x:v>
      </x:c>
      <x:c r="H890" s="12">
        <x:f t="shared" si="82"/>
        <x:v>14380</x:v>
      </x:c>
      <x:c r="I890" s="12">
        <x:f t="shared" si="78"/>
        <x:v>27422660</x:v>
      </x:c>
      <x:c r="J890" s="12">
        <x:f>ROUND(英雄升级调参!$D$87*英雄升级调参!$J$10*英雄升级调参!$E$23,0)</x:f>
        <x:v>93</x:v>
      </x:c>
      <x:c r="K890" s="12">
        <x:f>ROUND(英雄升级调参!$D$87*英雄升级调参!$C$11*英雄升级调参!$J$10*英雄升级调参!$G$23,0)</x:f>
        <x:v>704</x:v>
      </x:c>
      <x:c r="L890" s="12" t="n">
        <x:f>养成消耗调参!$D$169</x:f>
        <x:v>720</x:v>
      </x:c>
      <x:c r="M890" s="12" t="n">
        <x:f>养成消耗调参!$G$169</x:f>
        <x:v>4500</x:v>
      </x:c>
      <x:c r="N890" s="12" t="n">
        <x:f>养成消耗调参!$I$169</x:f>
        <x:v>0</x:v>
      </x:c>
      <x:c r="O890" s="12" t="n">
        <x:f>养成消耗调参!$K$169</x:f>
        <x:v>7272</x:v>
      </x:c>
      <x:c r="P890" s="12" t="n">
        <x:f>养成消耗调参!$N$169</x:f>
        <x:v>40500</x:v>
      </x:c>
      <x:c r="Q890" s="12" t="n">
        <x:f>养成消耗调参!$P$169</x:f>
        <x:v>160</x:v>
      </x:c>
      <x:c r="R890" s="13">
        <x:f>I890/英雄升级调参!$J$87-1</x:f>
        <x:v>-0.0006246401212837149</x:v>
      </x:c>
      <x:c r="S890" s="6"/>
      <x:c r="T890" s="6"/>
      <x:c r="U890" s="6"/>
    </x:row>
    <x:row r="891" ht="21" customHeight="1">
      <x:c r="A891" s="14" t="n">
        <x:f>英雄升级调参!$B$23</x:f>
        <x:v>310005</x:v>
      </x:c>
      <x:c r="B891" s="14" t="str">
        <x:f>英雄升级调参!$C$23</x:f>
        <x:v>焦焦鸮</x:v>
      </x:c>
      <x:c r="C891" s="6" t="str">
        <x:f>英雄升级调参!$D$23</x:f>
        <x:v>探险家</x:v>
      </x:c>
      <x:c r="D891" s="6" t="s">
        <x:v>22</x:v>
      </x:c>
      <x:c r="E891" s="6">
        <x:v>23</x:v>
      </x:c>
      <x:c r="F891" s="6" t="n">
        <x:f>英雄升级调参!$C$88</x:f>
        <x:v>5</x:v>
      </x:c>
      <x:c r="G891" s="12">
        <x:f t="shared" si="81"/>
        <x:v>2000</x:v>
      </x:c>
      <x:c r="H891" s="12">
        <x:f t="shared" si="82"/>
        <x:v>15084</x:v>
      </x:c>
      <x:c r="I891" s="12">
        <x:f t="shared" si="78"/>
        <x:v>30168000</x:v>
      </x:c>
      <x:c r="J891" s="12">
        <x:f>ROUND(英雄升级调参!$D$88*英雄升级调参!$J$10*英雄升级调参!$E$23,0)</x:f>
        <x:v>93</x:v>
      </x:c>
      <x:c r="K891" s="12">
        <x:f>ROUND(英雄升级调参!$D$88*英雄升级调参!$C$11*英雄升级调参!$J$10*英雄升级调参!$G$23,0)</x:f>
        <x:v>704</x:v>
      </x:c>
      <x:c r="L891" s="12" t="n">
        <x:f>养成消耗调参!$D$170</x:f>
        <x:v>720</x:v>
      </x:c>
      <x:c r="M891" s="12" t="n">
        <x:f>养成消耗调参!$G$170</x:f>
        <x:v>4500</x:v>
      </x:c>
      <x:c r="N891" s="12" t="n">
        <x:f>养成消耗调参!$I$170</x:f>
        <x:v>0</x:v>
      </x:c>
      <x:c r="O891" s="12" t="n">
        <x:f>养成消耗调参!$K$170</x:f>
        <x:v>7992</x:v>
      </x:c>
      <x:c r="P891" s="12" t="n">
        <x:f>养成消耗调参!$N$170</x:f>
        <x:v>45000</x:v>
      </x:c>
      <x:c r="Q891" s="12" t="n">
        <x:f>养成消耗调参!$P$170</x:f>
        <x:v>160</x:v>
      </x:c>
      <x:c r="R891" s="13">
        <x:f>I891/英雄升级调参!$J$88-1</x:f>
        <x:v>-0.000693631508757897</x:v>
      </x:c>
      <x:c r="S891" s="6"/>
      <x:c r="T891" s="6"/>
      <x:c r="U891" s="6"/>
    </x:row>
    <x:row r="892" ht="21" customHeight="1">
      <x:c r="A892" s="14" t="n">
        <x:f>英雄升级调参!$B$23</x:f>
        <x:v>310005</x:v>
      </x:c>
      <x:c r="B892" s="14" t="str">
        <x:f>英雄升级调参!$C$23</x:f>
        <x:v>焦焦鸮</x:v>
      </x:c>
      <x:c r="C892" s="6" t="str">
        <x:f>英雄升级调参!$D$23</x:f>
        <x:v>探险家</x:v>
      </x:c>
      <x:c r="D892" s="6" t="s">
        <x:v>22</x:v>
      </x:c>
      <x:c r="E892" s="6">
        <x:v>24</x:v>
      </x:c>
      <x:c r="F892" s="6" t="n">
        <x:f>英雄升级调参!$C$89</x:f>
        <x:v>5</x:v>
      </x:c>
      <x:c r="G892" s="12">
        <x:f t="shared" si="81"/>
        <x:v>2093</x:v>
      </x:c>
      <x:c r="H892" s="12">
        <x:f t="shared" si="82"/>
        <x:v>15788</x:v>
      </x:c>
      <x:c r="I892" s="12">
        <x:f t="shared" si="78"/>
        <x:v>33044284</x:v>
      </x:c>
      <x:c r="J892" s="12">
        <x:f>ROUND(英雄升级调参!$D$89*英雄升级调参!$J$10*英雄升级调参!$E$23,0)</x:f>
        <x:v>93</x:v>
      </x:c>
      <x:c r="K892" s="12">
        <x:f>ROUND(英雄升级调参!$D$89*英雄升级调参!$C$11*英雄升级调参!$J$10*英雄升级调参!$G$23,0)</x:f>
        <x:v>704</x:v>
      </x:c>
      <x:c r="L892" s="12" t="n">
        <x:f>养成消耗调参!$D$171</x:f>
        <x:v>792</x:v>
      </x:c>
      <x:c r="M892" s="12" t="n">
        <x:f>养成消耗调参!$G$171</x:f>
        <x:v>4500</x:v>
      </x:c>
      <x:c r="N892" s="12" t="n">
        <x:f>养成消耗调参!$I$171</x:f>
        <x:v>0</x:v>
      </x:c>
      <x:c r="O892" s="12" t="n">
        <x:f>养成消耗调参!$K$171</x:f>
        <x:v>8784</x:v>
      </x:c>
      <x:c r="P892" s="12" t="n">
        <x:f>养成消耗调参!$N$171</x:f>
        <x:v>49500</x:v>
      </x:c>
      <x:c r="Q892" s="12" t="n">
        <x:f>养成消耗调参!$P$171</x:f>
        <x:v>160</x:v>
      </x:c>
      <x:c r="R892" s="13">
        <x:f>I892/英雄升级调参!$J$89-1</x:f>
        <x:v>-0.0007564720148294235</x:v>
      </x:c>
      <x:c r="S892" s="6"/>
      <x:c r="T892" s="6"/>
      <x:c r="U892" s="6"/>
    </x:row>
    <x:row r="893" ht="21" customHeight="1">
      <x:c r="A893" s="14" t="n">
        <x:f>英雄升级调参!$B$23</x:f>
        <x:v>310005</x:v>
      </x:c>
      <x:c r="B893" s="14" t="str">
        <x:f>英雄升级调参!$C$23</x:f>
        <x:v>焦焦鸮</x:v>
      </x:c>
      <x:c r="C893" s="6" t="str">
        <x:f>英雄升级调参!$D$23</x:f>
        <x:v>探险家</x:v>
      </x:c>
      <x:c r="D893" s="6" t="s">
        <x:v>22</x:v>
      </x:c>
      <x:c r="E893" s="6">
        <x:v>25</x:v>
      </x:c>
      <x:c r="F893" s="6" t="n">
        <x:f>英雄升级调参!$C$90</x:f>
        <x:v>5</x:v>
      </x:c>
      <x:c r="G893" s="12">
        <x:f t="shared" si="81"/>
        <x:v>2372</x:v>
      </x:c>
      <x:c r="H893" s="12">
        <x:f t="shared" si="82"/>
        <x:v>17900</x:v>
      </x:c>
      <x:c r="I893" s="12">
        <x:f t="shared" si="78"/>
        <x:v>42458800</x:v>
      </x:c>
      <x:c r="J893" s="12">
        <x:f>ROUND(英雄升级调参!$D$90*英雄升级调参!$J$10*英雄升级调参!$E$23,0)*3</x:f>
        <x:v>279</x:v>
      </x:c>
      <x:c r="K893" s="12">
        <x:f>ROUND(英雄升级调参!$D$90*英雄升级调参!$C$11*英雄升级调参!$J$10*英雄升级调参!$G$23,0)*3</x:f>
        <x:v>2112</x:v>
      </x:c>
      <x:c r="L893" s="12" t="n">
        <x:f>养成消耗调参!$D$172</x:f>
        <x:v>792</x:v>
      </x:c>
      <x:c r="M893" s="12" t="n">
        <x:f>养成消耗调参!$G$172</x:f>
        <x:v>4500</x:v>
      </x:c>
      <x:c r="N893" s="12" t="n">
        <x:f>养成消耗调参!$I$172</x:f>
        <x:v>90</x:v>
      </x:c>
      <x:c r="O893" s="12" t="n">
        <x:f>养成消耗调参!$K$172</x:f>
        <x:v>9576</x:v>
      </x:c>
      <x:c r="P893" s="12" t="n">
        <x:f>养成消耗调参!$N$172</x:f>
        <x:v>54000</x:v>
      </x:c>
      <x:c r="Q893" s="12" t="n">
        <x:f>养成消耗调参!$P$172</x:f>
        <x:v>250</x:v>
      </x:c>
      <x:c r="R893" s="13">
        <x:f>I893/英雄升级调参!$J$90-1</x:f>
        <x:v>-0.000915343653891898</x:v>
      </x:c>
      <x:c r="S893" s="6"/>
      <x:c r="T893" s="6"/>
      <x:c r="U893" s="6"/>
    </x:row>
    <x:row r="894" ht="21" customHeight="1">
      <x:c r="A894" s="14" t="n">
        <x:f>英雄升级调参!$B$23</x:f>
        <x:v>310005</x:v>
      </x:c>
      <x:c r="B894" s="14" t="str">
        <x:f>英雄升级调参!$C$23</x:f>
        <x:v>焦焦鸮</x:v>
      </x:c>
      <x:c r="C894" s="6" t="str">
        <x:f>英雄升级调参!$D$23</x:f>
        <x:v>探险家</x:v>
      </x:c>
      <x:c r="D894" s="6" t="s">
        <x:v>22</x:v>
      </x:c>
      <x:c r="E894" s="6">
        <x:v>26</x:v>
      </x:c>
      <x:c r="F894" s="6" t="n">
        <x:f>英雄升级调参!$C$91</x:f>
        <x:v>6</x:v>
      </x:c>
      <x:c r="G894" s="12">
        <x:f t="shared" si="81"/>
        <x:v>2481</x:v>
      </x:c>
      <x:c r="H894" s="12">
        <x:f t="shared" si="82"/>
        <x:v>18722</x:v>
      </x:c>
      <x:c r="I894" s="12">
        <x:f t="shared" si="78"/>
        <x:v>46449282</x:v>
      </x:c>
      <x:c r="J894" s="12">
        <x:f>ROUND(英雄升级调参!$D$91*英雄升级调参!$J$10*英雄升级调参!$E$23,0)</x:f>
        <x:v>109</x:v>
      </x:c>
      <x:c r="K894" s="12">
        <x:f>ROUND(英雄升级调参!$D$91*英雄升级调参!$C$11*英雄升级调参!$J$10*英雄升级调参!$G$23,0)</x:f>
        <x:v>822</x:v>
      </x:c>
      <x:c r="L894" s="12" t="n">
        <x:f>养成消耗调参!$D$173</x:f>
        <x:v>864</x:v>
      </x:c>
      <x:c r="M894" s="12" t="n">
        <x:f>养成消耗调参!$G$173</x:f>
        <x:v>4500</x:v>
      </x:c>
      <x:c r="N894" s="12" t="n">
        <x:f>养成消耗调参!$I$173</x:f>
        <x:v>0</x:v>
      </x:c>
      <x:c r="O894" s="12" t="n">
        <x:f>养成消耗调参!$K$173</x:f>
        <x:v>10440</x:v>
      </x:c>
      <x:c r="P894" s="12" t="n">
        <x:f>养成消耗调参!$N$173</x:f>
        <x:v>58500</x:v>
      </x:c>
      <x:c r="Q894" s="12" t="n">
        <x:f>养成消耗调参!$P$173</x:f>
        <x:v>250</x:v>
      </x:c>
      <x:c r="R894" s="13">
        <x:f>I894/英雄升级调参!$J$91-1</x:f>
        <x:v>-0.0009618015227771393</x:v>
      </x:c>
      <x:c r="S894" s="6"/>
      <x:c r="T894" s="6"/>
      <x:c r="U894" s="6"/>
    </x:row>
    <x:row r="895" ht="21" customHeight="1">
      <x:c r="A895" s="14" t="n">
        <x:f>英雄升级调参!$B$23</x:f>
        <x:v>310005</x:v>
      </x:c>
      <x:c r="B895" s="14" t="str">
        <x:f>英雄升级调参!$C$23</x:f>
        <x:v>焦焦鸮</x:v>
      </x:c>
      <x:c r="C895" s="6" t="str">
        <x:f>英雄升级调参!$D$23</x:f>
        <x:v>探险家</x:v>
      </x:c>
      <x:c r="D895" s="6" t="s">
        <x:v>22</x:v>
      </x:c>
      <x:c r="E895" s="6">
        <x:v>27</x:v>
      </x:c>
      <x:c r="F895" s="6" t="n">
        <x:f>英雄升级调参!$C$92</x:f>
        <x:v>6</x:v>
      </x:c>
      <x:c r="G895" s="12">
        <x:f t="shared" si="81"/>
        <x:v>2590</x:v>
      </x:c>
      <x:c r="H895" s="12">
        <x:f t="shared" si="82"/>
        <x:v>19544</x:v>
      </x:c>
      <x:c r="I895" s="12">
        <x:f t="shared" si="78"/>
        <x:v>50618960</x:v>
      </x:c>
      <x:c r="J895" s="12">
        <x:f>ROUND(英雄升级调参!$D$92*英雄升级调参!$J$10*英雄升级调参!$E$23,0)</x:f>
        <x:v>109</x:v>
      </x:c>
      <x:c r="K895" s="12">
        <x:f>ROUND(英雄升级调参!$D$92*英雄升级调参!$C$11*英雄升级调参!$J$10*英雄升级调参!$G$23,0)</x:f>
        <x:v>822</x:v>
      </x:c>
      <x:c r="L895" s="12" t="n">
        <x:f>养成消耗调参!$D$174</x:f>
        <x:v>864</x:v>
      </x:c>
      <x:c r="M895" s="12" t="n">
        <x:f>养成消耗调参!$G$174</x:f>
        <x:v>5850</x:v>
      </x:c>
      <x:c r="N895" s="12" t="n">
        <x:f>养成消耗调参!$I$174</x:f>
        <x:v>0</x:v>
      </x:c>
      <x:c r="O895" s="12" t="n">
        <x:f>养成消耗调参!$K$174</x:f>
        <x:v>11304</x:v>
      </x:c>
      <x:c r="P895" s="12" t="n">
        <x:f>养成消耗调参!$N$174</x:f>
        <x:v>64350</x:v>
      </x:c>
      <x:c r="Q895" s="12" t="n">
        <x:f>养成消耗调参!$P$174</x:f>
        <x:v>250</x:v>
      </x:c>
      <x:c r="R895" s="13">
        <x:f>I895/英雄升级调参!$J$92-1</x:f>
        <x:v>-0.0010043447928107518</x:v>
      </x:c>
      <x:c r="S895" s="6"/>
      <x:c r="T895" s="6"/>
      <x:c r="U895" s="6"/>
    </x:row>
    <x:row r="896" ht="21" customHeight="1">
      <x:c r="A896" s="14" t="n">
        <x:f>英雄升级调参!$B$23</x:f>
        <x:v>310005</x:v>
      </x:c>
      <x:c r="B896" s="14" t="str">
        <x:f>英雄升级调参!$C$23</x:f>
        <x:v>焦焦鸮</x:v>
      </x:c>
      <x:c r="C896" s="6" t="str">
        <x:f>英雄升级调参!$D$23</x:f>
        <x:v>探险家</x:v>
      </x:c>
      <x:c r="D896" s="6" t="s">
        <x:v>22</x:v>
      </x:c>
      <x:c r="E896" s="6">
        <x:v>28</x:v>
      </x:c>
      <x:c r="F896" s="6" t="n">
        <x:f>英雄升级调参!$C$93</x:f>
        <x:v>6</x:v>
      </x:c>
      <x:c r="G896" s="12">
        <x:f t="shared" si="81"/>
        <x:v>2699</x:v>
      </x:c>
      <x:c r="H896" s="12">
        <x:f t="shared" si="82"/>
        <x:v>20366</x:v>
      </x:c>
      <x:c r="I896" s="12">
        <x:f t="shared" si="78"/>
        <x:v>54967834</x:v>
      </x:c>
      <x:c r="J896" s="12">
        <x:f>ROUND(英雄升级调参!$D$93*英雄升级调参!$J$10*英雄升级调参!$E$23,0)</x:f>
        <x:v>109</x:v>
      </x:c>
      <x:c r="K896" s="12">
        <x:f>ROUND(英雄升级调参!$D$93*英雄升级调参!$C$11*英雄升级调参!$J$10*英雄升级调参!$G$23,0)</x:f>
        <x:v>822</x:v>
      </x:c>
      <x:c r="L896" s="12" t="n">
        <x:f>养成消耗调参!$D$175</x:f>
        <x:v>936</x:v>
      </x:c>
      <x:c r="M896" s="12" t="n">
        <x:f>养成消耗调参!$G$175</x:f>
        <x:v>5850</x:v>
      </x:c>
      <x:c r="N896" s="12" t="n">
        <x:f>养成消耗调参!$I$175</x:f>
        <x:v>0</x:v>
      </x:c>
      <x:c r="O896" s="12" t="n">
        <x:f>养成消耗调参!$K$175</x:f>
        <x:v>12240</x:v>
      </x:c>
      <x:c r="P896" s="12" t="n">
        <x:f>养成消耗调参!$N$175</x:f>
        <x:v>70200</x:v>
      </x:c>
      <x:c r="Q896" s="12" t="n">
        <x:f>养成消耗调参!$P$175</x:f>
        <x:v>250</x:v>
      </x:c>
      <x:c r="R896" s="13">
        <x:f>I896/英雄升级调参!$J$93-1</x:f>
        <x:v>-0.0010434482351283636</x:v>
      </x:c>
      <x:c r="S896" s="6"/>
      <x:c r="T896" s="6"/>
      <x:c r="U896" s="6"/>
    </x:row>
    <x:row r="897" ht="21" customHeight="1">
      <x:c r="A897" s="14" t="n">
        <x:f>英雄升级调参!$B$23</x:f>
        <x:v>310005</x:v>
      </x:c>
      <x:c r="B897" s="14" t="str">
        <x:f>英雄升级调参!$C$23</x:f>
        <x:v>焦焦鸮</x:v>
      </x:c>
      <x:c r="C897" s="6" t="str">
        <x:f>英雄升级调参!$D$23</x:f>
        <x:v>探险家</x:v>
      </x:c>
      <x:c r="D897" s="6" t="s">
        <x:v>22</x:v>
      </x:c>
      <x:c r="E897" s="6">
        <x:v>29</x:v>
      </x:c>
      <x:c r="F897" s="6" t="n">
        <x:f>英雄升级调参!$C$94</x:f>
        <x:v>6</x:v>
      </x:c>
      <x:c r="G897" s="12">
        <x:f t="shared" si="81"/>
        <x:v>2808</x:v>
      </x:c>
      <x:c r="H897" s="12">
        <x:f t="shared" si="82"/>
        <x:v>21188</x:v>
      </x:c>
      <x:c r="I897" s="12">
        <x:f t="shared" si="78"/>
        <x:v>59495904</x:v>
      </x:c>
      <x:c r="J897" s="12">
        <x:f>ROUND(英雄升级调参!$D$94*英雄升级调参!$J$10*英雄升级调参!$E$23,0)</x:f>
        <x:v>109</x:v>
      </x:c>
      <x:c r="K897" s="12">
        <x:f>ROUND(英雄升级调参!$D$94*英雄升级调参!$C$11*英雄升级调参!$J$10*英雄升级调参!$G$23,0)</x:f>
        <x:v>822</x:v>
      </x:c>
      <x:c r="L897" s="12" t="n">
        <x:f>养成消耗调参!$D$176</x:f>
        <x:v>936</x:v>
      </x:c>
      <x:c r="M897" s="12" t="n">
        <x:f>养成消耗调参!$G$176</x:f>
        <x:v>5850</x:v>
      </x:c>
      <x:c r="N897" s="12" t="n">
        <x:f>养成消耗调参!$I$176</x:f>
        <x:v>0</x:v>
      </x:c>
      <x:c r="O897" s="12" t="n">
        <x:f>养成消耗调参!$K$176</x:f>
        <x:v>13176</x:v>
      </x:c>
      <x:c r="P897" s="12" t="n">
        <x:f>养成消耗调参!$N$176</x:f>
        <x:v>76050</x:v>
      </x:c>
      <x:c r="Q897" s="12" t="n">
        <x:f>养成消耗调参!$P$176</x:f>
        <x:v>250</x:v>
      </x:c>
      <x:c r="R897" s="13">
        <x:f>I897/英雄升级调参!$J$94-1</x:f>
        <x:v>-0.0010795128290368439</x:v>
      </x:c>
      <x:c r="S897" s="6"/>
      <x:c r="T897" s="6"/>
      <x:c r="U897" s="6"/>
    </x:row>
    <x:row r="898" ht="21" customHeight="1">
      <x:c r="A898" s="14" t="n">
        <x:f>英雄升级调参!$B$23</x:f>
        <x:v>310005</x:v>
      </x:c>
      <x:c r="B898" s="14" t="str">
        <x:f>英雄升级调参!$C$23</x:f>
        <x:v>焦焦鸮</x:v>
      </x:c>
      <x:c r="C898" s="6" t="str">
        <x:f>英雄升级调参!$D$23</x:f>
        <x:v>探险家</x:v>
      </x:c>
      <x:c r="D898" s="6" t="s">
        <x:v>22</x:v>
      </x:c>
      <x:c r="E898" s="6">
        <x:v>30</x:v>
      </x:c>
      <x:c r="F898" s="6" t="n">
        <x:f>英雄升级调参!$C$95</x:f>
        <x:v>6</x:v>
      </x:c>
      <x:c r="G898" s="12">
        <x:f t="shared" si="81"/>
        <x:v>3135</x:v>
      </x:c>
      <x:c r="H898" s="12">
        <x:f t="shared" si="82"/>
        <x:v>23654</x:v>
      </x:c>
      <x:c r="I898" s="12">
        <x:f t="shared" si="78"/>
        <x:v>74155290</x:v>
      </x:c>
      <x:c r="J898" s="12">
        <x:f>ROUND(英雄升级调参!$D$95*英雄升级调参!$J$10*英雄升级调参!$E$23,0)*3</x:f>
        <x:v>327</x:v>
      </x:c>
      <x:c r="K898" s="12">
        <x:f>ROUND(英雄升级调参!$D$95*英雄升级调参!$C$11*英雄升级调参!$J$10*英雄升级调参!$G$23,0)*3</x:f>
        <x:v>2466</x:v>
      </x:c>
      <x:c r="L898" s="12" t="n">
        <x:f>养成消耗调参!$D$177</x:f>
        <x:v>1008</x:v>
      </x:c>
      <x:c r="M898" s="12" t="n">
        <x:f>养成消耗调参!$G$177</x:f>
        <x:v>5850</x:v>
      </x:c>
      <x:c r="N898" s="12" t="n">
        <x:f>养成消耗调参!$I$177</x:f>
        <x:v>110</x:v>
      </x:c>
      <x:c r="O898" s="12" t="n">
        <x:f>养成消耗调参!$K$177</x:f>
        <x:v>14184</x:v>
      </x:c>
      <x:c r="P898" s="12" t="n">
        <x:f>养成消耗调参!$N$177</x:f>
        <x:v>81900</x:v>
      </x:c>
      <x:c r="Q898" s="12" t="n">
        <x:f>养成消耗调参!$P$177</x:f>
        <x:v>360</x:v>
      </x:c>
      <x:c r="R898" s="13">
        <x:f>I898/英雄升级调参!$J$95-1</x:f>
        <x:v>-0.0011726460706052988</x:v>
      </x:c>
      <x:c r="S898" s="6"/>
      <x:c r="T898" s="6"/>
      <x:c r="U898" s="6"/>
    </x:row>
    <x:row r="899" ht="21" customHeight="1">
      <x:c r="A899" s="14" t="n">
        <x:f>英雄升级调参!$B$23</x:f>
        <x:v>310005</x:v>
      </x:c>
      <x:c r="B899" s="14" t="str">
        <x:f>英雄升级调参!$C$23</x:f>
        <x:v>焦焦鸮</x:v>
      </x:c>
      <x:c r="C899" s="6" t="str">
        <x:f>英雄升级调参!$D$23</x:f>
        <x:v>探险家</x:v>
      </x:c>
      <x:c r="D899" s="6" t="s">
        <x:v>22</x:v>
      </x:c>
      <x:c r="E899" s="6">
        <x:v>31</x:v>
      </x:c>
      <x:c r="F899" s="6" t="n">
        <x:f>英雄升级调参!$C$96</x:f>
        <x:v>7</x:v>
      </x:c>
      <x:c r="G899" s="12">
        <x:f t="shared" si="81"/>
        <x:v>3259</x:v>
      </x:c>
      <x:c r="H899" s="12">
        <x:f t="shared" si="82"/>
        <x:v>24593</x:v>
      </x:c>
      <x:c r="I899" s="12">
        <x:f t="shared" si="78"/>
        <x:v>80148587</x:v>
      </x:c>
      <x:c r="J899" s="12">
        <x:f>ROUND(英雄升级调参!$D$96*英雄升级调参!$J$10*英雄升级调参!$E$23,0)</x:f>
        <x:v>124</x:v>
      </x:c>
      <x:c r="K899" s="12">
        <x:f>ROUND(英雄升级调参!$D$96*英雄升级调参!$C$11*英雄升级调参!$J$10*英雄升级调参!$G$23,0)</x:f>
        <x:v>939</x:v>
      </x:c>
      <x:c r="L899" s="12" t="n">
        <x:f>养成消耗调参!$D$178</x:f>
        <x:v>1008</x:v>
      </x:c>
      <x:c r="M899" s="12" t="n">
        <x:f>养成消耗调参!$G$178</x:f>
        <x:v>5850</x:v>
      </x:c>
      <x:c r="N899" s="12" t="n">
        <x:f>养成消耗调参!$I$178</x:f>
        <x:v>0</x:v>
      </x:c>
      <x:c r="O899" s="12" t="n">
        <x:f>养成消耗调参!$K$178</x:f>
        <x:v>15192</x:v>
      </x:c>
      <x:c r="P899" s="12" t="n">
        <x:f>养成消耗调参!$N$178</x:f>
        <x:v>87750</x:v>
      </x:c>
      <x:c r="Q899" s="12" t="n">
        <x:f>养成消耗调参!$P$178</x:f>
        <x:v>360</x:v>
      </x:c>
      <x:c r="R899" s="13">
        <x:f>I899/英雄升级调参!$J$96-1</x:f>
        <x:v>-0.001194637136898602</x:v>
      </x:c>
      <x:c r="S899" s="6"/>
      <x:c r="T899" s="6"/>
      <x:c r="U899" s="6"/>
    </x:row>
    <x:row r="900" ht="21" customHeight="1">
      <x:c r="A900" s="14" t="n">
        <x:f>英雄升级调参!$B$23</x:f>
        <x:v>310005</x:v>
      </x:c>
      <x:c r="B900" s="14" t="str">
        <x:f>英雄升级调参!$C$23</x:f>
        <x:v>焦焦鸮</x:v>
      </x:c>
      <x:c r="C900" s="6" t="str">
        <x:f>英雄升级调参!$D$23</x:f>
        <x:v>探险家</x:v>
      </x:c>
      <x:c r="D900" s="6" t="s">
        <x:v>22</x:v>
      </x:c>
      <x:c r="E900" s="6">
        <x:v>32</x:v>
      </x:c>
      <x:c r="F900" s="6" t="n">
        <x:f>英雄升级调参!$C$97</x:f>
        <x:v>7</x:v>
      </x:c>
      <x:c r="G900" s="12">
        <x:f t="shared" si="81"/>
        <x:v>3383</x:v>
      </x:c>
      <x:c r="H900" s="12">
        <x:f t="shared" si="82"/>
        <x:v>25532</x:v>
      </x:c>
      <x:c r="I900" s="12">
        <x:f t="shared" si="78"/>
        <x:v>86374756</x:v>
      </x:c>
      <x:c r="J900" s="12">
        <x:f>ROUND(英雄升级调参!$D$97*英雄升级调参!$J$10*英雄升级调参!$E$23,0)</x:f>
        <x:v>124</x:v>
      </x:c>
      <x:c r="K900" s="12">
        <x:f>ROUND(英雄升级调参!$D$97*英雄升级调参!$C$11*英雄升级调参!$J$10*英雄升级调参!$G$23,0)</x:f>
        <x:v>939</x:v>
      </x:c>
      <x:c r="L900" s="12" t="n">
        <x:f>养成消耗调参!$D$179</x:f>
        <x:v>1080</x:v>
      </x:c>
      <x:c r="M900" s="12" t="n">
        <x:f>养成消耗调参!$G$179</x:f>
        <x:v>7200</x:v>
      </x:c>
      <x:c r="N900" s="12" t="n">
        <x:f>养成消耗调参!$I$179</x:f>
        <x:v>0</x:v>
      </x:c>
      <x:c r="O900" s="12" t="n">
        <x:f>养成消耗调参!$K$179</x:f>
        <x:v>16272</x:v>
      </x:c>
      <x:c r="P900" s="12" t="n">
        <x:f>养成消耗调参!$N$179</x:f>
        <x:v>94950</x:v>
      </x:c>
      <x:c r="Q900" s="12" t="n">
        <x:f>养成消耗调参!$P$179</x:f>
        <x:v>360</x:v>
      </x:c>
      <x:c r="R900" s="13">
        <x:f>I900/英雄升级调参!$J$97-1</x:f>
        <x:v>-0.0012150116391301813</x:v>
      </x:c>
      <x:c r="S900" s="6"/>
      <x:c r="T900" s="6"/>
      <x:c r="U900" s="6"/>
    </x:row>
    <x:row r="901" ht="21" customHeight="1">
      <x:c r="A901" s="14" t="n">
        <x:f>英雄升级调参!$B$23</x:f>
        <x:v>310005</x:v>
      </x:c>
      <x:c r="B901" s="14" t="str">
        <x:f>英雄升级调参!$C$23</x:f>
        <x:v>焦焦鸮</x:v>
      </x:c>
      <x:c r="C901" s="6" t="str">
        <x:f>英雄升级调参!$D$23</x:f>
        <x:v>探险家</x:v>
      </x:c>
      <x:c r="D901" s="6" t="s">
        <x:v>22</x:v>
      </x:c>
      <x:c r="E901" s="6">
        <x:v>33</x:v>
      </x:c>
      <x:c r="F901" s="6" t="n">
        <x:f>英雄升级调参!$C$98</x:f>
        <x:v>7</x:v>
      </x:c>
      <x:c r="G901" s="12">
        <x:f t="shared" si="81"/>
        <x:v>3507</x:v>
      </x:c>
      <x:c r="H901" s="12">
        <x:f t="shared" si="82"/>
        <x:v>26471</x:v>
      </x:c>
      <x:c r="I901" s="12">
        <x:f t="shared" ref="I901:I964" si="83">G901*H901</x:f>
        <x:v>92833797</x:v>
      </x:c>
      <x:c r="J901" s="12">
        <x:f>ROUND(英雄升级调参!$D$98*英雄升级调参!$J$10*英雄升级调参!$E$23,0)</x:f>
        <x:v>124</x:v>
      </x:c>
      <x:c r="K901" s="12">
        <x:f>ROUND(英雄升级调参!$D$98*英雄升级调参!$C$11*英雄升级调参!$J$10*英雄升级调参!$G$23,0)</x:f>
        <x:v>939</x:v>
      </x:c>
      <x:c r="L901" s="12" t="n">
        <x:f>养成消耗调参!$D$180</x:f>
        <x:v>1080</x:v>
      </x:c>
      <x:c r="M901" s="12" t="n">
        <x:f>养成消耗调参!$G$180</x:f>
        <x:v>7200</x:v>
      </x:c>
      <x:c r="N901" s="12" t="n">
        <x:f>养成消耗调参!$I$180</x:f>
        <x:v>0</x:v>
      </x:c>
      <x:c r="O901" s="12" t="n">
        <x:f>养成消耗调参!$K$180</x:f>
        <x:v>17352</x:v>
      </x:c>
      <x:c r="P901" s="12" t="n">
        <x:f>养成消耗调参!$N$180</x:f>
        <x:v>102150</x:v>
      </x:c>
      <x:c r="Q901" s="12" t="n">
        <x:f>养成消耗调参!$P$180</x:f>
        <x:v>360</x:v>
      </x:c>
      <x:c r="R901" s="13">
        <x:f>I901/英雄升级调参!$J$98-1</x:f>
        <x:v>-0.0012339415088937766</x:v>
      </x:c>
      <x:c r="S901" s="6"/>
      <x:c r="T901" s="6"/>
      <x:c r="U901" s="6"/>
    </x:row>
    <x:row r="902" ht="21" customHeight="1">
      <x:c r="A902" s="14" t="n">
        <x:f>英雄升级调参!$B$23</x:f>
        <x:v>310005</x:v>
      </x:c>
      <x:c r="B902" s="14" t="str">
        <x:f>英雄升级调参!$C$23</x:f>
        <x:v>焦焦鸮</x:v>
      </x:c>
      <x:c r="C902" s="6" t="str">
        <x:f>英雄升级调参!$D$23</x:f>
        <x:v>探险家</x:v>
      </x:c>
      <x:c r="D902" s="6" t="s">
        <x:v>22</x:v>
      </x:c>
      <x:c r="E902" s="6">
        <x:v>34</x:v>
      </x:c>
      <x:c r="F902" s="6" t="n">
        <x:f>英雄升级调参!$C$99</x:f>
        <x:v>7</x:v>
      </x:c>
      <x:c r="G902" s="12">
        <x:f t="shared" ref="G902:G918" si="84">G901+J902</x:f>
        <x:v>3631</x:v>
      </x:c>
      <x:c r="H902" s="12">
        <x:f t="shared" ref="H902:H918" si="85">H901+K902</x:f>
        <x:v>27410</x:v>
      </x:c>
      <x:c r="I902" s="12">
        <x:f t="shared" si="83"/>
        <x:v>99525710</x:v>
      </x:c>
      <x:c r="J902" s="12">
        <x:f>ROUND(英雄升级调参!$D$99*英雄升级调参!$J$10*英雄升级调参!$E$23,0)</x:f>
        <x:v>124</x:v>
      </x:c>
      <x:c r="K902" s="12">
        <x:f>ROUND(英雄升级调参!$D$99*英雄升级调参!$C$11*英雄升级调参!$J$10*英雄升级调参!$G$23,0)</x:f>
        <x:v>939</x:v>
      </x:c>
      <x:c r="L902" s="12" t="n">
        <x:f>养成消耗调参!$D$181</x:f>
        <x:v>1152</x:v>
      </x:c>
      <x:c r="M902" s="12" t="n">
        <x:f>养成消耗调参!$G$181</x:f>
        <x:v>7200</x:v>
      </x:c>
      <x:c r="N902" s="12" t="n">
        <x:f>养成消耗调参!$I$181</x:f>
        <x:v>0</x:v>
      </x:c>
      <x:c r="O902" s="12" t="n">
        <x:f>养成消耗调参!$K$181</x:f>
        <x:v>18504</x:v>
      </x:c>
      <x:c r="P902" s="12" t="n">
        <x:f>养成消耗调参!$N$181</x:f>
        <x:v>109350</x:v>
      </x:c>
      <x:c r="Q902" s="12" t="n">
        <x:f>养成消耗调参!$P$181</x:f>
        <x:v>360</x:v>
      </x:c>
      <x:c r="R902" s="13">
        <x:f>I902/英雄升级调参!$J$99-1</x:f>
        <x:v>-0.0012515751311861223</x:v>
      </x:c>
      <x:c r="S902" s="6"/>
      <x:c r="T902" s="6"/>
      <x:c r="U902" s="6"/>
    </x:row>
    <x:row r="903" ht="21" customHeight="1">
      <x:c r="A903" s="14" t="n">
        <x:f>英雄升级调参!$B$23</x:f>
        <x:v>310005</x:v>
      </x:c>
      <x:c r="B903" s="14" t="str">
        <x:f>英雄升级调参!$C$23</x:f>
        <x:v>焦焦鸮</x:v>
      </x:c>
      <x:c r="C903" s="6" t="str">
        <x:f>英雄升级调参!$D$23</x:f>
        <x:v>探险家</x:v>
      </x:c>
      <x:c r="D903" s="6" t="s">
        <x:v>22</x:v>
      </x:c>
      <x:c r="E903" s="6">
        <x:v>35</x:v>
      </x:c>
      <x:c r="F903" s="6" t="n">
        <x:f>英雄升级调参!$C$100</x:f>
        <x:v>7</x:v>
      </x:c>
      <x:c r="G903" s="12">
        <x:f t="shared" si="84"/>
        <x:v>4003</x:v>
      </x:c>
      <x:c r="H903" s="12">
        <x:f t="shared" si="85"/>
        <x:v>30227</x:v>
      </x:c>
      <x:c r="I903" s="12">
        <x:f t="shared" si="83"/>
        <x:v>120998681</x:v>
      </x:c>
      <x:c r="J903" s="12">
        <x:f>ROUND(英雄升级调参!$D$100*英雄升级调参!$J$10*英雄升级调参!$E$23,0)*3</x:f>
        <x:v>372</x:v>
      </x:c>
      <x:c r="K903" s="12">
        <x:f>ROUND(英雄升级调参!$D$100*英雄升级调参!$C$11*英雄升级调参!$J$10*英雄升级调参!$G$23,0)*3</x:f>
        <x:v>2817</x:v>
      </x:c>
      <x:c r="L903" s="12" t="n">
        <x:f>养成消耗调参!$D$182</x:f>
        <x:v>1152</x:v>
      </x:c>
      <x:c r="M903" s="12" t="n">
        <x:f>养成消耗调参!$G$182</x:f>
        <x:v>7200</x:v>
      </x:c>
      <x:c r="N903" s="12" t="n">
        <x:f>养成消耗调参!$I$182</x:f>
        <x:v>130</x:v>
      </x:c>
      <x:c r="O903" s="12" t="n">
        <x:f>养成消耗调参!$K$182</x:f>
        <x:v>19656</x:v>
      </x:c>
      <x:c r="P903" s="12" t="n">
        <x:f>养成消耗调参!$N$182</x:f>
        <x:v>116550</x:v>
      </x:c>
      <x:c r="Q903" s="12" t="n">
        <x:f>养成消耗调参!$P$182</x:f>
        <x:v>490</x:v>
      </x:c>
      <x:c r="R903" s="13">
        <x:f>I903/英雄升级调参!$J$100-1</x:f>
        <x:v>-0.0012979059299862428</x:v>
      </x:c>
      <x:c r="S903" s="6"/>
      <x:c r="T903" s="6"/>
      <x:c r="U903" s="6"/>
    </x:row>
    <x:row r="904" ht="21" customHeight="1">
      <x:c r="A904" s="14" t="n">
        <x:f>英雄升级调参!$B$23</x:f>
        <x:v>310005</x:v>
      </x:c>
      <x:c r="B904" s="14" t="str">
        <x:f>英雄升级调参!$C$23</x:f>
        <x:v>焦焦鸮</x:v>
      </x:c>
      <x:c r="C904" s="6" t="str">
        <x:f>英雄升级调参!$D$23</x:f>
        <x:v>探险家</x:v>
      </x:c>
      <x:c r="D904" s="6" t="s">
        <x:v>22</x:v>
      </x:c>
      <x:c r="E904" s="6">
        <x:v>36</x:v>
      </x:c>
      <x:c r="F904" s="6" t="n">
        <x:f>英雄升级调参!$C$101</x:f>
        <x:v>8</x:v>
      </x:c>
      <x:c r="G904" s="12">
        <x:f t="shared" si="84"/>
        <x:v>4143</x:v>
      </x:c>
      <x:c r="H904" s="12">
        <x:f t="shared" si="85"/>
        <x:v>31284</x:v>
      </x:c>
      <x:c r="I904" s="12">
        <x:f t="shared" si="83"/>
        <x:v>129609612</x:v>
      </x:c>
      <x:c r="J904" s="12">
        <x:f>ROUND(英雄升级调参!$D$101*英雄升级调参!$J$10*英雄升级调参!$E$23,0)</x:f>
        <x:v>140</x:v>
      </x:c>
      <x:c r="K904" s="12">
        <x:f>ROUND(英雄升级调参!$D$101*英雄升级调参!$C$11*英雄升级调参!$J$10*英雄升级调参!$G$23,0)</x:f>
        <x:v>1057</x:v>
      </x:c>
      <x:c r="L904" s="12" t="n">
        <x:f>养成消耗调参!$D$183</x:f>
        <x:v>1224</x:v>
      </x:c>
      <x:c r="M904" s="12" t="n">
        <x:f>养成消耗调参!$G$183</x:f>
        <x:v>7200</x:v>
      </x:c>
      <x:c r="N904" s="12" t="n">
        <x:f>养成消耗调参!$I$183</x:f>
        <x:v>0</x:v>
      </x:c>
      <x:c r="O904" s="12" t="n">
        <x:f>养成消耗调参!$K$183</x:f>
        <x:v>20880</x:v>
      </x:c>
      <x:c r="P904" s="12" t="n">
        <x:f>养成消耗调参!$N$183</x:f>
        <x:v>123750</x:v>
      </x:c>
      <x:c r="Q904" s="12" t="n">
        <x:f>养成消耗调参!$P$183</x:f>
        <x:v>490</x:v>
      </x:c>
      <x:c r="R904" s="13">
        <x:f>I904/英雄升级调参!$J$101-1</x:f>
        <x:v>-0.0013110518928375337</x:v>
      </x:c>
      <x:c r="S904" s="6"/>
      <x:c r="T904" s="6"/>
      <x:c r="U904" s="6"/>
    </x:row>
    <x:row r="905" ht="21" customHeight="1">
      <x:c r="A905" s="14" t="n">
        <x:f>英雄升级调参!$B$23</x:f>
        <x:v>310005</x:v>
      </x:c>
      <x:c r="B905" s="14" t="str">
        <x:f>英雄升级调参!$C$23</x:f>
        <x:v>焦焦鸮</x:v>
      </x:c>
      <x:c r="C905" s="6" t="str">
        <x:f>英雄升级调参!$D$23</x:f>
        <x:v>探险家</x:v>
      </x:c>
      <x:c r="D905" s="6" t="s">
        <x:v>22</x:v>
      </x:c>
      <x:c r="E905" s="6">
        <x:v>37</x:v>
      </x:c>
      <x:c r="F905" s="6" t="n">
        <x:f>英雄升级调参!$C$102</x:f>
        <x:v>8</x:v>
      </x:c>
      <x:c r="G905" s="12">
        <x:f t="shared" si="84"/>
        <x:v>4283</x:v>
      </x:c>
      <x:c r="H905" s="12">
        <x:f t="shared" si="85"/>
        <x:v>32341</x:v>
      </x:c>
      <x:c r="I905" s="12">
        <x:f t="shared" si="83"/>
        <x:v>138516503</x:v>
      </x:c>
      <x:c r="J905" s="12">
        <x:f>ROUND(英雄升级调参!$D$102*英雄升级调参!$J$10*英雄升级调参!$E$23,0)</x:f>
        <x:v>140</x:v>
      </x:c>
      <x:c r="K905" s="12">
        <x:f>ROUND(英雄升级调参!$D$102*英雄升级调参!$C$11*英雄升级调参!$J$10*英雄升级调参!$G$23,0)</x:f>
        <x:v>1057</x:v>
      </x:c>
      <x:c r="L905" s="12" t="n">
        <x:f>养成消耗调参!$D$184</x:f>
        <x:v>1224</x:v>
      </x:c>
      <x:c r="M905" s="12" t="n">
        <x:f>养成消耗调参!$G$184</x:f>
        <x:v>8550</x:v>
      </x:c>
      <x:c r="N905" s="12" t="n">
        <x:f>养成消耗调参!$I$184</x:f>
        <x:v>0</x:v>
      </x:c>
      <x:c r="O905" s="12" t="n">
        <x:f>养成消耗调参!$K$184</x:f>
        <x:v>22104</x:v>
      </x:c>
      <x:c r="P905" s="12" t="n">
        <x:f>养成消耗调参!$N$184</x:f>
        <x:v>132300</x:v>
      </x:c>
      <x:c r="Q905" s="12" t="n">
        <x:f>养成消耗调参!$P$184</x:f>
        <x:v>490</x:v>
      </x:c>
      <x:c r="R905" s="13">
        <x:f>I905/英雄升级调参!$J$102-1</x:f>
        <x:v>-0.00132333766281989</x:v>
      </x:c>
      <x:c r="S905" s="6"/>
      <x:c r="T905" s="6"/>
      <x:c r="U905" s="6"/>
    </x:row>
    <x:row r="906" ht="21" customHeight="1">
      <x:c r="A906" s="14" t="n">
        <x:f>英雄升级调参!$B$23</x:f>
        <x:v>310005</x:v>
      </x:c>
      <x:c r="B906" s="14" t="str">
        <x:f>英雄升级调参!$C$23</x:f>
        <x:v>焦焦鸮</x:v>
      </x:c>
      <x:c r="C906" s="6" t="str">
        <x:f>英雄升级调参!$D$23</x:f>
        <x:v>探险家</x:v>
      </x:c>
      <x:c r="D906" s="6" t="s">
        <x:v>22</x:v>
      </x:c>
      <x:c r="E906" s="6">
        <x:v>38</x:v>
      </x:c>
      <x:c r="F906" s="6" t="n">
        <x:f>英雄升级调参!$C$103</x:f>
        <x:v>8</x:v>
      </x:c>
      <x:c r="G906" s="12">
        <x:f t="shared" si="84"/>
        <x:v>4423</x:v>
      </x:c>
      <x:c r="H906" s="12">
        <x:f t="shared" si="85"/>
        <x:v>33398</x:v>
      </x:c>
      <x:c r="I906" s="12">
        <x:f t="shared" si="83"/>
        <x:v>147719354</x:v>
      </x:c>
      <x:c r="J906" s="12">
        <x:f>ROUND(英雄升级调参!$D$103*英雄升级调参!$J$10*英雄升级调参!$E$23,0)</x:f>
        <x:v>140</x:v>
      </x:c>
      <x:c r="K906" s="12">
        <x:f>ROUND(英雄升级调参!$D$103*英雄升级调参!$C$11*英雄升级调参!$J$10*英雄升级调参!$G$23,0)</x:f>
        <x:v>1057</x:v>
      </x:c>
      <x:c r="L906" s="12" t="n">
        <x:f>养成消耗调参!$D$185</x:f>
        <x:v>1296</x:v>
      </x:c>
      <x:c r="M906" s="12" t="n">
        <x:f>养成消耗调参!$G$185</x:f>
        <x:v>8550</x:v>
      </x:c>
      <x:c r="N906" s="12" t="n">
        <x:f>养成消耗调参!$I$185</x:f>
        <x:v>0</x:v>
      </x:c>
      <x:c r="O906" s="12" t="n">
        <x:f>养成消耗调参!$K$185</x:f>
        <x:v>23400</x:v>
      </x:c>
      <x:c r="P906" s="12" t="n">
        <x:f>养成消耗调参!$N$185</x:f>
        <x:v>140850</x:v>
      </x:c>
      <x:c r="Q906" s="12" t="n">
        <x:f>养成消耗调参!$P$185</x:f>
        <x:v>490</x:v>
      </x:c>
      <x:c r="R906" s="13">
        <x:f>I906/英雄升级调参!$J$103-1</x:f>
        <x:v>-0.001334844993942541</x:v>
      </x:c>
      <x:c r="S906" s="6"/>
      <x:c r="T906" s="6"/>
      <x:c r="U906" s="6"/>
    </x:row>
    <x:row r="907" ht="21" customHeight="1">
      <x:c r="A907" s="14" t="n">
        <x:f>英雄升级调参!$B$23</x:f>
        <x:v>310005</x:v>
      </x:c>
      <x:c r="B907" s="14" t="str">
        <x:f>英雄升级调参!$C$23</x:f>
        <x:v>焦焦鸮</x:v>
      </x:c>
      <x:c r="C907" s="6" t="str">
        <x:f>英雄升级调参!$D$23</x:f>
        <x:v>探险家</x:v>
      </x:c>
      <x:c r="D907" s="6" t="s">
        <x:v>22</x:v>
      </x:c>
      <x:c r="E907" s="6">
        <x:v>39</x:v>
      </x:c>
      <x:c r="F907" s="6" t="n">
        <x:f>英雄升级调参!$C$104</x:f>
        <x:v>8</x:v>
      </x:c>
      <x:c r="G907" s="12">
        <x:f t="shared" si="84"/>
        <x:v>4563</x:v>
      </x:c>
      <x:c r="H907" s="12">
        <x:f t="shared" si="85"/>
        <x:v>34455</x:v>
      </x:c>
      <x:c r="I907" s="12">
        <x:f t="shared" si="83"/>
        <x:v>157218165</x:v>
      </x:c>
      <x:c r="J907" s="12">
        <x:f>ROUND(英雄升级调参!$D$104*英雄升级调参!$J$10*英雄升级调参!$E$23,0)</x:f>
        <x:v>140</x:v>
      </x:c>
      <x:c r="K907" s="12">
        <x:f>ROUND(英雄升级调参!$D$104*英雄升级调参!$C$11*英雄升级调参!$J$10*英雄升级调参!$G$23,0)</x:f>
        <x:v>1057</x:v>
      </x:c>
      <x:c r="L907" s="12" t="n">
        <x:f>养成消耗调参!$D$186</x:f>
        <x:v>1296</x:v>
      </x:c>
      <x:c r="M907" s="12" t="n">
        <x:f>养成消耗调参!$G$186</x:f>
        <x:v>8550</x:v>
      </x:c>
      <x:c r="N907" s="12" t="n">
        <x:f>养成消耗调参!$I$186</x:f>
        <x:v>0</x:v>
      </x:c>
      <x:c r="O907" s="12" t="n">
        <x:f>养成消耗调参!$K$186</x:f>
        <x:v>24696</x:v>
      </x:c>
      <x:c r="P907" s="12" t="n">
        <x:f>养成消耗调参!$N$186</x:f>
        <x:v>149400</x:v>
      </x:c>
      <x:c r="Q907" s="12" t="n">
        <x:f>养成消耗调参!$P$186</x:f>
        <x:v>490</x:v>
      </x:c>
      <x:c r="R907" s="13">
        <x:f>I907/英雄升级调参!$J$104-1</x:f>
        <x:v>-0.0013456455983201776</x:v>
      </x:c>
      <x:c r="S907" s="6"/>
      <x:c r="T907" s="6"/>
      <x:c r="U907" s="6"/>
    </x:row>
    <x:row r="908" ht="21" customHeight="1">
      <x:c r="A908" s="14" t="n">
        <x:f>英雄升级调参!$B$23</x:f>
        <x:v>310005</x:v>
      </x:c>
      <x:c r="B908" s="14" t="str">
        <x:f>英雄升级调参!$C$23</x:f>
        <x:v>焦焦鸮</x:v>
      </x:c>
      <x:c r="C908" s="6" t="str">
        <x:f>英雄升级调参!$D$23</x:f>
        <x:v>探险家</x:v>
      </x:c>
      <x:c r="D908" s="6" t="s">
        <x:v>22</x:v>
      </x:c>
      <x:c r="E908" s="6">
        <x:v>40</x:v>
      </x:c>
      <x:c r="F908" s="6" t="n">
        <x:f>英雄升级调参!$C$105</x:f>
        <x:v>8</x:v>
      </x:c>
      <x:c r="G908" s="12">
        <x:f t="shared" si="84"/>
        <x:v>4983</x:v>
      </x:c>
      <x:c r="H908" s="12">
        <x:f t="shared" si="85"/>
        <x:v>37626</x:v>
      </x:c>
      <x:c r="I908" s="12">
        <x:f t="shared" si="83"/>
        <x:v>187490358</x:v>
      </x:c>
      <x:c r="J908" s="12">
        <x:f>ROUND(英雄升级调参!$D$105*英雄升级调参!$J$10*英雄升级调参!$E$23,0)*3</x:f>
        <x:v>420</x:v>
      </x:c>
      <x:c r="K908" s="12">
        <x:f>ROUND(英雄升级调参!$D$105*英雄升级调参!$C$11*英雄升级调参!$J$10*英雄升级调参!$G$23,0)*3</x:f>
        <x:v>3171</x:v>
      </x:c>
      <x:c r="L908" s="12" t="n">
        <x:f>养成消耗调参!$D$187</x:f>
        <x:v>1368</x:v>
      </x:c>
      <x:c r="M908" s="12" t="n">
        <x:f>养成消耗调参!$G$187</x:f>
        <x:v>8550</x:v>
      </x:c>
      <x:c r="N908" s="12" t="n">
        <x:f>养成消耗调参!$I$187</x:f>
        <x:v>150</x:v>
      </x:c>
      <x:c r="O908" s="12" t="n">
        <x:f>养成消耗调参!$K$187</x:f>
        <x:v>26064</x:v>
      </x:c>
      <x:c r="P908" s="12" t="n">
        <x:f>养成消耗调参!$N$187</x:f>
        <x:v>157950</x:v>
      </x:c>
      <x:c r="Q908" s="12" t="n">
        <x:f>养成消耗调参!$P$187</x:f>
        <x:v>640</x:v>
      </x:c>
      <x:c r="R908" s="13">
        <x:f>I908/英雄升级调参!$J$105-1</x:f>
        <x:v>-0.001374403190653073</x:v>
      </x:c>
      <x:c r="S908" s="6"/>
      <x:c r="T908" s="6"/>
      <x:c r="U908" s="6"/>
    </x:row>
    <x:row r="909" ht="21" customHeight="1">
      <x:c r="A909" s="14" t="n">
        <x:f>英雄升级调参!$B$23</x:f>
        <x:v>310005</x:v>
      </x:c>
      <x:c r="B909" s="14" t="str">
        <x:f>英雄升级调参!$C$23</x:f>
        <x:v>焦焦鸮</x:v>
      </x:c>
      <x:c r="C909" s="6" t="str">
        <x:f>英雄升级调参!$D$23</x:f>
        <x:v>探险家</x:v>
      </x:c>
      <x:c r="D909" s="6" t="s">
        <x:v>22</x:v>
      </x:c>
      <x:c r="E909" s="6">
        <x:v>41</x:v>
      </x:c>
      <x:c r="F909" s="6" t="n">
        <x:f>英雄升级调参!$C$106</x:f>
        <x:v>9</x:v>
      </x:c>
      <x:c r="G909" s="12">
        <x:f t="shared" si="84"/>
        <x:v>5138</x:v>
      </x:c>
      <x:c r="H909" s="12">
        <x:f t="shared" si="85"/>
        <x:v>38800</x:v>
      </x:c>
      <x:c r="I909" s="12">
        <x:f t="shared" si="83"/>
        <x:v>199354400</x:v>
      </x:c>
      <x:c r="J909" s="12">
        <x:f>ROUND(英雄升级调参!$D$106*英雄升级调参!$J$10*英雄升级调参!$E$23,0)</x:f>
        <x:v>155</x:v>
      </x:c>
      <x:c r="K909" s="12">
        <x:f>ROUND(英雄升级调参!$D$106*英雄升级调参!$C$11*英雄升级调参!$J$10*英雄升级调参!$G$23,0)</x:f>
        <x:v>1174</x:v>
      </x:c>
      <x:c r="L909" s="12" t="n">
        <x:f>养成消耗调参!$D$188</x:f>
        <x:v>1368</x:v>
      </x:c>
      <x:c r="M909" s="12" t="n">
        <x:f>养成消耗调参!$G$188</x:f>
        <x:v>8550</x:v>
      </x:c>
      <x:c r="N909" s="12" t="n">
        <x:f>养成消耗调参!$I$188</x:f>
        <x:v>0</x:v>
      </x:c>
      <x:c r="O909" s="12" t="n">
        <x:f>养成消耗调参!$K$188</x:f>
        <x:v>27432</x:v>
      </x:c>
      <x:c r="P909" s="12" t="n">
        <x:f>养成消耗调参!$N$188</x:f>
        <x:v>166500</x:v>
      </x:c>
      <x:c r="Q909" s="12" t="n">
        <x:f>养成消耗调参!$P$188</x:f>
        <x:v>640</x:v>
      </x:c>
      <x:c r="R909" s="13">
        <x:f>I909/英雄升级调参!$J$106-1</x:f>
        <x:v>-0.0013793034354849798</x:v>
      </x:c>
      <x:c r="S909" s="6"/>
      <x:c r="T909" s="6"/>
      <x:c r="U909" s="6"/>
    </x:row>
    <x:row r="910" ht="21" customHeight="1">
      <x:c r="A910" s="14" t="n">
        <x:f>英雄升级调参!$B$23</x:f>
        <x:v>310005</x:v>
      </x:c>
      <x:c r="B910" s="14" t="str">
        <x:f>英雄升级调参!$C$23</x:f>
        <x:v>焦焦鸮</x:v>
      </x:c>
      <x:c r="C910" s="6" t="str">
        <x:f>英雄升级调参!$D$23</x:f>
        <x:v>探险家</x:v>
      </x:c>
      <x:c r="D910" s="6" t="s">
        <x:v>22</x:v>
      </x:c>
      <x:c r="E910" s="6">
        <x:v>42</x:v>
      </x:c>
      <x:c r="F910" s="6" t="n">
        <x:f>英雄升级调参!$C$107</x:f>
        <x:v>9</x:v>
      </x:c>
      <x:c r="G910" s="12">
        <x:f t="shared" si="84"/>
        <x:v>5293</x:v>
      </x:c>
      <x:c r="H910" s="12">
        <x:f t="shared" si="85"/>
        <x:v>39974</x:v>
      </x:c>
      <x:c r="I910" s="12">
        <x:f t="shared" si="83"/>
        <x:v>211582382</x:v>
      </x:c>
      <x:c r="J910" s="12">
        <x:f>ROUND(英雄升级调参!$D$107*英雄升级调参!$J$10*英雄升级调参!$E$23,0)</x:f>
        <x:v>155</x:v>
      </x:c>
      <x:c r="K910" s="12">
        <x:f>ROUND(英雄升级调参!$D$107*英雄升级调参!$C$11*英雄升级调参!$J$10*英雄升级调参!$G$23,0)</x:f>
        <x:v>1174</x:v>
      </x:c>
      <x:c r="L910" s="12" t="n">
        <x:f>养成消耗调参!$D$189</x:f>
        <x:v>1440</x:v>
      </x:c>
      <x:c r="M910" s="12" t="n">
        <x:f>养成消耗调参!$G$189</x:f>
        <x:v>9900</x:v>
      </x:c>
      <x:c r="N910" s="12" t="n">
        <x:f>养成消耗调参!$I$189</x:f>
        <x:v>0</x:v>
      </x:c>
      <x:c r="O910" s="12" t="n">
        <x:f>养成消耗调参!$K$189</x:f>
        <x:v>28872</x:v>
      </x:c>
      <x:c r="P910" s="12" t="n">
        <x:f>养成消耗调参!$N$189</x:f>
        <x:v>176400</x:v>
      </x:c>
      <x:c r="Q910" s="12" t="n">
        <x:f>养成消耗调参!$P$189</x:f>
        <x:v>640</x:v>
      </x:c>
      <x:c r="R910" s="13">
        <x:f>I910/英雄升级调参!$J$107-1</x:f>
        <x:v>-0.0013839158449581168</x:v>
      </x:c>
      <x:c r="S910" s="6"/>
      <x:c r="T910" s="6"/>
      <x:c r="U910" s="6"/>
    </x:row>
    <x:row r="911" ht="21" customHeight="1">
      <x:c r="A911" s="14" t="n">
        <x:f>英雄升级调参!$B$23</x:f>
        <x:v>310005</x:v>
      </x:c>
      <x:c r="B911" s="14" t="str">
        <x:f>英雄升级调参!$C$23</x:f>
        <x:v>焦焦鸮</x:v>
      </x:c>
      <x:c r="C911" s="6" t="str">
        <x:f>英雄升级调参!$D$23</x:f>
        <x:v>探险家</x:v>
      </x:c>
      <x:c r="D911" s="6" t="s">
        <x:v>22</x:v>
      </x:c>
      <x:c r="E911" s="6">
        <x:v>43</x:v>
      </x:c>
      <x:c r="F911" s="6" t="n">
        <x:f>英雄升级调参!$C$108</x:f>
        <x:v>9</x:v>
      </x:c>
      <x:c r="G911" s="12">
        <x:f t="shared" si="84"/>
        <x:v>5448</x:v>
      </x:c>
      <x:c r="H911" s="12">
        <x:f t="shared" si="85"/>
        <x:v>41148</x:v>
      </x:c>
      <x:c r="I911" s="12">
        <x:f t="shared" si="83"/>
        <x:v>224174304</x:v>
      </x:c>
      <x:c r="J911" s="12">
        <x:f>ROUND(英雄升级调参!$D$108*英雄升级调参!$J$10*英雄升级调参!$E$23,0)</x:f>
        <x:v>155</x:v>
      </x:c>
      <x:c r="K911" s="12">
        <x:f>ROUND(英雄升级调参!$D$108*英雄升级调参!$C$11*英雄升级调参!$J$10*英雄升级调参!$G$23,0)</x:f>
        <x:v>1174</x:v>
      </x:c>
      <x:c r="L911" s="12" t="n">
        <x:f>养成消耗调参!$D$190</x:f>
        <x:v>1440</x:v>
      </x:c>
      <x:c r="M911" s="12" t="n">
        <x:f>养成消耗调参!$G$190</x:f>
        <x:v>9900</x:v>
      </x:c>
      <x:c r="N911" s="12" t="n">
        <x:f>养成消耗调参!$I$190</x:f>
        <x:v>0</x:v>
      </x:c>
      <x:c r="O911" s="12" t="n">
        <x:f>养成消耗调参!$K$190</x:f>
        <x:v>30312</x:v>
      </x:c>
      <x:c r="P911" s="12" t="n">
        <x:f>养成消耗调参!$N$190</x:f>
        <x:v>186300</x:v>
      </x:c>
      <x:c r="Q911" s="12" t="n">
        <x:f>养成消耗调参!$P$190</x:f>
        <x:v>640</x:v>
      </x:c>
      <x:c r="R911" s="13">
        <x:f>I911/英雄升级调参!$J$108-1</x:f>
        <x:v>-0.0013882650562317966</x:v>
      </x:c>
      <x:c r="S911" s="6"/>
      <x:c r="T911" s="6"/>
      <x:c r="U911" s="6"/>
    </x:row>
    <x:row r="912" ht="21" customHeight="1">
      <x:c r="A912" s="14" t="n">
        <x:f>英雄升级调参!$B$23</x:f>
        <x:v>310005</x:v>
      </x:c>
      <x:c r="B912" s="14" t="str">
        <x:f>英雄升级调参!$C$23</x:f>
        <x:v>焦焦鸮</x:v>
      </x:c>
      <x:c r="C912" s="6" t="str">
        <x:f>英雄升级调参!$D$23</x:f>
        <x:v>探险家</x:v>
      </x:c>
      <x:c r="D912" s="6" t="s">
        <x:v>22</x:v>
      </x:c>
      <x:c r="E912" s="6">
        <x:v>44</x:v>
      </x:c>
      <x:c r="F912" s="6" t="n">
        <x:f>英雄升级调参!$C$109</x:f>
        <x:v>9</x:v>
      </x:c>
      <x:c r="G912" s="12">
        <x:f t="shared" si="84"/>
        <x:v>5603</x:v>
      </x:c>
      <x:c r="H912" s="12">
        <x:f t="shared" si="85"/>
        <x:v>42322</x:v>
      </x:c>
      <x:c r="I912" s="12">
        <x:f t="shared" si="83"/>
        <x:v>237130166</x:v>
      </x:c>
      <x:c r="J912" s="12">
        <x:f>ROUND(英雄升级调参!$D$109*英雄升级调参!$J$10*英雄升级调参!$E$23,0)</x:f>
        <x:v>155</x:v>
      </x:c>
      <x:c r="K912" s="12">
        <x:f>ROUND(英雄升级调参!$D$109*英雄升级调参!$C$11*英雄升级调参!$J$10*英雄升级调参!$G$23,0)</x:f>
        <x:v>1174</x:v>
      </x:c>
      <x:c r="L912" s="12" t="n">
        <x:f>养成消耗调参!$D$191</x:f>
        <x:v>1512</x:v>
      </x:c>
      <x:c r="M912" s="12" t="n">
        <x:f>养成消耗调参!$G$191</x:f>
        <x:v>9900</x:v>
      </x:c>
      <x:c r="N912" s="12" t="n">
        <x:f>养成消耗调参!$I$191</x:f>
        <x:v>0</x:v>
      </x:c>
      <x:c r="O912" s="12" t="n">
        <x:f>养成消耗调参!$K$191</x:f>
        <x:v>31824</x:v>
      </x:c>
      <x:c r="P912" s="12" t="n">
        <x:f>养成消耗调参!$N$191</x:f>
        <x:v>196200</x:v>
      </x:c>
      <x:c r="Q912" s="12" t="n">
        <x:f>养成消耗调参!$P$191</x:f>
        <x:v>640</x:v>
      </x:c>
      <x:c r="R912" s="13">
        <x:f>I912/英雄升级调参!$J$109-1</x:f>
        <x:v>-0.0013923729727179923</x:v>
      </x:c>
      <x:c r="S912" s="6"/>
      <x:c r="T912" s="6"/>
      <x:c r="U912" s="6"/>
    </x:row>
    <x:row r="913" ht="21" customHeight="1">
      <x:c r="A913" s="14" t="n">
        <x:f>英雄升级调参!$B$23</x:f>
        <x:v>310005</x:v>
      </x:c>
      <x:c r="B913" s="14" t="str">
        <x:f>英雄升级调参!$C$23</x:f>
        <x:v>焦焦鸮</x:v>
      </x:c>
      <x:c r="C913" s="6" t="str">
        <x:f>英雄升级调参!$D$23</x:f>
        <x:v>探险家</x:v>
      </x:c>
      <x:c r="D913" s="6" t="s">
        <x:v>22</x:v>
      </x:c>
      <x:c r="E913" s="6">
        <x:v>45</x:v>
      </x:c>
      <x:c r="F913" s="6" t="n">
        <x:f>英雄升级调参!$C$110</x:f>
        <x:v>9</x:v>
      </x:c>
      <x:c r="G913" s="12">
        <x:f t="shared" si="84"/>
        <x:v>6068</x:v>
      </x:c>
      <x:c r="H913" s="12">
        <x:f t="shared" si="85"/>
        <x:v>45844</x:v>
      </x:c>
      <x:c r="I913" s="12">
        <x:f t="shared" si="83"/>
        <x:v>278181392</x:v>
      </x:c>
      <x:c r="J913" s="12">
        <x:f>ROUND(英雄升级调参!$D$110*英雄升级调参!$J$10*英雄升级调参!$E$23,0)*3</x:f>
        <x:v>465</x:v>
      </x:c>
      <x:c r="K913" s="12">
        <x:f>ROUND(英雄升级调参!$D$110*英雄升级调参!$C$11*英雄升级调参!$J$10*英雄升级调参!$G$23,0)*3</x:f>
        <x:v>3522</x:v>
      </x:c>
      <x:c r="L913" s="12" t="n">
        <x:f>养成消耗调参!$D$192</x:f>
        <x:v>1512</x:v>
      </x:c>
      <x:c r="M913" s="12" t="n">
        <x:f>养成消耗调参!$G$192</x:f>
        <x:v>9900</x:v>
      </x:c>
      <x:c r="N913" s="12" t="n">
        <x:f>养成消耗调参!$I$192</x:f>
        <x:v>170</x:v>
      </x:c>
      <x:c r="O913" s="12" t="n">
        <x:f>养成消耗调参!$K$192</x:f>
        <x:v>33336</x:v>
      </x:c>
      <x:c r="P913" s="12" t="n">
        <x:f>养成消耗调参!$N$192</x:f>
        <x:v>206100</x:v>
      </x:c>
      <x:c r="Q913" s="12" t="n">
        <x:f>养成消耗调参!$P$192</x:f>
        <x:v>810</x:v>
      </x:c>
      <x:c r="R913" s="13">
        <x:f>I913/英雄升级调参!$J$110-1</x:f>
        <x:v>-0.0014034343322300025</x:v>
      </x:c>
      <x:c r="S913" s="6"/>
      <x:c r="T913" s="6"/>
      <x:c r="U913" s="6"/>
    </x:row>
    <x:row r="914" ht="21" customHeight="1">
      <x:c r="A914" s="14" t="n">
        <x:f>英雄升级调参!$B$23</x:f>
        <x:v>310005</x:v>
      </x:c>
      <x:c r="B914" s="14" t="str">
        <x:f>英雄升级调参!$C$23</x:f>
        <x:v>焦焦鸮</x:v>
      </x:c>
      <x:c r="C914" s="6" t="str">
        <x:f>英雄升级调参!$D$23</x:f>
        <x:v>探险家</x:v>
      </x:c>
      <x:c r="D914" s="6" t="s">
        <x:v>22</x:v>
      </x:c>
      <x:c r="E914" s="6">
        <x:v>46</x:v>
      </x:c>
      <x:c r="F914" s="6" t="n">
        <x:f>英雄升级调参!$C$111</x:f>
        <x:v>10</x:v>
      </x:c>
      <x:c r="G914" s="12">
        <x:f t="shared" si="84"/>
        <x:v>6239</x:v>
      </x:c>
      <x:c r="H914" s="12">
        <x:f t="shared" si="85"/>
        <x:v>47135</x:v>
      </x:c>
      <x:c r="I914" s="12">
        <x:f t="shared" si="83"/>
        <x:v>294075265</x:v>
      </x:c>
      <x:c r="J914" s="12">
        <x:f>ROUND(英雄升级调参!$D$111*英雄升级调参!$J$10*英雄升级调参!$E$23,0)</x:f>
        <x:v>171</x:v>
      </x:c>
      <x:c r="K914" s="12">
        <x:f>ROUND(英雄升级调参!$D$111*英雄升级调参!$C$11*英雄升级调参!$J$10*英雄升级调参!$G$23,0)</x:f>
        <x:v>1291</x:v>
      </x:c>
      <x:c r="L914" s="12" t="n">
        <x:f>养成消耗调参!$D$193</x:f>
        <x:v>1584</x:v>
      </x:c>
      <x:c r="M914" s="12" t="n">
        <x:f>养成消耗调参!$G$193</x:f>
        <x:v>9900</x:v>
      </x:c>
      <x:c r="N914" s="12" t="n">
        <x:f>养成消耗调参!$I$193</x:f>
        <x:v>0</x:v>
      </x:c>
      <x:c r="O914" s="12" t="n">
        <x:f>养成消耗调参!$K$193</x:f>
        <x:v>34920</x:v>
      </x:c>
      <x:c r="P914" s="12" t="n">
        <x:f>养成消耗调参!$N$193</x:f>
        <x:v>216000</x:v>
      </x:c>
      <x:c r="Q914" s="12" t="n">
        <x:f>养成消耗调参!$P$193</x:f>
        <x:v>810</x:v>
      </x:c>
      <x:c r="R914" s="13">
        <x:f>I914/英雄升级调参!$J$111-1</x:f>
        <x:v>-0.0014274065798531854</x:v>
      </x:c>
      <x:c r="S914" s="6"/>
      <x:c r="T914" s="6"/>
      <x:c r="U914" s="6"/>
    </x:row>
    <x:row r="915" ht="21" customHeight="1">
      <x:c r="A915" s="14" t="n">
        <x:f>英雄升级调参!$B$23</x:f>
        <x:v>310005</x:v>
      </x:c>
      <x:c r="B915" s="14" t="str">
        <x:f>英雄升级调参!$C$23</x:f>
        <x:v>焦焦鸮</x:v>
      </x:c>
      <x:c r="C915" s="6" t="str">
        <x:f>英雄升级调参!$D$23</x:f>
        <x:v>探险家</x:v>
      </x:c>
      <x:c r="D915" s="6" t="s">
        <x:v>22</x:v>
      </x:c>
      <x:c r="E915" s="6">
        <x:v>47</x:v>
      </x:c>
      <x:c r="F915" s="6" t="n">
        <x:f>英雄升级调参!$C$112</x:f>
        <x:v>10</x:v>
      </x:c>
      <x:c r="G915" s="12">
        <x:f t="shared" si="84"/>
        <x:v>6410</x:v>
      </x:c>
      <x:c r="H915" s="12">
        <x:f t="shared" si="85"/>
        <x:v>48426</x:v>
      </x:c>
      <x:c r="I915" s="12">
        <x:f t="shared" si="83"/>
        <x:v>310410660</x:v>
      </x:c>
      <x:c r="J915" s="12">
        <x:f>ROUND(英雄升级调参!$D$112*英雄升级调参!$J$10*英雄升级调参!$E$23,0)</x:f>
        <x:v>171</x:v>
      </x:c>
      <x:c r="K915" s="12">
        <x:f>ROUND(英雄升级调参!$D$112*英雄升级调参!$C$11*英雄升级调参!$J$10*英雄升级调参!$G$23,0)</x:f>
        <x:v>1291</x:v>
      </x:c>
      <x:c r="L915" s="12" t="n">
        <x:f>养成消耗调参!$D$194</x:f>
        <x:v>1584</x:v>
      </x:c>
      <x:c r="M915" s="12" t="n">
        <x:f>养成消耗调参!$G$194</x:f>
        <x:v>11250</x:v>
      </x:c>
      <x:c r="N915" s="12" t="n">
        <x:f>养成消耗调参!$I$194</x:f>
        <x:v>0</x:v>
      </x:c>
      <x:c r="O915" s="12" t="n">
        <x:f>养成消耗调参!$K$194</x:f>
        <x:v>36504</x:v>
      </x:c>
      <x:c r="P915" s="12" t="n">
        <x:f>养成消耗调参!$N$194</x:f>
        <x:v>227250</x:v>
      </x:c>
      <x:c r="Q915" s="12" t="n">
        <x:f>养成消耗调参!$P$194</x:f>
        <x:v>810</x:v>
      </x:c>
      <x:c r="R915" s="13">
        <x:f>I915/英雄升级调参!$J$112-1</x:f>
        <x:v>-0.0014500994398018996</x:v>
      </x:c>
      <x:c r="S915" s="6"/>
      <x:c r="T915" s="6"/>
      <x:c r="U915" s="6"/>
    </x:row>
    <x:row r="916" ht="21" customHeight="1">
      <x:c r="A916" s="14" t="n">
        <x:f>英雄升级调参!$B$23</x:f>
        <x:v>310005</x:v>
      </x:c>
      <x:c r="B916" s="14" t="str">
        <x:f>英雄升级调参!$C$23</x:f>
        <x:v>焦焦鸮</x:v>
      </x:c>
      <x:c r="C916" s="6" t="str">
        <x:f>英雄升级调参!$D$23</x:f>
        <x:v>探险家</x:v>
      </x:c>
      <x:c r="D916" s="6" t="s">
        <x:v>22</x:v>
      </x:c>
      <x:c r="E916" s="6">
        <x:v>48</x:v>
      </x:c>
      <x:c r="F916" s="6" t="n">
        <x:f>英雄升级调参!$C$113</x:f>
        <x:v>10</x:v>
      </x:c>
      <x:c r="G916" s="12">
        <x:f t="shared" si="84"/>
        <x:v>6581</x:v>
      </x:c>
      <x:c r="H916" s="12">
        <x:f t="shared" si="85"/>
        <x:v>49717</x:v>
      </x:c>
      <x:c r="I916" s="12">
        <x:f t="shared" si="83"/>
        <x:v>327187577</x:v>
      </x:c>
      <x:c r="J916" s="12">
        <x:f>ROUND(英雄升级调参!$D$113*英雄升级调参!$J$10*英雄升级调参!$E$23,0)</x:f>
        <x:v>171</x:v>
      </x:c>
      <x:c r="K916" s="12">
        <x:f>ROUND(英雄升级调参!$D$113*英雄升级调参!$C$11*英雄升级调参!$J$10*英雄升级调参!$G$23,0)</x:f>
        <x:v>1291</x:v>
      </x:c>
      <x:c r="L916" s="12" t="n">
        <x:f>养成消耗调参!$D$195</x:f>
        <x:v>1656</x:v>
      </x:c>
      <x:c r="M916" s="12" t="n">
        <x:f>养成消耗调参!$G$195</x:f>
        <x:v>11250</x:v>
      </x:c>
      <x:c r="N916" s="12" t="n">
        <x:f>养成消耗调参!$I$195</x:f>
        <x:v>0</x:v>
      </x:c>
      <x:c r="O916" s="12" t="n">
        <x:f>养成消耗调参!$K$195</x:f>
        <x:v>38160</x:v>
      </x:c>
      <x:c r="P916" s="12" t="n">
        <x:f>养成消耗调参!$N$195</x:f>
        <x:v>238500</x:v>
      </x:c>
      <x:c r="Q916" s="12" t="n">
        <x:f>养成消耗调参!$P$195</x:f>
        <x:v>810</x:v>
      </x:c>
      <x:c r="R916" s="13">
        <x:f>I916/英雄升级调参!$J$113-1</x:f>
        <x:v>-0.0014716126705367483</x:v>
      </x:c>
      <x:c r="S916" s="6"/>
      <x:c r="T916" s="6"/>
      <x:c r="U916" s="6"/>
    </x:row>
    <x:row r="917" ht="21" customHeight="1">
      <x:c r="A917" s="14" t="n">
        <x:f>英雄升级调参!$B$23</x:f>
        <x:v>310005</x:v>
      </x:c>
      <x:c r="B917" s="14" t="str">
        <x:f>英雄升级调参!$C$23</x:f>
        <x:v>焦焦鸮</x:v>
      </x:c>
      <x:c r="C917" s="6" t="str">
        <x:f>英雄升级调参!$D$23</x:f>
        <x:v>探险家</x:v>
      </x:c>
      <x:c r="D917" s="6" t="s">
        <x:v>22</x:v>
      </x:c>
      <x:c r="E917" s="6">
        <x:v>49</x:v>
      </x:c>
      <x:c r="F917" s="6" t="n">
        <x:f>英雄升级调参!$C$114</x:f>
        <x:v>10</x:v>
      </x:c>
      <x:c r="G917" s="12">
        <x:f t="shared" si="84"/>
        <x:v>6752</x:v>
      </x:c>
      <x:c r="H917" s="12">
        <x:f t="shared" si="85"/>
        <x:v>51008</x:v>
      </x:c>
      <x:c r="I917" s="12">
        <x:f t="shared" si="83"/>
        <x:v>344406016</x:v>
      </x:c>
      <x:c r="J917" s="12">
        <x:f>ROUND(英雄升级调参!$D$114*英雄升级调参!$J$10*英雄升级调参!$E$23,0)</x:f>
        <x:v>171</x:v>
      </x:c>
      <x:c r="K917" s="12">
        <x:f>ROUND(英雄升级调参!$D$114*英雄升级调参!$C$11*英雄升级调参!$J$10*英雄升级调参!$G$23,0)</x:f>
        <x:v>1291</x:v>
      </x:c>
      <x:c r="L917" s="12" t="n">
        <x:f>养成消耗调参!$D$196</x:f>
        <x:v>1656</x:v>
      </x:c>
      <x:c r="M917" s="12" t="n">
        <x:f>养成消耗调参!$G$196</x:f>
        <x:v>11250</x:v>
      </x:c>
      <x:c r="N917" s="12" t="n">
        <x:f>养成消耗调参!$I$196</x:f>
        <x:v>0</x:v>
      </x:c>
      <x:c r="O917" s="12" t="n">
        <x:f>养成消耗调参!$K$196</x:f>
        <x:v>39816</x:v>
      </x:c>
      <x:c r="P917" s="12" t="n">
        <x:f>养成消耗调参!$N$196</x:f>
        <x:v>249750</x:v>
      </x:c>
      <x:c r="Q917" s="12" t="n">
        <x:f>养成消耗调参!$P$196</x:f>
        <x:v>810</x:v>
      </x:c>
      <x:c r="R917" s="13">
        <x:f>I917/英雄升级调参!$J$114-1</x:f>
        <x:v>-0.001492035921885182</x:v>
      </x:c>
      <x:c r="S917" s="6"/>
      <x:c r="T917" s="6"/>
      <x:c r="U917" s="6"/>
    </x:row>
    <x:row r="918" ht="21" customHeight="1">
      <x:c r="A918" s="14" t="n">
        <x:f>英雄升级调参!$B$23</x:f>
        <x:v>310005</x:v>
      </x:c>
      <x:c r="B918" s="14" t="str">
        <x:f>英雄升级调参!$C$23</x:f>
        <x:v>焦焦鸮</x:v>
      </x:c>
      <x:c r="C918" s="6" t="str">
        <x:f>英雄升级调参!$D$23</x:f>
        <x:v>探险家</x:v>
      </x:c>
      <x:c r="D918" s="6" t="s">
        <x:v>22</x:v>
      </x:c>
      <x:c r="E918" s="6">
        <x:v>50</x:v>
      </x:c>
      <x:c r="F918" s="6" t="n">
        <x:f>英雄升级调参!$C$115</x:f>
        <x:v>10</x:v>
      </x:c>
      <x:c r="G918" s="12">
        <x:f t="shared" si="84"/>
        <x:v>7265</x:v>
      </x:c>
      <x:c r="H918" s="12">
        <x:f t="shared" si="85"/>
        <x:v>54881</x:v>
      </x:c>
      <x:c r="I918" s="12">
        <x:f t="shared" si="83"/>
        <x:v>398710465</x:v>
      </x:c>
      <x:c r="J918" s="12">
        <x:f>ROUND(英雄升级调参!$D$115*英雄升级调参!$J$10*英雄升级调参!$E$23,0)*3</x:f>
        <x:v>513</x:v>
      </x:c>
      <x:c r="K918" s="12">
        <x:f>ROUND(英雄升级调参!$D$115*英雄升级调参!$C$11*英雄升级调参!$J$10*英雄升级调参!$G$23,0)*3</x:f>
        <x:v>3873</x:v>
      </x:c>
      <x:c r="L918" s="12" t="n">
        <x:f>养成消耗调参!$D$197</x:f>
        <x:v>1728</x:v>
      </x:c>
      <x:c r="M918" s="12" t="n">
        <x:f>养成消耗调参!$G$197</x:f>
        <x:v>11250</x:v>
      </x:c>
      <x:c r="N918" s="12" t="n">
        <x:f>养成消耗调参!$I$197</x:f>
        <x:v>190</x:v>
      </x:c>
      <x:c r="O918" s="12" t="n">
        <x:f>养成消耗调参!$K$197</x:f>
        <x:v>41544</x:v>
      </x:c>
      <x:c r="P918" s="12" t="n">
        <x:f>养成消耗调参!$N$197</x:f>
        <x:v>261000</x:v>
      </x:c>
      <x:c r="Q918" s="12" t="n">
        <x:f>养成消耗调参!$P$197</x:f>
        <x:v>1000</x:v>
      </x:c>
      <x:c r="R918" s="13">
        <x:f>I918/英雄升级调参!$J$115-1</x:f>
        <x:v>-0.0015475356576155619</x:v>
      </x:c>
      <x:c r="S918" s="6"/>
      <x:c r="T918" s="6"/>
      <x:c r="U918" s="6"/>
    </x:row>
    <x:row r="919" ht="21" customHeight="1">
      <x:c r="A919" s="14" t="n">
        <x:f>英雄升级调参!$B$23</x:f>
        <x:v>310005</x:v>
      </x:c>
      <x:c r="B919" s="14" t="str">
        <x:f>英雄升级调参!$C$23</x:f>
        <x:v>焦焦鸮</x:v>
      </x:c>
      <x:c r="C919" s="6" t="str">
        <x:f>英雄升级调参!$D$23</x:f>
        <x:v>探险家</x:v>
      </x:c>
      <x:c r="D919" s="6" t="s">
        <x:v>25</x:v>
      </x:c>
      <x:c r="E919" s="6">
        <x:v>1</x:v>
      </x:c>
      <x:c r="F919" s="6" t="n">
        <x:f>英雄升级调参!$C$66</x:f>
        <x:v>1</x:v>
      </x:c>
      <x:c r="G919" s="12">
        <x:f>G828</x:f>
        <x:v>412</x:v>
      </x:c>
      <x:c r="H919" s="12">
        <x:f>H828</x:f>
        <x:v>3109</x:v>
      </x:c>
      <x:c r="I919" s="12">
        <x:f t="shared" si="83"/>
        <x:v>1280908</x:v>
      </x:c>
      <x:c r="J919" s="12" t="n">
        <x:f>0</x:f>
        <x:v>0</x:v>
      </x:c>
      <x:c r="K919" s="12" t="n">
        <x:f>0</x:f>
        <x:v>0</x:v>
      </x:c>
      <x:c r="L919" s="12" t="n">
        <x:f>养成消耗调参!$E$148</x:f>
        <x:v>0</x:v>
      </x:c>
      <x:c r="M919" s="12" t="n">
        <x:f>养成消耗调参!$H$148</x:f>
        <x:v>0</x:v>
      </x:c>
      <x:c r="N919" s="12" t="n">
        <x:f>养成消耗调参!$I$148</x:f>
        <x:v>0</x:v>
      </x:c>
      <x:c r="O919" s="12" t="n">
        <x:f>养成消耗调参!$L$148</x:f>
        <x:v>0</x:v>
      </x:c>
      <x:c r="P919" s="12" t="n">
        <x:f>养成消耗调参!$O$148</x:f>
        <x:v>0</x:v>
      </x:c>
      <x:c r="Q919" s="12" t="n">
        <x:f>养成消耗调参!$P$148</x:f>
        <x:v>0</x:v>
      </x:c>
      <x:c r="R919" s="13">
        <x:f>I919/英雄升级调参!$M$66-1</x:f>
        <x:v>0.0050357397861104936</x:v>
      </x:c>
      <x:c r="S919" s="6"/>
      <x:c r="T919" s="6"/>
      <x:c r="U919" s="6"/>
    </x:row>
    <x:row r="920" ht="21" customHeight="1">
      <x:c r="A920" s="14" t="n">
        <x:f>英雄升级调参!$B$23</x:f>
        <x:v>310005</x:v>
      </x:c>
      <x:c r="B920" s="14" t="str">
        <x:f>英雄升级调参!$C$23</x:f>
        <x:v>焦焦鸮</x:v>
      </x:c>
      <x:c r="C920" s="6" t="str">
        <x:f>英雄升级调参!$D$23</x:f>
        <x:v>探险家</x:v>
      </x:c>
      <x:c r="D920" s="6" t="s">
        <x:v>25</x:v>
      </x:c>
      <x:c r="E920" s="6">
        <x:v>2</x:v>
      </x:c>
      <x:c r="F920" s="6" t="n">
        <x:f>英雄升级调参!$C$67</x:f>
        <x:v>1</x:v>
      </x:c>
      <x:c r="G920" s="12">
        <x:f t="shared" ref="G920:G951" si="86">G919+J920</x:f>
        <x:v>464</x:v>
      </x:c>
      <x:c r="H920" s="12">
        <x:f t="shared" ref="H920:H951" si="87">H919+K920</x:f>
        <x:v>3500</x:v>
      </x:c>
      <x:c r="I920" s="12">
        <x:f t="shared" si="83"/>
        <x:v>1624000</x:v>
      </x:c>
      <x:c r="J920" s="12">
        <x:f>ROUND(英雄升级调参!$D$67*英雄升级调参!$J$11*英雄升级调参!$E$23,0)</x:f>
        <x:v>52</x:v>
      </x:c>
      <x:c r="K920" s="12">
        <x:f>ROUND(英雄升级调参!$D$67*英雄升级调参!$C$11*英雄升级调参!$J$11*英雄升级调参!$G$23,0)</x:f>
        <x:v>391</x:v>
      </x:c>
      <x:c r="L920" s="12" t="n">
        <x:f>养成消耗调参!$E$149</x:f>
        <x:v>48</x:v>
      </x:c>
      <x:c r="M920" s="12" t="n">
        <x:f>养成消耗调参!$H$149</x:f>
        <x:v>600</x:v>
      </x:c>
      <x:c r="N920" s="12" t="n">
        <x:f>养成消耗调参!$I$149</x:f>
        <x:v>0</x:v>
      </x:c>
      <x:c r="O920" s="12" t="n">
        <x:f>养成消耗调参!$L$149</x:f>
        <x:v>48</x:v>
      </x:c>
      <x:c r="P920" s="12" t="n">
        <x:f>养成消耗调参!$O$149</x:f>
        <x:v>600</x:v>
      </x:c>
      <x:c r="Q920" s="12" t="n">
        <x:f>养成消耗调参!$P$149</x:f>
        <x:v>0</x:v>
      </x:c>
      <x:c r="R920" s="13">
        <x:f>I920/英雄升级调参!$M$67-1</x:f>
        <x:v>0.00492562065295421</x:v>
      </x:c>
      <x:c r="S920" s="6"/>
      <x:c r="T920" s="6"/>
      <x:c r="U920" s="6"/>
    </x:row>
    <x:row r="921" ht="21" customHeight="1">
      <x:c r="A921" s="14" t="n">
        <x:f>英雄升级调参!$B$23</x:f>
        <x:v>310005</x:v>
      </x:c>
      <x:c r="B921" s="14" t="str">
        <x:f>英雄升级调参!$C$23</x:f>
        <x:v>焦焦鸮</x:v>
      </x:c>
      <x:c r="C921" s="6" t="str">
        <x:f>英雄升级调参!$D$23</x:f>
        <x:v>探险家</x:v>
      </x:c>
      <x:c r="D921" s="6" t="s">
        <x:v>25</x:v>
      </x:c>
      <x:c r="E921" s="6">
        <x:v>3</x:v>
      </x:c>
      <x:c r="F921" s="6" t="n">
        <x:f>英雄升级调参!$C$68</x:f>
        <x:v>1</x:v>
      </x:c>
      <x:c r="G921" s="12">
        <x:f t="shared" si="86"/>
        <x:v>516</x:v>
      </x:c>
      <x:c r="H921" s="12">
        <x:f t="shared" si="87"/>
        <x:v>3891</x:v>
      </x:c>
      <x:c r="I921" s="12">
        <x:f t="shared" si="83"/>
        <x:v>2007756</x:v>
      </x:c>
      <x:c r="J921" s="12">
        <x:f>ROUND(英雄升级调参!$D$68*英雄升级调参!$J$11*英雄升级调参!$E$23,0)</x:f>
        <x:v>52</x:v>
      </x:c>
      <x:c r="K921" s="12">
        <x:f>ROUND(英雄升级调参!$D$68*英雄升级调参!$C$11*英雄升级调参!$J$11*英雄升级调参!$G$23,0)</x:f>
        <x:v>391</x:v>
      </x:c>
      <x:c r="L921" s="12" t="n">
        <x:f>养成消耗调参!$E$150</x:f>
        <x:v>48</x:v>
      </x:c>
      <x:c r="M921" s="12" t="n">
        <x:f>养成消耗调参!$H$150</x:f>
        <x:v>600</x:v>
      </x:c>
      <x:c r="N921" s="12" t="n">
        <x:f>养成消耗调参!$I$150</x:f>
        <x:v>0</x:v>
      </x:c>
      <x:c r="O921" s="12" t="n">
        <x:f>养成消耗调参!$L$150</x:f>
        <x:v>96</x:v>
      </x:c>
      <x:c r="P921" s="12" t="n">
        <x:f>养成消耗调参!$O$150</x:f>
        <x:v>1200</x:v>
      </x:c>
      <x:c r="Q921" s="12" t="n">
        <x:f>养成消耗调参!$P$150</x:f>
        <x:v>0</x:v>
      </x:c>
      <x:c r="R921" s="13">
        <x:f>I921/英雄升级调参!$M$68-1</x:f>
        <x:v>0.004837619927030357</x:v>
      </x:c>
      <x:c r="S921" s="6"/>
      <x:c r="T921" s="6"/>
      <x:c r="U921" s="6"/>
    </x:row>
    <x:row r="922" ht="21" customHeight="1">
      <x:c r="A922" s="14" t="n">
        <x:f>英雄升级调参!$B$23</x:f>
        <x:v>310005</x:v>
      </x:c>
      <x:c r="B922" s="14" t="str">
        <x:f>英雄升级调参!$C$23</x:f>
        <x:v>焦焦鸮</x:v>
      </x:c>
      <x:c r="C922" s="6" t="str">
        <x:f>英雄升级调参!$D$23</x:f>
        <x:v>探险家</x:v>
      </x:c>
      <x:c r="D922" s="6" t="s">
        <x:v>25</x:v>
      </x:c>
      <x:c r="E922" s="6">
        <x:v>4</x:v>
      </x:c>
      <x:c r="F922" s="6" t="n">
        <x:f>英雄升级调参!$C$69</x:f>
        <x:v>1</x:v>
      </x:c>
      <x:c r="G922" s="12">
        <x:f t="shared" si="86"/>
        <x:v>568</x:v>
      </x:c>
      <x:c r="H922" s="12">
        <x:f t="shared" si="87"/>
        <x:v>4282</x:v>
      </x:c>
      <x:c r="I922" s="12">
        <x:f t="shared" si="83"/>
        <x:v>2432176</x:v>
      </x:c>
      <x:c r="J922" s="12">
        <x:f>ROUND(英雄升级调参!$D$69*英雄升级调参!$J$11*英雄升级调参!$E$23,0)</x:f>
        <x:v>52</x:v>
      </x:c>
      <x:c r="K922" s="12">
        <x:f>ROUND(英雄升级调参!$D$69*英雄升级调参!$C$11*英雄升级调参!$J$11*英雄升级调参!$G$23,0)</x:f>
        <x:v>391</x:v>
      </x:c>
      <x:c r="L922" s="12" t="n">
        <x:f>养成消耗调参!$E$151</x:f>
        <x:v>96</x:v>
      </x:c>
      <x:c r="M922" s="12" t="n">
        <x:f>养成消耗调参!$H$151</x:f>
        <x:v>600</x:v>
      </x:c>
      <x:c r="N922" s="12" t="n">
        <x:f>养成消耗调参!$I$151</x:f>
        <x:v>0</x:v>
      </x:c>
      <x:c r="O922" s="12" t="n">
        <x:f>养成消耗调参!$L$151</x:f>
        <x:v>192</x:v>
      </x:c>
      <x:c r="P922" s="12" t="n">
        <x:f>养成消耗调参!$O$151</x:f>
        <x:v>1800</x:v>
      </x:c>
      <x:c r="Q922" s="12" t="n">
        <x:f>养成消耗调参!$P$151</x:f>
        <x:v>0</x:v>
      </x:c>
      <x:c r="R922" s="13">
        <x:f>I922/英雄升级调参!$M$69-1</x:f>
        <x:v>0.004765681803159394</x:v>
      </x:c>
      <x:c r="S922" s="6"/>
      <x:c r="T922" s="6"/>
      <x:c r="U922" s="6"/>
    </x:row>
    <x:row r="923" ht="21" customHeight="1">
      <x:c r="A923" s="14" t="n">
        <x:f>英雄升级调参!$B$23</x:f>
        <x:v>310005</x:v>
      </x:c>
      <x:c r="B923" s="14" t="str">
        <x:f>英雄升级调参!$C$23</x:f>
        <x:v>焦焦鸮</x:v>
      </x:c>
      <x:c r="C923" s="6" t="str">
        <x:f>英雄升级调参!$D$23</x:f>
        <x:v>探险家</x:v>
      </x:c>
      <x:c r="D923" s="6" t="s">
        <x:v>25</x:v>
      </x:c>
      <x:c r="E923" s="6">
        <x:v>5</x:v>
      </x:c>
      <x:c r="F923" s="6" t="n">
        <x:f>英雄升级调参!$C$70</x:f>
        <x:v>1</x:v>
      </x:c>
      <x:c r="G923" s="12">
        <x:f t="shared" si="86"/>
        <x:v>724</x:v>
      </x:c>
      <x:c r="H923" s="12">
        <x:f t="shared" si="87"/>
        <x:v>5455</x:v>
      </x:c>
      <x:c r="I923" s="12">
        <x:f t="shared" si="83"/>
        <x:v>3949420</x:v>
      </x:c>
      <x:c r="J923" s="12">
        <x:f>ROUND(英雄升级调参!$D$70*英雄升级调参!$J$11*英雄升级调参!$E$23,0)*3</x:f>
        <x:v>156</x:v>
      </x:c>
      <x:c r="K923" s="12">
        <x:f>ROUND(英雄升级调参!$D$70*英雄升级调参!$C$11*英雄升级调参!$J$11*英雄升级调参!$G$23,0)*3</x:f>
        <x:v>1173</x:v>
      </x:c>
      <x:c r="L923" s="12" t="n">
        <x:f>养成消耗调参!$E$152</x:f>
        <x:v>96</x:v>
      </x:c>
      <x:c r="M923" s="12" t="n">
        <x:f>养成消耗调参!$H$152</x:f>
        <x:v>600</x:v>
      </x:c>
      <x:c r="N923" s="12" t="n">
        <x:f>养成消耗调参!$I$152</x:f>
        <x:v>10</x:v>
      </x:c>
      <x:c r="O923" s="12" t="n">
        <x:f>养成消耗调参!$L$152</x:f>
        <x:v>288</x:v>
      </x:c>
      <x:c r="P923" s="12" t="n">
        <x:f>养成消耗调参!$O$152</x:f>
        <x:v>2400</x:v>
      </x:c>
      <x:c r="Q923" s="12" t="n">
        <x:f>养成消耗调参!$P$152</x:f>
        <x:v>10</x:v>
      </x:c>
      <x:c r="R923" s="13">
        <x:f>I923/英雄升级调参!$M$70-1</x:f>
        <x:v>0.004611717782203817</x:v>
      </x:c>
      <x:c r="S923" s="6"/>
      <x:c r="T923" s="6"/>
      <x:c r="U923" s="6"/>
    </x:row>
    <x:row r="924" ht="21" customHeight="1">
      <x:c r="A924" s="14" t="n">
        <x:f>英雄升级调参!$B$23</x:f>
        <x:v>310005</x:v>
      </x:c>
      <x:c r="B924" s="14" t="str">
        <x:f>英雄升级调参!$C$23</x:f>
        <x:v>焦焦鸮</x:v>
      </x:c>
      <x:c r="C924" s="6" t="str">
        <x:f>英雄升级调参!$D$23</x:f>
        <x:v>探险家</x:v>
      </x:c>
      <x:c r="D924" s="6" t="s">
        <x:v>25</x:v>
      </x:c>
      <x:c r="E924" s="6">
        <x:v>6</x:v>
      </x:c>
      <x:c r="F924" s="6" t="n">
        <x:f>英雄升级调参!$C$71</x:f>
        <x:v>2</x:v>
      </x:c>
      <x:c r="G924" s="12">
        <x:f t="shared" si="86"/>
        <x:v>802</x:v>
      </x:c>
      <x:c r="H924" s="12">
        <x:f t="shared" si="87"/>
        <x:v>6042</x:v>
      </x:c>
      <x:c r="I924" s="12">
        <x:f t="shared" si="83"/>
        <x:v>4845684</x:v>
      </x:c>
      <x:c r="J924" s="12">
        <x:f>ROUND(英雄升级调参!$D$71*英雄升级调参!$J$11*英雄升级调参!$E$23,0)</x:f>
        <x:v>78</x:v>
      </x:c>
      <x:c r="K924" s="12">
        <x:f>ROUND(英雄升级调参!$D$71*英雄升级调参!$C$11*英雄升级调参!$J$11*英雄升级调参!$G$23,0)</x:f>
        <x:v>587</x:v>
      </x:c>
      <x:c r="L924" s="12" t="n">
        <x:f>养成消耗调参!$E$153</x:f>
        <x:v>192</x:v>
      </x:c>
      <x:c r="M924" s="12" t="n">
        <x:f>养成消耗调参!$H$153</x:f>
        <x:v>600</x:v>
      </x:c>
      <x:c r="N924" s="12" t="n">
        <x:f>养成消耗调参!$I$153</x:f>
        <x:v>0</x:v>
      </x:c>
      <x:c r="O924" s="12" t="n">
        <x:f>养成消耗调参!$L$153</x:f>
        <x:v>480</x:v>
      </x:c>
      <x:c r="P924" s="12" t="n">
        <x:f>养成消耗调参!$O$153</x:f>
        <x:v>3000</x:v>
      </x:c>
      <x:c r="Q924" s="12" t="n">
        <x:f>养成消耗调参!$P$153</x:f>
        <x:v>10</x:v>
      </x:c>
      <x:c r="R924" s="13">
        <x:f>I924/英雄升级调参!$M$71-1</x:f>
        <x:v>0.003917522569417464</x:v>
      </x:c>
      <x:c r="S924" s="6"/>
      <x:c r="T924" s="6"/>
      <x:c r="U924" s="6"/>
    </x:row>
    <x:row r="925" ht="21" customHeight="1">
      <x:c r="A925" s="14" t="n">
        <x:f>英雄升级调参!$B$23</x:f>
        <x:v>310005</x:v>
      </x:c>
      <x:c r="B925" s="14" t="str">
        <x:f>英雄升级调参!$C$23</x:f>
        <x:v>焦焦鸮</x:v>
      </x:c>
      <x:c r="C925" s="6" t="str">
        <x:f>英雄升级调参!$D$23</x:f>
        <x:v>探险家</x:v>
      </x:c>
      <x:c r="D925" s="6" t="s">
        <x:v>25</x:v>
      </x:c>
      <x:c r="E925" s="6">
        <x:v>7</x:v>
      </x:c>
      <x:c r="F925" s="6" t="n">
        <x:f>英雄升级调参!$C$72</x:f>
        <x:v>2</x:v>
      </x:c>
      <x:c r="G925" s="12">
        <x:f t="shared" si="86"/>
        <x:v>880</x:v>
      </x:c>
      <x:c r="H925" s="12">
        <x:f t="shared" si="87"/>
        <x:v>6629</x:v>
      </x:c>
      <x:c r="I925" s="12">
        <x:f t="shared" si="83"/>
        <x:v>5833520</x:v>
      </x:c>
      <x:c r="J925" s="12">
        <x:f>ROUND(英雄升级调参!$D$72*英雄升级调参!$J$11*英雄升级调参!$E$23,0)</x:f>
        <x:v>78</x:v>
      </x:c>
      <x:c r="K925" s="12">
        <x:f>ROUND(英雄升级调参!$D$72*英雄升级调参!$C$11*英雄升级调参!$J$11*英雄升级调参!$G$23,0)</x:f>
        <x:v>587</x:v>
      </x:c>
      <x:c r="L925" s="12" t="n">
        <x:f>养成消耗调参!$E$154</x:f>
        <x:v>192</x:v>
      </x:c>
      <x:c r="M925" s="12" t="n">
        <x:f>养成消耗调参!$H$154</x:f>
        <x:v>1800</x:v>
      </x:c>
      <x:c r="N925" s="12" t="n">
        <x:f>养成消耗调参!$I$154</x:f>
        <x:v>0</x:v>
      </x:c>
      <x:c r="O925" s="12" t="n">
        <x:f>养成消耗调参!$L$154</x:f>
        <x:v>672</x:v>
      </x:c>
      <x:c r="P925" s="12" t="n">
        <x:f>养成消耗调参!$O$154</x:f>
        <x:v>4800</x:v>
      </x:c>
      <x:c r="Q925" s="12" t="n">
        <x:f>养成消耗调参!$P$154</x:f>
        <x:v>10</x:v>
      </x:c>
      <x:c r="R925" s="13">
        <x:f>I925/英雄升级调参!$M$72-1</x:f>
        <x:v>0.0033470586818848957</x:v>
      </x:c>
      <x:c r="S925" s="6"/>
      <x:c r="T925" s="6"/>
      <x:c r="U925" s="6"/>
    </x:row>
    <x:row r="926" ht="21" customHeight="1">
      <x:c r="A926" s="14" t="n">
        <x:f>英雄升级调参!$B$23</x:f>
        <x:v>310005</x:v>
      </x:c>
      <x:c r="B926" s="14" t="str">
        <x:f>英雄升级调参!$C$23</x:f>
        <x:v>焦焦鸮</x:v>
      </x:c>
      <x:c r="C926" s="6" t="str">
        <x:f>英雄升级调参!$D$23</x:f>
        <x:v>探险家</x:v>
      </x:c>
      <x:c r="D926" s="6" t="s">
        <x:v>25</x:v>
      </x:c>
      <x:c r="E926" s="6">
        <x:v>8</x:v>
      </x:c>
      <x:c r="F926" s="6" t="n">
        <x:f>英雄升级调参!$C$73</x:f>
        <x:v>2</x:v>
      </x:c>
      <x:c r="G926" s="12">
        <x:f t="shared" si="86"/>
        <x:v>958</x:v>
      </x:c>
      <x:c r="H926" s="12">
        <x:f t="shared" si="87"/>
        <x:v>7216</x:v>
      </x:c>
      <x:c r="I926" s="12">
        <x:f t="shared" si="83"/>
        <x:v>6912928</x:v>
      </x:c>
      <x:c r="J926" s="12">
        <x:f>ROUND(英雄升级调参!$D$73*英雄升级调参!$J$11*英雄升级调参!$E$23,0)</x:f>
        <x:v>78</x:v>
      </x:c>
      <x:c r="K926" s="12">
        <x:f>ROUND(英雄升级调参!$D$73*英雄升级调参!$C$11*英雄升级调参!$J$11*英雄升级调参!$G$23,0)</x:f>
        <x:v>587</x:v>
      </x:c>
      <x:c r="L926" s="12" t="n">
        <x:f>养成消耗调参!$E$155</x:f>
        <x:v>288</x:v>
      </x:c>
      <x:c r="M926" s="12" t="n">
        <x:f>养成消耗调参!$H$155</x:f>
        <x:v>1800</x:v>
      </x:c>
      <x:c r="N926" s="12" t="n">
        <x:f>养成消耗调参!$I$155</x:f>
        <x:v>0</x:v>
      </x:c>
      <x:c r="O926" s="12" t="n">
        <x:f>养成消耗调参!$L$155</x:f>
        <x:v>960</x:v>
      </x:c>
      <x:c r="P926" s="12" t="n">
        <x:f>养成消耗调参!$O$155</x:f>
        <x:v>6600</x:v>
      </x:c>
      <x:c r="Q926" s="12" t="n">
        <x:f>养成消耗调参!$P$155</x:f>
        <x:v>10</x:v>
      </x:c>
      <x:c r="R926" s="13">
        <x:f>I926/英雄升级调参!$M$73-1</x:f>
        <x:v>0.0028699526848774415</x:v>
      </x:c>
      <x:c r="S926" s="6"/>
      <x:c r="T926" s="6"/>
      <x:c r="U926" s="6"/>
    </x:row>
    <x:row r="927" ht="21" customHeight="1">
      <x:c r="A927" s="14" t="n">
        <x:f>英雄升级调参!$B$23</x:f>
        <x:v>310005</x:v>
      </x:c>
      <x:c r="B927" s="14" t="str">
        <x:f>英雄升级调参!$C$23</x:f>
        <x:v>焦焦鸮</x:v>
      </x:c>
      <x:c r="C927" s="6" t="str">
        <x:f>英雄升级调参!$D$23</x:f>
        <x:v>探险家</x:v>
      </x:c>
      <x:c r="D927" s="6" t="s">
        <x:v>25</x:v>
      </x:c>
      <x:c r="E927" s="6">
        <x:v>9</x:v>
      </x:c>
      <x:c r="F927" s="6" t="n">
        <x:f>英雄升级调参!$C$74</x:f>
        <x:v>2</x:v>
      </x:c>
      <x:c r="G927" s="12">
        <x:f t="shared" si="86"/>
        <x:v>1036</x:v>
      </x:c>
      <x:c r="H927" s="12">
        <x:f t="shared" si="87"/>
        <x:v>7803</x:v>
      </x:c>
      <x:c r="I927" s="12">
        <x:f t="shared" si="83"/>
        <x:v>8083908</x:v>
      </x:c>
      <x:c r="J927" s="12">
        <x:f>ROUND(英雄升级调参!$D$74*英雄升级调参!$J$11*英雄升级调参!$E$23,0)</x:f>
        <x:v>78</x:v>
      </x:c>
      <x:c r="K927" s="12">
        <x:f>ROUND(英雄升级调参!$D$74*英雄升级调参!$C$11*英雄升级调参!$J$11*英雄升级调参!$G$23,0)</x:f>
        <x:v>587</x:v>
      </x:c>
      <x:c r="L927" s="12" t="n">
        <x:f>养成消耗调参!$E$156</x:f>
        <x:v>288</x:v>
      </x:c>
      <x:c r="M927" s="12" t="n">
        <x:f>养成消耗调参!$H$156</x:f>
        <x:v>1800</x:v>
      </x:c>
      <x:c r="N927" s="12" t="n">
        <x:f>养成消耗调参!$I$156</x:f>
        <x:v>0</x:v>
      </x:c>
      <x:c r="O927" s="12" t="n">
        <x:f>养成消耗调参!$L$156</x:f>
        <x:v>1248</x:v>
      </x:c>
      <x:c r="P927" s="12" t="n">
        <x:f>养成消耗调参!$O$156</x:f>
        <x:v>8400</x:v>
      </x:c>
      <x:c r="Q927" s="12" t="n">
        <x:f>养成消耗调参!$P$156</x:f>
        <x:v>10</x:v>
      </x:c>
      <x:c r="R927" s="13">
        <x:f>I927/英雄升级调参!$M$74-1</x:f>
        <x:v>0.0024650205914411583</x:v>
      </x:c>
      <x:c r="S927" s="6"/>
      <x:c r="T927" s="6"/>
      <x:c r="U927" s="6"/>
    </x:row>
    <x:row r="928" ht="21" customHeight="1">
      <x:c r="A928" s="14" t="n">
        <x:f>英雄升级调参!$B$23</x:f>
        <x:v>310005</x:v>
      </x:c>
      <x:c r="B928" s="14" t="str">
        <x:f>英雄升级调参!$C$23</x:f>
        <x:v>焦焦鸮</x:v>
      </x:c>
      <x:c r="C928" s="6" t="str">
        <x:f>英雄升级调参!$D$23</x:f>
        <x:v>探险家</x:v>
      </x:c>
      <x:c r="D928" s="6" t="s">
        <x:v>25</x:v>
      </x:c>
      <x:c r="E928" s="6">
        <x:v>10</x:v>
      </x:c>
      <x:c r="F928" s="6" t="n">
        <x:f>英雄升级调参!$C$75</x:f>
        <x:v>2</x:v>
      </x:c>
      <x:c r="G928" s="12">
        <x:f t="shared" si="86"/>
        <x:v>1270</x:v>
      </x:c>
      <x:c r="H928" s="12">
        <x:f t="shared" si="87"/>
        <x:v>9564</x:v>
      </x:c>
      <x:c r="I928" s="12">
        <x:f t="shared" si="83"/>
        <x:v>12146280</x:v>
      </x:c>
      <x:c r="J928" s="12">
        <x:f>ROUND(英雄升级调参!$D$75*英雄升级调参!$J$11*英雄升级调参!$E$23,0)*3</x:f>
        <x:v>234</x:v>
      </x:c>
      <x:c r="K928" s="12">
        <x:f>ROUND(英雄升级调参!$D$75*英雄升级调参!$C$11*英雄升级调参!$J$11*英雄升级调参!$G$23,0)*3</x:f>
        <x:v>1761</x:v>
      </x:c>
      <x:c r="L928" s="12" t="n">
        <x:f>养成消耗调参!$E$157</x:f>
        <x:v>384</x:v>
      </x:c>
      <x:c r="M928" s="12" t="n">
        <x:f>养成消耗调参!$H$157</x:f>
        <x:v>1800</x:v>
      </x:c>
      <x:c r="N928" s="12" t="n">
        <x:f>养成消耗调参!$I$157</x:f>
        <x:v>30</x:v>
      </x:c>
      <x:c r="O928" s="12" t="n">
        <x:f>养成消耗调参!$L$157</x:f>
        <x:v>1632</x:v>
      </x:c>
      <x:c r="P928" s="12" t="n">
        <x:f>养成消耗调参!$O$157</x:f>
        <x:v>10200</x:v>
      </x:c>
      <x:c r="Q928" s="12" t="n">
        <x:f>养成消耗调参!$P$157</x:f>
        <x:v>40</x:v>
      </x:c>
      <x:c r="R928" s="13">
        <x:f>I928/英雄升级调参!$M$75-1</x:f>
        <x:v>0.0015497854666486344</x:v>
      </x:c>
      <x:c r="S928" s="6"/>
      <x:c r="T928" s="6"/>
      <x:c r="U928" s="6"/>
    </x:row>
    <x:row r="929" ht="21" customHeight="1">
      <x:c r="A929" s="14" t="n">
        <x:f>英雄升级调参!$B$23</x:f>
        <x:v>310005</x:v>
      </x:c>
      <x:c r="B929" s="14" t="str">
        <x:f>英雄升级调参!$C$23</x:f>
        <x:v>焦焦鸮</x:v>
      </x:c>
      <x:c r="C929" s="6" t="str">
        <x:f>英雄升级调参!$D$23</x:f>
        <x:v>探险家</x:v>
      </x:c>
      <x:c r="D929" s="6" t="s">
        <x:v>25</x:v>
      </x:c>
      <x:c r="E929" s="6">
        <x:v>11</x:v>
      </x:c>
      <x:c r="F929" s="6" t="n">
        <x:f>英雄升级调参!$C$76</x:f>
        <x:v>3</x:v>
      </x:c>
      <x:c r="G929" s="12">
        <x:f t="shared" si="86"/>
        <x:v>1373</x:v>
      </x:c>
      <x:c r="H929" s="12">
        <x:f t="shared" si="87"/>
        <x:v>10347</x:v>
      </x:c>
      <x:c r="I929" s="12">
        <x:f t="shared" si="83"/>
        <x:v>14206431</x:v>
      </x:c>
      <x:c r="J929" s="12">
        <x:f>ROUND(英雄升级调参!$D$76*英雄升级调参!$J$11*英雄升级调参!$E$23,0)</x:f>
        <x:v>103</x:v>
      </x:c>
      <x:c r="K929" s="12">
        <x:f>ROUND(英雄升级调参!$D$76*英雄升级调参!$C$11*英雄升级调参!$J$11*英雄升级调参!$G$23,0)</x:f>
        <x:v>783</x:v>
      </x:c>
      <x:c r="L929" s="12" t="n">
        <x:f>养成消耗调参!$E$158</x:f>
        <x:v>384</x:v>
      </x:c>
      <x:c r="M929" s="12" t="n">
        <x:f>养成消耗调参!$H$158</x:f>
        <x:v>1800</x:v>
      </x:c>
      <x:c r="N929" s="12" t="n">
        <x:f>养成消耗调参!$I$158</x:f>
        <x:v>0</x:v>
      </x:c>
      <x:c r="O929" s="12" t="n">
        <x:f>养成消耗调参!$L$158</x:f>
        <x:v>2016</x:v>
      </x:c>
      <x:c r="P929" s="12" t="n">
        <x:f>养成消耗调参!$O$158</x:f>
        <x:v>12000</x:v>
      </x:c>
      <x:c r="Q929" s="12" t="n">
        <x:f>养成消耗调参!$P$158</x:f>
        <x:v>40</x:v>
      </x:c>
      <x:c r="R929" s="13">
        <x:f>I929/英雄升级调参!$M$76-1</x:f>
        <x:v>0.001106073786875772</x:v>
      </x:c>
      <x:c r="S929" s="6"/>
      <x:c r="T929" s="6"/>
      <x:c r="U929" s="6"/>
    </x:row>
    <x:row r="930" ht="21" customHeight="1">
      <x:c r="A930" s="14" t="n">
        <x:f>英雄升级调参!$B$23</x:f>
        <x:v>310005</x:v>
      </x:c>
      <x:c r="B930" s="14" t="str">
        <x:f>英雄升级调参!$C$23</x:f>
        <x:v>焦焦鸮</x:v>
      </x:c>
      <x:c r="C930" s="6" t="str">
        <x:f>英雄升级调参!$D$23</x:f>
        <x:v>探险家</x:v>
      </x:c>
      <x:c r="D930" s="6" t="s">
        <x:v>25</x:v>
      </x:c>
      <x:c r="E930" s="6">
        <x:v>12</x:v>
      </x:c>
      <x:c r="F930" s="6" t="n">
        <x:f>英雄升级调参!$C$77</x:f>
        <x:v>3</x:v>
      </x:c>
      <x:c r="G930" s="12">
        <x:f t="shared" si="86"/>
        <x:v>1476</x:v>
      </x:c>
      <x:c r="H930" s="12">
        <x:f t="shared" si="87"/>
        <x:v>11130</x:v>
      </x:c>
      <x:c r="I930" s="12">
        <x:f t="shared" si="83"/>
        <x:v>16427880</x:v>
      </x:c>
      <x:c r="J930" s="12">
        <x:f>ROUND(英雄升级调参!$D$77*英雄升级调参!$J$11*英雄升级调参!$E$23,0)</x:f>
        <x:v>103</x:v>
      </x:c>
      <x:c r="K930" s="12">
        <x:f>ROUND(英雄升级调参!$D$77*英雄升级调参!$C$11*英雄升级调参!$J$11*英雄升级调参!$G$23,0)</x:f>
        <x:v>783</x:v>
      </x:c>
      <x:c r="L930" s="12" t="n">
        <x:f>养成消耗调参!$E$159</x:f>
        <x:v>480</x:v>
      </x:c>
      <x:c r="M930" s="12" t="n">
        <x:f>养成消耗调参!$H$159</x:f>
        <x:v>3000</x:v>
      </x:c>
      <x:c r="N930" s="12" t="n">
        <x:f>养成消耗调参!$I$159</x:f>
        <x:v>0</x:v>
      </x:c>
      <x:c r="O930" s="12" t="n">
        <x:f>养成消耗调参!$L$159</x:f>
        <x:v>2496</x:v>
      </x:c>
      <x:c r="P930" s="12" t="n">
        <x:f>养成消耗调参!$O$159</x:f>
        <x:v>15000</x:v>
      </x:c>
      <x:c r="Q930" s="12" t="n">
        <x:f>养成消耗调参!$P$159</x:f>
        <x:v>40</x:v>
      </x:c>
      <x:c r="R930" s="13">
        <x:f>I930/英雄升级调参!$M$77-1</x:f>
        <x:v>0.0007245986153130435</x:v>
      </x:c>
      <x:c r="S930" s="6"/>
      <x:c r="T930" s="6"/>
      <x:c r="U930" s="6"/>
    </x:row>
    <x:row r="931" ht="21" customHeight="1">
      <x:c r="A931" s="14" t="n">
        <x:f>英雄升级调参!$B$23</x:f>
        <x:v>310005</x:v>
      </x:c>
      <x:c r="B931" s="14" t="str">
        <x:f>英雄升级调参!$C$23</x:f>
        <x:v>焦焦鸮</x:v>
      </x:c>
      <x:c r="C931" s="6" t="str">
        <x:f>英雄升级调参!$D$23</x:f>
        <x:v>探险家</x:v>
      </x:c>
      <x:c r="D931" s="6" t="s">
        <x:v>25</x:v>
      </x:c>
      <x:c r="E931" s="6">
        <x:v>13</x:v>
      </x:c>
      <x:c r="F931" s="6" t="n">
        <x:f>英雄升级调参!$C$78</x:f>
        <x:v>3</x:v>
      </x:c>
      <x:c r="G931" s="12">
        <x:f t="shared" si="86"/>
        <x:v>1579</x:v>
      </x:c>
      <x:c r="H931" s="12">
        <x:f t="shared" si="87"/>
        <x:v>11913</x:v>
      </x:c>
      <x:c r="I931" s="12">
        <x:f t="shared" si="83"/>
        <x:v>18810627</x:v>
      </x:c>
      <x:c r="J931" s="12">
        <x:f>ROUND(英雄升级调参!$D$78*英雄升级调参!$J$11*英雄升级调参!$E$23,0)</x:f>
        <x:v>103</x:v>
      </x:c>
      <x:c r="K931" s="12">
        <x:f>ROUND(英雄升级调参!$D$78*英雄升级调参!$C$11*英雄升级调参!$J$11*英雄升级调参!$G$23,0)</x:f>
        <x:v>783</x:v>
      </x:c>
      <x:c r="L931" s="12" t="n">
        <x:f>养成消耗调参!$E$160</x:f>
        <x:v>480</x:v>
      </x:c>
      <x:c r="M931" s="12" t="n">
        <x:f>养成消耗调参!$H$160</x:f>
        <x:v>3000</x:v>
      </x:c>
      <x:c r="N931" s="12" t="n">
        <x:f>养成消耗调参!$I$160</x:f>
        <x:v>0</x:v>
      </x:c>
      <x:c r="O931" s="12" t="n">
        <x:f>养成消耗调参!$L$160</x:f>
        <x:v>2976</x:v>
      </x:c>
      <x:c r="P931" s="12" t="n">
        <x:f>养成消耗调参!$O$160</x:f>
        <x:v>18000</x:v>
      </x:c>
      <x:c r="Q931" s="12" t="n">
        <x:f>养成消耗调参!$P$160</x:f>
        <x:v>40</x:v>
      </x:c>
      <x:c r="R931" s="13">
        <x:f>I931/英雄升级调参!$M$78-1</x:f>
        <x:v>0.0003931238427856698</x:v>
      </x:c>
      <x:c r="S931" s="6"/>
      <x:c r="T931" s="6"/>
      <x:c r="U931" s="6"/>
    </x:row>
    <x:row r="932" ht="21" customHeight="1">
      <x:c r="A932" s="14" t="n">
        <x:f>英雄升级调参!$B$23</x:f>
        <x:v>310005</x:v>
      </x:c>
      <x:c r="B932" s="14" t="str">
        <x:f>英雄升级调参!$C$23</x:f>
        <x:v>焦焦鸮</x:v>
      </x:c>
      <x:c r="C932" s="6" t="str">
        <x:f>英雄升级调参!$D$23</x:f>
        <x:v>探险家</x:v>
      </x:c>
      <x:c r="D932" s="6" t="s">
        <x:v>25</x:v>
      </x:c>
      <x:c r="E932" s="6">
        <x:v>14</x:v>
      </x:c>
      <x:c r="F932" s="6" t="n">
        <x:f>英雄升级调参!$C$79</x:f>
        <x:v>3</x:v>
      </x:c>
      <x:c r="G932" s="12">
        <x:f t="shared" si="86"/>
        <x:v>1682</x:v>
      </x:c>
      <x:c r="H932" s="12">
        <x:f t="shared" si="87"/>
        <x:v>12696</x:v>
      </x:c>
      <x:c r="I932" s="12">
        <x:f t="shared" si="83"/>
        <x:v>21354672</x:v>
      </x:c>
      <x:c r="J932" s="12">
        <x:f>ROUND(英雄升级调参!$D$79*英雄升级调参!$J$11*英雄升级调参!$E$23,0)</x:f>
        <x:v>103</x:v>
      </x:c>
      <x:c r="K932" s="12">
        <x:f>ROUND(英雄升级调参!$D$79*英雄升级调参!$C$11*英雄升级调参!$J$11*英雄升级调参!$G$23,0)</x:f>
        <x:v>783</x:v>
      </x:c>
      <x:c r="L932" s="12" t="n">
        <x:f>养成消耗调参!$E$161</x:f>
        <x:v>576</x:v>
      </x:c>
      <x:c r="M932" s="12" t="n">
        <x:f>养成消耗调参!$H$161</x:f>
        <x:v>3000</x:v>
      </x:c>
      <x:c r="N932" s="12" t="n">
        <x:f>养成消耗调参!$I$161</x:f>
        <x:v>0</x:v>
      </x:c>
      <x:c r="O932" s="12" t="n">
        <x:f>养成消耗调参!$L$161</x:f>
        <x:v>3552</x:v>
      </x:c>
      <x:c r="P932" s="12" t="n">
        <x:f>养成消耗调参!$O$161</x:f>
        <x:v>21000</x:v>
      </x:c>
      <x:c r="Q932" s="12" t="n">
        <x:f>养成消耗调参!$P$161</x:f>
        <x:v>40</x:v>
      </x:c>
      <x:c r="R932" s="13">
        <x:f>I932/英雄升级调参!$M$79-1</x:f>
        <x:v>0.00010242367574542222</x:v>
      </x:c>
      <x:c r="S932" s="6"/>
      <x:c r="T932" s="6"/>
      <x:c r="U932" s="6"/>
    </x:row>
    <x:row r="933" ht="21" customHeight="1">
      <x:c r="A933" s="14" t="n">
        <x:f>英雄升级调参!$B$23</x:f>
        <x:v>310005</x:v>
      </x:c>
      <x:c r="B933" s="14" t="str">
        <x:f>英雄升级调参!$C$23</x:f>
        <x:v>焦焦鸮</x:v>
      </x:c>
      <x:c r="C933" s="6" t="str">
        <x:f>英雄升级调参!$D$23</x:f>
        <x:v>探险家</x:v>
      </x:c>
      <x:c r="D933" s="6" t="s">
        <x:v>25</x:v>
      </x:c>
      <x:c r="E933" s="6">
        <x:v>15</x:v>
      </x:c>
      <x:c r="F933" s="6" t="n">
        <x:f>英雄升级调参!$C$80</x:f>
        <x:v>3</x:v>
      </x:c>
      <x:c r="G933" s="12">
        <x:f t="shared" si="86"/>
        <x:v>1991</x:v>
      </x:c>
      <x:c r="H933" s="12">
        <x:f t="shared" si="87"/>
        <x:v>15045</x:v>
      </x:c>
      <x:c r="I933" s="12">
        <x:f t="shared" si="83"/>
        <x:v>29954595</x:v>
      </x:c>
      <x:c r="J933" s="12">
        <x:f>ROUND(英雄升级调参!$D$80*英雄升级调参!$J$11*英雄升级调参!$E$23,0)*3</x:f>
        <x:v>309</x:v>
      </x:c>
      <x:c r="K933" s="12">
        <x:f>ROUND(英雄升级调参!$D$80*英雄升级调参!$C$11*英雄升级调参!$J$11*英雄升级调参!$G$23,0)*3</x:f>
        <x:v>2349</x:v>
      </x:c>
      <x:c r="L933" s="12" t="n">
        <x:f>养成消耗调参!$E$162</x:f>
        <x:v>576</x:v>
      </x:c>
      <x:c r="M933" s="12" t="n">
        <x:f>养成消耗调参!$H$162</x:f>
        <x:v>3000</x:v>
      </x:c>
      <x:c r="N933" s="12" t="n">
        <x:f>养成消耗调参!$I$162</x:f>
        <x:v>50</x:v>
      </x:c>
      <x:c r="O933" s="12" t="n">
        <x:f>养成消耗调参!$L$162</x:f>
        <x:v>4128</x:v>
      </x:c>
      <x:c r="P933" s="12" t="n">
        <x:f>养成消耗调参!$O$162</x:f>
        <x:v>24000</x:v>
      </x:c>
      <x:c r="Q933" s="12" t="n">
        <x:f>养成消耗调参!$P$162</x:f>
        <x:v>90</x:v>
      </x:c>
      <x:c r="R933" s="13">
        <x:f>I933/英雄升级调参!$M$80-1</x:f>
        <x:v>-0.0005885446981180875</x:v>
      </x:c>
      <x:c r="S933" s="6"/>
      <x:c r="T933" s="6"/>
      <x:c r="U933" s="6"/>
    </x:row>
    <x:row r="934" ht="21" customHeight="1">
      <x:c r="A934" s="14" t="n">
        <x:f>英雄升级调参!$B$23</x:f>
        <x:v>310005</x:v>
      </x:c>
      <x:c r="B934" s="14" t="str">
        <x:f>英雄升级调参!$C$23</x:f>
        <x:v>焦焦鸮</x:v>
      </x:c>
      <x:c r="C934" s="6" t="str">
        <x:f>英雄升级调参!$D$23</x:f>
        <x:v>探险家</x:v>
      </x:c>
      <x:c r="D934" s="6" t="s">
        <x:v>25</x:v>
      </x:c>
      <x:c r="E934" s="6">
        <x:v>16</x:v>
      </x:c>
      <x:c r="F934" s="6" t="n">
        <x:f>英雄升级调参!$C$81</x:f>
        <x:v>4</x:v>
      </x:c>
      <x:c r="G934" s="12">
        <x:f t="shared" si="86"/>
        <x:v>2120</x:v>
      </x:c>
      <x:c r="H934" s="12">
        <x:f t="shared" si="87"/>
        <x:v>16023</x:v>
      </x:c>
      <x:c r="I934" s="12">
        <x:f t="shared" si="83"/>
        <x:v>33968760</x:v>
      </x:c>
      <x:c r="J934" s="12">
        <x:f>ROUND(英雄升级调参!$D$81*英雄升级调参!$J$11*英雄升级调参!$E$23,0)</x:f>
        <x:v>129</x:v>
      </x:c>
      <x:c r="K934" s="12">
        <x:f>ROUND(英雄升级调参!$D$81*英雄升级调参!$C$11*英雄升级调参!$J$11*英雄升级调参!$G$23,0)</x:f>
        <x:v>978</x:v>
      </x:c>
      <x:c r="L934" s="12" t="n">
        <x:f>养成消耗调参!$E$163</x:f>
        <x:v>672</x:v>
      </x:c>
      <x:c r="M934" s="12" t="n">
        <x:f>养成消耗调参!$H$163</x:f>
        <x:v>3000</x:v>
      </x:c>
      <x:c r="N934" s="12" t="n">
        <x:f>养成消耗调参!$I$163</x:f>
        <x:v>0</x:v>
      </x:c>
      <x:c r="O934" s="12" t="n">
        <x:f>养成消耗调参!$L$163</x:f>
        <x:v>4800</x:v>
      </x:c>
      <x:c r="P934" s="12" t="n">
        <x:f>养成消耗调参!$O$163</x:f>
        <x:v>27000</x:v>
      </x:c>
      <x:c r="Q934" s="12" t="n">
        <x:f>养成消耗调参!$P$163</x:f>
        <x:v>90</x:v>
      </x:c>
      <x:c r="R934" s="13">
        <x:f>I934/英雄升级调参!$M$81-1</x:f>
        <x:v>-0.0010163713425630494</x:v>
      </x:c>
      <x:c r="S934" s="6"/>
      <x:c r="T934" s="6"/>
      <x:c r="U934" s="6"/>
    </x:row>
    <x:row r="935" ht="21" customHeight="1">
      <x:c r="A935" s="14" t="n">
        <x:f>英雄升级调参!$B$23</x:f>
        <x:v>310005</x:v>
      </x:c>
      <x:c r="B935" s="14" t="str">
        <x:f>英雄升级调参!$C$23</x:f>
        <x:v>焦焦鸮</x:v>
      </x:c>
      <x:c r="C935" s="6" t="str">
        <x:f>英雄升级调参!$D$23</x:f>
        <x:v>探险家</x:v>
      </x:c>
      <x:c r="D935" s="6" t="s">
        <x:v>25</x:v>
      </x:c>
      <x:c r="E935" s="6">
        <x:v>17</x:v>
      </x:c>
      <x:c r="F935" s="6" t="n">
        <x:f>英雄升级调参!$C$82</x:f>
        <x:v>4</x:v>
      </x:c>
      <x:c r="G935" s="12">
        <x:f t="shared" si="86"/>
        <x:v>2249</x:v>
      </x:c>
      <x:c r="H935" s="12">
        <x:f t="shared" si="87"/>
        <x:v>17001</x:v>
      </x:c>
      <x:c r="I935" s="12">
        <x:f t="shared" si="83"/>
        <x:v>38235249</x:v>
      </x:c>
      <x:c r="J935" s="12">
        <x:f>ROUND(英雄升级调参!$D$82*英雄升级调参!$J$11*英雄升级调参!$E$23,0)</x:f>
        <x:v>129</x:v>
      </x:c>
      <x:c r="K935" s="12">
        <x:f>ROUND(英雄升级调参!$D$82*英雄升级调参!$C$11*英雄升级调参!$J$11*英雄升级调参!$G$23,0)</x:f>
        <x:v>978</x:v>
      </x:c>
      <x:c r="L935" s="12" t="n">
        <x:f>养成消耗调参!$E$164</x:f>
        <x:v>672</x:v>
      </x:c>
      <x:c r="M935" s="12" t="n">
        <x:f>养成消耗调参!$H$164</x:f>
        <x:v>4200</x:v>
      </x:c>
      <x:c r="N935" s="12" t="n">
        <x:f>养成消耗调参!$I$164</x:f>
        <x:v>0</x:v>
      </x:c>
      <x:c r="O935" s="12" t="n">
        <x:f>养成消耗调参!$L$164</x:f>
        <x:v>5472</x:v>
      </x:c>
      <x:c r="P935" s="12" t="n">
        <x:f>养成消耗调参!$O$164</x:f>
        <x:v>31200</x:v>
      </x:c>
      <x:c r="Q935" s="12" t="n">
        <x:f>养成消耗调参!$P$164</x:f>
        <x:v>90</x:v>
      </x:c>
      <x:c r="R935" s="13">
        <x:f>I935/英雄升级调参!$M$82-1</x:f>
        <x:v>-0.0013948256996753061</x:v>
      </x:c>
      <x:c r="S935" s="6"/>
      <x:c r="T935" s="6"/>
      <x:c r="U935" s="6"/>
    </x:row>
    <x:row r="936" ht="21" customHeight="1">
      <x:c r="A936" s="14" t="n">
        <x:f>英雄升级调参!$B$23</x:f>
        <x:v>310005</x:v>
      </x:c>
      <x:c r="B936" s="14" t="str">
        <x:f>英雄升级调参!$C$23</x:f>
        <x:v>焦焦鸮</x:v>
      </x:c>
      <x:c r="C936" s="6" t="str">
        <x:f>英雄升级调参!$D$23</x:f>
        <x:v>探险家</x:v>
      </x:c>
      <x:c r="D936" s="6" t="s">
        <x:v>25</x:v>
      </x:c>
      <x:c r="E936" s="6">
        <x:v>18</x:v>
      </x:c>
      <x:c r="F936" s="6" t="n">
        <x:f>英雄升级调参!$C$83</x:f>
        <x:v>4</x:v>
      </x:c>
      <x:c r="G936" s="12">
        <x:f t="shared" si="86"/>
        <x:v>2378</x:v>
      </x:c>
      <x:c r="H936" s="12">
        <x:f t="shared" si="87"/>
        <x:v>17979</x:v>
      </x:c>
      <x:c r="I936" s="12">
        <x:f t="shared" si="83"/>
        <x:v>42754062</x:v>
      </x:c>
      <x:c r="J936" s="12">
        <x:f>ROUND(英雄升级调参!$D$83*英雄升级调参!$J$11*英雄升级调参!$E$23,0)</x:f>
        <x:v>129</x:v>
      </x:c>
      <x:c r="K936" s="12">
        <x:f>ROUND(英雄升级调参!$D$83*英雄升级调参!$C$11*英雄升级调参!$J$11*英雄升级调参!$G$23,0)</x:f>
        <x:v>978</x:v>
      </x:c>
      <x:c r="L936" s="12" t="n">
        <x:f>养成消耗调参!$E$165</x:f>
        <x:v>768</x:v>
      </x:c>
      <x:c r="M936" s="12" t="n">
        <x:f>养成消耗调参!$H$165</x:f>
        <x:v>4200</x:v>
      </x:c>
      <x:c r="N936" s="12" t="n">
        <x:f>养成消耗调参!$I$165</x:f>
        <x:v>0</x:v>
      </x:c>
      <x:c r="O936" s="12" t="n">
        <x:f>养成消耗调参!$L$165</x:f>
        <x:v>6240</x:v>
      </x:c>
      <x:c r="P936" s="12" t="n">
        <x:f>养成消耗调参!$O$165</x:f>
        <x:v>35400</x:v>
      </x:c>
      <x:c r="Q936" s="12" t="n">
        <x:f>养成消耗调参!$P$165</x:f>
        <x:v>90</x:v>
      </x:c>
      <x:c r="R936" s="13">
        <x:f>I936/英雄升级调参!$M$83-1</x:f>
        <x:v>-0.0017319880527427722</x:v>
      </x:c>
      <x:c r="S936" s="6"/>
      <x:c r="T936" s="6"/>
      <x:c r="U936" s="6"/>
    </x:row>
    <x:row r="937" ht="21" customHeight="1">
      <x:c r="A937" s="14" t="n">
        <x:f>英雄升级调参!$B$23</x:f>
        <x:v>310005</x:v>
      </x:c>
      <x:c r="B937" s="14" t="str">
        <x:f>英雄升级调参!$C$23</x:f>
        <x:v>焦焦鸮</x:v>
      </x:c>
      <x:c r="C937" s="6" t="str">
        <x:f>英雄升级调参!$D$23</x:f>
        <x:v>探险家</x:v>
      </x:c>
      <x:c r="D937" s="6" t="s">
        <x:v>25</x:v>
      </x:c>
      <x:c r="E937" s="6">
        <x:v>19</x:v>
      </x:c>
      <x:c r="F937" s="6" t="n">
        <x:f>英雄升级调参!$C$84</x:f>
        <x:v>4</x:v>
      </x:c>
      <x:c r="G937" s="12">
        <x:f t="shared" si="86"/>
        <x:v>2507</x:v>
      </x:c>
      <x:c r="H937" s="12">
        <x:f t="shared" si="87"/>
        <x:v>18957</x:v>
      </x:c>
      <x:c r="I937" s="12">
        <x:f t="shared" si="83"/>
        <x:v>47525199</x:v>
      </x:c>
      <x:c r="J937" s="12">
        <x:f>ROUND(英雄升级调参!$D$84*英雄升级调参!$J$11*英雄升级调参!$E$23,0)</x:f>
        <x:v>129</x:v>
      </x:c>
      <x:c r="K937" s="12">
        <x:f>ROUND(英雄升级调参!$D$84*英雄升级调参!$C$11*英雄升级调参!$J$11*英雄升级调参!$G$23,0)</x:f>
        <x:v>978</x:v>
      </x:c>
      <x:c r="L937" s="12" t="n">
        <x:f>养成消耗调参!$E$166</x:f>
        <x:v>768</x:v>
      </x:c>
      <x:c r="M937" s="12" t="n">
        <x:f>养成消耗调参!$H$166</x:f>
        <x:v>4200</x:v>
      </x:c>
      <x:c r="N937" s="12" t="n">
        <x:f>养成消耗调参!$I$166</x:f>
        <x:v>0</x:v>
      </x:c>
      <x:c r="O937" s="12" t="n">
        <x:f>养成消耗调参!$L$166</x:f>
        <x:v>7008</x:v>
      </x:c>
      <x:c r="P937" s="12" t="n">
        <x:f>养成消耗调参!$O$166</x:f>
        <x:v>39600</x:v>
      </x:c>
      <x:c r="Q937" s="12" t="n">
        <x:f>养成消耗调参!$P$166</x:f>
        <x:v>90</x:v>
      </x:c>
      <x:c r="R937" s="13">
        <x:f>I937/英雄升级调参!$M$84-1</x:f>
        <x:v>-0.00203426667149631</x:v>
      </x:c>
      <x:c r="S937" s="6"/>
      <x:c r="T937" s="6"/>
      <x:c r="U937" s="6"/>
    </x:row>
    <x:row r="938" ht="21" customHeight="1">
      <x:c r="A938" s="14" t="n">
        <x:f>英雄升级调参!$B$23</x:f>
        <x:v>310005</x:v>
      </x:c>
      <x:c r="B938" s="14" t="str">
        <x:f>英雄升级调参!$C$23</x:f>
        <x:v>焦焦鸮</x:v>
      </x:c>
      <x:c r="C938" s="6" t="str">
        <x:f>英雄升级调参!$D$23</x:f>
        <x:v>探险家</x:v>
      </x:c>
      <x:c r="D938" s="6" t="s">
        <x:v>25</x:v>
      </x:c>
      <x:c r="E938" s="6">
        <x:v>20</x:v>
      </x:c>
      <x:c r="F938" s="6" t="n">
        <x:f>英雄升级调参!$C$85</x:f>
        <x:v>4</x:v>
      </x:c>
      <x:c r="G938" s="12">
        <x:f t="shared" si="86"/>
        <x:v>2894</x:v>
      </x:c>
      <x:c r="H938" s="12">
        <x:f t="shared" si="87"/>
        <x:v>21891</x:v>
      </x:c>
      <x:c r="I938" s="12">
        <x:f t="shared" si="83"/>
        <x:v>63352554</x:v>
      </x:c>
      <x:c r="J938" s="12">
        <x:f>ROUND(英雄升级调参!$D$85*英雄升级调参!$J$11*英雄升级调参!$E$23,0)*3</x:f>
        <x:v>387</x:v>
      </x:c>
      <x:c r="K938" s="12">
        <x:f>ROUND(英雄升级调参!$D$85*英雄升级调参!$C$11*英雄升级调参!$J$11*英雄升级调参!$G$23,0)*3</x:f>
        <x:v>2934</x:v>
      </x:c>
      <x:c r="L938" s="12" t="n">
        <x:f>养成消耗调参!$E$167</x:f>
        <x:v>864</x:v>
      </x:c>
      <x:c r="M938" s="12" t="n">
        <x:f>养成消耗调参!$H$167</x:f>
        <x:v>4200</x:v>
      </x:c>
      <x:c r="N938" s="12" t="n">
        <x:f>养成消耗调参!$I$167</x:f>
        <x:v>70</x:v>
      </x:c>
      <x:c r="O938" s="12" t="n">
        <x:f>养成消耗调参!$L$167</x:f>
        <x:v>7872</x:v>
      </x:c>
      <x:c r="P938" s="12" t="n">
        <x:f>养成消耗调参!$O$167</x:f>
        <x:v>43800</x:v>
      </x:c>
      <x:c r="Q938" s="12" t="n">
        <x:f>养成消耗调参!$P$167</x:f>
        <x:v>160</x:v>
      </x:c>
      <x:c r="R938" s="13">
        <x:f>I938/英雄升级调参!$M$85-1</x:f>
        <x:v>-0.0027786645108035524</x:v>
      </x:c>
      <x:c r="S938" s="6"/>
      <x:c r="T938" s="6"/>
      <x:c r="U938" s="6"/>
    </x:row>
    <x:row r="939" ht="21" customHeight="1">
      <x:c r="A939" s="14" t="n">
        <x:f>英雄升级调参!$B$23</x:f>
        <x:v>310005</x:v>
      </x:c>
      <x:c r="B939" s="14" t="str">
        <x:f>英雄升级调参!$C$23</x:f>
        <x:v>焦焦鸮</x:v>
      </x:c>
      <x:c r="C939" s="6" t="str">
        <x:f>英雄升级调参!$D$23</x:f>
        <x:v>探险家</x:v>
      </x:c>
      <x:c r="D939" s="6" t="s">
        <x:v>25</x:v>
      </x:c>
      <x:c r="E939" s="6">
        <x:v>21</x:v>
      </x:c>
      <x:c r="F939" s="6" t="n">
        <x:f>英雄升级调参!$C$86</x:f>
        <x:v>5</x:v>
      </x:c>
      <x:c r="G939" s="12">
        <x:f t="shared" si="86"/>
        <x:v>3049</x:v>
      </x:c>
      <x:c r="H939" s="12">
        <x:f t="shared" si="87"/>
        <x:v>23065</x:v>
      </x:c>
      <x:c r="I939" s="12">
        <x:f t="shared" si="83"/>
        <x:v>70325185</x:v>
      </x:c>
      <x:c r="J939" s="12">
        <x:f>ROUND(英雄升级调参!$D$86*英雄升级调参!$J$11*英雄升级调参!$E$23,0)</x:f>
        <x:v>155</x:v>
      </x:c>
      <x:c r="K939" s="12">
        <x:f>ROUND(英雄升级调参!$D$86*英雄升级调参!$C$11*英雄升级调参!$J$11*英雄升级调参!$G$23,0)</x:f>
        <x:v>1174</x:v>
      </x:c>
      <x:c r="L939" s="12" t="n">
        <x:f>养成消耗调参!$E$168</x:f>
        <x:v>864</x:v>
      </x:c>
      <x:c r="M939" s="12" t="n">
        <x:f>养成消耗调参!$H$168</x:f>
        <x:v>4200</x:v>
      </x:c>
      <x:c r="N939" s="12" t="n">
        <x:f>养成消耗调参!$I$168</x:f>
        <x:v>0</x:v>
      </x:c>
      <x:c r="O939" s="12" t="n">
        <x:f>养成消耗调参!$L$168</x:f>
        <x:v>8736</x:v>
      </x:c>
      <x:c r="P939" s="12" t="n">
        <x:f>养成消耗调参!$O$168</x:f>
        <x:v>48000</x:v>
      </x:c>
      <x:c r="Q939" s="12" t="n">
        <x:f>养成消耗调参!$P$168</x:f>
        <x:v>160</x:v>
      </x:c>
      <x:c r="R939" s="13">
        <x:f>I939/英雄升级调参!$M$86-1</x:f>
        <x:v>-0.00271559863567028</x:v>
      </x:c>
      <x:c r="S939" s="6"/>
      <x:c r="T939" s="6"/>
      <x:c r="U939" s="6"/>
    </x:row>
    <x:row r="940" ht="21" customHeight="1">
      <x:c r="A940" s="14" t="n">
        <x:f>英雄升级调参!$B$23</x:f>
        <x:v>310005</x:v>
      </x:c>
      <x:c r="B940" s="14" t="str">
        <x:f>英雄升级调参!$C$23</x:f>
        <x:v>焦焦鸮</x:v>
      </x:c>
      <x:c r="C940" s="6" t="str">
        <x:f>英雄升级调参!$D$23</x:f>
        <x:v>探险家</x:v>
      </x:c>
      <x:c r="D940" s="6" t="s">
        <x:v>25</x:v>
      </x:c>
      <x:c r="E940" s="6">
        <x:v>22</x:v>
      </x:c>
      <x:c r="F940" s="6" t="n">
        <x:f>英雄升级调参!$C$87</x:f>
        <x:v>5</x:v>
      </x:c>
      <x:c r="G940" s="12">
        <x:f t="shared" si="86"/>
        <x:v>3204</x:v>
      </x:c>
      <x:c r="H940" s="12">
        <x:f t="shared" si="87"/>
        <x:v>24239</x:v>
      </x:c>
      <x:c r="I940" s="12">
        <x:f t="shared" si="83"/>
        <x:v>77661756</x:v>
      </x:c>
      <x:c r="J940" s="12">
        <x:f>ROUND(英雄升级调参!$D$87*英雄升级调参!$J$11*英雄升级调参!$E$23,0)</x:f>
        <x:v>155</x:v>
      </x:c>
      <x:c r="K940" s="12">
        <x:f>ROUND(英雄升级调参!$D$87*英雄升级调参!$C$11*英雄升级调参!$J$11*英雄升级调参!$G$23,0)</x:f>
        <x:v>1174</x:v>
      </x:c>
      <x:c r="L940" s="12" t="n">
        <x:f>养成消耗调参!$E$169</x:f>
        <x:v>960</x:v>
      </x:c>
      <x:c r="M940" s="12" t="n">
        <x:f>养成消耗调参!$H$169</x:f>
        <x:v>6000</x:v>
      </x:c>
      <x:c r="N940" s="12" t="n">
        <x:f>养成消耗调参!$I$169</x:f>
        <x:v>0</x:v>
      </x:c>
      <x:c r="O940" s="12" t="n">
        <x:f>养成消耗调参!$L$169</x:f>
        <x:v>9696</x:v>
      </x:c>
      <x:c r="P940" s="12" t="n">
        <x:f>养成消耗调参!$O$169</x:f>
        <x:v>54000</x:v>
      </x:c>
      <x:c r="Q940" s="12" t="n">
        <x:f>养成消耗调参!$P$169</x:f>
        <x:v>160</x:v>
      </x:c>
      <x:c r="R940" s="13">
        <x:f>I940/英雄升级调参!$M$87-1</x:f>
        <x:v>-0.002658626473921899</x:v>
      </x:c>
      <x:c r="S940" s="6"/>
      <x:c r="T940" s="6"/>
      <x:c r="U940" s="6"/>
    </x:row>
    <x:row r="941" ht="21" customHeight="1">
      <x:c r="A941" s="14" t="n">
        <x:f>英雄升级调参!$B$23</x:f>
        <x:v>310005</x:v>
      </x:c>
      <x:c r="B941" s="14" t="str">
        <x:f>英雄升级调参!$C$23</x:f>
        <x:v>焦焦鸮</x:v>
      </x:c>
      <x:c r="C941" s="6" t="str">
        <x:f>英雄升级调参!$D$23</x:f>
        <x:v>探险家</x:v>
      </x:c>
      <x:c r="D941" s="6" t="s">
        <x:v>25</x:v>
      </x:c>
      <x:c r="E941" s="6">
        <x:v>23</x:v>
      </x:c>
      <x:c r="F941" s="6" t="n">
        <x:f>英雄升级调参!$C$88</x:f>
        <x:v>5</x:v>
      </x:c>
      <x:c r="G941" s="12">
        <x:f t="shared" si="86"/>
        <x:v>3359</x:v>
      </x:c>
      <x:c r="H941" s="12">
        <x:f t="shared" si="87"/>
        <x:v>25413</x:v>
      </x:c>
      <x:c r="I941" s="12">
        <x:f t="shared" si="83"/>
        <x:v>85362267</x:v>
      </x:c>
      <x:c r="J941" s="12">
        <x:f>ROUND(英雄升级调参!$D$88*英雄升级调参!$J$11*英雄升级调参!$E$23,0)</x:f>
        <x:v>155</x:v>
      </x:c>
      <x:c r="K941" s="12">
        <x:f>ROUND(英雄升级调参!$D$88*英雄升级调参!$C$11*英雄升级调参!$J$11*英雄升级调参!$G$23,0)</x:f>
        <x:v>1174</x:v>
      </x:c>
      <x:c r="L941" s="12" t="n">
        <x:f>养成消耗调参!$E$170</x:f>
        <x:v>960</x:v>
      </x:c>
      <x:c r="M941" s="12" t="n">
        <x:f>养成消耗调参!$H$170</x:f>
        <x:v>6000</x:v>
      </x:c>
      <x:c r="N941" s="12" t="n">
        <x:f>养成消耗调参!$I$170</x:f>
        <x:v>0</x:v>
      </x:c>
      <x:c r="O941" s="12" t="n">
        <x:f>养成消耗调参!$L$170</x:f>
        <x:v>10656</x:v>
      </x:c>
      <x:c r="P941" s="12" t="n">
        <x:f>养成消耗调参!$O$170</x:f>
        <x:v>60000</x:v>
      </x:c>
      <x:c r="Q941" s="12" t="n">
        <x:f>养成消耗调参!$P$170</x:f>
        <x:v>160</x:v>
      </x:c>
      <x:c r="R941" s="13">
        <x:f>I941/英雄升级调参!$M$88-1</x:f>
        <x:v>-0.0026069055252193607</x:v>
      </x:c>
      <x:c r="S941" s="6"/>
      <x:c r="T941" s="6"/>
      <x:c r="U941" s="6"/>
    </x:row>
    <x:row r="942" ht="21" customHeight="1">
      <x:c r="A942" s="14" t="n">
        <x:f>英雄升级调参!$B$23</x:f>
        <x:v>310005</x:v>
      </x:c>
      <x:c r="B942" s="14" t="str">
        <x:f>英雄升级调参!$C$23</x:f>
        <x:v>焦焦鸮</x:v>
      </x:c>
      <x:c r="C942" s="6" t="str">
        <x:f>英雄升级调参!$D$23</x:f>
        <x:v>探险家</x:v>
      </x:c>
      <x:c r="D942" s="6" t="s">
        <x:v>25</x:v>
      </x:c>
      <x:c r="E942" s="6">
        <x:v>24</x:v>
      </x:c>
      <x:c r="F942" s="6" t="n">
        <x:f>英雄升级调参!$C$89</x:f>
        <x:v>5</x:v>
      </x:c>
      <x:c r="G942" s="12">
        <x:f t="shared" si="86"/>
        <x:v>3514</x:v>
      </x:c>
      <x:c r="H942" s="12">
        <x:f t="shared" si="87"/>
        <x:v>26587</x:v>
      </x:c>
      <x:c r="I942" s="12">
        <x:f t="shared" si="83"/>
        <x:v>93426718</x:v>
      </x:c>
      <x:c r="J942" s="12">
        <x:f>ROUND(英雄升级调参!$D$89*英雄升级调参!$J$11*英雄升级调参!$E$23,0)</x:f>
        <x:v>155</x:v>
      </x:c>
      <x:c r="K942" s="12">
        <x:f>ROUND(英雄升级调参!$D$89*英雄升级调参!$C$11*英雄升级调参!$J$11*英雄升级调参!$G$23,0)</x:f>
        <x:v>1174</x:v>
      </x:c>
      <x:c r="L942" s="12" t="n">
        <x:f>养成消耗调参!$E$171</x:f>
        <x:v>1056</x:v>
      </x:c>
      <x:c r="M942" s="12" t="n">
        <x:f>养成消耗调参!$H$171</x:f>
        <x:v>6000</x:v>
      </x:c>
      <x:c r="N942" s="12" t="n">
        <x:f>养成消耗调参!$I$171</x:f>
        <x:v>0</x:v>
      </x:c>
      <x:c r="O942" s="12" t="n">
        <x:f>养成消耗调参!$L$171</x:f>
        <x:v>11712</x:v>
      </x:c>
      <x:c r="P942" s="12" t="n">
        <x:f>养成消耗调参!$O$171</x:f>
        <x:v>66000</x:v>
      </x:c>
      <x:c r="Q942" s="12" t="n">
        <x:f>养成消耗调参!$P$171</x:f>
        <x:v>160</x:v>
      </x:c>
      <x:c r="R942" s="13">
        <x:f>I942/英雄升级调参!$M$89-1</x:f>
        <x:v>-0.0025597417560689895</x:v>
      </x:c>
      <x:c r="S942" s="6"/>
      <x:c r="T942" s="6"/>
      <x:c r="U942" s="6"/>
    </x:row>
    <x:row r="943" ht="21" customHeight="1">
      <x:c r="A943" s="14" t="n">
        <x:f>英雄升级调参!$B$23</x:f>
        <x:v>310005</x:v>
      </x:c>
      <x:c r="B943" s="14" t="str">
        <x:f>英雄升级调参!$C$23</x:f>
        <x:v>焦焦鸮</x:v>
      </x:c>
      <x:c r="C943" s="6" t="str">
        <x:f>英雄升级调参!$D$23</x:f>
        <x:v>探险家</x:v>
      </x:c>
      <x:c r="D943" s="6" t="s">
        <x:v>25</x:v>
      </x:c>
      <x:c r="E943" s="6">
        <x:v>25</x:v>
      </x:c>
      <x:c r="F943" s="6" t="n">
        <x:f>英雄升级调参!$C$90</x:f>
        <x:v>5</x:v>
      </x:c>
      <x:c r="G943" s="12">
        <x:f t="shared" si="86"/>
        <x:v>3979</x:v>
      </x:c>
      <x:c r="H943" s="12">
        <x:f t="shared" si="87"/>
        <x:v>30109</x:v>
      </x:c>
      <x:c r="I943" s="12">
        <x:f t="shared" si="83"/>
        <x:v>119803711</x:v>
      </x:c>
      <x:c r="J943" s="12">
        <x:f>ROUND(英雄升级调参!$D$90*英雄升级调参!$J$11*英雄升级调参!$E$23,0)*3</x:f>
        <x:v>465</x:v>
      </x:c>
      <x:c r="K943" s="12">
        <x:f>ROUND(英雄升级调参!$D$90*英雄升级调参!$C$11*英雄升级调参!$J$11*英雄升级调参!$G$23,0)*3</x:f>
        <x:v>3522</x:v>
      </x:c>
      <x:c r="L943" s="12" t="n">
        <x:f>养成消耗调参!$E$172</x:f>
        <x:v>1056</x:v>
      </x:c>
      <x:c r="M943" s="12" t="n">
        <x:f>养成消耗调参!$H$172</x:f>
        <x:v>6000</x:v>
      </x:c>
      <x:c r="N943" s="12" t="n">
        <x:f>养成消耗调参!$I$172</x:f>
        <x:v>90</x:v>
      </x:c>
      <x:c r="O943" s="12" t="n">
        <x:f>养成消耗调参!$L$172</x:f>
        <x:v>12768</x:v>
      </x:c>
      <x:c r="P943" s="12" t="n">
        <x:f>养成消耗调参!$O$172</x:f>
        <x:v>72000</x:v>
      </x:c>
      <x:c r="Q943" s="12" t="n">
        <x:f>养成消耗调参!$P$172</x:f>
        <x:v>250</x:v>
      </x:c>
      <x:c r="R943" s="13">
        <x:f>I943/英雄升级调参!$M$90-1</x:f>
        <x:v>-0.0024402735860195035</x:v>
      </x:c>
      <x:c r="S943" s="6"/>
      <x:c r="T943" s="6"/>
      <x:c r="U943" s="6"/>
    </x:row>
    <x:row r="944" ht="21" customHeight="1">
      <x:c r="A944" s="14" t="n">
        <x:f>英雄升级调参!$B$23</x:f>
        <x:v>310005</x:v>
      </x:c>
      <x:c r="B944" s="14" t="str">
        <x:f>英雄升级调参!$C$23</x:f>
        <x:v>焦焦鸮</x:v>
      </x:c>
      <x:c r="C944" s="6" t="str">
        <x:f>英雄升级调参!$D$23</x:f>
        <x:v>探险家</x:v>
      </x:c>
      <x:c r="D944" s="6" t="s">
        <x:v>25</x:v>
      </x:c>
      <x:c r="E944" s="6">
        <x:v>26</x:v>
      </x:c>
      <x:c r="F944" s="6" t="n">
        <x:f>英雄升级调参!$C$91</x:f>
        <x:v>6</x:v>
      </x:c>
      <x:c r="G944" s="12">
        <x:f t="shared" si="86"/>
        <x:v>4160</x:v>
      </x:c>
      <x:c r="H944" s="12">
        <x:f t="shared" si="87"/>
        <x:v>31479</x:v>
      </x:c>
      <x:c r="I944" s="12">
        <x:f t="shared" si="83"/>
        <x:v>130952640</x:v>
      </x:c>
      <x:c r="J944" s="12">
        <x:f>ROUND(英雄升级调参!$D$91*英雄升级调参!$J$11*英雄升级调参!$E$23,0)</x:f>
        <x:v>181</x:v>
      </x:c>
      <x:c r="K944" s="12">
        <x:f>ROUND(英雄升级调参!$D$91*英雄升级调参!$C$11*英雄升级调参!$J$11*英雄升级调参!$G$23,0)</x:f>
        <x:v>1370</x:v>
      </x:c>
      <x:c r="L944" s="12" t="n">
        <x:f>养成消耗调参!$E$173</x:f>
        <x:v>1152</x:v>
      </x:c>
      <x:c r="M944" s="12" t="n">
        <x:f>养成消耗调参!$H$173</x:f>
        <x:v>6000</x:v>
      </x:c>
      <x:c r="N944" s="12" t="n">
        <x:f>养成消耗调参!$I$173</x:f>
        <x:v>0</x:v>
      </x:c>
      <x:c r="O944" s="12" t="n">
        <x:f>养成消耗调参!$L$173</x:f>
        <x:v>13920</x:v>
      </x:c>
      <x:c r="P944" s="12" t="n">
        <x:f>养成消耗调参!$O$173</x:f>
        <x:v>78000</x:v>
      </x:c>
      <x:c r="Q944" s="12" t="n">
        <x:f>养成消耗调参!$P$173</x:f>
        <x:v>250</x:v>
      </x:c>
      <x:c r="R944" s="13">
        <x:f>I944/英雄升级调参!$M$91-1</x:f>
        <x:v>-0.0024880166719397634</x:v>
      </x:c>
      <x:c r="S944" s="6"/>
      <x:c r="T944" s="6"/>
      <x:c r="U944" s="6"/>
    </x:row>
    <x:row r="945" ht="21" customHeight="1">
      <x:c r="A945" s="14" t="n">
        <x:f>英雄升级调参!$B$23</x:f>
        <x:v>310005</x:v>
      </x:c>
      <x:c r="B945" s="14" t="str">
        <x:f>英雄升级调参!$C$23</x:f>
        <x:v>焦焦鸮</x:v>
      </x:c>
      <x:c r="C945" s="6" t="str">
        <x:f>英雄升级调参!$D$23</x:f>
        <x:v>探险家</x:v>
      </x:c>
      <x:c r="D945" s="6" t="s">
        <x:v>25</x:v>
      </x:c>
      <x:c r="E945" s="6">
        <x:v>27</x:v>
      </x:c>
      <x:c r="F945" s="6" t="n">
        <x:f>英雄升级调参!$C$92</x:f>
        <x:v>6</x:v>
      </x:c>
      <x:c r="G945" s="12">
        <x:f t="shared" si="86"/>
        <x:v>4341</x:v>
      </x:c>
      <x:c r="H945" s="12">
        <x:f t="shared" si="87"/>
        <x:v>32849</x:v>
      </x:c>
      <x:c r="I945" s="12">
        <x:f t="shared" si="83"/>
        <x:v>142597509</x:v>
      </x:c>
      <x:c r="J945" s="12">
        <x:f>ROUND(英雄升级调参!$D$92*英雄升级调参!$J$11*英雄升级调参!$E$23,0)</x:f>
        <x:v>181</x:v>
      </x:c>
      <x:c r="K945" s="12">
        <x:f>ROUND(英雄升级调参!$D$92*英雄升级调参!$C$11*英雄升级调参!$J$11*英雄升级调参!$G$23,0)</x:f>
        <x:v>1370</x:v>
      </x:c>
      <x:c r="L945" s="12" t="n">
        <x:f>养成消耗调参!$E$174</x:f>
        <x:v>1152</x:v>
      </x:c>
      <x:c r="M945" s="12" t="n">
        <x:f>养成消耗调参!$H$174</x:f>
        <x:v>7800</x:v>
      </x:c>
      <x:c r="N945" s="12" t="n">
        <x:f>养成消耗调参!$I$174</x:f>
        <x:v>0</x:v>
      </x:c>
      <x:c r="O945" s="12" t="n">
        <x:f>养成消耗调参!$L$174</x:f>
        <x:v>15072</x:v>
      </x:c>
      <x:c r="P945" s="12" t="n">
        <x:f>养成消耗调参!$O$174</x:f>
        <x:v>85800</x:v>
      </x:c>
      <x:c r="Q945" s="12" t="n">
        <x:f>养成消耗调参!$P$174</x:f>
        <x:v>250</x:v>
      </x:c>
      <x:c r="R945" s="13">
        <x:f>I945/英雄升级调参!$M$92-1</x:f>
        <x:v>-0.002531773870142917</x:v>
      </x:c>
      <x:c r="S945" s="6"/>
      <x:c r="T945" s="6"/>
      <x:c r="U945" s="6"/>
    </x:row>
    <x:row r="946" ht="21" customHeight="1">
      <x:c r="A946" s="14" t="n">
        <x:f>英雄升级调参!$B$23</x:f>
        <x:v>310005</x:v>
      </x:c>
      <x:c r="B946" s="14" t="str">
        <x:f>英雄升级调参!$C$23</x:f>
        <x:v>焦焦鸮</x:v>
      </x:c>
      <x:c r="C946" s="6" t="str">
        <x:f>英雄升级调参!$D$23</x:f>
        <x:v>探险家</x:v>
      </x:c>
      <x:c r="D946" s="6" t="s">
        <x:v>25</x:v>
      </x:c>
      <x:c r="E946" s="6">
        <x:v>28</x:v>
      </x:c>
      <x:c r="F946" s="6" t="n">
        <x:f>英雄升级调参!$C$93</x:f>
        <x:v>6</x:v>
      </x:c>
      <x:c r="G946" s="12">
        <x:f t="shared" si="86"/>
        <x:v>4522</x:v>
      </x:c>
      <x:c r="H946" s="12">
        <x:f t="shared" si="87"/>
        <x:v>34219</x:v>
      </x:c>
      <x:c r="I946" s="12">
        <x:f t="shared" si="83"/>
        <x:v>154738318</x:v>
      </x:c>
      <x:c r="J946" s="12">
        <x:f>ROUND(英雄升级调参!$D$93*英雄升级调参!$J$11*英雄升级调参!$E$23,0)</x:f>
        <x:v>181</x:v>
      </x:c>
      <x:c r="K946" s="12">
        <x:f>ROUND(英雄升级调参!$D$93*英雄升级调参!$C$11*英雄升级调参!$J$11*英雄升级调参!$G$23,0)</x:f>
        <x:v>1370</x:v>
      </x:c>
      <x:c r="L946" s="12" t="n">
        <x:f>养成消耗调参!$E$175</x:f>
        <x:v>1248</x:v>
      </x:c>
      <x:c r="M946" s="12" t="n">
        <x:f>养成消耗调参!$H$175</x:f>
        <x:v>7800</x:v>
      </x:c>
      <x:c r="N946" s="12" t="n">
        <x:f>养成消耗调参!$I$175</x:f>
        <x:v>0</x:v>
      </x:c>
      <x:c r="O946" s="12" t="n">
        <x:f>养成消耗调参!$L$175</x:f>
        <x:v>16320</x:v>
      </x:c>
      <x:c r="P946" s="12" t="n">
        <x:f>养成消耗调参!$O$175</x:f>
        <x:v>93600</x:v>
      </x:c>
      <x:c r="Q946" s="12" t="n">
        <x:f>养成消耗调参!$P$175</x:f>
        <x:v>250</x:v>
      </x:c>
      <x:c r="R946" s="13">
        <x:f>I946/英雄升级调参!$M$93-1</x:f>
        <x:v>-0.002572024329282163</x:v>
      </x:c>
      <x:c r="S946" s="6"/>
      <x:c r="T946" s="6"/>
      <x:c r="U946" s="6"/>
    </x:row>
    <x:row r="947" ht="21" customHeight="1">
      <x:c r="A947" s="14" t="n">
        <x:f>英雄升级调参!$B$23</x:f>
        <x:v>310005</x:v>
      </x:c>
      <x:c r="B947" s="14" t="str">
        <x:f>英雄升级调参!$C$23</x:f>
        <x:v>焦焦鸮</x:v>
      </x:c>
      <x:c r="C947" s="6" t="str">
        <x:f>英雄升级调参!$D$23</x:f>
        <x:v>探险家</x:v>
      </x:c>
      <x:c r="D947" s="6" t="s">
        <x:v>25</x:v>
      </x:c>
      <x:c r="E947" s="6">
        <x:v>29</x:v>
      </x:c>
      <x:c r="F947" s="6" t="n">
        <x:f>英雄升级调参!$C$94</x:f>
        <x:v>6</x:v>
      </x:c>
      <x:c r="G947" s="12">
        <x:f t="shared" si="86"/>
        <x:v>4703</x:v>
      </x:c>
      <x:c r="H947" s="12">
        <x:f t="shared" si="87"/>
        <x:v>35589</x:v>
      </x:c>
      <x:c r="I947" s="12">
        <x:f t="shared" si="83"/>
        <x:v>167375067</x:v>
      </x:c>
      <x:c r="J947" s="12">
        <x:f>ROUND(英雄升级调参!$D$94*英雄升级调参!$J$11*英雄升级调参!$E$23,0)</x:f>
        <x:v>181</x:v>
      </x:c>
      <x:c r="K947" s="12">
        <x:f>ROUND(英雄升级调参!$D$94*英雄升级调参!$C$11*英雄升级调参!$J$11*英雄升级调参!$G$23,0)</x:f>
        <x:v>1370</x:v>
      </x:c>
      <x:c r="L947" s="12" t="n">
        <x:f>养成消耗调参!$E$176</x:f>
        <x:v>1248</x:v>
      </x:c>
      <x:c r="M947" s="12" t="n">
        <x:f>养成消耗调参!$H$176</x:f>
        <x:v>7800</x:v>
      </x:c>
      <x:c r="N947" s="12" t="n">
        <x:f>养成消耗调参!$I$176</x:f>
        <x:v>0</x:v>
      </x:c>
      <x:c r="O947" s="12" t="n">
        <x:f>养成消耗调参!$L$176</x:f>
        <x:v>17568</x:v>
      </x:c>
      <x:c r="P947" s="12" t="n">
        <x:f>养成消耗调参!$O$176</x:f>
        <x:v>101400</x:v>
      </x:c>
      <x:c r="Q947" s="12" t="n">
        <x:f>养成消耗调参!$P$176</x:f>
        <x:v>250</x:v>
      </x:c>
      <x:c r="R947" s="13">
        <x:f>I947/英雄升级调参!$M$94-1</x:f>
        <x:v>-0.002609173358046557</x:v>
      </x:c>
      <x:c r="S947" s="6"/>
      <x:c r="T947" s="6"/>
      <x:c r="U947" s="6"/>
    </x:row>
    <x:row r="948" ht="21" customHeight="1">
      <x:c r="A948" s="14" t="n">
        <x:f>英雄升级调参!$B$23</x:f>
        <x:v>310005</x:v>
      </x:c>
      <x:c r="B948" s="14" t="str">
        <x:f>英雄升级调参!$C$23</x:f>
        <x:v>焦焦鸮</x:v>
      </x:c>
      <x:c r="C948" s="6" t="str">
        <x:f>英雄升级调参!$D$23</x:f>
        <x:v>探险家</x:v>
      </x:c>
      <x:c r="D948" s="6" t="s">
        <x:v>25</x:v>
      </x:c>
      <x:c r="E948" s="6">
        <x:v>30</x:v>
      </x:c>
      <x:c r="F948" s="6" t="n">
        <x:f>英雄升级调参!$C$95</x:f>
        <x:v>6</x:v>
      </x:c>
      <x:c r="G948" s="12">
        <x:f t="shared" si="86"/>
        <x:v>5246</x:v>
      </x:c>
      <x:c r="H948" s="12">
        <x:f t="shared" si="87"/>
        <x:v>39699</x:v>
      </x:c>
      <x:c r="I948" s="12">
        <x:f t="shared" si="83"/>
        <x:v>208260954</x:v>
      </x:c>
      <x:c r="J948" s="12">
        <x:f>ROUND(英雄升级调参!$D$95*英雄升级调参!$J$11*英雄升级调参!$E$23,0)*3</x:f>
        <x:v>543</x:v>
      </x:c>
      <x:c r="K948" s="12">
        <x:f>ROUND(英雄升级调参!$D$95*英雄升级调参!$C$11*英雄升级调参!$J$11*英雄升级调参!$G$23,0)*3</x:f>
        <x:v>4110</x:v>
      </x:c>
      <x:c r="L948" s="12" t="n">
        <x:f>养成消耗调参!$E$177</x:f>
        <x:v>1344</x:v>
      </x:c>
      <x:c r="M948" s="12" t="n">
        <x:f>养成消耗调参!$H$177</x:f>
        <x:v>7800</x:v>
      </x:c>
      <x:c r="N948" s="12" t="n">
        <x:f>养成消耗调参!$I$177</x:f>
        <x:v>110</x:v>
      </x:c>
      <x:c r="O948" s="12" t="n">
        <x:f>养成消耗调参!$L$177</x:f>
        <x:v>18912</x:v>
      </x:c>
      <x:c r="P948" s="12" t="n">
        <x:f>养成消耗调参!$O$177</x:f>
        <x:v>109200</x:v>
      </x:c>
      <x:c r="Q948" s="12" t="n">
        <x:f>养成消耗调参!$P$177</x:f>
        <x:v>360</x:v>
      </x:c>
      <x:c r="R948" s="13">
        <x:f>I948/英雄升级调参!$M$95-1</x:f>
        <x:v>-0.002705225106802489</x:v>
      </x:c>
      <x:c r="S948" s="6"/>
      <x:c r="T948" s="6"/>
      <x:c r="U948" s="6"/>
    </x:row>
    <x:row r="949" ht="21" customHeight="1">
      <x:c r="A949" s="14" t="n">
        <x:f>英雄升级调参!$B$23</x:f>
        <x:v>310005</x:v>
      </x:c>
      <x:c r="B949" s="14" t="str">
        <x:f>英雄升级调参!$C$23</x:f>
        <x:v>焦焦鸮</x:v>
      </x:c>
      <x:c r="C949" s="6" t="str">
        <x:f>英雄升级调参!$D$23</x:f>
        <x:v>探险家</x:v>
      </x:c>
      <x:c r="D949" s="6" t="s">
        <x:v>25</x:v>
      </x:c>
      <x:c r="E949" s="6">
        <x:v>31</x:v>
      </x:c>
      <x:c r="F949" s="6" t="n">
        <x:f>英雄升级调参!$C$96</x:f>
        <x:v>7</x:v>
      </x:c>
      <x:c r="G949" s="12">
        <x:f t="shared" si="86"/>
        <x:v>5453</x:v>
      </x:c>
      <x:c r="H949" s="12">
        <x:f t="shared" si="87"/>
        <x:v>41264</x:v>
      </x:c>
      <x:c r="I949" s="12">
        <x:f t="shared" si="83"/>
        <x:v>225012592</x:v>
      </x:c>
      <x:c r="J949" s="12">
        <x:f>ROUND(英雄升级调参!$D$96*英雄升级调参!$J$11*英雄升级调参!$E$23,0)</x:f>
        <x:v>207</x:v>
      </x:c>
      <x:c r="K949" s="12">
        <x:f>ROUND(英雄升级调参!$D$96*英雄升级调参!$C$11*英雄升级调参!$J$11*英雄升级调参!$G$23,0)</x:f>
        <x:v>1565</x:v>
      </x:c>
      <x:c r="L949" s="12" t="n">
        <x:f>养成消耗调参!$E$178</x:f>
        <x:v>1344</x:v>
      </x:c>
      <x:c r="M949" s="12" t="n">
        <x:f>养成消耗调参!$H$178</x:f>
        <x:v>7800</x:v>
      </x:c>
      <x:c r="N949" s="12" t="n">
        <x:f>养成消耗调参!$I$178</x:f>
        <x:v>0</x:v>
      </x:c>
      <x:c r="O949" s="12" t="n">
        <x:f>养成消耗调参!$L$178</x:f>
        <x:v>20256</x:v>
      </x:c>
      <x:c r="P949" s="12" t="n">
        <x:f>养成消耗调参!$O$178</x:f>
        <x:v>117000</x:v>
      </x:c>
      <x:c r="Q949" s="12" t="n">
        <x:f>养成消耗调参!$P$178</x:f>
        <x:v>360</x:v>
      </x:c>
      <x:c r="R949" s="13">
        <x:f>I949/英雄升级调参!$M$96-1</x:f>
        <x:v>-0.002608069402182278</x:v>
      </x:c>
      <x:c r="S949" s="6"/>
      <x:c r="T949" s="6"/>
      <x:c r="U949" s="6"/>
    </x:row>
    <x:row r="950" ht="21" customHeight="1">
      <x:c r="A950" s="14" t="n">
        <x:f>英雄升级调参!$B$23</x:f>
        <x:v>310005</x:v>
      </x:c>
      <x:c r="B950" s="14" t="str">
        <x:f>英雄升级调参!$C$23</x:f>
        <x:v>焦焦鸮</x:v>
      </x:c>
      <x:c r="C950" s="6" t="str">
        <x:f>英雄升级调参!$D$23</x:f>
        <x:v>探险家</x:v>
      </x:c>
      <x:c r="D950" s="6" t="s">
        <x:v>25</x:v>
      </x:c>
      <x:c r="E950" s="6">
        <x:v>32</x:v>
      </x:c>
      <x:c r="F950" s="6" t="n">
        <x:f>英雄升级调参!$C$97</x:f>
        <x:v>7</x:v>
      </x:c>
      <x:c r="G950" s="12">
        <x:f t="shared" si="86"/>
        <x:v>5660</x:v>
      </x:c>
      <x:c r="H950" s="12">
        <x:f t="shared" si="87"/>
        <x:v>42829</x:v>
      </x:c>
      <x:c r="I950" s="12">
        <x:f t="shared" si="83"/>
        <x:v>242412140</x:v>
      </x:c>
      <x:c r="J950" s="12">
        <x:f>ROUND(英雄升级调参!$D$97*英雄升级调参!$J$11*英雄升级调参!$E$23,0)</x:f>
        <x:v>207</x:v>
      </x:c>
      <x:c r="K950" s="12">
        <x:f>ROUND(英雄升级调参!$D$97*英雄升级调参!$C$11*英雄升级调参!$J$11*英雄升级调参!$G$23,0)</x:f>
        <x:v>1565</x:v>
      </x:c>
      <x:c r="L950" s="12" t="n">
        <x:f>养成消耗调参!$E$179</x:f>
        <x:v>1440</x:v>
      </x:c>
      <x:c r="M950" s="12" t="n">
        <x:f>养成消耗调参!$H$179</x:f>
        <x:v>9600</x:v>
      </x:c>
      <x:c r="N950" s="12" t="n">
        <x:f>养成消耗调参!$I$179</x:f>
        <x:v>0</x:v>
      </x:c>
      <x:c r="O950" s="12" t="n">
        <x:f>养成消耗调参!$L$179</x:f>
        <x:v>21696</x:v>
      </x:c>
      <x:c r="P950" s="12" t="n">
        <x:f>养成消耗调参!$O$179</x:f>
        <x:v>126600</x:v>
      </x:c>
      <x:c r="Q950" s="12" t="n">
        <x:f>养成消耗调参!$P$179</x:f>
        <x:v>360</x:v>
      </x:c>
      <x:c r="R950" s="13">
        <x:f>I950/英雄升级调参!$M$97-1</x:f>
        <x:v>-0.002518001560133487</x:v>
      </x:c>
      <x:c r="S950" s="6"/>
      <x:c r="T950" s="6"/>
      <x:c r="U950" s="6"/>
    </x:row>
    <x:row r="951" ht="21" customHeight="1">
      <x:c r="A951" s="14" t="n">
        <x:f>英雄升级调参!$B$23</x:f>
        <x:v>310005</x:v>
      </x:c>
      <x:c r="B951" s="14" t="str">
        <x:f>英雄升级调参!$C$23</x:f>
        <x:v>焦焦鸮</x:v>
      </x:c>
      <x:c r="C951" s="6" t="str">
        <x:f>英雄升级调参!$D$23</x:f>
        <x:v>探险家</x:v>
      </x:c>
      <x:c r="D951" s="6" t="s">
        <x:v>25</x:v>
      </x:c>
      <x:c r="E951" s="6">
        <x:v>33</x:v>
      </x:c>
      <x:c r="F951" s="6" t="n">
        <x:f>英雄升级调参!$C$98</x:f>
        <x:v>7</x:v>
      </x:c>
      <x:c r="G951" s="12">
        <x:f t="shared" si="86"/>
        <x:v>5867</x:v>
      </x:c>
      <x:c r="H951" s="12">
        <x:f t="shared" si="87"/>
        <x:v>44394</x:v>
      </x:c>
      <x:c r="I951" s="12">
        <x:f t="shared" si="83"/>
        <x:v>260459598</x:v>
      </x:c>
      <x:c r="J951" s="12">
        <x:f>ROUND(英雄升级调参!$D$98*英雄升级调参!$J$11*英雄升级调参!$E$23,0)</x:f>
        <x:v>207</x:v>
      </x:c>
      <x:c r="K951" s="12">
        <x:f>ROUND(英雄升级调参!$D$98*英雄升级调参!$C$11*英雄升级调参!$J$11*英雄升级调参!$G$23,0)</x:f>
        <x:v>1565</x:v>
      </x:c>
      <x:c r="L951" s="12" t="n">
        <x:f>养成消耗调参!$E$180</x:f>
        <x:v>1440</x:v>
      </x:c>
      <x:c r="M951" s="12" t="n">
        <x:f>养成消耗调参!$H$180</x:f>
        <x:v>9600</x:v>
      </x:c>
      <x:c r="N951" s="12" t="n">
        <x:f>养成消耗调参!$I$180</x:f>
        <x:v>0</x:v>
      </x:c>
      <x:c r="O951" s="12" t="n">
        <x:f>养成消耗调参!$L$180</x:f>
        <x:v>23136</x:v>
      </x:c>
      <x:c r="P951" s="12" t="n">
        <x:f>养成消耗调参!$O$180</x:f>
        <x:v>136200</x:v>
      </x:c>
      <x:c r="Q951" s="12" t="n">
        <x:f>养成消耗调参!$P$180</x:f>
        <x:v>360</x:v>
      </x:c>
      <x:c r="R951" s="13">
        <x:f>I951/英雄升级调参!$M$98-1</x:f>
        <x:v>-0.0024342732492088626</x:v>
      </x:c>
      <x:c r="S951" s="6"/>
      <x:c r="T951" s="6"/>
      <x:c r="U951" s="6"/>
    </x:row>
    <x:row r="952" ht="21" customHeight="1">
      <x:c r="A952" s="14" t="n">
        <x:f>英雄升级调参!$B$23</x:f>
        <x:v>310005</x:v>
      </x:c>
      <x:c r="B952" s="14" t="str">
        <x:f>英雄升级调参!$C$23</x:f>
        <x:v>焦焦鸮</x:v>
      </x:c>
      <x:c r="C952" s="6" t="str">
        <x:f>英雄升级调参!$D$23</x:f>
        <x:v>探险家</x:v>
      </x:c>
      <x:c r="D952" s="6" t="s">
        <x:v>25</x:v>
      </x:c>
      <x:c r="E952" s="6">
        <x:v>34</x:v>
      </x:c>
      <x:c r="F952" s="6" t="n">
        <x:f>英雄升级调参!$C$99</x:f>
        <x:v>7</x:v>
      </x:c>
      <x:c r="G952" s="12">
        <x:f t="shared" ref="G952:G968" si="88">G951+J952</x:f>
        <x:v>6074</x:v>
      </x:c>
      <x:c r="H952" s="12">
        <x:f t="shared" ref="H952:H968" si="89">H951+K952</x:f>
        <x:v>45959</x:v>
      </x:c>
      <x:c r="I952" s="12">
        <x:f t="shared" si="83"/>
        <x:v>279154966</x:v>
      </x:c>
      <x:c r="J952" s="12">
        <x:f>ROUND(英雄升级调参!$D$99*英雄升级调参!$J$11*英雄升级调参!$E$23,0)</x:f>
        <x:v>207</x:v>
      </x:c>
      <x:c r="K952" s="12">
        <x:f>ROUND(英雄升级调参!$D$99*英雄升级调参!$C$11*英雄升级调参!$J$11*英雄升级调参!$G$23,0)</x:f>
        <x:v>1565</x:v>
      </x:c>
      <x:c r="L952" s="12" t="n">
        <x:f>养成消耗调参!$E$181</x:f>
        <x:v>1536</x:v>
      </x:c>
      <x:c r="M952" s="12" t="n">
        <x:f>养成消耗调参!$H$181</x:f>
        <x:v>9600</x:v>
      </x:c>
      <x:c r="N952" s="12" t="n">
        <x:f>养成消耗调参!$I$181</x:f>
        <x:v>0</x:v>
      </x:c>
      <x:c r="O952" s="12" t="n">
        <x:f>养成消耗调参!$L$181</x:f>
        <x:v>24672</x:v>
      </x:c>
      <x:c r="P952" s="12" t="n">
        <x:f>养成消耗调参!$O$181</x:f>
        <x:v>145800</x:v>
      </x:c>
      <x:c r="Q952" s="12" t="n">
        <x:f>养成消耗调参!$P$181</x:f>
        <x:v>360</x:v>
      </x:c>
      <x:c r="R952" s="13">
        <x:f>I952/英雄升级调参!$M$99-1</x:f>
        <x:v>-0.0023562379010149126</x:v>
      </x:c>
      <x:c r="S952" s="6"/>
      <x:c r="T952" s="6"/>
      <x:c r="U952" s="6"/>
    </x:row>
    <x:row r="953" ht="21" customHeight="1">
      <x:c r="A953" s="14" t="n">
        <x:f>英雄升级调参!$B$23</x:f>
        <x:v>310005</x:v>
      </x:c>
      <x:c r="B953" s="14" t="str">
        <x:f>英雄升级调参!$C$23</x:f>
        <x:v>焦焦鸮</x:v>
      </x:c>
      <x:c r="C953" s="6" t="str">
        <x:f>英雄升级调参!$D$23</x:f>
        <x:v>探险家</x:v>
      </x:c>
      <x:c r="D953" s="6" t="s">
        <x:v>25</x:v>
      </x:c>
      <x:c r="E953" s="6">
        <x:v>35</x:v>
      </x:c>
      <x:c r="F953" s="6" t="n">
        <x:f>英雄升级调参!$C$100</x:f>
        <x:v>7</x:v>
      </x:c>
      <x:c r="G953" s="12">
        <x:f t="shared" si="88"/>
        <x:v>6695</x:v>
      </x:c>
      <x:c r="H953" s="12">
        <x:f t="shared" si="89"/>
        <x:v>50654</x:v>
      </x:c>
      <x:c r="I953" s="12">
        <x:f t="shared" si="83"/>
        <x:v>339128530</x:v>
      </x:c>
      <x:c r="J953" s="12">
        <x:f>ROUND(英雄升级调参!$D$100*英雄升级调参!$J$11*英雄升级调参!$E$23,0)*3</x:f>
        <x:v>621</x:v>
      </x:c>
      <x:c r="K953" s="12">
        <x:f>ROUND(英雄升级调参!$D$100*英雄升级调参!$C$11*英雄升级调参!$J$11*英雄升级调参!$G$23,0)*3</x:f>
        <x:v>4695</x:v>
      </x:c>
      <x:c r="L953" s="12" t="n">
        <x:f>养成消耗调参!$E$182</x:f>
        <x:v>1536</x:v>
      </x:c>
      <x:c r="M953" s="12" t="n">
        <x:f>养成消耗调参!$H$182</x:f>
        <x:v>9600</x:v>
      </x:c>
      <x:c r="N953" s="12" t="n">
        <x:f>养成消耗调参!$I$182</x:f>
        <x:v>130</x:v>
      </x:c>
      <x:c r="O953" s="12" t="n">
        <x:f>养成消耗调参!$L$182</x:f>
        <x:v>26208</x:v>
      </x:c>
      <x:c r="P953" s="12" t="n">
        <x:f>养成消耗调参!$O$182</x:f>
        <x:v>155400</x:v>
      </x:c>
      <x:c r="Q953" s="12" t="n">
        <x:f>养成消耗调参!$P$182</x:f>
        <x:v>490</x:v>
      </x:c>
      <x:c r="R953" s="13">
        <x:f>I953/英雄升级调参!$M$100-1</x:f>
        <x:v>-0.002151020756146149</x:v>
      </x:c>
      <x:c r="S953" s="6"/>
      <x:c r="T953" s="6"/>
      <x:c r="U953" s="6"/>
    </x:row>
    <x:row r="954" ht="21" customHeight="1">
      <x:c r="A954" s="14" t="n">
        <x:f>英雄升级调参!$B$23</x:f>
        <x:v>310005</x:v>
      </x:c>
      <x:c r="B954" s="14" t="str">
        <x:f>英雄升级调参!$C$23</x:f>
        <x:v>焦焦鸮</x:v>
      </x:c>
      <x:c r="C954" s="6" t="str">
        <x:f>英雄升级调参!$D$23</x:f>
        <x:v>探险家</x:v>
      </x:c>
      <x:c r="D954" s="6" t="s">
        <x:v>25</x:v>
      </x:c>
      <x:c r="E954" s="6">
        <x:v>36</x:v>
      </x:c>
      <x:c r="F954" s="6" t="n">
        <x:f>英雄升级调参!$C$101</x:f>
        <x:v>8</x:v>
      </x:c>
      <x:c r="G954" s="12">
        <x:f t="shared" si="88"/>
        <x:v>6928</x:v>
      </x:c>
      <x:c r="H954" s="12">
        <x:f t="shared" si="89"/>
        <x:v>52415</x:v>
      </x:c>
      <x:c r="I954" s="12">
        <x:f t="shared" si="83"/>
        <x:v>363131120</x:v>
      </x:c>
      <x:c r="J954" s="12">
        <x:f>ROUND(英雄升级调参!$D$101*英雄升级调参!$J$11*英雄升级调参!$E$23,0)</x:f>
        <x:v>233</x:v>
      </x:c>
      <x:c r="K954" s="12">
        <x:f>ROUND(英雄升级调参!$D$101*英雄升级调参!$C$11*英雄升级调参!$J$11*英雄升级调参!$G$23,0)</x:f>
        <x:v>1761</x:v>
      </x:c>
      <x:c r="L954" s="12" t="n">
        <x:f>养成消耗调参!$E$183</x:f>
        <x:v>1632</x:v>
      </x:c>
      <x:c r="M954" s="12" t="n">
        <x:f>养成消耗调参!$H$183</x:f>
        <x:v>9600</x:v>
      </x:c>
      <x:c r="N954" s="12" t="n">
        <x:f>养成消耗调参!$I$183</x:f>
        <x:v>0</x:v>
      </x:c>
      <x:c r="O954" s="12" t="n">
        <x:f>养成消耗调参!$L$183</x:f>
        <x:v>27840</x:v>
      </x:c>
      <x:c r="P954" s="12" t="n">
        <x:f>养成消耗调参!$O$183</x:f>
        <x:v>165000</x:v>
      </x:c>
      <x:c r="Q954" s="12" t="n">
        <x:f>养成消耗调参!$P$183</x:f>
        <x:v>490</x:v>
      </x:c>
      <x:c r="R954" s="13">
        <x:f>I954/英雄升级调参!$M$101-1</x:f>
        <x:v>-0.0021410223498508074</x:v>
      </x:c>
      <x:c r="S954" s="6"/>
      <x:c r="T954" s="6"/>
      <x:c r="U954" s="6"/>
    </x:row>
    <x:row r="955" ht="21" customHeight="1">
      <x:c r="A955" s="14" t="n">
        <x:f>英雄升级调参!$B$23</x:f>
        <x:v>310005</x:v>
      </x:c>
      <x:c r="B955" s="14" t="str">
        <x:f>英雄升级调参!$C$23</x:f>
        <x:v>焦焦鸮</x:v>
      </x:c>
      <x:c r="C955" s="6" t="str">
        <x:f>英雄升级调参!$D$23</x:f>
        <x:v>探险家</x:v>
      </x:c>
      <x:c r="D955" s="6" t="s">
        <x:v>25</x:v>
      </x:c>
      <x:c r="E955" s="6">
        <x:v>37</x:v>
      </x:c>
      <x:c r="F955" s="6" t="n">
        <x:f>英雄升级调参!$C$102</x:f>
        <x:v>8</x:v>
      </x:c>
      <x:c r="G955" s="12">
        <x:f t="shared" si="88"/>
        <x:v>7161</x:v>
      </x:c>
      <x:c r="H955" s="12">
        <x:f t="shared" si="89"/>
        <x:v>54176</x:v>
      </x:c>
      <x:c r="I955" s="12">
        <x:f t="shared" si="83"/>
        <x:v>387954336</x:v>
      </x:c>
      <x:c r="J955" s="12">
        <x:f>ROUND(英雄升级调参!$D$102*英雄升级调参!$J$11*英雄升级调参!$E$23,0)</x:f>
        <x:v>233</x:v>
      </x:c>
      <x:c r="K955" s="12">
        <x:f>ROUND(英雄升级调参!$D$102*英雄升级调参!$C$11*英雄升级调参!$J$11*英雄升级调参!$G$23,0)</x:f>
        <x:v>1761</x:v>
      </x:c>
      <x:c r="L955" s="12" t="n">
        <x:f>养成消耗调参!$E$184</x:f>
        <x:v>1632</x:v>
      </x:c>
      <x:c r="M955" s="12" t="n">
        <x:f>养成消耗调参!$H$184</x:f>
        <x:v>11400</x:v>
      </x:c>
      <x:c r="N955" s="12" t="n">
        <x:f>养成消耗调参!$I$184</x:f>
        <x:v>0</x:v>
      </x:c>
      <x:c r="O955" s="12" t="n">
        <x:f>养成消耗调参!$L$184</x:f>
        <x:v>29472</x:v>
      </x:c>
      <x:c r="P955" s="12" t="n">
        <x:f>养成消耗调参!$O$184</x:f>
        <x:v>176400</x:v>
      </x:c>
      <x:c r="Q955" s="12" t="n">
        <x:f>养成消耗调参!$P$184</x:f>
        <x:v>490</x:v>
      </x:c>
      <x:c r="R955" s="13">
        <x:f>I955/英雄升级调参!$M$102-1</x:f>
        <x:v>-0.00213167447519802</x:v>
      </x:c>
      <x:c r="S955" s="6"/>
      <x:c r="T955" s="6"/>
      <x:c r="U955" s="6"/>
    </x:row>
    <x:row r="956" ht="21" customHeight="1">
      <x:c r="A956" s="14" t="n">
        <x:f>英雄升级调参!$B$23</x:f>
        <x:v>310005</x:v>
      </x:c>
      <x:c r="B956" s="14" t="str">
        <x:f>英雄升级调参!$C$23</x:f>
        <x:v>焦焦鸮</x:v>
      </x:c>
      <x:c r="C956" s="6" t="str">
        <x:f>英雄升级调参!$D$23</x:f>
        <x:v>探险家</x:v>
      </x:c>
      <x:c r="D956" s="6" t="s">
        <x:v>25</x:v>
      </x:c>
      <x:c r="E956" s="6">
        <x:v>38</x:v>
      </x:c>
      <x:c r="F956" s="6" t="n">
        <x:f>英雄升级调参!$C$103</x:f>
        <x:v>8</x:v>
      </x:c>
      <x:c r="G956" s="12">
        <x:f t="shared" si="88"/>
        <x:v>7394</x:v>
      </x:c>
      <x:c r="H956" s="12">
        <x:f t="shared" si="89"/>
        <x:v>55937</x:v>
      </x:c>
      <x:c r="I956" s="12">
        <x:f t="shared" si="83"/>
        <x:v>413598178</x:v>
      </x:c>
      <x:c r="J956" s="12">
        <x:f>ROUND(英雄升级调参!$D$103*英雄升级调参!$J$11*英雄升级调参!$E$23,0)</x:f>
        <x:v>233</x:v>
      </x:c>
      <x:c r="K956" s="12">
        <x:f>ROUND(英雄升级调参!$D$103*英雄升级调参!$C$11*英雄升级调参!$J$11*英雄升级调参!$G$23,0)</x:f>
        <x:v>1761</x:v>
      </x:c>
      <x:c r="L956" s="12" t="n">
        <x:f>养成消耗调参!$E$185</x:f>
        <x:v>1728</x:v>
      </x:c>
      <x:c r="M956" s="12" t="n">
        <x:f>养成消耗调参!$H$185</x:f>
        <x:v>11400</x:v>
      </x:c>
      <x:c r="N956" s="12" t="n">
        <x:f>养成消耗调参!$I$185</x:f>
        <x:v>0</x:v>
      </x:c>
      <x:c r="O956" s="12" t="n">
        <x:f>养成消耗调参!$L$185</x:f>
        <x:v>31200</x:v>
      </x:c>
      <x:c r="P956" s="12" t="n">
        <x:f>养成消耗调参!$O$185</x:f>
        <x:v>187800</x:v>
      </x:c>
      <x:c r="Q956" s="12" t="n">
        <x:f>养成消耗调参!$P$185</x:f>
        <x:v>490</x:v>
      </x:c>
      <x:c r="R956" s="13">
        <x:f>I956/英雄升级调参!$M$103-1</x:f>
        <x:v>-0.0021229156436933794</x:v>
      </x:c>
      <x:c r="S956" s="6"/>
      <x:c r="T956" s="6"/>
      <x:c r="U956" s="6"/>
    </x:row>
    <x:row r="957" ht="21" customHeight="1">
      <x:c r="A957" s="14" t="n">
        <x:f>英雄升级调参!$B$23</x:f>
        <x:v>310005</x:v>
      </x:c>
      <x:c r="B957" s="14" t="str">
        <x:f>英雄升级调参!$C$23</x:f>
        <x:v>焦焦鸮</x:v>
      </x:c>
      <x:c r="C957" s="6" t="str">
        <x:f>英雄升级调参!$D$23</x:f>
        <x:v>探险家</x:v>
      </x:c>
      <x:c r="D957" s="6" t="s">
        <x:v>25</x:v>
      </x:c>
      <x:c r="E957" s="6">
        <x:v>39</x:v>
      </x:c>
      <x:c r="F957" s="6" t="n">
        <x:f>英雄升级调参!$C$104</x:f>
        <x:v>8</x:v>
      </x:c>
      <x:c r="G957" s="12">
        <x:f t="shared" si="88"/>
        <x:v>7627</x:v>
      </x:c>
      <x:c r="H957" s="12">
        <x:f t="shared" si="89"/>
        <x:v>57698</x:v>
      </x:c>
      <x:c r="I957" s="12">
        <x:f t="shared" si="83"/>
        <x:v>440062646</x:v>
      </x:c>
      <x:c r="J957" s="12">
        <x:f>ROUND(英雄升级调参!$D$104*英雄升级调参!$J$11*英雄升级调参!$E$23,0)</x:f>
        <x:v>233</x:v>
      </x:c>
      <x:c r="K957" s="12">
        <x:f>ROUND(英雄升级调参!$D$104*英雄升级调参!$C$11*英雄升级调参!$J$11*英雄升级调参!$G$23,0)</x:f>
        <x:v>1761</x:v>
      </x:c>
      <x:c r="L957" s="12" t="n">
        <x:f>养成消耗调参!$E$186</x:f>
        <x:v>1728</x:v>
      </x:c>
      <x:c r="M957" s="12" t="n">
        <x:f>养成消耗调参!$H$186</x:f>
        <x:v>11400</x:v>
      </x:c>
      <x:c r="N957" s="12" t="n">
        <x:f>养成消耗调参!$I$186</x:f>
        <x:v>0</x:v>
      </x:c>
      <x:c r="O957" s="12" t="n">
        <x:f>养成消耗调参!$L$186</x:f>
        <x:v>32928</x:v>
      </x:c>
      <x:c r="P957" s="12" t="n">
        <x:f>养成消耗调参!$O$186</x:f>
        <x:v>199200</x:v>
      </x:c>
      <x:c r="Q957" s="12" t="n">
        <x:f>养成消耗调参!$P$186</x:f>
        <x:v>490</x:v>
      </x:c>
      <x:c r="R957" s="13">
        <x:f>I957/英雄升级调参!$M$104-1</x:f>
        <x:v>-0.002114691879366526</x:v>
      </x:c>
      <x:c r="S957" s="6"/>
      <x:c r="T957" s="6"/>
      <x:c r="U957" s="6"/>
    </x:row>
    <x:row r="958" ht="21" customHeight="1">
      <x:c r="A958" s="14" t="n">
        <x:f>英雄升级调参!$B$23</x:f>
        <x:v>310005</x:v>
      </x:c>
      <x:c r="B958" s="14" t="str">
        <x:f>英雄升级调参!$C$23</x:f>
        <x:v>焦焦鸮</x:v>
      </x:c>
      <x:c r="C958" s="6" t="str">
        <x:f>英雄升级调参!$D$23</x:f>
        <x:v>探险家</x:v>
      </x:c>
      <x:c r="D958" s="6" t="s">
        <x:v>25</x:v>
      </x:c>
      <x:c r="E958" s="6">
        <x:v>40</x:v>
      </x:c>
      <x:c r="F958" s="6" t="n">
        <x:f>英雄升级调参!$C$105</x:f>
        <x:v>8</x:v>
      </x:c>
      <x:c r="G958" s="12">
        <x:f t="shared" si="88"/>
        <x:v>8326</x:v>
      </x:c>
      <x:c r="H958" s="12">
        <x:f t="shared" si="89"/>
        <x:v>62981</x:v>
      </x:c>
      <x:c r="I958" s="12">
        <x:f t="shared" si="83"/>
        <x:v>524379806</x:v>
      </x:c>
      <x:c r="J958" s="12">
        <x:f>ROUND(英雄升级调参!$D$105*英雄升级调参!$J$11*英雄升级调参!$E$23,0)*3</x:f>
        <x:v>699</x:v>
      </x:c>
      <x:c r="K958" s="12">
        <x:f>ROUND(英雄升级调参!$D$105*英雄升级调参!$C$11*英雄升级调参!$J$11*英雄升级调参!$G$23,0)*3</x:f>
        <x:v>5283</x:v>
      </x:c>
      <x:c r="L958" s="12" t="n">
        <x:f>养成消耗调参!$E$187</x:f>
        <x:v>1824</x:v>
      </x:c>
      <x:c r="M958" s="12" t="n">
        <x:f>养成消耗调参!$H$187</x:f>
        <x:v>11400</x:v>
      </x:c>
      <x:c r="N958" s="12" t="n">
        <x:f>养成消耗调参!$I$187</x:f>
        <x:v>150</x:v>
      </x:c>
      <x:c r="O958" s="12" t="n">
        <x:f>养成消耗调参!$L$187</x:f>
        <x:v>34752</x:v>
      </x:c>
      <x:c r="P958" s="12" t="n">
        <x:f>养成消耗调参!$O$187</x:f>
        <x:v>210600</x:v>
      </x:c>
      <x:c r="Q958" s="12" t="n">
        <x:f>养成消耗调参!$P$187</x:f>
        <x:v>640</x:v>
      </x:c>
      <x:c r="R958" s="13">
        <x:f>I958/英雄升级调参!$M$105-1</x:f>
        <x:v>-0.0020927818461887737</x:v>
      </x:c>
      <x:c r="S958" s="6"/>
      <x:c r="T958" s="6"/>
      <x:c r="U958" s="6"/>
    </x:row>
    <x:row r="959" ht="21" customHeight="1">
      <x:c r="A959" s="14" t="n">
        <x:f>英雄升级调参!$B$23</x:f>
        <x:v>310005</x:v>
      </x:c>
      <x:c r="B959" s="14" t="str">
        <x:f>英雄升级调参!$C$23</x:f>
        <x:v>焦焦鸮</x:v>
      </x:c>
      <x:c r="C959" s="6" t="str">
        <x:f>英雄升级调参!$D$23</x:f>
        <x:v>探险家</x:v>
      </x:c>
      <x:c r="D959" s="6" t="s">
        <x:v>25</x:v>
      </x:c>
      <x:c r="E959" s="6">
        <x:v>41</x:v>
      </x:c>
      <x:c r="F959" s="6" t="n">
        <x:f>英雄升级调参!$C$106</x:f>
        <x:v>9</x:v>
      </x:c>
      <x:c r="G959" s="12">
        <x:f t="shared" si="88"/>
        <x:v>8585</x:v>
      </x:c>
      <x:c r="H959" s="12">
        <x:f t="shared" si="89"/>
        <x:v>64938</x:v>
      </x:c>
      <x:c r="I959" s="12">
        <x:f t="shared" si="83"/>
        <x:v>557492730</x:v>
      </x:c>
      <x:c r="J959" s="12">
        <x:f>ROUND(英雄升级调参!$D$106*英雄升级调参!$J$11*英雄升级调参!$E$23,0)</x:f>
        <x:v>259</x:v>
      </x:c>
      <x:c r="K959" s="12">
        <x:f>ROUND(英雄升级调参!$D$106*英雄升级调参!$C$11*英雄升级调参!$J$11*英雄升级调参!$G$23,0)</x:f>
        <x:v>1957</x:v>
      </x:c>
      <x:c r="L959" s="12" t="n">
        <x:f>养成消耗调参!$E$188</x:f>
        <x:v>1824</x:v>
      </x:c>
      <x:c r="M959" s="12" t="n">
        <x:f>养成消耗调参!$H$188</x:f>
        <x:v>11400</x:v>
      </x:c>
      <x:c r="N959" s="12" t="n">
        <x:f>养成消耗调参!$I$188</x:f>
        <x:v>0</x:v>
      </x:c>
      <x:c r="O959" s="12" t="n">
        <x:f>养成消耗调参!$L$188</x:f>
        <x:v>36576</x:v>
      </x:c>
      <x:c r="P959" s="12" t="n">
        <x:f>养成消耗调参!$O$188</x:f>
        <x:v>222000</x:v>
      </x:c>
      <x:c r="Q959" s="12" t="n">
        <x:f>养成消耗调参!$P$188</x:f>
        <x:v>640</x:v>
      </x:c>
      <x:c r="R959" s="13">
        <x:f>I959/英雄升级调参!$M$106-1</x:f>
        <x:v>-0.001993425530293469</x:v>
      </x:c>
      <x:c r="S959" s="6"/>
      <x:c r="T959" s="6"/>
      <x:c r="U959" s="6"/>
    </x:row>
    <x:row r="960" ht="21" customHeight="1">
      <x:c r="A960" s="14" t="n">
        <x:f>英雄升级调参!$B$23</x:f>
        <x:v>310005</x:v>
      </x:c>
      <x:c r="B960" s="14" t="str">
        <x:f>英雄升级调参!$C$23</x:f>
        <x:v>焦焦鸮</x:v>
      </x:c>
      <x:c r="C960" s="6" t="str">
        <x:f>英雄升级调参!$D$23</x:f>
        <x:v>探险家</x:v>
      </x:c>
      <x:c r="D960" s="6" t="s">
        <x:v>25</x:v>
      </x:c>
      <x:c r="E960" s="6">
        <x:v>42</x:v>
      </x:c>
      <x:c r="F960" s="6" t="n">
        <x:f>英雄升级调参!$C$107</x:f>
        <x:v>9</x:v>
      </x:c>
      <x:c r="G960" s="12">
        <x:f t="shared" si="88"/>
        <x:v>8844</x:v>
      </x:c>
      <x:c r="H960" s="12">
        <x:f t="shared" si="89"/>
        <x:v>66895</x:v>
      </x:c>
      <x:c r="I960" s="12">
        <x:f t="shared" si="83"/>
        <x:v>591619380</x:v>
      </x:c>
      <x:c r="J960" s="12">
        <x:f>ROUND(英雄升级调参!$D$107*英雄升级调参!$J$11*英雄升级调参!$E$23,0)</x:f>
        <x:v>259</x:v>
      </x:c>
      <x:c r="K960" s="12">
        <x:f>ROUND(英雄升级调参!$D$107*英雄升级调参!$C$11*英雄升级调参!$J$11*英雄升级调参!$G$23,0)</x:f>
        <x:v>1957</x:v>
      </x:c>
      <x:c r="L960" s="12" t="n">
        <x:f>养成消耗调参!$E$189</x:f>
        <x:v>1920</x:v>
      </x:c>
      <x:c r="M960" s="12" t="n">
        <x:f>养成消耗调参!$H$189</x:f>
        <x:v>13200</x:v>
      </x:c>
      <x:c r="N960" s="12" t="n">
        <x:f>养成消耗调参!$I$189</x:f>
        <x:v>0</x:v>
      </x:c>
      <x:c r="O960" s="12" t="n">
        <x:f>养成消耗调参!$L$189</x:f>
        <x:v>38496</x:v>
      </x:c>
      <x:c r="P960" s="12" t="n">
        <x:f>养成消耗调参!$O$189</x:f>
        <x:v>235200</x:v>
      </x:c>
      <x:c r="Q960" s="12" t="n">
        <x:f>养成消耗调参!$P$189</x:f>
        <x:v>640</x:v>
      </x:c>
      <x:c r="R960" s="13">
        <x:f>I960/英雄升级调参!$M$107-1</x:f>
        <x:v>-0.001899870959800709</x:v>
      </x:c>
      <x:c r="S960" s="6"/>
      <x:c r="T960" s="6"/>
      <x:c r="U960" s="6"/>
    </x:row>
    <x:row r="961" ht="21" customHeight="1">
      <x:c r="A961" s="14" t="n">
        <x:f>英雄升级调参!$B$23</x:f>
        <x:v>310005</x:v>
      </x:c>
      <x:c r="B961" s="14" t="str">
        <x:f>英雄升级调参!$C$23</x:f>
        <x:v>焦焦鸮</x:v>
      </x:c>
      <x:c r="C961" s="6" t="str">
        <x:f>英雄升级调参!$D$23</x:f>
        <x:v>探险家</x:v>
      </x:c>
      <x:c r="D961" s="6" t="s">
        <x:v>25</x:v>
      </x:c>
      <x:c r="E961" s="6">
        <x:v>43</x:v>
      </x:c>
      <x:c r="F961" s="6" t="n">
        <x:f>英雄升级调参!$C$108</x:f>
        <x:v>9</x:v>
      </x:c>
      <x:c r="G961" s="12">
        <x:f t="shared" si="88"/>
        <x:v>9103</x:v>
      </x:c>
      <x:c r="H961" s="12">
        <x:f t="shared" si="89"/>
        <x:v>68852</x:v>
      </x:c>
      <x:c r="I961" s="12">
        <x:f t="shared" si="83"/>
        <x:v>626759756</x:v>
      </x:c>
      <x:c r="J961" s="12">
        <x:f>ROUND(英雄升级调参!$D$108*英雄升级调参!$J$11*英雄升级调参!$E$23,0)</x:f>
        <x:v>259</x:v>
      </x:c>
      <x:c r="K961" s="12">
        <x:f>ROUND(英雄升级调参!$D$108*英雄升级调参!$C$11*英雄升级调参!$J$11*英雄升级调参!$G$23,0)</x:f>
        <x:v>1957</x:v>
      </x:c>
      <x:c r="L961" s="12" t="n">
        <x:f>养成消耗调参!$E$190</x:f>
        <x:v>1920</x:v>
      </x:c>
      <x:c r="M961" s="12" t="n">
        <x:f>养成消耗调参!$H$190</x:f>
        <x:v>13200</x:v>
      </x:c>
      <x:c r="N961" s="12" t="n">
        <x:f>养成消耗调参!$I$190</x:f>
        <x:v>0</x:v>
      </x:c>
      <x:c r="O961" s="12" t="n">
        <x:f>养成消耗调参!$L$190</x:f>
        <x:v>40416</x:v>
      </x:c>
      <x:c r="P961" s="12" t="n">
        <x:f>养成消耗调参!$O$190</x:f>
        <x:v>248400</x:v>
      </x:c>
      <x:c r="Q961" s="12" t="n">
        <x:f>养成消耗调参!$P$190</x:f>
        <x:v>640</x:v>
      </x:c>
      <x:c r="R961" s="13">
        <x:f>I961/英雄升级调参!$M$108-1</x:f>
        <x:v>-0.0018116243760702977</x:v>
      </x:c>
      <x:c r="S961" s="6"/>
      <x:c r="T961" s="6"/>
      <x:c r="U961" s="6"/>
    </x:row>
    <x:row r="962" ht="21" customHeight="1">
      <x:c r="A962" s="14" t="n">
        <x:f>英雄升级调参!$B$23</x:f>
        <x:v>310005</x:v>
      </x:c>
      <x:c r="B962" s="14" t="str">
        <x:f>英雄升级调参!$C$23</x:f>
        <x:v>焦焦鸮</x:v>
      </x:c>
      <x:c r="C962" s="6" t="str">
        <x:f>英雄升级调参!$D$23</x:f>
        <x:v>探险家</x:v>
      </x:c>
      <x:c r="D962" s="6" t="s">
        <x:v>25</x:v>
      </x:c>
      <x:c r="E962" s="6">
        <x:v>44</x:v>
      </x:c>
      <x:c r="F962" s="6" t="n">
        <x:f>英雄升级调参!$C$109</x:f>
        <x:v>9</x:v>
      </x:c>
      <x:c r="G962" s="12">
        <x:f t="shared" si="88"/>
        <x:v>9362</x:v>
      </x:c>
      <x:c r="H962" s="12">
        <x:f t="shared" si="89"/>
        <x:v>70809</x:v>
      </x:c>
      <x:c r="I962" s="12">
        <x:f t="shared" si="83"/>
        <x:v>662913858</x:v>
      </x:c>
      <x:c r="J962" s="12">
        <x:f>ROUND(英雄升级调参!$D$109*英雄升级调参!$J$11*英雄升级调参!$E$23,0)</x:f>
        <x:v>259</x:v>
      </x:c>
      <x:c r="K962" s="12">
        <x:f>ROUND(英雄升级调参!$D$109*英雄升级调参!$C$11*英雄升级调参!$J$11*英雄升级调参!$G$23,0)</x:f>
        <x:v>1957</x:v>
      </x:c>
      <x:c r="L962" s="12" t="n">
        <x:f>养成消耗调参!$E$191</x:f>
        <x:v>2016</x:v>
      </x:c>
      <x:c r="M962" s="12" t="n">
        <x:f>养成消耗调参!$H$191</x:f>
        <x:v>13200</x:v>
      </x:c>
      <x:c r="N962" s="12" t="n">
        <x:f>养成消耗调参!$I$191</x:f>
        <x:v>0</x:v>
      </x:c>
      <x:c r="O962" s="12" t="n">
        <x:f>养成消耗调参!$L$191</x:f>
        <x:v>42432</x:v>
      </x:c>
      <x:c r="P962" s="12" t="n">
        <x:f>养成消耗调参!$O$191</x:f>
        <x:v>261600</x:v>
      </x:c>
      <x:c r="Q962" s="12" t="n">
        <x:f>养成消耗调参!$P$191</x:f>
        <x:v>640</x:v>
      </x:c>
      <x:c r="R962" s="13">
        <x:f>I962/英雄升级调参!$M$109-1</x:f>
        <x:v>-0.0017282465034264005</x:v>
      </x:c>
      <x:c r="S962" s="6"/>
      <x:c r="T962" s="6"/>
      <x:c r="U962" s="6"/>
    </x:row>
    <x:row r="963" ht="21" customHeight="1">
      <x:c r="A963" s="14" t="n">
        <x:f>英雄升级调参!$B$23</x:f>
        <x:v>310005</x:v>
      </x:c>
      <x:c r="B963" s="14" t="str">
        <x:f>英雄升级调参!$C$23</x:f>
        <x:v>焦焦鸮</x:v>
      </x:c>
      <x:c r="C963" s="6" t="str">
        <x:f>英雄升级调参!$D$23</x:f>
        <x:v>探险家</x:v>
      </x:c>
      <x:c r="D963" s="6" t="s">
        <x:v>25</x:v>
      </x:c>
      <x:c r="E963" s="6">
        <x:v>45</x:v>
      </x:c>
      <x:c r="F963" s="6" t="n">
        <x:f>英雄升级调参!$C$110</x:f>
        <x:v>9</x:v>
      </x:c>
      <x:c r="G963" s="12">
        <x:f t="shared" si="88"/>
        <x:v>10139</x:v>
      </x:c>
      <x:c r="H963" s="12">
        <x:f t="shared" si="89"/>
        <x:v>76680</x:v>
      </x:c>
      <x:c r="I963" s="12">
        <x:f t="shared" si="83"/>
        <x:v>777458520</x:v>
      </x:c>
      <x:c r="J963" s="12">
        <x:f>ROUND(英雄升级调参!$D$110*英雄升级调参!$J$11*英雄升级调参!$E$23,0)*3</x:f>
        <x:v>777</x:v>
      </x:c>
      <x:c r="K963" s="12">
        <x:f>ROUND(英雄升级调参!$D$110*英雄升级调参!$C$11*英雄升级调参!$J$11*英雄升级调参!$G$23,0)*3</x:f>
        <x:v>5871</x:v>
      </x:c>
      <x:c r="L963" s="12" t="n">
        <x:f>养成消耗调参!$E$192</x:f>
        <x:v>2016</x:v>
      </x:c>
      <x:c r="M963" s="12" t="n">
        <x:f>养成消耗调参!$H$192</x:f>
        <x:v>13200</x:v>
      </x:c>
      <x:c r="N963" s="12" t="n">
        <x:f>养成消耗调参!$I$192</x:f>
        <x:v>170</x:v>
      </x:c>
      <x:c r="O963" s="12" t="n">
        <x:f>养成消耗调参!$L$192</x:f>
        <x:v>44448</x:v>
      </x:c>
      <x:c r="P963" s="12" t="n">
        <x:f>养成消耗调参!$O$192</x:f>
        <x:v>274800</x:v>
      </x:c>
      <x:c r="Q963" s="12" t="n">
        <x:f>养成消耗调参!$P$192</x:f>
        <x:v>810</x:v>
      </x:c>
      <x:c r="R963" s="13">
        <x:f>I963/英雄升级调参!$M$110-1</x:f>
        <x:v>-0.0015036038909762572</x:v>
      </x:c>
      <x:c r="S963" s="6"/>
      <x:c r="T963" s="6"/>
      <x:c r="U963" s="6"/>
    </x:row>
    <x:row r="964" ht="21" customHeight="1">
      <x:c r="A964" s="14" t="n">
        <x:f>英雄升级调参!$B$23</x:f>
        <x:v>310005</x:v>
      </x:c>
      <x:c r="B964" s="14" t="str">
        <x:f>英雄升级调参!$C$23</x:f>
        <x:v>焦焦鸮</x:v>
      </x:c>
      <x:c r="C964" s="6" t="str">
        <x:f>英雄升级调参!$D$23</x:f>
        <x:v>探险家</x:v>
      </x:c>
      <x:c r="D964" s="6" t="s">
        <x:v>25</x:v>
      </x:c>
      <x:c r="E964" s="6">
        <x:v>46</x:v>
      </x:c>
      <x:c r="F964" s="6" t="n">
        <x:f>英雄升级调参!$C$111</x:f>
        <x:v>10</x:v>
      </x:c>
      <x:c r="G964" s="12">
        <x:f t="shared" si="88"/>
        <x:v>10424</x:v>
      </x:c>
      <x:c r="H964" s="12">
        <x:f t="shared" si="89"/>
        <x:v>78832</x:v>
      </x:c>
      <x:c r="I964" s="12">
        <x:f t="shared" si="83"/>
        <x:v>821744768</x:v>
      </x:c>
      <x:c r="J964" s="12">
        <x:f>ROUND(英雄升级调参!$D$111*英雄升级调参!$J$11*英雄升级调参!$E$23,0)</x:f>
        <x:v>285</x:v>
      </x:c>
      <x:c r="K964" s="12">
        <x:f>ROUND(英雄升级调参!$D$111*英雄升级调参!$C$11*英雄升级调参!$J$11*英雄升级调参!$G$23,0)</x:f>
        <x:v>2152</x:v>
      </x:c>
      <x:c r="L964" s="12" t="n">
        <x:f>养成消耗调参!$E$193</x:f>
        <x:v>2112</x:v>
      </x:c>
      <x:c r="M964" s="12" t="n">
        <x:f>养成消耗调参!$H$193</x:f>
        <x:v>13200</x:v>
      </x:c>
      <x:c r="N964" s="12" t="n">
        <x:f>养成消耗调参!$I$193</x:f>
        <x:v>0</x:v>
      </x:c>
      <x:c r="O964" s="12" t="n">
        <x:f>养成消耗调参!$L$193</x:f>
        <x:v>46560</x:v>
      </x:c>
      <x:c r="P964" s="12" t="n">
        <x:f>养成消耗调参!$O$193</x:f>
        <x:v>288000</x:v>
      </x:c>
      <x:c r="Q964" s="12" t="n">
        <x:f>养成消耗调参!$P$193</x:f>
        <x:v>810</x:v>
      </x:c>
      <x:c r="R964" s="13">
        <x:f>I964/英雄升级调参!$M$111-1</x:f>
        <x:v>-0.0014838851991149093</x:v>
      </x:c>
      <x:c r="S964" s="6"/>
      <x:c r="T964" s="6"/>
      <x:c r="U964" s="6"/>
    </x:row>
    <x:row r="965" ht="21" customHeight="1">
      <x:c r="A965" s="14" t="n">
        <x:f>英雄升级调参!$B$23</x:f>
        <x:v>310005</x:v>
      </x:c>
      <x:c r="B965" s="14" t="str">
        <x:f>英雄升级调参!$C$23</x:f>
        <x:v>焦焦鸮</x:v>
      </x:c>
      <x:c r="C965" s="6" t="str">
        <x:f>英雄升级调参!$D$23</x:f>
        <x:v>探险家</x:v>
      </x:c>
      <x:c r="D965" s="6" t="s">
        <x:v>25</x:v>
      </x:c>
      <x:c r="E965" s="6">
        <x:v>47</x:v>
      </x:c>
      <x:c r="F965" s="6" t="n">
        <x:f>英雄升级调参!$C$112</x:f>
        <x:v>10</x:v>
      </x:c>
      <x:c r="G965" s="12">
        <x:f t="shared" si="88"/>
        <x:v>10709</x:v>
      </x:c>
      <x:c r="H965" s="12">
        <x:f t="shared" si="89"/>
        <x:v>80984</x:v>
      </x:c>
      <x:c r="I965" s="12">
        <x:f t="shared" ref="I965:I1028" si="90">G965*H965</x:f>
        <x:v>867257656</x:v>
      </x:c>
      <x:c r="J965" s="12">
        <x:f>ROUND(英雄升级调参!$D$112*英雄升级调参!$J$11*英雄升级调参!$E$23,0)</x:f>
        <x:v>285</x:v>
      </x:c>
      <x:c r="K965" s="12">
        <x:f>ROUND(英雄升级调参!$D$112*英雄升级调参!$C$11*英雄升级调参!$J$11*英雄升级调参!$G$23,0)</x:f>
        <x:v>2152</x:v>
      </x:c>
      <x:c r="L965" s="12" t="n">
        <x:f>养成消耗调参!$E$194</x:f>
        <x:v>2112</x:v>
      </x:c>
      <x:c r="M965" s="12" t="n">
        <x:f>养成消耗调参!$H$194</x:f>
        <x:v>15000</x:v>
      </x:c>
      <x:c r="N965" s="12" t="n">
        <x:f>养成消耗调参!$I$194</x:f>
        <x:v>0</x:v>
      </x:c>
      <x:c r="O965" s="12" t="n">
        <x:f>养成消耗调参!$L$194</x:f>
        <x:v>48672</x:v>
      </x:c>
      <x:c r="P965" s="12" t="n">
        <x:f>养成消耗调参!$O$194</x:f>
        <x:v>303000</x:v>
      </x:c>
      <x:c r="Q965" s="12" t="n">
        <x:f>养成消耗调参!$P$194</x:f>
        <x:v>810</x:v>
      </x:c>
      <x:c r="R965" s="13">
        <x:f>I965/英雄升级调参!$M$112-1</x:f>
        <x:v>-0.001465215534694586</x:v>
      </x:c>
      <x:c r="S965" s="6"/>
      <x:c r="T965" s="6"/>
      <x:c r="U965" s="6"/>
    </x:row>
    <x:row r="966" ht="21" customHeight="1">
      <x:c r="A966" s="14" t="n">
        <x:f>英雄升级调参!$B$23</x:f>
        <x:v>310005</x:v>
      </x:c>
      <x:c r="B966" s="14" t="str">
        <x:f>英雄升级调参!$C$23</x:f>
        <x:v>焦焦鸮</x:v>
      </x:c>
      <x:c r="C966" s="6" t="str">
        <x:f>英雄升级调参!$D$23</x:f>
        <x:v>探险家</x:v>
      </x:c>
      <x:c r="D966" s="6" t="s">
        <x:v>25</x:v>
      </x:c>
      <x:c r="E966" s="6">
        <x:v>48</x:v>
      </x:c>
      <x:c r="F966" s="6" t="n">
        <x:f>英雄升级调参!$C$113</x:f>
        <x:v>10</x:v>
      </x:c>
      <x:c r="G966" s="12">
        <x:f t="shared" si="88"/>
        <x:v>10994</x:v>
      </x:c>
      <x:c r="H966" s="12">
        <x:f t="shared" si="89"/>
        <x:v>83136</x:v>
      </x:c>
      <x:c r="I966" s="12">
        <x:f t="shared" si="90"/>
        <x:v>913997184</x:v>
      </x:c>
      <x:c r="J966" s="12">
        <x:f>ROUND(英雄升级调参!$D$113*英雄升级调参!$J$11*英雄升级调参!$E$23,0)</x:f>
        <x:v>285</x:v>
      </x:c>
      <x:c r="K966" s="12">
        <x:f>ROUND(英雄升级调参!$D$113*英雄升级调参!$C$11*英雄升级调参!$J$11*英雄升级调参!$G$23,0)</x:f>
        <x:v>2152</x:v>
      </x:c>
      <x:c r="L966" s="12" t="n">
        <x:f>养成消耗调参!$E$195</x:f>
        <x:v>2208</x:v>
      </x:c>
      <x:c r="M966" s="12" t="n">
        <x:f>养成消耗调参!$H$195</x:f>
        <x:v>15000</x:v>
      </x:c>
      <x:c r="N966" s="12" t="n">
        <x:f>养成消耗调参!$I$195</x:f>
        <x:v>0</x:v>
      </x:c>
      <x:c r="O966" s="12" t="n">
        <x:f>养成消耗调参!$L$195</x:f>
        <x:v>50880</x:v>
      </x:c>
      <x:c r="P966" s="12" t="n">
        <x:f>养成消耗调参!$O$195</x:f>
        <x:v>318000</x:v>
      </x:c>
      <x:c r="Q966" s="12" t="n">
        <x:f>养成消耗调参!$P$195</x:f>
        <x:v>810</x:v>
      </x:c>
      <x:c r="R966" s="13">
        <x:f>I966/英雄升级调参!$M$113-1</x:f>
        <x:v>-0.0014475133549295416</x:v>
      </x:c>
      <x:c r="S966" s="6"/>
      <x:c r="T966" s="6"/>
      <x:c r="U966" s="6"/>
    </x:row>
    <x:row r="967" ht="21" customHeight="1">
      <x:c r="A967" s="14" t="n">
        <x:f>英雄升级调参!$B$23</x:f>
        <x:v>310005</x:v>
      </x:c>
      <x:c r="B967" s="14" t="str">
        <x:f>英雄升级调参!$C$23</x:f>
        <x:v>焦焦鸮</x:v>
      </x:c>
      <x:c r="C967" s="6" t="str">
        <x:f>英雄升级调参!$D$23</x:f>
        <x:v>探险家</x:v>
      </x:c>
      <x:c r="D967" s="6" t="s">
        <x:v>25</x:v>
      </x:c>
      <x:c r="E967" s="6">
        <x:v>49</x:v>
      </x:c>
      <x:c r="F967" s="6" t="n">
        <x:f>英雄升级调参!$C$114</x:f>
        <x:v>10</x:v>
      </x:c>
      <x:c r="G967" s="12">
        <x:f t="shared" si="88"/>
        <x:v>11279</x:v>
      </x:c>
      <x:c r="H967" s="12">
        <x:f t="shared" si="89"/>
        <x:v>85288</x:v>
      </x:c>
      <x:c r="I967" s="12">
        <x:f t="shared" si="90"/>
        <x:v>961963352</x:v>
      </x:c>
      <x:c r="J967" s="12">
        <x:f>ROUND(英雄升级调参!$D$114*英雄升级调参!$J$11*英雄升级调参!$E$23,0)</x:f>
        <x:v>285</x:v>
      </x:c>
      <x:c r="K967" s="12">
        <x:f>ROUND(英雄升级调参!$D$114*英雄升级调参!$C$11*英雄升级调参!$J$11*英雄升级调参!$G$23,0)</x:f>
        <x:v>2152</x:v>
      </x:c>
      <x:c r="L967" s="12" t="n">
        <x:f>养成消耗调参!$E$196</x:f>
        <x:v>2208</x:v>
      </x:c>
      <x:c r="M967" s="12" t="n">
        <x:f>养成消耗调参!$H$196</x:f>
        <x:v>15000</x:v>
      </x:c>
      <x:c r="N967" s="12" t="n">
        <x:f>养成消耗调参!$I$196</x:f>
        <x:v>0</x:v>
      </x:c>
      <x:c r="O967" s="12" t="n">
        <x:f>养成消耗调参!$L$196</x:f>
        <x:v>53088</x:v>
      </x:c>
      <x:c r="P967" s="12" t="n">
        <x:f>养成消耗调参!$O$196</x:f>
        <x:v>333000</x:v>
      </x:c>
      <x:c r="Q967" s="12" t="n">
        <x:f>养成消耗调参!$P$196</x:f>
        <x:v>810</x:v>
      </x:c>
      <x:c r="R967" s="13">
        <x:f>I967/英雄升级调参!$M$114-1</x:f>
        <x:v>-0.0014307053548741067</x:v>
      </x:c>
      <x:c r="S967" s="6"/>
      <x:c r="T967" s="6"/>
      <x:c r="U967" s="6"/>
    </x:row>
    <x:row r="968" ht="21" customHeight="1">
      <x:c r="A968" s="14" t="n">
        <x:f>英雄升级调参!$B$23</x:f>
        <x:v>310005</x:v>
      </x:c>
      <x:c r="B968" s="14" t="str">
        <x:f>英雄升级调参!$C$23</x:f>
        <x:v>焦焦鸮</x:v>
      </x:c>
      <x:c r="C968" s="6" t="str">
        <x:f>英雄升级调参!$D$23</x:f>
        <x:v>探险家</x:v>
      </x:c>
      <x:c r="D968" s="6" t="s">
        <x:v>25</x:v>
      </x:c>
      <x:c r="E968" s="6">
        <x:v>50</x:v>
      </x:c>
      <x:c r="F968" s="6" t="n">
        <x:f>英雄升级调参!$C$115</x:f>
        <x:v>10</x:v>
      </x:c>
      <x:c r="G968" s="12">
        <x:f t="shared" si="88"/>
        <x:v>12134</x:v>
      </x:c>
      <x:c r="H968" s="12">
        <x:f t="shared" si="89"/>
        <x:v>91744</x:v>
      </x:c>
      <x:c r="I968" s="12">
        <x:f t="shared" si="90"/>
        <x:v>1113221696</x:v>
      </x:c>
      <x:c r="J968" s="12">
        <x:f>ROUND(英雄升级调参!$D$115*英雄升级调参!$J$11*英雄升级调参!$E$23,0)*3</x:f>
        <x:v>855</x:v>
      </x:c>
      <x:c r="K968" s="12">
        <x:f>ROUND(英雄升级调参!$D$115*英雄升级调参!$C$11*英雄升级调参!$J$11*英雄升级调参!$G$23,0)*3</x:f>
        <x:v>6456</x:v>
      </x:c>
      <x:c r="L968" s="12" t="n">
        <x:f>养成消耗调参!$E$197</x:f>
        <x:v>2304</x:v>
      </x:c>
      <x:c r="M968" s="12" t="n">
        <x:f>养成消耗调参!$H$197</x:f>
        <x:v>15000</x:v>
      </x:c>
      <x:c r="N968" s="12" t="n">
        <x:f>养成消耗调参!$I$197</x:f>
        <x:v>190</x:v>
      </x:c>
      <x:c r="O968" s="12" t="n">
        <x:f>养成消耗调参!$L$197</x:f>
        <x:v>55392</x:v>
      </x:c>
      <x:c r="P968" s="12" t="n">
        <x:f>养成消耗调参!$O$197</x:f>
        <x:v>348000</x:v>
      </x:c>
      <x:c r="Q968" s="12" t="n">
        <x:f>养成消耗调参!$P$197</x:f>
        <x:v>1000</x:v>
      </x:c>
      <x:c r="R968" s="13">
        <x:f>I968/英雄升级调参!$M$115-1</x:f>
        <x:v>-0.0013850166438342804</x:v>
      </x:c>
      <x:c r="S968" s="6"/>
      <x:c r="T968" s="6"/>
      <x:c r="U968" s="6"/>
    </x:row>
    <x:row r="969" ht="21" customHeight="1">
      <x:c r="A969" s="14" t="n">
        <x:f>英雄升级调参!$B$24</x:f>
        <x:v>310006</x:v>
      </x:c>
      <x:c r="B969" s="14" t="str">
        <x:f>英雄升级调参!$C$24</x:f>
        <x:v>玛莫莉莉狮</x:v>
      </x:c>
      <x:c r="C969" s="6" t="str">
        <x:f>英雄升级调参!$D$24</x:f>
        <x:v>战士</x:v>
      </x:c>
      <x:c r="D969" s="6" t="s">
        <x:v>18</x:v>
      </x:c>
      <x:c r="E969" s="6">
        <x:v>1</x:v>
      </x:c>
      <x:c r="F969" s="6" t="n">
        <x:f>英雄升级调参!$C$66</x:f>
        <x:v>1</x:v>
      </x:c>
      <x:c r="G969" s="12" t="n">
        <x:f>ROUND(英雄升级调参!$E$66*英雄升级调参!$E$24,0)</x:f>
        <x:v>72</x:v>
      </x:c>
      <x:c r="H969" s="12" t="n">
        <x:f>ROUND(英雄升级调参!$F$66*英雄升级调参!$G$24,0)</x:f>
        <x:v>500</x:v>
      </x:c>
      <x:c r="I969" s="12">
        <x:f t="shared" si="90"/>
        <x:v>36000</x:v>
      </x:c>
      <x:c r="J969" s="12" t="n">
        <x:f>0</x:f>
        <x:v>0</x:v>
      </x:c>
      <x:c r="K969" s="12" t="n">
        <x:f>0</x:f>
        <x:v>0</x:v>
      </x:c>
      <x:c r="L969" s="12" t="n">
        <x:f>养成消耗调参!$C$148</x:f>
        <x:v>0</x:v>
      </x:c>
      <x:c r="M969" s="12" t="n">
        <x:f>养成消耗调参!$F$148</x:f>
        <x:v>0</x:v>
      </x:c>
      <x:c r="N969" s="12" t="n">
        <x:f>养成消耗调参!$I$148</x:f>
        <x:v>0</x:v>
      </x:c>
      <x:c r="O969" s="12" t="n">
        <x:f>养成消耗调参!$J$148</x:f>
        <x:v>0</x:v>
      </x:c>
      <x:c r="P969" s="12" t="n">
        <x:f>养成消耗调参!$M$148</x:f>
        <x:v>0</x:v>
      </x:c>
      <x:c r="Q969" s="12" t="n">
        <x:f>养成消耗调参!$P$148</x:f>
        <x:v>0</x:v>
      </x:c>
      <x:c r="R969" s="13" t="n">
        <x:f>I969/英雄升级调参!$G$66-1</x:f>
        <x:v>0</x:v>
      </x:c>
      <x:c r="S969" s="6"/>
      <x:c r="T969" s="6"/>
      <x:c r="U969" s="6"/>
    </x:row>
    <x:row r="970" ht="21" customHeight="1">
      <x:c r="A970" s="14" t="n">
        <x:f>英雄升级调参!$B$24</x:f>
        <x:v>310006</x:v>
      </x:c>
      <x:c r="B970" s="14" t="str">
        <x:f>英雄升级调参!$C$24</x:f>
        <x:v>玛莫莉莉狮</x:v>
      </x:c>
      <x:c r="C970" s="6" t="str">
        <x:f>英雄升级调参!$D$24</x:f>
        <x:v>战士</x:v>
      </x:c>
      <x:c r="D970" s="6" t="s">
        <x:v>18</x:v>
      </x:c>
      <x:c r="E970" s="6">
        <x:v>2</x:v>
      </x:c>
      <x:c r="F970" s="6" t="n">
        <x:f>英雄升级调参!$C$67</x:f>
        <x:v>1</x:v>
      </x:c>
      <x:c r="G970" s="12">
        <x:f t="shared" ref="G970:G1001" si="91">G969+J970</x:f>
        <x:v>94</x:v>
      </x:c>
      <x:c r="H970" s="12">
        <x:f t="shared" ref="H970:H1001" si="92">H969+K970</x:f>
        <x:v>650</x:v>
      </x:c>
      <x:c r="I970" s="12">
        <x:f t="shared" si="90"/>
        <x:v>61100</x:v>
      </x:c>
      <x:c r="J970" s="12">
        <x:f>ROUND(英雄升级调参!$D$67*英雄升级调参!$J$9*英雄升级调参!$E$24,0)</x:f>
        <x:v>22</x:v>
      </x:c>
      <x:c r="K970" s="12">
        <x:f>ROUND(英雄升级调参!$D$67*英雄升级调参!$C$11*英雄升级调参!$J$9*英雄升级调参!$G$24,0)</x:f>
        <x:v>150</x:v>
      </x:c>
      <x:c r="L970" s="12" t="n">
        <x:f>养成消耗调参!$C$149</x:f>
        <x:v>24</x:v>
      </x:c>
      <x:c r="M970" s="12" t="n">
        <x:f>养成消耗调参!$F$149</x:f>
        <x:v>300</x:v>
      </x:c>
      <x:c r="N970" s="12" t="n">
        <x:f>养成消耗调参!$I$149</x:f>
        <x:v>0</x:v>
      </x:c>
      <x:c r="O970" s="12" t="n">
        <x:f>养成消耗调参!$J$149</x:f>
        <x:v>24</x:v>
      </x:c>
      <x:c r="P970" s="12" t="n">
        <x:f>养成消耗调参!$M$149</x:f>
        <x:v>300</x:v>
      </x:c>
      <x:c r="Q970" s="12" t="n">
        <x:f>养成消耗调参!$P$149</x:f>
        <x:v>0</x:v>
      </x:c>
      <x:c r="R970" s="13">
        <x:f>I970/英雄升级调参!$G$67-1</x:f>
        <x:v>0.004273504273504258</x:v>
      </x:c>
      <x:c r="S970" s="6"/>
      <x:c r="T970" s="6"/>
      <x:c r="U970" s="6"/>
    </x:row>
    <x:row r="971" ht="21" customHeight="1">
      <x:c r="A971" s="14" t="n">
        <x:f>英雄升级调参!$B$24</x:f>
        <x:v>310006</x:v>
      </x:c>
      <x:c r="B971" s="14" t="str">
        <x:f>英雄升级调参!$C$24</x:f>
        <x:v>玛莫莉莉狮</x:v>
      </x:c>
      <x:c r="C971" s="6" t="str">
        <x:f>英雄升级调参!$D$24</x:f>
        <x:v>战士</x:v>
      </x:c>
      <x:c r="D971" s="6" t="s">
        <x:v>18</x:v>
      </x:c>
      <x:c r="E971" s="6">
        <x:v>3</x:v>
      </x:c>
      <x:c r="F971" s="6" t="n">
        <x:f>英雄升级调参!$C$68</x:f>
        <x:v>1</x:v>
      </x:c>
      <x:c r="G971" s="12">
        <x:f t="shared" si="91"/>
        <x:v>116</x:v>
      </x:c>
      <x:c r="H971" s="12">
        <x:f t="shared" si="92"/>
        <x:v>800</x:v>
      </x:c>
      <x:c r="I971" s="12">
        <x:f t="shared" si="90"/>
        <x:v>92800</x:v>
      </x:c>
      <x:c r="J971" s="12">
        <x:f>ROUND(英雄升级调参!$D$68*英雄升级调参!$J$9*英雄升级调参!$E$24,0)</x:f>
        <x:v>22</x:v>
      </x:c>
      <x:c r="K971" s="12">
        <x:f>ROUND(英雄升级调参!$D$68*英雄升级调参!$C$11*英雄升级调参!$J$9*英雄升级调参!$G$24,0)</x:f>
        <x:v>150</x:v>
      </x:c>
      <x:c r="L971" s="12" t="n">
        <x:f>养成消耗调参!$C$150</x:f>
        <x:v>24</x:v>
      </x:c>
      <x:c r="M971" s="12" t="n">
        <x:f>养成消耗调参!$F$150</x:f>
        <x:v>300</x:v>
      </x:c>
      <x:c r="N971" s="12" t="n">
        <x:f>养成消耗调参!$I$150</x:f>
        <x:v>0</x:v>
      </x:c>
      <x:c r="O971" s="12" t="n">
        <x:f>养成消耗调参!$J$150</x:f>
        <x:v>48</x:v>
      </x:c>
      <x:c r="P971" s="12" t="n">
        <x:f>养成消耗调参!$M$150</x:f>
        <x:v>600</x:v>
      </x:c>
      <x:c r="Q971" s="12" t="n">
        <x:f>养成消耗调参!$P$150</x:f>
        <x:v>0</x:v>
      </x:c>
      <x:c r="R971" s="13">
        <x:f>I971/英雄升级调参!$G$68-1</x:f>
        <x:v>0.00694444444444442</x:v>
      </x:c>
      <x:c r="S971" s="6"/>
      <x:c r="T971" s="6"/>
      <x:c r="U971" s="6"/>
    </x:row>
    <x:row r="972" ht="21" customHeight="1">
      <x:c r="A972" s="14" t="n">
        <x:f>英雄升级调参!$B$24</x:f>
        <x:v>310006</x:v>
      </x:c>
      <x:c r="B972" s="14" t="str">
        <x:f>英雄升级调参!$C$24</x:f>
        <x:v>玛莫莉莉狮</x:v>
      </x:c>
      <x:c r="C972" s="6" t="str">
        <x:f>英雄升级调参!$D$24</x:f>
        <x:v>战士</x:v>
      </x:c>
      <x:c r="D972" s="6" t="s">
        <x:v>18</x:v>
      </x:c>
      <x:c r="E972" s="6">
        <x:v>4</x:v>
      </x:c>
      <x:c r="F972" s="6" t="n">
        <x:f>英雄升级调参!$C$69</x:f>
        <x:v>1</x:v>
      </x:c>
      <x:c r="G972" s="12">
        <x:f t="shared" si="91"/>
        <x:v>138</x:v>
      </x:c>
      <x:c r="H972" s="12">
        <x:f t="shared" si="92"/>
        <x:v>950</x:v>
      </x:c>
      <x:c r="I972" s="12">
        <x:f t="shared" si="90"/>
        <x:v>131100</x:v>
      </x:c>
      <x:c r="J972" s="12">
        <x:f>ROUND(英雄升级调参!$D$69*英雄升级调参!$J$9*英雄升级调参!$E$24,0)</x:f>
        <x:v>22</x:v>
      </x:c>
      <x:c r="K972" s="12">
        <x:f>ROUND(英雄升级调参!$D$69*英雄升级调参!$C$11*英雄升级调参!$J$9*英雄升级调参!$G$24,0)</x:f>
        <x:v>150</x:v>
      </x:c>
      <x:c r="L972" s="12" t="n">
        <x:f>养成消耗调参!$C$151</x:f>
        <x:v>48</x:v>
      </x:c>
      <x:c r="M972" s="12" t="n">
        <x:f>养成消耗调参!$F$151</x:f>
        <x:v>300</x:v>
      </x:c>
      <x:c r="N972" s="12" t="n">
        <x:f>养成消耗调参!$I$151</x:f>
        <x:v>0</x:v>
      </x:c>
      <x:c r="O972" s="12" t="n">
        <x:f>养成消耗调参!$J$151</x:f>
        <x:v>96</x:v>
      </x:c>
      <x:c r="P972" s="12" t="n">
        <x:f>养成消耗调参!$M$151</x:f>
        <x:v>900</x:v>
      </x:c>
      <x:c r="Q972" s="12" t="n">
        <x:f>养成消耗调参!$P$151</x:f>
        <x:v>0</x:v>
      </x:c>
      <x:c r="R972" s="13">
        <x:f>I972/英雄升级调参!$G$69-1</x:f>
        <x:v>0.00877192982456143</x:v>
      </x:c>
      <x:c r="S972" s="6"/>
      <x:c r="T972" s="6"/>
      <x:c r="U972" s="6"/>
    </x:row>
    <x:row r="973" ht="21" customHeight="1">
      <x:c r="A973" s="14" t="n">
        <x:f>英雄升级调参!$B$24</x:f>
        <x:v>310006</x:v>
      </x:c>
      <x:c r="B973" s="14" t="str">
        <x:f>英雄升级调参!$C$24</x:f>
        <x:v>玛莫莉莉狮</x:v>
      </x:c>
      <x:c r="C973" s="6" t="str">
        <x:f>英雄升级调参!$D$24</x:f>
        <x:v>战士</x:v>
      </x:c>
      <x:c r="D973" s="6" t="s">
        <x:v>18</x:v>
      </x:c>
      <x:c r="E973" s="6">
        <x:v>5</x:v>
      </x:c>
      <x:c r="F973" s="6" t="n">
        <x:f>英雄升级调参!$C$70</x:f>
        <x:v>1</x:v>
      </x:c>
      <x:c r="G973" s="12">
        <x:f t="shared" si="91"/>
        <x:v>204</x:v>
      </x:c>
      <x:c r="H973" s="12">
        <x:f t="shared" si="92"/>
        <x:v>1400</x:v>
      </x:c>
      <x:c r="I973" s="12">
        <x:f t="shared" si="90"/>
        <x:v>285600</x:v>
      </x:c>
      <x:c r="J973" s="12">
        <x:f>ROUND(英雄升级调参!$D$70*英雄升级调参!$J$9*英雄升级调参!$E$24,0)*3</x:f>
        <x:v>66</x:v>
      </x:c>
      <x:c r="K973" s="12">
        <x:f>ROUND(英雄升级调参!$D$70*英雄升级调参!$C$11*英雄升级调参!$J$9*英雄升级调参!$G$24,0)*3</x:f>
        <x:v>450</x:v>
      </x:c>
      <x:c r="L973" s="12" t="n">
        <x:f>养成消耗调参!$C$152</x:f>
        <x:v>72</x:v>
      </x:c>
      <x:c r="M973" s="12" t="n">
        <x:f>养成消耗调参!$F$152</x:f>
        <x:v>300</x:v>
      </x:c>
      <x:c r="N973" s="12" t="n">
        <x:f>养成消耗调参!$I$152</x:f>
        <x:v>10</x:v>
      </x:c>
      <x:c r="O973" s="12" t="n">
        <x:f>养成消耗调参!$J$152</x:f>
        <x:v>168</x:v>
      </x:c>
      <x:c r="P973" s="12" t="n">
        <x:f>养成消耗调参!$M$152</x:f>
        <x:v>1200</x:v>
      </x:c>
      <x:c r="Q973" s="12" t="n">
        <x:f>养成消耗调参!$P$152</x:f>
        <x:v>10</x:v>
      </x:c>
      <x:c r="R973" s="13">
        <x:f>I973/英雄升级调参!$G$70-1</x:f>
        <x:v>0.011904761904761862</x:v>
      </x:c>
      <x:c r="S973" s="6"/>
      <x:c r="T973" s="6"/>
      <x:c r="U973" s="6"/>
    </x:row>
    <x:row r="974" ht="21" customHeight="1">
      <x:c r="A974" s="14" t="n">
        <x:f>英雄升级调参!$B$24</x:f>
        <x:v>310006</x:v>
      </x:c>
      <x:c r="B974" s="14" t="str">
        <x:f>英雄升级调参!$C$24</x:f>
        <x:v>玛莫莉莉狮</x:v>
      </x:c>
      <x:c r="C974" s="6" t="str">
        <x:f>英雄升级调参!$D$24</x:f>
        <x:v>战士</x:v>
      </x:c>
      <x:c r="D974" s="6" t="s">
        <x:v>18</x:v>
      </x:c>
      <x:c r="E974" s="6">
        <x:v>6</x:v>
      </x:c>
      <x:c r="F974" s="6" t="n">
        <x:f>英雄升级调参!$C$71</x:f>
        <x:v>2</x:v>
      </x:c>
      <x:c r="G974" s="12">
        <x:f t="shared" si="91"/>
        <x:v>236</x:v>
      </x:c>
      <x:c r="H974" s="12">
        <x:f t="shared" si="92"/>
        <x:v>1625</x:v>
      </x:c>
      <x:c r="I974" s="12">
        <x:f t="shared" si="90"/>
        <x:v>383500</x:v>
      </x:c>
      <x:c r="J974" s="12">
        <x:f>ROUND(英雄升级调参!$D$71*英雄升级调参!$J$9*英雄升级调参!$E$24,0)</x:f>
        <x:v>32</x:v>
      </x:c>
      <x:c r="K974" s="12">
        <x:f>ROUND(英雄升级调参!$D$71*英雄升级调参!$C$11*英雄升级调参!$J$9*英雄升级调参!$G$24,0)</x:f>
        <x:v>225</x:v>
      </x:c>
      <x:c r="L974" s="12" t="n">
        <x:f>养成消耗调参!$C$153</x:f>
        <x:v>120</x:v>
      </x:c>
      <x:c r="M974" s="12" t="n">
        <x:f>养成消耗调参!$F$153</x:f>
        <x:v>300</x:v>
      </x:c>
      <x:c r="N974" s="12" t="n">
        <x:f>养成消耗调参!$I$153</x:f>
        <x:v>0</x:v>
      </x:c>
      <x:c r="O974" s="12" t="n">
        <x:f>养成消耗调参!$J$153</x:f>
        <x:v>288</x:v>
      </x:c>
      <x:c r="P974" s="12" t="n">
        <x:f>养成消耗调参!$M$153</x:f>
        <x:v>1500</x:v>
      </x:c>
      <x:c r="Q974" s="12" t="n">
        <x:f>养成消耗调参!$P$153</x:f>
        <x:v>10</x:v>
      </x:c>
      <x:c r="R974" s="13">
        <x:f>I974/英雄升级调参!$G$71-1</x:f>
        <x:v>0.008547008547008517</x:v>
      </x:c>
      <x:c r="S974" s="6"/>
      <x:c r="T974" s="6"/>
      <x:c r="U974" s="6"/>
    </x:row>
    <x:row r="975" ht="21" customHeight="1">
      <x:c r="A975" s="14" t="n">
        <x:f>英雄升级调参!$B$24</x:f>
        <x:v>310006</x:v>
      </x:c>
      <x:c r="B975" s="14" t="str">
        <x:f>英雄升级调参!$C$24</x:f>
        <x:v>玛莫莉莉狮</x:v>
      </x:c>
      <x:c r="C975" s="6" t="str">
        <x:f>英雄升级调参!$D$24</x:f>
        <x:v>战士</x:v>
      </x:c>
      <x:c r="D975" s="6" t="s">
        <x:v>18</x:v>
      </x:c>
      <x:c r="E975" s="6">
        <x:v>7</x:v>
      </x:c>
      <x:c r="F975" s="6" t="n">
        <x:f>英雄升级调参!$C$72</x:f>
        <x:v>2</x:v>
      </x:c>
      <x:c r="G975" s="12">
        <x:f t="shared" si="91"/>
        <x:v>268</x:v>
      </x:c>
      <x:c r="H975" s="12">
        <x:f t="shared" si="92"/>
        <x:v>1850</x:v>
      </x:c>
      <x:c r="I975" s="12">
        <x:f t="shared" si="90"/>
        <x:v>495800</x:v>
      </x:c>
      <x:c r="J975" s="12">
        <x:f>ROUND(英雄升级调参!$D$72*英雄升级调参!$J$9*英雄升级调参!$E$24,0)</x:f>
        <x:v>32</x:v>
      </x:c>
      <x:c r="K975" s="12">
        <x:f>ROUND(英雄升级调参!$D$72*英雄升级调参!$C$11*英雄升级调参!$J$9*英雄升级调参!$G$24,0)</x:f>
        <x:v>225</x:v>
      </x:c>
      <x:c r="L975" s="12" t="n">
        <x:f>养成消耗调参!$C$154</x:f>
        <x:v>120</x:v>
      </x:c>
      <x:c r="M975" s="12" t="n">
        <x:f>养成消耗调参!$F$154</x:f>
        <x:v>900</x:v>
      </x:c>
      <x:c r="N975" s="12" t="n">
        <x:f>养成消耗调参!$I$154</x:f>
        <x:v>0</x:v>
      </x:c>
      <x:c r="O975" s="12" t="n">
        <x:f>养成消耗调参!$J$154</x:f>
        <x:v>408</x:v>
      </x:c>
      <x:c r="P975" s="12" t="n">
        <x:f>养成消耗调参!$M$154</x:f>
        <x:v>2400</x:v>
      </x:c>
      <x:c r="Q975" s="12" t="n">
        <x:f>养成消耗调参!$P$154</x:f>
        <x:v>10</x:v>
      </x:c>
      <x:c r="R975" s="13">
        <x:f>I975/英雄升级调参!$G$72-1</x:f>
        <x:v>0.006006006006006093</x:v>
      </x:c>
      <x:c r="S975" s="6"/>
      <x:c r="T975" s="6"/>
      <x:c r="U975" s="6"/>
    </x:row>
    <x:row r="976" ht="21" customHeight="1">
      <x:c r="A976" s="14" t="n">
        <x:f>英雄升级调参!$B$24</x:f>
        <x:v>310006</x:v>
      </x:c>
      <x:c r="B976" s="14" t="str">
        <x:f>英雄升级调参!$C$24</x:f>
        <x:v>玛莫莉莉狮</x:v>
      </x:c>
      <x:c r="C976" s="6" t="str">
        <x:f>英雄升级调参!$D$24</x:f>
        <x:v>战士</x:v>
      </x:c>
      <x:c r="D976" s="6" t="s">
        <x:v>18</x:v>
      </x:c>
      <x:c r="E976" s="6">
        <x:v>8</x:v>
      </x:c>
      <x:c r="F976" s="6" t="n">
        <x:f>英雄升级调参!$C$73</x:f>
        <x:v>2</x:v>
      </x:c>
      <x:c r="G976" s="12">
        <x:f t="shared" si="91"/>
        <x:v>300</x:v>
      </x:c>
      <x:c r="H976" s="12">
        <x:f t="shared" si="92"/>
        <x:v>2075</x:v>
      </x:c>
      <x:c r="I976" s="12">
        <x:f t="shared" si="90"/>
        <x:v>622500</x:v>
      </x:c>
      <x:c r="J976" s="12">
        <x:f>ROUND(英雄升级调参!$D$73*英雄升级调参!$J$9*英雄升级调参!$E$24,0)</x:f>
        <x:v>32</x:v>
      </x:c>
      <x:c r="K976" s="12">
        <x:f>ROUND(英雄升级调参!$D$73*英雄升级调参!$C$11*英雄升级调参!$J$9*英雄升级调参!$G$24,0)</x:f>
        <x:v>225</x:v>
      </x:c>
      <x:c r="L976" s="12" t="n">
        <x:f>养成消耗调参!$C$155</x:f>
        <x:v>144</x:v>
      </x:c>
      <x:c r="M976" s="12" t="n">
        <x:f>养成消耗调参!$F$155</x:f>
        <x:v>900</x:v>
      </x:c>
      <x:c r="N976" s="12" t="n">
        <x:f>养成消耗调参!$I$155</x:f>
        <x:v>0</x:v>
      </x:c>
      <x:c r="O976" s="12" t="n">
        <x:f>养成消耗调参!$J$155</x:f>
        <x:v>552</x:v>
      </x:c>
      <x:c r="P976" s="12" t="n">
        <x:f>养成消耗调参!$M$155</x:f>
        <x:v>3300</x:v>
      </x:c>
      <x:c r="Q976" s="12" t="n">
        <x:f>养成消耗调参!$P$155</x:f>
        <x:v>10</x:v>
      </x:c>
      <x:c r="R976" s="13">
        <x:f>I976/英雄升级调参!$G$73-1</x:f>
        <x:v>0.004016064257028162</x:v>
      </x:c>
      <x:c r="S976" s="6"/>
      <x:c r="T976" s="6"/>
      <x:c r="U976" s="6"/>
    </x:row>
    <x:row r="977" ht="21" customHeight="1">
      <x:c r="A977" s="14" t="n">
        <x:f>英雄升级调参!$B$24</x:f>
        <x:v>310006</x:v>
      </x:c>
      <x:c r="B977" s="14" t="str">
        <x:f>英雄升级调参!$C$24</x:f>
        <x:v>玛莫莉莉狮</x:v>
      </x:c>
      <x:c r="C977" s="6" t="str">
        <x:f>英雄升级调参!$D$24</x:f>
        <x:v>战士</x:v>
      </x:c>
      <x:c r="D977" s="6" t="s">
        <x:v>18</x:v>
      </x:c>
      <x:c r="E977" s="6">
        <x:v>9</x:v>
      </x:c>
      <x:c r="F977" s="6" t="n">
        <x:f>英雄升级调参!$C$74</x:f>
        <x:v>2</x:v>
      </x:c>
      <x:c r="G977" s="12">
        <x:f t="shared" si="91"/>
        <x:v>332</x:v>
      </x:c>
      <x:c r="H977" s="12">
        <x:f t="shared" si="92"/>
        <x:v>2300</x:v>
      </x:c>
      <x:c r="I977" s="12">
        <x:f t="shared" si="90"/>
        <x:v>763600</x:v>
      </x:c>
      <x:c r="J977" s="12">
        <x:f>ROUND(英雄升级调参!$D$74*英雄升级调参!$J$9*英雄升级调参!$E$24,0)</x:f>
        <x:v>32</x:v>
      </x:c>
      <x:c r="K977" s="12">
        <x:f>ROUND(英雄升级调参!$D$74*英雄升级调参!$C$11*英雄升级调参!$J$9*英雄升级调参!$G$24,0)</x:f>
        <x:v>225</x:v>
      </x:c>
      <x:c r="L977" s="12" t="n">
        <x:f>养成消耗调参!$C$156</x:f>
        <x:v>144</x:v>
      </x:c>
      <x:c r="M977" s="12" t="n">
        <x:f>养成消耗调参!$F$156</x:f>
        <x:v>900</x:v>
      </x:c>
      <x:c r="N977" s="12" t="n">
        <x:f>养成消耗调参!$I$156</x:f>
        <x:v>0</x:v>
      </x:c>
      <x:c r="O977" s="12" t="n">
        <x:f>养成消耗调参!$J$156</x:f>
        <x:v>696</x:v>
      </x:c>
      <x:c r="P977" s="12" t="n">
        <x:f>养成消耗调参!$M$156</x:f>
        <x:v>4200</x:v>
      </x:c>
      <x:c r="Q977" s="12" t="n">
        <x:f>养成消耗调参!$P$156</x:f>
        <x:v>10</x:v>
      </x:c>
      <x:c r="R977" s="13">
        <x:f>I977/英雄升级调参!$G$74-1</x:f>
        <x:v>0.0024154589371980784</x:v>
      </x:c>
      <x:c r="S977" s="6"/>
      <x:c r="T977" s="6"/>
      <x:c r="U977" s="6"/>
    </x:row>
    <x:row r="978" ht="21" customHeight="1">
      <x:c r="A978" s="14" t="n">
        <x:f>英雄升级调参!$B$24</x:f>
        <x:v>310006</x:v>
      </x:c>
      <x:c r="B978" s="14" t="str">
        <x:f>英雄升级调参!$C$24</x:f>
        <x:v>玛莫莉莉狮</x:v>
      </x:c>
      <x:c r="C978" s="6" t="str">
        <x:f>英雄升级调参!$D$24</x:f>
        <x:v>战士</x:v>
      </x:c>
      <x:c r="D978" s="6" t="s">
        <x:v>18</x:v>
      </x:c>
      <x:c r="E978" s="6">
        <x:v>10</x:v>
      </x:c>
      <x:c r="F978" s="6" t="n">
        <x:f>英雄升级调参!$C$75</x:f>
        <x:v>2</x:v>
      </x:c>
      <x:c r="G978" s="12">
        <x:f t="shared" si="91"/>
        <x:v>428</x:v>
      </x:c>
      <x:c r="H978" s="12">
        <x:f t="shared" si="92"/>
        <x:v>2975</x:v>
      </x:c>
      <x:c r="I978" s="12">
        <x:f t="shared" si="90"/>
        <x:v>1273300</x:v>
      </x:c>
      <x:c r="J978" s="12">
        <x:f>ROUND(英雄升级调参!$D$75*英雄升级调参!$J$9*英雄升级调参!$E$24,0)*3</x:f>
        <x:v>96</x:v>
      </x:c>
      <x:c r="K978" s="12">
        <x:f>ROUND(英雄升级调参!$D$75*英雄升级调参!$C$11*英雄升级调参!$J$9*英雄升级调参!$G$24,0)*3</x:f>
        <x:v>675</x:v>
      </x:c>
      <x:c r="L978" s="12" t="n">
        <x:f>养成消耗调参!$C$157</x:f>
        <x:v>216</x:v>
      </x:c>
      <x:c r="M978" s="12" t="n">
        <x:f>养成消耗调参!$F$157</x:f>
        <x:v>900</x:v>
      </x:c>
      <x:c r="N978" s="12" t="n">
        <x:f>养成消耗调参!$I$157</x:f>
        <x:v>30</x:v>
      </x:c>
      <x:c r="O978" s="12" t="n">
        <x:f>养成消耗调参!$J$157</x:f>
        <x:v>912</x:v>
      </x:c>
      <x:c r="P978" s="12" t="n">
        <x:f>养成消耗调参!$M$157</x:f>
        <x:v>5100</x:v>
      </x:c>
      <x:c r="Q978" s="12" t="n">
        <x:f>养成消耗调参!$P$157</x:f>
        <x:v>40</x:v>
      </x:c>
      <x:c r="R978" s="13">
        <x:f>I978/英雄升级调参!$G$75-1</x:f>
        <x:v>-0.0009337068160597539</x:v>
      </x:c>
      <x:c r="S978" s="6"/>
      <x:c r="T978" s="6"/>
      <x:c r="U978" s="6"/>
    </x:row>
    <x:row r="979" ht="21" customHeight="1">
      <x:c r="A979" s="14" t="n">
        <x:f>英雄升级调参!$B$24</x:f>
        <x:v>310006</x:v>
      </x:c>
      <x:c r="B979" s="14" t="str">
        <x:f>英雄升级调参!$C$24</x:f>
        <x:v>玛莫莉莉狮</x:v>
      </x:c>
      <x:c r="C979" s="6" t="str">
        <x:f>英雄升级调参!$D$24</x:f>
        <x:v>战士</x:v>
      </x:c>
      <x:c r="D979" s="6" t="s">
        <x:v>18</x:v>
      </x:c>
      <x:c r="E979" s="6">
        <x:v>11</x:v>
      </x:c>
      <x:c r="F979" s="6" t="n">
        <x:f>英雄升级调参!$C$76</x:f>
        <x:v>3</x:v>
      </x:c>
      <x:c r="G979" s="12">
        <x:f t="shared" si="91"/>
        <x:v>471</x:v>
      </x:c>
      <x:c r="H979" s="12">
        <x:f t="shared" si="92"/>
        <x:v>3275</x:v>
      </x:c>
      <x:c r="I979" s="12">
        <x:f t="shared" si="90"/>
        <x:v>1542525</x:v>
      </x:c>
      <x:c r="J979" s="12">
        <x:f>ROUND(英雄升级调参!$D$76*英雄升级调参!$J$9*英雄升级调参!$E$24,0)</x:f>
        <x:v>43</x:v>
      </x:c>
      <x:c r="K979" s="12">
        <x:f>ROUND(英雄升级调参!$D$76*英雄升级调参!$C$11*英雄升级调参!$J$9*英雄升级调参!$G$24,0)</x:f>
        <x:v>300</x:v>
      </x:c>
      <x:c r="L979" s="12" t="n">
        <x:f>养成消耗调参!$C$158</x:f>
        <x:v>216</x:v>
      </x:c>
      <x:c r="M979" s="12" t="n">
        <x:f>养成消耗调参!$F$158</x:f>
        <x:v>900</x:v>
      </x:c>
      <x:c r="N979" s="12" t="n">
        <x:f>养成消耗调参!$I$158</x:f>
        <x:v>0</x:v>
      </x:c>
      <x:c r="O979" s="12" t="n">
        <x:f>养成消耗调参!$J$158</x:f>
        <x:v>1128</x:v>
      </x:c>
      <x:c r="P979" s="12" t="n">
        <x:f>养成消耗调参!$M$158</x:f>
        <x:v>6000</x:v>
      </x:c>
      <x:c r="Q979" s="12" t="n">
        <x:f>养成消耗调参!$P$158</x:f>
        <x:v>40</x:v>
      </x:c>
      <x:c r="R979" s="13">
        <x:f>I979/英雄升级调参!$G$76-1</x:f>
        <x:v>-0.0012722646310432406</x:v>
      </x:c>
      <x:c r="S979" s="6"/>
      <x:c r="T979" s="6"/>
      <x:c r="U979" s="6"/>
    </x:row>
    <x:row r="980" ht="21" customHeight="1">
      <x:c r="A980" s="14" t="n">
        <x:f>英雄升级调参!$B$24</x:f>
        <x:v>310006</x:v>
      </x:c>
      <x:c r="B980" s="14" t="str">
        <x:f>英雄升级调参!$C$24</x:f>
        <x:v>玛莫莉莉狮</x:v>
      </x:c>
      <x:c r="C980" s="6" t="str">
        <x:f>英雄升级调参!$D$24</x:f>
        <x:v>战士</x:v>
      </x:c>
      <x:c r="D980" s="6" t="s">
        <x:v>18</x:v>
      </x:c>
      <x:c r="E980" s="6">
        <x:v>12</x:v>
      </x:c>
      <x:c r="F980" s="6" t="n">
        <x:f>英雄升级调参!$C$77</x:f>
        <x:v>3</x:v>
      </x:c>
      <x:c r="G980" s="12">
        <x:f t="shared" si="91"/>
        <x:v>514</x:v>
      </x:c>
      <x:c r="H980" s="12">
        <x:f t="shared" si="92"/>
        <x:v>3575</x:v>
      </x:c>
      <x:c r="I980" s="12">
        <x:f t="shared" si="90"/>
        <x:v>1837550</x:v>
      </x:c>
      <x:c r="J980" s="12">
        <x:f>ROUND(英雄升级调参!$D$77*英雄升级调参!$J$9*英雄升级调参!$E$24,0)</x:f>
        <x:v>43</x:v>
      </x:c>
      <x:c r="K980" s="12">
        <x:f>ROUND(英雄升级调参!$D$77*英雄升级调参!$C$11*英雄升级调参!$J$9*英雄升级调参!$G$24,0)</x:f>
        <x:v>300</x:v>
      </x:c>
      <x:c r="L980" s="12" t="n">
        <x:f>养成消耗调参!$C$159</x:f>
        <x:v>240</x:v>
      </x:c>
      <x:c r="M980" s="12" t="n">
        <x:f>养成消耗调参!$F$159</x:f>
        <x:v>1500</x:v>
      </x:c>
      <x:c r="N980" s="12" t="n">
        <x:f>养成消耗调参!$I$159</x:f>
        <x:v>0</x:v>
      </x:c>
      <x:c r="O980" s="12" t="n">
        <x:f>养成消耗调参!$J$159</x:f>
        <x:v>1368</x:v>
      </x:c>
      <x:c r="P980" s="12" t="n">
        <x:f>养成消耗调参!$M$159</x:f>
        <x:v>7500</x:v>
      </x:c>
      <x:c r="Q980" s="12" t="n">
        <x:f>养成消耗调参!$P$159</x:f>
        <x:v>40</x:v>
      </x:c>
      <x:c r="R980" s="13">
        <x:f>I980/英雄升级调参!$G$77-1</x:f>
        <x:v>-0.0015540015540015384</x:v>
      </x:c>
      <x:c r="S980" s="6"/>
      <x:c r="T980" s="6"/>
      <x:c r="U980" s="6"/>
    </x:row>
    <x:row r="981" ht="21" customHeight="1">
      <x:c r="A981" s="14" t="n">
        <x:f>英雄升级调参!$B$24</x:f>
        <x:v>310006</x:v>
      </x:c>
      <x:c r="B981" s="14" t="str">
        <x:f>英雄升级调参!$C$24</x:f>
        <x:v>玛莫莉莉狮</x:v>
      </x:c>
      <x:c r="C981" s="6" t="str">
        <x:f>英雄升级调参!$D$24</x:f>
        <x:v>战士</x:v>
      </x:c>
      <x:c r="D981" s="6" t="s">
        <x:v>18</x:v>
      </x:c>
      <x:c r="E981" s="6">
        <x:v>13</x:v>
      </x:c>
      <x:c r="F981" s="6" t="n">
        <x:f>英雄升级调参!$C$78</x:f>
        <x:v>3</x:v>
      </x:c>
      <x:c r="G981" s="12">
        <x:f t="shared" si="91"/>
        <x:v>557</x:v>
      </x:c>
      <x:c r="H981" s="12">
        <x:f t="shared" si="92"/>
        <x:v>3875</x:v>
      </x:c>
      <x:c r="I981" s="12">
        <x:f t="shared" si="90"/>
        <x:v>2158375</x:v>
      </x:c>
      <x:c r="J981" s="12">
        <x:f>ROUND(英雄升级调参!$D$78*英雄升级调参!$J$9*英雄升级调参!$E$24,0)</x:f>
        <x:v>43</x:v>
      </x:c>
      <x:c r="K981" s="12">
        <x:f>ROUND(英雄升级调参!$D$78*英雄升级调参!$C$11*英雄升级调参!$J$9*英雄升级调参!$G$24,0)</x:f>
        <x:v>300</x:v>
      </x:c>
      <x:c r="L981" s="12" t="n">
        <x:f>养成消耗调参!$C$160</x:f>
        <x:v>240</x:v>
      </x:c>
      <x:c r="M981" s="12" t="n">
        <x:f>养成消耗调参!$F$160</x:f>
        <x:v>1500</x:v>
      </x:c>
      <x:c r="N981" s="12" t="n">
        <x:f>养成消耗调参!$I$160</x:f>
        <x:v>0</x:v>
      </x:c>
      <x:c r="O981" s="12" t="n">
        <x:f>养成消耗调参!$J$160</x:f>
        <x:v>1608</x:v>
      </x:c>
      <x:c r="P981" s="12" t="n">
        <x:f>养成消耗调参!$M$160</x:f>
        <x:v>9000</x:v>
      </x:c>
      <x:c r="Q981" s="12" t="n">
        <x:f>养成消耗调参!$P$160</x:f>
        <x:v>40</x:v>
      </x:c>
      <x:c r="R981" s="13">
        <x:f>I981/英雄升级调参!$G$78-1</x:f>
        <x:v>-0.0017921146953404632</x:v>
      </x:c>
      <x:c r="S981" s="6"/>
      <x:c r="T981" s="6"/>
      <x:c r="U981" s="6"/>
    </x:row>
    <x:row r="982" ht="21" customHeight="1">
      <x:c r="A982" s="14" t="n">
        <x:f>英雄升级调参!$B$24</x:f>
        <x:v>310006</x:v>
      </x:c>
      <x:c r="B982" s="14" t="str">
        <x:f>英雄升级调参!$C$24</x:f>
        <x:v>玛莫莉莉狮</x:v>
      </x:c>
      <x:c r="C982" s="6" t="str">
        <x:f>英雄升级调参!$D$24</x:f>
        <x:v>战士</x:v>
      </x:c>
      <x:c r="D982" s="6" t="s">
        <x:v>18</x:v>
      </x:c>
      <x:c r="E982" s="6">
        <x:v>14</x:v>
      </x:c>
      <x:c r="F982" s="6" t="n">
        <x:f>英雄升级调参!$C$79</x:f>
        <x:v>3</x:v>
      </x:c>
      <x:c r="G982" s="12">
        <x:f t="shared" si="91"/>
        <x:v>600</x:v>
      </x:c>
      <x:c r="H982" s="12">
        <x:f t="shared" si="92"/>
        <x:v>4175</x:v>
      </x:c>
      <x:c r="I982" s="12">
        <x:f t="shared" si="90"/>
        <x:v>2505000</x:v>
      </x:c>
      <x:c r="J982" s="12">
        <x:f>ROUND(英雄升级调参!$D$79*英雄升级调参!$J$9*英雄升级调参!$E$24,0)</x:f>
        <x:v>43</x:v>
      </x:c>
      <x:c r="K982" s="12">
        <x:f>ROUND(英雄升级调参!$D$79*英雄升级调参!$C$11*英雄升级调参!$J$9*英雄升级调参!$G$24,0)</x:f>
        <x:v>300</x:v>
      </x:c>
      <x:c r="L982" s="12" t="n">
        <x:f>养成消耗调参!$C$161</x:f>
        <x:v>288</x:v>
      </x:c>
      <x:c r="M982" s="12" t="n">
        <x:f>养成消耗调参!$F$161</x:f>
        <x:v>1500</x:v>
      </x:c>
      <x:c r="N982" s="12" t="n">
        <x:f>养成消耗调参!$I$161</x:f>
        <x:v>0</x:v>
      </x:c>
      <x:c r="O982" s="12" t="n">
        <x:f>养成消耗调参!$J$161</x:f>
        <x:v>1896</x:v>
      </x:c>
      <x:c r="P982" s="12" t="n">
        <x:f>养成消耗调参!$M$161</x:f>
        <x:v>10500</x:v>
      </x:c>
      <x:c r="Q982" s="12" t="n">
        <x:f>养成消耗调参!$P$161</x:f>
        <x:v>40</x:v>
      </x:c>
      <x:c r="R982" s="13">
        <x:f>I982/英雄升级调参!$G$79-1</x:f>
        <x:v>-0.001996007984031989</x:v>
      </x:c>
      <x:c r="S982" s="6"/>
      <x:c r="T982" s="6"/>
      <x:c r="U982" s="6"/>
    </x:row>
    <x:row r="983" ht="21" customHeight="1">
      <x:c r="A983" s="14" t="n">
        <x:f>英雄升级调参!$B$24</x:f>
        <x:v>310006</x:v>
      </x:c>
      <x:c r="B983" s="14" t="str">
        <x:f>英雄升级调参!$C$24</x:f>
        <x:v>玛莫莉莉狮</x:v>
      </x:c>
      <x:c r="C983" s="6" t="str">
        <x:f>英雄升级调参!$D$24</x:f>
        <x:v>战士</x:v>
      </x:c>
      <x:c r="D983" s="6" t="s">
        <x:v>18</x:v>
      </x:c>
      <x:c r="E983" s="6">
        <x:v>15</x:v>
      </x:c>
      <x:c r="F983" s="6" t="n">
        <x:f>英雄升级调参!$C$80</x:f>
        <x:v>3</x:v>
      </x:c>
      <x:c r="G983" s="12">
        <x:f t="shared" si="91"/>
        <x:v>729</x:v>
      </x:c>
      <x:c r="H983" s="12">
        <x:f t="shared" si="92"/>
        <x:v>5075</x:v>
      </x:c>
      <x:c r="I983" s="12">
        <x:f t="shared" si="90"/>
        <x:v>3699675</x:v>
      </x:c>
      <x:c r="J983" s="12">
        <x:f>ROUND(英雄升级调参!$D$80*英雄升级调参!$J$9*英雄升级调参!$E$24,0)*3</x:f>
        <x:v>129</x:v>
      </x:c>
      <x:c r="K983" s="12">
        <x:f>ROUND(英雄升级调参!$D$80*英雄升级调参!$C$11*英雄升级调参!$J$9*英雄升级调参!$G$24,0)*3</x:f>
        <x:v>900</x:v>
      </x:c>
      <x:c r="L983" s="12" t="n">
        <x:f>养成消耗调参!$C$162</x:f>
        <x:v>288</x:v>
      </x:c>
      <x:c r="M983" s="12" t="n">
        <x:f>养成消耗调参!$F$162</x:f>
        <x:v>1500</x:v>
      </x:c>
      <x:c r="N983" s="12" t="n">
        <x:f>养成消耗调参!$I$162</x:f>
        <x:v>50</x:v>
      </x:c>
      <x:c r="O983" s="12" t="n">
        <x:f>养成消耗调参!$J$162</x:f>
        <x:v>2184</x:v>
      </x:c>
      <x:c r="P983" s="12" t="n">
        <x:f>养成消耗调参!$M$162</x:f>
        <x:v>12000</x:v>
      </x:c>
      <x:c r="Q983" s="12" t="n">
        <x:f>养成消耗调参!$P$162</x:f>
        <x:v>90</x:v>
      </x:c>
      <x:c r="R983" s="13">
        <x:f>I983/英雄升级调参!$G$80-1</x:f>
        <x:v>-0.0024630541871921707</x:v>
      </x:c>
      <x:c r="S983" s="6"/>
      <x:c r="T983" s="6"/>
      <x:c r="U983" s="6"/>
    </x:row>
    <x:row r="984" ht="21" customHeight="1">
      <x:c r="A984" s="14" t="n">
        <x:f>英雄升级调参!$B$24</x:f>
        <x:v>310006</x:v>
      </x:c>
      <x:c r="B984" s="14" t="str">
        <x:f>英雄升级调参!$C$24</x:f>
        <x:v>玛莫莉莉狮</x:v>
      </x:c>
      <x:c r="C984" s="6" t="str">
        <x:f>英雄升级调参!$D$24</x:f>
        <x:v>战士</x:v>
      </x:c>
      <x:c r="D984" s="6" t="s">
        <x:v>18</x:v>
      </x:c>
      <x:c r="E984" s="6">
        <x:v>16</x:v>
      </x:c>
      <x:c r="F984" s="6" t="n">
        <x:f>英雄升级调参!$C$81</x:f>
        <x:v>4</x:v>
      </x:c>
      <x:c r="G984" s="12">
        <x:f t="shared" si="91"/>
        <x:v>783</x:v>
      </x:c>
      <x:c r="H984" s="12">
        <x:f t="shared" si="92"/>
        <x:v>5450</x:v>
      </x:c>
      <x:c r="I984" s="12">
        <x:f t="shared" si="90"/>
        <x:v>4267350</x:v>
      </x:c>
      <x:c r="J984" s="12">
        <x:f>ROUND(英雄升级调参!$D$81*英雄升级调参!$J$9*英雄升级调参!$E$24,0)</x:f>
        <x:v>54</x:v>
      </x:c>
      <x:c r="K984" s="12">
        <x:f>ROUND(英雄升级调参!$D$81*英雄升级调参!$C$11*英雄升级调参!$J$9*英雄升级调参!$G$24,0)</x:f>
        <x:v>375</x:v>
      </x:c>
      <x:c r="L984" s="12" t="n">
        <x:f>养成消耗调参!$C$163</x:f>
        <x:v>336</x:v>
      </x:c>
      <x:c r="M984" s="12" t="n">
        <x:f>养成消耗调参!$F$163</x:f>
        <x:v>1500</x:v>
      </x:c>
      <x:c r="N984" s="12" t="n">
        <x:f>养成消耗调参!$I$163</x:f>
        <x:v>0</x:v>
      </x:c>
      <x:c r="O984" s="12" t="n">
        <x:f>养成消耗调参!$J$163</x:f>
        <x:v>2520</x:v>
      </x:c>
      <x:c r="P984" s="12" t="n">
        <x:f>养成消耗调参!$M$163</x:f>
        <x:v>13500</x:v>
      </x:c>
      <x:c r="Q984" s="12" t="n">
        <x:f>养成消耗调参!$P$163</x:f>
        <x:v>90</x:v>
      </x:c>
      <x:c r="R984" s="13">
        <x:f>I984/英雄升级调参!$G$81-1</x:f>
        <x:v>-0.002293577981651418</x:v>
      </x:c>
      <x:c r="S984" s="6"/>
      <x:c r="T984" s="6"/>
      <x:c r="U984" s="6"/>
    </x:row>
    <x:row r="985" ht="21" customHeight="1">
      <x:c r="A985" s="14" t="n">
        <x:f>英雄升级调参!$B$24</x:f>
        <x:v>310006</x:v>
      </x:c>
      <x:c r="B985" s="14" t="str">
        <x:f>英雄升级调参!$C$24</x:f>
        <x:v>玛莫莉莉狮</x:v>
      </x:c>
      <x:c r="C985" s="6" t="str">
        <x:f>英雄升级调参!$D$24</x:f>
        <x:v>战士</x:v>
      </x:c>
      <x:c r="D985" s="6" t="s">
        <x:v>18</x:v>
      </x:c>
      <x:c r="E985" s="6">
        <x:v>17</x:v>
      </x:c>
      <x:c r="F985" s="6" t="n">
        <x:f>英雄升级调参!$C$82</x:f>
        <x:v>4</x:v>
      </x:c>
      <x:c r="G985" s="12">
        <x:f t="shared" si="91"/>
        <x:v>837</x:v>
      </x:c>
      <x:c r="H985" s="12">
        <x:f t="shared" si="92"/>
        <x:v>5825</x:v>
      </x:c>
      <x:c r="I985" s="12">
        <x:f t="shared" si="90"/>
        <x:v>4875525</x:v>
      </x:c>
      <x:c r="J985" s="12">
        <x:f>ROUND(英雄升级调参!$D$82*英雄升级调参!$J$9*英雄升级调参!$E$24,0)</x:f>
        <x:v>54</x:v>
      </x:c>
      <x:c r="K985" s="12">
        <x:f>ROUND(英雄升级调参!$D$82*英雄升级调参!$C$11*英雄升级调参!$J$9*英雄升级调参!$G$24,0)</x:f>
        <x:v>375</x:v>
      </x:c>
      <x:c r="L985" s="12" t="n">
        <x:f>养成消耗调参!$C$164</x:f>
        <x:v>336</x:v>
      </x:c>
      <x:c r="M985" s="12" t="n">
        <x:f>养成消耗调参!$F$164</x:f>
        <x:v>2100</x:v>
      </x:c>
      <x:c r="N985" s="12" t="n">
        <x:f>养成消耗调参!$I$164</x:f>
        <x:v>0</x:v>
      </x:c>
      <x:c r="O985" s="12" t="n">
        <x:f>养成消耗调参!$J$164</x:f>
        <x:v>2856</x:v>
      </x:c>
      <x:c r="P985" s="12" t="n">
        <x:f>养成消耗调参!$M$164</x:f>
        <x:v>15600</x:v>
      </x:c>
      <x:c r="Q985" s="12" t="n">
        <x:f>养成消耗调参!$P$164</x:f>
        <x:v>90</x:v>
      </x:c>
      <x:c r="R985" s="13">
        <x:f>I985/英雄升级调参!$G$82-1</x:f>
        <x:v>-0.0021459227467811592</x:v>
      </x:c>
      <x:c r="S985" s="6"/>
      <x:c r="T985" s="6"/>
      <x:c r="U985" s="6"/>
    </x:row>
    <x:row r="986" ht="21" customHeight="1">
      <x:c r="A986" s="14" t="n">
        <x:f>英雄升级调参!$B$24</x:f>
        <x:v>310006</x:v>
      </x:c>
      <x:c r="B986" s="14" t="str">
        <x:f>英雄升级调参!$C$24</x:f>
        <x:v>玛莫莉莉狮</x:v>
      </x:c>
      <x:c r="C986" s="6" t="str">
        <x:f>英雄升级调参!$D$24</x:f>
        <x:v>战士</x:v>
      </x:c>
      <x:c r="D986" s="6" t="s">
        <x:v>18</x:v>
      </x:c>
      <x:c r="E986" s="6">
        <x:v>18</x:v>
      </x:c>
      <x:c r="F986" s="6" t="n">
        <x:f>英雄升级调参!$C$83</x:f>
        <x:v>4</x:v>
      </x:c>
      <x:c r="G986" s="12">
        <x:f t="shared" si="91"/>
        <x:v>891</x:v>
      </x:c>
      <x:c r="H986" s="12">
        <x:f t="shared" si="92"/>
        <x:v>6200</x:v>
      </x:c>
      <x:c r="I986" s="12">
        <x:f t="shared" si="90"/>
        <x:v>5524200</x:v>
      </x:c>
      <x:c r="J986" s="12">
        <x:f>ROUND(英雄升级调参!$D$83*英雄升级调参!$J$9*英雄升级调参!$E$24,0)</x:f>
        <x:v>54</x:v>
      </x:c>
      <x:c r="K986" s="12">
        <x:f>ROUND(英雄升级调参!$D$83*英雄升级调参!$C$11*英雄升级调参!$J$9*英雄升级调参!$G$24,0)</x:f>
        <x:v>375</x:v>
      </x:c>
      <x:c r="L986" s="12" t="n">
        <x:f>养成消耗调参!$C$165</x:f>
        <x:v>384</x:v>
      </x:c>
      <x:c r="M986" s="12" t="n">
        <x:f>养成消耗调参!$F$165</x:f>
        <x:v>2100</x:v>
      </x:c>
      <x:c r="N986" s="12" t="n">
        <x:f>养成消耗调参!$I$165</x:f>
        <x:v>0</x:v>
      </x:c>
      <x:c r="O986" s="12" t="n">
        <x:f>养成消耗调参!$J$165</x:f>
        <x:v>3240</x:v>
      </x:c>
      <x:c r="P986" s="12" t="n">
        <x:f>养成消耗调参!$M$165</x:f>
        <x:v>17700</x:v>
      </x:c>
      <x:c r="Q986" s="12" t="n">
        <x:f>养成消耗调参!$P$165</x:f>
        <x:v>90</x:v>
      </x:c>
      <x:c r="R986" s="13">
        <x:f>I986/英雄升级调参!$G$83-1</x:f>
        <x:v>-0.0020161290322581182</x:v>
      </x:c>
      <x:c r="S986" s="6"/>
      <x:c r="T986" s="6"/>
      <x:c r="U986" s="6"/>
    </x:row>
    <x:row r="987" ht="21" customHeight="1">
      <x:c r="A987" s="14" t="n">
        <x:f>英雄升级调参!$B$24</x:f>
        <x:v>310006</x:v>
      </x:c>
      <x:c r="B987" s="14" t="str">
        <x:f>英雄升级调参!$C$24</x:f>
        <x:v>玛莫莉莉狮</x:v>
      </x:c>
      <x:c r="C987" s="6" t="str">
        <x:f>英雄升级调参!$D$24</x:f>
        <x:v>战士</x:v>
      </x:c>
      <x:c r="D987" s="6" t="s">
        <x:v>18</x:v>
      </x:c>
      <x:c r="E987" s="6">
        <x:v>19</x:v>
      </x:c>
      <x:c r="F987" s="6" t="n">
        <x:f>英雄升级调参!$C$84</x:f>
        <x:v>4</x:v>
      </x:c>
      <x:c r="G987" s="12">
        <x:f t="shared" si="91"/>
        <x:v>945</x:v>
      </x:c>
      <x:c r="H987" s="12">
        <x:f t="shared" si="92"/>
        <x:v>6575</x:v>
      </x:c>
      <x:c r="I987" s="12">
        <x:f t="shared" si="90"/>
        <x:v>6213375</x:v>
      </x:c>
      <x:c r="J987" s="12">
        <x:f>ROUND(英雄升级调参!$D$84*英雄升级调参!$J$9*英雄升级调参!$E$24,0)</x:f>
        <x:v>54</x:v>
      </x:c>
      <x:c r="K987" s="12">
        <x:f>ROUND(英雄升级调参!$D$84*英雄升级调参!$C$11*英雄升级调参!$J$9*英雄升级调参!$G$24,0)</x:f>
        <x:v>375</x:v>
      </x:c>
      <x:c r="L987" s="12" t="n">
        <x:f>养成消耗调参!$C$166</x:f>
        <x:v>384</x:v>
      </x:c>
      <x:c r="M987" s="12" t="n">
        <x:f>养成消耗调参!$F$166</x:f>
        <x:v>2100</x:v>
      </x:c>
      <x:c r="N987" s="12" t="n">
        <x:f>养成消耗调参!$I$166</x:f>
        <x:v>0</x:v>
      </x:c>
      <x:c r="O987" s="12" t="n">
        <x:f>养成消耗调参!$J$166</x:f>
        <x:v>3624</x:v>
      </x:c>
      <x:c r="P987" s="12" t="n">
        <x:f>养成消耗调参!$M$166</x:f>
        <x:v>19800</x:v>
      </x:c>
      <x:c r="Q987" s="12" t="n">
        <x:f>养成消耗调参!$P$166</x:f>
        <x:v>90</x:v>
      </x:c>
      <x:c r="R987" s="13">
        <x:f>I987/英雄升级调参!$G$84-1</x:f>
        <x:v>-0.0019011406844106071</x:v>
      </x:c>
      <x:c r="S987" s="6"/>
      <x:c r="T987" s="6"/>
      <x:c r="U987" s="6"/>
    </x:row>
    <x:row r="988" ht="21" customHeight="1">
      <x:c r="A988" s="14" t="n">
        <x:f>英雄升级调参!$B$24</x:f>
        <x:v>310006</x:v>
      </x:c>
      <x:c r="B988" s="14" t="str">
        <x:f>英雄升级调参!$C$24</x:f>
        <x:v>玛莫莉莉狮</x:v>
      </x:c>
      <x:c r="C988" s="6" t="str">
        <x:f>英雄升级调参!$D$24</x:f>
        <x:v>战士</x:v>
      </x:c>
      <x:c r="D988" s="6" t="s">
        <x:v>18</x:v>
      </x:c>
      <x:c r="E988" s="6">
        <x:v>20</x:v>
      </x:c>
      <x:c r="F988" s="6" t="n">
        <x:f>英雄升级调参!$C$85</x:f>
        <x:v>4</x:v>
      </x:c>
      <x:c r="G988" s="12">
        <x:f t="shared" si="91"/>
        <x:v>1107</x:v>
      </x:c>
      <x:c r="H988" s="12">
        <x:f t="shared" si="92"/>
        <x:v>7700</x:v>
      </x:c>
      <x:c r="I988" s="12">
        <x:f t="shared" si="90"/>
        <x:v>8523900</x:v>
      </x:c>
      <x:c r="J988" s="12">
        <x:f>ROUND(英雄升级调参!$D$85*英雄升级调参!$J$9*英雄升级调参!$E$24,0)*3</x:f>
        <x:v>162</x:v>
      </x:c>
      <x:c r="K988" s="12">
        <x:f>ROUND(英雄升级调参!$D$85*英雄升级调参!$C$11*英雄升级调参!$J$9*英雄升级调参!$G$24,0)*3</x:f>
        <x:v>1125</x:v>
      </x:c>
      <x:c r="L988" s="12" t="n">
        <x:f>养成消耗调参!$C$167</x:f>
        <x:v>432</x:v>
      </x:c>
      <x:c r="M988" s="12" t="n">
        <x:f>养成消耗调参!$F$167</x:f>
        <x:v>2100</x:v>
      </x:c>
      <x:c r="N988" s="12" t="n">
        <x:f>养成消耗调参!$I$167</x:f>
        <x:v>70</x:v>
      </x:c>
      <x:c r="O988" s="12" t="n">
        <x:f>养成消耗调参!$J$167</x:f>
        <x:v>4056</x:v>
      </x:c>
      <x:c r="P988" s="12" t="n">
        <x:f>养成消耗调参!$M$167</x:f>
        <x:v>21900</x:v>
      </x:c>
      <x:c r="Q988" s="12" t="n">
        <x:f>养成消耗调参!$P$167</x:f>
        <x:v>160</x:v>
      </x:c>
      <x:c r="R988" s="13">
        <x:f>I988/英雄升级调参!$G$85-1</x:f>
        <x:v>-0.0016233766233766378</x:v>
      </x:c>
      <x:c r="S988" s="6"/>
      <x:c r="T988" s="6"/>
      <x:c r="U988" s="6"/>
    </x:row>
    <x:row r="989" ht="21" customHeight="1">
      <x:c r="A989" s="14" t="n">
        <x:f>英雄升级调参!$B$24</x:f>
        <x:v>310006</x:v>
      </x:c>
      <x:c r="B989" s="14" t="str">
        <x:f>英雄升级调参!$C$24</x:f>
        <x:v>玛莫莉莉狮</x:v>
      </x:c>
      <x:c r="C989" s="6" t="str">
        <x:f>英雄升级调参!$D$24</x:f>
        <x:v>战士</x:v>
      </x:c>
      <x:c r="D989" s="6" t="s">
        <x:v>18</x:v>
      </x:c>
      <x:c r="E989" s="6">
        <x:v>21</x:v>
      </x:c>
      <x:c r="F989" s="6" t="n">
        <x:f>英雄升级调参!$C$86</x:f>
        <x:v>5</x:v>
      </x:c>
      <x:c r="G989" s="12">
        <x:f t="shared" si="91"/>
        <x:v>1172</x:v>
      </x:c>
      <x:c r="H989" s="12">
        <x:f t="shared" si="92"/>
        <x:v>8150</x:v>
      </x:c>
      <x:c r="I989" s="12">
        <x:f t="shared" si="90"/>
        <x:v>9551800</x:v>
      </x:c>
      <x:c r="J989" s="12">
        <x:f>ROUND(英雄升级调参!$D$86*英雄升级调参!$J$9*英雄升级调参!$E$24,0)</x:f>
        <x:v>65</x:v>
      </x:c>
      <x:c r="K989" s="12">
        <x:f>ROUND(英雄升级调参!$D$86*英雄升级调参!$C$11*英雄升级调参!$J$9*英雄升级调参!$G$24,0)</x:f>
        <x:v>450</x:v>
      </x:c>
      <x:c r="L989" s="12" t="n">
        <x:f>养成消耗调参!$C$168</x:f>
        <x:v>432</x:v>
      </x:c>
      <x:c r="M989" s="12" t="n">
        <x:f>养成消耗调参!$F$168</x:f>
        <x:v>2100</x:v>
      </x:c>
      <x:c r="N989" s="12" t="n">
        <x:f>养成消耗调参!$I$168</x:f>
        <x:v>0</x:v>
      </x:c>
      <x:c r="O989" s="12" t="n">
        <x:f>养成消耗调参!$J$168</x:f>
        <x:v>4488</x:v>
      </x:c>
      <x:c r="P989" s="12" t="n">
        <x:f>养成消耗调参!$M$168</x:f>
        <x:v>24000</x:v>
      </x:c>
      <x:c r="Q989" s="12" t="n">
        <x:f>养成消耗调参!$P$168</x:f>
        <x:v>160</x:v>
      </x:c>
      <x:c r="R989" s="13">
        <x:f>I989/英雄升级调参!$G$86-1</x:f>
        <x:v>-0.0013633265167007913</x:v>
      </x:c>
      <x:c r="S989" s="6"/>
      <x:c r="T989" s="6"/>
      <x:c r="U989" s="6"/>
    </x:row>
    <x:row r="990" ht="21" customHeight="1">
      <x:c r="A990" s="14" t="n">
        <x:f>英雄升级调参!$B$24</x:f>
        <x:v>310006</x:v>
      </x:c>
      <x:c r="B990" s="14" t="str">
        <x:f>英雄升级调参!$C$24</x:f>
        <x:v>玛莫莉莉狮</x:v>
      </x:c>
      <x:c r="C990" s="6" t="str">
        <x:f>英雄升级调参!$D$24</x:f>
        <x:v>战士</x:v>
      </x:c>
      <x:c r="D990" s="6" t="s">
        <x:v>18</x:v>
      </x:c>
      <x:c r="E990" s="6">
        <x:v>22</x:v>
      </x:c>
      <x:c r="F990" s="6" t="n">
        <x:f>英雄升级调参!$C$87</x:f>
        <x:v>5</x:v>
      </x:c>
      <x:c r="G990" s="12">
        <x:f t="shared" si="91"/>
        <x:v>1237</x:v>
      </x:c>
      <x:c r="H990" s="12">
        <x:f t="shared" si="92"/>
        <x:v>8600</x:v>
      </x:c>
      <x:c r="I990" s="12">
        <x:f t="shared" si="90"/>
        <x:v>10638200</x:v>
      </x:c>
      <x:c r="J990" s="12">
        <x:f>ROUND(英雄升级调参!$D$87*英雄升级调参!$J$9*英雄升级调参!$E$24,0)</x:f>
        <x:v>65</x:v>
      </x:c>
      <x:c r="K990" s="12">
        <x:f>ROUND(英雄升级调参!$D$87*英雄升级调参!$C$11*英雄升级调参!$J$9*英雄升级调参!$G$24,0)</x:f>
        <x:v>450</x:v>
      </x:c>
      <x:c r="L990" s="12" t="n">
        <x:f>养成消耗调参!$C$169</x:f>
        <x:v>480</x:v>
      </x:c>
      <x:c r="M990" s="12" t="n">
        <x:f>养成消耗调参!$F$169</x:f>
        <x:v>3000</x:v>
      </x:c>
      <x:c r="N990" s="12" t="n">
        <x:f>养成消耗调参!$I$169</x:f>
        <x:v>0</x:v>
      </x:c>
      <x:c r="O990" s="12" t="n">
        <x:f>养成消耗调参!$J$169</x:f>
        <x:v>4968</x:v>
      </x:c>
      <x:c r="P990" s="12" t="n">
        <x:f>养成消耗调参!$M$169</x:f>
        <x:v>27000</x:v>
      </x:c>
      <x:c r="Q990" s="12" t="n">
        <x:f>养成消耗调参!$P$169</x:f>
        <x:v>160</x:v>
      </x:c>
      <x:c r="R990" s="13">
        <x:f>I990/英雄升级调参!$G$87-1</x:f>
        <x:v>-0.0011304909560723164</x:v>
      </x:c>
      <x:c r="S990" s="6"/>
      <x:c r="T990" s="6"/>
      <x:c r="U990" s="6"/>
    </x:row>
    <x:row r="991" ht="21" customHeight="1">
      <x:c r="A991" s="14" t="n">
        <x:f>英雄升级调参!$B$24</x:f>
        <x:v>310006</x:v>
      </x:c>
      <x:c r="B991" s="14" t="str">
        <x:f>英雄升级调参!$C$24</x:f>
        <x:v>玛莫莉莉狮</x:v>
      </x:c>
      <x:c r="C991" s="6" t="str">
        <x:f>英雄升级调参!$D$24</x:f>
        <x:v>战士</x:v>
      </x:c>
      <x:c r="D991" s="6" t="s">
        <x:v>18</x:v>
      </x:c>
      <x:c r="E991" s="6">
        <x:v>23</x:v>
      </x:c>
      <x:c r="F991" s="6" t="n">
        <x:f>英雄升级调参!$C$88</x:f>
        <x:v>5</x:v>
      </x:c>
      <x:c r="G991" s="12">
        <x:f t="shared" si="91"/>
        <x:v>1302</x:v>
      </x:c>
      <x:c r="H991" s="12">
        <x:f t="shared" si="92"/>
        <x:v>9050</x:v>
      </x:c>
      <x:c r="I991" s="12">
        <x:f t="shared" si="90"/>
        <x:v>11783100</x:v>
      </x:c>
      <x:c r="J991" s="12">
        <x:f>ROUND(英雄升级调参!$D$88*英雄升级调参!$J$9*英雄升级调参!$E$24,0)</x:f>
        <x:v>65</x:v>
      </x:c>
      <x:c r="K991" s="12">
        <x:f>ROUND(英雄升级调参!$D$88*英雄升级调参!$C$11*英雄升级调参!$J$9*英雄升级调参!$G$24,0)</x:f>
        <x:v>450</x:v>
      </x:c>
      <x:c r="L991" s="12" t="n">
        <x:f>养成消耗调参!$C$170</x:f>
        <x:v>480</x:v>
      </x:c>
      <x:c r="M991" s="12" t="n">
        <x:f>养成消耗调参!$F$170</x:f>
        <x:v>3000</x:v>
      </x:c>
      <x:c r="N991" s="12" t="n">
        <x:f>养成消耗调参!$I$170</x:f>
        <x:v>0</x:v>
      </x:c>
      <x:c r="O991" s="12" t="n">
        <x:f>养成消耗调参!$J$170</x:f>
        <x:v>5448</x:v>
      </x:c>
      <x:c r="P991" s="12" t="n">
        <x:f>养成消耗调参!$M$170</x:f>
        <x:v>30000</x:v>
      </x:c>
      <x:c r="Q991" s="12" t="n">
        <x:f>养成消耗调参!$P$170</x:f>
        <x:v>160</x:v>
      </x:c>
      <x:c r="R991" s="13">
        <x:f>I991/英雄升级调参!$G$88-1</x:f>
        <x:v>-0.0009208103130755596</x:v>
      </x:c>
      <x:c r="S991" s="6"/>
      <x:c r="T991" s="6"/>
      <x:c r="U991" s="6"/>
    </x:row>
    <x:row r="992" ht="21" customHeight="1">
      <x:c r="A992" s="14" t="n">
        <x:f>英雄升级调参!$B$24</x:f>
        <x:v>310006</x:v>
      </x:c>
      <x:c r="B992" s="14" t="str">
        <x:f>英雄升级调参!$C$24</x:f>
        <x:v>玛莫莉莉狮</x:v>
      </x:c>
      <x:c r="C992" s="6" t="str">
        <x:f>英雄升级调参!$D$24</x:f>
        <x:v>战士</x:v>
      </x:c>
      <x:c r="D992" s="6" t="s">
        <x:v>18</x:v>
      </x:c>
      <x:c r="E992" s="6">
        <x:v>24</x:v>
      </x:c>
      <x:c r="F992" s="6" t="n">
        <x:f>英雄升级调参!$C$89</x:f>
        <x:v>5</x:v>
      </x:c>
      <x:c r="G992" s="12">
        <x:f t="shared" si="91"/>
        <x:v>1367</x:v>
      </x:c>
      <x:c r="H992" s="12">
        <x:f t="shared" si="92"/>
        <x:v>9500</x:v>
      </x:c>
      <x:c r="I992" s="12">
        <x:f t="shared" si="90"/>
        <x:v>12986500</x:v>
      </x:c>
      <x:c r="J992" s="12">
        <x:f>ROUND(英雄升级调参!$D$89*英雄升级调参!$J$9*英雄升级调参!$E$24,0)</x:f>
        <x:v>65</x:v>
      </x:c>
      <x:c r="K992" s="12">
        <x:f>ROUND(英雄升级调参!$D$89*英雄升级调参!$C$11*英雄升级调参!$J$9*英雄升级调参!$G$24,0)</x:f>
        <x:v>450</x:v>
      </x:c>
      <x:c r="L992" s="12" t="n">
        <x:f>养成消耗调参!$C$171</x:f>
        <x:v>528</x:v>
      </x:c>
      <x:c r="M992" s="12" t="n">
        <x:f>养成消耗调参!$F$171</x:f>
        <x:v>3000</x:v>
      </x:c>
      <x:c r="N992" s="12" t="n">
        <x:f>养成消耗调参!$I$171</x:f>
        <x:v>0</x:v>
      </x:c>
      <x:c r="O992" s="12" t="n">
        <x:f>养成消耗调参!$J$171</x:f>
        <x:v>5976</x:v>
      </x:c>
      <x:c r="P992" s="12" t="n">
        <x:f>养成消耗调参!$M$171</x:f>
        <x:v>33000</x:v>
      </x:c>
      <x:c r="Q992" s="12" t="n">
        <x:f>养成消耗调参!$P$171</x:f>
        <x:v>160</x:v>
      </x:c>
      <x:c r="R992" s="13">
        <x:f>I992/英雄升级调参!$G$89-1</x:f>
        <x:v>-0.0007309941520468044</x:v>
      </x:c>
      <x:c r="S992" s="6"/>
      <x:c r="T992" s="6"/>
      <x:c r="U992" s="6"/>
    </x:row>
    <x:row r="993" ht="21" customHeight="1">
      <x:c r="A993" s="14" t="n">
        <x:f>英雄升级调参!$B$24</x:f>
        <x:v>310006</x:v>
      </x:c>
      <x:c r="B993" s="14" t="str">
        <x:f>英雄升级调参!$C$24</x:f>
        <x:v>玛莫莉莉狮</x:v>
      </x:c>
      <x:c r="C993" s="6" t="str">
        <x:f>英雄升级调参!$D$24</x:f>
        <x:v>战士</x:v>
      </x:c>
      <x:c r="D993" s="6" t="s">
        <x:v>18</x:v>
      </x:c>
      <x:c r="E993" s="6">
        <x:v>25</x:v>
      </x:c>
      <x:c r="F993" s="6" t="n">
        <x:f>英雄升级调参!$C$90</x:f>
        <x:v>5</x:v>
      </x:c>
      <x:c r="G993" s="12">
        <x:f t="shared" si="91"/>
        <x:v>1562</x:v>
      </x:c>
      <x:c r="H993" s="12">
        <x:f t="shared" si="92"/>
        <x:v>10850</x:v>
      </x:c>
      <x:c r="I993" s="12">
        <x:f t="shared" si="90"/>
        <x:v>16947700</x:v>
      </x:c>
      <x:c r="J993" s="12">
        <x:f>ROUND(英雄升级调参!$D$90*英雄升级调参!$J$9*英雄升级调参!$E$24,0)*3</x:f>
        <x:v>195</x:v>
      </x:c>
      <x:c r="K993" s="12">
        <x:f>ROUND(英雄升级调参!$D$90*英雄升级调参!$C$11*英雄升级调参!$J$9*英雄升级调参!$G$24,0)*3</x:f>
        <x:v>1350</x:v>
      </x:c>
      <x:c r="L993" s="12" t="n">
        <x:f>养成消耗调参!$C$172</x:f>
        <x:v>528</x:v>
      </x:c>
      <x:c r="M993" s="12" t="n">
        <x:f>养成消耗调参!$F$172</x:f>
        <x:v>3000</x:v>
      </x:c>
      <x:c r="N993" s="12" t="n">
        <x:f>养成消耗调参!$I$172</x:f>
        <x:v>90</x:v>
      </x:c>
      <x:c r="O993" s="12" t="n">
        <x:f>养成消耗调参!$J$172</x:f>
        <x:v>6504</x:v>
      </x:c>
      <x:c r="P993" s="12" t="n">
        <x:f>养成消耗调参!$M$172</x:f>
        <x:v>36000</x:v>
      </x:c>
      <x:c r="Q993" s="12" t="n">
        <x:f>养成消耗调参!$P$172</x:f>
        <x:v>250</x:v>
      </x:c>
      <x:c r="R993" s="13">
        <x:f>I993/英雄升级调参!$G$90-1</x:f>
        <x:v>-0.0002560163850486852</x:v>
      </x:c>
      <x:c r="S993" s="6"/>
      <x:c r="T993" s="6"/>
      <x:c r="U993" s="6"/>
    </x:row>
    <x:row r="994" ht="21" customHeight="1">
      <x:c r="A994" s="14" t="n">
        <x:f>英雄升级调参!$B$24</x:f>
        <x:v>310006</x:v>
      </x:c>
      <x:c r="B994" s="14" t="str">
        <x:f>英雄升级调参!$C$24</x:f>
        <x:v>玛莫莉莉狮</x:v>
      </x:c>
      <x:c r="C994" s="6" t="str">
        <x:f>英雄升级调参!$D$24</x:f>
        <x:v>战士</x:v>
      </x:c>
      <x:c r="D994" s="6" t="s">
        <x:v>18</x:v>
      </x:c>
      <x:c r="E994" s="6">
        <x:v>26</x:v>
      </x:c>
      <x:c r="F994" s="6" t="n">
        <x:f>英雄升级调参!$C$91</x:f>
        <x:v>6</x:v>
      </x:c>
      <x:c r="G994" s="12">
        <x:f t="shared" si="91"/>
        <x:v>1638</x:v>
      </x:c>
      <x:c r="H994" s="12">
        <x:f t="shared" si="92"/>
        <x:v>11375</x:v>
      </x:c>
      <x:c r="I994" s="12">
        <x:f t="shared" si="90"/>
        <x:v>18632250</x:v>
      </x:c>
      <x:c r="J994" s="12">
        <x:f>ROUND(英雄升级调参!$D$91*英雄升级调参!$J$9*英雄升级调参!$E$24,0)</x:f>
        <x:v>76</x:v>
      </x:c>
      <x:c r="K994" s="12">
        <x:f>ROUND(英雄升级调参!$D$91*英雄升级调参!$C$11*英雄升级调参!$J$9*英雄升级调参!$G$24,0)</x:f>
        <x:v>525</x:v>
      </x:c>
      <x:c r="L994" s="12" t="n">
        <x:f>养成消耗调参!$C$173</x:f>
        <x:v>576</x:v>
      </x:c>
      <x:c r="M994" s="12" t="n">
        <x:f>养成消耗调参!$F$173</x:f>
        <x:v>3000</x:v>
      </x:c>
      <x:c r="N994" s="12" t="n">
        <x:f>养成消耗调参!$I$173</x:f>
        <x:v>0</x:v>
      </x:c>
      <x:c r="O994" s="12" t="n">
        <x:f>养成消耗调参!$J$173</x:f>
        <x:v>7080</x:v>
      </x:c>
      <x:c r="P994" s="12" t="n">
        <x:f>养成消耗调参!$M$173</x:f>
        <x:v>39000</x:v>
      </x:c>
      <x:c r="Q994" s="12" t="n">
        <x:f>养成消耗调参!$P$173</x:f>
        <x:v>250</x:v>
      </x:c>
      <x:c r="R994" s="13" t="n">
        <x:f>I994/英雄升级调参!$G$91-1</x:f>
        <x:v>0</x:v>
      </x:c>
      <x:c r="S994" s="6"/>
      <x:c r="T994" s="6"/>
      <x:c r="U994" s="6"/>
    </x:row>
    <x:row r="995" ht="21" customHeight="1">
      <x:c r="A995" s="14" t="n">
        <x:f>英雄升级调参!$B$24</x:f>
        <x:v>310006</x:v>
      </x:c>
      <x:c r="B995" s="14" t="str">
        <x:f>英雄升级调参!$C$24</x:f>
        <x:v>玛莫莉莉狮</x:v>
      </x:c>
      <x:c r="C995" s="6" t="str">
        <x:f>英雄升级调参!$D$24</x:f>
        <x:v>战士</x:v>
      </x:c>
      <x:c r="D995" s="6" t="s">
        <x:v>18</x:v>
      </x:c>
      <x:c r="E995" s="6">
        <x:v>27</x:v>
      </x:c>
      <x:c r="F995" s="6" t="n">
        <x:f>英雄升级调参!$C$92</x:f>
        <x:v>6</x:v>
      </x:c>
      <x:c r="G995" s="12">
        <x:f t="shared" si="91"/>
        <x:v>1714</x:v>
      </x:c>
      <x:c r="H995" s="12">
        <x:f t="shared" si="92"/>
        <x:v>11900</x:v>
      </x:c>
      <x:c r="I995" s="12">
        <x:f t="shared" si="90"/>
        <x:v>20396600</x:v>
      </x:c>
      <x:c r="J995" s="12">
        <x:f>ROUND(英雄升级调参!$D$92*英雄升级调参!$J$9*英雄升级调参!$E$24,0)</x:f>
        <x:v>76</x:v>
      </x:c>
      <x:c r="K995" s="12">
        <x:f>ROUND(英雄升级调参!$D$92*英雄升级调参!$C$11*英雄升级调参!$J$9*英雄升级调参!$G$24,0)</x:f>
        <x:v>525</x:v>
      </x:c>
      <x:c r="L995" s="12" t="n">
        <x:f>养成消耗调参!$C$174</x:f>
        <x:v>576</x:v>
      </x:c>
      <x:c r="M995" s="12" t="n">
        <x:f>养成消耗调参!$F$174</x:f>
        <x:v>3900</x:v>
      </x:c>
      <x:c r="N995" s="12" t="n">
        <x:f>养成消耗调参!$I$174</x:f>
        <x:v>0</x:v>
      </x:c>
      <x:c r="O995" s="12" t="n">
        <x:f>养成消耗调参!$J$174</x:f>
        <x:v>7656</x:v>
      </x:c>
      <x:c r="P995" s="12" t="n">
        <x:f>养成消耗调参!$M$174</x:f>
        <x:v>42900</x:v>
      </x:c>
      <x:c r="Q995" s="12" t="n">
        <x:f>养成消耗调参!$P$174</x:f>
        <x:v>250</x:v>
      </x:c>
      <x:c r="R995" s="13">
        <x:f>I995/英雄升级调参!$G$92-1</x:f>
        <x:v>0.00023342670401493848</x:v>
      </x:c>
      <x:c r="S995" s="6"/>
      <x:c r="T995" s="6"/>
      <x:c r="U995" s="6"/>
    </x:row>
    <x:row r="996" ht="21" customHeight="1">
      <x:c r="A996" s="14" t="n">
        <x:f>英雄升级调参!$B$24</x:f>
        <x:v>310006</x:v>
      </x:c>
      <x:c r="B996" s="14" t="str">
        <x:f>英雄升级调参!$C$24</x:f>
        <x:v>玛莫莉莉狮</x:v>
      </x:c>
      <x:c r="C996" s="6" t="str">
        <x:f>英雄升级调参!$D$24</x:f>
        <x:v>战士</x:v>
      </x:c>
      <x:c r="D996" s="6" t="s">
        <x:v>18</x:v>
      </x:c>
      <x:c r="E996" s="6">
        <x:v>28</x:v>
      </x:c>
      <x:c r="F996" s="6" t="n">
        <x:f>英雄升级调参!$C$93</x:f>
        <x:v>6</x:v>
      </x:c>
      <x:c r="G996" s="12">
        <x:f t="shared" si="91"/>
        <x:v>1790</x:v>
      </x:c>
      <x:c r="H996" s="12">
        <x:f t="shared" si="92"/>
        <x:v>12425</x:v>
      </x:c>
      <x:c r="I996" s="12">
        <x:f t="shared" si="90"/>
        <x:v>22240750</x:v>
      </x:c>
      <x:c r="J996" s="12">
        <x:f>ROUND(英雄升级调参!$D$93*英雄升级调参!$J$9*英雄升级调参!$E$24,0)</x:f>
        <x:v>76</x:v>
      </x:c>
      <x:c r="K996" s="12">
        <x:f>ROUND(英雄升级调参!$D$93*英雄升级调参!$C$11*英雄升级调参!$J$9*英雄升级调参!$G$24,0)</x:f>
        <x:v>525</x:v>
      </x:c>
      <x:c r="L996" s="12" t="n">
        <x:f>养成消耗调参!$C$175</x:f>
        <x:v>624</x:v>
      </x:c>
      <x:c r="M996" s="12" t="n">
        <x:f>养成消耗调参!$F$175</x:f>
        <x:v>3900</x:v>
      </x:c>
      <x:c r="N996" s="12" t="n">
        <x:f>养成消耗调参!$I$175</x:f>
        <x:v>0</x:v>
      </x:c>
      <x:c r="O996" s="12" t="n">
        <x:f>养成消耗调参!$J$175</x:f>
        <x:v>8280</x:v>
      </x:c>
      <x:c r="P996" s="12" t="n">
        <x:f>养成消耗调参!$M$175</x:f>
        <x:v>46800</x:v>
      </x:c>
      <x:c r="Q996" s="12" t="n">
        <x:f>养成消耗调参!$P$175</x:f>
        <x:v>250</x:v>
      </x:c>
      <x:c r="R996" s="13">
        <x:f>I996/英雄升级调参!$G$93-1</x:f>
        <x:v>0.0004471272076906896</x:v>
      </x:c>
      <x:c r="S996" s="6"/>
      <x:c r="T996" s="6"/>
      <x:c r="U996" s="6"/>
    </x:row>
    <x:row r="997" ht="21" customHeight="1">
      <x:c r="A997" s="14" t="n">
        <x:f>英雄升级调参!$B$24</x:f>
        <x:v>310006</x:v>
      </x:c>
      <x:c r="B997" s="14" t="str">
        <x:f>英雄升级调参!$C$24</x:f>
        <x:v>玛莫莉莉狮</x:v>
      </x:c>
      <x:c r="C997" s="6" t="str">
        <x:f>英雄升级调参!$D$24</x:f>
        <x:v>战士</x:v>
      </x:c>
      <x:c r="D997" s="6" t="s">
        <x:v>18</x:v>
      </x:c>
      <x:c r="E997" s="6">
        <x:v>29</x:v>
      </x:c>
      <x:c r="F997" s="6" t="n">
        <x:f>英雄升级调参!$C$94</x:f>
        <x:v>6</x:v>
      </x:c>
      <x:c r="G997" s="12">
        <x:f t="shared" si="91"/>
        <x:v>1866</x:v>
      </x:c>
      <x:c r="H997" s="12">
        <x:f t="shared" si="92"/>
        <x:v>12950</x:v>
      </x:c>
      <x:c r="I997" s="12">
        <x:f t="shared" si="90"/>
        <x:v>24164700</x:v>
      </x:c>
      <x:c r="J997" s="12">
        <x:f>ROUND(英雄升级调参!$D$94*英雄升级调参!$J$9*英雄升级调参!$E$24,0)</x:f>
        <x:v>76</x:v>
      </x:c>
      <x:c r="K997" s="12">
        <x:f>ROUND(英雄升级调参!$D$94*英雄升级调参!$C$11*英雄升级调参!$J$9*英雄升级调参!$G$24,0)</x:f>
        <x:v>525</x:v>
      </x:c>
      <x:c r="L997" s="12" t="n">
        <x:f>养成消耗调参!$C$176</x:f>
        <x:v>624</x:v>
      </x:c>
      <x:c r="M997" s="12" t="n">
        <x:f>养成消耗调参!$F$176</x:f>
        <x:v>3900</x:v>
      </x:c>
      <x:c r="N997" s="12" t="n">
        <x:f>养成消耗调参!$I$176</x:f>
        <x:v>0</x:v>
      </x:c>
      <x:c r="O997" s="12" t="n">
        <x:f>养成消耗调参!$J$176</x:f>
        <x:v>8904</x:v>
      </x:c>
      <x:c r="P997" s="12" t="n">
        <x:f>养成消耗调参!$M$176</x:f>
        <x:v>50700</x:v>
      </x:c>
      <x:c r="Q997" s="12" t="n">
        <x:f>养成消耗调参!$P$176</x:f>
        <x:v>250</x:v>
      </x:c>
      <x:c r="R997" s="13">
        <x:f>I997/英雄升级调参!$G$94-1</x:f>
        <x:v>0.0006435006435006052</x:v>
      </x:c>
      <x:c r="S997" s="6"/>
      <x:c r="T997" s="6"/>
      <x:c r="U997" s="6"/>
    </x:row>
    <x:row r="998" ht="21" customHeight="1">
      <x:c r="A998" s="14" t="n">
        <x:f>英雄升级调参!$B$24</x:f>
        <x:v>310006</x:v>
      </x:c>
      <x:c r="B998" s="14" t="str">
        <x:f>英雄升级调参!$C$24</x:f>
        <x:v>玛莫莉莉狮</x:v>
      </x:c>
      <x:c r="C998" s="6" t="str">
        <x:f>英雄升级调参!$D$24</x:f>
        <x:v>战士</x:v>
      </x:c>
      <x:c r="D998" s="6" t="s">
        <x:v>18</x:v>
      </x:c>
      <x:c r="E998" s="6">
        <x:v>30</x:v>
      </x:c>
      <x:c r="F998" s="6" t="n">
        <x:f>英雄升级调参!$C$95</x:f>
        <x:v>6</x:v>
      </x:c>
      <x:c r="G998" s="12">
        <x:f t="shared" si="91"/>
        <x:v>2094</x:v>
      </x:c>
      <x:c r="H998" s="12">
        <x:f t="shared" si="92"/>
        <x:v>14525</x:v>
      </x:c>
      <x:c r="I998" s="12">
        <x:f t="shared" si="90"/>
        <x:v>30415350</x:v>
      </x:c>
      <x:c r="J998" s="12">
        <x:f>ROUND(英雄升级调参!$D$95*英雄升级调参!$J$9*英雄升级调参!$E$24,0)*3</x:f>
        <x:v>228</x:v>
      </x:c>
      <x:c r="K998" s="12">
        <x:f>ROUND(英雄升级调参!$D$95*英雄升级调参!$C$11*英雄升级调参!$J$9*英雄升级调参!$G$24,0)*3</x:f>
        <x:v>1575</x:v>
      </x:c>
      <x:c r="L998" s="12" t="n">
        <x:f>养成消耗调参!$C$177</x:f>
        <x:v>672</x:v>
      </x:c>
      <x:c r="M998" s="12" t="n">
        <x:f>养成消耗调参!$F$177</x:f>
        <x:v>3900</x:v>
      </x:c>
      <x:c r="N998" s="12" t="n">
        <x:f>养成消耗调参!$I$177</x:f>
        <x:v>110</x:v>
      </x:c>
      <x:c r="O998" s="12" t="n">
        <x:f>养成消耗调参!$J$177</x:f>
        <x:v>9576</x:v>
      </x:c>
      <x:c r="P998" s="12" t="n">
        <x:f>养成消耗调参!$M$177</x:f>
        <x:v>54600</x:v>
      </x:c>
      <x:c r="Q998" s="12" t="n">
        <x:f>养成消耗调参!$P$177</x:f>
        <x:v>360</x:v>
      </x:c>
      <x:c r="R998" s="13">
        <x:f>I998/英雄升级调参!$G$95-1</x:f>
        <x:v>0.0011474469305794432</x:v>
      </x:c>
      <x:c r="S998" s="6"/>
      <x:c r="T998" s="6"/>
      <x:c r="U998" s="6"/>
    </x:row>
    <x:row r="999" ht="21" customHeight="1">
      <x:c r="A999" s="14" t="n">
        <x:f>英雄升级调参!$B$24</x:f>
        <x:v>310006</x:v>
      </x:c>
      <x:c r="B999" s="14" t="str">
        <x:f>英雄升级调参!$C$24</x:f>
        <x:v>玛莫莉莉狮</x:v>
      </x:c>
      <x:c r="C999" s="6" t="str">
        <x:f>英雄升级调参!$D$24</x:f>
        <x:v>战士</x:v>
      </x:c>
      <x:c r="D999" s="6" t="s">
        <x:v>18</x:v>
      </x:c>
      <x:c r="E999" s="6">
        <x:v>31</x:v>
      </x:c>
      <x:c r="F999" s="6" t="n">
        <x:f>英雄升级调参!$C$96</x:f>
        <x:v>7</x:v>
      </x:c>
      <x:c r="G999" s="12">
        <x:f t="shared" si="91"/>
        <x:v>2180</x:v>
      </x:c>
      <x:c r="H999" s="12">
        <x:f t="shared" si="92"/>
        <x:v>15125</x:v>
      </x:c>
      <x:c r="I999" s="12">
        <x:f t="shared" si="90"/>
        <x:v>32972500</x:v>
      </x:c>
      <x:c r="J999" s="12">
        <x:f>ROUND(英雄升级调参!$D$96*英雄升级调参!$J$9*英雄升级调参!$E$24,0)</x:f>
        <x:v>86</x:v>
      </x:c>
      <x:c r="K999" s="12">
        <x:f>ROUND(英雄升级调参!$D$96*英雄升级调参!$C$11*英雄升级调参!$J$9*英雄升级调参!$G$24,0)</x:f>
        <x:v>600</x:v>
      </x:c>
      <x:c r="L999" s="12" t="n">
        <x:f>养成消耗调参!$C$178</x:f>
        <x:v>672</x:v>
      </x:c>
      <x:c r="M999" s="12" t="n">
        <x:f>养成消耗调参!$F$178</x:f>
        <x:v>3900</x:v>
      </x:c>
      <x:c r="N999" s="12" t="n">
        <x:f>养成消耗调参!$I$178</x:f>
        <x:v>0</x:v>
      </x:c>
      <x:c r="O999" s="12" t="n">
        <x:f>养成消耗调参!$J$178</x:f>
        <x:v>10248</x:v>
      </x:c>
      <x:c r="P999" s="12" t="n">
        <x:f>养成消耗调参!$M$178</x:f>
        <x:v>58500</x:v>
      </x:c>
      <x:c r="Q999" s="12" t="n">
        <x:f>养成消耗调参!$P$178</x:f>
        <x:v>360</x:v>
      </x:c>
      <x:c r="R999" s="13">
        <x:f>I999/英雄升级调参!$G$96-1</x:f>
        <x:v>0.0009182736455464191</x:v>
      </x:c>
      <x:c r="S999" s="6"/>
      <x:c r="T999" s="6"/>
      <x:c r="U999" s="6"/>
    </x:row>
    <x:row r="1000" ht="21" customHeight="1">
      <x:c r="A1000" s="14" t="n">
        <x:f>英雄升级调参!$B$24</x:f>
        <x:v>310006</x:v>
      </x:c>
      <x:c r="B1000" s="14" t="str">
        <x:f>英雄升级调参!$C$24</x:f>
        <x:v>玛莫莉莉狮</x:v>
      </x:c>
      <x:c r="C1000" s="6" t="str">
        <x:f>英雄升级调参!$D$24</x:f>
        <x:v>战士</x:v>
      </x:c>
      <x:c r="D1000" s="6" t="s">
        <x:v>18</x:v>
      </x:c>
      <x:c r="E1000" s="6">
        <x:v>32</x:v>
      </x:c>
      <x:c r="F1000" s="6" t="n">
        <x:f>英雄升级调参!$C$97</x:f>
        <x:v>7</x:v>
      </x:c>
      <x:c r="G1000" s="12">
        <x:f t="shared" si="91"/>
        <x:v>2266</x:v>
      </x:c>
      <x:c r="H1000" s="12">
        <x:f t="shared" si="92"/>
        <x:v>15725</x:v>
      </x:c>
      <x:c r="I1000" s="12">
        <x:f t="shared" si="90"/>
        <x:v>35632850</x:v>
      </x:c>
      <x:c r="J1000" s="12">
        <x:f>ROUND(英雄升级调参!$D$97*英雄升级调参!$J$9*英雄升级调参!$E$24,0)</x:f>
        <x:v>86</x:v>
      </x:c>
      <x:c r="K1000" s="12">
        <x:f>ROUND(英雄升级调参!$D$97*英雄升级调参!$C$11*英雄升级调参!$J$9*英雄升级调参!$G$24,0)</x:f>
        <x:v>600</x:v>
      </x:c>
      <x:c r="L1000" s="12" t="n">
        <x:f>养成消耗调参!$C$179</x:f>
        <x:v>720</x:v>
      </x:c>
      <x:c r="M1000" s="12" t="n">
        <x:f>养成消耗调参!$F$179</x:f>
        <x:v>4800</x:v>
      </x:c>
      <x:c r="N1000" s="12" t="n">
        <x:f>养成消耗调参!$I$179</x:f>
        <x:v>0</x:v>
      </x:c>
      <x:c r="O1000" s="12" t="n">
        <x:f>养成消耗调参!$J$179</x:f>
        <x:v>10968</x:v>
      </x:c>
      <x:c r="P1000" s="12" t="n">
        <x:f>养成消耗调参!$M$179</x:f>
        <x:v>63300</x:v>
      </x:c>
      <x:c r="Q1000" s="12" t="n">
        <x:f>养成消耗调参!$P$179</x:f>
        <x:v>360</x:v>
      </x:c>
      <x:c r="R1000" s="13">
        <x:f>I1000/英雄升级调参!$G$97-1</x:f>
        <x:v>0.000706588941883135</x:v>
      </x:c>
      <x:c r="S1000" s="6"/>
      <x:c r="T1000" s="6"/>
      <x:c r="U1000" s="6"/>
    </x:row>
    <x:row r="1001" ht="21" customHeight="1">
      <x:c r="A1001" s="14" t="n">
        <x:f>英雄升级调参!$B$24</x:f>
        <x:v>310006</x:v>
      </x:c>
      <x:c r="B1001" s="14" t="str">
        <x:f>英雄升级调参!$C$24</x:f>
        <x:v>玛莫莉莉狮</x:v>
      </x:c>
      <x:c r="C1001" s="6" t="str">
        <x:f>英雄升级调参!$D$24</x:f>
        <x:v>战士</x:v>
      </x:c>
      <x:c r="D1001" s="6" t="s">
        <x:v>18</x:v>
      </x:c>
      <x:c r="E1001" s="6">
        <x:v>33</x:v>
      </x:c>
      <x:c r="F1001" s="6" t="n">
        <x:f>英雄升级调参!$C$98</x:f>
        <x:v>7</x:v>
      </x:c>
      <x:c r="G1001" s="12">
        <x:f t="shared" si="91"/>
        <x:v>2352</x:v>
      </x:c>
      <x:c r="H1001" s="12">
        <x:f t="shared" si="92"/>
        <x:v>16325</x:v>
      </x:c>
      <x:c r="I1001" s="12">
        <x:f t="shared" si="90"/>
        <x:v>38396400</x:v>
      </x:c>
      <x:c r="J1001" s="12">
        <x:f>ROUND(英雄升级调参!$D$98*英雄升级调参!$J$9*英雄升级调参!$E$24,0)</x:f>
        <x:v>86</x:v>
      </x:c>
      <x:c r="K1001" s="12">
        <x:f>ROUND(英雄升级调参!$D$98*英雄升级调参!$C$11*英雄升级调参!$J$9*英雄升级调参!$G$24,0)</x:f>
        <x:v>600</x:v>
      </x:c>
      <x:c r="L1001" s="12" t="n">
        <x:f>养成消耗调参!$C$180</x:f>
        <x:v>720</x:v>
      </x:c>
      <x:c r="M1001" s="12" t="n">
        <x:f>养成消耗调参!$F$180</x:f>
        <x:v>4800</x:v>
      </x:c>
      <x:c r="N1001" s="12" t="n">
        <x:f>养成消耗调参!$I$180</x:f>
        <x:v>0</x:v>
      </x:c>
      <x:c r="O1001" s="12" t="n">
        <x:f>养成消耗调参!$J$180</x:f>
        <x:v>11688</x:v>
      </x:c>
      <x:c r="P1001" s="12" t="n">
        <x:f>养成消耗调参!$M$180</x:f>
        <x:v>68100</x:v>
      </x:c>
      <x:c r="Q1001" s="12" t="n">
        <x:f>养成消耗调参!$P$180</x:f>
        <x:v>360</x:v>
      </x:c>
      <x:c r="R1001" s="13">
        <x:f>I1001/英雄升级调参!$G$98-1</x:f>
        <x:v>0.0005104645227156368</x:v>
      </x:c>
      <x:c r="S1001" s="6"/>
      <x:c r="T1001" s="6"/>
      <x:c r="U1001" s="6"/>
    </x:row>
    <x:row r="1002" ht="21" customHeight="1">
      <x:c r="A1002" s="14" t="n">
        <x:f>英雄升级调参!$B$24</x:f>
        <x:v>310006</x:v>
      </x:c>
      <x:c r="B1002" s="14" t="str">
        <x:f>英雄升级调参!$C$24</x:f>
        <x:v>玛莫莉莉狮</x:v>
      </x:c>
      <x:c r="C1002" s="6" t="str">
        <x:f>英雄升级调参!$D$24</x:f>
        <x:v>战士</x:v>
      </x:c>
      <x:c r="D1002" s="6" t="s">
        <x:v>18</x:v>
      </x:c>
      <x:c r="E1002" s="6">
        <x:v>34</x:v>
      </x:c>
      <x:c r="F1002" s="6" t="n">
        <x:f>英雄升级调参!$C$99</x:f>
        <x:v>7</x:v>
      </x:c>
      <x:c r="G1002" s="12">
        <x:f t="shared" ref="G1002:G1018" si="93">G1001+J1002</x:f>
        <x:v>2438</x:v>
      </x:c>
      <x:c r="H1002" s="12">
        <x:f t="shared" ref="H1002:H1018" si="94">H1001+K1002</x:f>
        <x:v>16925</x:v>
      </x:c>
      <x:c r="I1002" s="12">
        <x:f t="shared" si="90"/>
        <x:v>41263150</x:v>
      </x:c>
      <x:c r="J1002" s="12">
        <x:f>ROUND(英雄升级调参!$D$99*英雄升级调参!$J$9*英雄升级调参!$E$24,0)</x:f>
        <x:v>86</x:v>
      </x:c>
      <x:c r="K1002" s="12">
        <x:f>ROUND(英雄升级调参!$D$99*英雄升级调参!$C$11*英雄升级调参!$J$9*英雄升级调参!$G$24,0)</x:f>
        <x:v>600</x:v>
      </x:c>
      <x:c r="L1002" s="12" t="n">
        <x:f>养成消耗调参!$C$181</x:f>
        <x:v>768</x:v>
      </x:c>
      <x:c r="M1002" s="12" t="n">
        <x:f>养成消耗调参!$F$181</x:f>
        <x:v>4800</x:v>
      </x:c>
      <x:c r="N1002" s="12" t="n">
        <x:f>养成消耗调参!$I$181</x:f>
        <x:v>0</x:v>
      </x:c>
      <x:c r="O1002" s="12" t="n">
        <x:f>养成消耗调参!$J$181</x:f>
        <x:v>12456</x:v>
      </x:c>
      <x:c r="P1002" s="12" t="n">
        <x:f>养成消耗调参!$M$181</x:f>
        <x:v>72900</x:v>
      </x:c>
      <x:c r="Q1002" s="12" t="n">
        <x:f>养成消耗调参!$P$181</x:f>
        <x:v>360</x:v>
      </x:c>
      <x:c r="R1002" s="13">
        <x:f>I1002/英雄升级调参!$G$99-1</x:f>
        <x:v>0.000328245527654758</x:v>
      </x:c>
      <x:c r="S1002" s="6"/>
      <x:c r="T1002" s="6"/>
      <x:c r="U1002" s="6"/>
    </x:row>
    <x:row r="1003" ht="21" customHeight="1">
      <x:c r="A1003" s="14" t="n">
        <x:f>英雄升级调参!$B$24</x:f>
        <x:v>310006</x:v>
      </x:c>
      <x:c r="B1003" s="14" t="str">
        <x:f>英雄升级调参!$C$24</x:f>
        <x:v>玛莫莉莉狮</x:v>
      </x:c>
      <x:c r="C1003" s="6" t="str">
        <x:f>英雄升级调参!$D$24</x:f>
        <x:v>战士</x:v>
      </x:c>
      <x:c r="D1003" s="6" t="s">
        <x:v>18</x:v>
      </x:c>
      <x:c r="E1003" s="6">
        <x:v>35</x:v>
      </x:c>
      <x:c r="F1003" s="6" t="n">
        <x:f>英雄升级调参!$C$100</x:f>
        <x:v>7</x:v>
      </x:c>
      <x:c r="G1003" s="12">
        <x:f t="shared" si="93"/>
        <x:v>2696</x:v>
      </x:c>
      <x:c r="H1003" s="12">
        <x:f t="shared" si="94"/>
        <x:v>18725</x:v>
      </x:c>
      <x:c r="I1003" s="12">
        <x:f t="shared" si="90"/>
        <x:v>50482600</x:v>
      </x:c>
      <x:c r="J1003" s="12">
        <x:f>ROUND(英雄升级调参!$D$100*英雄升级调参!$J$9*英雄升级调参!$E$24,0)*3</x:f>
        <x:v>258</x:v>
      </x:c>
      <x:c r="K1003" s="12">
        <x:f>ROUND(英雄升级调参!$D$100*英雄升级调参!$C$11*英雄升级调参!$J$9*英雄升级调参!$G$24,0)*3</x:f>
        <x:v>1800</x:v>
      </x:c>
      <x:c r="L1003" s="12" t="n">
        <x:f>养成消耗调参!$C$182</x:f>
        <x:v>768</x:v>
      </x:c>
      <x:c r="M1003" s="12" t="n">
        <x:f>养成消耗调参!$F$182</x:f>
        <x:v>4800</x:v>
      </x:c>
      <x:c r="N1003" s="12" t="n">
        <x:f>养成消耗调参!$I$182</x:f>
        <x:v>130</x:v>
      </x:c>
      <x:c r="O1003" s="12" t="n">
        <x:f>养成消耗调参!$J$182</x:f>
        <x:v>13224</x:v>
      </x:c>
      <x:c r="P1003" s="12" t="n">
        <x:f>养成消耗调参!$M$182</x:f>
        <x:v>77700</x:v>
      </x:c>
      <x:c r="Q1003" s="12" t="n">
        <x:f>养成消耗调参!$P$182</x:f>
        <x:v>490</x:v>
      </x:c>
      <x:c r="R1003" s="13">
        <x:f>I1003/英雄升级调参!$G$100-1</x:f>
        <x:v>-0.00014834594273849255</x:v>
      </x:c>
      <x:c r="S1003" s="6"/>
      <x:c r="T1003" s="6"/>
      <x:c r="U1003" s="6"/>
    </x:row>
    <x:row r="1004" ht="21" customHeight="1">
      <x:c r="A1004" s="14" t="n">
        <x:f>英雄升级调参!$B$24</x:f>
        <x:v>310006</x:v>
      </x:c>
      <x:c r="B1004" s="14" t="str">
        <x:f>英雄升级调参!$C$24</x:f>
        <x:v>玛莫莉莉狮</x:v>
      </x:c>
      <x:c r="C1004" s="6" t="str">
        <x:f>英雄升级调参!$D$24</x:f>
        <x:v>战士</x:v>
      </x:c>
      <x:c r="D1004" s="6" t="s">
        <x:v>18</x:v>
      </x:c>
      <x:c r="E1004" s="6">
        <x:v>36</x:v>
      </x:c>
      <x:c r="F1004" s="6" t="n">
        <x:f>英雄升级调参!$C$101</x:f>
        <x:v>8</x:v>
      </x:c>
      <x:c r="G1004" s="12">
        <x:f t="shared" si="93"/>
        <x:v>2793</x:v>
      </x:c>
      <x:c r="H1004" s="12">
        <x:f t="shared" si="94"/>
        <x:v>19400</x:v>
      </x:c>
      <x:c r="I1004" s="12">
        <x:f t="shared" si="90"/>
        <x:v>54184200</x:v>
      </x:c>
      <x:c r="J1004" s="12">
        <x:f>ROUND(英雄升级调参!$D$101*英雄升级调参!$J$9*英雄升级调参!$E$24,0)</x:f>
        <x:v>97</x:v>
      </x:c>
      <x:c r="K1004" s="12">
        <x:f>ROUND(英雄升级调参!$D$101*英雄升级调参!$C$11*英雄升级调参!$J$9*英雄升级调参!$G$24,0)</x:f>
        <x:v>675</x:v>
      </x:c>
      <x:c r="L1004" s="12" t="n">
        <x:f>养成消耗调参!$C$183</x:f>
        <x:v>816</x:v>
      </x:c>
      <x:c r="M1004" s="12" t="n">
        <x:f>养成消耗调参!$F$183</x:f>
        <x:v>4800</x:v>
      </x:c>
      <x:c r="N1004" s="12" t="n">
        <x:f>养成消耗调参!$I$183</x:f>
        <x:v>0</x:v>
      </x:c>
      <x:c r="O1004" s="12" t="n">
        <x:f>养成消耗调参!$J$183</x:f>
        <x:v>14040</x:v>
      </x:c>
      <x:c r="P1004" s="12" t="n">
        <x:f>养成消耗调参!$M$183</x:f>
        <x:v>82500</x:v>
      </x:c>
      <x:c r="Q1004" s="12" t="n">
        <x:f>养成消耗调参!$P$183</x:f>
        <x:v>490</x:v>
      </x:c>
      <x:c r="R1004" s="13">
        <x:f>I1004/英雄升级调参!$G$101-1</x:f>
        <x:v>-0.00021477663230240474</x:v>
      </x:c>
      <x:c r="S1004" s="6"/>
      <x:c r="T1004" s="6"/>
      <x:c r="U1004" s="6"/>
    </x:row>
    <x:row r="1005" ht="21" customHeight="1">
      <x:c r="A1005" s="14" t="n">
        <x:f>英雄升级调参!$B$24</x:f>
        <x:v>310006</x:v>
      </x:c>
      <x:c r="B1005" s="14" t="str">
        <x:f>英雄升级调参!$C$24</x:f>
        <x:v>玛莫莉莉狮</x:v>
      </x:c>
      <x:c r="C1005" s="6" t="str">
        <x:f>英雄升级调参!$D$24</x:f>
        <x:v>战士</x:v>
      </x:c>
      <x:c r="D1005" s="6" t="s">
        <x:v>18</x:v>
      </x:c>
      <x:c r="E1005" s="6">
        <x:v>37</x:v>
      </x:c>
      <x:c r="F1005" s="6" t="n">
        <x:f>英雄升级调参!$C$102</x:f>
        <x:v>8</x:v>
      </x:c>
      <x:c r="G1005" s="12">
        <x:f t="shared" si="93"/>
        <x:v>2890</x:v>
      </x:c>
      <x:c r="H1005" s="12">
        <x:f t="shared" si="94"/>
        <x:v>20075</x:v>
      </x:c>
      <x:c r="I1005" s="12">
        <x:f t="shared" si="90"/>
        <x:v>58016750</x:v>
      </x:c>
      <x:c r="J1005" s="12">
        <x:f>ROUND(英雄升级调参!$D$102*英雄升级调参!$J$9*英雄升级调参!$E$24,0)</x:f>
        <x:v>97</x:v>
      </x:c>
      <x:c r="K1005" s="12">
        <x:f>ROUND(英雄升级调参!$D$102*英雄升级调参!$C$11*英雄升级调参!$J$9*英雄升级调参!$G$24,0)</x:f>
        <x:v>675</x:v>
      </x:c>
      <x:c r="L1005" s="12" t="n">
        <x:f>养成消耗调参!$C$184</x:f>
        <x:v>816</x:v>
      </x:c>
      <x:c r="M1005" s="12" t="n">
        <x:f>养成消耗调参!$F$184</x:f>
        <x:v>5700</x:v>
      </x:c>
      <x:c r="N1005" s="12" t="n">
        <x:f>养成消耗调参!$I$184</x:f>
        <x:v>0</x:v>
      </x:c>
      <x:c r="O1005" s="12" t="n">
        <x:f>养成消耗调参!$J$184</x:f>
        <x:v>14856</x:v>
      </x:c>
      <x:c r="P1005" s="12" t="n">
        <x:f>养成消耗调参!$M$184</x:f>
        <x:v>88200</x:v>
      </x:c>
      <x:c r="Q1005" s="12" t="n">
        <x:f>养成消耗调参!$P$184</x:f>
        <x:v>490</x:v>
      </x:c>
      <x:c r="R1005" s="13">
        <x:f>I1005/英雄升级调参!$G$102-1</x:f>
        <x:v>-0.0002767400027674505</x:v>
      </x:c>
      <x:c r="S1005" s="6"/>
      <x:c r="T1005" s="6"/>
      <x:c r="U1005" s="6"/>
    </x:row>
    <x:row r="1006" ht="21" customHeight="1">
      <x:c r="A1006" s="14" t="n">
        <x:f>英雄升级调参!$B$24</x:f>
        <x:v>310006</x:v>
      </x:c>
      <x:c r="B1006" s="14" t="str">
        <x:f>英雄升级调参!$C$24</x:f>
        <x:v>玛莫莉莉狮</x:v>
      </x:c>
      <x:c r="C1006" s="6" t="str">
        <x:f>英雄升级调参!$D$24</x:f>
        <x:v>战士</x:v>
      </x:c>
      <x:c r="D1006" s="6" t="s">
        <x:v>18</x:v>
      </x:c>
      <x:c r="E1006" s="6">
        <x:v>38</x:v>
      </x:c>
      <x:c r="F1006" s="6" t="n">
        <x:f>英雄升级调参!$C$103</x:f>
        <x:v>8</x:v>
      </x:c>
      <x:c r="G1006" s="12">
        <x:f t="shared" si="93"/>
        <x:v>2987</x:v>
      </x:c>
      <x:c r="H1006" s="12">
        <x:f t="shared" si="94"/>
        <x:v>20750</x:v>
      </x:c>
      <x:c r="I1006" s="12">
        <x:f t="shared" si="90"/>
        <x:v>61980250</x:v>
      </x:c>
      <x:c r="J1006" s="12">
        <x:f>ROUND(英雄升级调参!$D$103*英雄升级调参!$J$9*英雄升级调参!$E$24,0)</x:f>
        <x:v>97</x:v>
      </x:c>
      <x:c r="K1006" s="12">
        <x:f>ROUND(英雄升级调参!$D$103*英雄升级调参!$C$11*英雄升级调参!$J$9*英雄升级调参!$G$24,0)</x:f>
        <x:v>675</x:v>
      </x:c>
      <x:c r="L1006" s="12" t="n">
        <x:f>养成消耗调参!$C$185</x:f>
        <x:v>864</x:v>
      </x:c>
      <x:c r="M1006" s="12" t="n">
        <x:f>养成消耗调参!$F$185</x:f>
        <x:v>5700</x:v>
      </x:c>
      <x:c r="N1006" s="12" t="n">
        <x:f>养成消耗调参!$I$185</x:f>
        <x:v>0</x:v>
      </x:c>
      <x:c r="O1006" s="12" t="n">
        <x:f>养成消耗调参!$J$185</x:f>
        <x:v>15720</x:v>
      </x:c>
      <x:c r="P1006" s="12" t="n">
        <x:f>养成消耗调参!$M$185</x:f>
        <x:v>93900</x:v>
      </x:c>
      <x:c r="Q1006" s="12" t="n">
        <x:f>养成消耗调参!$P$185</x:f>
        <x:v>490</x:v>
      </x:c>
      <x:c r="R1006" s="13">
        <x:f>I1006/英雄升级调参!$G$103-1</x:f>
        <x:v>-0.00033467202141901353</x:v>
      </x:c>
      <x:c r="S1006" s="6"/>
      <x:c r="T1006" s="6"/>
      <x:c r="U1006" s="6"/>
    </x:row>
    <x:row r="1007" ht="21" customHeight="1">
      <x:c r="A1007" s="14" t="n">
        <x:f>英雄升级调参!$B$24</x:f>
        <x:v>310006</x:v>
      </x:c>
      <x:c r="B1007" s="14" t="str">
        <x:f>英雄升级调参!$C$24</x:f>
        <x:v>玛莫莉莉狮</x:v>
      </x:c>
      <x:c r="C1007" s="6" t="str">
        <x:f>英雄升级调参!$D$24</x:f>
        <x:v>战士</x:v>
      </x:c>
      <x:c r="D1007" s="6" t="s">
        <x:v>18</x:v>
      </x:c>
      <x:c r="E1007" s="6">
        <x:v>39</x:v>
      </x:c>
      <x:c r="F1007" s="6" t="n">
        <x:f>英雄升级调参!$C$104</x:f>
        <x:v>8</x:v>
      </x:c>
      <x:c r="G1007" s="12">
        <x:f t="shared" si="93"/>
        <x:v>3084</x:v>
      </x:c>
      <x:c r="H1007" s="12">
        <x:f t="shared" si="94"/>
        <x:v>21425</x:v>
      </x:c>
      <x:c r="I1007" s="12">
        <x:f t="shared" si="90"/>
        <x:v>66074700</x:v>
      </x:c>
      <x:c r="J1007" s="12">
        <x:f>ROUND(英雄升级调参!$D$104*英雄升级调参!$J$9*英雄升级调参!$E$24,0)</x:f>
        <x:v>97</x:v>
      </x:c>
      <x:c r="K1007" s="12">
        <x:f>ROUND(英雄升级调参!$D$104*英雄升级调参!$C$11*英雄升级调参!$J$9*英雄升级调参!$G$24,0)</x:f>
        <x:v>675</x:v>
      </x:c>
      <x:c r="L1007" s="12" t="n">
        <x:f>养成消耗调参!$C$186</x:f>
        <x:v>864</x:v>
      </x:c>
      <x:c r="M1007" s="12" t="n">
        <x:f>养成消耗调参!$F$186</x:f>
        <x:v>5700</x:v>
      </x:c>
      <x:c r="N1007" s="12" t="n">
        <x:f>养成消耗调参!$I$186</x:f>
        <x:v>0</x:v>
      </x:c>
      <x:c r="O1007" s="12" t="n">
        <x:f>养成消耗调参!$J$186</x:f>
        <x:v>16584</x:v>
      </x:c>
      <x:c r="P1007" s="12" t="n">
        <x:f>养成消耗调参!$M$186</x:f>
        <x:v>99600</x:v>
      </x:c>
      <x:c r="Q1007" s="12" t="n">
        <x:f>养成消耗调参!$P$186</x:f>
        <x:v>490</x:v>
      </x:c>
      <x:c r="R1007" s="13">
        <x:f>I1007/英雄升级调参!$G$104-1</x:f>
        <x:v>-0.000388953714507978</x:v>
      </x:c>
      <x:c r="S1007" s="6"/>
      <x:c r="T1007" s="6"/>
      <x:c r="U1007" s="6"/>
    </x:row>
    <x:row r="1008" ht="21" customHeight="1">
      <x:c r="A1008" s="14" t="n">
        <x:f>英雄升级调参!$B$24</x:f>
        <x:v>310006</x:v>
      </x:c>
      <x:c r="B1008" s="14" t="str">
        <x:f>英雄升级调参!$C$24</x:f>
        <x:v>玛莫莉莉狮</x:v>
      </x:c>
      <x:c r="C1008" s="6" t="str">
        <x:f>英雄升级调参!$D$24</x:f>
        <x:v>战士</x:v>
      </x:c>
      <x:c r="D1008" s="6" t="s">
        <x:v>18</x:v>
      </x:c>
      <x:c r="E1008" s="6">
        <x:v>40</x:v>
      </x:c>
      <x:c r="F1008" s="6" t="n">
        <x:f>英雄升级调参!$C$105</x:f>
        <x:v>8</x:v>
      </x:c>
      <x:c r="G1008" s="12">
        <x:f t="shared" si="93"/>
        <x:v>3375</x:v>
      </x:c>
      <x:c r="H1008" s="12">
        <x:f t="shared" si="94"/>
        <x:v>23450</x:v>
      </x:c>
      <x:c r="I1008" s="12">
        <x:f t="shared" si="90"/>
        <x:v>79143750</x:v>
      </x:c>
      <x:c r="J1008" s="12">
        <x:f>ROUND(英雄升级调参!$D$105*英雄升级调参!$J$9*英雄升级调参!$E$24,0)*3</x:f>
        <x:v>291</x:v>
      </x:c>
      <x:c r="K1008" s="12">
        <x:f>ROUND(英雄升级调参!$D$105*英雄升级调参!$C$11*英雄升级调参!$J$9*英雄升级调参!$G$24,0)*3</x:f>
        <x:v>2025</x:v>
      </x:c>
      <x:c r="L1008" s="12" t="n">
        <x:f>养成消耗调参!$C$187</x:f>
        <x:v>912</x:v>
      </x:c>
      <x:c r="M1008" s="12" t="n">
        <x:f>养成消耗调参!$F$187</x:f>
        <x:v>5700</x:v>
      </x:c>
      <x:c r="N1008" s="12" t="n">
        <x:f>养成消耗调参!$I$187</x:f>
        <x:v>150</x:v>
      </x:c>
      <x:c r="O1008" s="12" t="n">
        <x:f>养成消耗调参!$J$187</x:f>
        <x:v>17496</x:v>
      </x:c>
      <x:c r="P1008" s="12" t="n">
        <x:f>养成消耗调参!$M$187</x:f>
        <x:v>105300</x:v>
      </x:c>
      <x:c r="Q1008" s="12" t="n">
        <x:f>养成消耗调参!$P$187</x:f>
        <x:v>640</x:v>
      </x:c>
      <x:c r="R1008" s="13">
        <x:f>I1008/英雄升级调参!$G$105-1</x:f>
        <x:v>-0.0005330490405117683</x:v>
      </x:c>
      <x:c r="S1008" s="6"/>
      <x:c r="T1008" s="6"/>
      <x:c r="U1008" s="6"/>
    </x:row>
    <x:row r="1009" ht="21" customHeight="1">
      <x:c r="A1009" s="14" t="n">
        <x:f>英雄升级调参!$B$24</x:f>
        <x:v>310006</x:v>
      </x:c>
      <x:c r="B1009" s="14" t="str">
        <x:f>英雄升级调参!$C$24</x:f>
        <x:v>玛莫莉莉狮</x:v>
      </x:c>
      <x:c r="C1009" s="6" t="str">
        <x:f>英雄升级调参!$D$24</x:f>
        <x:v>战士</x:v>
      </x:c>
      <x:c r="D1009" s="6" t="s">
        <x:v>18</x:v>
      </x:c>
      <x:c r="E1009" s="6">
        <x:v>41</x:v>
      </x:c>
      <x:c r="F1009" s="6" t="n">
        <x:f>英雄升级调参!$C$106</x:f>
        <x:v>9</x:v>
      </x:c>
      <x:c r="G1009" s="12">
        <x:f t="shared" si="93"/>
        <x:v>3483</x:v>
      </x:c>
      <x:c r="H1009" s="12">
        <x:f t="shared" si="94"/>
        <x:v>24200</x:v>
      </x:c>
      <x:c r="I1009" s="12">
        <x:f t="shared" si="90"/>
        <x:v>84288600</x:v>
      </x:c>
      <x:c r="J1009" s="12">
        <x:f>ROUND(英雄升级调参!$D$106*英雄升级调参!$J$9*英雄升级调参!$E$24,0)</x:f>
        <x:v>108</x:v>
      </x:c>
      <x:c r="K1009" s="12">
        <x:f>ROUND(英雄升级调参!$D$106*英雄升级调参!$C$11*英雄升级调参!$J$9*英雄升级调参!$G$24,0)</x:f>
        <x:v>750</x:v>
      </x:c>
      <x:c r="L1009" s="12" t="n">
        <x:f>养成消耗调参!$C$188</x:f>
        <x:v>912</x:v>
      </x:c>
      <x:c r="M1009" s="12" t="n">
        <x:f>养成消耗调参!$F$188</x:f>
        <x:v>5700</x:v>
      </x:c>
      <x:c r="N1009" s="12" t="n">
        <x:f>养成消耗调参!$I$188</x:f>
        <x:v>0</x:v>
      </x:c>
      <x:c r="O1009" s="12" t="n">
        <x:f>养成消耗调参!$J$188</x:f>
        <x:v>18408</x:v>
      </x:c>
      <x:c r="P1009" s="12" t="n">
        <x:f>养成消耗调参!$M$188</x:f>
        <x:v>111000</x:v>
      </x:c>
      <x:c r="Q1009" s="12" t="n">
        <x:f>养成消耗调参!$P$188</x:f>
        <x:v>640</x:v>
      </x:c>
      <x:c r="R1009" s="13">
        <x:f>I1009/英雄升级调参!$G$106-1</x:f>
        <x:v>-0.0005165289256198191</x:v>
      </x:c>
      <x:c r="S1009" s="6"/>
      <x:c r="T1009" s="6"/>
      <x:c r="U1009" s="6"/>
    </x:row>
    <x:row r="1010" ht="21" customHeight="1">
      <x:c r="A1010" s="14" t="n">
        <x:f>英雄升级调参!$B$24</x:f>
        <x:v>310006</x:v>
      </x:c>
      <x:c r="B1010" s="14" t="str">
        <x:f>英雄升级调参!$C$24</x:f>
        <x:v>玛莫莉莉狮</x:v>
      </x:c>
      <x:c r="C1010" s="6" t="str">
        <x:f>英雄升级调参!$D$24</x:f>
        <x:v>战士</x:v>
      </x:c>
      <x:c r="D1010" s="6" t="s">
        <x:v>18</x:v>
      </x:c>
      <x:c r="E1010" s="6">
        <x:v>42</x:v>
      </x:c>
      <x:c r="F1010" s="6" t="n">
        <x:f>英雄升级调参!$C$107</x:f>
        <x:v>9</x:v>
      </x:c>
      <x:c r="G1010" s="12">
        <x:f t="shared" si="93"/>
        <x:v>3591</x:v>
      </x:c>
      <x:c r="H1010" s="12">
        <x:f t="shared" si="94"/>
        <x:v>24950</x:v>
      </x:c>
      <x:c r="I1010" s="12">
        <x:f t="shared" si="90"/>
        <x:v>89595450</x:v>
      </x:c>
      <x:c r="J1010" s="12">
        <x:f>ROUND(英雄升级调参!$D$107*英雄升级调参!$J$9*英雄升级调参!$E$24,0)</x:f>
        <x:v>108</x:v>
      </x:c>
      <x:c r="K1010" s="12">
        <x:f>ROUND(英雄升级调参!$D$107*英雄升级调参!$C$11*英雄升级调参!$J$9*英雄升级调参!$G$24,0)</x:f>
        <x:v>750</x:v>
      </x:c>
      <x:c r="L1010" s="12" t="n">
        <x:f>养成消耗调参!$C$189</x:f>
        <x:v>960</x:v>
      </x:c>
      <x:c r="M1010" s="12" t="n">
        <x:f>养成消耗调参!$F$189</x:f>
        <x:v>6600</x:v>
      </x:c>
      <x:c r="N1010" s="12" t="n">
        <x:f>养成消耗调参!$I$189</x:f>
        <x:v>0</x:v>
      </x:c>
      <x:c r="O1010" s="12" t="n">
        <x:f>养成消耗调参!$J$189</x:f>
        <x:v>19368</x:v>
      </x:c>
      <x:c r="P1010" s="12" t="n">
        <x:f>养成消耗调参!$M$189</x:f>
        <x:v>117600</x:v>
      </x:c>
      <x:c r="Q1010" s="12" t="n">
        <x:f>养成消耗调参!$P$189</x:f>
        <x:v>640</x:v>
      </x:c>
      <x:c r="R1010" s="13">
        <x:f>I1010/英雄升级调参!$G$107-1</x:f>
        <x:v>-0.0005010020040080443</x:v>
      </x:c>
      <x:c r="S1010" s="6"/>
      <x:c r="T1010" s="6"/>
      <x:c r="U1010" s="6"/>
    </x:row>
    <x:row r="1011" ht="21" customHeight="1">
      <x:c r="A1011" s="14" t="n">
        <x:f>英雄升级调参!$B$24</x:f>
        <x:v>310006</x:v>
      </x:c>
      <x:c r="B1011" s="14" t="str">
        <x:f>英雄升级调参!$C$24</x:f>
        <x:v>玛莫莉莉狮</x:v>
      </x:c>
      <x:c r="C1011" s="6" t="str">
        <x:f>英雄升级调参!$D$24</x:f>
        <x:v>战士</x:v>
      </x:c>
      <x:c r="D1011" s="6" t="s">
        <x:v>18</x:v>
      </x:c>
      <x:c r="E1011" s="6">
        <x:v>43</x:v>
      </x:c>
      <x:c r="F1011" s="6" t="n">
        <x:f>英雄升级调参!$C$108</x:f>
        <x:v>9</x:v>
      </x:c>
      <x:c r="G1011" s="12">
        <x:f t="shared" si="93"/>
        <x:v>3699</x:v>
      </x:c>
      <x:c r="H1011" s="12">
        <x:f t="shared" si="94"/>
        <x:v>25700</x:v>
      </x:c>
      <x:c r="I1011" s="12">
        <x:f t="shared" si="90"/>
        <x:v>95064300</x:v>
      </x:c>
      <x:c r="J1011" s="12">
        <x:f>ROUND(英雄升级调参!$D$108*英雄升级调参!$J$9*英雄升级调参!$E$24,0)</x:f>
        <x:v>108</x:v>
      </x:c>
      <x:c r="K1011" s="12">
        <x:f>ROUND(英雄升级调参!$D$108*英雄升级调参!$C$11*英雄升级调参!$J$9*英雄升级调参!$G$24,0)</x:f>
        <x:v>750</x:v>
      </x:c>
      <x:c r="L1011" s="12" t="n">
        <x:f>养成消耗调参!$C$190</x:f>
        <x:v>960</x:v>
      </x:c>
      <x:c r="M1011" s="12" t="n">
        <x:f>养成消耗调参!$F$190</x:f>
        <x:v>6600</x:v>
      </x:c>
      <x:c r="N1011" s="12" t="n">
        <x:f>养成消耗调参!$I$190</x:f>
        <x:v>0</x:v>
      </x:c>
      <x:c r="O1011" s="12" t="n">
        <x:f>养成消耗调参!$J$190</x:f>
        <x:v>20328</x:v>
      </x:c>
      <x:c r="P1011" s="12" t="n">
        <x:f>养成消耗调参!$M$190</x:f>
        <x:v>124200</x:v>
      </x:c>
      <x:c r="Q1011" s="12" t="n">
        <x:f>养成消耗调参!$P$190</x:f>
        <x:v>640</x:v>
      </x:c>
      <x:c r="R1011" s="13">
        <x:f>I1011/英雄升级调参!$G$108-1</x:f>
        <x:v>-0.0004863813229571967</x:v>
      </x:c>
      <x:c r="S1011" s="6"/>
      <x:c r="T1011" s="6"/>
      <x:c r="U1011" s="6"/>
    </x:row>
    <x:row r="1012" ht="21" customHeight="1">
      <x:c r="A1012" s="14" t="n">
        <x:f>英雄升级调参!$B$24</x:f>
        <x:v>310006</x:v>
      </x:c>
      <x:c r="B1012" s="14" t="str">
        <x:f>英雄升级调参!$C$24</x:f>
        <x:v>玛莫莉莉狮</x:v>
      </x:c>
      <x:c r="C1012" s="6" t="str">
        <x:f>英雄升级调参!$D$24</x:f>
        <x:v>战士</x:v>
      </x:c>
      <x:c r="D1012" s="6" t="s">
        <x:v>18</x:v>
      </x:c>
      <x:c r="E1012" s="6">
        <x:v>44</x:v>
      </x:c>
      <x:c r="F1012" s="6" t="n">
        <x:f>英雄升级调参!$C$109</x:f>
        <x:v>9</x:v>
      </x:c>
      <x:c r="G1012" s="12">
        <x:f t="shared" si="93"/>
        <x:v>3807</x:v>
      </x:c>
      <x:c r="H1012" s="12">
        <x:f t="shared" si="94"/>
        <x:v>26450</x:v>
      </x:c>
      <x:c r="I1012" s="12">
        <x:f t="shared" si="90"/>
        <x:v>100695150</x:v>
      </x:c>
      <x:c r="J1012" s="12">
        <x:f>ROUND(英雄升级调参!$D$109*英雄升级调参!$J$9*英雄升级调参!$E$24,0)</x:f>
        <x:v>108</x:v>
      </x:c>
      <x:c r="K1012" s="12">
        <x:f>ROUND(英雄升级调参!$D$109*英雄升级调参!$C$11*英雄升级调参!$J$9*英雄升级调参!$G$24,0)</x:f>
        <x:v>750</x:v>
      </x:c>
      <x:c r="L1012" s="12" t="n">
        <x:f>养成消耗调参!$C$191</x:f>
        <x:v>1008</x:v>
      </x:c>
      <x:c r="M1012" s="12" t="n">
        <x:f>养成消耗调参!$F$191</x:f>
        <x:v>6600</x:v>
      </x:c>
      <x:c r="N1012" s="12" t="n">
        <x:f>养成消耗调参!$I$191</x:f>
        <x:v>0</x:v>
      </x:c>
      <x:c r="O1012" s="12" t="n">
        <x:f>养成消耗调参!$J$191</x:f>
        <x:v>21336</x:v>
      </x:c>
      <x:c r="P1012" s="12" t="n">
        <x:f>养成消耗调参!$M$191</x:f>
        <x:v>130800</x:v>
      </x:c>
      <x:c r="Q1012" s="12" t="n">
        <x:f>养成消耗调参!$P$191</x:f>
        <x:v>640</x:v>
      </x:c>
      <x:c r="R1012" s="13">
        <x:f>I1012/英雄升级调参!$G$109-1</x:f>
        <x:v>-0.0004725897920604405</x:v>
      </x:c>
      <x:c r="S1012" s="6"/>
      <x:c r="T1012" s="6"/>
      <x:c r="U1012" s="6"/>
    </x:row>
    <x:row r="1013" ht="21" customHeight="1">
      <x:c r="A1013" s="14" t="n">
        <x:f>英雄升级调参!$B$24</x:f>
        <x:v>310006</x:v>
      </x:c>
      <x:c r="B1013" s="14" t="str">
        <x:f>英雄升级调参!$C$24</x:f>
        <x:v>玛莫莉莉狮</x:v>
      </x:c>
      <x:c r="C1013" s="6" t="str">
        <x:f>英雄升级调参!$D$24</x:f>
        <x:v>战士</x:v>
      </x:c>
      <x:c r="D1013" s="6" t="s">
        <x:v>18</x:v>
      </x:c>
      <x:c r="E1013" s="6">
        <x:v>45</x:v>
      </x:c>
      <x:c r="F1013" s="6" t="n">
        <x:f>英雄升级调参!$C$110</x:f>
        <x:v>9</x:v>
      </x:c>
      <x:c r="G1013" s="12">
        <x:f t="shared" si="93"/>
        <x:v>4131</x:v>
      </x:c>
      <x:c r="H1013" s="12">
        <x:f t="shared" si="94"/>
        <x:v>28700</x:v>
      </x:c>
      <x:c r="I1013" s="12">
        <x:f t="shared" si="90"/>
        <x:v>118559700</x:v>
      </x:c>
      <x:c r="J1013" s="12">
        <x:f>ROUND(英雄升级调参!$D$110*英雄升级调参!$J$9*英雄升级调参!$E$24,0)*3</x:f>
        <x:v>324</x:v>
      </x:c>
      <x:c r="K1013" s="12">
        <x:f>ROUND(英雄升级调参!$D$110*英雄升级调参!$C$11*英雄升级调参!$J$9*英雄升级调参!$G$24,0)*3</x:f>
        <x:v>2250</x:v>
      </x:c>
      <x:c r="L1013" s="12" t="n">
        <x:f>养成消耗调参!$C$192</x:f>
        <x:v>1008</x:v>
      </x:c>
      <x:c r="M1013" s="12" t="n">
        <x:f>养成消耗调参!$F$192</x:f>
        <x:v>6600</x:v>
      </x:c>
      <x:c r="N1013" s="12" t="n">
        <x:f>养成消耗调参!$I$192</x:f>
        <x:v>170</x:v>
      </x:c>
      <x:c r="O1013" s="12" t="n">
        <x:f>养成消耗调参!$J$192</x:f>
        <x:v>22344</x:v>
      </x:c>
      <x:c r="P1013" s="12" t="n">
        <x:f>养成消耗调参!$M$192</x:f>
        <x:v>137400</x:v>
      </x:c>
      <x:c r="Q1013" s="12" t="n">
        <x:f>养成消耗调参!$P$192</x:f>
        <x:v>810</x:v>
      </x:c>
      <x:c r="R1013" s="13">
        <x:f>I1013/英雄升级调参!$G$110-1</x:f>
        <x:v>-0.0004355400696863798</x:v>
      </x:c>
      <x:c r="S1013" s="6"/>
      <x:c r="T1013" s="6"/>
      <x:c r="U1013" s="6"/>
    </x:row>
    <x:row r="1014" ht="21" customHeight="1">
      <x:c r="A1014" s="14" t="n">
        <x:f>英雄升级调参!$B$24</x:f>
        <x:v>310006</x:v>
      </x:c>
      <x:c r="B1014" s="14" t="str">
        <x:f>英雄升级调参!$C$24</x:f>
        <x:v>玛莫莉莉狮</x:v>
      </x:c>
      <x:c r="C1014" s="6" t="str">
        <x:f>英雄升级调参!$D$24</x:f>
        <x:v>战士</x:v>
      </x:c>
      <x:c r="D1014" s="6" t="s">
        <x:v>18</x:v>
      </x:c>
      <x:c r="E1014" s="6">
        <x:v>46</x:v>
      </x:c>
      <x:c r="F1014" s="6" t="n">
        <x:f>英雄升级调参!$C$111</x:f>
        <x:v>10</x:v>
      </x:c>
      <x:c r="G1014" s="12">
        <x:f t="shared" si="93"/>
        <x:v>4250</x:v>
      </x:c>
      <x:c r="H1014" s="12">
        <x:f t="shared" si="94"/>
        <x:v>29525</x:v>
      </x:c>
      <x:c r="I1014" s="12">
        <x:f t="shared" si="90"/>
        <x:v>125481250</x:v>
      </x:c>
      <x:c r="J1014" s="12">
        <x:f>ROUND(英雄升级调参!$D$111*英雄升级调参!$J$9*英雄升级调参!$E$24,0)</x:f>
        <x:v>119</x:v>
      </x:c>
      <x:c r="K1014" s="12">
        <x:f>ROUND(英雄升级调参!$D$111*英雄升级调参!$C$11*英雄升级调参!$J$9*英雄升级调参!$G$24,0)</x:f>
        <x:v>825</x:v>
      </x:c>
      <x:c r="L1014" s="12" t="n">
        <x:f>养成消耗调参!$C$193</x:f>
        <x:v>1056</x:v>
      </x:c>
      <x:c r="M1014" s="12" t="n">
        <x:f>养成消耗调参!$F$193</x:f>
        <x:v>6600</x:v>
      </x:c>
      <x:c r="N1014" s="12" t="n">
        <x:f>养成消耗调参!$I$193</x:f>
        <x:v>0</x:v>
      </x:c>
      <x:c r="O1014" s="12" t="n">
        <x:f>养成消耗调参!$J$193</x:f>
        <x:v>23400</x:v>
      </x:c>
      <x:c r="P1014" s="12" t="n">
        <x:f>养成消耗调参!$M$193</x:f>
        <x:v>144000</x:v>
      </x:c>
      <x:c r="Q1014" s="12" t="n">
        <x:f>养成消耗调参!$P$193</x:f>
        <x:v>810</x:v>
      </x:c>
      <x:c r="R1014" s="13">
        <x:f>I1014/英雄升级调参!$G$111-1</x:f>
        <x:v>-0.00037632891146865965</x:v>
      </x:c>
      <x:c r="S1014" s="6"/>
      <x:c r="T1014" s="6"/>
      <x:c r="U1014" s="6"/>
    </x:row>
    <x:row r="1015" ht="21" customHeight="1">
      <x:c r="A1015" s="14" t="n">
        <x:f>英雄升级调参!$B$24</x:f>
        <x:v>310006</x:v>
      </x:c>
      <x:c r="B1015" s="14" t="str">
        <x:f>英雄升级调参!$C$24</x:f>
        <x:v>玛莫莉莉狮</x:v>
      </x:c>
      <x:c r="C1015" s="6" t="str">
        <x:f>英雄升级调参!$D$24</x:f>
        <x:v>战士</x:v>
      </x:c>
      <x:c r="D1015" s="6" t="s">
        <x:v>18</x:v>
      </x:c>
      <x:c r="E1015" s="6">
        <x:v>47</x:v>
      </x:c>
      <x:c r="F1015" s="6" t="n">
        <x:f>英雄升级调参!$C$112</x:f>
        <x:v>10</x:v>
      </x:c>
      <x:c r="G1015" s="12">
        <x:f t="shared" si="93"/>
        <x:v>4369</x:v>
      </x:c>
      <x:c r="H1015" s="12">
        <x:f t="shared" si="94"/>
        <x:v>30350</x:v>
      </x:c>
      <x:c r="I1015" s="12">
        <x:f t="shared" si="90"/>
        <x:v>132599150</x:v>
      </x:c>
      <x:c r="J1015" s="12">
        <x:f>ROUND(英雄升级调参!$D$112*英雄升级调参!$J$9*英雄升级调参!$E$24,0)</x:f>
        <x:v>119</x:v>
      </x:c>
      <x:c r="K1015" s="12">
        <x:f>ROUND(英雄升级调参!$D$112*英雄升级调参!$C$11*英雄升级调参!$J$9*英雄升级调参!$G$24,0)</x:f>
        <x:v>825</x:v>
      </x:c>
      <x:c r="L1015" s="12" t="n">
        <x:f>养成消耗调参!$C$194</x:f>
        <x:v>1056</x:v>
      </x:c>
      <x:c r="M1015" s="12" t="n">
        <x:f>养成消耗调参!$F$194</x:f>
        <x:v>7500</x:v>
      </x:c>
      <x:c r="N1015" s="12" t="n">
        <x:f>养成消耗调参!$I$194</x:f>
        <x:v>0</x:v>
      </x:c>
      <x:c r="O1015" s="12" t="n">
        <x:f>养成消耗调参!$J$194</x:f>
        <x:v>24456</x:v>
      </x:c>
      <x:c r="P1015" s="12" t="n">
        <x:f>养成消耗调参!$M$194</x:f>
        <x:v>151500</x:v>
      </x:c>
      <x:c r="Q1015" s="12" t="n">
        <x:f>养成消耗调参!$P$194</x:f>
        <x:v>810</x:v>
      </x:c>
      <x:c r="R1015" s="13">
        <x:f>I1015/英雄升级调参!$G$112-1</x:f>
        <x:v>-0.00032033681127585645</x:v>
      </x:c>
      <x:c r="S1015" s="6"/>
      <x:c r="T1015" s="6"/>
      <x:c r="U1015" s="6"/>
    </x:row>
    <x:row r="1016" ht="21" customHeight="1">
      <x:c r="A1016" s="14" t="n">
        <x:f>英雄升级调参!$B$24</x:f>
        <x:v>310006</x:v>
      </x:c>
      <x:c r="B1016" s="14" t="str">
        <x:f>英雄升级调参!$C$24</x:f>
        <x:v>玛莫莉莉狮</x:v>
      </x:c>
      <x:c r="C1016" s="6" t="str">
        <x:f>英雄升级调参!$D$24</x:f>
        <x:v>战士</x:v>
      </x:c>
      <x:c r="D1016" s="6" t="s">
        <x:v>18</x:v>
      </x:c>
      <x:c r="E1016" s="6">
        <x:v>48</x:v>
      </x:c>
      <x:c r="F1016" s="6" t="n">
        <x:f>英雄升级调参!$C$113</x:f>
        <x:v>10</x:v>
      </x:c>
      <x:c r="G1016" s="12">
        <x:f t="shared" si="93"/>
        <x:v>4488</x:v>
      </x:c>
      <x:c r="H1016" s="12">
        <x:f t="shared" si="94"/>
        <x:v>31175</x:v>
      </x:c>
      <x:c r="I1016" s="12">
        <x:f t="shared" si="90"/>
        <x:v>139913400</x:v>
      </x:c>
      <x:c r="J1016" s="12">
        <x:f>ROUND(英雄升级调参!$D$113*英雄升级调参!$J$9*英雄升级调参!$E$24,0)</x:f>
        <x:v>119</x:v>
      </x:c>
      <x:c r="K1016" s="12">
        <x:f>ROUND(英雄升级调参!$D$113*英雄升级调参!$C$11*英雄升级调参!$J$9*英雄升级调参!$G$24,0)</x:f>
        <x:v>825</x:v>
      </x:c>
      <x:c r="L1016" s="12" t="n">
        <x:f>养成消耗调参!$C$195</x:f>
        <x:v>1104</x:v>
      </x:c>
      <x:c r="M1016" s="12" t="n">
        <x:f>养成消耗调参!$F$195</x:f>
        <x:v>7500</x:v>
      </x:c>
      <x:c r="N1016" s="12" t="n">
        <x:f>养成消耗调参!$I$195</x:f>
        <x:v>0</x:v>
      </x:c>
      <x:c r="O1016" s="12" t="n">
        <x:f>养成消耗调参!$J$195</x:f>
        <x:v>25560</x:v>
      </x:c>
      <x:c r="P1016" s="12" t="n">
        <x:f>养成消耗调参!$M$195</x:f>
        <x:v>159000</x:v>
      </x:c>
      <x:c r="Q1016" s="12" t="n">
        <x:f>养成消耗调参!$P$195</x:f>
        <x:v>810</x:v>
      </x:c>
      <x:c r="R1016" s="13">
        <x:f>I1016/英雄升级调参!$G$113-1</x:f>
        <x:v>-0.0002673082063618937</x:v>
      </x:c>
      <x:c r="S1016" s="6"/>
      <x:c r="T1016" s="6"/>
      <x:c r="U1016" s="6"/>
    </x:row>
    <x:row r="1017" ht="21" customHeight="1">
      <x:c r="A1017" s="14" t="n">
        <x:f>英雄升级调参!$B$24</x:f>
        <x:v>310006</x:v>
      </x:c>
      <x:c r="B1017" s="14" t="str">
        <x:f>英雄升级调参!$C$24</x:f>
        <x:v>玛莫莉莉狮</x:v>
      </x:c>
      <x:c r="C1017" s="6" t="str">
        <x:f>英雄升级调参!$D$24</x:f>
        <x:v>战士</x:v>
      </x:c>
      <x:c r="D1017" s="6" t="s">
        <x:v>18</x:v>
      </x:c>
      <x:c r="E1017" s="6">
        <x:v>49</x:v>
      </x:c>
      <x:c r="F1017" s="6" t="n">
        <x:f>英雄升级调参!$C$114</x:f>
        <x:v>10</x:v>
      </x:c>
      <x:c r="G1017" s="12">
        <x:f t="shared" si="93"/>
        <x:v>4607</x:v>
      </x:c>
      <x:c r="H1017" s="12">
        <x:f t="shared" si="94"/>
        <x:v>32000</x:v>
      </x:c>
      <x:c r="I1017" s="12">
        <x:f t="shared" si="90"/>
        <x:v>147424000</x:v>
      </x:c>
      <x:c r="J1017" s="12">
        <x:f>ROUND(英雄升级调参!$D$114*英雄升级调参!$J$9*英雄升级调参!$E$24,0)</x:f>
        <x:v>119</x:v>
      </x:c>
      <x:c r="K1017" s="12">
        <x:f>ROUND(英雄升级调参!$D$114*英雄升级调参!$C$11*英雄升级调参!$J$9*英雄升级调参!$G$24,0)</x:f>
        <x:v>825</x:v>
      </x:c>
      <x:c r="L1017" s="12" t="n">
        <x:f>养成消耗调参!$C$196</x:f>
        <x:v>1104</x:v>
      </x:c>
      <x:c r="M1017" s="12" t="n">
        <x:f>养成消耗调参!$F$196</x:f>
        <x:v>7500</x:v>
      </x:c>
      <x:c r="N1017" s="12" t="n">
        <x:f>养成消耗调参!$I$196</x:f>
        <x:v>0</x:v>
      </x:c>
      <x:c r="O1017" s="12" t="n">
        <x:f>养成消耗调参!$J$196</x:f>
        <x:v>26664</x:v>
      </x:c>
      <x:c r="P1017" s="12" t="n">
        <x:f>养成消耗调参!$M$196</x:f>
        <x:v>166500</x:v>
      </x:c>
      <x:c r="Q1017" s="12" t="n">
        <x:f>养成消耗调参!$P$196</x:f>
        <x:v>810</x:v>
      </x:c>
      <x:c r="R1017" s="13">
        <x:f>I1017/英雄升级调参!$G$114-1</x:f>
        <x:v>-0.00021701388888883955</x:v>
      </x:c>
      <x:c r="S1017" s="6"/>
      <x:c r="T1017" s="6"/>
      <x:c r="U1017" s="6"/>
    </x:row>
    <x:row r="1018" ht="21" customHeight="1">
      <x:c r="A1018" s="14" t="n">
        <x:f>英雄升级调参!$B$24</x:f>
        <x:v>310006</x:v>
      </x:c>
      <x:c r="B1018" s="14" t="str">
        <x:f>英雄升级调参!$C$24</x:f>
        <x:v>玛莫莉莉狮</x:v>
      </x:c>
      <x:c r="C1018" s="6" t="str">
        <x:f>英雄升级调参!$D$24</x:f>
        <x:v>战士</x:v>
      </x:c>
      <x:c r="D1018" s="6" t="s">
        <x:v>18</x:v>
      </x:c>
      <x:c r="E1018" s="6">
        <x:v>50</x:v>
      </x:c>
      <x:c r="F1018" s="6" t="n">
        <x:f>英雄升级调参!$C$115</x:f>
        <x:v>10</x:v>
      </x:c>
      <x:c r="G1018" s="12">
        <x:f t="shared" si="93"/>
        <x:v>4964</x:v>
      </x:c>
      <x:c r="H1018" s="12">
        <x:f t="shared" si="94"/>
        <x:v>34475</x:v>
      </x:c>
      <x:c r="I1018" s="12">
        <x:f t="shared" si="90"/>
        <x:v>171133900</x:v>
      </x:c>
      <x:c r="J1018" s="12">
        <x:f>ROUND(英雄升级调参!$D$115*英雄升级调参!$J$9*英雄升级调参!$E$24,0)*3</x:f>
        <x:v>357</x:v>
      </x:c>
      <x:c r="K1018" s="12">
        <x:f>ROUND(英雄升级调参!$D$115*英雄升级调参!$C$11*英雄升级调参!$J$9*英雄升级调参!$G$24,0)*3</x:f>
        <x:v>2475</x:v>
      </x:c>
      <x:c r="L1018" s="12" t="n">
        <x:f>养成消耗调参!$C$197</x:f>
        <x:v>1152</x:v>
      </x:c>
      <x:c r="M1018" s="12" t="n">
        <x:f>养成消耗调参!$F$197</x:f>
        <x:v>7500</x:v>
      </x:c>
      <x:c r="N1018" s="12" t="n">
        <x:f>养成消耗调参!$I$197</x:f>
        <x:v>190</x:v>
      </x:c>
      <x:c r="O1018" s="12" t="n">
        <x:f>养成消耗调参!$J$197</x:f>
        <x:v>27816</x:v>
      </x:c>
      <x:c r="P1018" s="12" t="n">
        <x:f>养成消耗调参!$M$197</x:f>
        <x:v>174000</x:v>
      </x:c>
      <x:c r="Q1018" s="12" t="n">
        <x:f>养成消耗调参!$P$197</x:f>
        <x:v>1000</x:v>
      </x:c>
      <x:c r="R1018" s="13">
        <x:f>I1018/英雄升级调参!$G$115-1</x:f>
        <x:v>-8.057368463454395e-05</x:v>
      </x:c>
      <x:c r="S1018" s="6"/>
      <x:c r="T1018" s="6"/>
      <x:c r="U1018" s="6"/>
    </x:row>
    <x:row r="1019" ht="21" customHeight="1">
      <x:c r="A1019" s="14" t="n">
        <x:f>英雄升级调参!$B$24</x:f>
        <x:v>310006</x:v>
      </x:c>
      <x:c r="B1019" s="14" t="str">
        <x:f>英雄升级调参!$C$24</x:f>
        <x:v>玛莫莉莉狮</x:v>
      </x:c>
      <x:c r="C1019" s="6" t="str">
        <x:f>英雄升级调参!$D$24</x:f>
        <x:v>战士</x:v>
      </x:c>
      <x:c r="D1019" s="6" t="s">
        <x:v>22</x:v>
      </x:c>
      <x:c r="E1019" s="6">
        <x:v>1</x:v>
      </x:c>
      <x:c r="F1019" s="6" t="n">
        <x:f>英雄升级调参!$C$66</x:f>
        <x:v>1</x:v>
      </x:c>
      <x:c r="G1019" s="12">
        <x:f>G978-SUM(J1020:J1023)</x:f>
        <x:v>236</x:v>
      </x:c>
      <x:c r="H1019" s="12">
        <x:f>H978-SUM(K1020:K1023)</x:f>
        <x:v>1625</x:v>
      </x:c>
      <x:c r="I1019" s="12">
        <x:f t="shared" si="90"/>
        <x:v>383500</x:v>
      </x:c>
      <x:c r="J1019" s="12" t="n">
        <x:f>0</x:f>
        <x:v>0</x:v>
      </x:c>
      <x:c r="K1019" s="12" t="n">
        <x:f>0</x:f>
        <x:v>0</x:v>
      </x:c>
      <x:c r="L1019" s="12" t="n">
        <x:f>养成消耗调参!$D$148</x:f>
        <x:v>0</x:v>
      </x:c>
      <x:c r="M1019" s="12" t="n">
        <x:f>养成消耗调参!$G$148</x:f>
        <x:v>0</x:v>
      </x:c>
      <x:c r="N1019" s="12" t="n">
        <x:f>养成消耗调参!$I$148</x:f>
        <x:v>0</x:v>
      </x:c>
      <x:c r="O1019" s="12" t="n">
        <x:f>养成消耗调参!$K$148</x:f>
        <x:v>0</x:v>
      </x:c>
      <x:c r="P1019" s="12" t="n">
        <x:f>养成消耗调参!$N$148</x:f>
        <x:v>0</x:v>
      </x:c>
      <x:c r="Q1019" s="12" t="n">
        <x:f>养成消耗调参!$P$148</x:f>
        <x:v>0</x:v>
      </x:c>
      <x:c r="R1019" s="13">
        <x:f>I1019/英雄升级调参!$J$66-1</x:f>
        <x:v>0.008547008547008517</x:v>
      </x:c>
      <x:c r="S1019" s="6"/>
      <x:c r="T1019" s="6"/>
      <x:c r="U1019" s="6"/>
    </x:row>
    <x:row r="1020" ht="21" customHeight="1">
      <x:c r="A1020" s="14" t="n">
        <x:f>英雄升级调参!$B$24</x:f>
        <x:v>310006</x:v>
      </x:c>
      <x:c r="B1020" s="14" t="str">
        <x:f>英雄升级调参!$C$24</x:f>
        <x:v>玛莫莉莉狮</x:v>
      </x:c>
      <x:c r="C1020" s="6" t="str">
        <x:f>英雄升级调参!$D$24</x:f>
        <x:v>战士</x:v>
      </x:c>
      <x:c r="D1020" s="6" t="s">
        <x:v>22</x:v>
      </x:c>
      <x:c r="E1020" s="6">
        <x:v>2</x:v>
      </x:c>
      <x:c r="F1020" s="6" t="n">
        <x:f>英雄升级调参!$C$67</x:f>
        <x:v>1</x:v>
      </x:c>
      <x:c r="G1020" s="12">
        <x:f t="shared" ref="G1020:G1051" si="95">G1019+J1020</x:f>
        <x:v>268</x:v>
      </x:c>
      <x:c r="H1020" s="12">
        <x:f t="shared" ref="H1020:H1051" si="96">H1019+K1020</x:f>
        <x:v>1850</x:v>
      </x:c>
      <x:c r="I1020" s="12">
        <x:f t="shared" si="90"/>
        <x:v>495800</x:v>
      </x:c>
      <x:c r="J1020" s="12">
        <x:f>ROUND(英雄升级调参!$D$67*英雄升级调参!$J$10*英雄升级调参!$E$24,0)</x:f>
        <x:v>32</x:v>
      </x:c>
      <x:c r="K1020" s="12">
        <x:f>ROUND(英雄升级调参!$D$67*英雄升级调参!$C$11*英雄升级调参!$J$10*英雄升级调参!$G$24,0)</x:f>
        <x:v>225</x:v>
      </x:c>
      <x:c r="L1020" s="12" t="n">
        <x:f>养成消耗调参!$D$149</x:f>
        <x:v>36</x:v>
      </x:c>
      <x:c r="M1020" s="12" t="n">
        <x:f>养成消耗调参!$G$149</x:f>
        <x:v>450</x:v>
      </x:c>
      <x:c r="N1020" s="12" t="n">
        <x:f>养成消耗调参!$I$149</x:f>
        <x:v>0</x:v>
      </x:c>
      <x:c r="O1020" s="12" t="n">
        <x:f>养成消耗调参!$K$149</x:f>
        <x:v>36</x:v>
      </x:c>
      <x:c r="P1020" s="12" t="n">
        <x:f>养成消耗调参!$N$149</x:f>
        <x:v>450</x:v>
      </x:c>
      <x:c r="Q1020" s="12" t="n">
        <x:f>养成消耗调参!$P$149</x:f>
        <x:v>0</x:v>
      </x:c>
      <x:c r="R1020" s="13">
        <x:f>I1020/英雄升级调参!$J$67-1</x:f>
        <x:v>0.006006006006006093</x:v>
      </x:c>
      <x:c r="S1020" s="6"/>
      <x:c r="T1020" s="6"/>
      <x:c r="U1020" s="6"/>
    </x:row>
    <x:row r="1021" ht="21" customHeight="1">
      <x:c r="A1021" s="14" t="n">
        <x:f>英雄升级调参!$B$24</x:f>
        <x:v>310006</x:v>
      </x:c>
      <x:c r="B1021" s="14" t="str">
        <x:f>英雄升级调参!$C$24</x:f>
        <x:v>玛莫莉莉狮</x:v>
      </x:c>
      <x:c r="C1021" s="6" t="str">
        <x:f>英雄升级调参!$D$24</x:f>
        <x:v>战士</x:v>
      </x:c>
      <x:c r="D1021" s="6" t="s">
        <x:v>22</x:v>
      </x:c>
      <x:c r="E1021" s="6">
        <x:v>3</x:v>
      </x:c>
      <x:c r="F1021" s="6" t="n">
        <x:f>英雄升级调参!$C$68</x:f>
        <x:v>1</x:v>
      </x:c>
      <x:c r="G1021" s="12">
        <x:f t="shared" si="95"/>
        <x:v>300</x:v>
      </x:c>
      <x:c r="H1021" s="12">
        <x:f t="shared" si="96"/>
        <x:v>2075</x:v>
      </x:c>
      <x:c r="I1021" s="12">
        <x:f t="shared" si="90"/>
        <x:v>622500</x:v>
      </x:c>
      <x:c r="J1021" s="12">
        <x:f>ROUND(英雄升级调参!$D$68*英雄升级调参!$J$10*英雄升级调参!$E$24,0)</x:f>
        <x:v>32</x:v>
      </x:c>
      <x:c r="K1021" s="12">
        <x:f>ROUND(英雄升级调参!$D$68*英雄升级调参!$C$11*英雄升级调参!$J$10*英雄升级调参!$G$24,0)</x:f>
        <x:v>225</x:v>
      </x:c>
      <x:c r="L1021" s="12" t="n">
        <x:f>养成消耗调参!$D$150</x:f>
        <x:v>36</x:v>
      </x:c>
      <x:c r="M1021" s="12" t="n">
        <x:f>养成消耗调参!$G$150</x:f>
        <x:v>450</x:v>
      </x:c>
      <x:c r="N1021" s="12" t="n">
        <x:f>养成消耗调参!$I$150</x:f>
        <x:v>0</x:v>
      </x:c>
      <x:c r="O1021" s="12" t="n">
        <x:f>养成消耗调参!$K$150</x:f>
        <x:v>72</x:v>
      </x:c>
      <x:c r="P1021" s="12" t="n">
        <x:f>养成消耗调参!$N$150</x:f>
        <x:v>900</x:v>
      </x:c>
      <x:c r="Q1021" s="12" t="n">
        <x:f>养成消耗调参!$P$150</x:f>
        <x:v>0</x:v>
      </x:c>
      <x:c r="R1021" s="13">
        <x:f>I1021/英雄升级调参!$J$68-1</x:f>
        <x:v>0.004016064257028162</x:v>
      </x:c>
      <x:c r="S1021" s="6"/>
      <x:c r="T1021" s="6"/>
      <x:c r="U1021" s="6"/>
    </x:row>
    <x:row r="1022" ht="21" customHeight="1">
      <x:c r="A1022" s="14" t="n">
        <x:f>英雄升级调参!$B$24</x:f>
        <x:v>310006</x:v>
      </x:c>
      <x:c r="B1022" s="14" t="str">
        <x:f>英雄升级调参!$C$24</x:f>
        <x:v>玛莫莉莉狮</x:v>
      </x:c>
      <x:c r="C1022" s="6" t="str">
        <x:f>英雄升级调参!$D$24</x:f>
        <x:v>战士</x:v>
      </x:c>
      <x:c r="D1022" s="6" t="s">
        <x:v>22</x:v>
      </x:c>
      <x:c r="E1022" s="6">
        <x:v>4</x:v>
      </x:c>
      <x:c r="F1022" s="6" t="n">
        <x:f>英雄升级调参!$C$69</x:f>
        <x:v>1</x:v>
      </x:c>
      <x:c r="G1022" s="12">
        <x:f t="shared" si="95"/>
        <x:v>332</x:v>
      </x:c>
      <x:c r="H1022" s="12">
        <x:f t="shared" si="96"/>
        <x:v>2300</x:v>
      </x:c>
      <x:c r="I1022" s="12">
        <x:f t="shared" si="90"/>
        <x:v>763600</x:v>
      </x:c>
      <x:c r="J1022" s="12">
        <x:f>ROUND(英雄升级调参!$D$69*英雄升级调参!$J$10*英雄升级调参!$E$24,0)</x:f>
        <x:v>32</x:v>
      </x:c>
      <x:c r="K1022" s="12">
        <x:f>ROUND(英雄升级调参!$D$69*英雄升级调参!$C$11*英雄升级调参!$J$10*英雄升级调参!$G$24,0)</x:f>
        <x:v>225</x:v>
      </x:c>
      <x:c r="L1022" s="12" t="n">
        <x:f>养成消耗调参!$D$151</x:f>
        <x:v>72</x:v>
      </x:c>
      <x:c r="M1022" s="12" t="n">
        <x:f>养成消耗调参!$G$151</x:f>
        <x:v>450</x:v>
      </x:c>
      <x:c r="N1022" s="12" t="n">
        <x:f>养成消耗调参!$I$151</x:f>
        <x:v>0</x:v>
      </x:c>
      <x:c r="O1022" s="12" t="n">
        <x:f>养成消耗调参!$K$151</x:f>
        <x:v>144</x:v>
      </x:c>
      <x:c r="P1022" s="12" t="n">
        <x:f>养成消耗调参!$N$151</x:f>
        <x:v>1350</x:v>
      </x:c>
      <x:c r="Q1022" s="12" t="n">
        <x:f>养成消耗调参!$P$151</x:f>
        <x:v>0</x:v>
      </x:c>
      <x:c r="R1022" s="13">
        <x:f>I1022/英雄升级调参!$J$69-1</x:f>
        <x:v>0.0024154589371980784</x:v>
      </x:c>
      <x:c r="S1022" s="6"/>
      <x:c r="T1022" s="6"/>
      <x:c r="U1022" s="6"/>
    </x:row>
    <x:row r="1023" ht="21" customHeight="1">
      <x:c r="A1023" s="14" t="n">
        <x:f>英雄升级调参!$B$24</x:f>
        <x:v>310006</x:v>
      </x:c>
      <x:c r="B1023" s="14" t="str">
        <x:f>英雄升级调参!$C$24</x:f>
        <x:v>玛莫莉莉狮</x:v>
      </x:c>
      <x:c r="C1023" s="6" t="str">
        <x:f>英雄升级调参!$D$24</x:f>
        <x:v>战士</x:v>
      </x:c>
      <x:c r="D1023" s="6" t="s">
        <x:v>22</x:v>
      </x:c>
      <x:c r="E1023" s="6">
        <x:v>5</x:v>
      </x:c>
      <x:c r="F1023" s="6" t="n">
        <x:f>英雄升级调参!$C$70</x:f>
        <x:v>1</x:v>
      </x:c>
      <x:c r="G1023" s="12">
        <x:f t="shared" si="95"/>
        <x:v>428</x:v>
      </x:c>
      <x:c r="H1023" s="12">
        <x:f t="shared" si="96"/>
        <x:v>2975</x:v>
      </x:c>
      <x:c r="I1023" s="12">
        <x:f t="shared" si="90"/>
        <x:v>1273300</x:v>
      </x:c>
      <x:c r="J1023" s="12">
        <x:f>ROUND(英雄升级调参!$D$70*英雄升级调参!$J$10*英雄升级调参!$E$24,0)*3</x:f>
        <x:v>96</x:v>
      </x:c>
      <x:c r="K1023" s="12">
        <x:f>ROUND(英雄升级调参!$D$70*英雄升级调参!$C$11*英雄升级调参!$J$10*英雄升级调参!$G$24,0)*3</x:f>
        <x:v>675</x:v>
      </x:c>
      <x:c r="L1023" s="12" t="n">
        <x:f>养成消耗调参!$D$152</x:f>
        <x:v>72</x:v>
      </x:c>
      <x:c r="M1023" s="12" t="n">
        <x:f>养成消耗调参!$G$152</x:f>
        <x:v>450</x:v>
      </x:c>
      <x:c r="N1023" s="12" t="n">
        <x:f>养成消耗调参!$I$152</x:f>
        <x:v>10</x:v>
      </x:c>
      <x:c r="O1023" s="12" t="n">
        <x:f>养成消耗调参!$K$152</x:f>
        <x:v>216</x:v>
      </x:c>
      <x:c r="P1023" s="12" t="n">
        <x:f>养成消耗调参!$N$152</x:f>
        <x:v>1800</x:v>
      </x:c>
      <x:c r="Q1023" s="12" t="n">
        <x:f>养成消耗调参!$P$152</x:f>
        <x:v>10</x:v>
      </x:c>
      <x:c r="R1023" s="13">
        <x:f>I1023/英雄升级调参!$J$70-1</x:f>
        <x:v>-0.0009337068160597539</x:v>
      </x:c>
      <x:c r="S1023" s="6"/>
      <x:c r="T1023" s="6"/>
      <x:c r="U1023" s="6"/>
    </x:row>
    <x:row r="1024" ht="21" customHeight="1">
      <x:c r="A1024" s="14" t="n">
        <x:f>英雄升级调参!$B$24</x:f>
        <x:v>310006</x:v>
      </x:c>
      <x:c r="B1024" s="14" t="str">
        <x:f>英雄升级调参!$C$24</x:f>
        <x:v>玛莫莉莉狮</x:v>
      </x:c>
      <x:c r="C1024" s="6" t="str">
        <x:f>英雄升级调参!$D$24</x:f>
        <x:v>战士</x:v>
      </x:c>
      <x:c r="D1024" s="6" t="s">
        <x:v>22</x:v>
      </x:c>
      <x:c r="E1024" s="6">
        <x:v>6</x:v>
      </x:c>
      <x:c r="F1024" s="6" t="n">
        <x:f>英雄升级调参!$C$71</x:f>
        <x:v>2</x:v>
      </x:c>
      <x:c r="G1024" s="12">
        <x:f t="shared" si="95"/>
        <x:v>477</x:v>
      </x:c>
      <x:c r="H1024" s="12">
        <x:f t="shared" si="96"/>
        <x:v>3313</x:v>
      </x:c>
      <x:c r="I1024" s="12">
        <x:f t="shared" si="90"/>
        <x:v>1580301</x:v>
      </x:c>
      <x:c r="J1024" s="12">
        <x:f>ROUND(英雄升级调参!$D$71*英雄升级调参!$J$10*英雄升级调参!$E$24,0)</x:f>
        <x:v>49</x:v>
      </x:c>
      <x:c r="K1024" s="12">
        <x:f>ROUND(英雄升级调参!$D$71*英雄升级调参!$C$11*英雄升级调参!$J$10*英雄升级调参!$G$24,0)</x:f>
        <x:v>338</x:v>
      </x:c>
      <x:c r="L1024" s="12" t="n">
        <x:f>养成消耗调参!$D$153</x:f>
        <x:v>144</x:v>
      </x:c>
      <x:c r="M1024" s="12" t="n">
        <x:f>养成消耗调参!$G$153</x:f>
        <x:v>450</x:v>
      </x:c>
      <x:c r="N1024" s="12" t="n">
        <x:f>养成消耗调参!$I$153</x:f>
        <x:v>0</x:v>
      </x:c>
      <x:c r="O1024" s="12" t="n">
        <x:f>养成消耗调参!$K$153</x:f>
        <x:v>360</x:v>
      </x:c>
      <x:c r="P1024" s="12" t="n">
        <x:f>养成消耗调参!$N$153</x:f>
        <x:v>2250</x:v>
      </x:c>
      <x:c r="Q1024" s="12" t="n">
        <x:f>养成消耗调参!$P$153</x:f>
        <x:v>10</x:v>
      </x:c>
      <x:c r="R1024" s="13">
        <x:f>I1024/英雄升级调参!$J$71-1</x:f>
        <x:v>-0.0011055276381909396</x:v>
      </x:c>
      <x:c r="S1024" s="6"/>
      <x:c r="T1024" s="6"/>
      <x:c r="U1024" s="6"/>
    </x:row>
    <x:row r="1025" ht="21" customHeight="1">
      <x:c r="A1025" s="14" t="n">
        <x:f>英雄升级调参!$B$24</x:f>
        <x:v>310006</x:v>
      </x:c>
      <x:c r="B1025" s="14" t="str">
        <x:f>英雄升级调参!$C$24</x:f>
        <x:v>玛莫莉莉狮</x:v>
      </x:c>
      <x:c r="C1025" s="6" t="str">
        <x:f>英雄升级调参!$D$24</x:f>
        <x:v>战士</x:v>
      </x:c>
      <x:c r="D1025" s="6" t="s">
        <x:v>22</x:v>
      </x:c>
      <x:c r="E1025" s="6">
        <x:v>7</x:v>
      </x:c>
      <x:c r="F1025" s="6" t="n">
        <x:f>英雄升级调参!$C$72</x:f>
        <x:v>2</x:v>
      </x:c>
      <x:c r="G1025" s="12">
        <x:f t="shared" si="95"/>
        <x:v>526</x:v>
      </x:c>
      <x:c r="H1025" s="12">
        <x:f t="shared" si="96"/>
        <x:v>3651</x:v>
      </x:c>
      <x:c r="I1025" s="12">
        <x:f t="shared" si="90"/>
        <x:v>1920426</x:v>
      </x:c>
      <x:c r="J1025" s="12">
        <x:f>ROUND(英雄升级调参!$D$72*英雄升级调参!$J$10*英雄升级调参!$E$24,0)</x:f>
        <x:v>49</x:v>
      </x:c>
      <x:c r="K1025" s="12">
        <x:f>ROUND(英雄升级调参!$D$72*英雄升级调参!$C$11*英雄升级调参!$J$10*英雄升级调参!$G$24,0)</x:f>
        <x:v>338</x:v>
      </x:c>
      <x:c r="L1025" s="12" t="n">
        <x:f>养成消耗调参!$D$154</x:f>
        <x:v>144</x:v>
      </x:c>
      <x:c r="M1025" s="12" t="n">
        <x:f>养成消耗调参!$G$154</x:f>
        <x:v>1350</x:v>
      </x:c>
      <x:c r="N1025" s="12" t="n">
        <x:f>养成消耗调参!$I$154</x:f>
        <x:v>0</x:v>
      </x:c>
      <x:c r="O1025" s="12" t="n">
        <x:f>养成消耗调参!$K$154</x:f>
        <x:v>504</x:v>
      </x:c>
      <x:c r="P1025" s="12" t="n">
        <x:f>养成消耗调参!$N$154</x:f>
        <x:v>3600</x:v>
      </x:c>
      <x:c r="Q1025" s="12" t="n">
        <x:f>养成消耗调参!$P$154</x:f>
        <x:v>10</x:v>
      </x:c>
      <x:c r="R1025" s="13">
        <x:f>I1025/英雄升级调参!$J$72-1</x:f>
        <x:v>-0.0012450463381907806</x:v>
      </x:c>
      <x:c r="S1025" s="6"/>
      <x:c r="T1025" s="6"/>
      <x:c r="U1025" s="6"/>
    </x:row>
    <x:row r="1026" ht="21" customHeight="1">
      <x:c r="A1026" s="14" t="n">
        <x:f>英雄升级调参!$B$24</x:f>
        <x:v>310006</x:v>
      </x:c>
      <x:c r="B1026" s="14" t="str">
        <x:f>英雄升级调参!$C$24</x:f>
        <x:v>玛莫莉莉狮</x:v>
      </x:c>
      <x:c r="C1026" s="6" t="str">
        <x:f>英雄升级调参!$D$24</x:f>
        <x:v>战士</x:v>
      </x:c>
      <x:c r="D1026" s="6" t="s">
        <x:v>22</x:v>
      </x:c>
      <x:c r="E1026" s="6">
        <x:v>8</x:v>
      </x:c>
      <x:c r="F1026" s="6" t="n">
        <x:f>英雄升级调参!$C$73</x:f>
        <x:v>2</x:v>
      </x:c>
      <x:c r="G1026" s="12">
        <x:f t="shared" si="95"/>
        <x:v>575</x:v>
      </x:c>
      <x:c r="H1026" s="12">
        <x:f t="shared" si="96"/>
        <x:v>3989</x:v>
      </x:c>
      <x:c r="I1026" s="12">
        <x:f t="shared" si="90"/>
        <x:v>2293675</x:v>
      </x:c>
      <x:c r="J1026" s="12">
        <x:f>ROUND(英雄升级调参!$D$73*英雄升级调参!$J$10*英雄升级调参!$E$24,0)</x:f>
        <x:v>49</x:v>
      </x:c>
      <x:c r="K1026" s="12">
        <x:f>ROUND(英雄升级调参!$D$73*英雄升级调参!$C$11*英雄升级调参!$J$10*英雄升级调参!$G$24,0)</x:f>
        <x:v>338</x:v>
      </x:c>
      <x:c r="L1026" s="12" t="n">
        <x:f>养成消耗调参!$D$155</x:f>
        <x:v>216</x:v>
      </x:c>
      <x:c r="M1026" s="12" t="n">
        <x:f>养成消耗调参!$G$155</x:f>
        <x:v>1350</x:v>
      </x:c>
      <x:c r="N1026" s="12" t="n">
        <x:f>养成消耗调参!$I$155</x:f>
        <x:v>0</x:v>
      </x:c>
      <x:c r="O1026" s="12" t="n">
        <x:f>养成消耗调参!$K$155</x:f>
        <x:v>720</x:v>
      </x:c>
      <x:c r="P1026" s="12" t="n">
        <x:f>养成消耗调参!$N$155</x:f>
        <x:v>4950</x:v>
      </x:c>
      <x:c r="Q1026" s="12" t="n">
        <x:f>养成消耗调参!$P$155</x:f>
        <x:v>10</x:v>
      </x:c>
      <x:c r="R1026" s="13">
        <x:f>I1026/英雄升级调参!$J$73-1</x:f>
        <x:v>-0.0013605886450713811</x:v>
      </x:c>
      <x:c r="S1026" s="6"/>
      <x:c r="T1026" s="6"/>
      <x:c r="U1026" s="6"/>
    </x:row>
    <x:row r="1027" ht="21" customHeight="1">
      <x:c r="A1027" s="14" t="n">
        <x:f>英雄升级调参!$B$24</x:f>
        <x:v>310006</x:v>
      </x:c>
      <x:c r="B1027" s="14" t="str">
        <x:f>英雄升级调参!$C$24</x:f>
        <x:v>玛莫莉莉狮</x:v>
      </x:c>
      <x:c r="C1027" s="6" t="str">
        <x:f>英雄升级调参!$D$24</x:f>
        <x:v>战士</x:v>
      </x:c>
      <x:c r="D1027" s="6" t="s">
        <x:v>22</x:v>
      </x:c>
      <x:c r="E1027" s="6">
        <x:v>9</x:v>
      </x:c>
      <x:c r="F1027" s="6" t="n">
        <x:f>英雄升级调参!$C$74</x:f>
        <x:v>2</x:v>
      </x:c>
      <x:c r="G1027" s="12">
        <x:f t="shared" si="95"/>
        <x:v>624</x:v>
      </x:c>
      <x:c r="H1027" s="12">
        <x:f t="shared" si="96"/>
        <x:v>4327</x:v>
      </x:c>
      <x:c r="I1027" s="12">
        <x:f t="shared" si="90"/>
        <x:v>2700048</x:v>
      </x:c>
      <x:c r="J1027" s="12">
        <x:f>ROUND(英雄升级调参!$D$74*英雄升级调参!$J$10*英雄升级调参!$E$24,0)</x:f>
        <x:v>49</x:v>
      </x:c>
      <x:c r="K1027" s="12">
        <x:f>ROUND(英雄升级调参!$D$74*英雄升级调参!$C$11*英雄升级调参!$J$10*英雄升级调参!$G$24,0)</x:f>
        <x:v>338</x:v>
      </x:c>
      <x:c r="L1027" s="12" t="n">
        <x:f>养成消耗调参!$D$156</x:f>
        <x:v>216</x:v>
      </x:c>
      <x:c r="M1027" s="12" t="n">
        <x:f>养成消耗调参!$G$156</x:f>
        <x:v>1350</x:v>
      </x:c>
      <x:c r="N1027" s="12" t="n">
        <x:f>养成消耗调参!$I$156</x:f>
        <x:v>0</x:v>
      </x:c>
      <x:c r="O1027" s="12" t="n">
        <x:f>养成消耗调参!$K$156</x:f>
        <x:v>936</x:v>
      </x:c>
      <x:c r="P1027" s="12" t="n">
        <x:f>养成消耗调参!$N$156</x:f>
        <x:v>6300</x:v>
      </x:c>
      <x:c r="Q1027" s="12" t="n">
        <x:f>养成消耗调参!$P$156</x:f>
        <x:v>10</x:v>
      </x:c>
      <x:c r="R1027" s="13">
        <x:f>I1027/英雄升级调参!$J$74-1</x:f>
        <x:v>-0.001457845628127341</x:v>
      </x:c>
      <x:c r="S1027" s="6"/>
      <x:c r="T1027" s="6"/>
      <x:c r="U1027" s="6"/>
    </x:row>
    <x:row r="1028" ht="21" customHeight="1">
      <x:c r="A1028" s="14" t="n">
        <x:f>英雄升级调参!$B$24</x:f>
        <x:v>310006</x:v>
      </x:c>
      <x:c r="B1028" s="14" t="str">
        <x:f>英雄升级调参!$C$24</x:f>
        <x:v>玛莫莉莉狮</x:v>
      </x:c>
      <x:c r="C1028" s="6" t="str">
        <x:f>英雄升级调参!$D$24</x:f>
        <x:v>战士</x:v>
      </x:c>
      <x:c r="D1028" s="6" t="s">
        <x:v>22</x:v>
      </x:c>
      <x:c r="E1028" s="6">
        <x:v>10</x:v>
      </x:c>
      <x:c r="F1028" s="6" t="n">
        <x:f>英雄升级调参!$C$75</x:f>
        <x:v>2</x:v>
      </x:c>
      <x:c r="G1028" s="12">
        <x:f t="shared" si="95"/>
        <x:v>771</x:v>
      </x:c>
      <x:c r="H1028" s="12">
        <x:f t="shared" si="96"/>
        <x:v>5341</x:v>
      </x:c>
      <x:c r="I1028" s="12">
        <x:f t="shared" si="90"/>
        <x:v>4117911</x:v>
      </x:c>
      <x:c r="J1028" s="12">
        <x:f>ROUND(英雄升级调参!$D$75*英雄升级调参!$J$10*英雄升级调参!$E$24,0)*3</x:f>
        <x:v>147</x:v>
      </x:c>
      <x:c r="K1028" s="12">
        <x:f>ROUND(英雄升级调参!$D$75*英雄升级调参!$C$11*英雄升级调参!$J$10*英雄升级调参!$G$24,0)*3</x:f>
        <x:v>1014</x:v>
      </x:c>
      <x:c r="L1028" s="12" t="n">
        <x:f>养成消耗调参!$D$157</x:f>
        <x:v>288</x:v>
      </x:c>
      <x:c r="M1028" s="12" t="n">
        <x:f>养成消耗调参!$G$157</x:f>
        <x:v>1350</x:v>
      </x:c>
      <x:c r="N1028" s="12" t="n">
        <x:f>养成消耗调参!$I$157</x:f>
        <x:v>30</x:v>
      </x:c>
      <x:c r="O1028" s="12" t="n">
        <x:f>养成消耗调参!$K$157</x:f>
        <x:v>1224</x:v>
      </x:c>
      <x:c r="P1028" s="12" t="n">
        <x:f>养成消耗调参!$N$157</x:f>
        <x:v>7650</x:v>
      </x:c>
      <x:c r="Q1028" s="12" t="n">
        <x:f>养成消耗调参!$P$157</x:f>
        <x:v>40</x:v>
      </x:c>
      <x:c r="R1028" s="13">
        <x:f>I1028/英雄升级调参!$J$75-1</x:f>
        <x:v>-0.001674982181040674</x:v>
      </x:c>
      <x:c r="S1028" s="6"/>
      <x:c r="T1028" s="6"/>
      <x:c r="U1028" s="6"/>
    </x:row>
    <x:row r="1029" ht="21" customHeight="1">
      <x:c r="A1029" s="14" t="n">
        <x:f>英雄升级调参!$B$24</x:f>
        <x:v>310006</x:v>
      </x:c>
      <x:c r="B1029" s="14" t="str">
        <x:f>英雄升级调参!$C$24</x:f>
        <x:v>玛莫莉莉狮</x:v>
      </x:c>
      <x:c r="C1029" s="6" t="str">
        <x:f>英雄升级调参!$D$24</x:f>
        <x:v>战士</x:v>
      </x:c>
      <x:c r="D1029" s="6" t="s">
        <x:v>22</x:v>
      </x:c>
      <x:c r="E1029" s="6">
        <x:v>11</x:v>
      </x:c>
      <x:c r="F1029" s="6" t="n">
        <x:f>英雄升级调参!$C$76</x:f>
        <x:v>3</x:v>
      </x:c>
      <x:c r="G1029" s="12">
        <x:f t="shared" si="95"/>
        <x:v>836</x:v>
      </x:c>
      <x:c r="H1029" s="12">
        <x:f t="shared" si="96"/>
        <x:v>5791</x:v>
      </x:c>
      <x:c r="I1029" s="12">
        <x:f t="shared" ref="I1029:I1092" si="97">G1029*H1029</x:f>
        <x:v>4841276</x:v>
      </x:c>
      <x:c r="J1029" s="12">
        <x:f>ROUND(英雄升级调参!$D$76*英雄升级调参!$J$10*英雄升级调参!$E$24,0)</x:f>
        <x:v>65</x:v>
      </x:c>
      <x:c r="K1029" s="12">
        <x:f>ROUND(英雄升级调参!$D$76*英雄升级调参!$C$11*英雄升级调参!$J$10*英雄升级调参!$G$24,0)</x:f>
        <x:v>450</x:v>
      </x:c>
      <x:c r="L1029" s="12" t="n">
        <x:f>养成消耗调参!$D$158</x:f>
        <x:v>288</x:v>
      </x:c>
      <x:c r="M1029" s="12" t="n">
        <x:f>养成消耗调参!$G$158</x:f>
        <x:v>1350</x:v>
      </x:c>
      <x:c r="N1029" s="12" t="n">
        <x:f>养成消耗调参!$I$158</x:f>
        <x:v>0</x:v>
      </x:c>
      <x:c r="O1029" s="12" t="n">
        <x:f>养成消耗调参!$K$158</x:f>
        <x:v>1512</x:v>
      </x:c>
      <x:c r="P1029" s="12" t="n">
        <x:f>养成消耗调参!$N$158</x:f>
        <x:v>9000</x:v>
      </x:c>
      <x:c r="Q1029" s="12" t="n">
        <x:f>养成消耗调参!$P$158</x:f>
        <x:v>40</x:v>
      </x:c>
      <x:c r="R1029" s="13">
        <x:f>I1029/英雄升级调参!$J$76-1</x:f>
        <x:v>-0.0013066232638351272</x:v>
      </x:c>
      <x:c r="S1029" s="6"/>
      <x:c r="T1029" s="6"/>
      <x:c r="U1029" s="6"/>
    </x:row>
    <x:row r="1030" ht="21" customHeight="1">
      <x:c r="A1030" s="14" t="n">
        <x:f>英雄升级调参!$B$24</x:f>
        <x:v>310006</x:v>
      </x:c>
      <x:c r="B1030" s="14" t="str">
        <x:f>英雄升级调参!$C$24</x:f>
        <x:v>玛莫莉莉狮</x:v>
      </x:c>
      <x:c r="C1030" s="6" t="str">
        <x:f>英雄升级调参!$D$24</x:f>
        <x:v>战士</x:v>
      </x:c>
      <x:c r="D1030" s="6" t="s">
        <x:v>22</x:v>
      </x:c>
      <x:c r="E1030" s="6">
        <x:v>12</x:v>
      </x:c>
      <x:c r="F1030" s="6" t="n">
        <x:f>英雄升级调参!$C$77</x:f>
        <x:v>3</x:v>
      </x:c>
      <x:c r="G1030" s="12">
        <x:f t="shared" si="95"/>
        <x:v>901</x:v>
      </x:c>
      <x:c r="H1030" s="12">
        <x:f t="shared" si="96"/>
        <x:v>6241</x:v>
      </x:c>
      <x:c r="I1030" s="12">
        <x:f t="shared" si="97"/>
        <x:v>5623141</x:v>
      </x:c>
      <x:c r="J1030" s="12">
        <x:f>ROUND(英雄升级调参!$D$77*英雄升级调参!$J$10*英雄升级调参!$E$24,0)</x:f>
        <x:v>65</x:v>
      </x:c>
      <x:c r="K1030" s="12">
        <x:f>ROUND(英雄升级调参!$D$77*英雄升级调参!$C$11*英雄升级调参!$J$10*英雄升级调参!$G$24,0)</x:f>
        <x:v>450</x:v>
      </x:c>
      <x:c r="L1030" s="12" t="n">
        <x:f>养成消耗调参!$D$159</x:f>
        <x:v>360</x:v>
      </x:c>
      <x:c r="M1030" s="12" t="n">
        <x:f>养成消耗调参!$G$159</x:f>
        <x:v>2250</x:v>
      </x:c>
      <x:c r="N1030" s="12" t="n">
        <x:f>养成消耗调参!$I$159</x:f>
        <x:v>0</x:v>
      </x:c>
      <x:c r="O1030" s="12" t="n">
        <x:f>养成消耗调参!$K$159</x:f>
        <x:v>1872</x:v>
      </x:c>
      <x:c r="P1030" s="12" t="n">
        <x:f>养成消耗调参!$N$159</x:f>
        <x:v>11250</x:v>
      </x:c>
      <x:c r="Q1030" s="12" t="n">
        <x:f>养成消耗调参!$P$159</x:f>
        <x:v>40</x:v>
      </x:c>
      <x:c r="R1030" s="13">
        <x:f>I1030/英雄升级调参!$J$77-1</x:f>
        <x:v>-0.000991166730624382</x:v>
      </x:c>
      <x:c r="S1030" s="6"/>
      <x:c r="T1030" s="6"/>
      <x:c r="U1030" s="6"/>
    </x:row>
    <x:row r="1031" ht="21" customHeight="1">
      <x:c r="A1031" s="14" t="n">
        <x:f>英雄升级调参!$B$24</x:f>
        <x:v>310006</x:v>
      </x:c>
      <x:c r="B1031" s="14" t="str">
        <x:f>英雄升级调参!$C$24</x:f>
        <x:v>玛莫莉莉狮</x:v>
      </x:c>
      <x:c r="C1031" s="6" t="str">
        <x:f>英雄升级调参!$D$24</x:f>
        <x:v>战士</x:v>
      </x:c>
      <x:c r="D1031" s="6" t="s">
        <x:v>22</x:v>
      </x:c>
      <x:c r="E1031" s="6">
        <x:v>13</x:v>
      </x:c>
      <x:c r="F1031" s="6" t="n">
        <x:f>英雄升级调参!$C$78</x:f>
        <x:v>3</x:v>
      </x:c>
      <x:c r="G1031" s="12">
        <x:f t="shared" si="95"/>
        <x:v>966</x:v>
      </x:c>
      <x:c r="H1031" s="12">
        <x:f t="shared" si="96"/>
        <x:v>6691</x:v>
      </x:c>
      <x:c r="I1031" s="12">
        <x:f t="shared" si="97"/>
        <x:v>6463506</x:v>
      </x:c>
      <x:c r="J1031" s="12">
        <x:f>ROUND(英雄升级调参!$D$78*英雄升级调参!$J$10*英雄升级调参!$E$24,0)</x:f>
        <x:v>65</x:v>
      </x:c>
      <x:c r="K1031" s="12">
        <x:f>ROUND(英雄升级调参!$D$78*英雄升级调参!$C$11*英雄升级调参!$J$10*英雄升级调参!$G$24,0)</x:f>
        <x:v>450</x:v>
      </x:c>
      <x:c r="L1031" s="12" t="n">
        <x:f>养成消耗调参!$D$160</x:f>
        <x:v>360</x:v>
      </x:c>
      <x:c r="M1031" s="12" t="n">
        <x:f>养成消耗调参!$G$160</x:f>
        <x:v>2250</x:v>
      </x:c>
      <x:c r="N1031" s="12" t="n">
        <x:f>养成消耗调参!$I$160</x:f>
        <x:v>0</x:v>
      </x:c>
      <x:c r="O1031" s="12" t="n">
        <x:f>养成消耗调参!$K$160</x:f>
        <x:v>2232</x:v>
      </x:c>
      <x:c r="P1031" s="12" t="n">
        <x:f>养成消耗调参!$N$160</x:f>
        <x:v>13500</x:v>
      </x:c>
      <x:c r="Q1031" s="12" t="n">
        <x:f>养成消耗调参!$P$160</x:f>
        <x:v>40</x:v>
      </x:c>
      <x:c r="R1031" s="13">
        <x:f>I1031/英雄升级调参!$J$78-1</x:f>
        <x:v>-0.0007179796386911352</x:v>
      </x:c>
      <x:c r="S1031" s="6"/>
      <x:c r="T1031" s="6"/>
      <x:c r="U1031" s="6"/>
    </x:row>
    <x:row r="1032" ht="21" customHeight="1">
      <x:c r="A1032" s="14" t="n">
        <x:f>英雄升级调参!$B$24</x:f>
        <x:v>310006</x:v>
      </x:c>
      <x:c r="B1032" s="14" t="str">
        <x:f>英雄升级调参!$C$24</x:f>
        <x:v>玛莫莉莉狮</x:v>
      </x:c>
      <x:c r="C1032" s="6" t="str">
        <x:f>英雄升级调参!$D$24</x:f>
        <x:v>战士</x:v>
      </x:c>
      <x:c r="D1032" s="6" t="s">
        <x:v>22</x:v>
      </x:c>
      <x:c r="E1032" s="6">
        <x:v>14</x:v>
      </x:c>
      <x:c r="F1032" s="6" t="n">
        <x:f>英雄升级调参!$C$79</x:f>
        <x:v>3</x:v>
      </x:c>
      <x:c r="G1032" s="12">
        <x:f t="shared" si="95"/>
        <x:v>1031</x:v>
      </x:c>
      <x:c r="H1032" s="12">
        <x:f t="shared" si="96"/>
        <x:v>7141</x:v>
      </x:c>
      <x:c r="I1032" s="12">
        <x:f t="shared" si="97"/>
        <x:v>7362371</x:v>
      </x:c>
      <x:c r="J1032" s="12">
        <x:f>ROUND(英雄升级调参!$D$79*英雄升级调参!$J$10*英雄升级调参!$E$24,0)</x:f>
        <x:v>65</x:v>
      </x:c>
      <x:c r="K1032" s="12">
        <x:f>ROUND(英雄升级调参!$D$79*英雄升级调参!$C$11*英雄升级调参!$J$10*英雄升级调参!$G$24,0)</x:f>
        <x:v>450</x:v>
      </x:c>
      <x:c r="L1032" s="12" t="n">
        <x:f>养成消耗调参!$D$161</x:f>
        <x:v>432</x:v>
      </x:c>
      <x:c r="M1032" s="12" t="n">
        <x:f>养成消耗调参!$G$161</x:f>
        <x:v>2250</x:v>
      </x:c>
      <x:c r="N1032" s="12" t="n">
        <x:f>养成消耗调参!$I$161</x:f>
        <x:v>0</x:v>
      </x:c>
      <x:c r="O1032" s="12" t="n">
        <x:f>养成消耗调参!$K$161</x:f>
        <x:v>2664</x:v>
      </x:c>
      <x:c r="P1032" s="12" t="n">
        <x:f>养成消耗调参!$N$161</x:f>
        <x:v>15750</x:v>
      </x:c>
      <x:c r="Q1032" s="12" t="n">
        <x:f>养成消耗调参!$P$161</x:f>
        <x:v>40</x:v>
      </x:c>
      <x:c r="R1032" s="13">
        <x:f>I1032/英雄升级调参!$J$79-1</x:f>
        <x:v>-0.00047909963480363693</x:v>
      </x:c>
      <x:c r="S1032" s="6"/>
      <x:c r="T1032" s="6"/>
      <x:c r="U1032" s="6"/>
    </x:row>
    <x:row r="1033" ht="21" customHeight="1">
      <x:c r="A1033" s="14" t="n">
        <x:f>英雄升级调参!$B$24</x:f>
        <x:v>310006</x:v>
      </x:c>
      <x:c r="B1033" s="14" t="str">
        <x:f>英雄升级调参!$C$24</x:f>
        <x:v>玛莫莉莉狮</x:v>
      </x:c>
      <x:c r="C1033" s="6" t="str">
        <x:f>英雄升级调参!$D$24</x:f>
        <x:v>战士</x:v>
      </x:c>
      <x:c r="D1033" s="6" t="s">
        <x:v>22</x:v>
      </x:c>
      <x:c r="E1033" s="6">
        <x:v>15</x:v>
      </x:c>
      <x:c r="F1033" s="6" t="n">
        <x:f>英雄升级调参!$C$80</x:f>
        <x:v>3</x:v>
      </x:c>
      <x:c r="G1033" s="12">
        <x:f t="shared" si="95"/>
        <x:v>1226</x:v>
      </x:c>
      <x:c r="H1033" s="12">
        <x:f t="shared" si="96"/>
        <x:v>8491</x:v>
      </x:c>
      <x:c r="I1033" s="12">
        <x:f t="shared" si="97"/>
        <x:v>10409966</x:v>
      </x:c>
      <x:c r="J1033" s="12">
        <x:f>ROUND(英雄升级调参!$D$80*英雄升级调参!$J$10*英雄升级调参!$E$24,0)*3</x:f>
        <x:v>195</x:v>
      </x:c>
      <x:c r="K1033" s="12">
        <x:f>ROUND(英雄升级调参!$D$80*英雄升级调参!$C$11*英雄升级调参!$J$10*英雄升级调参!$G$24,0)*3</x:f>
        <x:v>1350</x:v>
      </x:c>
      <x:c r="L1033" s="12" t="n">
        <x:f>养成消耗调参!$D$162</x:f>
        <x:v>432</x:v>
      </x:c>
      <x:c r="M1033" s="12" t="n">
        <x:f>养成消耗调参!$G$162</x:f>
        <x:v>2250</x:v>
      </x:c>
      <x:c r="N1033" s="12" t="n">
        <x:f>养成消耗调参!$I$162</x:f>
        <x:v>50</x:v>
      </x:c>
      <x:c r="O1033" s="12" t="n">
        <x:f>养成消耗调参!$K$162</x:f>
        <x:v>3096</x:v>
      </x:c>
      <x:c r="P1033" s="12" t="n">
        <x:f>养成消耗调参!$N$162</x:f>
        <x:v>18000</x:v>
      </x:c>
      <x:c r="Q1033" s="12" t="n">
        <x:f>养成消耗调参!$P$162</x:f>
        <x:v>90</x:v>
      </x:c>
      <x:c r="R1033" s="13">
        <x:f>I1033/英雄升级调参!$J$80-1</x:f>
        <x:v>8.607877552946341e-05</x:v>
      </x:c>
      <x:c r="S1033" s="6"/>
      <x:c r="T1033" s="6"/>
      <x:c r="U1033" s="6"/>
    </x:row>
    <x:row r="1034" ht="21" customHeight="1">
      <x:c r="A1034" s="14" t="n">
        <x:f>英雄升级调参!$B$24</x:f>
        <x:v>310006</x:v>
      </x:c>
      <x:c r="B1034" s="14" t="str">
        <x:f>英雄升级调参!$C$24</x:f>
        <x:v>玛莫莉莉狮</x:v>
      </x:c>
      <x:c r="C1034" s="6" t="str">
        <x:f>英雄升级调参!$D$24</x:f>
        <x:v>战士</x:v>
      </x:c>
      <x:c r="D1034" s="6" t="s">
        <x:v>22</x:v>
      </x:c>
      <x:c r="E1034" s="6">
        <x:v>16</x:v>
      </x:c>
      <x:c r="F1034" s="6" t="n">
        <x:f>英雄升级调参!$C$81</x:f>
        <x:v>4</x:v>
      </x:c>
      <x:c r="G1034" s="12">
        <x:f t="shared" si="95"/>
        <x:v>1307</x:v>
      </x:c>
      <x:c r="H1034" s="12">
        <x:f t="shared" si="96"/>
        <x:v>9054</x:v>
      </x:c>
      <x:c r="I1034" s="12">
        <x:f t="shared" si="97"/>
        <x:v>11833578</x:v>
      </x:c>
      <x:c r="J1034" s="12">
        <x:f>ROUND(英雄升级调参!$D$81*英雄升级调参!$J$10*英雄升级调参!$E$24,0)</x:f>
        <x:v>81</x:v>
      </x:c>
      <x:c r="K1034" s="12">
        <x:f>ROUND(英雄升级调参!$D$81*英雄升级调参!$C$11*英雄升级调参!$J$10*英雄升级调参!$G$24,0)</x:f>
        <x:v>563</x:v>
      </x:c>
      <x:c r="L1034" s="12" t="n">
        <x:f>养成消耗调参!$D$163</x:f>
        <x:v>504</x:v>
      </x:c>
      <x:c r="M1034" s="12" t="n">
        <x:f>养成消耗调参!$G$163</x:f>
        <x:v>2250</x:v>
      </x:c>
      <x:c r="N1034" s="12" t="n">
        <x:f>养成消耗调参!$I$163</x:f>
        <x:v>0</x:v>
      </x:c>
      <x:c r="O1034" s="12" t="n">
        <x:f>养成消耗调参!$K$163</x:f>
        <x:v>3600</x:v>
      </x:c>
      <x:c r="P1034" s="12" t="n">
        <x:f>养成消耗调参!$N$163</x:f>
        <x:v>20250</x:v>
      </x:c>
      <x:c r="Q1034" s="12" t="n">
        <x:f>养成消耗调参!$P$163</x:f>
        <x:v>90</x:v>
      </x:c>
      <x:c r="R1034" s="13">
        <x:f>I1034/英雄升级调参!$J$81-1</x:f>
        <x:v>-0.0003228749556490884</x:v>
      </x:c>
      <x:c r="S1034" s="6"/>
      <x:c r="T1034" s="6"/>
      <x:c r="U1034" s="6"/>
    </x:row>
    <x:row r="1035" ht="21" customHeight="1">
      <x:c r="A1035" s="14" t="n">
        <x:f>英雄升级调参!$B$24</x:f>
        <x:v>310006</x:v>
      </x:c>
      <x:c r="B1035" s="14" t="str">
        <x:f>英雄升级调参!$C$24</x:f>
        <x:v>玛莫莉莉狮</x:v>
      </x:c>
      <x:c r="C1035" s="6" t="str">
        <x:f>英雄升级调参!$D$24</x:f>
        <x:v>战士</x:v>
      </x:c>
      <x:c r="D1035" s="6" t="s">
        <x:v>22</x:v>
      </x:c>
      <x:c r="E1035" s="6">
        <x:v>17</x:v>
      </x:c>
      <x:c r="F1035" s="6" t="n">
        <x:f>英雄升级调参!$C$82</x:f>
        <x:v>4</x:v>
      </x:c>
      <x:c r="G1035" s="12">
        <x:f t="shared" si="95"/>
        <x:v>1388</x:v>
      </x:c>
      <x:c r="H1035" s="12">
        <x:f t="shared" si="96"/>
        <x:v>9617</x:v>
      </x:c>
      <x:c r="I1035" s="12">
        <x:f t="shared" si="97"/>
        <x:v>13348396</x:v>
      </x:c>
      <x:c r="J1035" s="12">
        <x:f>ROUND(英雄升级调参!$D$82*英雄升级调参!$J$10*英雄升级调参!$E$24,0)</x:f>
        <x:v>81</x:v>
      </x:c>
      <x:c r="K1035" s="12">
        <x:f>ROUND(英雄升级调参!$D$82*英雄升级调参!$C$11*英雄升级调参!$J$10*英雄升级调参!$G$24,0)</x:f>
        <x:v>563</x:v>
      </x:c>
      <x:c r="L1035" s="12" t="n">
        <x:f>养成消耗调参!$D$164</x:f>
        <x:v>504</x:v>
      </x:c>
      <x:c r="M1035" s="12" t="n">
        <x:f>养成消耗调参!$G$164</x:f>
        <x:v>3150</x:v>
      </x:c>
      <x:c r="N1035" s="12" t="n">
        <x:f>养成消耗调参!$I$164</x:f>
        <x:v>0</x:v>
      </x:c>
      <x:c r="O1035" s="12" t="n">
        <x:f>养成消耗调参!$K$164</x:f>
        <x:v>4104</x:v>
      </x:c>
      <x:c r="P1035" s="12" t="n">
        <x:f>养成消耗调参!$N$164</x:f>
        <x:v>23400</x:v>
      </x:c>
      <x:c r="Q1035" s="12" t="n">
        <x:f>养成消耗调参!$P$164</x:f>
        <x:v>90</x:v>
      </x:c>
      <x:c r="R1035" s="13">
        <x:f>I1035/英雄升级调参!$J$82-1</x:f>
        <x:v>-0.000683809057512863</x:v>
      </x:c>
      <x:c r="S1035" s="6"/>
      <x:c r="T1035" s="6"/>
      <x:c r="U1035" s="6"/>
    </x:row>
    <x:row r="1036" ht="21" customHeight="1">
      <x:c r="A1036" s="14" t="n">
        <x:f>英雄升级调参!$B$24</x:f>
        <x:v>310006</x:v>
      </x:c>
      <x:c r="B1036" s="14" t="str">
        <x:f>英雄升级调参!$C$24</x:f>
        <x:v>玛莫莉莉狮</x:v>
      </x:c>
      <x:c r="C1036" s="6" t="str">
        <x:f>英雄升级调参!$D$24</x:f>
        <x:v>战士</x:v>
      </x:c>
      <x:c r="D1036" s="6" t="s">
        <x:v>22</x:v>
      </x:c>
      <x:c r="E1036" s="6">
        <x:v>18</x:v>
      </x:c>
      <x:c r="F1036" s="6" t="n">
        <x:f>英雄升级调参!$C$83</x:f>
        <x:v>4</x:v>
      </x:c>
      <x:c r="G1036" s="12">
        <x:f t="shared" si="95"/>
        <x:v>1469</x:v>
      </x:c>
      <x:c r="H1036" s="12">
        <x:f t="shared" si="96"/>
        <x:v>10180</x:v>
      </x:c>
      <x:c r="I1036" s="12">
        <x:f t="shared" si="97"/>
        <x:v>14954420</x:v>
      </x:c>
      <x:c r="J1036" s="12">
        <x:f>ROUND(英雄升级调参!$D$83*英雄升级调参!$J$10*英雄升级调参!$E$24,0)</x:f>
        <x:v>81</x:v>
      </x:c>
      <x:c r="K1036" s="12">
        <x:f>ROUND(英雄升级调参!$D$83*英雄升级调参!$C$11*英雄升级调参!$J$10*英雄升级调参!$G$24,0)</x:f>
        <x:v>563</x:v>
      </x:c>
      <x:c r="L1036" s="12" t="n">
        <x:f>养成消耗调参!$D$165</x:f>
        <x:v>576</x:v>
      </x:c>
      <x:c r="M1036" s="12" t="n">
        <x:f>养成消耗调参!$G$165</x:f>
        <x:v>3150</x:v>
      </x:c>
      <x:c r="N1036" s="12" t="n">
        <x:f>养成消耗调参!$I$165</x:f>
        <x:v>0</x:v>
      </x:c>
      <x:c r="O1036" s="12" t="n">
        <x:f>养成消耗调参!$K$165</x:f>
        <x:v>4680</x:v>
      </x:c>
      <x:c r="P1036" s="12" t="n">
        <x:f>养成消耗调参!$N$165</x:f>
        <x:v>26550</x:v>
      </x:c>
      <x:c r="Q1036" s="12" t="n">
        <x:f>养成消耗调参!$P$165</x:f>
        <x:v>90</x:v>
      </x:c>
      <x:c r="R1036" s="13">
        <x:f>I1036/英雄升级调参!$J$83-1</x:f>
        <x:v>-0.0010047122608297654</x:v>
      </x:c>
      <x:c r="S1036" s="6"/>
      <x:c r="T1036" s="6"/>
      <x:c r="U1036" s="6"/>
    </x:row>
    <x:row r="1037" ht="21" customHeight="1">
      <x:c r="A1037" s="14" t="n">
        <x:f>英雄升级调参!$B$24</x:f>
        <x:v>310006</x:v>
      </x:c>
      <x:c r="B1037" s="14" t="str">
        <x:f>英雄升级调参!$C$24</x:f>
        <x:v>玛莫莉莉狮</x:v>
      </x:c>
      <x:c r="C1037" s="6" t="str">
        <x:f>英雄升级调参!$D$24</x:f>
        <x:v>战士</x:v>
      </x:c>
      <x:c r="D1037" s="6" t="s">
        <x:v>22</x:v>
      </x:c>
      <x:c r="E1037" s="6">
        <x:v>19</x:v>
      </x:c>
      <x:c r="F1037" s="6" t="n">
        <x:f>英雄升级调参!$C$84</x:f>
        <x:v>4</x:v>
      </x:c>
      <x:c r="G1037" s="12">
        <x:f t="shared" si="95"/>
        <x:v>1550</x:v>
      </x:c>
      <x:c r="H1037" s="12">
        <x:f t="shared" si="96"/>
        <x:v>10743</x:v>
      </x:c>
      <x:c r="I1037" s="12">
        <x:f t="shared" si="97"/>
        <x:v>16651650</x:v>
      </x:c>
      <x:c r="J1037" s="12">
        <x:f>ROUND(英雄升级调参!$D$84*英雄升级调参!$J$10*英雄升级调参!$E$24,0)</x:f>
        <x:v>81</x:v>
      </x:c>
      <x:c r="K1037" s="12">
        <x:f>ROUND(英雄升级调参!$D$84*英雄升级调参!$C$11*英雄升级调参!$J$10*英雄升级调参!$G$24,0)</x:f>
        <x:v>563</x:v>
      </x:c>
      <x:c r="L1037" s="12" t="n">
        <x:f>养成消耗调参!$D$166</x:f>
        <x:v>576</x:v>
      </x:c>
      <x:c r="M1037" s="12" t="n">
        <x:f>养成消耗调参!$G$166</x:f>
        <x:v>3150</x:v>
      </x:c>
      <x:c r="N1037" s="12" t="n">
        <x:f>养成消耗调参!$I$166</x:f>
        <x:v>0</x:v>
      </x:c>
      <x:c r="O1037" s="12" t="n">
        <x:f>养成消耗调参!$K$166</x:f>
        <x:v>5256</x:v>
      </x:c>
      <x:c r="P1037" s="12" t="n">
        <x:f>养成消耗调参!$N$166</x:f>
        <x:v>29700</x:v>
      </x:c>
      <x:c r="Q1037" s="12" t="n">
        <x:f>养成消耗调参!$P$166</x:f>
        <x:v>90</x:v>
      </x:c>
      <x:c r="R1037" s="13">
        <x:f>I1037/英雄升级调参!$J$84-1</x:f>
        <x:v>-0.0012918943525503934</x:v>
      </x:c>
      <x:c r="S1037" s="6"/>
      <x:c r="T1037" s="6"/>
      <x:c r="U1037" s="6"/>
    </x:row>
    <x:row r="1038" ht="21" customHeight="1">
      <x:c r="A1038" s="14" t="n">
        <x:f>英雄升级调参!$B$24</x:f>
        <x:v>310006</x:v>
      </x:c>
      <x:c r="B1038" s="14" t="str">
        <x:f>英雄升级调参!$C$24</x:f>
        <x:v>玛莫莉莉狮</x:v>
      </x:c>
      <x:c r="C1038" s="6" t="str">
        <x:f>英雄升级调参!$D$24</x:f>
        <x:v>战士</x:v>
      </x:c>
      <x:c r="D1038" s="6" t="s">
        <x:v>22</x:v>
      </x:c>
      <x:c r="E1038" s="6">
        <x:v>20</x:v>
      </x:c>
      <x:c r="F1038" s="6" t="n">
        <x:f>英雄升级调参!$C$85</x:f>
        <x:v>4</x:v>
      </x:c>
      <x:c r="G1038" s="12">
        <x:f t="shared" si="95"/>
        <x:v>1793</x:v>
      </x:c>
      <x:c r="H1038" s="12">
        <x:f t="shared" si="96"/>
        <x:v>12432</x:v>
      </x:c>
      <x:c r="I1038" s="12">
        <x:f t="shared" si="97"/>
        <x:v>22290576</x:v>
      </x:c>
      <x:c r="J1038" s="12">
        <x:f>ROUND(英雄升级调参!$D$85*英雄升级调参!$J$10*英雄升级调参!$E$24,0)*3</x:f>
        <x:v>243</x:v>
      </x:c>
      <x:c r="K1038" s="12">
        <x:f>ROUND(英雄升级调参!$D$85*英雄升级调参!$C$11*英雄升级调参!$J$10*英雄升级调参!$G$24,0)*3</x:f>
        <x:v>1689</x:v>
      </x:c>
      <x:c r="L1038" s="12" t="n">
        <x:f>养成消耗调参!$D$167</x:f>
        <x:v>648</x:v>
      </x:c>
      <x:c r="M1038" s="12" t="n">
        <x:f>养成消耗调参!$G$167</x:f>
        <x:v>3150</x:v>
      </x:c>
      <x:c r="N1038" s="12" t="n">
        <x:f>养成消耗调参!$I$167</x:f>
        <x:v>70</x:v>
      </x:c>
      <x:c r="O1038" s="12" t="n">
        <x:f>养成消耗调参!$K$167</x:f>
        <x:v>5904</x:v>
      </x:c>
      <x:c r="P1038" s="12" t="n">
        <x:f>养成消耗调参!$N$167</x:f>
        <x:v>32850</x:v>
      </x:c>
      <x:c r="Q1038" s="12" t="n">
        <x:f>养成消耗调参!$P$167</x:f>
        <x:v>160</x:v>
      </x:c>
      <x:c r="R1038" s="13">
        <x:f>I1038/英雄升级调参!$J$85-1</x:f>
        <x:v>-0.0019970289023862886</x:v>
      </x:c>
      <x:c r="S1038" s="6"/>
      <x:c r="T1038" s="6"/>
      <x:c r="U1038" s="6"/>
    </x:row>
    <x:row r="1039" ht="21" customHeight="1">
      <x:c r="A1039" s="14" t="n">
        <x:f>英雄升级调参!$B$24</x:f>
        <x:v>310006</x:v>
      </x:c>
      <x:c r="B1039" s="14" t="str">
        <x:f>英雄升级调参!$C$24</x:f>
        <x:v>玛莫莉莉狮</x:v>
      </x:c>
      <x:c r="C1039" s="6" t="str">
        <x:f>英雄升级调参!$D$24</x:f>
        <x:v>战士</x:v>
      </x:c>
      <x:c r="D1039" s="6" t="s">
        <x:v>22</x:v>
      </x:c>
      <x:c r="E1039" s="6">
        <x:v>21</x:v>
      </x:c>
      <x:c r="F1039" s="6" t="n">
        <x:f>英雄升级调参!$C$86</x:f>
        <x:v>5</x:v>
      </x:c>
      <x:c r="G1039" s="12">
        <x:f t="shared" si="95"/>
        <x:v>1890</x:v>
      </x:c>
      <x:c r="H1039" s="12">
        <x:f t="shared" si="96"/>
        <x:v>13107</x:v>
      </x:c>
      <x:c r="I1039" s="12">
        <x:f t="shared" si="97"/>
        <x:v>24772230</x:v>
      </x:c>
      <x:c r="J1039" s="12">
        <x:f>ROUND(英雄升级调参!$D$86*英雄升级调参!$J$10*英雄升级调参!$E$24,0)</x:f>
        <x:v>97</x:v>
      </x:c>
      <x:c r="K1039" s="12">
        <x:f>ROUND(英雄升级调参!$D$86*英雄升级调参!$C$11*英雄升级调参!$J$10*英雄升级调参!$G$24,0)</x:f>
        <x:v>675</x:v>
      </x:c>
      <x:c r="L1039" s="12" t="n">
        <x:f>养成消耗调参!$D$168</x:f>
        <x:v>648</x:v>
      </x:c>
      <x:c r="M1039" s="12" t="n">
        <x:f>养成消耗调参!$G$168</x:f>
        <x:v>3150</x:v>
      </x:c>
      <x:c r="N1039" s="12" t="n">
        <x:f>养成消耗调参!$I$168</x:f>
        <x:v>0</x:v>
      </x:c>
      <x:c r="O1039" s="12" t="n">
        <x:f>养成消耗调参!$K$168</x:f>
        <x:v>6552</x:v>
      </x:c>
      <x:c r="P1039" s="12" t="n">
        <x:f>养成消耗调参!$N$168</x:f>
        <x:v>36000</x:v>
      </x:c>
      <x:c r="Q1039" s="12" t="n">
        <x:f>养成消耗调参!$P$168</x:f>
        <x:v>160</x:v>
      </x:c>
      <x:c r="R1039" s="13">
        <x:f>I1039/英雄升级调参!$J$86-1</x:f>
        <x:v>-0.002000251391111374</x:v>
      </x:c>
      <x:c r="S1039" s="6"/>
      <x:c r="T1039" s="6"/>
      <x:c r="U1039" s="6"/>
    </x:row>
    <x:row r="1040" ht="21" customHeight="1">
      <x:c r="A1040" s="14" t="n">
        <x:f>英雄升级调参!$B$24</x:f>
        <x:v>310006</x:v>
      </x:c>
      <x:c r="B1040" s="14" t="str">
        <x:f>英雄升级调参!$C$24</x:f>
        <x:v>玛莫莉莉狮</x:v>
      </x:c>
      <x:c r="C1040" s="6" t="str">
        <x:f>英雄升级调参!$D$24</x:f>
        <x:v>战士</x:v>
      </x:c>
      <x:c r="D1040" s="6" t="s">
        <x:v>22</x:v>
      </x:c>
      <x:c r="E1040" s="6">
        <x:v>22</x:v>
      </x:c>
      <x:c r="F1040" s="6" t="n">
        <x:f>英雄升级调参!$C$87</x:f>
        <x:v>5</x:v>
      </x:c>
      <x:c r="G1040" s="12">
        <x:f t="shared" si="95"/>
        <x:v>1987</x:v>
      </x:c>
      <x:c r="H1040" s="12">
        <x:f t="shared" si="96"/>
        <x:v>13782</x:v>
      </x:c>
      <x:c r="I1040" s="12">
        <x:f t="shared" si="97"/>
        <x:v>27384834</x:v>
      </x:c>
      <x:c r="J1040" s="12">
        <x:f>ROUND(英雄升级调参!$D$87*英雄升级调参!$J$10*英雄升级调参!$E$24,0)</x:f>
        <x:v>97</x:v>
      </x:c>
      <x:c r="K1040" s="12">
        <x:f>ROUND(英雄升级调参!$D$87*英雄升级调参!$C$11*英雄升级调参!$J$10*英雄升级调参!$G$24,0)</x:f>
        <x:v>675</x:v>
      </x:c>
      <x:c r="L1040" s="12" t="n">
        <x:f>养成消耗调参!$D$169</x:f>
        <x:v>720</x:v>
      </x:c>
      <x:c r="M1040" s="12" t="n">
        <x:f>养成消耗调参!$G$169</x:f>
        <x:v>4500</x:v>
      </x:c>
      <x:c r="N1040" s="12" t="n">
        <x:f>养成消耗调参!$I$169</x:f>
        <x:v>0</x:v>
      </x:c>
      <x:c r="O1040" s="12" t="n">
        <x:f>养成消耗调参!$K$169</x:f>
        <x:v>7272</x:v>
      </x:c>
      <x:c r="P1040" s="12" t="n">
        <x:f>养成消耗调参!$N$169</x:f>
        <x:v>40500</x:v>
      </x:c>
      <x:c r="Q1040" s="12" t="n">
        <x:f>养成消耗调参!$P$169</x:f>
        <x:v>160</x:v>
      </x:c>
      <x:c r="R1040" s="13">
        <x:f>I1040/英雄升级调参!$J$87-1</x:f>
        <x:v>-0.002003148710996383</x:v>
      </x:c>
      <x:c r="S1040" s="6"/>
      <x:c r="T1040" s="6"/>
      <x:c r="U1040" s="6"/>
    </x:row>
    <x:row r="1041" ht="21" customHeight="1">
      <x:c r="A1041" s="14" t="n">
        <x:f>英雄升级调参!$B$24</x:f>
        <x:v>310006</x:v>
      </x:c>
      <x:c r="B1041" s="14" t="str">
        <x:f>英雄升级调参!$C$24</x:f>
        <x:v>玛莫莉莉狮</x:v>
      </x:c>
      <x:c r="C1041" s="6" t="str">
        <x:f>英雄升级调参!$D$24</x:f>
        <x:v>战士</x:v>
      </x:c>
      <x:c r="D1041" s="6" t="s">
        <x:v>22</x:v>
      </x:c>
      <x:c r="E1041" s="6">
        <x:v>23</x:v>
      </x:c>
      <x:c r="F1041" s="6" t="n">
        <x:f>英雄升级调参!$C$88</x:f>
        <x:v>5</x:v>
      </x:c>
      <x:c r="G1041" s="12">
        <x:f t="shared" si="95"/>
        <x:v>2084</x:v>
      </x:c>
      <x:c r="H1041" s="12">
        <x:f t="shared" si="96"/>
        <x:v>14457</x:v>
      </x:c>
      <x:c r="I1041" s="12">
        <x:f t="shared" si="97"/>
        <x:v>30128388</x:v>
      </x:c>
      <x:c r="J1041" s="12">
        <x:f>ROUND(英雄升级调参!$D$88*英雄升级调参!$J$10*英雄升级调参!$E$24,0)</x:f>
        <x:v>97</x:v>
      </x:c>
      <x:c r="K1041" s="12">
        <x:f>ROUND(英雄升级调参!$D$88*英雄升级调参!$C$11*英雄升级调参!$J$10*英雄升级调参!$G$24,0)</x:f>
        <x:v>675</x:v>
      </x:c>
      <x:c r="L1041" s="12" t="n">
        <x:f>养成消耗调参!$D$170</x:f>
        <x:v>720</x:v>
      </x:c>
      <x:c r="M1041" s="12" t="n">
        <x:f>养成消耗调参!$G$170</x:f>
        <x:v>4500</x:v>
      </x:c>
      <x:c r="N1041" s="12" t="n">
        <x:f>养成消耗调参!$I$170</x:f>
        <x:v>0</x:v>
      </x:c>
      <x:c r="O1041" s="12" t="n">
        <x:f>养成消耗调参!$K$170</x:f>
        <x:v>7992</x:v>
      </x:c>
      <x:c r="P1041" s="12" t="n">
        <x:f>养成消耗调参!$N$170</x:f>
        <x:v>45000</x:v>
      </x:c>
      <x:c r="Q1041" s="12" t="n">
        <x:f>养成消耗调参!$P$170</x:f>
        <x:v>160</x:v>
      </x:c>
      <x:c r="R1041" s="13">
        <x:f>I1041/英雄升级调参!$J$88-1</x:f>
        <x:v>-0.00200576767518168</x:v>
      </x:c>
      <x:c r="S1041" s="6"/>
      <x:c r="T1041" s="6"/>
      <x:c r="U1041" s="6"/>
    </x:row>
    <x:row r="1042" ht="21" customHeight="1">
      <x:c r="A1042" s="14" t="n">
        <x:f>英雄升级调参!$B$24</x:f>
        <x:v>310006</x:v>
      </x:c>
      <x:c r="B1042" s="14" t="str">
        <x:f>英雄升级调参!$C$24</x:f>
        <x:v>玛莫莉莉狮</x:v>
      </x:c>
      <x:c r="C1042" s="6" t="str">
        <x:f>英雄升级调参!$D$24</x:f>
        <x:v>战士</x:v>
      </x:c>
      <x:c r="D1042" s="6" t="s">
        <x:v>22</x:v>
      </x:c>
      <x:c r="E1042" s="6">
        <x:v>24</x:v>
      </x:c>
      <x:c r="F1042" s="6" t="n">
        <x:f>英雄升级调参!$C$89</x:f>
        <x:v>5</x:v>
      </x:c>
      <x:c r="G1042" s="12">
        <x:f t="shared" si="95"/>
        <x:v>2181</x:v>
      </x:c>
      <x:c r="H1042" s="12">
        <x:f t="shared" si="96"/>
        <x:v>15132</x:v>
      </x:c>
      <x:c r="I1042" s="12">
        <x:f t="shared" si="97"/>
        <x:v>33002892</x:v>
      </x:c>
      <x:c r="J1042" s="12">
        <x:f>ROUND(英雄升级调参!$D$89*英雄升级调参!$J$10*英雄升级调参!$E$24,0)</x:f>
        <x:v>97</x:v>
      </x:c>
      <x:c r="K1042" s="12">
        <x:f>ROUND(英雄升级调参!$D$89*英雄升级调参!$C$11*英雄升级调参!$J$10*英雄升级调参!$G$24,0)</x:f>
        <x:v>675</x:v>
      </x:c>
      <x:c r="L1042" s="12" t="n">
        <x:f>养成消耗调参!$D$171</x:f>
        <x:v>792</x:v>
      </x:c>
      <x:c r="M1042" s="12" t="n">
        <x:f>养成消耗调参!$G$171</x:f>
        <x:v>4500</x:v>
      </x:c>
      <x:c r="N1042" s="12" t="n">
        <x:f>养成消耗调参!$I$171</x:f>
        <x:v>0</x:v>
      </x:c>
      <x:c r="O1042" s="12" t="n">
        <x:f>养成消耗调参!$K$171</x:f>
        <x:v>8784</x:v>
      </x:c>
      <x:c r="P1042" s="12" t="n">
        <x:f>养成消耗调参!$N$171</x:f>
        <x:v>49500</x:v>
      </x:c>
      <x:c r="Q1042" s="12" t="n">
        <x:f>养成消耗调参!$P$171</x:f>
        <x:v>160</x:v>
      </x:c>
      <x:c r="R1042" s="13">
        <x:f>I1042/英雄升级调参!$J$89-1</x:f>
        <x:v>-0.002008146528653443</x:v>
      </x:c>
      <x:c r="S1042" s="6"/>
      <x:c r="T1042" s="6"/>
      <x:c r="U1042" s="6"/>
    </x:row>
    <x:row r="1043" ht="21" customHeight="1">
      <x:c r="A1043" s="14" t="n">
        <x:f>英雄升级调参!$B$24</x:f>
        <x:v>310006</x:v>
      </x:c>
      <x:c r="B1043" s="14" t="str">
        <x:f>英雄升级调参!$C$24</x:f>
        <x:v>玛莫莉莉狮</x:v>
      </x:c>
      <x:c r="C1043" s="6" t="str">
        <x:f>英雄升级调参!$D$24</x:f>
        <x:v>战士</x:v>
      </x:c>
      <x:c r="D1043" s="6" t="s">
        <x:v>22</x:v>
      </x:c>
      <x:c r="E1043" s="6">
        <x:v>25</x:v>
      </x:c>
      <x:c r="F1043" s="6" t="n">
        <x:f>英雄升级调参!$C$90</x:f>
        <x:v>5</x:v>
      </x:c>
      <x:c r="G1043" s="12">
        <x:f t="shared" si="95"/>
        <x:v>2472</x:v>
      </x:c>
      <x:c r="H1043" s="12">
        <x:f t="shared" si="96"/>
        <x:v>17157</x:v>
      </x:c>
      <x:c r="I1043" s="12">
        <x:f t="shared" si="97"/>
        <x:v>42412104</x:v>
      </x:c>
      <x:c r="J1043" s="12">
        <x:f>ROUND(英雄升级调参!$D$90*英雄升级调参!$J$10*英雄升级调参!$E$24,0)*3</x:f>
        <x:v>291</x:v>
      </x:c>
      <x:c r="K1043" s="12">
        <x:f>ROUND(英雄升级调参!$D$90*英雄升级调参!$C$11*英雄升级调参!$J$10*英雄升级调参!$G$24,0)*3</x:f>
        <x:v>2025</x:v>
      </x:c>
      <x:c r="L1043" s="12" t="n">
        <x:f>养成消耗调参!$D$172</x:f>
        <x:v>792</x:v>
      </x:c>
      <x:c r="M1043" s="12" t="n">
        <x:f>养成消耗调参!$G$172</x:f>
        <x:v>4500</x:v>
      </x:c>
      <x:c r="N1043" s="12" t="n">
        <x:f>养成消耗调参!$I$172</x:f>
        <x:v>90</x:v>
      </x:c>
      <x:c r="O1043" s="12" t="n">
        <x:f>养成消耗调参!$K$172</x:f>
        <x:v>9576</x:v>
      </x:c>
      <x:c r="P1043" s="12" t="n">
        <x:f>养成消耗调参!$N$172</x:f>
        <x:v>54000</x:v>
      </x:c>
      <x:c r="Q1043" s="12" t="n">
        <x:f>养成消耗调参!$P$172</x:f>
        <x:v>250</x:v>
      </x:c>
      <x:c r="R1043" s="13">
        <x:f>I1043/英雄升级调参!$J$90-1</x:f>
        <x:v>-0.0020141325295250923</x:v>
      </x:c>
      <x:c r="S1043" s="6"/>
      <x:c r="T1043" s="6"/>
      <x:c r="U1043" s="6"/>
    </x:row>
    <x:row r="1044" ht="21" customHeight="1">
      <x:c r="A1044" s="14" t="n">
        <x:f>英雄升级调参!$B$24</x:f>
        <x:v>310006</x:v>
      </x:c>
      <x:c r="B1044" s="14" t="str">
        <x:f>英雄升级调参!$C$24</x:f>
        <x:v>玛莫莉莉狮</x:v>
      </x:c>
      <x:c r="C1044" s="6" t="str">
        <x:f>英雄升级调参!$D$24</x:f>
        <x:v>战士</x:v>
      </x:c>
      <x:c r="D1044" s="6" t="s">
        <x:v>22</x:v>
      </x:c>
      <x:c r="E1044" s="6">
        <x:v>26</x:v>
      </x:c>
      <x:c r="F1044" s="6" t="n">
        <x:f>英雄升级调参!$C$91</x:f>
        <x:v>6</x:v>
      </x:c>
      <x:c r="G1044" s="12">
        <x:f t="shared" si="95"/>
        <x:v>2585</x:v>
      </x:c>
      <x:c r="H1044" s="12">
        <x:f t="shared" si="96"/>
        <x:v>17945</x:v>
      </x:c>
      <x:c r="I1044" s="12">
        <x:f t="shared" si="97"/>
        <x:v>46387825</x:v>
      </x:c>
      <x:c r="J1044" s="12">
        <x:f>ROUND(英雄升级调参!$D$91*英雄升级调参!$J$10*英雄升级调参!$E$24,0)</x:f>
        <x:v>113</x:v>
      </x:c>
      <x:c r="K1044" s="12">
        <x:f>ROUND(英雄升级调参!$D$91*英雄升级调参!$C$11*英雄升级调参!$J$10*英雄升级调参!$G$24,0)</x:f>
        <x:v>788</x:v>
      </x:c>
      <x:c r="L1044" s="12" t="n">
        <x:f>养成消耗调参!$D$173</x:f>
        <x:v>864</x:v>
      </x:c>
      <x:c r="M1044" s="12" t="n">
        <x:f>养成消耗调参!$G$173</x:f>
        <x:v>4500</x:v>
      </x:c>
      <x:c r="N1044" s="12" t="n">
        <x:f>养成消耗调参!$I$173</x:f>
        <x:v>0</x:v>
      </x:c>
      <x:c r="O1044" s="12" t="n">
        <x:f>养成消耗调参!$K$173</x:f>
        <x:v>10440</x:v>
      </x:c>
      <x:c r="P1044" s="12" t="n">
        <x:f>养成消耗调参!$N$173</x:f>
        <x:v>58500</x:v>
      </x:c>
      <x:c r="Q1044" s="12" t="n">
        <x:f>养成消耗调参!$P$173</x:f>
        <x:v>250</x:v>
      </x:c>
      <x:c r="R1044" s="13">
        <x:f>I1044/英雄升级调参!$J$91-1</x:f>
        <x:v>-0.00228362799501014</x:v>
      </x:c>
      <x:c r="S1044" s="6"/>
      <x:c r="T1044" s="6"/>
      <x:c r="U1044" s="6"/>
    </x:row>
    <x:row r="1045" ht="21" customHeight="1">
      <x:c r="A1045" s="14" t="n">
        <x:f>英雄升级调参!$B$24</x:f>
        <x:v>310006</x:v>
      </x:c>
      <x:c r="B1045" s="14" t="str">
        <x:f>英雄升级调参!$C$24</x:f>
        <x:v>玛莫莉莉狮</x:v>
      </x:c>
      <x:c r="C1045" s="6" t="str">
        <x:f>英雄升级调参!$D$24</x:f>
        <x:v>战士</x:v>
      </x:c>
      <x:c r="D1045" s="6" t="s">
        <x:v>22</x:v>
      </x:c>
      <x:c r="E1045" s="6">
        <x:v>27</x:v>
      </x:c>
      <x:c r="F1045" s="6" t="n">
        <x:f>英雄升级调参!$C$92</x:f>
        <x:v>6</x:v>
      </x:c>
      <x:c r="G1045" s="12">
        <x:f t="shared" si="95"/>
        <x:v>2698</x:v>
      </x:c>
      <x:c r="H1045" s="12">
        <x:f t="shared" si="96"/>
        <x:v>18733</x:v>
      </x:c>
      <x:c r="I1045" s="12">
        <x:f t="shared" si="97"/>
        <x:v>50541634</x:v>
      </x:c>
      <x:c r="J1045" s="12">
        <x:f>ROUND(英雄升级调参!$D$92*英雄升级调参!$J$10*英雄升级调参!$E$24,0)</x:f>
        <x:v>113</x:v>
      </x:c>
      <x:c r="K1045" s="12">
        <x:f>ROUND(英雄升级调参!$D$92*英雄升级调参!$C$11*英雄升级调参!$J$10*英雄升级调参!$G$24,0)</x:f>
        <x:v>788</x:v>
      </x:c>
      <x:c r="L1045" s="12" t="n">
        <x:f>养成消耗调参!$D$174</x:f>
        <x:v>864</x:v>
      </x:c>
      <x:c r="M1045" s="12" t="n">
        <x:f>养成消耗调参!$G$174</x:f>
        <x:v>5850</x:v>
      </x:c>
      <x:c r="N1045" s="12" t="n">
        <x:f>养成消耗调参!$I$174</x:f>
        <x:v>0</x:v>
      </x:c>
      <x:c r="O1045" s="12" t="n">
        <x:f>养成消耗调参!$K$174</x:f>
        <x:v>11304</x:v>
      </x:c>
      <x:c r="P1045" s="12" t="n">
        <x:f>养成消耗调参!$N$174</x:f>
        <x:v>64350</x:v>
      </x:c>
      <x:c r="Q1045" s="12" t="n">
        <x:f>养成消耗调参!$P$174</x:f>
        <x:v>250</x:v>
      </x:c>
      <x:c r="R1045" s="13">
        <x:f>I1045/英雄升级调参!$J$92-1</x:f>
        <x:v>-0.0025304199637457003</x:v>
      </x:c>
      <x:c r="S1045" s="6"/>
      <x:c r="T1045" s="6"/>
      <x:c r="U1045" s="6"/>
    </x:row>
    <x:row r="1046" ht="21" customHeight="1">
      <x:c r="A1046" s="14" t="n">
        <x:f>英雄升级调参!$B$24</x:f>
        <x:v>310006</x:v>
      </x:c>
      <x:c r="B1046" s="14" t="str">
        <x:f>英雄升级调参!$C$24</x:f>
        <x:v>玛莫莉莉狮</x:v>
      </x:c>
      <x:c r="C1046" s="6" t="str">
        <x:f>英雄升级调参!$D$24</x:f>
        <x:v>战士</x:v>
      </x:c>
      <x:c r="D1046" s="6" t="s">
        <x:v>22</x:v>
      </x:c>
      <x:c r="E1046" s="6">
        <x:v>28</x:v>
      </x:c>
      <x:c r="F1046" s="6" t="n">
        <x:f>英雄升级调参!$C$93</x:f>
        <x:v>6</x:v>
      </x:c>
      <x:c r="G1046" s="12">
        <x:f t="shared" si="95"/>
        <x:v>2811</x:v>
      </x:c>
      <x:c r="H1046" s="12">
        <x:f t="shared" si="96"/>
        <x:v>19521</x:v>
      </x:c>
      <x:c r="I1046" s="12">
        <x:f t="shared" si="97"/>
        <x:v>54873531</x:v>
      </x:c>
      <x:c r="J1046" s="12">
        <x:f>ROUND(英雄升级调参!$D$93*英雄升级调参!$J$10*英雄升级调参!$E$24,0)</x:f>
        <x:v>113</x:v>
      </x:c>
      <x:c r="K1046" s="12">
        <x:f>ROUND(英雄升级调参!$D$93*英雄升级调参!$C$11*英雄升级调参!$J$10*英雄升级调参!$G$24,0)</x:f>
        <x:v>788</x:v>
      </x:c>
      <x:c r="L1046" s="12" t="n">
        <x:f>养成消耗调参!$D$175</x:f>
        <x:v>936</x:v>
      </x:c>
      <x:c r="M1046" s="12" t="n">
        <x:f>养成消耗调参!$G$175</x:f>
        <x:v>5850</x:v>
      </x:c>
      <x:c r="N1046" s="12" t="n">
        <x:f>养成消耗调参!$I$175</x:f>
        <x:v>0</x:v>
      </x:c>
      <x:c r="O1046" s="12" t="n">
        <x:f>养成消耗调参!$K$175</x:f>
        <x:v>12240</x:v>
      </x:c>
      <x:c r="P1046" s="12" t="n">
        <x:f>养成消耗调参!$N$175</x:f>
        <x:v>70200</x:v>
      </x:c>
      <x:c r="Q1046" s="12" t="n">
        <x:f>养成消耗调参!$P$175</x:f>
        <x:v>250</x:v>
      </x:c>
      <x:c r="R1046" s="13">
        <x:f>I1046/英雄升级调参!$J$93-1</x:f>
        <x:v>-0.0027572614390666272</x:v>
      </x:c>
      <x:c r="S1046" s="6"/>
      <x:c r="T1046" s="6"/>
      <x:c r="U1046" s="6"/>
    </x:row>
    <x:row r="1047" ht="21" customHeight="1">
      <x:c r="A1047" s="14" t="n">
        <x:f>英雄升级调参!$B$24</x:f>
        <x:v>310006</x:v>
      </x:c>
      <x:c r="B1047" s="14" t="str">
        <x:f>英雄升级调参!$C$24</x:f>
        <x:v>玛莫莉莉狮</x:v>
      </x:c>
      <x:c r="C1047" s="6" t="str">
        <x:f>英雄升级调参!$D$24</x:f>
        <x:v>战士</x:v>
      </x:c>
      <x:c r="D1047" s="6" t="s">
        <x:v>22</x:v>
      </x:c>
      <x:c r="E1047" s="6">
        <x:v>29</x:v>
      </x:c>
      <x:c r="F1047" s="6" t="n">
        <x:f>英雄升级调参!$C$94</x:f>
        <x:v>6</x:v>
      </x:c>
      <x:c r="G1047" s="12">
        <x:f t="shared" si="95"/>
        <x:v>2924</x:v>
      </x:c>
      <x:c r="H1047" s="12">
        <x:f t="shared" si="96"/>
        <x:v>20309</x:v>
      </x:c>
      <x:c r="I1047" s="12">
        <x:f t="shared" si="97"/>
        <x:v>59383516</x:v>
      </x:c>
      <x:c r="J1047" s="12">
        <x:f>ROUND(英雄升级调参!$D$94*英雄升级调参!$J$10*英雄升级调参!$E$24,0)</x:f>
        <x:v>113</x:v>
      </x:c>
      <x:c r="K1047" s="12">
        <x:f>ROUND(英雄升级调参!$D$94*英雄升级调参!$C$11*英雄升级调参!$J$10*英雄升级调参!$G$24,0)</x:f>
        <x:v>788</x:v>
      </x:c>
      <x:c r="L1047" s="12" t="n">
        <x:f>养成消耗调参!$D$176</x:f>
        <x:v>936</x:v>
      </x:c>
      <x:c r="M1047" s="12" t="n">
        <x:f>养成消耗调参!$G$176</x:f>
        <x:v>5850</x:v>
      </x:c>
      <x:c r="N1047" s="12" t="n">
        <x:f>养成消耗调参!$I$176</x:f>
        <x:v>0</x:v>
      </x:c>
      <x:c r="O1047" s="12" t="n">
        <x:f>养成消耗调参!$K$176</x:f>
        <x:v>13176</x:v>
      </x:c>
      <x:c r="P1047" s="12" t="n">
        <x:f>养成消耗调参!$N$176</x:f>
        <x:v>76050</x:v>
      </x:c>
      <x:c r="Q1047" s="12" t="n">
        <x:f>养成消耗调参!$P$176</x:f>
        <x:v>250</x:v>
      </x:c>
      <x:c r="R1047" s="13">
        <x:f>I1047/英雄升级调参!$J$94-1</x:f>
        <x:v>-0.0029664776142457328</x:v>
      </x:c>
      <x:c r="S1047" s="6"/>
      <x:c r="T1047" s="6"/>
      <x:c r="U1047" s="6"/>
    </x:row>
    <x:row r="1048" ht="21" customHeight="1">
      <x:c r="A1048" s="14" t="n">
        <x:f>英雄升级调参!$B$24</x:f>
        <x:v>310006</x:v>
      </x:c>
      <x:c r="B1048" s="14" t="str">
        <x:f>英雄升级调参!$C$24</x:f>
        <x:v>玛莫莉莉狮</x:v>
      </x:c>
      <x:c r="C1048" s="6" t="str">
        <x:f>英雄升级调参!$D$24</x:f>
        <x:v>战士</x:v>
      </x:c>
      <x:c r="D1048" s="6" t="s">
        <x:v>22</x:v>
      </x:c>
      <x:c r="E1048" s="6">
        <x:v>30</x:v>
      </x:c>
      <x:c r="F1048" s="6" t="n">
        <x:f>英雄升级调参!$C$95</x:f>
        <x:v>6</x:v>
      </x:c>
      <x:c r="G1048" s="12">
        <x:f t="shared" si="95"/>
        <x:v>3263</x:v>
      </x:c>
      <x:c r="H1048" s="12">
        <x:f t="shared" si="96"/>
        <x:v>22673</x:v>
      </x:c>
      <x:c r="I1048" s="12">
        <x:f t="shared" si="97"/>
        <x:v>73981999</x:v>
      </x:c>
      <x:c r="J1048" s="12">
        <x:f>ROUND(英雄升级调参!$D$95*英雄升级调参!$J$10*英雄升级调参!$E$24,0)*3</x:f>
        <x:v>339</x:v>
      </x:c>
      <x:c r="K1048" s="12">
        <x:f>ROUND(英雄升级调参!$D$95*英雄升级调参!$C$11*英雄升级调参!$J$10*英雄升级调参!$G$24,0)*3</x:f>
        <x:v>2364</x:v>
      </x:c>
      <x:c r="L1048" s="12" t="n">
        <x:f>养成消耗调参!$D$177</x:f>
        <x:v>1008</x:v>
      </x:c>
      <x:c r="M1048" s="12" t="n">
        <x:f>养成消耗调参!$G$177</x:f>
        <x:v>5850</x:v>
      </x:c>
      <x:c r="N1048" s="12" t="n">
        <x:f>养成消耗调参!$I$177</x:f>
        <x:v>110</x:v>
      </x:c>
      <x:c r="O1048" s="12" t="n">
        <x:f>养成消耗调参!$K$177</x:f>
        <x:v>14184</x:v>
      </x:c>
      <x:c r="P1048" s="12" t="n">
        <x:f>养成消耗调参!$N$177</x:f>
        <x:v>81900</x:v>
      </x:c>
      <x:c r="Q1048" s="12" t="n">
        <x:f>养成消耗调参!$P$177</x:f>
        <x:v>360</x:v>
      </x:c>
      <x:c r="R1048" s="13">
        <x:f>I1048/英雄升级调参!$J$95-1</x:f>
        <x:v>-0.003506772078200604</x:v>
      </x:c>
      <x:c r="S1048" s="6"/>
      <x:c r="T1048" s="6"/>
      <x:c r="U1048" s="6"/>
    </x:row>
    <x:row r="1049" ht="21" customHeight="1">
      <x:c r="A1049" s="14" t="n">
        <x:f>英雄升级调参!$B$24</x:f>
        <x:v>310006</x:v>
      </x:c>
      <x:c r="B1049" s="14" t="str">
        <x:f>英雄升级调参!$C$24</x:f>
        <x:v>玛莫莉莉狮</x:v>
      </x:c>
      <x:c r="C1049" s="6" t="str">
        <x:f>英雄升级调参!$D$24</x:f>
        <x:v>战士</x:v>
      </x:c>
      <x:c r="D1049" s="6" t="s">
        <x:v>22</x:v>
      </x:c>
      <x:c r="E1049" s="6">
        <x:v>31</x:v>
      </x:c>
      <x:c r="F1049" s="6" t="n">
        <x:f>英雄升级调参!$C$96</x:f>
        <x:v>7</x:v>
      </x:c>
      <x:c r="G1049" s="12">
        <x:f t="shared" si="95"/>
        <x:v>3393</x:v>
      </x:c>
      <x:c r="H1049" s="12">
        <x:f t="shared" si="96"/>
        <x:v>23573</x:v>
      </x:c>
      <x:c r="I1049" s="12">
        <x:f t="shared" si="97"/>
        <x:v>79983189</x:v>
      </x:c>
      <x:c r="J1049" s="12">
        <x:f>ROUND(英雄升级调参!$D$96*英雄升级调参!$J$10*英雄升级调参!$E$24,0)</x:f>
        <x:v>130</x:v>
      </x:c>
      <x:c r="K1049" s="12">
        <x:f>ROUND(英雄升级调参!$D$96*英雄升级调参!$C$11*英雄升级调参!$J$10*英雄升级调参!$G$24,0)</x:f>
        <x:v>900</x:v>
      </x:c>
      <x:c r="L1049" s="12" t="n">
        <x:f>养成消耗调参!$D$178</x:f>
        <x:v>1008</x:v>
      </x:c>
      <x:c r="M1049" s="12" t="n">
        <x:f>养成消耗调参!$G$178</x:f>
        <x:v>5850</x:v>
      </x:c>
      <x:c r="N1049" s="12" t="n">
        <x:f>养成消耗调参!$I$178</x:f>
        <x:v>0</x:v>
      </x:c>
      <x:c r="O1049" s="12" t="n">
        <x:f>养成消耗调参!$K$178</x:f>
        <x:v>15192</x:v>
      </x:c>
      <x:c r="P1049" s="12" t="n">
        <x:f>养成消耗调参!$N$178</x:f>
        <x:v>87750</x:v>
      </x:c>
      <x:c r="Q1049" s="12" t="n">
        <x:f>养成消耗调参!$P$178</x:f>
        <x:v>360</x:v>
      </x:c>
      <x:c r="R1049" s="13">
        <x:f>I1049/英雄升级调参!$J$96-1</x:f>
        <x:v>-0.0032558139534883956</x:v>
      </x:c>
      <x:c r="S1049" s="6"/>
      <x:c r="T1049" s="6"/>
      <x:c r="U1049" s="6"/>
    </x:row>
    <x:row r="1050" ht="21" customHeight="1">
      <x:c r="A1050" s="14" t="n">
        <x:f>英雄升级调参!$B$24</x:f>
        <x:v>310006</x:v>
      </x:c>
      <x:c r="B1050" s="14" t="str">
        <x:f>英雄升级调参!$C$24</x:f>
        <x:v>玛莫莉莉狮</x:v>
      </x:c>
      <x:c r="C1050" s="6" t="str">
        <x:f>英雄升级调参!$D$24</x:f>
        <x:v>战士</x:v>
      </x:c>
      <x:c r="D1050" s="6" t="s">
        <x:v>22</x:v>
      </x:c>
      <x:c r="E1050" s="6">
        <x:v>32</x:v>
      </x:c>
      <x:c r="F1050" s="6" t="n">
        <x:f>英雄升级调参!$C$97</x:f>
        <x:v>7</x:v>
      </x:c>
      <x:c r="G1050" s="12">
        <x:f t="shared" si="95"/>
        <x:v>3523</x:v>
      </x:c>
      <x:c r="H1050" s="12">
        <x:f t="shared" si="96"/>
        <x:v>24473</x:v>
      </x:c>
      <x:c r="I1050" s="12">
        <x:f t="shared" si="97"/>
        <x:v>86218379</x:v>
      </x:c>
      <x:c r="J1050" s="12">
        <x:f>ROUND(英雄升级调参!$D$97*英雄升级调参!$J$10*英雄升级调参!$E$24,0)</x:f>
        <x:v>130</x:v>
      </x:c>
      <x:c r="K1050" s="12">
        <x:f>ROUND(英雄升级调参!$D$97*英雄升级调参!$C$11*英雄升级调参!$J$10*英雄升级调参!$G$24,0)</x:f>
        <x:v>900</x:v>
      </x:c>
      <x:c r="L1050" s="12" t="n">
        <x:f>养成消耗调参!$D$179</x:f>
        <x:v>1080</x:v>
      </x:c>
      <x:c r="M1050" s="12" t="n">
        <x:f>养成消耗调参!$G$179</x:f>
        <x:v>7200</x:v>
      </x:c>
      <x:c r="N1050" s="12" t="n">
        <x:f>养成消耗调参!$I$179</x:f>
        <x:v>0</x:v>
      </x:c>
      <x:c r="O1050" s="12" t="n">
        <x:f>养成消耗调参!$K$179</x:f>
        <x:v>16272</x:v>
      </x:c>
      <x:c r="P1050" s="12" t="n">
        <x:f>养成消耗调参!$N$179</x:f>
        <x:v>94950</x:v>
      </x:c>
      <x:c r="Q1050" s="12" t="n">
        <x:f>养成消耗调参!$P$179</x:f>
        <x:v>360</x:v>
      </x:c>
      <x:c r="R1050" s="13">
        <x:f>I1050/英雄升级调参!$J$97-1</x:f>
        <x:v>-0.0030232598745857375</x:v>
      </x:c>
      <x:c r="S1050" s="6"/>
      <x:c r="T1050" s="6"/>
      <x:c r="U1050" s="6"/>
    </x:row>
    <x:row r="1051" ht="21" customHeight="1">
      <x:c r="A1051" s="14" t="n">
        <x:f>英雄升级调参!$B$24</x:f>
        <x:v>310006</x:v>
      </x:c>
      <x:c r="B1051" s="14" t="str">
        <x:f>英雄升级调参!$C$24</x:f>
        <x:v>玛莫莉莉狮</x:v>
      </x:c>
      <x:c r="C1051" s="6" t="str">
        <x:f>英雄升级调参!$D$24</x:f>
        <x:v>战士</x:v>
      </x:c>
      <x:c r="D1051" s="6" t="s">
        <x:v>22</x:v>
      </x:c>
      <x:c r="E1051" s="6">
        <x:v>33</x:v>
      </x:c>
      <x:c r="F1051" s="6" t="n">
        <x:f>英雄升级调参!$C$98</x:f>
        <x:v>7</x:v>
      </x:c>
      <x:c r="G1051" s="12">
        <x:f t="shared" si="95"/>
        <x:v>3653</x:v>
      </x:c>
      <x:c r="H1051" s="12">
        <x:f t="shared" si="96"/>
        <x:v>25373</x:v>
      </x:c>
      <x:c r="I1051" s="12">
        <x:f t="shared" si="97"/>
        <x:v>92687569</x:v>
      </x:c>
      <x:c r="J1051" s="12">
        <x:f>ROUND(英雄升级调参!$D$98*英雄升级调参!$J$10*英雄升级调参!$E$24,0)</x:f>
        <x:v>130</x:v>
      </x:c>
      <x:c r="K1051" s="12">
        <x:f>ROUND(英雄升级调参!$D$98*英雄升级调参!$C$11*英雄升级调参!$J$10*英雄升级调参!$G$24,0)</x:f>
        <x:v>900</x:v>
      </x:c>
      <x:c r="L1051" s="12" t="n">
        <x:f>养成消耗调参!$D$180</x:f>
        <x:v>1080</x:v>
      </x:c>
      <x:c r="M1051" s="12" t="n">
        <x:f>养成消耗调参!$G$180</x:f>
        <x:v>7200</x:v>
      </x:c>
      <x:c r="N1051" s="12" t="n">
        <x:f>养成消耗调参!$I$180</x:f>
        <x:v>0</x:v>
      </x:c>
      <x:c r="O1051" s="12" t="n">
        <x:f>养成消耗调参!$K$180</x:f>
        <x:v>17352</x:v>
      </x:c>
      <x:c r="P1051" s="12" t="n">
        <x:f>养成消耗调参!$N$180</x:f>
        <x:v>102150</x:v>
      </x:c>
      <x:c r="Q1051" s="12" t="n">
        <x:f>养成消耗调参!$P$180</x:f>
        <x:v>360</x:v>
      </x:c>
      <x:c r="R1051" s="13">
        <x:f>I1051/英雄升级调参!$J$98-1</x:f>
        <x:v>-0.0028071569532759355</x:v>
      </x:c>
      <x:c r="S1051" s="6"/>
      <x:c r="T1051" s="6"/>
      <x:c r="U1051" s="6"/>
    </x:row>
    <x:row r="1052" ht="21" customHeight="1">
      <x:c r="A1052" s="14" t="n">
        <x:f>英雄升级调参!$B$24</x:f>
        <x:v>310006</x:v>
      </x:c>
      <x:c r="B1052" s="14" t="str">
        <x:f>英雄升级调参!$C$24</x:f>
        <x:v>玛莫莉莉狮</x:v>
      </x:c>
      <x:c r="C1052" s="6" t="str">
        <x:f>英雄升级调参!$D$24</x:f>
        <x:v>战士</x:v>
      </x:c>
      <x:c r="D1052" s="6" t="s">
        <x:v>22</x:v>
      </x:c>
      <x:c r="E1052" s="6">
        <x:v>34</x:v>
      </x:c>
      <x:c r="F1052" s="6" t="n">
        <x:f>英雄升级调参!$C$99</x:f>
        <x:v>7</x:v>
      </x:c>
      <x:c r="G1052" s="12">
        <x:f t="shared" ref="G1052:G1068" si="98">G1051+J1052</x:f>
        <x:v>3783</x:v>
      </x:c>
      <x:c r="H1052" s="12">
        <x:f t="shared" ref="H1052:H1068" si="99">H1051+K1052</x:f>
        <x:v>26273</x:v>
      </x:c>
      <x:c r="I1052" s="12">
        <x:f t="shared" si="97"/>
        <x:v>99390759</x:v>
      </x:c>
      <x:c r="J1052" s="12">
        <x:f>ROUND(英雄升级调参!$D$99*英雄升级调参!$J$10*英雄升级调参!$E$24,0)</x:f>
        <x:v>130</x:v>
      </x:c>
      <x:c r="K1052" s="12">
        <x:f>ROUND(英雄升级调参!$D$99*英雄升级调参!$C$11*英雄升级调参!$J$10*英雄升级调参!$G$24,0)</x:f>
        <x:v>900</x:v>
      </x:c>
      <x:c r="L1052" s="12" t="n">
        <x:f>养成消耗调参!$D$181</x:f>
        <x:v>1152</x:v>
      </x:c>
      <x:c r="M1052" s="12" t="n">
        <x:f>养成消耗调参!$G$181</x:f>
        <x:v>7200</x:v>
      </x:c>
      <x:c r="N1052" s="12" t="n">
        <x:f>养成消耗调参!$I$181</x:f>
        <x:v>0</x:v>
      </x:c>
      <x:c r="O1052" s="12" t="n">
        <x:f>养成消耗调参!$K$181</x:f>
        <x:v>18504</x:v>
      </x:c>
      <x:c r="P1052" s="12" t="n">
        <x:f>养成消耗调参!$N$181</x:f>
        <x:v>109350</x:v>
      </x:c>
      <x:c r="Q1052" s="12" t="n">
        <x:f>养成消耗调参!$P$181</x:f>
        <x:v>360</x:v>
      </x:c>
      <x:c r="R1052" s="13">
        <x:f>I1052/英雄升级调参!$J$99-1</x:f>
        <x:v>-0.00260581916204472</x:v>
      </x:c>
      <x:c r="S1052" s="6"/>
      <x:c r="T1052" s="6"/>
      <x:c r="U1052" s="6"/>
    </x:row>
    <x:row r="1053" ht="21" customHeight="1">
      <x:c r="A1053" s="14" t="n">
        <x:f>英雄升级调参!$B$24</x:f>
        <x:v>310006</x:v>
      </x:c>
      <x:c r="B1053" s="14" t="str">
        <x:f>英雄升级调参!$C$24</x:f>
        <x:v>玛莫莉莉狮</x:v>
      </x:c>
      <x:c r="C1053" s="6" t="str">
        <x:f>英雄升级调参!$D$24</x:f>
        <x:v>战士</x:v>
      </x:c>
      <x:c r="D1053" s="6" t="s">
        <x:v>22</x:v>
      </x:c>
      <x:c r="E1053" s="6">
        <x:v>35</x:v>
      </x:c>
      <x:c r="F1053" s="6" t="n">
        <x:f>英雄升级调参!$C$100</x:f>
        <x:v>7</x:v>
      </x:c>
      <x:c r="G1053" s="12">
        <x:f t="shared" si="98"/>
        <x:v>4173</x:v>
      </x:c>
      <x:c r="H1053" s="12">
        <x:f t="shared" si="99"/>
        <x:v>28973</x:v>
      </x:c>
      <x:c r="I1053" s="12">
        <x:f t="shared" si="97"/>
        <x:v>120904329</x:v>
      </x:c>
      <x:c r="J1053" s="12">
        <x:f>ROUND(英雄升级调参!$D$100*英雄升级调参!$J$10*英雄升级调参!$E$24,0)*3</x:f>
        <x:v>390</x:v>
      </x:c>
      <x:c r="K1053" s="12">
        <x:f>ROUND(英雄升级调参!$D$100*英雄升级调参!$C$11*英雄升级调参!$J$10*英雄升级调参!$G$24,0)*3</x:f>
        <x:v>2700</x:v>
      </x:c>
      <x:c r="L1053" s="12" t="n">
        <x:f>养成消耗调参!$D$182</x:f>
        <x:v>1152</x:v>
      </x:c>
      <x:c r="M1053" s="12" t="n">
        <x:f>养成消耗调参!$G$182</x:f>
        <x:v>7200</x:v>
      </x:c>
      <x:c r="N1053" s="12" t="n">
        <x:f>养成消耗调参!$I$182</x:f>
        <x:v>130</x:v>
      </x:c>
      <x:c r="O1053" s="12" t="n">
        <x:f>养成消耗调参!$K$182</x:f>
        <x:v>19656</x:v>
      </x:c>
      <x:c r="P1053" s="12" t="n">
        <x:f>养成消耗调参!$N$182</x:f>
        <x:v>116550</x:v>
      </x:c>
      <x:c r="Q1053" s="12" t="n">
        <x:f>养成消耗调参!$P$182</x:f>
        <x:v>490</x:v>
      </x:c>
      <x:c r="R1053" s="13">
        <x:f>I1053/英雄升级调参!$J$100-1</x:f>
        <x:v>-0.0020766709479264067</x:v>
      </x:c>
      <x:c r="S1053" s="6"/>
      <x:c r="T1053" s="6"/>
      <x:c r="U1053" s="6"/>
    </x:row>
    <x:row r="1054" ht="21" customHeight="1">
      <x:c r="A1054" s="14" t="n">
        <x:f>英雄升级调参!$B$24</x:f>
        <x:v>310006</x:v>
      </x:c>
      <x:c r="B1054" s="14" t="str">
        <x:f>英雄升级调参!$C$24</x:f>
        <x:v>玛莫莉莉狮</x:v>
      </x:c>
      <x:c r="C1054" s="6" t="str">
        <x:f>英雄升级调参!$D$24</x:f>
        <x:v>战士</x:v>
      </x:c>
      <x:c r="D1054" s="6" t="s">
        <x:v>22</x:v>
      </x:c>
      <x:c r="E1054" s="6">
        <x:v>36</x:v>
      </x:c>
      <x:c r="F1054" s="6" t="n">
        <x:f>英雄升级调参!$C$101</x:f>
        <x:v>8</x:v>
      </x:c>
      <x:c r="G1054" s="12">
        <x:f t="shared" si="98"/>
        <x:v>4319</x:v>
      </x:c>
      <x:c r="H1054" s="12">
        <x:f t="shared" si="99"/>
        <x:v>29986</x:v>
      </x:c>
      <x:c r="I1054" s="12">
        <x:f t="shared" si="97"/>
        <x:v>129509534</x:v>
      </x:c>
      <x:c r="J1054" s="12">
        <x:f>ROUND(英雄升级调参!$D$101*英雄升级调参!$J$10*英雄升级调参!$E$24,0)</x:f>
        <x:v>146</x:v>
      </x:c>
      <x:c r="K1054" s="12">
        <x:f>ROUND(英雄升级调参!$D$101*英雄升级调参!$C$11*英雄升级调参!$J$10*英雄升级调参!$G$24,0)</x:f>
        <x:v>1013</x:v>
      </x:c>
      <x:c r="L1054" s="12" t="n">
        <x:f>养成消耗调参!$D$183</x:f>
        <x:v>1224</x:v>
      </x:c>
      <x:c r="M1054" s="12" t="n">
        <x:f>养成消耗调参!$G$183</x:f>
        <x:v>7200</x:v>
      </x:c>
      <x:c r="N1054" s="12" t="n">
        <x:f>养成消耗调参!$I$183</x:f>
        <x:v>0</x:v>
      </x:c>
      <x:c r="O1054" s="12" t="n">
        <x:f>养成消耗调参!$K$183</x:f>
        <x:v>20880</x:v>
      </x:c>
      <x:c r="P1054" s="12" t="n">
        <x:f>养成消耗调参!$N$183</x:f>
        <x:v>123750</x:v>
      </x:c>
      <x:c r="Q1054" s="12" t="n">
        <x:f>养成消耗调参!$P$183</x:f>
        <x:v>490</x:v>
      </x:c>
      <x:c r="R1054" s="13">
        <x:f>I1054/英雄升级调参!$J$101-1</x:f>
        <x:v>-0.0020821890871118853</x:v>
      </x:c>
      <x:c r="S1054" s="6"/>
      <x:c r="T1054" s="6"/>
      <x:c r="U1054" s="6"/>
    </x:row>
    <x:row r="1055" ht="21" customHeight="1">
      <x:c r="A1055" s="14" t="n">
        <x:f>英雄升级调参!$B$24</x:f>
        <x:v>310006</x:v>
      </x:c>
      <x:c r="B1055" s="14" t="str">
        <x:f>英雄升级调参!$C$24</x:f>
        <x:v>玛莫莉莉狮</x:v>
      </x:c>
      <x:c r="C1055" s="6" t="str">
        <x:f>英雄升级调参!$D$24</x:f>
        <x:v>战士</x:v>
      </x:c>
      <x:c r="D1055" s="6" t="s">
        <x:v>22</x:v>
      </x:c>
      <x:c r="E1055" s="6">
        <x:v>37</x:v>
      </x:c>
      <x:c r="F1055" s="6" t="n">
        <x:f>英雄升级调参!$C$102</x:f>
        <x:v>8</x:v>
      </x:c>
      <x:c r="G1055" s="12">
        <x:f t="shared" si="98"/>
        <x:v>4465</x:v>
      </x:c>
      <x:c r="H1055" s="12">
        <x:f t="shared" si="99"/>
        <x:v>30999</x:v>
      </x:c>
      <x:c r="I1055" s="12">
        <x:f t="shared" si="97"/>
        <x:v>138410535</x:v>
      </x:c>
      <x:c r="J1055" s="12">
        <x:f>ROUND(英雄升级调参!$D$102*英雄升级调参!$J$10*英雄升级调参!$E$24,0)</x:f>
        <x:v>146</x:v>
      </x:c>
      <x:c r="K1055" s="12">
        <x:f>ROUND(英雄升级调参!$D$102*英雄升级调参!$C$11*英雄升级调参!$J$10*英雄升级调参!$G$24,0)</x:f>
        <x:v>1013</x:v>
      </x:c>
      <x:c r="L1055" s="12" t="n">
        <x:f>养成消耗调参!$D$184</x:f>
        <x:v>1224</x:v>
      </x:c>
      <x:c r="M1055" s="12" t="n">
        <x:f>养成消耗调参!$G$184</x:f>
        <x:v>8550</x:v>
      </x:c>
      <x:c r="N1055" s="12" t="n">
        <x:f>养成消耗调参!$I$184</x:f>
        <x:v>0</x:v>
      </x:c>
      <x:c r="O1055" s="12" t="n">
        <x:f>养成消耗调参!$K$184</x:f>
        <x:v>22104</x:v>
      </x:c>
      <x:c r="P1055" s="12" t="n">
        <x:f>养成消耗调参!$N$184</x:f>
        <x:v>132300</x:v>
      </x:c>
      <x:c r="Q1055" s="12" t="n">
        <x:f>养成消耗调参!$P$184</x:f>
        <x:v>490</x:v>
      </x:c>
      <x:c r="R1055" s="13">
        <x:f>I1055/英雄升级调参!$J$102-1</x:f>
        <x:v>-0.0020873460391687138</x:v>
      </x:c>
      <x:c r="S1055" s="6"/>
      <x:c r="T1055" s="6"/>
      <x:c r="U1055" s="6"/>
    </x:row>
    <x:row r="1056" ht="21" customHeight="1">
      <x:c r="A1056" s="14" t="n">
        <x:f>英雄升级调参!$B$24</x:f>
        <x:v>310006</x:v>
      </x:c>
      <x:c r="B1056" s="14" t="str">
        <x:f>英雄升级调参!$C$24</x:f>
        <x:v>玛莫莉莉狮</x:v>
      </x:c>
      <x:c r="C1056" s="6" t="str">
        <x:f>英雄升级调参!$D$24</x:f>
        <x:v>战士</x:v>
      </x:c>
      <x:c r="D1056" s="6" t="s">
        <x:v>22</x:v>
      </x:c>
      <x:c r="E1056" s="6">
        <x:v>38</x:v>
      </x:c>
      <x:c r="F1056" s="6" t="n">
        <x:f>英雄升级调参!$C$103</x:f>
        <x:v>8</x:v>
      </x:c>
      <x:c r="G1056" s="12">
        <x:f t="shared" si="98"/>
        <x:v>4611</x:v>
      </x:c>
      <x:c r="H1056" s="12">
        <x:f t="shared" si="99"/>
        <x:v>32012</x:v>
      </x:c>
      <x:c r="I1056" s="12">
        <x:f t="shared" si="97"/>
        <x:v>147607332</x:v>
      </x:c>
      <x:c r="J1056" s="12">
        <x:f>ROUND(英雄升级调参!$D$103*英雄升级调参!$J$10*英雄升级调参!$E$24,0)</x:f>
        <x:v>146</x:v>
      </x:c>
      <x:c r="K1056" s="12">
        <x:f>ROUND(英雄升级调参!$D$103*英雄升级调参!$C$11*英雄升级调参!$J$10*英雄升级调参!$G$24,0)</x:f>
        <x:v>1013</x:v>
      </x:c>
      <x:c r="L1056" s="12" t="n">
        <x:f>养成消耗调参!$D$185</x:f>
        <x:v>1296</x:v>
      </x:c>
      <x:c r="M1056" s="12" t="n">
        <x:f>养成消耗调参!$G$185</x:f>
        <x:v>8550</x:v>
      </x:c>
      <x:c r="N1056" s="12" t="n">
        <x:f>养成消耗调参!$I$185</x:f>
        <x:v>0</x:v>
      </x:c>
      <x:c r="O1056" s="12" t="n">
        <x:f>养成消耗调参!$K$185</x:f>
        <x:v>23400</x:v>
      </x:c>
      <x:c r="P1056" s="12" t="n">
        <x:f>养成消耗调参!$N$185</x:f>
        <x:v>140850</x:v>
      </x:c>
      <x:c r="Q1056" s="12" t="n">
        <x:f>养成消耗调参!$P$185</x:f>
        <x:v>490</x:v>
      </x:c>
      <x:c r="R1056" s="13">
        <x:f>I1056/英雄升级调参!$J$103-1</x:f>
        <x:v>-0.0020921761422637575</x:v>
      </x:c>
      <x:c r="S1056" s="6"/>
      <x:c r="T1056" s="6"/>
      <x:c r="U1056" s="6"/>
    </x:row>
    <x:row r="1057" ht="21" customHeight="1">
      <x:c r="A1057" s="14" t="n">
        <x:f>英雄升级调参!$B$24</x:f>
        <x:v>310006</x:v>
      </x:c>
      <x:c r="B1057" s="14" t="str">
        <x:f>英雄升级调参!$C$24</x:f>
        <x:v>玛莫莉莉狮</x:v>
      </x:c>
      <x:c r="C1057" s="6" t="str">
        <x:f>英雄升级调参!$D$24</x:f>
        <x:v>战士</x:v>
      </x:c>
      <x:c r="D1057" s="6" t="s">
        <x:v>22</x:v>
      </x:c>
      <x:c r="E1057" s="6">
        <x:v>39</x:v>
      </x:c>
      <x:c r="F1057" s="6" t="n">
        <x:f>英雄升级调参!$C$104</x:f>
        <x:v>8</x:v>
      </x:c>
      <x:c r="G1057" s="12">
        <x:f t="shared" si="98"/>
        <x:v>4757</x:v>
      </x:c>
      <x:c r="H1057" s="12">
        <x:f t="shared" si="99"/>
        <x:v>33025</x:v>
      </x:c>
      <x:c r="I1057" s="12">
        <x:f t="shared" si="97"/>
        <x:v>157099925</x:v>
      </x:c>
      <x:c r="J1057" s="12">
        <x:f>ROUND(英雄升级调参!$D$104*英雄升级调参!$J$10*英雄升级调参!$E$24,0)</x:f>
        <x:v>146</x:v>
      </x:c>
      <x:c r="K1057" s="12">
        <x:f>ROUND(英雄升级调参!$D$104*英雄升级调参!$C$11*英雄升级调参!$J$10*英雄升级调参!$G$24,0)</x:f>
        <x:v>1013</x:v>
      </x:c>
      <x:c r="L1057" s="12" t="n">
        <x:f>养成消耗调参!$D$186</x:f>
        <x:v>1296</x:v>
      </x:c>
      <x:c r="M1057" s="12" t="n">
        <x:f>养成消耗调参!$G$186</x:f>
        <x:v>8550</x:v>
      </x:c>
      <x:c r="N1057" s="12" t="n">
        <x:f>养成消耗调参!$I$186</x:f>
        <x:v>0</x:v>
      </x:c>
      <x:c r="O1057" s="12" t="n">
        <x:f>养成消耗调参!$K$186</x:f>
        <x:v>24696</x:v>
      </x:c>
      <x:c r="P1057" s="12" t="n">
        <x:f>养成消耗调参!$N$186</x:f>
        <x:v>149400</x:v>
      </x:c>
      <x:c r="Q1057" s="12" t="n">
        <x:f>养成消耗调参!$P$186</x:f>
        <x:v>490</x:v>
      </x:c>
      <x:c r="R1057" s="13">
        <x:f>I1057/英雄升级调参!$J$104-1</x:f>
        <x:v>-0.002096709515549189</x:v>
      </x:c>
      <x:c r="S1057" s="6"/>
      <x:c r="T1057" s="6"/>
      <x:c r="U1057" s="6"/>
    </x:row>
    <x:row r="1058" ht="21" customHeight="1">
      <x:c r="A1058" s="14" t="n">
        <x:f>英雄升级调参!$B$24</x:f>
        <x:v>310006</x:v>
      </x:c>
      <x:c r="B1058" s="14" t="str">
        <x:f>英雄升级调参!$C$24</x:f>
        <x:v>玛莫莉莉狮</x:v>
      </x:c>
      <x:c r="C1058" s="6" t="str">
        <x:f>英雄升级调参!$D$24</x:f>
        <x:v>战士</x:v>
      </x:c>
      <x:c r="D1058" s="6" t="s">
        <x:v>22</x:v>
      </x:c>
      <x:c r="E1058" s="6">
        <x:v>40</x:v>
      </x:c>
      <x:c r="F1058" s="6" t="n">
        <x:f>英雄升级调参!$C$105</x:f>
        <x:v>8</x:v>
      </x:c>
      <x:c r="G1058" s="12">
        <x:f t="shared" si="98"/>
        <x:v>5195</x:v>
      </x:c>
      <x:c r="H1058" s="12">
        <x:f t="shared" si="99"/>
        <x:v>36064</x:v>
      </x:c>
      <x:c r="I1058" s="12">
        <x:f t="shared" si="97"/>
        <x:v>187352480</x:v>
      </x:c>
      <x:c r="J1058" s="12">
        <x:f>ROUND(英雄升级调参!$D$105*英雄升级调参!$J$10*英雄升级调参!$E$24,0)*3</x:f>
        <x:v>438</x:v>
      </x:c>
      <x:c r="K1058" s="12">
        <x:f>ROUND(英雄升级调参!$D$105*英雄升级调参!$C$11*英雄升级调参!$J$10*英雄升级调参!$G$24,0)*3</x:f>
        <x:v>3039</x:v>
      </x:c>
      <x:c r="L1058" s="12" t="n">
        <x:f>养成消耗调参!$D$187</x:f>
        <x:v>1368</x:v>
      </x:c>
      <x:c r="M1058" s="12" t="n">
        <x:f>养成消耗调参!$G$187</x:f>
        <x:v>8550</x:v>
      </x:c>
      <x:c r="N1058" s="12" t="n">
        <x:f>养成消耗调参!$I$187</x:f>
        <x:v>150</x:v>
      </x:c>
      <x:c r="O1058" s="12" t="n">
        <x:f>养成消耗调参!$K$187</x:f>
        <x:v>26064</x:v>
      </x:c>
      <x:c r="P1058" s="12" t="n">
        <x:f>养成消耗调参!$N$187</x:f>
        <x:v>157950</x:v>
      </x:c>
      <x:c r="Q1058" s="12" t="n">
        <x:f>养成消耗调参!$P$187</x:f>
        <x:v>640</x:v>
      </x:c>
      <x:c r="R1058" s="13">
        <x:f>I1058/英雄升级调参!$J$105-1</x:f>
        <x:v>-0.0021087796220899957</x:v>
      </x:c>
      <x:c r="S1058" s="6"/>
      <x:c r="T1058" s="6"/>
      <x:c r="U1058" s="6"/>
    </x:row>
    <x:row r="1059" ht="21" customHeight="1">
      <x:c r="A1059" s="14" t="n">
        <x:f>英雄升级调参!$B$24</x:f>
        <x:v>310006</x:v>
      </x:c>
      <x:c r="B1059" s="14" t="str">
        <x:f>英雄升级调参!$C$24</x:f>
        <x:v>玛莫莉莉狮</x:v>
      </x:c>
      <x:c r="C1059" s="6" t="str">
        <x:f>英雄升级调参!$D$24</x:f>
        <x:v>战士</x:v>
      </x:c>
      <x:c r="D1059" s="6" t="s">
        <x:v>22</x:v>
      </x:c>
      <x:c r="E1059" s="6">
        <x:v>41</x:v>
      </x:c>
      <x:c r="F1059" s="6" t="n">
        <x:f>英雄升级调参!$C$106</x:f>
        <x:v>9</x:v>
      </x:c>
      <x:c r="G1059" s="12">
        <x:f t="shared" si="98"/>
        <x:v>5357</x:v>
      </x:c>
      <x:c r="H1059" s="12">
        <x:f t="shared" si="99"/>
        <x:v>37189</x:v>
      </x:c>
      <x:c r="I1059" s="12">
        <x:f t="shared" si="97"/>
        <x:v>199221473</x:v>
      </x:c>
      <x:c r="J1059" s="12">
        <x:f>ROUND(英雄升级调参!$D$106*英雄升级调参!$J$10*英雄升级调参!$E$24,0)</x:f>
        <x:v>162</x:v>
      </x:c>
      <x:c r="K1059" s="12">
        <x:f>ROUND(英雄升级调参!$D$106*英雄升级调参!$C$11*英雄升级调参!$J$10*英雄升级调参!$G$24,0)</x:f>
        <x:v>1125</x:v>
      </x:c>
      <x:c r="L1059" s="12" t="n">
        <x:f>养成消耗调参!$D$188</x:f>
        <x:v>1368</x:v>
      </x:c>
      <x:c r="M1059" s="12" t="n">
        <x:f>养成消耗调参!$G$188</x:f>
        <x:v>8550</x:v>
      </x:c>
      <x:c r="N1059" s="12" t="n">
        <x:f>养成消耗调参!$I$188</x:f>
        <x:v>0</x:v>
      </x:c>
      <x:c r="O1059" s="12" t="n">
        <x:f>养成消耗调参!$K$188</x:f>
        <x:v>27432</x:v>
      </x:c>
      <x:c r="P1059" s="12" t="n">
        <x:f>养成消耗调参!$N$188</x:f>
        <x:v>166500</x:v>
      </x:c>
      <x:c r="Q1059" s="12" t="n">
        <x:f>养成消耗调参!$P$188</x:f>
        <x:v>640</x:v>
      </x:c>
      <x:c r="R1059" s="13">
        <x:f>I1059/英雄升级调参!$J$106-1</x:f>
        <x:v>-0.002045171123041478</x:v>
      </x:c>
      <x:c r="S1059" s="6"/>
      <x:c r="T1059" s="6"/>
      <x:c r="U1059" s="6"/>
    </x:row>
    <x:row r="1060" ht="21" customHeight="1">
      <x:c r="A1060" s="14" t="n">
        <x:f>英雄升级调参!$B$24</x:f>
        <x:v>310006</x:v>
      </x:c>
      <x:c r="B1060" s="14" t="str">
        <x:f>英雄升级调参!$C$24</x:f>
        <x:v>玛莫莉莉狮</x:v>
      </x:c>
      <x:c r="C1060" s="6" t="str">
        <x:f>英雄升级调参!$D$24</x:f>
        <x:v>战士</x:v>
      </x:c>
      <x:c r="D1060" s="6" t="s">
        <x:v>22</x:v>
      </x:c>
      <x:c r="E1060" s="6">
        <x:v>42</x:v>
      </x:c>
      <x:c r="F1060" s="6" t="n">
        <x:f>英雄升级调参!$C$107</x:f>
        <x:v>9</x:v>
      </x:c>
      <x:c r="G1060" s="12">
        <x:f t="shared" si="98"/>
        <x:v>5519</x:v>
      </x:c>
      <x:c r="H1060" s="12">
        <x:f t="shared" si="99"/>
        <x:v>38314</x:v>
      </x:c>
      <x:c r="I1060" s="12">
        <x:f t="shared" si="97"/>
        <x:v>211454966</x:v>
      </x:c>
      <x:c r="J1060" s="12">
        <x:f>ROUND(英雄升级调参!$D$107*英雄升级调参!$J$10*英雄升级调参!$E$24,0)</x:f>
        <x:v>162</x:v>
      </x:c>
      <x:c r="K1060" s="12">
        <x:f>ROUND(英雄升级调参!$D$107*英雄升级调参!$C$11*英雄升级调参!$J$10*英雄升级调参!$G$24,0)</x:f>
        <x:v>1125</x:v>
      </x:c>
      <x:c r="L1060" s="12" t="n">
        <x:f>养成消耗调参!$D$189</x:f>
        <x:v>1440</x:v>
      </x:c>
      <x:c r="M1060" s="12" t="n">
        <x:f>养成消耗调参!$G$189</x:f>
        <x:v>9900</x:v>
      </x:c>
      <x:c r="N1060" s="12" t="n">
        <x:f>养成消耗调参!$I$189</x:f>
        <x:v>0</x:v>
      </x:c>
      <x:c r="O1060" s="12" t="n">
        <x:f>养成消耗调参!$K$189</x:f>
        <x:v>28872</x:v>
      </x:c>
      <x:c r="P1060" s="12" t="n">
        <x:f>养成消耗调参!$N$189</x:f>
        <x:v>176400</x:v>
      </x:c>
      <x:c r="Q1060" s="12" t="n">
        <x:f>养成消耗调参!$P$189</x:f>
        <x:v>640</x:v>
      </x:c>
      <x:c r="R1060" s="13">
        <x:f>I1060/英雄升级调参!$J$107-1</x:f>
        <x:v>-0.001985287593285867</x:v>
      </x:c>
      <x:c r="S1060" s="6"/>
      <x:c r="T1060" s="6"/>
      <x:c r="U1060" s="6"/>
    </x:row>
    <x:row r="1061" ht="21" customHeight="1">
      <x:c r="A1061" s="14" t="n">
        <x:f>英雄升级调参!$B$24</x:f>
        <x:v>310006</x:v>
      </x:c>
      <x:c r="B1061" s="14" t="str">
        <x:f>英雄升级调参!$C$24</x:f>
        <x:v>玛莫莉莉狮</x:v>
      </x:c>
      <x:c r="C1061" s="6" t="str">
        <x:f>英雄升级调参!$D$24</x:f>
        <x:v>战士</x:v>
      </x:c>
      <x:c r="D1061" s="6" t="s">
        <x:v>22</x:v>
      </x:c>
      <x:c r="E1061" s="6">
        <x:v>43</x:v>
      </x:c>
      <x:c r="F1061" s="6" t="n">
        <x:f>英雄升级调参!$C$108</x:f>
        <x:v>9</x:v>
      </x:c>
      <x:c r="G1061" s="12">
        <x:f t="shared" si="98"/>
        <x:v>5681</x:v>
      </x:c>
      <x:c r="H1061" s="12">
        <x:f t="shared" si="99"/>
        <x:v>39439</x:v>
      </x:c>
      <x:c r="I1061" s="12">
        <x:f t="shared" si="97"/>
        <x:v>224052959</x:v>
      </x:c>
      <x:c r="J1061" s="12">
        <x:f>ROUND(英雄升级调参!$D$108*英雄升级调参!$J$10*英雄升级调参!$E$24,0)</x:f>
        <x:v>162</x:v>
      </x:c>
      <x:c r="K1061" s="12">
        <x:f>ROUND(英雄升级调参!$D$108*英雄升级调参!$C$11*英雄升级调参!$J$10*英雄升级调参!$G$24,0)</x:f>
        <x:v>1125</x:v>
      </x:c>
      <x:c r="L1061" s="12" t="n">
        <x:f>养成消耗调参!$D$190</x:f>
        <x:v>1440</x:v>
      </x:c>
      <x:c r="M1061" s="12" t="n">
        <x:f>养成消耗调参!$G$190</x:f>
        <x:v>9900</x:v>
      </x:c>
      <x:c r="N1061" s="12" t="n">
        <x:f>养成消耗调参!$I$190</x:f>
        <x:v>0</x:v>
      </x:c>
      <x:c r="O1061" s="12" t="n">
        <x:f>养成消耗调参!$K$190</x:f>
        <x:v>30312</x:v>
      </x:c>
      <x:c r="P1061" s="12" t="n">
        <x:f>养成消耗调参!$N$190</x:f>
        <x:v>186300</x:v>
      </x:c>
      <x:c r="Q1061" s="12" t="n">
        <x:f>养成消耗调参!$P$190</x:f>
        <x:v>640</x:v>
      </x:c>
      <x:c r="R1061" s="13">
        <x:f>I1061/英雄升级调参!$J$108-1</x:f>
        <x:v>-0.001928811134950803</x:v>
      </x:c>
      <x:c r="S1061" s="6"/>
      <x:c r="T1061" s="6"/>
      <x:c r="U1061" s="6"/>
    </x:row>
    <x:row r="1062" ht="21" customHeight="1">
      <x:c r="A1062" s="14" t="n">
        <x:f>英雄升级调参!$B$24</x:f>
        <x:v>310006</x:v>
      </x:c>
      <x:c r="B1062" s="14" t="str">
        <x:f>英雄升级调参!$C$24</x:f>
        <x:v>玛莫莉莉狮</x:v>
      </x:c>
      <x:c r="C1062" s="6" t="str">
        <x:f>英雄升级调参!$D$24</x:f>
        <x:v>战士</x:v>
      </x:c>
      <x:c r="D1062" s="6" t="s">
        <x:v>22</x:v>
      </x:c>
      <x:c r="E1062" s="6">
        <x:v>44</x:v>
      </x:c>
      <x:c r="F1062" s="6" t="n">
        <x:f>英雄升级调参!$C$109</x:f>
        <x:v>9</x:v>
      </x:c>
      <x:c r="G1062" s="12">
        <x:f t="shared" si="98"/>
        <x:v>5843</x:v>
      </x:c>
      <x:c r="H1062" s="12">
        <x:f t="shared" si="99"/>
        <x:v>40564</x:v>
      </x:c>
      <x:c r="I1062" s="12">
        <x:f t="shared" si="97"/>
        <x:v>237015452</x:v>
      </x:c>
      <x:c r="J1062" s="12">
        <x:f>ROUND(英雄升级调参!$D$109*英雄升级调参!$J$10*英雄升级调参!$E$24,0)</x:f>
        <x:v>162</x:v>
      </x:c>
      <x:c r="K1062" s="12">
        <x:f>ROUND(英雄升级调参!$D$109*英雄升级调参!$C$11*英雄升级调参!$J$10*英雄升级调参!$G$24,0)</x:f>
        <x:v>1125</x:v>
      </x:c>
      <x:c r="L1062" s="12" t="n">
        <x:f>养成消耗调参!$D$191</x:f>
        <x:v>1512</x:v>
      </x:c>
      <x:c r="M1062" s="12" t="n">
        <x:f>养成消耗调参!$G$191</x:f>
        <x:v>9900</x:v>
      </x:c>
      <x:c r="N1062" s="12" t="n">
        <x:f>养成消耗调参!$I$191</x:f>
        <x:v>0</x:v>
      </x:c>
      <x:c r="O1062" s="12" t="n">
        <x:f>养成消耗调参!$K$191</x:f>
        <x:v>31824</x:v>
      </x:c>
      <x:c r="P1062" s="12" t="n">
        <x:f>养成消耗调参!$N$191</x:f>
        <x:v>196200</x:v>
      </x:c>
      <x:c r="Q1062" s="12" t="n">
        <x:f>养成消耗调参!$P$191</x:f>
        <x:v>640</x:v>
      </x:c>
      <x:c r="R1062" s="13">
        <x:f>I1062/英雄升级调参!$J$109-1</x:f>
        <x:v>-0.001875459023131354</x:v>
      </x:c>
      <x:c r="S1062" s="6"/>
      <x:c r="T1062" s="6"/>
      <x:c r="U1062" s="6"/>
    </x:row>
    <x:row r="1063" ht="21" customHeight="1">
      <x:c r="A1063" s="14" t="n">
        <x:f>英雄升级调参!$B$24</x:f>
        <x:v>310006</x:v>
      </x:c>
      <x:c r="B1063" s="14" t="str">
        <x:f>英雄升级调参!$C$24</x:f>
        <x:v>玛莫莉莉狮</x:v>
      </x:c>
      <x:c r="C1063" s="6" t="str">
        <x:f>英雄升级调参!$D$24</x:f>
        <x:v>战士</x:v>
      </x:c>
      <x:c r="D1063" s="6" t="s">
        <x:v>22</x:v>
      </x:c>
      <x:c r="E1063" s="6">
        <x:v>45</x:v>
      </x:c>
      <x:c r="F1063" s="6" t="n">
        <x:f>英雄升级调参!$C$110</x:f>
        <x:v>9</x:v>
      </x:c>
      <x:c r="G1063" s="12">
        <x:f t="shared" si="98"/>
        <x:v>6329</x:v>
      </x:c>
      <x:c r="H1063" s="12">
        <x:f t="shared" si="99"/>
        <x:v>43939</x:v>
      </x:c>
      <x:c r="I1063" s="12">
        <x:f t="shared" si="97"/>
        <x:v>278089931</x:v>
      </x:c>
      <x:c r="J1063" s="12">
        <x:f>ROUND(英雄升级调参!$D$110*英雄升级调参!$J$10*英雄升级调参!$E$24,0)*3</x:f>
        <x:v>486</x:v>
      </x:c>
      <x:c r="K1063" s="12">
        <x:f>ROUND(英雄升级调参!$D$110*英雄升级调参!$C$11*英雄升级调参!$J$10*英雄升级调参!$G$24,0)*3</x:f>
        <x:v>3375</x:v>
      </x:c>
      <x:c r="L1063" s="12" t="n">
        <x:f>养成消耗调参!$D$192</x:f>
        <x:v>1512</x:v>
      </x:c>
      <x:c r="M1063" s="12" t="n">
        <x:f>养成消耗调参!$G$192</x:f>
        <x:v>9900</x:v>
      </x:c>
      <x:c r="N1063" s="12" t="n">
        <x:f>养成消耗调参!$I$192</x:f>
        <x:v>170</x:v>
      </x:c>
      <x:c r="O1063" s="12" t="n">
        <x:f>养成消耗调参!$K$192</x:f>
        <x:v>33336</x:v>
      </x:c>
      <x:c r="P1063" s="12" t="n">
        <x:f>养成消耗调参!$N$192</x:f>
        <x:v>206100</x:v>
      </x:c>
      <x:c r="Q1063" s="12" t="n">
        <x:f>养成消耗调参!$P$192</x:f>
        <x:v>810</x:v>
      </x:c>
      <x:c r="R1063" s="13">
        <x:f>I1063/英雄升级调参!$J$110-1</x:f>
        <x:v>-0.0017317547847085502</x:v>
      </x:c>
      <x:c r="S1063" s="6"/>
      <x:c r="T1063" s="6"/>
      <x:c r="U1063" s="6"/>
    </x:row>
    <x:row r="1064" ht="21" customHeight="1">
      <x:c r="A1064" s="14" t="n">
        <x:f>英雄升级调参!$B$24</x:f>
        <x:v>310006</x:v>
      </x:c>
      <x:c r="B1064" s="14" t="str">
        <x:f>英雄升级调参!$C$24</x:f>
        <x:v>玛莫莉莉狮</x:v>
      </x:c>
      <x:c r="C1064" s="6" t="str">
        <x:f>英雄升级调参!$D$24</x:f>
        <x:v>战士</x:v>
      </x:c>
      <x:c r="D1064" s="6" t="s">
        <x:v>22</x:v>
      </x:c>
      <x:c r="E1064" s="6">
        <x:v>46</x:v>
      </x:c>
      <x:c r="F1064" s="6" t="n">
        <x:f>英雄升级调参!$C$111</x:f>
        <x:v>10</x:v>
      </x:c>
      <x:c r="G1064" s="12">
        <x:f t="shared" si="98"/>
        <x:v>6507</x:v>
      </x:c>
      <x:c r="H1064" s="12">
        <x:f t="shared" si="99"/>
        <x:v>45177</x:v>
      </x:c>
      <x:c r="I1064" s="12">
        <x:f t="shared" si="97"/>
        <x:v>293966739</x:v>
      </x:c>
      <x:c r="J1064" s="12">
        <x:f>ROUND(英雄升级调参!$D$111*英雄升级调参!$J$10*英雄升级调参!$E$24,0)</x:f>
        <x:v>178</x:v>
      </x:c>
      <x:c r="K1064" s="12">
        <x:f>ROUND(英雄升级调参!$D$111*英雄升级调参!$C$11*英雄升级调参!$J$10*英雄升级调参!$G$24,0)</x:f>
        <x:v>1238</x:v>
      </x:c>
      <x:c r="L1064" s="12" t="n">
        <x:f>养成消耗调参!$D$193</x:f>
        <x:v>1584</x:v>
      </x:c>
      <x:c r="M1064" s="12" t="n">
        <x:f>养成消耗调参!$G$193</x:f>
        <x:v>9900</x:v>
      </x:c>
      <x:c r="N1064" s="12" t="n">
        <x:f>养成消耗调参!$I$193</x:f>
        <x:v>0</x:v>
      </x:c>
      <x:c r="O1064" s="12" t="n">
        <x:f>养成消耗调参!$K$193</x:f>
        <x:v>34920</x:v>
      </x:c>
      <x:c r="P1064" s="12" t="n">
        <x:f>养成消耗调参!$N$193</x:f>
        <x:v>216000</x:v>
      </x:c>
      <x:c r="Q1064" s="12" t="n">
        <x:f>养成消耗调参!$P$193</x:f>
        <x:v>810</x:v>
      </x:c>
      <x:c r="R1064" s="13">
        <x:f>I1064/英雄升级调参!$J$111-1</x:f>
        <x:v>-0.001795921385998156</x:v>
      </x:c>
      <x:c r="S1064" s="6"/>
      <x:c r="T1064" s="6"/>
      <x:c r="U1064" s="6"/>
    </x:row>
    <x:row r="1065" ht="21" customHeight="1">
      <x:c r="A1065" s="14" t="n">
        <x:f>英雄升级调参!$B$24</x:f>
        <x:v>310006</x:v>
      </x:c>
      <x:c r="B1065" s="14" t="str">
        <x:f>英雄升级调参!$C$24</x:f>
        <x:v>玛莫莉莉狮</x:v>
      </x:c>
      <x:c r="C1065" s="6" t="str">
        <x:f>英雄升级调参!$D$24</x:f>
        <x:v>战士</x:v>
      </x:c>
      <x:c r="D1065" s="6" t="s">
        <x:v>22</x:v>
      </x:c>
      <x:c r="E1065" s="6">
        <x:v>47</x:v>
      </x:c>
      <x:c r="F1065" s="6" t="n">
        <x:f>英雄升级调参!$C$112</x:f>
        <x:v>10</x:v>
      </x:c>
      <x:c r="G1065" s="12">
        <x:f t="shared" si="98"/>
        <x:v>6685</x:v>
      </x:c>
      <x:c r="H1065" s="12">
        <x:f t="shared" si="99"/>
        <x:v>46415</x:v>
      </x:c>
      <x:c r="I1065" s="12">
        <x:f t="shared" si="97"/>
        <x:v>310284275</x:v>
      </x:c>
      <x:c r="J1065" s="12">
        <x:f>ROUND(英雄升级调参!$D$112*英雄升级调参!$J$10*英雄升级调参!$E$24,0)</x:f>
        <x:v>178</x:v>
      </x:c>
      <x:c r="K1065" s="12">
        <x:f>ROUND(英雄升级调参!$D$112*英雄升级调参!$C$11*英雄升级调参!$J$10*英雄升级调参!$G$24,0)</x:f>
        <x:v>1238</x:v>
      </x:c>
      <x:c r="L1065" s="12" t="n">
        <x:f>养成消耗调参!$D$194</x:f>
        <x:v>1584</x:v>
      </x:c>
      <x:c r="M1065" s="12" t="n">
        <x:f>养成消耗调参!$G$194</x:f>
        <x:v>11250</x:v>
      </x:c>
      <x:c r="N1065" s="12" t="n">
        <x:f>养成消耗调参!$I$194</x:f>
        <x:v>0</x:v>
      </x:c>
      <x:c r="O1065" s="12" t="n">
        <x:f>养成消耗调参!$K$194</x:f>
        <x:v>36504</x:v>
      </x:c>
      <x:c r="P1065" s="12" t="n">
        <x:f>养成消耗调参!$N$194</x:f>
        <x:v>227250</x:v>
      </x:c>
      <x:c r="Q1065" s="12" t="n">
        <x:f>养成消耗调参!$P$194</x:f>
        <x:v>810</x:v>
      </x:c>
      <x:c r="R1065" s="13">
        <x:f>I1065/英雄升级调参!$J$112-1</x:f>
        <x:v>-0.0018566632130379013</x:v>
      </x:c>
      <x:c r="S1065" s="6"/>
      <x:c r="T1065" s="6"/>
      <x:c r="U1065" s="6"/>
    </x:row>
    <x:row r="1066" ht="21" customHeight="1">
      <x:c r="A1066" s="14" t="n">
        <x:f>英雄升级调参!$B$24</x:f>
        <x:v>310006</x:v>
      </x:c>
      <x:c r="B1066" s="14" t="str">
        <x:f>英雄升级调参!$C$24</x:f>
        <x:v>玛莫莉莉狮</x:v>
      </x:c>
      <x:c r="C1066" s="6" t="str">
        <x:f>英雄升级调参!$D$24</x:f>
        <x:v>战士</x:v>
      </x:c>
      <x:c r="D1066" s="6" t="s">
        <x:v>22</x:v>
      </x:c>
      <x:c r="E1066" s="6">
        <x:v>48</x:v>
      </x:c>
      <x:c r="F1066" s="6" t="n">
        <x:f>英雄升级调参!$C$113</x:f>
        <x:v>10</x:v>
      </x:c>
      <x:c r="G1066" s="12">
        <x:f t="shared" si="98"/>
        <x:v>6863</x:v>
      </x:c>
      <x:c r="H1066" s="12">
        <x:f t="shared" si="99"/>
        <x:v>47653</x:v>
      </x:c>
      <x:c r="I1066" s="12">
        <x:f t="shared" si="97"/>
        <x:v>327042539</x:v>
      </x:c>
      <x:c r="J1066" s="12">
        <x:f>ROUND(英雄升级调参!$D$113*英雄升级调参!$J$10*英雄升级调参!$E$24,0)</x:f>
        <x:v>178</x:v>
      </x:c>
      <x:c r="K1066" s="12">
        <x:f>ROUND(英雄升级调参!$D$113*英雄升级调参!$C$11*英雄升级调参!$J$10*英雄升级调参!$G$24,0)</x:f>
        <x:v>1238</x:v>
      </x:c>
      <x:c r="L1066" s="12" t="n">
        <x:f>养成消耗调参!$D$195</x:f>
        <x:v>1656</x:v>
      </x:c>
      <x:c r="M1066" s="12" t="n">
        <x:f>养成消耗调参!$G$195</x:f>
        <x:v>11250</x:v>
      </x:c>
      <x:c r="N1066" s="12" t="n">
        <x:f>养成消耗调参!$I$195</x:f>
        <x:v>0</x:v>
      </x:c>
      <x:c r="O1066" s="12" t="n">
        <x:f>养成消耗调参!$K$195</x:f>
        <x:v>38160</x:v>
      </x:c>
      <x:c r="P1066" s="12" t="n">
        <x:f>养成消耗调参!$N$195</x:f>
        <x:v>238500</x:v>
      </x:c>
      <x:c r="Q1066" s="12" t="n">
        <x:f>养成消耗调参!$P$195</x:f>
        <x:v>810</x:v>
      </x:c>
      <x:c r="R1066" s="13">
        <x:f>I1066/英雄升级调参!$J$113-1</x:f>
        <x:v>-0.001914247325462859</x:v>
      </x:c>
      <x:c r="S1066" s="6"/>
      <x:c r="T1066" s="6"/>
      <x:c r="U1066" s="6"/>
    </x:row>
    <x:row r="1067" ht="21" customHeight="1">
      <x:c r="A1067" s="14" t="n">
        <x:f>英雄升级调参!$B$24</x:f>
        <x:v>310006</x:v>
      </x:c>
      <x:c r="B1067" s="14" t="str">
        <x:f>英雄升级调参!$C$24</x:f>
        <x:v>玛莫莉莉狮</x:v>
      </x:c>
      <x:c r="C1067" s="6" t="str">
        <x:f>英雄升级调参!$D$24</x:f>
        <x:v>战士</x:v>
      </x:c>
      <x:c r="D1067" s="6" t="s">
        <x:v>22</x:v>
      </x:c>
      <x:c r="E1067" s="6">
        <x:v>49</x:v>
      </x:c>
      <x:c r="F1067" s="6" t="n">
        <x:f>英雄升级调参!$C$114</x:f>
        <x:v>10</x:v>
      </x:c>
      <x:c r="G1067" s="12">
        <x:f t="shared" si="98"/>
        <x:v>7041</x:v>
      </x:c>
      <x:c r="H1067" s="12">
        <x:f t="shared" si="99"/>
        <x:v>48891</x:v>
      </x:c>
      <x:c r="I1067" s="12">
        <x:f t="shared" si="97"/>
        <x:v>344241531</x:v>
      </x:c>
      <x:c r="J1067" s="12">
        <x:f>ROUND(英雄升级调参!$D$114*英雄升级调参!$J$10*英雄升级调参!$E$24,0)</x:f>
        <x:v>178</x:v>
      </x:c>
      <x:c r="K1067" s="12">
        <x:f>ROUND(英雄升级调参!$D$114*英雄升级调参!$C$11*英雄升级调参!$J$10*英雄升级调参!$G$24,0)</x:f>
        <x:v>1238</x:v>
      </x:c>
      <x:c r="L1067" s="12" t="n">
        <x:f>养成消耗调参!$D$196</x:f>
        <x:v>1656</x:v>
      </x:c>
      <x:c r="M1067" s="12" t="n">
        <x:f>养成消耗调参!$G$196</x:f>
        <x:v>11250</x:v>
      </x:c>
      <x:c r="N1067" s="12" t="n">
        <x:f>养成消耗调参!$I$196</x:f>
        <x:v>0</x:v>
      </x:c>
      <x:c r="O1067" s="12" t="n">
        <x:f>养成消耗调参!$K$196</x:f>
        <x:v>39816</x:v>
      </x:c>
      <x:c r="P1067" s="12" t="n">
        <x:f>养成消耗调参!$N$196</x:f>
        <x:v>249750</x:v>
      </x:c>
      <x:c r="Q1067" s="12" t="n">
        <x:f>养成消耗调参!$P$196</x:f>
        <x:v>810</x:v>
      </x:c>
      <x:c r="R1067" s="13">
        <x:f>I1067/英雄升级调参!$J$114-1</x:f>
        <x:v>-0.001968913719720744</x:v>
      </x:c>
      <x:c r="S1067" s="6"/>
      <x:c r="T1067" s="6"/>
      <x:c r="U1067" s="6"/>
    </x:row>
    <x:row r="1068" ht="21" customHeight="1">
      <x:c r="A1068" s="14" t="n">
        <x:f>英雄升级调参!$B$24</x:f>
        <x:v>310006</x:v>
      </x:c>
      <x:c r="B1068" s="14" t="str">
        <x:f>英雄升级调参!$C$24</x:f>
        <x:v>玛莫莉莉狮</x:v>
      </x:c>
      <x:c r="C1068" s="6" t="str">
        <x:f>英雄升级调参!$D$24</x:f>
        <x:v>战士</x:v>
      </x:c>
      <x:c r="D1068" s="6" t="s">
        <x:v>22</x:v>
      </x:c>
      <x:c r="E1068" s="6">
        <x:v>50</x:v>
      </x:c>
      <x:c r="F1068" s="6" t="n">
        <x:f>英雄升级调参!$C$115</x:f>
        <x:v>10</x:v>
      </x:c>
      <x:c r="G1068" s="12">
        <x:f t="shared" si="98"/>
        <x:v>7575</x:v>
      </x:c>
      <x:c r="H1068" s="12">
        <x:f t="shared" si="99"/>
        <x:v>52605</x:v>
      </x:c>
      <x:c r="I1068" s="12">
        <x:f t="shared" si="97"/>
        <x:v>398482875</x:v>
      </x:c>
      <x:c r="J1068" s="12">
        <x:f>ROUND(英雄升级调参!$D$115*英雄升级调参!$J$10*英雄升级调参!$E$24,0)*3</x:f>
        <x:v>534</x:v>
      </x:c>
      <x:c r="K1068" s="12">
        <x:f>ROUND(英雄升级调参!$D$115*英雄升级调参!$C$11*英雄升级调参!$J$10*英雄升级调参!$G$24,0)*3</x:f>
        <x:v>3714</x:v>
      </x:c>
      <x:c r="L1068" s="12" t="n">
        <x:f>养成消耗调参!$D$197</x:f>
        <x:v>1728</x:v>
      </x:c>
      <x:c r="M1068" s="12" t="n">
        <x:f>养成消耗调参!$G$197</x:f>
        <x:v>11250</x:v>
      </x:c>
      <x:c r="N1068" s="12" t="n">
        <x:f>养成消耗调参!$I$197</x:f>
        <x:v>190</x:v>
      </x:c>
      <x:c r="O1068" s="12" t="n">
        <x:f>养成消耗调参!$K$197</x:f>
        <x:v>41544</x:v>
      </x:c>
      <x:c r="P1068" s="12" t="n">
        <x:f>养成消耗调参!$N$197</x:f>
        <x:v>261000</x:v>
      </x:c>
      <x:c r="Q1068" s="12" t="n">
        <x:f>养成消耗调参!$P$197</x:f>
        <x:v>1000</x:v>
      </x:c>
      <x:c r="R1068" s="13">
        <x:f>I1068/英雄升级调参!$J$115-1</x:f>
        <x:v>-0.0021174675162130008</x:v>
      </x:c>
      <x:c r="S1068" s="6"/>
      <x:c r="T1068" s="6"/>
      <x:c r="U1068" s="6"/>
    </x:row>
    <x:row r="1069" ht="21" customHeight="1">
      <x:c r="A1069" s="14" t="n">
        <x:f>英雄升级调参!$B$24</x:f>
        <x:v>310006</x:v>
      </x:c>
      <x:c r="B1069" s="14" t="str">
        <x:f>英雄升级调参!$C$24</x:f>
        <x:v>玛莫莉莉狮</x:v>
      </x:c>
      <x:c r="C1069" s="6" t="str">
        <x:f>英雄升级调参!$D$24</x:f>
        <x:v>战士</x:v>
      </x:c>
      <x:c r="D1069" s="6" t="s">
        <x:v>25</x:v>
      </x:c>
      <x:c r="E1069" s="6">
        <x:v>1</x:v>
      </x:c>
      <x:c r="F1069" s="6" t="n">
        <x:f>英雄升级调参!$C$66</x:f>
        <x:v>1</x:v>
      </x:c>
      <x:c r="G1069" s="12">
        <x:f>G978</x:f>
        <x:v>428</x:v>
      </x:c>
      <x:c r="H1069" s="12">
        <x:f>H978</x:f>
        <x:v>2975</x:v>
      </x:c>
      <x:c r="I1069" s="12">
        <x:f t="shared" si="97"/>
        <x:v>1273300</x:v>
      </x:c>
      <x:c r="J1069" s="12" t="n">
        <x:f>0</x:f>
        <x:v>0</x:v>
      </x:c>
      <x:c r="K1069" s="12" t="n">
        <x:f>0</x:f>
        <x:v>0</x:v>
      </x:c>
      <x:c r="L1069" s="12" t="n">
        <x:f>养成消耗调参!$E$148</x:f>
        <x:v>0</x:v>
      </x:c>
      <x:c r="M1069" s="12" t="n">
        <x:f>养成消耗调参!$H$148</x:f>
        <x:v>0</x:v>
      </x:c>
      <x:c r="N1069" s="12" t="n">
        <x:f>养成消耗调参!$I$148</x:f>
        <x:v>0</x:v>
      </x:c>
      <x:c r="O1069" s="12" t="n">
        <x:f>养成消耗调参!$L$148</x:f>
        <x:v>0</x:v>
      </x:c>
      <x:c r="P1069" s="12" t="n">
        <x:f>养成消耗调参!$O$148</x:f>
        <x:v>0</x:v>
      </x:c>
      <x:c r="Q1069" s="12" t="n">
        <x:f>养成消耗调参!$P$148</x:f>
        <x:v>0</x:v>
      </x:c>
      <x:c r="R1069" s="13">
        <x:f>I1069/英雄升级调参!$M$66-1</x:f>
        <x:v>-0.0009337068160597539</x:v>
      </x:c>
      <x:c r="S1069" s="6"/>
      <x:c r="T1069" s="6"/>
      <x:c r="U1069" s="6"/>
    </x:row>
    <x:row r="1070" ht="21" customHeight="1">
      <x:c r="A1070" s="14" t="n">
        <x:f>英雄升级调参!$B$24</x:f>
        <x:v>310006</x:v>
      </x:c>
      <x:c r="B1070" s="14" t="str">
        <x:f>英雄升级调参!$C$24</x:f>
        <x:v>玛莫莉莉狮</x:v>
      </x:c>
      <x:c r="C1070" s="6" t="str">
        <x:f>英雄升级调参!$D$24</x:f>
        <x:v>战士</x:v>
      </x:c>
      <x:c r="D1070" s="6" t="s">
        <x:v>25</x:v>
      </x:c>
      <x:c r="E1070" s="6">
        <x:v>2</x:v>
      </x:c>
      <x:c r="F1070" s="6" t="n">
        <x:f>英雄升级调参!$C$67</x:f>
        <x:v>1</x:v>
      </x:c>
      <x:c r="G1070" s="12">
        <x:f t="shared" ref="G1070:G1101" si="100">G1069+J1070</x:f>
        <x:v>482</x:v>
      </x:c>
      <x:c r="H1070" s="12">
        <x:f t="shared" ref="H1070:H1101" si="101">H1069+K1070</x:f>
        <x:v>3350</x:v>
      </x:c>
      <x:c r="I1070" s="12">
        <x:f t="shared" si="97"/>
        <x:v>1614700</x:v>
      </x:c>
      <x:c r="J1070" s="12">
        <x:f>ROUND(英雄升级调参!$D$67*英雄升级调参!$J$11*英雄升级调参!$E$24,0)</x:f>
        <x:v>54</x:v>
      </x:c>
      <x:c r="K1070" s="12">
        <x:f>ROUND(英雄升级调参!$D$67*英雄升级调参!$C$11*英雄升级调参!$J$11*英雄升级调参!$G$24,0)</x:f>
        <x:v>375</x:v>
      </x:c>
      <x:c r="L1070" s="12" t="n">
        <x:f>养成消耗调参!$E$149</x:f>
        <x:v>48</x:v>
      </x:c>
      <x:c r="M1070" s="12" t="n">
        <x:f>养成消耗调参!$H$149</x:f>
        <x:v>600</x:v>
      </x:c>
      <x:c r="N1070" s="12" t="n">
        <x:f>养成消耗调参!$I$149</x:f>
        <x:v>0</x:v>
      </x:c>
      <x:c r="O1070" s="12" t="n">
        <x:f>养成消耗调参!$L$149</x:f>
        <x:v>48</x:v>
      </x:c>
      <x:c r="P1070" s="12" t="n">
        <x:f>养成消耗调参!$O$149</x:f>
        <x:v>600</x:v>
      </x:c>
      <x:c r="Q1070" s="12" t="n">
        <x:f>养成消耗调参!$P$149</x:f>
        <x:v>0</x:v>
      </x:c>
      <x:c r="R1070" s="13">
        <x:f>I1070/英雄升级调参!$M$67-1</x:f>
        <x:v>-0.0008291873963516272</x:v>
      </x:c>
      <x:c r="S1070" s="6"/>
      <x:c r="T1070" s="6"/>
      <x:c r="U1070" s="6"/>
    </x:row>
    <x:row r="1071" ht="21" customHeight="1">
      <x:c r="A1071" s="14" t="n">
        <x:f>英雄升级调参!$B$24</x:f>
        <x:v>310006</x:v>
      </x:c>
      <x:c r="B1071" s="14" t="str">
        <x:f>英雄升级调参!$C$24</x:f>
        <x:v>玛莫莉莉狮</x:v>
      </x:c>
      <x:c r="C1071" s="6" t="str">
        <x:f>英雄升级调参!$D$24</x:f>
        <x:v>战士</x:v>
      </x:c>
      <x:c r="D1071" s="6" t="s">
        <x:v>25</x:v>
      </x:c>
      <x:c r="E1071" s="6">
        <x:v>3</x:v>
      </x:c>
      <x:c r="F1071" s="6" t="n">
        <x:f>英雄升级调参!$C$68</x:f>
        <x:v>1</x:v>
      </x:c>
      <x:c r="G1071" s="12">
        <x:f t="shared" si="100"/>
        <x:v>536</x:v>
      </x:c>
      <x:c r="H1071" s="12">
        <x:f t="shared" si="101"/>
        <x:v>3725</x:v>
      </x:c>
      <x:c r="I1071" s="12">
        <x:f t="shared" si="97"/>
        <x:v>1996600</x:v>
      </x:c>
      <x:c r="J1071" s="12">
        <x:f>ROUND(英雄升级调参!$D$68*英雄升级调参!$J$11*英雄升级调参!$E$24,0)</x:f>
        <x:v>54</x:v>
      </x:c>
      <x:c r="K1071" s="12">
        <x:f>ROUND(英雄升级调参!$D$68*英雄升级调参!$C$11*英雄升级调参!$J$11*英雄升级调参!$G$24,0)</x:f>
        <x:v>375</x:v>
      </x:c>
      <x:c r="L1071" s="12" t="n">
        <x:f>养成消耗调参!$E$150</x:f>
        <x:v>48</x:v>
      </x:c>
      <x:c r="M1071" s="12" t="n">
        <x:f>养成消耗调参!$H$150</x:f>
        <x:v>600</x:v>
      </x:c>
      <x:c r="N1071" s="12" t="n">
        <x:f>养成消耗调参!$I$150</x:f>
        <x:v>0</x:v>
      </x:c>
      <x:c r="O1071" s="12" t="n">
        <x:f>养成消耗调参!$L$150</x:f>
        <x:v>96</x:v>
      </x:c>
      <x:c r="P1071" s="12" t="n">
        <x:f>养成消耗调参!$O$150</x:f>
        <x:v>1200</x:v>
      </x:c>
      <x:c r="Q1071" s="12" t="n">
        <x:f>养成消耗调参!$P$150</x:f>
        <x:v>0</x:v>
      </x:c>
      <x:c r="R1071" s="13">
        <x:f>I1071/英雄升级调参!$M$68-1</x:f>
        <x:v>-0.0007457121551081025</x:v>
      </x:c>
      <x:c r="S1071" s="6"/>
      <x:c r="T1071" s="6"/>
      <x:c r="U1071" s="6"/>
    </x:row>
    <x:row r="1072" ht="21" customHeight="1">
      <x:c r="A1072" s="14" t="n">
        <x:f>英雄升级调参!$B$24</x:f>
        <x:v>310006</x:v>
      </x:c>
      <x:c r="B1072" s="14" t="str">
        <x:f>英雄升级调参!$C$24</x:f>
        <x:v>玛莫莉莉狮</x:v>
      </x:c>
      <x:c r="C1072" s="6" t="str">
        <x:f>英雄升级调参!$D$24</x:f>
        <x:v>战士</x:v>
      </x:c>
      <x:c r="D1072" s="6" t="s">
        <x:v>25</x:v>
      </x:c>
      <x:c r="E1072" s="6">
        <x:v>4</x:v>
      </x:c>
      <x:c r="F1072" s="6" t="n">
        <x:f>英雄升级调参!$C$69</x:f>
        <x:v>1</x:v>
      </x:c>
      <x:c r="G1072" s="12">
        <x:f t="shared" si="100"/>
        <x:v>590</x:v>
      </x:c>
      <x:c r="H1072" s="12">
        <x:f t="shared" si="101"/>
        <x:v>4100</x:v>
      </x:c>
      <x:c r="I1072" s="12">
        <x:f t="shared" si="97"/>
        <x:v>2419000</x:v>
      </x:c>
      <x:c r="J1072" s="12">
        <x:f>ROUND(英雄升级调参!$D$69*英雄升级调参!$J$11*英雄升级调参!$E$24,0)</x:f>
        <x:v>54</x:v>
      </x:c>
      <x:c r="K1072" s="12">
        <x:f>ROUND(英雄升级调参!$D$69*英雄升级调参!$C$11*英雄升级调参!$J$11*英雄升级调参!$G$24,0)</x:f>
        <x:v>375</x:v>
      </x:c>
      <x:c r="L1072" s="12" t="n">
        <x:f>养成消耗调参!$E$151</x:f>
        <x:v>96</x:v>
      </x:c>
      <x:c r="M1072" s="12" t="n">
        <x:f>养成消耗调参!$H$151</x:f>
        <x:v>600</x:v>
      </x:c>
      <x:c r="N1072" s="12" t="n">
        <x:f>养成消耗调参!$I$151</x:f>
        <x:v>0</x:v>
      </x:c>
      <x:c r="O1072" s="12" t="n">
        <x:f>养成消耗调参!$L$151</x:f>
        <x:v>192</x:v>
      </x:c>
      <x:c r="P1072" s="12" t="n">
        <x:f>养成消耗调参!$O$151</x:f>
        <x:v>1800</x:v>
      </x:c>
      <x:c r="Q1072" s="12" t="n">
        <x:f>养成消耗调参!$P$151</x:f>
        <x:v>0</x:v>
      </x:c>
      <x:c r="R1072" s="13">
        <x:f>I1072/英雄升级调参!$M$69-1</x:f>
        <x:v>-0.0006775067750677266</x:v>
      </x:c>
      <x:c r="S1072" s="6"/>
      <x:c r="T1072" s="6"/>
      <x:c r="U1072" s="6"/>
    </x:row>
    <x:row r="1073" ht="21" customHeight="1">
      <x:c r="A1073" s="14" t="n">
        <x:f>英雄升级调参!$B$24</x:f>
        <x:v>310006</x:v>
      </x:c>
      <x:c r="B1073" s="14" t="str">
        <x:f>英雄升级调参!$C$24</x:f>
        <x:v>玛莫莉莉狮</x:v>
      </x:c>
      <x:c r="C1073" s="6" t="str">
        <x:f>英雄升级调参!$D$24</x:f>
        <x:v>战士</x:v>
      </x:c>
      <x:c r="D1073" s="6" t="s">
        <x:v>25</x:v>
      </x:c>
      <x:c r="E1073" s="6">
        <x:v>5</x:v>
      </x:c>
      <x:c r="F1073" s="6" t="n">
        <x:f>英雄升级调参!$C$70</x:f>
        <x:v>1</x:v>
      </x:c>
      <x:c r="G1073" s="12">
        <x:f t="shared" si="100"/>
        <x:v>752</x:v>
      </x:c>
      <x:c r="H1073" s="12">
        <x:f t="shared" si="101"/>
        <x:v>5225</x:v>
      </x:c>
      <x:c r="I1073" s="12">
        <x:f t="shared" si="97"/>
        <x:v>3929200</x:v>
      </x:c>
      <x:c r="J1073" s="12">
        <x:f>ROUND(英雄升级调参!$D$70*英雄升级调参!$J$11*英雄升级调参!$E$24,0)*3</x:f>
        <x:v>162</x:v>
      </x:c>
      <x:c r="K1073" s="12">
        <x:f>ROUND(英雄升级调参!$D$70*英雄升级调参!$C$11*英雄升级调参!$J$11*英雄升级调参!$G$24,0)*3</x:f>
        <x:v>1125</x:v>
      </x:c>
      <x:c r="L1073" s="12" t="n">
        <x:f>养成消耗调参!$E$152</x:f>
        <x:v>96</x:v>
      </x:c>
      <x:c r="M1073" s="12" t="n">
        <x:f>养成消耗调参!$H$152</x:f>
        <x:v>600</x:v>
      </x:c>
      <x:c r="N1073" s="12" t="n">
        <x:f>养成消耗调参!$I$152</x:f>
        <x:v>10</x:v>
      </x:c>
      <x:c r="O1073" s="12" t="n">
        <x:f>养成消耗调参!$L$152</x:f>
        <x:v>288</x:v>
      </x:c>
      <x:c r="P1073" s="12" t="n">
        <x:f>养成消耗调参!$O$152</x:f>
        <x:v>2400</x:v>
      </x:c>
      <x:c r="Q1073" s="12" t="n">
        <x:f>养成消耗调参!$P$152</x:f>
        <x:v>10</x:v>
      </x:c>
      <x:c r="R1073" s="13">
        <x:f>I1073/英雄升级调参!$M$70-1</x:f>
        <x:v>-0.0005316321105794941</x:v>
      </x:c>
      <x:c r="S1073" s="6"/>
      <x:c r="T1073" s="6"/>
      <x:c r="U1073" s="6"/>
    </x:row>
    <x:row r="1074" ht="21" customHeight="1">
      <x:c r="A1074" s="14" t="n">
        <x:f>英雄升级调参!$B$24</x:f>
        <x:v>310006</x:v>
      </x:c>
      <x:c r="B1074" s="14" t="str">
        <x:f>英雄升级调参!$C$24</x:f>
        <x:v>玛莫莉莉狮</x:v>
      </x:c>
      <x:c r="C1074" s="6" t="str">
        <x:f>英雄升级调参!$D$24</x:f>
        <x:v>战士</x:v>
      </x:c>
      <x:c r="D1074" s="6" t="s">
        <x:v>25</x:v>
      </x:c>
      <x:c r="E1074" s="6">
        <x:v>6</x:v>
      </x:c>
      <x:c r="F1074" s="6" t="n">
        <x:f>英雄升级调参!$C$71</x:f>
        <x:v>2</x:v>
      </x:c>
      <x:c r="G1074" s="12">
        <x:f t="shared" si="100"/>
        <x:v>833</x:v>
      </x:c>
      <x:c r="H1074" s="12">
        <x:f t="shared" si="101"/>
        <x:v>5788</x:v>
      </x:c>
      <x:c r="I1074" s="12">
        <x:f t="shared" si="97"/>
        <x:v>4821404</x:v>
      </x:c>
      <x:c r="J1074" s="12">
        <x:f>ROUND(英雄升级调参!$D$71*英雄升级调参!$J$11*英雄升级调参!$E$24,0)</x:f>
        <x:v>81</x:v>
      </x:c>
      <x:c r="K1074" s="12">
        <x:f>ROUND(英雄升级调参!$D$71*英雄升级调参!$C$11*英雄升级调参!$J$11*英雄升级调参!$G$24,0)</x:f>
        <x:v>563</x:v>
      </x:c>
      <x:c r="L1074" s="12" t="n">
        <x:f>养成消耗调参!$E$153</x:f>
        <x:v>192</x:v>
      </x:c>
      <x:c r="M1074" s="12" t="n">
        <x:f>养成消耗调参!$H$153</x:f>
        <x:v>600</x:v>
      </x:c>
      <x:c r="N1074" s="12" t="n">
        <x:f>养成消耗调参!$I$153</x:f>
        <x:v>0</x:v>
      </x:c>
      <x:c r="O1074" s="12" t="n">
        <x:f>养成消耗调参!$L$153</x:f>
        <x:v>480</x:v>
      </x:c>
      <x:c r="P1074" s="12" t="n">
        <x:f>养成消耗调参!$O$153</x:f>
        <x:v>3000</x:v>
      </x:c>
      <x:c r="Q1074" s="12" t="n">
        <x:f>养成消耗调参!$P$153</x:f>
        <x:v>10</x:v>
      </x:c>
      <x:c r="R1074" s="13">
        <x:f>I1074/英雄升级调参!$M$71-1</x:f>
        <x:v>-0.0011127512676684104</x:v>
      </x:c>
      <x:c r="S1074" s="6"/>
      <x:c r="T1074" s="6"/>
      <x:c r="U1074" s="6"/>
    </x:row>
    <x:row r="1075" ht="21" customHeight="1">
      <x:c r="A1075" s="14" t="n">
        <x:f>英雄升级调参!$B$24</x:f>
        <x:v>310006</x:v>
      </x:c>
      <x:c r="B1075" s="14" t="str">
        <x:f>英雄升级调参!$C$24</x:f>
        <x:v>玛莫莉莉狮</x:v>
      </x:c>
      <x:c r="C1075" s="6" t="str">
        <x:f>英雄升级调参!$D$24</x:f>
        <x:v>战士</x:v>
      </x:c>
      <x:c r="D1075" s="6" t="s">
        <x:v>25</x:v>
      </x:c>
      <x:c r="E1075" s="6">
        <x:v>7</x:v>
      </x:c>
      <x:c r="F1075" s="6" t="n">
        <x:f>英雄升级调参!$C$72</x:f>
        <x:v>2</x:v>
      </x:c>
      <x:c r="G1075" s="12">
        <x:f t="shared" si="100"/>
        <x:v>914</x:v>
      </x:c>
      <x:c r="H1075" s="12">
        <x:f t="shared" si="101"/>
        <x:v>6351</x:v>
      </x:c>
      <x:c r="I1075" s="12">
        <x:f t="shared" si="97"/>
        <x:v>5804814</x:v>
      </x:c>
      <x:c r="J1075" s="12">
        <x:f>ROUND(英雄升级调参!$D$72*英雄升级调参!$J$11*英雄升级调参!$E$24,0)</x:f>
        <x:v>81</x:v>
      </x:c>
      <x:c r="K1075" s="12">
        <x:f>ROUND(英雄升级调参!$D$72*英雄升级调参!$C$11*英雄升级调参!$J$11*英雄升级调参!$G$24,0)</x:f>
        <x:v>563</x:v>
      </x:c>
      <x:c r="L1075" s="12" t="n">
        <x:f>养成消耗调参!$E$154</x:f>
        <x:v>192</x:v>
      </x:c>
      <x:c r="M1075" s="12" t="n">
        <x:f>养成消耗调参!$H$154</x:f>
        <x:v>1800</x:v>
      </x:c>
      <x:c r="N1075" s="12" t="n">
        <x:f>养成消耗调参!$I$154</x:f>
        <x:v>0</x:v>
      </x:c>
      <x:c r="O1075" s="12" t="n">
        <x:f>养成消耗调参!$L$154</x:f>
        <x:v>672</x:v>
      </x:c>
      <x:c r="P1075" s="12" t="n">
        <x:f>养成消耗调参!$O$154</x:f>
        <x:v>4800</x:v>
      </x:c>
      <x:c r="Q1075" s="12" t="n">
        <x:f>养成消耗调参!$P$154</x:f>
        <x:v>10</x:v>
      </x:c>
      <x:c r="R1075" s="13">
        <x:f>I1075/英雄升级调参!$M$72-1</x:f>
        <x:v>-0.0015902828660179225</x:v>
      </x:c>
      <x:c r="S1075" s="6"/>
      <x:c r="T1075" s="6"/>
      <x:c r="U1075" s="6"/>
    </x:row>
    <x:row r="1076" ht="21" customHeight="1">
      <x:c r="A1076" s="14" t="n">
        <x:f>英雄升级调参!$B$24</x:f>
        <x:v>310006</x:v>
      </x:c>
      <x:c r="B1076" s="14" t="str">
        <x:f>英雄升级调参!$C$24</x:f>
        <x:v>玛莫莉莉狮</x:v>
      </x:c>
      <x:c r="C1076" s="6" t="str">
        <x:f>英雄升级调参!$D$24</x:f>
        <x:v>战士</x:v>
      </x:c>
      <x:c r="D1076" s="6" t="s">
        <x:v>25</x:v>
      </x:c>
      <x:c r="E1076" s="6">
        <x:v>8</x:v>
      </x:c>
      <x:c r="F1076" s="6" t="n">
        <x:f>英雄升级调参!$C$73</x:f>
        <x:v>2</x:v>
      </x:c>
      <x:c r="G1076" s="12">
        <x:f t="shared" si="100"/>
        <x:v>995</x:v>
      </x:c>
      <x:c r="H1076" s="12">
        <x:f t="shared" si="101"/>
        <x:v>6914</x:v>
      </x:c>
      <x:c r="I1076" s="12">
        <x:f t="shared" si="97"/>
        <x:v>6879430</x:v>
      </x:c>
      <x:c r="J1076" s="12">
        <x:f>ROUND(英雄升级调参!$D$73*英雄升级调参!$J$11*英雄升级调参!$E$24,0)</x:f>
        <x:v>81</x:v>
      </x:c>
      <x:c r="K1076" s="12">
        <x:f>ROUND(英雄升级调参!$D$73*英雄升级调参!$C$11*英雄升级调参!$J$11*英雄升级调参!$G$24,0)</x:f>
        <x:v>563</x:v>
      </x:c>
      <x:c r="L1076" s="12" t="n">
        <x:f>养成消耗调参!$E$155</x:f>
        <x:v>288</x:v>
      </x:c>
      <x:c r="M1076" s="12" t="n">
        <x:f>养成消耗调参!$H$155</x:f>
        <x:v>1800</x:v>
      </x:c>
      <x:c r="N1076" s="12" t="n">
        <x:f>养成消耗调参!$I$155</x:f>
        <x:v>0</x:v>
      </x:c>
      <x:c r="O1076" s="12" t="n">
        <x:f>养成消耗调参!$L$155</x:f>
        <x:v>960</x:v>
      </x:c>
      <x:c r="P1076" s="12" t="n">
        <x:f>养成消耗调参!$O$155</x:f>
        <x:v>6600</x:v>
      </x:c>
      <x:c r="Q1076" s="12" t="n">
        <x:f>养成消耗调参!$P$155</x:f>
        <x:v>10</x:v>
      </x:c>
      <x:c r="R1076" s="13">
        <x:f>I1076/英雄升级调参!$M$73-1</x:f>
        <x:v>-0.001989657841232173</x:v>
      </x:c>
      <x:c r="S1076" s="6"/>
      <x:c r="T1076" s="6"/>
      <x:c r="U1076" s="6"/>
    </x:row>
    <x:row r="1077" ht="21" customHeight="1">
      <x:c r="A1077" s="14" t="n">
        <x:f>英雄升级调参!$B$24</x:f>
        <x:v>310006</x:v>
      </x:c>
      <x:c r="B1077" s="14" t="str">
        <x:f>英雄升级调参!$C$24</x:f>
        <x:v>玛莫莉莉狮</x:v>
      </x:c>
      <x:c r="C1077" s="6" t="str">
        <x:f>英雄升级调参!$D$24</x:f>
        <x:v>战士</x:v>
      </x:c>
      <x:c r="D1077" s="6" t="s">
        <x:v>25</x:v>
      </x:c>
      <x:c r="E1077" s="6">
        <x:v>9</x:v>
      </x:c>
      <x:c r="F1077" s="6" t="n">
        <x:f>英雄升级调参!$C$74</x:f>
        <x:v>2</x:v>
      </x:c>
      <x:c r="G1077" s="12">
        <x:f t="shared" si="100"/>
        <x:v>1076</x:v>
      </x:c>
      <x:c r="H1077" s="12">
        <x:f t="shared" si="101"/>
        <x:v>7477</x:v>
      </x:c>
      <x:c r="I1077" s="12">
        <x:f t="shared" si="97"/>
        <x:v>8045252</x:v>
      </x:c>
      <x:c r="J1077" s="12">
        <x:f>ROUND(英雄升级调参!$D$74*英雄升级调参!$J$11*英雄升级调参!$E$24,0)</x:f>
        <x:v>81</x:v>
      </x:c>
      <x:c r="K1077" s="12">
        <x:f>ROUND(英雄升级调参!$D$74*英雄升级调参!$C$11*英雄升级调参!$J$11*英雄升级调参!$G$24,0)</x:f>
        <x:v>563</x:v>
      </x:c>
      <x:c r="L1077" s="12" t="n">
        <x:f>养成消耗调参!$E$156</x:f>
        <x:v>288</x:v>
      </x:c>
      <x:c r="M1077" s="12" t="n">
        <x:f>养成消耗调参!$H$156</x:f>
        <x:v>1800</x:v>
      </x:c>
      <x:c r="N1077" s="12" t="n">
        <x:f>养成消耗调参!$I$156</x:f>
        <x:v>0</x:v>
      </x:c>
      <x:c r="O1077" s="12" t="n">
        <x:f>养成消耗调参!$L$156</x:f>
        <x:v>1248</x:v>
      </x:c>
      <x:c r="P1077" s="12" t="n">
        <x:f>养成消耗调参!$O$156</x:f>
        <x:v>8400</x:v>
      </x:c>
      <x:c r="Q1077" s="12" t="n">
        <x:f>养成消耗调参!$P$156</x:f>
        <x:v>10</x:v>
      </x:c>
      <x:c r="R1077" s="13">
        <x:f>I1077/英雄升级调参!$M$74-1</x:f>
        <x:v>-0.002328612368753591</x:v>
      </x:c>
      <x:c r="S1077" s="6"/>
      <x:c r="T1077" s="6"/>
      <x:c r="U1077" s="6"/>
    </x:row>
    <x:row r="1078" ht="21" customHeight="1">
      <x:c r="A1078" s="14" t="n">
        <x:f>英雄升级调参!$B$24</x:f>
        <x:v>310006</x:v>
      </x:c>
      <x:c r="B1078" s="14" t="str">
        <x:f>英雄升级调参!$C$24</x:f>
        <x:v>玛莫莉莉狮</x:v>
      </x:c>
      <x:c r="C1078" s="6" t="str">
        <x:f>英雄升级调参!$D$24</x:f>
        <x:v>战士</x:v>
      </x:c>
      <x:c r="D1078" s="6" t="s">
        <x:v>25</x:v>
      </x:c>
      <x:c r="E1078" s="6">
        <x:v>10</x:v>
      </x:c>
      <x:c r="F1078" s="6" t="n">
        <x:f>英雄升级调参!$C$75</x:f>
        <x:v>2</x:v>
      </x:c>
      <x:c r="G1078" s="12">
        <x:f t="shared" si="100"/>
        <x:v>1319</x:v>
      </x:c>
      <x:c r="H1078" s="12">
        <x:f t="shared" si="101"/>
        <x:v>9166</x:v>
      </x:c>
      <x:c r="I1078" s="12">
        <x:f t="shared" si="97"/>
        <x:v>12089954</x:v>
      </x:c>
      <x:c r="J1078" s="12">
        <x:f>ROUND(英雄升级调参!$D$75*英雄升级调参!$J$11*英雄升级调参!$E$24,0)*3</x:f>
        <x:v>243</x:v>
      </x:c>
      <x:c r="K1078" s="12">
        <x:f>ROUND(英雄升级调参!$D$75*英雄升级调参!$C$11*英雄升级调参!$J$11*英雄升级调参!$G$24,0)*3</x:f>
        <x:v>1689</x:v>
      </x:c>
      <x:c r="L1078" s="12" t="n">
        <x:f>养成消耗调参!$E$157</x:f>
        <x:v>384</x:v>
      </x:c>
      <x:c r="M1078" s="12" t="n">
        <x:f>养成消耗调参!$H$157</x:f>
        <x:v>1800</x:v>
      </x:c>
      <x:c r="N1078" s="12" t="n">
        <x:f>养成消耗调参!$I$157</x:f>
        <x:v>30</x:v>
      </x:c>
      <x:c r="O1078" s="12" t="n">
        <x:f>养成消耗调参!$L$157</x:f>
        <x:v>1632</x:v>
      </x:c>
      <x:c r="P1078" s="12" t="n">
        <x:f>养成消耗调参!$O$157</x:f>
        <x:v>10200</x:v>
      </x:c>
      <x:c r="Q1078" s="12" t="n">
        <x:f>养成消耗调参!$P$157</x:f>
        <x:v>40</x:v>
      </x:c>
      <x:c r="R1078" s="13">
        <x:f>I1078/英雄升级调参!$M$75-1</x:f>
        <x:v>-0.003094705950986487</x:v>
      </x:c>
      <x:c r="S1078" s="6"/>
      <x:c r="T1078" s="6"/>
      <x:c r="U1078" s="6"/>
    </x:row>
    <x:row r="1079" ht="21" customHeight="1">
      <x:c r="A1079" s="14" t="n">
        <x:f>英雄升级调参!$B$24</x:f>
        <x:v>310006</x:v>
      </x:c>
      <x:c r="B1079" s="14" t="str">
        <x:f>英雄升级调参!$C$24</x:f>
        <x:v>玛莫莉莉狮</x:v>
      </x:c>
      <x:c r="C1079" s="6" t="str">
        <x:f>英雄升级调参!$D$24</x:f>
        <x:v>战士</x:v>
      </x:c>
      <x:c r="D1079" s="6" t="s">
        <x:v>25</x:v>
      </x:c>
      <x:c r="E1079" s="6">
        <x:v>11</x:v>
      </x:c>
      <x:c r="F1079" s="6" t="n">
        <x:f>英雄升级调参!$C$76</x:f>
        <x:v>3</x:v>
      </x:c>
      <x:c r="G1079" s="12">
        <x:f t="shared" si="100"/>
        <x:v>1427</x:v>
      </x:c>
      <x:c r="H1079" s="12">
        <x:f t="shared" si="101"/>
        <x:v>9916</x:v>
      </x:c>
      <x:c r="I1079" s="12">
        <x:f t="shared" si="97"/>
        <x:v>14150132</x:v>
      </x:c>
      <x:c r="J1079" s="12">
        <x:f>ROUND(英雄升级调参!$D$76*英雄升级调参!$J$11*英雄升级调参!$E$24,0)</x:f>
        <x:v>108</x:v>
      </x:c>
      <x:c r="K1079" s="12">
        <x:f>ROUND(英雄升级调参!$D$76*英雄升级调参!$C$11*英雄升级调参!$J$11*英雄升级调参!$G$24,0)</x:f>
        <x:v>750</x:v>
      </x:c>
      <x:c r="L1079" s="12" t="n">
        <x:f>养成消耗调参!$E$158</x:f>
        <x:v>384</x:v>
      </x:c>
      <x:c r="M1079" s="12" t="n">
        <x:f>养成消耗调参!$H$158</x:f>
        <x:v>1800</x:v>
      </x:c>
      <x:c r="N1079" s="12" t="n">
        <x:f>养成消耗调参!$I$158</x:f>
        <x:v>0</x:v>
      </x:c>
      <x:c r="O1079" s="12" t="n">
        <x:f>养成消耗调参!$L$158</x:f>
        <x:v>2016</x:v>
      </x:c>
      <x:c r="P1079" s="12" t="n">
        <x:f>养成消耗调参!$O$158</x:f>
        <x:v>12000</x:v>
      </x:c>
      <x:c r="Q1079" s="12" t="n">
        <x:f>养成消耗调参!$P$158</x:f>
        <x:v>40</x:v>
      </x:c>
      <x:c r="R1079" s="13">
        <x:f>I1079/英雄升级调参!$M$76-1</x:f>
        <x:v>-0.0028612330510012773</x:v>
      </x:c>
      <x:c r="S1079" s="6"/>
      <x:c r="T1079" s="6"/>
      <x:c r="U1079" s="6"/>
    </x:row>
    <x:row r="1080" ht="21" customHeight="1">
      <x:c r="A1080" s="14" t="n">
        <x:f>英雄升级调参!$B$24</x:f>
        <x:v>310006</x:v>
      </x:c>
      <x:c r="B1080" s="14" t="str">
        <x:f>英雄升级调参!$C$24</x:f>
        <x:v>玛莫莉莉狮</x:v>
      </x:c>
      <x:c r="C1080" s="6" t="str">
        <x:f>英雄升级调参!$D$24</x:f>
        <x:v>战士</x:v>
      </x:c>
      <x:c r="D1080" s="6" t="s">
        <x:v>25</x:v>
      </x:c>
      <x:c r="E1080" s="6">
        <x:v>12</x:v>
      </x:c>
      <x:c r="F1080" s="6" t="n">
        <x:f>英雄升级调参!$C$77</x:f>
        <x:v>3</x:v>
      </x:c>
      <x:c r="G1080" s="12">
        <x:f t="shared" si="100"/>
        <x:v>1535</x:v>
      </x:c>
      <x:c r="H1080" s="12">
        <x:f t="shared" si="101"/>
        <x:v>10666</x:v>
      </x:c>
      <x:c r="I1080" s="12">
        <x:f t="shared" si="97"/>
        <x:v>16372310</x:v>
      </x:c>
      <x:c r="J1080" s="12">
        <x:f>ROUND(英雄升级调参!$D$77*英雄升级调参!$J$11*英雄升级调参!$E$24,0)</x:f>
        <x:v>108</x:v>
      </x:c>
      <x:c r="K1080" s="12">
        <x:f>ROUND(英雄升级调参!$D$77*英雄升级调参!$C$11*英雄升级调参!$J$11*英雄升级调参!$G$24,0)</x:f>
        <x:v>750</x:v>
      </x:c>
      <x:c r="L1080" s="12" t="n">
        <x:f>养成消耗调参!$E$159</x:f>
        <x:v>480</x:v>
      </x:c>
      <x:c r="M1080" s="12" t="n">
        <x:f>养成消耗调参!$H$159</x:f>
        <x:v>3000</x:v>
      </x:c>
      <x:c r="N1080" s="12" t="n">
        <x:f>养成消耗调参!$I$159</x:f>
        <x:v>0</x:v>
      </x:c>
      <x:c r="O1080" s="12" t="n">
        <x:f>养成消耗调参!$L$159</x:f>
        <x:v>2496</x:v>
      </x:c>
      <x:c r="P1080" s="12" t="n">
        <x:f>养成消耗调参!$O$159</x:f>
        <x:v>15000</x:v>
      </x:c>
      <x:c r="Q1080" s="12" t="n">
        <x:f>养成消耗调参!$P$159</x:f>
        <x:v>40</x:v>
      </x:c>
      <x:c r="R1080" s="13">
        <x:f>I1080/英雄升级调参!$M$77-1</x:f>
        <x:v>-0.002660516563581128</x:v>
      </x:c>
      <x:c r="S1080" s="6"/>
      <x:c r="T1080" s="6"/>
      <x:c r="U1080" s="6"/>
    </x:row>
    <x:row r="1081" ht="21" customHeight="1">
      <x:c r="A1081" s="14" t="n">
        <x:f>英雄升级调参!$B$24</x:f>
        <x:v>310006</x:v>
      </x:c>
      <x:c r="B1081" s="14" t="str">
        <x:f>英雄升级调参!$C$24</x:f>
        <x:v>玛莫莉莉狮</x:v>
      </x:c>
      <x:c r="C1081" s="6" t="str">
        <x:f>英雄升级调参!$D$24</x:f>
        <x:v>战士</x:v>
      </x:c>
      <x:c r="D1081" s="6" t="s">
        <x:v>25</x:v>
      </x:c>
      <x:c r="E1081" s="6">
        <x:v>13</x:v>
      </x:c>
      <x:c r="F1081" s="6" t="n">
        <x:f>英雄升级调参!$C$78</x:f>
        <x:v>3</x:v>
      </x:c>
      <x:c r="G1081" s="12">
        <x:f t="shared" si="100"/>
        <x:v>1643</x:v>
      </x:c>
      <x:c r="H1081" s="12">
        <x:f t="shared" si="101"/>
        <x:v>11416</x:v>
      </x:c>
      <x:c r="I1081" s="12">
        <x:f t="shared" si="97"/>
        <x:v>18756488</x:v>
      </x:c>
      <x:c r="J1081" s="12">
        <x:f>ROUND(英雄升级调参!$D$78*英雄升级调参!$J$11*英雄升级调参!$E$24,0)</x:f>
        <x:v>108</x:v>
      </x:c>
      <x:c r="K1081" s="12">
        <x:f>ROUND(英雄升级调参!$D$78*英雄升级调参!$C$11*英雄升级调参!$J$11*英雄升级调参!$G$24,0)</x:f>
        <x:v>750</x:v>
      </x:c>
      <x:c r="L1081" s="12" t="n">
        <x:f>养成消耗调参!$E$160</x:f>
        <x:v>480</x:v>
      </x:c>
      <x:c r="M1081" s="12" t="n">
        <x:f>养成消耗调参!$H$160</x:f>
        <x:v>3000</x:v>
      </x:c>
      <x:c r="N1081" s="12" t="n">
        <x:f>养成消耗调参!$I$160</x:f>
        <x:v>0</x:v>
      </x:c>
      <x:c r="O1081" s="12" t="n">
        <x:f>养成消耗调参!$L$160</x:f>
        <x:v>2976</x:v>
      </x:c>
      <x:c r="P1081" s="12" t="n">
        <x:f>养成消耗调参!$O$160</x:f>
        <x:v>18000</x:v>
      </x:c>
      <x:c r="Q1081" s="12" t="n">
        <x:f>养成消耗调参!$P$160</x:f>
        <x:v>40</x:v>
      </x:c>
      <x:c r="R1081" s="13">
        <x:f>I1081/英雄升级调参!$M$78-1</x:f>
        <x:v>-0.002486114756317215</x:v>
      </x:c>
      <x:c r="S1081" s="6"/>
      <x:c r="T1081" s="6"/>
      <x:c r="U1081" s="6"/>
    </x:row>
    <x:row r="1082" ht="21" customHeight="1">
      <x:c r="A1082" s="14" t="n">
        <x:f>英雄升级调参!$B$24</x:f>
        <x:v>310006</x:v>
      </x:c>
      <x:c r="B1082" s="14" t="str">
        <x:f>英雄升级调参!$C$24</x:f>
        <x:v>玛莫莉莉狮</x:v>
      </x:c>
      <x:c r="C1082" s="6" t="str">
        <x:f>英雄升级调参!$D$24</x:f>
        <x:v>战士</x:v>
      </x:c>
      <x:c r="D1082" s="6" t="s">
        <x:v>25</x:v>
      </x:c>
      <x:c r="E1082" s="6">
        <x:v>14</x:v>
      </x:c>
      <x:c r="F1082" s="6" t="n">
        <x:f>英雄升级调参!$C$79</x:f>
        <x:v>3</x:v>
      </x:c>
      <x:c r="G1082" s="12">
        <x:f t="shared" si="100"/>
        <x:v>1751</x:v>
      </x:c>
      <x:c r="H1082" s="12">
        <x:f t="shared" si="101"/>
        <x:v>12166</x:v>
      </x:c>
      <x:c r="I1082" s="12">
        <x:f t="shared" si="97"/>
        <x:v>21302666</x:v>
      </x:c>
      <x:c r="J1082" s="12">
        <x:f>ROUND(英雄升级调参!$D$79*英雄升级调参!$J$11*英雄升级调参!$E$24,0)</x:f>
        <x:v>108</x:v>
      </x:c>
      <x:c r="K1082" s="12">
        <x:f>ROUND(英雄升级调参!$D$79*英雄升级调参!$C$11*英雄升级调参!$J$11*英雄升级调参!$G$24,0)</x:f>
        <x:v>750</x:v>
      </x:c>
      <x:c r="L1082" s="12" t="n">
        <x:f>养成消耗调参!$E$161</x:f>
        <x:v>576</x:v>
      </x:c>
      <x:c r="M1082" s="12" t="n">
        <x:f>养成消耗调参!$H$161</x:f>
        <x:v>3000</x:v>
      </x:c>
      <x:c r="N1082" s="12" t="n">
        <x:f>养成消耗调参!$I$161</x:f>
        <x:v>0</x:v>
      </x:c>
      <x:c r="O1082" s="12" t="n">
        <x:f>养成消耗调参!$L$161</x:f>
        <x:v>3552</x:v>
      </x:c>
      <x:c r="P1082" s="12" t="n">
        <x:f>养成消耗调参!$O$161</x:f>
        <x:v>21000</x:v>
      </x:c>
      <x:c r="Q1082" s="12" t="n">
        <x:f>养成消耗调参!$P$161</x:f>
        <x:v>40</x:v>
      </x:c>
      <x:c r="R1082" s="13">
        <x:f>I1082/英雄升级调参!$M$79-1</x:f>
        <x:v>-0.0023331710571392605</x:v>
      </x:c>
      <x:c r="S1082" s="6"/>
      <x:c r="T1082" s="6"/>
      <x:c r="U1082" s="6"/>
    </x:row>
    <x:row r="1083" ht="21" customHeight="1">
      <x:c r="A1083" s="14" t="n">
        <x:f>英雄升级调参!$B$24</x:f>
        <x:v>310006</x:v>
      </x:c>
      <x:c r="B1083" s="14" t="str">
        <x:f>英雄升级调参!$C$24</x:f>
        <x:v>玛莫莉莉狮</x:v>
      </x:c>
      <x:c r="C1083" s="6" t="str">
        <x:f>英雄升级调参!$D$24</x:f>
        <x:v>战士</x:v>
      </x:c>
      <x:c r="D1083" s="6" t="s">
        <x:v>25</x:v>
      </x:c>
      <x:c r="E1083" s="6">
        <x:v>15</x:v>
      </x:c>
      <x:c r="F1083" s="6" t="n">
        <x:f>英雄升级调参!$C$80</x:f>
        <x:v>3</x:v>
      </x:c>
      <x:c r="G1083" s="12">
        <x:f t="shared" si="100"/>
        <x:v>2075</x:v>
      </x:c>
      <x:c r="H1083" s="12">
        <x:f t="shared" si="101"/>
        <x:v>14416</x:v>
      </x:c>
      <x:c r="I1083" s="12">
        <x:f t="shared" si="97"/>
        <x:v>29913200</x:v>
      </x:c>
      <x:c r="J1083" s="12">
        <x:f>ROUND(英雄升级调参!$D$80*英雄升级调参!$J$11*英雄升级调参!$E$24,0)*3</x:f>
        <x:v>324</x:v>
      </x:c>
      <x:c r="K1083" s="12">
        <x:f>ROUND(英雄升级调参!$D$80*英雄升级调参!$C$11*英雄升级调参!$J$11*英雄升级调参!$G$24,0)*3</x:f>
        <x:v>2250</x:v>
      </x:c>
      <x:c r="L1083" s="12" t="n">
        <x:f>养成消耗调参!$E$162</x:f>
        <x:v>576</x:v>
      </x:c>
      <x:c r="M1083" s="12" t="n">
        <x:f>养成消耗调参!$H$162</x:f>
        <x:v>3000</x:v>
      </x:c>
      <x:c r="N1083" s="12" t="n">
        <x:f>养成消耗调参!$I$162</x:f>
        <x:v>50</x:v>
      </x:c>
      <x:c r="O1083" s="12" t="n">
        <x:f>养成消耗调参!$L$162</x:f>
        <x:v>4128</x:v>
      </x:c>
      <x:c r="P1083" s="12" t="n">
        <x:f>养成消耗调参!$O$162</x:f>
        <x:v>24000</x:v>
      </x:c>
      <x:c r="Q1083" s="12" t="n">
        <x:f>养成消耗调参!$P$162</x:f>
        <x:v>90</x:v>
      </x:c>
      <x:c r="R1083" s="13">
        <x:f>I1083/英雄升级调参!$M$80-1</x:f>
        <x:v>-0.0019696562501928527</x:v>
      </x:c>
      <x:c r="S1083" s="6"/>
      <x:c r="T1083" s="6"/>
      <x:c r="U1083" s="6"/>
    </x:row>
    <x:row r="1084" ht="21" customHeight="1">
      <x:c r="A1084" s="14" t="n">
        <x:f>英雄升级调参!$B$24</x:f>
        <x:v>310006</x:v>
      </x:c>
      <x:c r="B1084" s="14" t="str">
        <x:f>英雄升级调参!$C$24</x:f>
        <x:v>玛莫莉莉狮</x:v>
      </x:c>
      <x:c r="C1084" s="6" t="str">
        <x:f>英雄升级调参!$D$24</x:f>
        <x:v>战士</x:v>
      </x:c>
      <x:c r="D1084" s="6" t="s">
        <x:v>25</x:v>
      </x:c>
      <x:c r="E1084" s="6">
        <x:v>16</x:v>
      </x:c>
      <x:c r="F1084" s="6" t="n">
        <x:f>英雄升级调参!$C$81</x:f>
        <x:v>4</x:v>
      </x:c>
      <x:c r="G1084" s="12">
        <x:f t="shared" si="100"/>
        <x:v>2210</x:v>
      </x:c>
      <x:c r="H1084" s="12">
        <x:f t="shared" si="101"/>
        <x:v>15354</x:v>
      </x:c>
      <x:c r="I1084" s="12">
        <x:f t="shared" si="97"/>
        <x:v>33932340</x:v>
      </x:c>
      <x:c r="J1084" s="12">
        <x:f>ROUND(英雄升级调参!$D$81*英雄升级调参!$J$11*英雄升级调参!$E$24,0)</x:f>
        <x:v>135</x:v>
      </x:c>
      <x:c r="K1084" s="12">
        <x:f>ROUND(英雄升级调参!$D$81*英雄升级调参!$C$11*英雄升级调参!$J$11*英雄升级调参!$G$24,0)</x:f>
        <x:v>938</x:v>
      </x:c>
      <x:c r="L1084" s="12" t="n">
        <x:f>养成消耗调参!$E$163</x:f>
        <x:v>672</x:v>
      </x:c>
      <x:c r="M1084" s="12" t="n">
        <x:f>养成消耗调参!$H$163</x:f>
        <x:v>3000</x:v>
      </x:c>
      <x:c r="N1084" s="12" t="n">
        <x:f>养成消耗调参!$I$163</x:f>
        <x:v>0</x:v>
      </x:c>
      <x:c r="O1084" s="12" t="n">
        <x:f>养成消耗调参!$L$163</x:f>
        <x:v>4800</x:v>
      </x:c>
      <x:c r="P1084" s="12" t="n">
        <x:f>养成消耗调参!$O$163</x:f>
        <x:v>27000</x:v>
      </x:c>
      <x:c r="Q1084" s="12" t="n">
        <x:f>养成消耗调参!$P$163</x:f>
        <x:v>90</x:v>
      </x:c>
      <x:c r="R1084" s="13">
        <x:f>I1084/英雄升级调参!$M$81-1</x:f>
        <x:v>-0.0020874432261320797</x:v>
      </x:c>
      <x:c r="S1084" s="6"/>
      <x:c r="T1084" s="6"/>
      <x:c r="U1084" s="6"/>
    </x:row>
    <x:row r="1085" ht="21" customHeight="1">
      <x:c r="A1085" s="14" t="n">
        <x:f>英雄升级调参!$B$24</x:f>
        <x:v>310006</x:v>
      </x:c>
      <x:c r="B1085" s="14" t="str">
        <x:f>英雄升级调参!$C$24</x:f>
        <x:v>玛莫莉莉狮</x:v>
      </x:c>
      <x:c r="C1085" s="6" t="str">
        <x:f>英雄升级调参!$D$24</x:f>
        <x:v>战士</x:v>
      </x:c>
      <x:c r="D1085" s="6" t="s">
        <x:v>25</x:v>
      </x:c>
      <x:c r="E1085" s="6">
        <x:v>17</x:v>
      </x:c>
      <x:c r="F1085" s="6" t="n">
        <x:f>英雄升级调参!$C$82</x:f>
        <x:v>4</x:v>
      </x:c>
      <x:c r="G1085" s="12">
        <x:f t="shared" si="100"/>
        <x:v>2345</x:v>
      </x:c>
      <x:c r="H1085" s="12">
        <x:f t="shared" si="101"/>
        <x:v>16292</x:v>
      </x:c>
      <x:c r="I1085" s="12">
        <x:f t="shared" si="97"/>
        <x:v>38204740</x:v>
      </x:c>
      <x:c r="J1085" s="12">
        <x:f>ROUND(英雄升级调参!$D$82*英雄升级调参!$J$11*英雄升级调参!$E$24,0)</x:f>
        <x:v>135</x:v>
      </x:c>
      <x:c r="K1085" s="12">
        <x:f>ROUND(英雄升级调参!$D$82*英雄升级调参!$C$11*英雄升级调参!$J$11*英雄升级调参!$G$24,0)</x:f>
        <x:v>938</x:v>
      </x:c>
      <x:c r="L1085" s="12" t="n">
        <x:f>养成消耗调参!$E$164</x:f>
        <x:v>672</x:v>
      </x:c>
      <x:c r="M1085" s="12" t="n">
        <x:f>养成消耗调参!$H$164</x:f>
        <x:v>4200</x:v>
      </x:c>
      <x:c r="N1085" s="12" t="n">
        <x:f>养成消耗调参!$I$164</x:f>
        <x:v>0</x:v>
      </x:c>
      <x:c r="O1085" s="12" t="n">
        <x:f>养成消耗调参!$L$164</x:f>
        <x:v>5472</x:v>
      </x:c>
      <x:c r="P1085" s="12" t="n">
        <x:f>养成消耗调参!$O$164</x:f>
        <x:v>31200</x:v>
      </x:c>
      <x:c r="Q1085" s="12" t="n">
        <x:f>养成消耗调参!$P$164</x:f>
        <x:v>90</x:v>
      </x:c>
      <x:c r="R1085" s="13">
        <x:f>I1085/英雄升级调参!$M$82-1</x:f>
        <x:v>-0.0021916413621737574</x:v>
      </x:c>
      <x:c r="S1085" s="6"/>
      <x:c r="T1085" s="6"/>
      <x:c r="U1085" s="6"/>
    </x:row>
    <x:row r="1086" ht="21" customHeight="1">
      <x:c r="A1086" s="14" t="n">
        <x:f>英雄升级调参!$B$24</x:f>
        <x:v>310006</x:v>
      </x:c>
      <x:c r="B1086" s="14" t="str">
        <x:f>英雄升级调参!$C$24</x:f>
        <x:v>玛莫莉莉狮</x:v>
      </x:c>
      <x:c r="C1086" s="6" t="str">
        <x:f>英雄升级调参!$D$24</x:f>
        <x:v>战士</x:v>
      </x:c>
      <x:c r="D1086" s="6" t="s">
        <x:v>25</x:v>
      </x:c>
      <x:c r="E1086" s="6">
        <x:v>18</x:v>
      </x:c>
      <x:c r="F1086" s="6" t="n">
        <x:f>英雄升级调参!$C$83</x:f>
        <x:v>4</x:v>
      </x:c>
      <x:c r="G1086" s="12">
        <x:f t="shared" si="100"/>
        <x:v>2480</x:v>
      </x:c>
      <x:c r="H1086" s="12">
        <x:f t="shared" si="101"/>
        <x:v>17230</x:v>
      </x:c>
      <x:c r="I1086" s="12">
        <x:f t="shared" si="97"/>
        <x:v>42730400</x:v>
      </x:c>
      <x:c r="J1086" s="12">
        <x:f>ROUND(英雄升级调参!$D$83*英雄升级调参!$J$11*英雄升级调参!$E$24,0)</x:f>
        <x:v>135</x:v>
      </x:c>
      <x:c r="K1086" s="12">
        <x:f>ROUND(英雄升级调参!$D$83*英雄升级调参!$C$11*英雄升级调参!$J$11*英雄升级调参!$G$24,0)</x:f>
        <x:v>938</x:v>
      </x:c>
      <x:c r="L1086" s="12" t="n">
        <x:f>养成消耗调参!$E$165</x:f>
        <x:v>768</x:v>
      </x:c>
      <x:c r="M1086" s="12" t="n">
        <x:f>养成消耗调参!$H$165</x:f>
        <x:v>4200</x:v>
      </x:c>
      <x:c r="N1086" s="12" t="n">
        <x:f>养成消耗调参!$I$165</x:f>
        <x:v>0</x:v>
      </x:c>
      <x:c r="O1086" s="12" t="n">
        <x:f>养成消耗调参!$L$165</x:f>
        <x:v>6240</x:v>
      </x:c>
      <x:c r="P1086" s="12" t="n">
        <x:f>养成消耗调参!$O$165</x:f>
        <x:v>35400</x:v>
      </x:c>
      <x:c r="Q1086" s="12" t="n">
        <x:f>养成消耗调参!$P$165</x:f>
        <x:v>90</x:v>
      </x:c>
      <x:c r="R1086" s="13">
        <x:f>I1086/英雄升级调参!$M$83-1</x:f>
        <x:v>-0.002284473982587243</x:v>
      </x:c>
      <x:c r="S1086" s="6"/>
      <x:c r="T1086" s="6"/>
      <x:c r="U1086" s="6"/>
    </x:row>
    <x:row r="1087" ht="21" customHeight="1">
      <x:c r="A1087" s="14" t="n">
        <x:f>英雄升级调参!$B$24</x:f>
        <x:v>310006</x:v>
      </x:c>
      <x:c r="B1087" s="14" t="str">
        <x:f>英雄升级调参!$C$24</x:f>
        <x:v>玛莫莉莉狮</x:v>
      </x:c>
      <x:c r="C1087" s="6" t="str">
        <x:f>英雄升级调参!$D$24</x:f>
        <x:v>战士</x:v>
      </x:c>
      <x:c r="D1087" s="6" t="s">
        <x:v>25</x:v>
      </x:c>
      <x:c r="E1087" s="6">
        <x:v>19</x:v>
      </x:c>
      <x:c r="F1087" s="6" t="n">
        <x:f>英雄升级调参!$C$84</x:f>
        <x:v>4</x:v>
      </x:c>
      <x:c r="G1087" s="12">
        <x:f t="shared" si="100"/>
        <x:v>2615</x:v>
      </x:c>
      <x:c r="H1087" s="12">
        <x:f t="shared" si="101"/>
        <x:v>18168</x:v>
      </x:c>
      <x:c r="I1087" s="12">
        <x:f t="shared" si="97"/>
        <x:v>47509320</x:v>
      </x:c>
      <x:c r="J1087" s="12">
        <x:f>ROUND(英雄升级调参!$D$84*英雄升级调参!$J$11*英雄升级调参!$E$24,0)</x:f>
        <x:v>135</x:v>
      </x:c>
      <x:c r="K1087" s="12">
        <x:f>ROUND(英雄升级调参!$D$84*英雄升级调参!$C$11*英雄升级调参!$J$11*英雄升级调参!$G$24,0)</x:f>
        <x:v>938</x:v>
      </x:c>
      <x:c r="L1087" s="12" t="n">
        <x:f>养成消耗调参!$E$166</x:f>
        <x:v>768</x:v>
      </x:c>
      <x:c r="M1087" s="12" t="n">
        <x:f>养成消耗调参!$H$166</x:f>
        <x:v>4200</x:v>
      </x:c>
      <x:c r="N1087" s="12" t="n">
        <x:f>养成消耗调参!$I$166</x:f>
        <x:v>0</x:v>
      </x:c>
      <x:c r="O1087" s="12" t="n">
        <x:f>养成消耗调参!$L$166</x:f>
        <x:v>7008</x:v>
      </x:c>
      <x:c r="P1087" s="12" t="n">
        <x:f>养成消耗调参!$O$166</x:f>
        <x:v>39600</x:v>
      </x:c>
      <x:c r="Q1087" s="12" t="n">
        <x:f>养成消耗调参!$P$166</x:f>
        <x:v>90</x:v>
      </x:c>
      <x:c r="R1087" s="13">
        <x:f>I1087/英雄升级调参!$M$84-1</x:f>
        <x:v>-0.002367704473188126</x:v>
      </x:c>
      <x:c r="S1087" s="6"/>
      <x:c r="T1087" s="6"/>
      <x:c r="U1087" s="6"/>
    </x:row>
    <x:row r="1088" ht="21" customHeight="1">
      <x:c r="A1088" s="14" t="n">
        <x:f>英雄升级调参!$B$24</x:f>
        <x:v>310006</x:v>
      </x:c>
      <x:c r="B1088" s="14" t="str">
        <x:f>英雄升级调参!$C$24</x:f>
        <x:v>玛莫莉莉狮</x:v>
      </x:c>
      <x:c r="C1088" s="6" t="str">
        <x:f>英雄升级调参!$D$24</x:f>
        <x:v>战士</x:v>
      </x:c>
      <x:c r="D1088" s="6" t="s">
        <x:v>25</x:v>
      </x:c>
      <x:c r="E1088" s="6">
        <x:v>20</x:v>
      </x:c>
      <x:c r="F1088" s="6" t="n">
        <x:f>英雄升级调参!$C$85</x:f>
        <x:v>4</x:v>
      </x:c>
      <x:c r="G1088" s="12">
        <x:f t="shared" si="100"/>
        <x:v>3020</x:v>
      </x:c>
      <x:c r="H1088" s="12">
        <x:f t="shared" si="101"/>
        <x:v>20982</x:v>
      </x:c>
      <x:c r="I1088" s="12">
        <x:f t="shared" si="97"/>
        <x:v>63365640</x:v>
      </x:c>
      <x:c r="J1088" s="12">
        <x:f>ROUND(英雄升级调参!$D$85*英雄升级调参!$J$11*英雄升级调参!$E$24,0)*3</x:f>
        <x:v>405</x:v>
      </x:c>
      <x:c r="K1088" s="12">
        <x:f>ROUND(英雄升级调参!$D$85*英雄升级调参!$C$11*英雄升级调参!$J$11*英雄升级调参!$G$24,0)*3</x:f>
        <x:v>2814</x:v>
      </x:c>
      <x:c r="L1088" s="12" t="n">
        <x:f>养成消耗调参!$E$167</x:f>
        <x:v>864</x:v>
      </x:c>
      <x:c r="M1088" s="12" t="n">
        <x:f>养成消耗调参!$H$167</x:f>
        <x:v>4200</x:v>
      </x:c>
      <x:c r="N1088" s="12" t="n">
        <x:f>养成消耗调参!$I$167</x:f>
        <x:v>70</x:v>
      </x:c>
      <x:c r="O1088" s="12" t="n">
        <x:f>养成消耗调参!$L$167</x:f>
        <x:v>7872</x:v>
      </x:c>
      <x:c r="P1088" s="12" t="n">
        <x:f>养成消耗调参!$O$167</x:f>
        <x:v>43800</x:v>
      </x:c>
      <x:c r="Q1088" s="12" t="n">
        <x:f>养成消耗调参!$P$167</x:f>
        <x:v>160</x:v>
      </x:c>
      <x:c r="R1088" s="13">
        <x:f>I1088/英雄升级调参!$M$85-1</x:f>
        <x:v>-0.0025726801017739165</x:v>
      </x:c>
      <x:c r="S1088" s="6"/>
      <x:c r="T1088" s="6"/>
      <x:c r="U1088" s="6"/>
    </x:row>
    <x:row r="1089" ht="21" customHeight="1">
      <x:c r="A1089" s="14" t="n">
        <x:f>英雄升级调参!$B$24</x:f>
        <x:v>310006</x:v>
      </x:c>
      <x:c r="B1089" s="14" t="str">
        <x:f>英雄升级调参!$C$24</x:f>
        <x:v>玛莫莉莉狮</x:v>
      </x:c>
      <x:c r="C1089" s="6" t="str">
        <x:f>英雄升级调参!$D$24</x:f>
        <x:v>战士</x:v>
      </x:c>
      <x:c r="D1089" s="6" t="s">
        <x:v>25</x:v>
      </x:c>
      <x:c r="E1089" s="6">
        <x:v>21</x:v>
      </x:c>
      <x:c r="F1089" s="6" t="n">
        <x:f>英雄升级调参!$C$86</x:f>
        <x:v>5</x:v>
      </x:c>
      <x:c r="G1089" s="12">
        <x:f t="shared" si="100"/>
        <x:v>3182</x:v>
      </x:c>
      <x:c r="H1089" s="12">
        <x:f t="shared" si="101"/>
        <x:v>22107</x:v>
      </x:c>
      <x:c r="I1089" s="12">
        <x:f t="shared" si="97"/>
        <x:v>70344474</x:v>
      </x:c>
      <x:c r="J1089" s="12">
        <x:f>ROUND(英雄升级调参!$D$86*英雄升级调参!$J$11*英雄升级调参!$E$24,0)</x:f>
        <x:v>162</x:v>
      </x:c>
      <x:c r="K1089" s="12">
        <x:f>ROUND(英雄升级调参!$D$86*英雄升级调参!$C$11*英雄升级调参!$J$11*英雄升级调参!$G$24,0)</x:f>
        <x:v>1125</x:v>
      </x:c>
      <x:c r="L1089" s="12" t="n">
        <x:f>养成消耗调参!$E$168</x:f>
        <x:v>864</x:v>
      </x:c>
      <x:c r="M1089" s="12" t="n">
        <x:f>养成消耗调参!$H$168</x:f>
        <x:v>4200</x:v>
      </x:c>
      <x:c r="N1089" s="12" t="n">
        <x:f>养成消耗调参!$I$168</x:f>
        <x:v>0</x:v>
      </x:c>
      <x:c r="O1089" s="12" t="n">
        <x:f>养成消耗调参!$L$168</x:f>
        <x:v>8736</x:v>
      </x:c>
      <x:c r="P1089" s="12" t="n">
        <x:f>养成消耗调参!$O$168</x:f>
        <x:v>48000</x:v>
      </x:c>
      <x:c r="Q1089" s="12" t="n">
        <x:f>养成消耗调参!$P$168</x:f>
        <x:v>160</x:v>
      </x:c>
      <x:c r="R1089" s="13">
        <x:f>I1089/英雄升级调参!$M$86-1</x:f>
        <x:v>-0.002442060516745781</x:v>
      </x:c>
      <x:c r="S1089" s="6"/>
      <x:c r="T1089" s="6"/>
      <x:c r="U1089" s="6"/>
    </x:row>
    <x:row r="1090" ht="21" customHeight="1">
      <x:c r="A1090" s="14" t="n">
        <x:f>英雄升级调参!$B$24</x:f>
        <x:v>310006</x:v>
      </x:c>
      <x:c r="B1090" s="14" t="str">
        <x:f>英雄升级调参!$C$24</x:f>
        <x:v>玛莫莉莉狮</x:v>
      </x:c>
      <x:c r="C1090" s="6" t="str">
        <x:f>英雄升级调参!$D$24</x:f>
        <x:v>战士</x:v>
      </x:c>
      <x:c r="D1090" s="6" t="s">
        <x:v>25</x:v>
      </x:c>
      <x:c r="E1090" s="6">
        <x:v>22</x:v>
      </x:c>
      <x:c r="F1090" s="6" t="n">
        <x:f>英雄升级调参!$C$87</x:f>
        <x:v>5</x:v>
      </x:c>
      <x:c r="G1090" s="12">
        <x:f t="shared" si="100"/>
        <x:v>3344</x:v>
      </x:c>
      <x:c r="H1090" s="12">
        <x:f t="shared" si="101"/>
        <x:v>23232</x:v>
      </x:c>
      <x:c r="I1090" s="12">
        <x:f t="shared" si="97"/>
        <x:v>77687808</x:v>
      </x:c>
      <x:c r="J1090" s="12">
        <x:f>ROUND(英雄升级调参!$D$87*英雄升级调参!$J$11*英雄升级调参!$E$24,0)</x:f>
        <x:v>162</x:v>
      </x:c>
      <x:c r="K1090" s="12">
        <x:f>ROUND(英雄升级调参!$D$87*英雄升级调参!$C$11*英雄升级调参!$J$11*英雄升级调参!$G$24,0)</x:f>
        <x:v>1125</x:v>
      </x:c>
      <x:c r="L1090" s="12" t="n">
        <x:f>养成消耗调参!$E$169</x:f>
        <x:v>960</x:v>
      </x:c>
      <x:c r="M1090" s="12" t="n">
        <x:f>养成消耗调参!$H$169</x:f>
        <x:v>6000</x:v>
      </x:c>
      <x:c r="N1090" s="12" t="n">
        <x:f>养成消耗调参!$I$169</x:f>
        <x:v>0</x:v>
      </x:c>
      <x:c r="O1090" s="12" t="n">
        <x:f>养成消耗调参!$L$169</x:f>
        <x:v>9696</x:v>
      </x:c>
      <x:c r="P1090" s="12" t="n">
        <x:f>养成消耗调参!$O$169</x:f>
        <x:v>54000</x:v>
      </x:c>
      <x:c r="Q1090" s="12" t="n">
        <x:f>养成消耗调参!$P$169</x:f>
        <x:v>160</x:v>
      </x:c>
      <x:c r="R1090" s="13">
        <x:f>I1090/英雄升级调参!$M$87-1</x:f>
        <x:v>-0.0023240636362865663</x:v>
      </x:c>
      <x:c r="S1090" s="6"/>
      <x:c r="T1090" s="6"/>
      <x:c r="U1090" s="6"/>
    </x:row>
    <x:row r="1091" ht="21" customHeight="1">
      <x:c r="A1091" s="14" t="n">
        <x:f>英雄升级调参!$B$24</x:f>
        <x:v>310006</x:v>
      </x:c>
      <x:c r="B1091" s="14" t="str">
        <x:f>英雄升级调参!$C$24</x:f>
        <x:v>玛莫莉莉狮</x:v>
      </x:c>
      <x:c r="C1091" s="6" t="str">
        <x:f>英雄升级调参!$D$24</x:f>
        <x:v>战士</x:v>
      </x:c>
      <x:c r="D1091" s="6" t="s">
        <x:v>25</x:v>
      </x:c>
      <x:c r="E1091" s="6">
        <x:v>23</x:v>
      </x:c>
      <x:c r="F1091" s="6" t="n">
        <x:f>英雄升级调参!$C$88</x:f>
        <x:v>5</x:v>
      </x:c>
      <x:c r="G1091" s="12">
        <x:f t="shared" si="100"/>
        <x:v>3506</x:v>
      </x:c>
      <x:c r="H1091" s="12">
        <x:f t="shared" si="101"/>
        <x:v>24357</x:v>
      </x:c>
      <x:c r="I1091" s="12">
        <x:f t="shared" si="97"/>
        <x:v>85395642</x:v>
      </x:c>
      <x:c r="J1091" s="12">
        <x:f>ROUND(英雄升级调参!$D$88*英雄升级调参!$J$11*英雄升级调参!$E$24,0)</x:f>
        <x:v>162</x:v>
      </x:c>
      <x:c r="K1091" s="12">
        <x:f>ROUND(英雄升级调参!$D$88*英雄升级调参!$C$11*英雄升级调参!$J$11*英雄升级调参!$G$24,0)</x:f>
        <x:v>1125</x:v>
      </x:c>
      <x:c r="L1091" s="12" t="n">
        <x:f>养成消耗调参!$E$170</x:f>
        <x:v>960</x:v>
      </x:c>
      <x:c r="M1091" s="12" t="n">
        <x:f>养成消耗调参!$H$170</x:f>
        <x:v>6000</x:v>
      </x:c>
      <x:c r="N1091" s="12" t="n">
        <x:f>养成消耗调参!$I$170</x:f>
        <x:v>0</x:v>
      </x:c>
      <x:c r="O1091" s="12" t="n">
        <x:f>养成消耗调参!$L$170</x:f>
        <x:v>10656</x:v>
      </x:c>
      <x:c r="P1091" s="12" t="n">
        <x:f>养成消耗调参!$O$170</x:f>
        <x:v>60000</x:v>
      </x:c>
      <x:c r="Q1091" s="12" t="n">
        <x:f>养成消耗调参!$P$170</x:f>
        <x:v>160</x:v>
      </x:c>
      <x:c r="R1091" s="13">
        <x:f>I1091/英雄升级调参!$M$88-1</x:f>
        <x:v>-0.002216944062175097</x:v>
      </x:c>
      <x:c r="S1091" s="6"/>
      <x:c r="T1091" s="6"/>
      <x:c r="U1091" s="6"/>
    </x:row>
    <x:row r="1092" ht="21" customHeight="1">
      <x:c r="A1092" s="14" t="n">
        <x:f>英雄升级调参!$B$24</x:f>
        <x:v>310006</x:v>
      </x:c>
      <x:c r="B1092" s="14" t="str">
        <x:f>英雄升级调参!$C$24</x:f>
        <x:v>玛莫莉莉狮</x:v>
      </x:c>
      <x:c r="C1092" s="6" t="str">
        <x:f>英雄升级调参!$D$24</x:f>
        <x:v>战士</x:v>
      </x:c>
      <x:c r="D1092" s="6" t="s">
        <x:v>25</x:v>
      </x:c>
      <x:c r="E1092" s="6">
        <x:v>24</x:v>
      </x:c>
      <x:c r="F1092" s="6" t="n">
        <x:f>英雄升级调参!$C$89</x:f>
        <x:v>5</x:v>
      </x:c>
      <x:c r="G1092" s="12">
        <x:f t="shared" si="100"/>
        <x:v>3668</x:v>
      </x:c>
      <x:c r="H1092" s="12">
        <x:f t="shared" si="101"/>
        <x:v>25482</x:v>
      </x:c>
      <x:c r="I1092" s="12">
        <x:f t="shared" si="97"/>
        <x:v>93467976</x:v>
      </x:c>
      <x:c r="J1092" s="12">
        <x:f>ROUND(英雄升级调参!$D$89*英雄升级调参!$J$11*英雄升级调参!$E$24,0)</x:f>
        <x:v>162</x:v>
      </x:c>
      <x:c r="K1092" s="12">
        <x:f>ROUND(英雄升级调参!$D$89*英雄升级调参!$C$11*英雄升级调参!$J$11*英雄升级调参!$G$24,0)</x:f>
        <x:v>1125</x:v>
      </x:c>
      <x:c r="L1092" s="12" t="n">
        <x:f>养成消耗调参!$E$171</x:f>
        <x:v>1056</x:v>
      </x:c>
      <x:c r="M1092" s="12" t="n">
        <x:f>养成消耗调参!$H$171</x:f>
        <x:v>6000</x:v>
      </x:c>
      <x:c r="N1092" s="12" t="n">
        <x:f>养成消耗调参!$I$171</x:f>
        <x:v>0</x:v>
      </x:c>
      <x:c r="O1092" s="12" t="n">
        <x:f>养成消耗调参!$L$171</x:f>
        <x:v>11712</x:v>
      </x:c>
      <x:c r="P1092" s="12" t="n">
        <x:f>养成消耗调参!$O$171</x:f>
        <x:v>66000</x:v>
      </x:c>
      <x:c r="Q1092" s="12" t="n">
        <x:f>养成消耗调参!$P$171</x:f>
        <x:v>160</x:v>
      </x:c>
      <x:c r="R1092" s="13">
        <x:f>I1092/英雄升级调参!$M$89-1</x:f>
        <x:v>-0.002119264009921129</x:v>
      </x:c>
      <x:c r="S1092" s="6"/>
      <x:c r="T1092" s="6"/>
      <x:c r="U1092" s="6"/>
    </x:row>
    <x:row r="1093" ht="21" customHeight="1">
      <x:c r="A1093" s="14" t="n">
        <x:f>英雄升级调参!$B$24</x:f>
        <x:v>310006</x:v>
      </x:c>
      <x:c r="B1093" s="14" t="str">
        <x:f>英雄升级调参!$C$24</x:f>
        <x:v>玛莫莉莉狮</x:v>
      </x:c>
      <x:c r="C1093" s="6" t="str">
        <x:f>英雄升级调参!$D$24</x:f>
        <x:v>战士</x:v>
      </x:c>
      <x:c r="D1093" s="6" t="s">
        <x:v>25</x:v>
      </x:c>
      <x:c r="E1093" s="6">
        <x:v>25</x:v>
      </x:c>
      <x:c r="F1093" s="6" t="n">
        <x:f>英雄升级调参!$C$90</x:f>
        <x:v>5</x:v>
      </x:c>
      <x:c r="G1093" s="12">
        <x:f t="shared" si="100"/>
        <x:v>4154</x:v>
      </x:c>
      <x:c r="H1093" s="12">
        <x:f t="shared" si="101"/>
        <x:v>28857</x:v>
      </x:c>
      <x:c r="I1093" s="12">
        <x:f t="shared" ref="I1093:I1156" si="102">G1093*H1093</x:f>
        <x:v>119871978</x:v>
      </x:c>
      <x:c r="J1093" s="12">
        <x:f>ROUND(英雄升级调参!$D$90*英雄升级调参!$J$11*英雄升级调参!$E$24,0)*3</x:f>
        <x:v>486</x:v>
      </x:c>
      <x:c r="K1093" s="12">
        <x:f>ROUND(英雄升级调参!$D$90*英雄升级调参!$C$11*英雄升级调参!$J$11*英雄升级调参!$G$24,0)*3</x:f>
        <x:v>3375</x:v>
      </x:c>
      <x:c r="L1093" s="12" t="n">
        <x:f>养成消耗调参!$E$172</x:f>
        <x:v>1056</x:v>
      </x:c>
      <x:c r="M1093" s="12" t="n">
        <x:f>养成消耗调参!$H$172</x:f>
        <x:v>6000</x:v>
      </x:c>
      <x:c r="N1093" s="12" t="n">
        <x:f>养成消耗调参!$I$172</x:f>
        <x:v>90</x:v>
      </x:c>
      <x:c r="O1093" s="12" t="n">
        <x:f>养成消耗调参!$L$172</x:f>
        <x:v>12768</x:v>
      </x:c>
      <x:c r="P1093" s="12" t="n">
        <x:f>养成消耗调参!$O$172</x:f>
        <x:v>72000</x:v>
      </x:c>
      <x:c r="Q1093" s="12" t="n">
        <x:f>养成消耗调参!$P$172</x:f>
        <x:v>250</x:v>
      </x:c>
      <x:c r="R1093" s="13">
        <x:f>I1093/英雄升级调参!$M$90-1</x:f>
        <x:v>-0.0018718403607490552</x:v>
      </x:c>
      <x:c r="S1093" s="6"/>
      <x:c r="T1093" s="6"/>
      <x:c r="U1093" s="6"/>
    </x:row>
    <x:row r="1094" ht="21" customHeight="1">
      <x:c r="A1094" s="14" t="n">
        <x:f>英雄升级调参!$B$24</x:f>
        <x:v>310006</x:v>
      </x:c>
      <x:c r="B1094" s="14" t="str">
        <x:f>英雄升级调参!$C$24</x:f>
        <x:v>玛莫莉莉狮</x:v>
      </x:c>
      <x:c r="C1094" s="6" t="str">
        <x:f>英雄升级调参!$D$24</x:f>
        <x:v>战士</x:v>
      </x:c>
      <x:c r="D1094" s="6" t="s">
        <x:v>25</x:v>
      </x:c>
      <x:c r="E1094" s="6">
        <x:v>26</x:v>
      </x:c>
      <x:c r="F1094" s="6" t="n">
        <x:f>英雄升级调参!$C$91</x:f>
        <x:v>6</x:v>
      </x:c>
      <x:c r="G1094" s="12">
        <x:f t="shared" si="100"/>
        <x:v>4343</x:v>
      </x:c>
      <x:c r="H1094" s="12">
        <x:f t="shared" si="101"/>
        <x:v>30170</x:v>
      </x:c>
      <x:c r="I1094" s="12">
        <x:f t="shared" si="102"/>
        <x:v>131028310</x:v>
      </x:c>
      <x:c r="J1094" s="12">
        <x:f>ROUND(英雄升级调参!$D$91*英雄升级调参!$J$11*英雄升级调参!$E$24,0)</x:f>
        <x:v>189</x:v>
      </x:c>
      <x:c r="K1094" s="12">
        <x:f>ROUND(英雄升级调参!$D$91*英雄升级调参!$C$11*英雄升级调参!$J$11*英雄升级调参!$G$24,0)</x:f>
        <x:v>1313</x:v>
      </x:c>
      <x:c r="L1094" s="12" t="n">
        <x:f>养成消耗调参!$E$173</x:f>
        <x:v>1152</x:v>
      </x:c>
      <x:c r="M1094" s="12" t="n">
        <x:f>养成消耗调参!$H$173</x:f>
        <x:v>6000</x:v>
      </x:c>
      <x:c r="N1094" s="12" t="n">
        <x:f>养成消耗调参!$I$173</x:f>
        <x:v>0</x:v>
      </x:c>
      <x:c r="O1094" s="12" t="n">
        <x:f>养成消耗调参!$L$173</x:f>
        <x:v>13920</x:v>
      </x:c>
      <x:c r="P1094" s="12" t="n">
        <x:f>养成消耗调参!$O$173</x:f>
        <x:v>78000</x:v>
      </x:c>
      <x:c r="Q1094" s="12" t="n">
        <x:f>养成消耗调参!$P$173</x:f>
        <x:v>250</x:v>
      </x:c>
      <x:c r="R1094" s="13">
        <x:f>I1094/英雄升级调参!$M$91-1</x:f>
        <x:v>-0.0019116118604106669</x:v>
      </x:c>
      <x:c r="S1094" s="6"/>
      <x:c r="T1094" s="6"/>
      <x:c r="U1094" s="6"/>
    </x:row>
    <x:row r="1095" ht="21" customHeight="1">
      <x:c r="A1095" s="14" t="n">
        <x:f>英雄升级调参!$B$24</x:f>
        <x:v>310006</x:v>
      </x:c>
      <x:c r="B1095" s="14" t="str">
        <x:f>英雄升级调参!$C$24</x:f>
        <x:v>玛莫莉莉狮</x:v>
      </x:c>
      <x:c r="C1095" s="6" t="str">
        <x:f>英雄升级调参!$D$24</x:f>
        <x:v>战士</x:v>
      </x:c>
      <x:c r="D1095" s="6" t="s">
        <x:v>25</x:v>
      </x:c>
      <x:c r="E1095" s="6">
        <x:v>27</x:v>
      </x:c>
      <x:c r="F1095" s="6" t="n">
        <x:f>英雄升级调参!$C$92</x:f>
        <x:v>6</x:v>
      </x:c>
      <x:c r="G1095" s="12">
        <x:f t="shared" si="100"/>
        <x:v>4532</x:v>
      </x:c>
      <x:c r="H1095" s="12">
        <x:f t="shared" si="101"/>
        <x:v>31483</x:v>
      </x:c>
      <x:c r="I1095" s="12">
        <x:f t="shared" si="102"/>
        <x:v>142680956</x:v>
      </x:c>
      <x:c r="J1095" s="12">
        <x:f>ROUND(英雄升级调参!$D$92*英雄升级调参!$J$11*英雄升级调参!$E$24,0)</x:f>
        <x:v>189</x:v>
      </x:c>
      <x:c r="K1095" s="12">
        <x:f>ROUND(英雄升级调参!$D$92*英雄升级调参!$C$11*英雄升级调参!$J$11*英雄升级调参!$G$24,0)</x:f>
        <x:v>1313</x:v>
      </x:c>
      <x:c r="L1095" s="12" t="n">
        <x:f>养成消耗调参!$E$174</x:f>
        <x:v>1152</x:v>
      </x:c>
      <x:c r="M1095" s="12" t="n">
        <x:f>养成消耗调参!$H$174</x:f>
        <x:v>7800</x:v>
      </x:c>
      <x:c r="N1095" s="12" t="n">
        <x:f>养成消耗调参!$I$174</x:f>
        <x:v>0</x:v>
      </x:c>
      <x:c r="O1095" s="12" t="n">
        <x:f>养成消耗调参!$L$174</x:f>
        <x:v>15072</x:v>
      </x:c>
      <x:c r="P1095" s="12" t="n">
        <x:f>养成消耗调参!$O$174</x:f>
        <x:v>85800</x:v>
      </x:c>
      <x:c r="Q1095" s="12" t="n">
        <x:f>养成消耗调参!$P$174</x:f>
        <x:v>250</x:v>
      </x:c>
      <x:c r="R1095" s="13">
        <x:f>I1095/英雄升级调参!$M$92-1</x:f>
        <x:v>-0.001948062894757907</x:v>
      </x:c>
      <x:c r="S1095" s="6"/>
      <x:c r="T1095" s="6"/>
      <x:c r="U1095" s="6"/>
    </x:row>
    <x:row r="1096" ht="21" customHeight="1">
      <x:c r="A1096" s="14" t="n">
        <x:f>英雄升级调参!$B$24</x:f>
        <x:v>310006</x:v>
      </x:c>
      <x:c r="B1096" s="14" t="str">
        <x:f>英雄升级调参!$C$24</x:f>
        <x:v>玛莫莉莉狮</x:v>
      </x:c>
      <x:c r="C1096" s="6" t="str">
        <x:f>英雄升级调参!$D$24</x:f>
        <x:v>战士</x:v>
      </x:c>
      <x:c r="D1096" s="6" t="s">
        <x:v>25</x:v>
      </x:c>
      <x:c r="E1096" s="6">
        <x:v>28</x:v>
      </x:c>
      <x:c r="F1096" s="6" t="n">
        <x:f>英雄升级调参!$C$93</x:f>
        <x:v>6</x:v>
      </x:c>
      <x:c r="G1096" s="12">
        <x:f t="shared" si="100"/>
        <x:v>4721</x:v>
      </x:c>
      <x:c r="H1096" s="12">
        <x:f t="shared" si="101"/>
        <x:v>32796</x:v>
      </x:c>
      <x:c r="I1096" s="12">
        <x:f t="shared" si="102"/>
        <x:v>154829916</x:v>
      </x:c>
      <x:c r="J1096" s="12">
        <x:f>ROUND(英雄升级调参!$D$93*英雄升级调参!$J$11*英雄升级调参!$E$24,0)</x:f>
        <x:v>189</x:v>
      </x:c>
      <x:c r="K1096" s="12">
        <x:f>ROUND(英雄升级调参!$D$93*英雄升级调参!$C$11*英雄升级调参!$J$11*英雄升级调参!$G$24,0)</x:f>
        <x:v>1313</x:v>
      </x:c>
      <x:c r="L1096" s="12" t="n">
        <x:f>养成消耗调参!$E$175</x:f>
        <x:v>1248</x:v>
      </x:c>
      <x:c r="M1096" s="12" t="n">
        <x:f>养成消耗调参!$H$175</x:f>
        <x:v>7800</x:v>
      </x:c>
      <x:c r="N1096" s="12" t="n">
        <x:f>养成消耗调参!$I$175</x:f>
        <x:v>0</x:v>
      </x:c>
      <x:c r="O1096" s="12" t="n">
        <x:f>养成消耗调参!$L$175</x:f>
        <x:v>16320</x:v>
      </x:c>
      <x:c r="P1096" s="12" t="n">
        <x:f>养成消耗调参!$O$175</x:f>
        <x:v>93600</x:v>
      </x:c>
      <x:c r="Q1096" s="12" t="n">
        <x:f>养成消耗调参!$P$175</x:f>
        <x:v>250</x:v>
      </x:c>
      <x:c r="R1096" s="13">
        <x:f>I1096/英雄升级调参!$M$93-1</x:f>
        <x:v>-0.0019815926321024024</x:v>
      </x:c>
      <x:c r="S1096" s="6"/>
      <x:c r="T1096" s="6"/>
      <x:c r="U1096" s="6"/>
    </x:row>
    <x:row r="1097" ht="21" customHeight="1">
      <x:c r="A1097" s="14" t="n">
        <x:f>英雄升级调参!$B$24</x:f>
        <x:v>310006</x:v>
      </x:c>
      <x:c r="B1097" s="14" t="str">
        <x:f>英雄升级调参!$C$24</x:f>
        <x:v>玛莫莉莉狮</x:v>
      </x:c>
      <x:c r="C1097" s="6" t="str">
        <x:f>英雄升级调参!$D$24</x:f>
        <x:v>战士</x:v>
      </x:c>
      <x:c r="D1097" s="6" t="s">
        <x:v>25</x:v>
      </x:c>
      <x:c r="E1097" s="6">
        <x:v>29</x:v>
      </x:c>
      <x:c r="F1097" s="6" t="n">
        <x:f>英雄升级调参!$C$94</x:f>
        <x:v>6</x:v>
      </x:c>
      <x:c r="G1097" s="12">
        <x:f t="shared" si="100"/>
        <x:v>4910</x:v>
      </x:c>
      <x:c r="H1097" s="12">
        <x:f t="shared" si="101"/>
        <x:v>34109</x:v>
      </x:c>
      <x:c r="I1097" s="12">
        <x:f t="shared" si="102"/>
        <x:v>167475190</x:v>
      </x:c>
      <x:c r="J1097" s="12">
        <x:f>ROUND(英雄升级调参!$D$94*英雄升级调参!$J$11*英雄升级调参!$E$24,0)</x:f>
        <x:v>189</x:v>
      </x:c>
      <x:c r="K1097" s="12">
        <x:f>ROUND(英雄升级调参!$D$94*英雄升级调参!$C$11*英雄升级调参!$J$11*英雄升级调参!$G$24,0)</x:f>
        <x:v>1313</x:v>
      </x:c>
      <x:c r="L1097" s="12" t="n">
        <x:f>养成消耗调参!$E$176</x:f>
        <x:v>1248</x:v>
      </x:c>
      <x:c r="M1097" s="12" t="n">
        <x:f>养成消耗调参!$H$176</x:f>
        <x:v>7800</x:v>
      </x:c>
      <x:c r="N1097" s="12" t="n">
        <x:f>养成消耗调参!$I$176</x:f>
        <x:v>0</x:v>
      </x:c>
      <x:c r="O1097" s="12" t="n">
        <x:f>养成消耗调参!$L$176</x:f>
        <x:v>17568</x:v>
      </x:c>
      <x:c r="P1097" s="12" t="n">
        <x:f>养成消耗调参!$O$176</x:f>
        <x:v>101400</x:v>
      </x:c>
      <x:c r="Q1097" s="12" t="n">
        <x:f>养成消耗调参!$P$176</x:f>
        <x:v>250</x:v>
      </x:c>
      <x:c r="R1097" s="13">
        <x:f>I1097/英雄升级调参!$M$94-1</x:f>
        <x:v>-0.002012538724670332</x:v>
      </x:c>
      <x:c r="S1097" s="6"/>
      <x:c r="T1097" s="6"/>
      <x:c r="U1097" s="6"/>
    </x:row>
    <x:row r="1098" ht="21" customHeight="1">
      <x:c r="A1098" s="14" t="n">
        <x:f>英雄升级调参!$B$24</x:f>
        <x:v>310006</x:v>
      </x:c>
      <x:c r="B1098" s="14" t="str">
        <x:f>英雄升级调参!$C$24</x:f>
        <x:v>玛莫莉莉狮</x:v>
      </x:c>
      <x:c r="C1098" s="6" t="str">
        <x:f>英雄升级调参!$D$24</x:f>
        <x:v>战士</x:v>
      </x:c>
      <x:c r="D1098" s="6" t="s">
        <x:v>25</x:v>
      </x:c>
      <x:c r="E1098" s="6">
        <x:v>30</x:v>
      </x:c>
      <x:c r="F1098" s="6" t="n">
        <x:f>英雄升级调参!$C$95</x:f>
        <x:v>6</x:v>
      </x:c>
      <x:c r="G1098" s="12">
        <x:f t="shared" si="100"/>
        <x:v>5477</x:v>
      </x:c>
      <x:c r="H1098" s="12">
        <x:f t="shared" si="101"/>
        <x:v>38048</x:v>
      </x:c>
      <x:c r="I1098" s="12">
        <x:f t="shared" si="102"/>
        <x:v>208388896</x:v>
      </x:c>
      <x:c r="J1098" s="12">
        <x:f>ROUND(英雄升级调参!$D$95*英雄升级调参!$J$11*英雄升级调参!$E$24,0)*3</x:f>
        <x:v>567</x:v>
      </x:c>
      <x:c r="K1098" s="12">
        <x:f>ROUND(英雄升级调参!$D$95*英雄升级调参!$C$11*英雄升级调参!$J$11*英雄升级调参!$G$24,0)*3</x:f>
        <x:v>3939</x:v>
      </x:c>
      <x:c r="L1098" s="12" t="n">
        <x:f>养成消耗调参!$E$177</x:f>
        <x:v>1344</x:v>
      </x:c>
      <x:c r="M1098" s="12" t="n">
        <x:f>养成消耗调参!$H$177</x:f>
        <x:v>7800</x:v>
      </x:c>
      <x:c r="N1098" s="12" t="n">
        <x:f>养成消耗调参!$I$177</x:f>
        <x:v>110</x:v>
      </x:c>
      <x:c r="O1098" s="12" t="n">
        <x:f>养成消耗调参!$L$177</x:f>
        <x:v>18912</x:v>
      </x:c>
      <x:c r="P1098" s="12" t="n">
        <x:f>养成消耗调参!$O$177</x:f>
        <x:v>109200</x:v>
      </x:c>
      <x:c r="Q1098" s="12" t="n">
        <x:f>养成消耗调参!$P$177</x:f>
        <x:v>360</x:v>
      </x:c>
      <x:c r="R1098" s="13">
        <x:f>I1098/英雄升级调参!$M$95-1</x:f>
        <x:v>-0.002092551988588598</x:v>
      </x:c>
      <x:c r="S1098" s="6"/>
      <x:c r="T1098" s="6"/>
      <x:c r="U1098" s="6"/>
    </x:row>
    <x:row r="1099" ht="21" customHeight="1">
      <x:c r="A1099" s="14" t="n">
        <x:f>英雄升级调参!$B$24</x:f>
        <x:v>310006</x:v>
      </x:c>
      <x:c r="B1099" s="14" t="str">
        <x:f>英雄升级调参!$C$24</x:f>
        <x:v>玛莫莉莉狮</x:v>
      </x:c>
      <x:c r="C1099" s="6" t="str">
        <x:f>英雄升级调参!$D$24</x:f>
        <x:v>战士</x:v>
      </x:c>
      <x:c r="D1099" s="6" t="s">
        <x:v>25</x:v>
      </x:c>
      <x:c r="E1099" s="6">
        <x:v>31</x:v>
      </x:c>
      <x:c r="F1099" s="6" t="n">
        <x:f>英雄升级调参!$C$96</x:f>
        <x:v>7</x:v>
      </x:c>
      <x:c r="G1099" s="12">
        <x:f t="shared" si="100"/>
        <x:v>5693</x:v>
      </x:c>
      <x:c r="H1099" s="12">
        <x:f t="shared" si="101"/>
        <x:v>39548</x:v>
      </x:c>
      <x:c r="I1099" s="12">
        <x:f t="shared" si="102"/>
        <x:v>225146764</x:v>
      </x:c>
      <x:c r="J1099" s="12">
        <x:f>ROUND(英雄升级调参!$D$96*英雄升级调参!$J$11*英雄升级调参!$E$24,0)</x:f>
        <x:v>216</x:v>
      </x:c>
      <x:c r="K1099" s="12">
        <x:f>ROUND(英雄升级调参!$D$96*英雄升级调参!$C$11*英雄升级调参!$J$11*英雄升级调参!$G$24,0)</x:f>
        <x:v>1500</x:v>
      </x:c>
      <x:c r="L1099" s="12" t="n">
        <x:f>养成消耗调参!$E$178</x:f>
        <x:v>1344</x:v>
      </x:c>
      <x:c r="M1099" s="12" t="n">
        <x:f>养成消耗调参!$H$178</x:f>
        <x:v>7800</x:v>
      </x:c>
      <x:c r="N1099" s="12" t="n">
        <x:f>养成消耗调参!$I$178</x:f>
        <x:v>0</x:v>
      </x:c>
      <x:c r="O1099" s="12" t="n">
        <x:f>养成消耗调参!$L$178</x:f>
        <x:v>20256</x:v>
      </x:c>
      <x:c r="P1099" s="12" t="n">
        <x:f>养成消耗调参!$O$178</x:f>
        <x:v>117000</x:v>
      </x:c>
      <x:c r="Q1099" s="12" t="n">
        <x:f>养成消耗调参!$P$178</x:f>
        <x:v>360</x:v>
      </x:c>
      <x:c r="R1099" s="13">
        <x:f>I1099/英雄升级调参!$M$96-1</x:f>
        <x:v>-0.0020133379299446252</x:v>
      </x:c>
      <x:c r="S1099" s="6"/>
      <x:c r="T1099" s="6"/>
      <x:c r="U1099" s="6"/>
    </x:row>
    <x:row r="1100" ht="21" customHeight="1">
      <x:c r="A1100" s="14" t="n">
        <x:f>英雄升级调参!$B$24</x:f>
        <x:v>310006</x:v>
      </x:c>
      <x:c r="B1100" s="14" t="str">
        <x:f>英雄升级调参!$C$24</x:f>
        <x:v>玛莫莉莉狮</x:v>
      </x:c>
      <x:c r="C1100" s="6" t="str">
        <x:f>英雄升级调参!$D$24</x:f>
        <x:v>战士</x:v>
      </x:c>
      <x:c r="D1100" s="6" t="s">
        <x:v>25</x:v>
      </x:c>
      <x:c r="E1100" s="6">
        <x:v>32</x:v>
      </x:c>
      <x:c r="F1100" s="6" t="n">
        <x:f>英雄升级调参!$C$97</x:f>
        <x:v>7</x:v>
      </x:c>
      <x:c r="G1100" s="12">
        <x:f t="shared" si="100"/>
        <x:v>5909</x:v>
      </x:c>
      <x:c r="H1100" s="12">
        <x:f t="shared" si="101"/>
        <x:v>41048</x:v>
      </x:c>
      <x:c r="I1100" s="12">
        <x:f t="shared" si="102"/>
        <x:v>242552632</x:v>
      </x:c>
      <x:c r="J1100" s="12">
        <x:f>ROUND(英雄升级调参!$D$97*英雄升级调参!$J$11*英雄升级调参!$E$24,0)</x:f>
        <x:v>216</x:v>
      </x:c>
      <x:c r="K1100" s="12">
        <x:f>ROUND(英雄升级调参!$D$97*英雄升级调参!$C$11*英雄升级调参!$J$11*英雄升级调参!$G$24,0)</x:f>
        <x:v>1500</x:v>
      </x:c>
      <x:c r="L1100" s="12" t="n">
        <x:f>养成消耗调参!$E$179</x:f>
        <x:v>1440</x:v>
      </x:c>
      <x:c r="M1100" s="12" t="n">
        <x:f>养成消耗调参!$H$179</x:f>
        <x:v>9600</x:v>
      </x:c>
      <x:c r="N1100" s="12" t="n">
        <x:f>养成消耗调参!$I$179</x:f>
        <x:v>0</x:v>
      </x:c>
      <x:c r="O1100" s="12" t="n">
        <x:f>养成消耗调参!$L$179</x:f>
        <x:v>21696</x:v>
      </x:c>
      <x:c r="P1100" s="12" t="n">
        <x:f>养成消耗调参!$O$179</x:f>
        <x:v>126600</x:v>
      </x:c>
      <x:c r="Q1100" s="12" t="n">
        <x:f>养成消耗调参!$P$179</x:f>
        <x:v>360</x:v>
      </x:c>
      <x:c r="R1100" s="13">
        <x:f>I1100/英雄升级调参!$M$97-1</x:f>
        <x:v>-0.0019399024561661538</x:v>
      </x:c>
      <x:c r="S1100" s="6"/>
      <x:c r="T1100" s="6"/>
      <x:c r="U1100" s="6"/>
    </x:row>
    <x:row r="1101" ht="21" customHeight="1">
      <x:c r="A1101" s="14" t="n">
        <x:f>英雄升级调参!$B$24</x:f>
        <x:v>310006</x:v>
      </x:c>
      <x:c r="B1101" s="14" t="str">
        <x:f>英雄升级调参!$C$24</x:f>
        <x:v>玛莫莉莉狮</x:v>
      </x:c>
      <x:c r="C1101" s="6" t="str">
        <x:f>英雄升级调参!$D$24</x:f>
        <x:v>战士</x:v>
      </x:c>
      <x:c r="D1101" s="6" t="s">
        <x:v>25</x:v>
      </x:c>
      <x:c r="E1101" s="6">
        <x:v>33</x:v>
      </x:c>
      <x:c r="F1101" s="6" t="n">
        <x:f>英雄升级调参!$C$98</x:f>
        <x:v>7</x:v>
      </x:c>
      <x:c r="G1101" s="12">
        <x:f t="shared" si="100"/>
        <x:v>6125</x:v>
      </x:c>
      <x:c r="H1101" s="12">
        <x:f t="shared" si="101"/>
        <x:v>42548</x:v>
      </x:c>
      <x:c r="I1101" s="12">
        <x:f t="shared" si="102"/>
        <x:v>260606500</x:v>
      </x:c>
      <x:c r="J1101" s="12">
        <x:f>ROUND(英雄升级调参!$D$98*英雄升级调参!$J$11*英雄升级调参!$E$24,0)</x:f>
        <x:v>216</x:v>
      </x:c>
      <x:c r="K1101" s="12">
        <x:f>ROUND(英雄升级调参!$D$98*英雄升级调参!$C$11*英雄升级调参!$J$11*英雄升级调参!$G$24,0)</x:f>
        <x:v>1500</x:v>
      </x:c>
      <x:c r="L1101" s="12" t="n">
        <x:f>养成消耗调参!$E$180</x:f>
        <x:v>1440</x:v>
      </x:c>
      <x:c r="M1101" s="12" t="n">
        <x:f>养成消耗调参!$H$180</x:f>
        <x:v>9600</x:v>
      </x:c>
      <x:c r="N1101" s="12" t="n">
        <x:f>养成消耗调参!$I$180</x:f>
        <x:v>0</x:v>
      </x:c>
      <x:c r="O1101" s="12" t="n">
        <x:f>养成消耗调参!$L$180</x:f>
        <x:v>23136</x:v>
      </x:c>
      <x:c r="P1101" s="12" t="n">
        <x:f>养成消耗调参!$O$180</x:f>
        <x:v>136200</x:v>
      </x:c>
      <x:c r="Q1101" s="12" t="n">
        <x:f>养成消耗调参!$P$180</x:f>
        <x:v>360</x:v>
      </x:c>
      <x:c r="R1101" s="13">
        <x:f>I1101/英雄升级调参!$M$98-1</x:f>
        <x:v>-0.0018716355060947043</x:v>
      </x:c>
      <x:c r="S1101" s="6"/>
      <x:c r="T1101" s="6"/>
      <x:c r="U1101" s="6"/>
    </x:row>
    <x:row r="1102" ht="21" customHeight="1">
      <x:c r="A1102" s="14" t="n">
        <x:f>英雄升级调参!$B$24</x:f>
        <x:v>310006</x:v>
      </x:c>
      <x:c r="B1102" s="14" t="str">
        <x:f>英雄升级调参!$C$24</x:f>
        <x:v>玛莫莉莉狮</x:v>
      </x:c>
      <x:c r="C1102" s="6" t="str">
        <x:f>英雄升级调参!$D$24</x:f>
        <x:v>战士</x:v>
      </x:c>
      <x:c r="D1102" s="6" t="s">
        <x:v>25</x:v>
      </x:c>
      <x:c r="E1102" s="6">
        <x:v>34</x:v>
      </x:c>
      <x:c r="F1102" s="6" t="n">
        <x:f>英雄升级调参!$C$99</x:f>
        <x:v>7</x:v>
      </x:c>
      <x:c r="G1102" s="12">
        <x:f t="shared" ref="G1102:G1118" si="103">G1101+J1102</x:f>
        <x:v>6341</x:v>
      </x:c>
      <x:c r="H1102" s="12">
        <x:f t="shared" ref="H1102:H1118" si="104">H1101+K1102</x:f>
        <x:v>44048</x:v>
      </x:c>
      <x:c r="I1102" s="12">
        <x:f t="shared" si="102"/>
        <x:v>279308368</x:v>
      </x:c>
      <x:c r="J1102" s="12">
        <x:f>ROUND(英雄升级调参!$D$99*英雄升级调参!$J$11*英雄升级调参!$E$24,0)</x:f>
        <x:v>216</x:v>
      </x:c>
      <x:c r="K1102" s="12">
        <x:f>ROUND(英雄升级调参!$D$99*英雄升级调参!$C$11*英雄升级调参!$J$11*英雄升级调参!$G$24,0)</x:f>
        <x:v>1500</x:v>
      </x:c>
      <x:c r="L1102" s="12" t="n">
        <x:f>养成消耗调参!$E$181</x:f>
        <x:v>1536</x:v>
      </x:c>
      <x:c r="M1102" s="12" t="n">
        <x:f>养成消耗调参!$H$181</x:f>
        <x:v>9600</x:v>
      </x:c>
      <x:c r="N1102" s="12" t="n">
        <x:f>养成消耗调参!$I$181</x:f>
        <x:v>0</x:v>
      </x:c>
      <x:c r="O1102" s="12" t="n">
        <x:f>养成消耗调参!$L$181</x:f>
        <x:v>24672</x:v>
      </x:c>
      <x:c r="P1102" s="12" t="n">
        <x:f>养成消耗调参!$O$181</x:f>
        <x:v>145800</x:v>
      </x:c>
      <x:c r="Q1102" s="12" t="n">
        <x:f>养成消耗调参!$P$181</x:f>
        <x:v>360</x:v>
      </x:c>
      <x:c r="R1102" s="13">
        <x:f>I1102/英雄升级调参!$M$99-1</x:f>
        <x:v>-0.0018080099737585176</x:v>
      </x:c>
      <x:c r="S1102" s="6"/>
      <x:c r="T1102" s="6"/>
      <x:c r="U1102" s="6"/>
    </x:row>
    <x:row r="1103" ht="21" customHeight="1">
      <x:c r="A1103" s="14" t="n">
        <x:f>英雄升级调参!$B$24</x:f>
        <x:v>310006</x:v>
      </x:c>
      <x:c r="B1103" s="14" t="str">
        <x:f>英雄升级调参!$C$24</x:f>
        <x:v>玛莫莉莉狮</x:v>
      </x:c>
      <x:c r="C1103" s="6" t="str">
        <x:f>英雄升级调参!$D$24</x:f>
        <x:v>战士</x:v>
      </x:c>
      <x:c r="D1103" s="6" t="s">
        <x:v>25</x:v>
      </x:c>
      <x:c r="E1103" s="6">
        <x:v>35</x:v>
      </x:c>
      <x:c r="F1103" s="6" t="n">
        <x:f>英雄升级调参!$C$100</x:f>
        <x:v>7</x:v>
      </x:c>
      <x:c r="G1103" s="12">
        <x:f t="shared" si="103"/>
        <x:v>6989</x:v>
      </x:c>
      <x:c r="H1103" s="12">
        <x:f t="shared" si="104"/>
        <x:v>48548</x:v>
      </x:c>
      <x:c r="I1103" s="12">
        <x:f t="shared" si="102"/>
        <x:v>339301972</x:v>
      </x:c>
      <x:c r="J1103" s="12">
        <x:f>ROUND(英雄升级调参!$D$100*英雄升级调参!$J$11*英雄升级调参!$E$24,0)*3</x:f>
        <x:v>648</x:v>
      </x:c>
      <x:c r="K1103" s="12">
        <x:f>ROUND(英雄升级调参!$D$100*英雄升级调参!$C$11*英雄升级调参!$J$11*英雄升级调参!$G$24,0)*3</x:f>
        <x:v>4500</x:v>
      </x:c>
      <x:c r="L1103" s="12" t="n">
        <x:f>养成消耗调参!$E$182</x:f>
        <x:v>1536</x:v>
      </x:c>
      <x:c r="M1103" s="12" t="n">
        <x:f>养成消耗调参!$H$182</x:f>
        <x:v>9600</x:v>
      </x:c>
      <x:c r="N1103" s="12" t="n">
        <x:f>养成消耗调参!$I$182</x:f>
        <x:v>130</x:v>
      </x:c>
      <x:c r="O1103" s="12" t="n">
        <x:f>养成消耗调参!$L$182</x:f>
        <x:v>26208</x:v>
      </x:c>
      <x:c r="P1103" s="12" t="n">
        <x:f>养成消耗调参!$O$182</x:f>
        <x:v>155400</x:v>
      </x:c>
      <x:c r="Q1103" s="12" t="n">
        <x:f>养成消耗调参!$P$182</x:f>
        <x:v>490</x:v>
      </x:c>
      <x:c r="R1103" s="13">
        <x:f>I1103/英雄升级调参!$M$100-1</x:f>
        <x:v>-0.0016406864511614438</x:v>
      </x:c>
      <x:c r="S1103" s="6"/>
      <x:c r="T1103" s="6"/>
      <x:c r="U1103" s="6"/>
    </x:row>
    <x:row r="1104" ht="21" customHeight="1">
      <x:c r="A1104" s="14" t="n">
        <x:f>英雄升级调参!$B$24</x:f>
        <x:v>310006</x:v>
      </x:c>
      <x:c r="B1104" s="14" t="str">
        <x:f>英雄升级调参!$C$24</x:f>
        <x:v>玛莫莉莉狮</x:v>
      </x:c>
      <x:c r="C1104" s="6" t="str">
        <x:f>英雄升级调参!$D$24</x:f>
        <x:v>战士</x:v>
      </x:c>
      <x:c r="D1104" s="6" t="s">
        <x:v>25</x:v>
      </x:c>
      <x:c r="E1104" s="6">
        <x:v>36</x:v>
      </x:c>
      <x:c r="F1104" s="6" t="n">
        <x:f>英雄升级调参!$C$101</x:f>
        <x:v>8</x:v>
      </x:c>
      <x:c r="G1104" s="12">
        <x:f t="shared" si="103"/>
        <x:v>7232</x:v>
      </x:c>
      <x:c r="H1104" s="12">
        <x:f t="shared" si="104"/>
        <x:v>50236</x:v>
      </x:c>
      <x:c r="I1104" s="12">
        <x:f t="shared" si="102"/>
        <x:v>363306752</x:v>
      </x:c>
      <x:c r="J1104" s="12">
        <x:f>ROUND(英雄升级调参!$D$101*英雄升级调参!$J$11*英雄升级调参!$E$24,0)</x:f>
        <x:v>243</x:v>
      </x:c>
      <x:c r="K1104" s="12">
        <x:f>ROUND(英雄升级调参!$D$101*英雄升级调参!$C$11*英雄升级调参!$J$11*英雄升级调参!$G$24,0)</x:f>
        <x:v>1688</x:v>
      </x:c>
      <x:c r="L1104" s="12" t="n">
        <x:f>养成消耗调参!$E$183</x:f>
        <x:v>1632</x:v>
      </x:c>
      <x:c r="M1104" s="12" t="n">
        <x:f>养成消耗调参!$H$183</x:f>
        <x:v>9600</x:v>
      </x:c>
      <x:c r="N1104" s="12" t="n">
        <x:f>养成消耗调参!$I$183</x:f>
        <x:v>0</x:v>
      </x:c>
      <x:c r="O1104" s="12" t="n">
        <x:f>养成消耗调参!$L$183</x:f>
        <x:v>27840</x:v>
      </x:c>
      <x:c r="P1104" s="12" t="n">
        <x:f>养成消耗调参!$O$183</x:f>
        <x:v>165000</x:v>
      </x:c>
      <x:c r="Q1104" s="12" t="n">
        <x:f>养成消耗调参!$P$183</x:f>
        <x:v>490</x:v>
      </x:c>
      <x:c r="R1104" s="13">
        <x:f>I1104/英雄升级调参!$M$101-1</x:f>
        <x:v>-0.0016583978698484492</x:v>
      </x:c>
      <x:c r="S1104" s="6"/>
      <x:c r="T1104" s="6"/>
      <x:c r="U1104" s="6"/>
    </x:row>
    <x:row r="1105" ht="21" customHeight="1">
      <x:c r="A1105" s="14" t="n">
        <x:f>英雄升级调参!$B$24</x:f>
        <x:v>310006</x:v>
      </x:c>
      <x:c r="B1105" s="14" t="str">
        <x:f>英雄升级调参!$C$24</x:f>
        <x:v>玛莫莉莉狮</x:v>
      </x:c>
      <x:c r="C1105" s="6" t="str">
        <x:f>英雄升级调参!$D$24</x:f>
        <x:v>战士</x:v>
      </x:c>
      <x:c r="D1105" s="6" t="s">
        <x:v>25</x:v>
      </x:c>
      <x:c r="E1105" s="6">
        <x:v>37</x:v>
      </x:c>
      <x:c r="F1105" s="6" t="n">
        <x:f>英雄升级调参!$C$102</x:f>
        <x:v>8</x:v>
      </x:c>
      <x:c r="G1105" s="12">
        <x:f t="shared" si="103"/>
        <x:v>7475</x:v>
      </x:c>
      <x:c r="H1105" s="12">
        <x:f t="shared" si="104"/>
        <x:v>51924</x:v>
      </x:c>
      <x:c r="I1105" s="12">
        <x:f t="shared" si="102"/>
        <x:v>388131900</x:v>
      </x:c>
      <x:c r="J1105" s="12">
        <x:f>ROUND(英雄升级调参!$D$102*英雄升级调参!$J$11*英雄升级调参!$E$24,0)</x:f>
        <x:v>243</x:v>
      </x:c>
      <x:c r="K1105" s="12">
        <x:f>ROUND(英雄升级调参!$D$102*英雄升级调参!$C$11*英雄升级调参!$J$11*英雄升级调参!$G$24,0)</x:f>
        <x:v>1688</x:v>
      </x:c>
      <x:c r="L1105" s="12" t="n">
        <x:f>养成消耗调参!$E$184</x:f>
        <x:v>1632</x:v>
      </x:c>
      <x:c r="M1105" s="12" t="n">
        <x:f>养成消耗调参!$H$184</x:f>
        <x:v>11400</x:v>
      </x:c>
      <x:c r="N1105" s="12" t="n">
        <x:f>养成消耗调参!$I$184</x:f>
        <x:v>0</x:v>
      </x:c>
      <x:c r="O1105" s="12" t="n">
        <x:f>养成消耗调参!$L$184</x:f>
        <x:v>29472</x:v>
      </x:c>
      <x:c r="P1105" s="12" t="n">
        <x:f>养成消耗调参!$O$184</x:f>
        <x:v>176400</x:v>
      </x:c>
      <x:c r="Q1105" s="12" t="n">
        <x:f>养成消耗调参!$P$184</x:f>
        <x:v>490</x:v>
      </x:c>
      <x:c r="R1105" s="13">
        <x:f>I1105/英雄升级调参!$M$102-1</x:f>
        <x:v>-0.001674957086289952</x:v>
      </x:c>
      <x:c r="S1105" s="6"/>
      <x:c r="T1105" s="6"/>
      <x:c r="U1105" s="6"/>
    </x:row>
    <x:row r="1106" ht="21" customHeight="1">
      <x:c r="A1106" s="14" t="n">
        <x:f>英雄升级调参!$B$24</x:f>
        <x:v>310006</x:v>
      </x:c>
      <x:c r="B1106" s="14" t="str">
        <x:f>英雄升级调参!$C$24</x:f>
        <x:v>玛莫莉莉狮</x:v>
      </x:c>
      <x:c r="C1106" s="6" t="str">
        <x:f>英雄升级调参!$D$24</x:f>
        <x:v>战士</x:v>
      </x:c>
      <x:c r="D1106" s="6" t="s">
        <x:v>25</x:v>
      </x:c>
      <x:c r="E1106" s="6">
        <x:v>38</x:v>
      </x:c>
      <x:c r="F1106" s="6" t="n">
        <x:f>英雄升级调参!$C$103</x:f>
        <x:v>8</x:v>
      </x:c>
      <x:c r="G1106" s="12">
        <x:f t="shared" si="103"/>
        <x:v>7718</x:v>
      </x:c>
      <x:c r="H1106" s="12">
        <x:f t="shared" si="104"/>
        <x:v>53612</x:v>
      </x:c>
      <x:c r="I1106" s="12">
        <x:f t="shared" si="102"/>
        <x:v>413777416</x:v>
      </x:c>
      <x:c r="J1106" s="12">
        <x:f>ROUND(英雄升级调参!$D$103*英雄升级调参!$J$11*英雄升级调参!$E$24,0)</x:f>
        <x:v>243</x:v>
      </x:c>
      <x:c r="K1106" s="12">
        <x:f>ROUND(英雄升级调参!$D$103*英雄升级调参!$C$11*英雄升级调参!$J$11*英雄升级调参!$G$24,0)</x:f>
        <x:v>1688</x:v>
      </x:c>
      <x:c r="L1106" s="12" t="n">
        <x:f>养成消耗调参!$E$185</x:f>
        <x:v>1728</x:v>
      </x:c>
      <x:c r="M1106" s="12" t="n">
        <x:f>养成消耗调参!$H$185</x:f>
        <x:v>11400</x:v>
      </x:c>
      <x:c r="N1106" s="12" t="n">
        <x:f>养成消耗调参!$I$185</x:f>
        <x:v>0</x:v>
      </x:c>
      <x:c r="O1106" s="12" t="n">
        <x:f>养成消耗调参!$L$185</x:f>
        <x:v>31200</x:v>
      </x:c>
      <x:c r="P1106" s="12" t="n">
        <x:f>养成消耗调参!$O$185</x:f>
        <x:v>187800</x:v>
      </x:c>
      <x:c r="Q1106" s="12" t="n">
        <x:f>养成消耗调参!$P$185</x:f>
        <x:v>490</x:v>
      </x:c>
      <x:c r="R1106" s="13">
        <x:f>I1106/英雄升级调参!$M$103-1</x:f>
        <x:v>-0.0016904729919613448</x:v>
      </x:c>
      <x:c r="S1106" s="6"/>
      <x:c r="T1106" s="6"/>
      <x:c r="U1106" s="6"/>
    </x:row>
    <x:row r="1107" ht="21" customHeight="1">
      <x:c r="A1107" s="14" t="n">
        <x:f>英雄升级调参!$B$24</x:f>
        <x:v>310006</x:v>
      </x:c>
      <x:c r="B1107" s="14" t="str">
        <x:f>英雄升级调参!$C$24</x:f>
        <x:v>玛莫莉莉狮</x:v>
      </x:c>
      <x:c r="C1107" s="6" t="str">
        <x:f>英雄升级调参!$D$24</x:f>
        <x:v>战士</x:v>
      </x:c>
      <x:c r="D1107" s="6" t="s">
        <x:v>25</x:v>
      </x:c>
      <x:c r="E1107" s="6">
        <x:v>39</x:v>
      </x:c>
      <x:c r="F1107" s="6" t="n">
        <x:f>英雄升级调参!$C$104</x:f>
        <x:v>8</x:v>
      </x:c>
      <x:c r="G1107" s="12">
        <x:f t="shared" si="103"/>
        <x:v>7961</x:v>
      </x:c>
      <x:c r="H1107" s="12">
        <x:f t="shared" si="104"/>
        <x:v>55300</x:v>
      </x:c>
      <x:c r="I1107" s="12">
        <x:f t="shared" si="102"/>
        <x:v>440243300</x:v>
      </x:c>
      <x:c r="J1107" s="12">
        <x:f>ROUND(英雄升级调参!$D$104*英雄升级调参!$J$11*英雄升级调参!$E$24,0)</x:f>
        <x:v>243</x:v>
      </x:c>
      <x:c r="K1107" s="12">
        <x:f>ROUND(英雄升级调参!$D$104*英雄升级调参!$C$11*英雄升级调参!$J$11*英雄升级调参!$G$24,0)</x:f>
        <x:v>1688</x:v>
      </x:c>
      <x:c r="L1107" s="12" t="n">
        <x:f>养成消耗调参!$E$186</x:f>
        <x:v>1728</x:v>
      </x:c>
      <x:c r="M1107" s="12" t="n">
        <x:f>养成消耗调参!$H$186</x:f>
        <x:v>11400</x:v>
      </x:c>
      <x:c r="N1107" s="12" t="n">
        <x:f>养成消耗调参!$I$186</x:f>
        <x:v>0</x:v>
      </x:c>
      <x:c r="O1107" s="12" t="n">
        <x:f>养成消耗调参!$L$186</x:f>
        <x:v>32928</x:v>
      </x:c>
      <x:c r="P1107" s="12" t="n">
        <x:f>养成消耗调参!$O$186</x:f>
        <x:v>199200</x:v>
      </x:c>
      <x:c r="Q1107" s="12" t="n">
        <x:f>养成消耗调参!$P$186</x:f>
        <x:v>490</x:v>
      </x:c>
      <x:c r="R1107" s="13">
        <x:f>I1107/英雄升级调参!$M$104-1</x:f>
        <x:v>-0.0017050411760136663</x:v>
      </x:c>
      <x:c r="S1107" s="6"/>
      <x:c r="T1107" s="6"/>
      <x:c r="U1107" s="6"/>
    </x:row>
    <x:row r="1108" ht="21" customHeight="1">
      <x:c r="A1108" s="14" t="n">
        <x:f>英雄升级调参!$B$24</x:f>
        <x:v>310006</x:v>
      </x:c>
      <x:c r="B1108" s="14" t="str">
        <x:f>英雄升级调参!$C$24</x:f>
        <x:v>玛莫莉莉狮</x:v>
      </x:c>
      <x:c r="C1108" s="6" t="str">
        <x:f>英雄升级调参!$D$24</x:f>
        <x:v>战士</x:v>
      </x:c>
      <x:c r="D1108" s="6" t="s">
        <x:v>25</x:v>
      </x:c>
      <x:c r="E1108" s="6">
        <x:v>40</x:v>
      </x:c>
      <x:c r="F1108" s="6" t="n">
        <x:f>英雄升级调参!$C$105</x:f>
        <x:v>8</x:v>
      </x:c>
      <x:c r="G1108" s="12">
        <x:f t="shared" si="103"/>
        <x:v>8690</x:v>
      </x:c>
      <x:c r="H1108" s="12">
        <x:f t="shared" si="104"/>
        <x:v>60364</x:v>
      </x:c>
      <x:c r="I1108" s="12">
        <x:f t="shared" si="102"/>
        <x:v>524563160</x:v>
      </x:c>
      <x:c r="J1108" s="12">
        <x:f>ROUND(英雄升级调参!$D$105*英雄升级调参!$J$11*英雄升级调参!$E$24,0)*3</x:f>
        <x:v>729</x:v>
      </x:c>
      <x:c r="K1108" s="12">
        <x:f>ROUND(英雄升级调参!$D$105*英雄升级调参!$C$11*英雄升级调参!$J$11*英雄升级调参!$G$24,0)*3</x:f>
        <x:v>5064</x:v>
      </x:c>
      <x:c r="L1108" s="12" t="n">
        <x:f>养成消耗调参!$E$187</x:f>
        <x:v>1824</x:v>
      </x:c>
      <x:c r="M1108" s="12" t="n">
        <x:f>养成消耗调参!$H$187</x:f>
        <x:v>11400</x:v>
      </x:c>
      <x:c r="N1108" s="12" t="n">
        <x:f>养成消耗调参!$I$187</x:f>
        <x:v>150</x:v>
      </x:c>
      <x:c r="O1108" s="12" t="n">
        <x:f>养成消耗调参!$L$187</x:f>
        <x:v>34752</x:v>
      </x:c>
      <x:c r="P1108" s="12" t="n">
        <x:f>养成消耗调参!$O$187</x:f>
        <x:v>210600</x:v>
      </x:c>
      <x:c r="Q1108" s="12" t="n">
        <x:f>养成消耗调参!$P$187</x:f>
        <x:v>640</x:v>
      </x:c>
      <x:c r="R1108" s="13">
        <x:f>I1108/英雄升级调参!$M$105-1</x:f>
        <x:v>-0.0017438548318685632</x:v>
      </x:c>
      <x:c r="S1108" s="6"/>
      <x:c r="T1108" s="6"/>
      <x:c r="U1108" s="6"/>
    </x:row>
    <x:row r="1109" ht="21" customHeight="1">
      <x:c r="A1109" s="14" t="n">
        <x:f>英雄升级调参!$B$24</x:f>
        <x:v>310006</x:v>
      </x:c>
      <x:c r="B1109" s="14" t="str">
        <x:f>英雄升级调参!$C$24</x:f>
        <x:v>玛莫莉莉狮</x:v>
      </x:c>
      <x:c r="C1109" s="6" t="str">
        <x:f>英雄升级调参!$D$24</x:f>
        <x:v>战士</x:v>
      </x:c>
      <x:c r="D1109" s="6" t="s">
        <x:v>25</x:v>
      </x:c>
      <x:c r="E1109" s="6">
        <x:v>41</x:v>
      </x:c>
      <x:c r="F1109" s="6" t="n">
        <x:f>英雄升级调参!$C$106</x:f>
        <x:v>9</x:v>
      </x:c>
      <x:c r="G1109" s="12">
        <x:f t="shared" si="103"/>
        <x:v>8960</x:v>
      </x:c>
      <x:c r="H1109" s="12">
        <x:f t="shared" si="104"/>
        <x:v>62239</x:v>
      </x:c>
      <x:c r="I1109" s="12">
        <x:f t="shared" si="102"/>
        <x:v>557661440</x:v>
      </x:c>
      <x:c r="J1109" s="12">
        <x:f>ROUND(英雄升级调参!$D$106*英雄升级调参!$J$11*英雄升级调参!$E$24,0)</x:f>
        <x:v>270</x:v>
      </x:c>
      <x:c r="K1109" s="12">
        <x:f>ROUND(英雄升级调参!$D$106*英雄升级调参!$C$11*英雄升级调参!$J$11*英雄升级调参!$G$24,0)</x:f>
        <x:v>1875</x:v>
      </x:c>
      <x:c r="L1109" s="12" t="n">
        <x:f>养成消耗调参!$E$188</x:f>
        <x:v>1824</x:v>
      </x:c>
      <x:c r="M1109" s="12" t="n">
        <x:f>养成消耗调参!$H$188</x:f>
        <x:v>11400</x:v>
      </x:c>
      <x:c r="N1109" s="12" t="n">
        <x:f>养成消耗调参!$I$188</x:f>
        <x:v>0</x:v>
      </x:c>
      <x:c r="O1109" s="12" t="n">
        <x:f>养成消耗调参!$L$188</x:f>
        <x:v>36576</x:v>
      </x:c>
      <x:c r="P1109" s="12" t="n">
        <x:f>养成消耗调参!$O$188</x:f>
        <x:v>222000</x:v>
      </x:c>
      <x:c r="Q1109" s="12" t="n">
        <x:f>养成消耗调参!$P$188</x:f>
        <x:v>640</x:v>
      </x:c>
      <x:c r="R1109" s="13">
        <x:f>I1109/英雄升级调参!$M$106-1</x:f>
        <x:v>-0.001691406005879581</x:v>
      </x:c>
      <x:c r="S1109" s="6"/>
      <x:c r="T1109" s="6"/>
      <x:c r="U1109" s="6"/>
    </x:row>
    <x:row r="1110" ht="21" customHeight="1">
      <x:c r="A1110" s="14" t="n">
        <x:f>英雄升级调参!$B$24</x:f>
        <x:v>310006</x:v>
      </x:c>
      <x:c r="B1110" s="14" t="str">
        <x:f>英雄升级调参!$C$24</x:f>
        <x:v>玛莫莉莉狮</x:v>
      </x:c>
      <x:c r="C1110" s="6" t="str">
        <x:f>英雄升级调参!$D$24</x:f>
        <x:v>战士</x:v>
      </x:c>
      <x:c r="D1110" s="6" t="s">
        <x:v>25</x:v>
      </x:c>
      <x:c r="E1110" s="6">
        <x:v>42</x:v>
      </x:c>
      <x:c r="F1110" s="6" t="n">
        <x:f>英雄升级调参!$C$107</x:f>
        <x:v>9</x:v>
      </x:c>
      <x:c r="G1110" s="12">
        <x:f t="shared" si="103"/>
        <x:v>9230</x:v>
      </x:c>
      <x:c r="H1110" s="12">
        <x:f t="shared" si="104"/>
        <x:v>64114</x:v>
      </x:c>
      <x:c r="I1110" s="12">
        <x:f t="shared" si="102"/>
        <x:v>591772220</x:v>
      </x:c>
      <x:c r="J1110" s="12">
        <x:f>ROUND(英雄升级调参!$D$107*英雄升级调参!$J$11*英雄升级调参!$E$24,0)</x:f>
        <x:v>270</x:v>
      </x:c>
      <x:c r="K1110" s="12">
        <x:f>ROUND(英雄升级调参!$D$107*英雄升级调参!$C$11*英雄升级调参!$J$11*英雄升级调参!$G$24,0)</x:f>
        <x:v>1875</x:v>
      </x:c>
      <x:c r="L1110" s="12" t="n">
        <x:f>养成消耗调参!$E$189</x:f>
        <x:v>1920</x:v>
      </x:c>
      <x:c r="M1110" s="12" t="n">
        <x:f>养成消耗调参!$H$189</x:f>
        <x:v>13200</x:v>
      </x:c>
      <x:c r="N1110" s="12" t="n">
        <x:f>养成消耗调参!$I$189</x:f>
        <x:v>0</x:v>
      </x:c>
      <x:c r="O1110" s="12" t="n">
        <x:f>养成消耗调参!$L$189</x:f>
        <x:v>38496</x:v>
      </x:c>
      <x:c r="P1110" s="12" t="n">
        <x:f>养成消耗调参!$O$189</x:f>
        <x:v>235200</x:v>
      </x:c>
      <x:c r="Q1110" s="12" t="n">
        <x:f>养成消耗调参!$P$189</x:f>
        <x:v>640</x:v>
      </x:c>
      <x:c r="R1110" s="13">
        <x:f>I1110/英雄升级调参!$M$107-1</x:f>
        <x:v>-0.0016420200021081133</x:v>
      </x:c>
      <x:c r="S1110" s="6"/>
      <x:c r="T1110" s="6"/>
      <x:c r="U1110" s="6"/>
    </x:row>
    <x:row r="1111" ht="21" customHeight="1">
      <x:c r="A1111" s="14" t="n">
        <x:f>英雄升级调参!$B$24</x:f>
        <x:v>310006</x:v>
      </x:c>
      <x:c r="B1111" s="14" t="str">
        <x:f>英雄升级调参!$C$24</x:f>
        <x:v>玛莫莉莉狮</x:v>
      </x:c>
      <x:c r="C1111" s="6" t="str">
        <x:f>英雄升级调参!$D$24</x:f>
        <x:v>战士</x:v>
      </x:c>
      <x:c r="D1111" s="6" t="s">
        <x:v>25</x:v>
      </x:c>
      <x:c r="E1111" s="6">
        <x:v>43</x:v>
      </x:c>
      <x:c r="F1111" s="6" t="n">
        <x:f>英雄升级调参!$C$108</x:f>
        <x:v>9</x:v>
      </x:c>
      <x:c r="G1111" s="12">
        <x:f t="shared" si="103"/>
        <x:v>9500</x:v>
      </x:c>
      <x:c r="H1111" s="12">
        <x:f t="shared" si="104"/>
        <x:v>65989</x:v>
      </x:c>
      <x:c r="I1111" s="12">
        <x:f t="shared" si="102"/>
        <x:v>626895500</x:v>
      </x:c>
      <x:c r="J1111" s="12">
        <x:f>ROUND(英雄升级调参!$D$108*英雄升级调参!$J$11*英雄升级调参!$E$24,0)</x:f>
        <x:v>270</x:v>
      </x:c>
      <x:c r="K1111" s="12">
        <x:f>ROUND(英雄升级调参!$D$108*英雄升级调参!$C$11*英雄升级调参!$J$11*英雄升级调参!$G$24,0)</x:f>
        <x:v>1875</x:v>
      </x:c>
      <x:c r="L1111" s="12" t="n">
        <x:f>养成消耗调参!$E$190</x:f>
        <x:v>1920</x:v>
      </x:c>
      <x:c r="M1111" s="12" t="n">
        <x:f>养成消耗调参!$H$190</x:f>
        <x:v>13200</x:v>
      </x:c>
      <x:c r="N1111" s="12" t="n">
        <x:f>养成消耗调参!$I$190</x:f>
        <x:v>0</x:v>
      </x:c>
      <x:c r="O1111" s="12" t="n">
        <x:f>养成消耗调参!$L$190</x:f>
        <x:v>40416</x:v>
      </x:c>
      <x:c r="P1111" s="12" t="n">
        <x:f>养成消耗调参!$O$190</x:f>
        <x:v>248400</x:v>
      </x:c>
      <x:c r="Q1111" s="12" t="n">
        <x:f>养成消耗调参!$P$190</x:f>
        <x:v>640</x:v>
      </x:c>
      <x:c r="R1111" s="13">
        <x:f>I1111/英雄升级调参!$M$108-1</x:f>
        <x:v>-0.001595436145151563</x:v>
      </x:c>
      <x:c r="S1111" s="6"/>
      <x:c r="T1111" s="6"/>
      <x:c r="U1111" s="6"/>
    </x:row>
    <x:row r="1112" ht="21" customHeight="1">
      <x:c r="A1112" s="14" t="n">
        <x:f>英雄升级调参!$B$24</x:f>
        <x:v>310006</x:v>
      </x:c>
      <x:c r="B1112" s="14" t="str">
        <x:f>英雄升级调参!$C$24</x:f>
        <x:v>玛莫莉莉狮</x:v>
      </x:c>
      <x:c r="C1112" s="6" t="str">
        <x:f>英雄升级调参!$D$24</x:f>
        <x:v>战士</x:v>
      </x:c>
      <x:c r="D1112" s="6" t="s">
        <x:v>25</x:v>
      </x:c>
      <x:c r="E1112" s="6">
        <x:v>44</x:v>
      </x:c>
      <x:c r="F1112" s="6" t="n">
        <x:f>英雄升级调参!$C$109</x:f>
        <x:v>9</x:v>
      </x:c>
      <x:c r="G1112" s="12">
        <x:f t="shared" si="103"/>
        <x:v>9770</x:v>
      </x:c>
      <x:c r="H1112" s="12">
        <x:f t="shared" si="104"/>
        <x:v>67864</x:v>
      </x:c>
      <x:c r="I1112" s="12">
        <x:f t="shared" si="102"/>
        <x:v>663031280</x:v>
      </x:c>
      <x:c r="J1112" s="12">
        <x:f>ROUND(英雄升级调参!$D$109*英雄升级调参!$J$11*英雄升级调参!$E$24,0)</x:f>
        <x:v>270</x:v>
      </x:c>
      <x:c r="K1112" s="12">
        <x:f>ROUND(英雄升级调参!$D$109*英雄升级调参!$C$11*英雄升级调参!$J$11*英雄升级调参!$G$24,0)</x:f>
        <x:v>1875</x:v>
      </x:c>
      <x:c r="L1112" s="12" t="n">
        <x:f>养成消耗调参!$E$191</x:f>
        <x:v>2016</x:v>
      </x:c>
      <x:c r="M1112" s="12" t="n">
        <x:f>养成消耗调参!$H$191</x:f>
        <x:v>13200</x:v>
      </x:c>
      <x:c r="N1112" s="12" t="n">
        <x:f>养成消耗调参!$I$191</x:f>
        <x:v>0</x:v>
      </x:c>
      <x:c r="O1112" s="12" t="n">
        <x:f>养成消耗调参!$L$191</x:f>
        <x:v>42432</x:v>
      </x:c>
      <x:c r="P1112" s="12" t="n">
        <x:f>养成消耗调参!$O$191</x:f>
        <x:v>261600</x:v>
      </x:c>
      <x:c r="Q1112" s="12" t="n">
        <x:f>养成消耗调参!$P$191</x:f>
        <x:v>640</x:v>
      </x:c>
      <x:c r="R1112" s="13">
        <x:f>I1112/英雄升级调参!$M$109-1</x:f>
        <x:v>-0.0015514225248287605</x:v>
      </x:c>
      <x:c r="S1112" s="6"/>
      <x:c r="T1112" s="6"/>
      <x:c r="U1112" s="6"/>
    </x:row>
    <x:row r="1113" ht="21" customHeight="1">
      <x:c r="A1113" s="14" t="n">
        <x:f>英雄升级调参!$B$24</x:f>
        <x:v>310006</x:v>
      </x:c>
      <x:c r="B1113" s="14" t="str">
        <x:f>英雄升级调参!$C$24</x:f>
        <x:v>玛莫莉莉狮</x:v>
      </x:c>
      <x:c r="C1113" s="6" t="str">
        <x:f>英雄升级调参!$D$24</x:f>
        <x:v>战士</x:v>
      </x:c>
      <x:c r="D1113" s="6" t="s">
        <x:v>25</x:v>
      </x:c>
      <x:c r="E1113" s="6">
        <x:v>45</x:v>
      </x:c>
      <x:c r="F1113" s="6" t="n">
        <x:f>英雄升级调参!$C$110</x:f>
        <x:v>9</x:v>
      </x:c>
      <x:c r="G1113" s="12">
        <x:f t="shared" si="103"/>
        <x:v>10580</x:v>
      </x:c>
      <x:c r="H1113" s="12">
        <x:f t="shared" si="104"/>
        <x:v>73489</x:v>
      </x:c>
      <x:c r="I1113" s="12">
        <x:f t="shared" si="102"/>
        <x:v>777513620</x:v>
      </x:c>
      <x:c r="J1113" s="12">
        <x:f>ROUND(英雄升级调参!$D$110*英雄升级调参!$J$11*英雄升级调参!$E$24,0)*3</x:f>
        <x:v>810</x:v>
      </x:c>
      <x:c r="K1113" s="12">
        <x:f>ROUND(英雄升级调参!$D$110*英雄升级调参!$C$11*英雄升级调参!$J$11*英雄升级调参!$G$24,0)*3</x:f>
        <x:v>5625</x:v>
      </x:c>
      <x:c r="L1113" s="12" t="n">
        <x:f>养成消耗调参!$E$192</x:f>
        <x:v>2016</x:v>
      </x:c>
      <x:c r="M1113" s="12" t="n">
        <x:f>养成消耗调参!$H$192</x:f>
        <x:v>13200</x:v>
      </x:c>
      <x:c r="N1113" s="12" t="n">
        <x:f>养成消耗调参!$I$192</x:f>
        <x:v>170</x:v>
      </x:c>
      <x:c r="O1113" s="12" t="n">
        <x:f>养成消耗调参!$L$192</x:f>
        <x:v>44448</x:v>
      </x:c>
      <x:c r="P1113" s="12" t="n">
        <x:f>养成消耗调参!$O$192</x:f>
        <x:v>274800</x:v>
      </x:c>
      <x:c r="Q1113" s="12" t="n">
        <x:f>养成消耗调参!$P$192</x:f>
        <x:v>810</x:v>
      </x:c>
      <x:c r="R1113" s="13">
        <x:f>I1113/英雄升级调参!$M$110-1</x:f>
        <x:v>-0.0014328385060582427</x:v>
      </x:c>
      <x:c r="S1113" s="6"/>
      <x:c r="T1113" s="6"/>
      <x:c r="U1113" s="6"/>
    </x:row>
    <x:row r="1114" ht="21" customHeight="1">
      <x:c r="A1114" s="14" t="n">
        <x:f>英雄升级调参!$B$24</x:f>
        <x:v>310006</x:v>
      </x:c>
      <x:c r="B1114" s="14" t="str">
        <x:f>英雄升级调参!$C$24</x:f>
        <x:v>玛莫莉莉狮</x:v>
      </x:c>
      <x:c r="C1114" s="6" t="str">
        <x:f>英雄升级调参!$D$24</x:f>
        <x:v>战士</x:v>
      </x:c>
      <x:c r="D1114" s="6" t="s">
        <x:v>25</x:v>
      </x:c>
      <x:c r="E1114" s="6">
        <x:v>46</x:v>
      </x:c>
      <x:c r="F1114" s="6" t="n">
        <x:f>英雄升级调参!$C$111</x:f>
        <x:v>10</x:v>
      </x:c>
      <x:c r="G1114" s="12">
        <x:f t="shared" si="103"/>
        <x:v>10877</x:v>
      </x:c>
      <x:c r="H1114" s="12">
        <x:f t="shared" si="104"/>
        <x:v>75552</x:v>
      </x:c>
      <x:c r="I1114" s="12">
        <x:f t="shared" si="102"/>
        <x:v>821779104</x:v>
      </x:c>
      <x:c r="J1114" s="12">
        <x:f>ROUND(英雄升级调参!$D$111*英雄升级调参!$J$11*英雄升级调参!$E$24,0)</x:f>
        <x:v>297</x:v>
      </x:c>
      <x:c r="K1114" s="12">
        <x:f>ROUND(英雄升级调参!$D$111*英雄升级调参!$C$11*英雄升级调参!$J$11*英雄升级调参!$G$24,0)</x:f>
        <x:v>2063</x:v>
      </x:c>
      <x:c r="L1114" s="12" t="n">
        <x:f>养成消耗调参!$E$193</x:f>
        <x:v>2112</x:v>
      </x:c>
      <x:c r="M1114" s="12" t="n">
        <x:f>养成消耗调参!$H$193</x:f>
        <x:v>13200</x:v>
      </x:c>
      <x:c r="N1114" s="12" t="n">
        <x:f>养成消耗调参!$I$193</x:f>
        <x:v>0</x:v>
      </x:c>
      <x:c r="O1114" s="12" t="n">
        <x:f>养成消耗调参!$L$193</x:f>
        <x:v>46560</x:v>
      </x:c>
      <x:c r="P1114" s="12" t="n">
        <x:f>养成消耗调参!$O$193</x:f>
        <x:v>288000</x:v>
      </x:c>
      <x:c r="Q1114" s="12" t="n">
        <x:f>养成消耗调参!$P$193</x:f>
        <x:v>810</x:v>
      </x:c>
      <x:c r="R1114" s="13">
        <x:f>I1114/英雄升级调参!$M$111-1</x:f>
        <x:v>-0.0014421629385629187</x:v>
      </x:c>
      <x:c r="S1114" s="6"/>
      <x:c r="T1114" s="6"/>
      <x:c r="U1114" s="6"/>
    </x:row>
    <x:row r="1115" ht="21" customHeight="1">
      <x:c r="A1115" s="14" t="n">
        <x:f>英雄升级调参!$B$24</x:f>
        <x:v>310006</x:v>
      </x:c>
      <x:c r="B1115" s="14" t="str">
        <x:f>英雄升级调参!$C$24</x:f>
        <x:v>玛莫莉莉狮</x:v>
      </x:c>
      <x:c r="C1115" s="6" t="str">
        <x:f>英雄升级调参!$D$24</x:f>
        <x:v>战士</x:v>
      </x:c>
      <x:c r="D1115" s="6" t="s">
        <x:v>25</x:v>
      </x:c>
      <x:c r="E1115" s="6">
        <x:v>47</x:v>
      </x:c>
      <x:c r="F1115" s="6" t="n">
        <x:f>英雄升级调参!$C$112</x:f>
        <x:v>10</x:v>
      </x:c>
      <x:c r="G1115" s="12">
        <x:f t="shared" si="103"/>
        <x:v>11174</x:v>
      </x:c>
      <x:c r="H1115" s="12">
        <x:f t="shared" si="104"/>
        <x:v>77615</x:v>
      </x:c>
      <x:c r="I1115" s="12">
        <x:f t="shared" si="102"/>
        <x:v>867270010</x:v>
      </x:c>
      <x:c r="J1115" s="12">
        <x:f>ROUND(英雄升级调参!$D$112*英雄升级调参!$J$11*英雄升级调参!$E$24,0)</x:f>
        <x:v>297</x:v>
      </x:c>
      <x:c r="K1115" s="12">
        <x:f>ROUND(英雄升级调参!$D$112*英雄升级调参!$C$11*英雄升级调参!$J$11*英雄升级调参!$G$24,0)</x:f>
        <x:v>2063</x:v>
      </x:c>
      <x:c r="L1115" s="12" t="n">
        <x:f>养成消耗调参!$E$194</x:f>
        <x:v>2112</x:v>
      </x:c>
      <x:c r="M1115" s="12" t="n">
        <x:f>养成消耗调参!$H$194</x:f>
        <x:v>15000</x:v>
      </x:c>
      <x:c r="N1115" s="12" t="n">
        <x:f>养成消耗调参!$I$194</x:f>
        <x:v>0</x:v>
      </x:c>
      <x:c r="O1115" s="12" t="n">
        <x:f>养成消耗调参!$L$194</x:f>
        <x:v>48672</x:v>
      </x:c>
      <x:c r="P1115" s="12" t="n">
        <x:f>养成消耗调参!$O$194</x:f>
        <x:v>303000</x:v>
      </x:c>
      <x:c r="Q1115" s="12" t="n">
        <x:f>养成消耗调参!$P$194</x:f>
        <x:v>810</x:v>
      </x:c>
      <x:c r="R1115" s="13">
        <x:f>I1115/英雄升级调参!$M$112-1</x:f>
        <x:v>-0.0014509915049129019</x:v>
      </x:c>
      <x:c r="S1115" s="6"/>
      <x:c r="T1115" s="6"/>
      <x:c r="U1115" s="6"/>
    </x:row>
    <x:row r="1116" ht="21" customHeight="1">
      <x:c r="A1116" s="14" t="n">
        <x:f>英雄升级调参!$B$24</x:f>
        <x:v>310006</x:v>
      </x:c>
      <x:c r="B1116" s="14" t="str">
        <x:f>英雄升级调参!$C$24</x:f>
        <x:v>玛莫莉莉狮</x:v>
      </x:c>
      <x:c r="C1116" s="6" t="str">
        <x:f>英雄升级调参!$D$24</x:f>
        <x:v>战士</x:v>
      </x:c>
      <x:c r="D1116" s="6" t="s">
        <x:v>25</x:v>
      </x:c>
      <x:c r="E1116" s="6">
        <x:v>48</x:v>
      </x:c>
      <x:c r="F1116" s="6" t="n">
        <x:f>英雄升级调参!$C$113</x:f>
        <x:v>10</x:v>
      </x:c>
      <x:c r="G1116" s="12">
        <x:f t="shared" si="103"/>
        <x:v>11471</x:v>
      </x:c>
      <x:c r="H1116" s="12">
        <x:f t="shared" si="104"/>
        <x:v>79678</x:v>
      </x:c>
      <x:c r="I1116" s="12">
        <x:f t="shared" si="102"/>
        <x:v>913986338</x:v>
      </x:c>
      <x:c r="J1116" s="12">
        <x:f>ROUND(英雄升级调参!$D$113*英雄升级调参!$J$11*英雄升级调参!$E$24,0)</x:f>
        <x:v>297</x:v>
      </x:c>
      <x:c r="K1116" s="12">
        <x:f>ROUND(英雄升级调参!$D$113*英雄升级调参!$C$11*英雄升级调参!$J$11*英雄升级调参!$G$24,0)</x:f>
        <x:v>2063</x:v>
      </x:c>
      <x:c r="L1116" s="12" t="n">
        <x:f>养成消耗调参!$E$195</x:f>
        <x:v>2208</x:v>
      </x:c>
      <x:c r="M1116" s="12" t="n">
        <x:f>养成消耗调参!$H$195</x:f>
        <x:v>15000</x:v>
      </x:c>
      <x:c r="N1116" s="12" t="n">
        <x:f>养成消耗调参!$I$195</x:f>
        <x:v>0</x:v>
      </x:c>
      <x:c r="O1116" s="12" t="n">
        <x:f>养成消耗调参!$L$195</x:f>
        <x:v>50880</x:v>
      </x:c>
      <x:c r="P1116" s="12" t="n">
        <x:f>养成消耗调参!$O$195</x:f>
        <x:v>318000</x:v>
      </x:c>
      <x:c r="Q1116" s="12" t="n">
        <x:f>养成消耗调参!$P$195</x:f>
        <x:v>810</x:v>
      </x:c>
      <x:c r="R1116" s="13">
        <x:f>I1116/英雄升级调参!$M$113-1</x:f>
        <x:v>-0.0014593627352774696</x:v>
      </x:c>
      <x:c r="S1116" s="6"/>
      <x:c r="T1116" s="6"/>
      <x:c r="U1116" s="6"/>
    </x:row>
    <x:row r="1117" ht="21" customHeight="1">
      <x:c r="A1117" s="14" t="n">
        <x:f>英雄升级调参!$B$24</x:f>
        <x:v>310006</x:v>
      </x:c>
      <x:c r="B1117" s="14" t="str">
        <x:f>英雄升级调参!$C$24</x:f>
        <x:v>玛莫莉莉狮</x:v>
      </x:c>
      <x:c r="C1117" s="6" t="str">
        <x:f>英雄升级调参!$D$24</x:f>
        <x:v>战士</x:v>
      </x:c>
      <x:c r="D1117" s="6" t="s">
        <x:v>25</x:v>
      </x:c>
      <x:c r="E1117" s="6">
        <x:v>49</x:v>
      </x:c>
      <x:c r="F1117" s="6" t="n">
        <x:f>英雄升级调参!$C$114</x:f>
        <x:v>10</x:v>
      </x:c>
      <x:c r="G1117" s="12">
        <x:f t="shared" si="103"/>
        <x:v>11768</x:v>
      </x:c>
      <x:c r="H1117" s="12">
        <x:f t="shared" si="104"/>
        <x:v>81741</x:v>
      </x:c>
      <x:c r="I1117" s="12">
        <x:f t="shared" si="102"/>
        <x:v>961928088</x:v>
      </x:c>
      <x:c r="J1117" s="12">
        <x:f>ROUND(英雄升级调参!$D$114*英雄升级调参!$J$11*英雄升级调参!$E$24,0)</x:f>
        <x:v>297</x:v>
      </x:c>
      <x:c r="K1117" s="12">
        <x:f>ROUND(英雄升级调参!$D$114*英雄升级调参!$C$11*英雄升级调参!$J$11*英雄升级调参!$G$24,0)</x:f>
        <x:v>2063</x:v>
      </x:c>
      <x:c r="L1117" s="12" t="n">
        <x:f>养成消耗调参!$E$196</x:f>
        <x:v>2208</x:v>
      </x:c>
      <x:c r="M1117" s="12" t="n">
        <x:f>养成消耗调参!$H$196</x:f>
        <x:v>15000</x:v>
      </x:c>
      <x:c r="N1117" s="12" t="n">
        <x:f>养成消耗调参!$I$196</x:f>
        <x:v>0</x:v>
      </x:c>
      <x:c r="O1117" s="12" t="n">
        <x:f>养成消耗调参!$L$196</x:f>
        <x:v>53088</x:v>
      </x:c>
      <x:c r="P1117" s="12" t="n">
        <x:f>养成消耗调参!$O$196</x:f>
        <x:v>333000</x:v>
      </x:c>
      <x:c r="Q1117" s="12" t="n">
        <x:f>养成消耗调参!$P$196</x:f>
        <x:v>810</x:v>
      </x:c>
      <x:c r="R1117" s="13">
        <x:f>I1117/英雄升级调参!$M$114-1</x:f>
        <x:v>-0.0014673112687408896</x:v>
      </x:c>
      <x:c r="S1117" s="6"/>
      <x:c r="T1117" s="6"/>
      <x:c r="U1117" s="6"/>
    </x:row>
    <x:row r="1118" ht="21" customHeight="1">
      <x:c r="A1118" s="14" t="n">
        <x:f>英雄升级调参!$B$24</x:f>
        <x:v>310006</x:v>
      </x:c>
      <x:c r="B1118" s="14" t="str">
        <x:f>英雄升级调参!$C$24</x:f>
        <x:v>玛莫莉莉狮</x:v>
      </x:c>
      <x:c r="C1118" s="6" t="str">
        <x:f>英雄升级调参!$D$24</x:f>
        <x:v>战士</x:v>
      </x:c>
      <x:c r="D1118" s="6" t="s">
        <x:v>25</x:v>
      </x:c>
      <x:c r="E1118" s="6">
        <x:v>50</x:v>
      </x:c>
      <x:c r="F1118" s="6" t="n">
        <x:f>英雄升级调参!$C$115</x:f>
        <x:v>10</x:v>
      </x:c>
      <x:c r="G1118" s="12">
        <x:f t="shared" si="103"/>
        <x:v>12659</x:v>
      </x:c>
      <x:c r="H1118" s="12">
        <x:f t="shared" si="104"/>
        <x:v>87930</x:v>
      </x:c>
      <x:c r="I1118" s="12">
        <x:f t="shared" si="102"/>
        <x:v>1113105870</x:v>
      </x:c>
      <x:c r="J1118" s="12">
        <x:f>ROUND(英雄升级调参!$D$115*英雄升级调参!$J$11*英雄升级调参!$E$24,0)*3</x:f>
        <x:v>891</x:v>
      </x:c>
      <x:c r="K1118" s="12">
        <x:f>ROUND(英雄升级调参!$D$115*英雄升级调参!$C$11*英雄升级调参!$J$11*英雄升级调参!$G$24,0)*3</x:f>
        <x:v>6189</x:v>
      </x:c>
      <x:c r="L1118" s="12" t="n">
        <x:f>养成消耗调参!$E$197</x:f>
        <x:v>2304</x:v>
      </x:c>
      <x:c r="M1118" s="12" t="n">
        <x:f>养成消耗调参!$H$197</x:f>
        <x:v>15000</x:v>
      </x:c>
      <x:c r="N1118" s="12" t="n">
        <x:f>养成消耗调参!$I$197</x:f>
        <x:v>190</x:v>
      </x:c>
      <x:c r="O1118" s="12" t="n">
        <x:f>养成消耗调参!$L$197</x:f>
        <x:v>55392</x:v>
      </x:c>
      <x:c r="P1118" s="12" t="n">
        <x:f>养成消耗调参!$O$197</x:f>
        <x:v>348000</x:v>
      </x:c>
      <x:c r="Q1118" s="12" t="n">
        <x:f>养成消耗调参!$P$197</x:f>
        <x:v>1000</x:v>
      </x:c>
      <x:c r="R1118" s="13">
        <x:f>I1118/英雄升级调参!$M$115-1</x:f>
        <x:v>-0.0014889183010493579</x:v>
      </x:c>
      <x:c r="S1118" s="6"/>
      <x:c r="T1118" s="6"/>
      <x:c r="U1118" s="6"/>
    </x:row>
    <x:row r="1119" ht="21" customHeight="1">
      <x:c r="A1119" s="14" t="n">
        <x:f>英雄升级调参!$B$25</x:f>
        <x:v>310008</x:v>
      </x:c>
      <x:c r="B1119" s="14" t="str">
        <x:f>英雄升级调参!$C$25</x:f>
        <x:v>魔魔龙</x:v>
      </x:c>
      <x:c r="C1119" s="6" t="str">
        <x:f>英雄升级调参!$D$25</x:f>
        <x:v>战士</x:v>
      </x:c>
      <x:c r="D1119" s="6" t="s">
        <x:v>18</x:v>
      </x:c>
      <x:c r="E1119" s="6">
        <x:v>1</x:v>
      </x:c>
      <x:c r="F1119" s="6" t="n">
        <x:f>英雄升级调参!$C$66</x:f>
        <x:v>1</x:v>
      </x:c>
      <x:c r="G1119" s="12" t="n">
        <x:f>ROUND(英雄升级调参!$E$66*英雄升级调参!$E$25,0)</x:f>
        <x:v>75</x:v>
      </x:c>
      <x:c r="H1119" s="12" t="n">
        <x:f>ROUND(英雄升级调参!$F$66*英雄升级调参!$G$25,0)</x:f>
        <x:v>480</x:v>
      </x:c>
      <x:c r="I1119" s="12">
        <x:f t="shared" si="102"/>
        <x:v>36000</x:v>
      </x:c>
      <x:c r="J1119" s="12" t="n">
        <x:f>0</x:f>
        <x:v>0</x:v>
      </x:c>
      <x:c r="K1119" s="12" t="n">
        <x:f>0</x:f>
        <x:v>0</x:v>
      </x:c>
      <x:c r="L1119" s="12" t="n">
        <x:f>养成消耗调参!$C$148</x:f>
        <x:v>0</x:v>
      </x:c>
      <x:c r="M1119" s="12" t="n">
        <x:f>养成消耗调参!$F$148</x:f>
        <x:v>0</x:v>
      </x:c>
      <x:c r="N1119" s="12" t="n">
        <x:f>养成消耗调参!$I$148</x:f>
        <x:v>0</x:v>
      </x:c>
      <x:c r="O1119" s="12" t="n">
        <x:f>养成消耗调参!$J$148</x:f>
        <x:v>0</x:v>
      </x:c>
      <x:c r="P1119" s="12" t="n">
        <x:f>养成消耗调参!$M$148</x:f>
        <x:v>0</x:v>
      </x:c>
      <x:c r="Q1119" s="12" t="n">
        <x:f>养成消耗调参!$P$148</x:f>
        <x:v>0</x:v>
      </x:c>
      <x:c r="R1119" s="13" t="n">
        <x:f>I1119/英雄升级调参!$G$66-1</x:f>
        <x:v>0</x:v>
      </x:c>
      <x:c r="S1119" s="6"/>
      <x:c r="T1119" s="6"/>
      <x:c r="U1119" s="6"/>
    </x:row>
    <x:row r="1120" ht="21" customHeight="1">
      <x:c r="A1120" s="14" t="n">
        <x:f>英雄升级调参!$B$25</x:f>
        <x:v>310008</x:v>
      </x:c>
      <x:c r="B1120" s="14" t="str">
        <x:f>英雄升级调参!$C$25</x:f>
        <x:v>魔魔龙</x:v>
      </x:c>
      <x:c r="C1120" s="6" t="str">
        <x:f>英雄升级调参!$D$25</x:f>
        <x:v>战士</x:v>
      </x:c>
      <x:c r="D1120" s="6" t="s">
        <x:v>18</x:v>
      </x:c>
      <x:c r="E1120" s="6">
        <x:v>2</x:v>
      </x:c>
      <x:c r="F1120" s="6" t="n">
        <x:f>英雄升级调参!$C$67</x:f>
        <x:v>1</x:v>
      </x:c>
      <x:c r="G1120" s="12">
        <x:f t="shared" ref="G1120:G1151" si="105">G1119+J1120</x:f>
        <x:v>98</x:v>
      </x:c>
      <x:c r="H1120" s="12">
        <x:f t="shared" ref="H1120:H1151" si="106">H1119+K1120</x:f>
        <x:v>624</x:v>
      </x:c>
      <x:c r="I1120" s="12">
        <x:f t="shared" si="102"/>
        <x:v>61152</x:v>
      </x:c>
      <x:c r="J1120" s="12">
        <x:f>ROUND(英雄升级调参!$D$67*英雄升级调参!$J$9*英雄升级调参!$E$25,0)</x:f>
        <x:v>23</x:v>
      </x:c>
      <x:c r="K1120" s="12">
        <x:f>ROUND(英雄升级调参!$D$67*英雄升级调参!$C$11*英雄升级调参!$J$9*英雄升级调参!$G$25,0)</x:f>
        <x:v>144</x:v>
      </x:c>
      <x:c r="L1120" s="12" t="n">
        <x:f>养成消耗调参!$C$149</x:f>
        <x:v>24</x:v>
      </x:c>
      <x:c r="M1120" s="12" t="n">
        <x:f>养成消耗调参!$F$149</x:f>
        <x:v>300</x:v>
      </x:c>
      <x:c r="N1120" s="12" t="n">
        <x:f>养成消耗调参!$I$149</x:f>
        <x:v>0</x:v>
      </x:c>
      <x:c r="O1120" s="12" t="n">
        <x:f>养成消耗调参!$J$149</x:f>
        <x:v>24</x:v>
      </x:c>
      <x:c r="P1120" s="12" t="n">
        <x:f>养成消耗调参!$M$149</x:f>
        <x:v>300</x:v>
      </x:c>
      <x:c r="Q1120" s="12" t="n">
        <x:f>养成消耗调参!$P$149</x:f>
        <x:v>0</x:v>
      </x:c>
      <x:c r="R1120" s="13">
        <x:f>I1120/英雄升级调参!$G$67-1</x:f>
        <x:v>0.00512820512820511</x:v>
      </x:c>
      <x:c r="S1120" s="6"/>
      <x:c r="T1120" s="6"/>
      <x:c r="U1120" s="6"/>
    </x:row>
    <x:row r="1121" ht="21" customHeight="1">
      <x:c r="A1121" s="14" t="n">
        <x:f>英雄升级调参!$B$25</x:f>
        <x:v>310008</x:v>
      </x:c>
      <x:c r="B1121" s="14" t="str">
        <x:f>英雄升级调参!$C$25</x:f>
        <x:v>魔魔龙</x:v>
      </x:c>
      <x:c r="C1121" s="6" t="str">
        <x:f>英雄升级调参!$D$25</x:f>
        <x:v>战士</x:v>
      </x:c>
      <x:c r="D1121" s="6" t="s">
        <x:v>18</x:v>
      </x:c>
      <x:c r="E1121" s="6">
        <x:v>3</x:v>
      </x:c>
      <x:c r="F1121" s="6" t="n">
        <x:f>英雄升级调参!$C$68</x:f>
        <x:v>1</x:v>
      </x:c>
      <x:c r="G1121" s="12">
        <x:f t="shared" si="105"/>
        <x:v>121</x:v>
      </x:c>
      <x:c r="H1121" s="12">
        <x:f t="shared" si="106"/>
        <x:v>768</x:v>
      </x:c>
      <x:c r="I1121" s="12">
        <x:f t="shared" si="102"/>
        <x:v>92928</x:v>
      </x:c>
      <x:c r="J1121" s="12">
        <x:f>ROUND(英雄升级调参!$D$68*英雄升级调参!$J$9*英雄升级调参!$E$25,0)</x:f>
        <x:v>23</x:v>
      </x:c>
      <x:c r="K1121" s="12">
        <x:f>ROUND(英雄升级调参!$D$68*英雄升级调参!$C$11*英雄升级调参!$J$9*英雄升级调参!$G$25,0)</x:f>
        <x:v>144</x:v>
      </x:c>
      <x:c r="L1121" s="12" t="n">
        <x:f>养成消耗调参!$C$150</x:f>
        <x:v>24</x:v>
      </x:c>
      <x:c r="M1121" s="12" t="n">
        <x:f>养成消耗调参!$F$150</x:f>
        <x:v>300</x:v>
      </x:c>
      <x:c r="N1121" s="12" t="n">
        <x:f>养成消耗调参!$I$150</x:f>
        <x:v>0</x:v>
      </x:c>
      <x:c r="O1121" s="12" t="n">
        <x:f>养成消耗调参!$J$150</x:f>
        <x:v>48</x:v>
      </x:c>
      <x:c r="P1121" s="12" t="n">
        <x:f>养成消耗调参!$M$150</x:f>
        <x:v>600</x:v>
      </x:c>
      <x:c r="Q1121" s="12" t="n">
        <x:f>养成消耗调参!$P$150</x:f>
        <x:v>0</x:v>
      </x:c>
      <x:c r="R1121" s="13">
        <x:f>I1121/英雄升级调参!$G$68-1</x:f>
        <x:v>0.008333333333333304</x:v>
      </x:c>
      <x:c r="S1121" s="6"/>
      <x:c r="T1121" s="6"/>
      <x:c r="U1121" s="6"/>
    </x:row>
    <x:row r="1122" ht="21" customHeight="1">
      <x:c r="A1122" s="14" t="n">
        <x:f>英雄升级调参!$B$25</x:f>
        <x:v>310008</x:v>
      </x:c>
      <x:c r="B1122" s="14" t="str">
        <x:f>英雄升级调参!$C$25</x:f>
        <x:v>魔魔龙</x:v>
      </x:c>
      <x:c r="C1122" s="6" t="str">
        <x:f>英雄升级调参!$D$25</x:f>
        <x:v>战士</x:v>
      </x:c>
      <x:c r="D1122" s="6" t="s">
        <x:v>18</x:v>
      </x:c>
      <x:c r="E1122" s="6">
        <x:v>4</x:v>
      </x:c>
      <x:c r="F1122" s="6" t="n">
        <x:f>英雄升级调参!$C$69</x:f>
        <x:v>1</x:v>
      </x:c>
      <x:c r="G1122" s="12">
        <x:f t="shared" si="105"/>
        <x:v>144</x:v>
      </x:c>
      <x:c r="H1122" s="12">
        <x:f t="shared" si="106"/>
        <x:v>912</x:v>
      </x:c>
      <x:c r="I1122" s="12">
        <x:f t="shared" si="102"/>
        <x:v>131328</x:v>
      </x:c>
      <x:c r="J1122" s="12">
        <x:f>ROUND(英雄升级调参!$D$69*英雄升级调参!$J$9*英雄升级调参!$E$25,0)</x:f>
        <x:v>23</x:v>
      </x:c>
      <x:c r="K1122" s="12">
        <x:f>ROUND(英雄升级调参!$D$69*英雄升级调参!$C$11*英雄升级调参!$J$9*英雄升级调参!$G$25,0)</x:f>
        <x:v>144</x:v>
      </x:c>
      <x:c r="L1122" s="12" t="n">
        <x:f>养成消耗调参!$C$151</x:f>
        <x:v>48</x:v>
      </x:c>
      <x:c r="M1122" s="12" t="n">
        <x:f>养成消耗调参!$F$151</x:f>
        <x:v>300</x:v>
      </x:c>
      <x:c r="N1122" s="12" t="n">
        <x:f>养成消耗调参!$I$151</x:f>
        <x:v>0</x:v>
      </x:c>
      <x:c r="O1122" s="12" t="n">
        <x:f>养成消耗调参!$J$151</x:f>
        <x:v>96</x:v>
      </x:c>
      <x:c r="P1122" s="12" t="n">
        <x:f>养成消耗调参!$M$151</x:f>
        <x:v>900</x:v>
      </x:c>
      <x:c r="Q1122" s="12" t="n">
        <x:f>养成消耗调参!$P$151</x:f>
        <x:v>0</x:v>
      </x:c>
      <x:c r="R1122" s="13">
        <x:f>I1122/英雄升级调参!$G$69-1</x:f>
        <x:v>0.010526315789473717</x:v>
      </x:c>
      <x:c r="S1122" s="6"/>
      <x:c r="T1122" s="6"/>
      <x:c r="U1122" s="6"/>
    </x:row>
    <x:row r="1123" ht="21" customHeight="1">
      <x:c r="A1123" s="14" t="n">
        <x:f>英雄升级调参!$B$25</x:f>
        <x:v>310008</x:v>
      </x:c>
      <x:c r="B1123" s="14" t="str">
        <x:f>英雄升级调参!$C$25</x:f>
        <x:v>魔魔龙</x:v>
      </x:c>
      <x:c r="C1123" s="6" t="str">
        <x:f>英雄升级调参!$D$25</x:f>
        <x:v>战士</x:v>
      </x:c>
      <x:c r="D1123" s="6" t="s">
        <x:v>18</x:v>
      </x:c>
      <x:c r="E1123" s="6">
        <x:v>5</x:v>
      </x:c>
      <x:c r="F1123" s="6" t="n">
        <x:f>英雄升级调参!$C$70</x:f>
        <x:v>1</x:v>
      </x:c>
      <x:c r="G1123" s="12">
        <x:f t="shared" si="105"/>
        <x:v>213</x:v>
      </x:c>
      <x:c r="H1123" s="12">
        <x:f t="shared" si="106"/>
        <x:v>1344</x:v>
      </x:c>
      <x:c r="I1123" s="12">
        <x:f t="shared" si="102"/>
        <x:v>286272</x:v>
      </x:c>
      <x:c r="J1123" s="12">
        <x:f>ROUND(英雄升级调参!$D$70*英雄升级调参!$J$9*英雄升级调参!$E$25,0)*3</x:f>
        <x:v>69</x:v>
      </x:c>
      <x:c r="K1123" s="12">
        <x:f>ROUND(英雄升级调参!$D$70*英雄升级调参!$C$11*英雄升级调参!$J$9*英雄升级调参!$G$25,0)*3</x:f>
        <x:v>432</x:v>
      </x:c>
      <x:c r="L1123" s="12" t="n">
        <x:f>养成消耗调参!$C$152</x:f>
        <x:v>72</x:v>
      </x:c>
      <x:c r="M1123" s="12" t="n">
        <x:f>养成消耗调参!$F$152</x:f>
        <x:v>300</x:v>
      </x:c>
      <x:c r="N1123" s="12" t="n">
        <x:f>养成消耗调参!$I$152</x:f>
        <x:v>10</x:v>
      </x:c>
      <x:c r="O1123" s="12" t="n">
        <x:f>养成消耗调参!$J$152</x:f>
        <x:v>168</x:v>
      </x:c>
      <x:c r="P1123" s="12" t="n">
        <x:f>养成消耗调参!$M$152</x:f>
        <x:v>1200</x:v>
      </x:c>
      <x:c r="Q1123" s="12" t="n">
        <x:f>养成消耗调参!$P$152</x:f>
        <x:v>10</x:v>
      </x:c>
      <x:c r="R1123" s="13">
        <x:f>I1123/英雄升级调参!$G$70-1</x:f>
        <x:v>0.014285714285714235</x:v>
      </x:c>
      <x:c r="S1123" s="6"/>
      <x:c r="T1123" s="6"/>
      <x:c r="U1123" s="6"/>
    </x:row>
    <x:row r="1124" ht="21" customHeight="1">
      <x:c r="A1124" s="14" t="n">
        <x:f>英雄升级调参!$B$25</x:f>
        <x:v>310008</x:v>
      </x:c>
      <x:c r="B1124" s="14" t="str">
        <x:f>英雄升级调参!$C$25</x:f>
        <x:v>魔魔龙</x:v>
      </x:c>
      <x:c r="C1124" s="6" t="str">
        <x:f>英雄升级调参!$D$25</x:f>
        <x:v>战士</x:v>
      </x:c>
      <x:c r="D1124" s="6" t="s">
        <x:v>18</x:v>
      </x:c>
      <x:c r="E1124" s="6">
        <x:v>6</x:v>
      </x:c>
      <x:c r="F1124" s="6" t="n">
        <x:f>英雄升级调参!$C$71</x:f>
        <x:v>2</x:v>
      </x:c>
      <x:c r="G1124" s="12">
        <x:f t="shared" si="105"/>
        <x:v>247</x:v>
      </x:c>
      <x:c r="H1124" s="12">
        <x:f t="shared" si="106"/>
        <x:v>1560</x:v>
      </x:c>
      <x:c r="I1124" s="12">
        <x:f t="shared" si="102"/>
        <x:v>385320</x:v>
      </x:c>
      <x:c r="J1124" s="12">
        <x:f>ROUND(英雄升级调参!$D$71*英雄升级调参!$J$9*英雄升级调参!$E$25,0)</x:f>
        <x:v>34</x:v>
      </x:c>
      <x:c r="K1124" s="12">
        <x:f>ROUND(英雄升级调参!$D$71*英雄升级调参!$C$11*英雄升级调参!$J$9*英雄升级调参!$G$25,0)</x:f>
        <x:v>216</x:v>
      </x:c>
      <x:c r="L1124" s="12" t="n">
        <x:f>养成消耗调参!$C$153</x:f>
        <x:v>120</x:v>
      </x:c>
      <x:c r="M1124" s="12" t="n">
        <x:f>养成消耗调参!$F$153</x:f>
        <x:v>300</x:v>
      </x:c>
      <x:c r="N1124" s="12" t="n">
        <x:f>养成消耗调参!$I$153</x:f>
        <x:v>0</x:v>
      </x:c>
      <x:c r="O1124" s="12" t="n">
        <x:f>养成消耗调参!$J$153</x:f>
        <x:v>288</x:v>
      </x:c>
      <x:c r="P1124" s="12" t="n">
        <x:f>养成消耗调参!$M$153</x:f>
        <x:v>1500</x:v>
      </x:c>
      <x:c r="Q1124" s="12" t="n">
        <x:f>养成消耗调参!$P$153</x:f>
        <x:v>10</x:v>
      </x:c>
      <x:c r="R1124" s="13">
        <x:f>I1124/英雄升级调参!$G$71-1</x:f>
        <x:v>0.01333333333333342</x:v>
      </x:c>
      <x:c r="S1124" s="6"/>
      <x:c r="T1124" s="6"/>
      <x:c r="U1124" s="6"/>
    </x:row>
    <x:row r="1125" ht="21" customHeight="1">
      <x:c r="A1125" s="14" t="n">
        <x:f>英雄升级调参!$B$25</x:f>
        <x:v>310008</x:v>
      </x:c>
      <x:c r="B1125" s="14" t="str">
        <x:f>英雄升级调参!$C$25</x:f>
        <x:v>魔魔龙</x:v>
      </x:c>
      <x:c r="C1125" s="6" t="str">
        <x:f>英雄升级调参!$D$25</x:f>
        <x:v>战士</x:v>
      </x:c>
      <x:c r="D1125" s="6" t="s">
        <x:v>18</x:v>
      </x:c>
      <x:c r="E1125" s="6">
        <x:v>7</x:v>
      </x:c>
      <x:c r="F1125" s="6" t="n">
        <x:f>英雄升级调参!$C$72</x:f>
        <x:v>2</x:v>
      </x:c>
      <x:c r="G1125" s="12">
        <x:f t="shared" si="105"/>
        <x:v>281</x:v>
      </x:c>
      <x:c r="H1125" s="12">
        <x:f t="shared" si="106"/>
        <x:v>1776</x:v>
      </x:c>
      <x:c r="I1125" s="12">
        <x:f t="shared" si="102"/>
        <x:v>499056</x:v>
      </x:c>
      <x:c r="J1125" s="12">
        <x:f>ROUND(英雄升级调参!$D$72*英雄升级调参!$J$9*英雄升级调参!$E$25,0)</x:f>
        <x:v>34</x:v>
      </x:c>
      <x:c r="K1125" s="12">
        <x:f>ROUND(英雄升级调参!$D$72*英雄升级调参!$C$11*英雄升级调参!$J$9*英雄升级调参!$G$25,0)</x:f>
        <x:v>216</x:v>
      </x:c>
      <x:c r="L1125" s="12" t="n">
        <x:f>养成消耗调参!$C$154</x:f>
        <x:v>120</x:v>
      </x:c>
      <x:c r="M1125" s="12" t="n">
        <x:f>养成消耗调参!$F$154</x:f>
        <x:v>900</x:v>
      </x:c>
      <x:c r="N1125" s="12" t="n">
        <x:f>养成消耗调参!$I$154</x:f>
        <x:v>0</x:v>
      </x:c>
      <x:c r="O1125" s="12" t="n">
        <x:f>养成消耗调参!$J$154</x:f>
        <x:v>408</x:v>
      </x:c>
      <x:c r="P1125" s="12" t="n">
        <x:f>养成消耗调参!$M$154</x:f>
        <x:v>2400</x:v>
      </x:c>
      <x:c r="Q1125" s="12" t="n">
        <x:f>养成消耗调参!$P$154</x:f>
        <x:v>10</x:v>
      </x:c>
      <x:c r="R1125" s="13">
        <x:f>I1125/英雄升级调参!$G$72-1</x:f>
        <x:v>0.012612612612612706</x:v>
      </x:c>
      <x:c r="S1125" s="6"/>
      <x:c r="T1125" s="6"/>
      <x:c r="U1125" s="6"/>
    </x:row>
    <x:row r="1126" ht="21" customHeight="1">
      <x:c r="A1126" s="14" t="n">
        <x:f>英雄升级调参!$B$25</x:f>
        <x:v>310008</x:v>
      </x:c>
      <x:c r="B1126" s="14" t="str">
        <x:f>英雄升级调参!$C$25</x:f>
        <x:v>魔魔龙</x:v>
      </x:c>
      <x:c r="C1126" s="6" t="str">
        <x:f>英雄升级调参!$D$25</x:f>
        <x:v>战士</x:v>
      </x:c>
      <x:c r="D1126" s="6" t="s">
        <x:v>18</x:v>
      </x:c>
      <x:c r="E1126" s="6">
        <x:v>8</x:v>
      </x:c>
      <x:c r="F1126" s="6" t="n">
        <x:f>英雄升级调参!$C$73</x:f>
        <x:v>2</x:v>
      </x:c>
      <x:c r="G1126" s="12">
        <x:f t="shared" si="105"/>
        <x:v>315</x:v>
      </x:c>
      <x:c r="H1126" s="12">
        <x:f t="shared" si="106"/>
        <x:v>1992</x:v>
      </x:c>
      <x:c r="I1126" s="12">
        <x:f t="shared" si="102"/>
        <x:v>627480</x:v>
      </x:c>
      <x:c r="J1126" s="12">
        <x:f>ROUND(英雄升级调参!$D$73*英雄升级调参!$J$9*英雄升级调参!$E$25,0)</x:f>
        <x:v>34</x:v>
      </x:c>
      <x:c r="K1126" s="12">
        <x:f>ROUND(英雄升级调参!$D$73*英雄升级调参!$C$11*英雄升级调参!$J$9*英雄升级调参!$G$25,0)</x:f>
        <x:v>216</x:v>
      </x:c>
      <x:c r="L1126" s="12" t="n">
        <x:f>养成消耗调参!$C$155</x:f>
        <x:v>144</x:v>
      </x:c>
      <x:c r="M1126" s="12" t="n">
        <x:f>养成消耗调参!$F$155</x:f>
        <x:v>900</x:v>
      </x:c>
      <x:c r="N1126" s="12" t="n">
        <x:f>养成消耗调参!$I$155</x:f>
        <x:v>0</x:v>
      </x:c>
      <x:c r="O1126" s="12" t="n">
        <x:f>养成消耗调参!$J$155</x:f>
        <x:v>552</x:v>
      </x:c>
      <x:c r="P1126" s="12" t="n">
        <x:f>养成消耗调参!$M$155</x:f>
        <x:v>3300</x:v>
      </x:c>
      <x:c r="Q1126" s="12" t="n">
        <x:f>养成消耗调参!$P$155</x:f>
        <x:v>10</x:v>
      </x:c>
      <x:c r="R1126" s="13">
        <x:f>I1126/英雄升级调参!$G$73-1</x:f>
        <x:v>0.012048192771084265</x:v>
      </x:c>
      <x:c r="S1126" s="6"/>
      <x:c r="T1126" s="6"/>
      <x:c r="U1126" s="6"/>
    </x:row>
    <x:row r="1127" ht="21" customHeight="1">
      <x:c r="A1127" s="14" t="n">
        <x:f>英雄升级调参!$B$25</x:f>
        <x:v>310008</x:v>
      </x:c>
      <x:c r="B1127" s="14" t="str">
        <x:f>英雄升级调参!$C$25</x:f>
        <x:v>魔魔龙</x:v>
      </x:c>
      <x:c r="C1127" s="6" t="str">
        <x:f>英雄升级调参!$D$25</x:f>
        <x:v>战士</x:v>
      </x:c>
      <x:c r="D1127" s="6" t="s">
        <x:v>18</x:v>
      </x:c>
      <x:c r="E1127" s="6">
        <x:v>9</x:v>
      </x:c>
      <x:c r="F1127" s="6" t="n">
        <x:f>英雄升级调参!$C$74</x:f>
        <x:v>2</x:v>
      </x:c>
      <x:c r="G1127" s="12">
        <x:f t="shared" si="105"/>
        <x:v>349</x:v>
      </x:c>
      <x:c r="H1127" s="12">
        <x:f t="shared" si="106"/>
        <x:v>2208</x:v>
      </x:c>
      <x:c r="I1127" s="12">
        <x:f t="shared" si="102"/>
        <x:v>770592</x:v>
      </x:c>
      <x:c r="J1127" s="12">
        <x:f>ROUND(英雄升级调参!$D$74*英雄升级调参!$J$9*英雄升级调参!$E$25,0)</x:f>
        <x:v>34</x:v>
      </x:c>
      <x:c r="K1127" s="12">
        <x:f>ROUND(英雄升级调参!$D$74*英雄升级调参!$C$11*英雄升级调参!$J$9*英雄升级调参!$G$25,0)</x:f>
        <x:v>216</x:v>
      </x:c>
      <x:c r="L1127" s="12" t="n">
        <x:f>养成消耗调参!$C$156</x:f>
        <x:v>144</x:v>
      </x:c>
      <x:c r="M1127" s="12" t="n">
        <x:f>养成消耗调参!$F$156</x:f>
        <x:v>900</x:v>
      </x:c>
      <x:c r="N1127" s="12" t="n">
        <x:f>养成消耗调参!$I$156</x:f>
        <x:v>0</x:v>
      </x:c>
      <x:c r="O1127" s="12" t="n">
        <x:f>养成消耗调参!$J$156</x:f>
        <x:v>696</x:v>
      </x:c>
      <x:c r="P1127" s="12" t="n">
        <x:f>养成消耗调参!$M$156</x:f>
        <x:v>4200</x:v>
      </x:c>
      <x:c r="Q1127" s="12" t="n">
        <x:f>养成消耗调参!$P$156</x:f>
        <x:v>10</x:v>
      </x:c>
      <x:c r="R1127" s="13">
        <x:f>I1127/英雄升级调参!$G$74-1</x:f>
        <x:v>0.011594202898550732</x:v>
      </x:c>
      <x:c r="S1127" s="6"/>
      <x:c r="T1127" s="6"/>
      <x:c r="U1127" s="6"/>
    </x:row>
    <x:row r="1128" ht="21" customHeight="1">
      <x:c r="A1128" s="14" t="n">
        <x:f>英雄升级调参!$B$25</x:f>
        <x:v>310008</x:v>
      </x:c>
      <x:c r="B1128" s="14" t="str">
        <x:f>英雄升级调参!$C$25</x:f>
        <x:v>魔魔龙</x:v>
      </x:c>
      <x:c r="C1128" s="6" t="str">
        <x:f>英雄升级调参!$D$25</x:f>
        <x:v>战士</x:v>
      </x:c>
      <x:c r="D1128" s="6" t="s">
        <x:v>18</x:v>
      </x:c>
      <x:c r="E1128" s="6">
        <x:v>10</x:v>
      </x:c>
      <x:c r="F1128" s="6" t="n">
        <x:f>英雄升级调参!$C$75</x:f>
        <x:v>2</x:v>
      </x:c>
      <x:c r="G1128" s="12">
        <x:f t="shared" si="105"/>
        <x:v>451</x:v>
      </x:c>
      <x:c r="H1128" s="12">
        <x:f t="shared" si="106"/>
        <x:v>2856</x:v>
      </x:c>
      <x:c r="I1128" s="12">
        <x:f t="shared" si="102"/>
        <x:v>1288056</x:v>
      </x:c>
      <x:c r="J1128" s="12">
        <x:f>ROUND(英雄升级调参!$D$75*英雄升级调参!$J$9*英雄升级调参!$E$25,0)*3</x:f>
        <x:v>102</x:v>
      </x:c>
      <x:c r="K1128" s="12">
        <x:f>ROUND(英雄升级调参!$D$75*英雄升级调参!$C$11*英雄升级调参!$J$9*英雄升级调参!$G$25,0)*3</x:f>
        <x:v>648</x:v>
      </x:c>
      <x:c r="L1128" s="12" t="n">
        <x:f>养成消耗调参!$C$157</x:f>
        <x:v>216</x:v>
      </x:c>
      <x:c r="M1128" s="12" t="n">
        <x:f>养成消耗调参!$F$157</x:f>
        <x:v>900</x:v>
      </x:c>
      <x:c r="N1128" s="12" t="n">
        <x:f>养成消耗调参!$I$157</x:f>
        <x:v>30</x:v>
      </x:c>
      <x:c r="O1128" s="12" t="n">
        <x:f>养成消耗调参!$J$157</x:f>
        <x:v>912</x:v>
      </x:c>
      <x:c r="P1128" s="12" t="n">
        <x:f>养成消耗调参!$M$157</x:f>
        <x:v>5100</x:v>
      </x:c>
      <x:c r="Q1128" s="12" t="n">
        <x:f>养成消耗调参!$P$157</x:f>
        <x:v>40</x:v>
      </x:c>
      <x:c r="R1128" s="13">
        <x:f>I1128/英雄升级调参!$G$75-1</x:f>
        <x:v>0.010644257703081195</x:v>
      </x:c>
      <x:c r="S1128" s="6"/>
      <x:c r="T1128" s="6"/>
      <x:c r="U1128" s="6"/>
    </x:row>
    <x:row r="1129" ht="21" customHeight="1">
      <x:c r="A1129" s="14" t="n">
        <x:f>英雄升级调参!$B$25</x:f>
        <x:v>310008</x:v>
      </x:c>
      <x:c r="B1129" s="14" t="str">
        <x:f>英雄升级调参!$C$25</x:f>
        <x:v>魔魔龙</x:v>
      </x:c>
      <x:c r="C1129" s="6" t="str">
        <x:f>英雄升级调参!$D$25</x:f>
        <x:v>战士</x:v>
      </x:c>
      <x:c r="D1129" s="6" t="s">
        <x:v>18</x:v>
      </x:c>
      <x:c r="E1129" s="6">
        <x:v>11</x:v>
      </x:c>
      <x:c r="F1129" s="6" t="n">
        <x:f>英雄升级调参!$C$76</x:f>
        <x:v>3</x:v>
      </x:c>
      <x:c r="G1129" s="12">
        <x:f t="shared" si="105"/>
        <x:v>496</x:v>
      </x:c>
      <x:c r="H1129" s="12">
        <x:f t="shared" si="106"/>
        <x:v>3144</x:v>
      </x:c>
      <x:c r="I1129" s="12">
        <x:f t="shared" si="102"/>
        <x:v>1559424</x:v>
      </x:c>
      <x:c r="J1129" s="12">
        <x:f>ROUND(英雄升级调参!$D$76*英雄升级调参!$J$9*英雄升级调参!$E$25,0)</x:f>
        <x:v>45</x:v>
      </x:c>
      <x:c r="K1129" s="12">
        <x:f>ROUND(英雄升级调参!$D$76*英雄升级调参!$C$11*英雄升级调参!$J$9*英雄升级调参!$G$25,0)</x:f>
        <x:v>288</x:v>
      </x:c>
      <x:c r="L1129" s="12" t="n">
        <x:f>养成消耗调参!$C$158</x:f>
        <x:v>216</x:v>
      </x:c>
      <x:c r="M1129" s="12" t="n">
        <x:f>养成消耗调参!$F$158</x:f>
        <x:v>900</x:v>
      </x:c>
      <x:c r="N1129" s="12" t="n">
        <x:f>养成消耗调参!$I$158</x:f>
        <x:v>0</x:v>
      </x:c>
      <x:c r="O1129" s="12" t="n">
        <x:f>养成消耗调参!$J$158</x:f>
        <x:v>1128</x:v>
      </x:c>
      <x:c r="P1129" s="12" t="n">
        <x:f>养成消耗调参!$M$158</x:f>
        <x:v>6000</x:v>
      </x:c>
      <x:c r="Q1129" s="12" t="n">
        <x:f>养成消耗调参!$P$158</x:f>
        <x:v>40</x:v>
      </x:c>
      <x:c r="R1129" s="13">
        <x:f>I1129/英雄升级调参!$G$76-1</x:f>
        <x:v>0.009669211195928673</x:v>
      </x:c>
      <x:c r="S1129" s="6"/>
      <x:c r="T1129" s="6"/>
      <x:c r="U1129" s="6"/>
    </x:row>
    <x:row r="1130" ht="21" customHeight="1">
      <x:c r="A1130" s="14" t="n">
        <x:f>英雄升级调参!$B$25</x:f>
        <x:v>310008</x:v>
      </x:c>
      <x:c r="B1130" s="14" t="str">
        <x:f>英雄升级调参!$C$25</x:f>
        <x:v>魔魔龙</x:v>
      </x:c>
      <x:c r="C1130" s="6" t="str">
        <x:f>英雄升级调参!$D$25</x:f>
        <x:v>战士</x:v>
      </x:c>
      <x:c r="D1130" s="6" t="s">
        <x:v>18</x:v>
      </x:c>
      <x:c r="E1130" s="6">
        <x:v>12</x:v>
      </x:c>
      <x:c r="F1130" s="6" t="n">
        <x:f>英雄升级调参!$C$77</x:f>
        <x:v>3</x:v>
      </x:c>
      <x:c r="G1130" s="12">
        <x:f t="shared" si="105"/>
        <x:v>541</x:v>
      </x:c>
      <x:c r="H1130" s="12">
        <x:f t="shared" si="106"/>
        <x:v>3432</x:v>
      </x:c>
      <x:c r="I1130" s="12">
        <x:f t="shared" si="102"/>
        <x:v>1856712</x:v>
      </x:c>
      <x:c r="J1130" s="12">
        <x:f>ROUND(英雄升级调参!$D$77*英雄升级调参!$J$9*英雄升级调参!$E$25,0)</x:f>
        <x:v>45</x:v>
      </x:c>
      <x:c r="K1130" s="12">
        <x:f>ROUND(英雄升级调参!$D$77*英雄升级调参!$C$11*英雄升级调参!$J$9*英雄升级调参!$G$25,0)</x:f>
        <x:v>288</x:v>
      </x:c>
      <x:c r="L1130" s="12" t="n">
        <x:f>养成消耗调参!$C$159</x:f>
        <x:v>240</x:v>
      </x:c>
      <x:c r="M1130" s="12" t="n">
        <x:f>养成消耗调参!$F$159</x:f>
        <x:v>1500</x:v>
      </x:c>
      <x:c r="N1130" s="12" t="n">
        <x:f>养成消耗调参!$I$159</x:f>
        <x:v>0</x:v>
      </x:c>
      <x:c r="O1130" s="12" t="n">
        <x:f>养成消耗调参!$J$159</x:f>
        <x:v>1368</x:v>
      </x:c>
      <x:c r="P1130" s="12" t="n">
        <x:f>养成消耗调参!$M$159</x:f>
        <x:v>7500</x:v>
      </x:c>
      <x:c r="Q1130" s="12" t="n">
        <x:f>养成消耗调参!$P$159</x:f>
        <x:v>40</x:v>
      </x:c>
      <x:c r="R1130" s="13">
        <x:f>I1130/英雄升级调参!$G$77-1</x:f>
        <x:v>0.008857808857808847</x:v>
      </x:c>
      <x:c r="S1130" s="6"/>
      <x:c r="T1130" s="6"/>
      <x:c r="U1130" s="6"/>
    </x:row>
    <x:row r="1131" ht="21" customHeight="1">
      <x:c r="A1131" s="14" t="n">
        <x:f>英雄升级调参!$B$25</x:f>
        <x:v>310008</x:v>
      </x:c>
      <x:c r="B1131" s="14" t="str">
        <x:f>英雄升级调参!$C$25</x:f>
        <x:v>魔魔龙</x:v>
      </x:c>
      <x:c r="C1131" s="6" t="str">
        <x:f>英雄升级调参!$D$25</x:f>
        <x:v>战士</x:v>
      </x:c>
      <x:c r="D1131" s="6" t="s">
        <x:v>18</x:v>
      </x:c>
      <x:c r="E1131" s="6">
        <x:v>13</x:v>
      </x:c>
      <x:c r="F1131" s="6" t="n">
        <x:f>英雄升级调参!$C$78</x:f>
        <x:v>3</x:v>
      </x:c>
      <x:c r="G1131" s="12">
        <x:f t="shared" si="105"/>
        <x:v>586</x:v>
      </x:c>
      <x:c r="H1131" s="12">
        <x:f t="shared" si="106"/>
        <x:v>3720</x:v>
      </x:c>
      <x:c r="I1131" s="12">
        <x:f t="shared" si="102"/>
        <x:v>2179920</x:v>
      </x:c>
      <x:c r="J1131" s="12">
        <x:f>ROUND(英雄升级调参!$D$78*英雄升级调参!$J$9*英雄升级调参!$E$25,0)</x:f>
        <x:v>45</x:v>
      </x:c>
      <x:c r="K1131" s="12">
        <x:f>ROUND(英雄升级调参!$D$78*英雄升级调参!$C$11*英雄升级调参!$J$9*英雄升级调参!$G$25,0)</x:f>
        <x:v>288</x:v>
      </x:c>
      <x:c r="L1131" s="12" t="n">
        <x:f>养成消耗调参!$C$160</x:f>
        <x:v>240</x:v>
      </x:c>
      <x:c r="M1131" s="12" t="n">
        <x:f>养成消耗调参!$F$160</x:f>
        <x:v>1500</x:v>
      </x:c>
      <x:c r="N1131" s="12" t="n">
        <x:f>养成消耗调参!$I$160</x:f>
        <x:v>0</x:v>
      </x:c>
      <x:c r="O1131" s="12" t="n">
        <x:f>养成消耗调参!$J$160</x:f>
        <x:v>1608</x:v>
      </x:c>
      <x:c r="P1131" s="12" t="n">
        <x:f>养成消耗调参!$M$160</x:f>
        <x:v>9000</x:v>
      </x:c>
      <x:c r="Q1131" s="12" t="n">
        <x:f>养成消耗调参!$P$160</x:f>
        <x:v>40</x:v>
      </x:c>
      <x:c r="R1131" s="13">
        <x:f>I1131/英雄升级调参!$G$78-1</x:f>
        <x:v>0.008172043010752583</x:v>
      </x:c>
      <x:c r="S1131" s="6"/>
      <x:c r="T1131" s="6"/>
      <x:c r="U1131" s="6"/>
    </x:row>
    <x:row r="1132" ht="21" customHeight="1">
      <x:c r="A1132" s="14" t="n">
        <x:f>英雄升级调参!$B$25</x:f>
        <x:v>310008</x:v>
      </x:c>
      <x:c r="B1132" s="14" t="str">
        <x:f>英雄升级调参!$C$25</x:f>
        <x:v>魔魔龙</x:v>
      </x:c>
      <x:c r="C1132" s="6" t="str">
        <x:f>英雄升级调参!$D$25</x:f>
        <x:v>战士</x:v>
      </x:c>
      <x:c r="D1132" s="6" t="s">
        <x:v>18</x:v>
      </x:c>
      <x:c r="E1132" s="6">
        <x:v>14</x:v>
      </x:c>
      <x:c r="F1132" s="6" t="n">
        <x:f>英雄升级调参!$C$79</x:f>
        <x:v>3</x:v>
      </x:c>
      <x:c r="G1132" s="12">
        <x:f t="shared" si="105"/>
        <x:v>631</x:v>
      </x:c>
      <x:c r="H1132" s="12">
        <x:f t="shared" si="106"/>
        <x:v>4008</x:v>
      </x:c>
      <x:c r="I1132" s="12">
        <x:f t="shared" si="102"/>
        <x:v>2529048</x:v>
      </x:c>
      <x:c r="J1132" s="12">
        <x:f>ROUND(英雄升级调参!$D$79*英雄升级调参!$J$9*英雄升级调参!$E$25,0)</x:f>
        <x:v>45</x:v>
      </x:c>
      <x:c r="K1132" s="12">
        <x:f>ROUND(英雄升级调参!$D$79*英雄升级调参!$C$11*英雄升级调参!$J$9*英雄升级调参!$G$25,0)</x:f>
        <x:v>288</x:v>
      </x:c>
      <x:c r="L1132" s="12" t="n">
        <x:f>养成消耗调参!$C$161</x:f>
        <x:v>288</x:v>
      </x:c>
      <x:c r="M1132" s="12" t="n">
        <x:f>养成消耗调参!$F$161</x:f>
        <x:v>1500</x:v>
      </x:c>
      <x:c r="N1132" s="12" t="n">
        <x:f>养成消耗调参!$I$161</x:f>
        <x:v>0</x:v>
      </x:c>
      <x:c r="O1132" s="12" t="n">
        <x:f>养成消耗调参!$J$161</x:f>
        <x:v>1896</x:v>
      </x:c>
      <x:c r="P1132" s="12" t="n">
        <x:f>养成消耗调参!$M$161</x:f>
        <x:v>10500</x:v>
      </x:c>
      <x:c r="Q1132" s="12" t="n">
        <x:f>养成消耗调参!$P$161</x:f>
        <x:v>40</x:v>
      </x:c>
      <x:c r="R1132" s="13">
        <x:f>I1132/英雄升级调参!$G$79-1</x:f>
        <x:v>0.007584830339321336</x:v>
      </x:c>
      <x:c r="S1132" s="6"/>
      <x:c r="T1132" s="6"/>
      <x:c r="U1132" s="6"/>
    </x:row>
    <x:row r="1133" ht="21" customHeight="1">
      <x:c r="A1133" s="14" t="n">
        <x:f>英雄升级调参!$B$25</x:f>
        <x:v>310008</x:v>
      </x:c>
      <x:c r="B1133" s="14" t="str">
        <x:f>英雄升级调参!$C$25</x:f>
        <x:v>魔魔龙</x:v>
      </x:c>
      <x:c r="C1133" s="6" t="str">
        <x:f>英雄升级调参!$D$25</x:f>
        <x:v>战士</x:v>
      </x:c>
      <x:c r="D1133" s="6" t="s">
        <x:v>18</x:v>
      </x:c>
      <x:c r="E1133" s="6">
        <x:v>15</x:v>
      </x:c>
      <x:c r="F1133" s="6" t="n">
        <x:f>英雄升级调参!$C$80</x:f>
        <x:v>3</x:v>
      </x:c>
      <x:c r="G1133" s="12">
        <x:f t="shared" si="105"/>
        <x:v>766</x:v>
      </x:c>
      <x:c r="H1133" s="12">
        <x:f t="shared" si="106"/>
        <x:v>4872</x:v>
      </x:c>
      <x:c r="I1133" s="12">
        <x:f t="shared" si="102"/>
        <x:v>3731952</x:v>
      </x:c>
      <x:c r="J1133" s="12">
        <x:f>ROUND(英雄升级调参!$D$80*英雄升级调参!$J$9*英雄升级调参!$E$25,0)*3</x:f>
        <x:v>135</x:v>
      </x:c>
      <x:c r="K1133" s="12">
        <x:f>ROUND(英雄升级调参!$D$80*英雄升级调参!$C$11*英雄升级调参!$J$9*英雄升级调参!$G$25,0)*3</x:f>
        <x:v>864</x:v>
      </x:c>
      <x:c r="L1133" s="12" t="n">
        <x:f>养成消耗调参!$C$162</x:f>
        <x:v>288</x:v>
      </x:c>
      <x:c r="M1133" s="12" t="n">
        <x:f>养成消耗调参!$F$162</x:f>
        <x:v>1500</x:v>
      </x:c>
      <x:c r="N1133" s="12" t="n">
        <x:f>养成消耗调参!$I$162</x:f>
        <x:v>50</x:v>
      </x:c>
      <x:c r="O1133" s="12" t="n">
        <x:f>养成消耗调参!$J$162</x:f>
        <x:v>2184</x:v>
      </x:c>
      <x:c r="P1133" s="12" t="n">
        <x:f>养成消耗调参!$M$162</x:f>
        <x:v>12000</x:v>
      </x:c>
      <x:c r="Q1133" s="12" t="n">
        <x:f>养成消耗调参!$P$162</x:f>
        <x:v>90</x:v>
      </x:c>
      <x:c r="R1133" s="13">
        <x:f>I1133/英雄升级调参!$G$80-1</x:f>
        <x:v>0.006239737274220003</x:v>
      </x:c>
      <x:c r="S1133" s="6"/>
      <x:c r="T1133" s="6"/>
      <x:c r="U1133" s="6"/>
    </x:row>
    <x:row r="1134" ht="21" customHeight="1">
      <x:c r="A1134" s="14" t="n">
        <x:f>英雄升级调参!$B$25</x:f>
        <x:v>310008</x:v>
      </x:c>
      <x:c r="B1134" s="14" t="str">
        <x:f>英雄升级调参!$C$25</x:f>
        <x:v>魔魔龙</x:v>
      </x:c>
      <x:c r="C1134" s="6" t="str">
        <x:f>英雄升级调参!$D$25</x:f>
        <x:v>战士</x:v>
      </x:c>
      <x:c r="D1134" s="6" t="s">
        <x:v>18</x:v>
      </x:c>
      <x:c r="E1134" s="6">
        <x:v>16</x:v>
      </x:c>
      <x:c r="F1134" s="6" t="n">
        <x:f>英雄升级调参!$C$81</x:f>
        <x:v>4</x:v>
      </x:c>
      <x:c r="G1134" s="12">
        <x:f t="shared" si="105"/>
        <x:v>822</x:v>
      </x:c>
      <x:c r="H1134" s="12">
        <x:f t="shared" si="106"/>
        <x:v>5232</x:v>
      </x:c>
      <x:c r="I1134" s="12">
        <x:f t="shared" si="102"/>
        <x:v>4300704</x:v>
      </x:c>
      <x:c r="J1134" s="12">
        <x:f>ROUND(英雄升级调参!$D$81*英雄升级调参!$J$9*英雄升级调参!$E$25,0)</x:f>
        <x:v>56</x:v>
      </x:c>
      <x:c r="K1134" s="12">
        <x:f>ROUND(英雄升级调参!$D$81*英雄升级调参!$C$11*英雄升级调参!$J$9*英雄升级调参!$G$25,0)</x:f>
        <x:v>360</x:v>
      </x:c>
      <x:c r="L1134" s="12" t="n">
        <x:f>养成消耗调参!$C$163</x:f>
        <x:v>336</x:v>
      </x:c>
      <x:c r="M1134" s="12" t="n">
        <x:f>养成消耗调参!$F$163</x:f>
        <x:v>1500</x:v>
      </x:c>
      <x:c r="N1134" s="12" t="n">
        <x:f>养成消耗调参!$I$163</x:f>
        <x:v>0</x:v>
      </x:c>
      <x:c r="O1134" s="12" t="n">
        <x:f>养成消耗调参!$J$163</x:f>
        <x:v>2520</x:v>
      </x:c>
      <x:c r="P1134" s="12" t="n">
        <x:f>养成消耗调参!$M$163</x:f>
        <x:v>13500</x:v>
      </x:c>
      <x:c r="Q1134" s="12" t="n">
        <x:f>养成消耗调参!$P$163</x:f>
        <x:v>90</x:v>
      </x:c>
      <x:c r="R1134" s="13">
        <x:f>I1134/英雄升级调参!$G$81-1</x:f>
        <x:v>0.005504587155963359</x:v>
      </x:c>
      <x:c r="S1134" s="6"/>
      <x:c r="T1134" s="6"/>
      <x:c r="U1134" s="6"/>
    </x:row>
    <x:row r="1135" ht="21" customHeight="1">
      <x:c r="A1135" s="14" t="n">
        <x:f>英雄升级调参!$B$25</x:f>
        <x:v>310008</x:v>
      </x:c>
      <x:c r="B1135" s="14" t="str">
        <x:f>英雄升级调参!$C$25</x:f>
        <x:v>魔魔龙</x:v>
      </x:c>
      <x:c r="C1135" s="6" t="str">
        <x:f>英雄升级调参!$D$25</x:f>
        <x:v>战士</x:v>
      </x:c>
      <x:c r="D1135" s="6" t="s">
        <x:v>18</x:v>
      </x:c>
      <x:c r="E1135" s="6">
        <x:v>17</x:v>
      </x:c>
      <x:c r="F1135" s="6" t="n">
        <x:f>英雄升级调参!$C$82</x:f>
        <x:v>4</x:v>
      </x:c>
      <x:c r="G1135" s="12">
        <x:f t="shared" si="105"/>
        <x:v>878</x:v>
      </x:c>
      <x:c r="H1135" s="12">
        <x:f t="shared" si="106"/>
        <x:v>5592</x:v>
      </x:c>
      <x:c r="I1135" s="12">
        <x:f t="shared" si="102"/>
        <x:v>4909776</x:v>
      </x:c>
      <x:c r="J1135" s="12">
        <x:f>ROUND(英雄升级调参!$D$82*英雄升级调参!$J$9*英雄升级调参!$E$25,0)</x:f>
        <x:v>56</x:v>
      </x:c>
      <x:c r="K1135" s="12">
        <x:f>ROUND(英雄升级调参!$D$82*英雄升级调参!$C$11*英雄升级调参!$J$9*英雄升级调参!$G$25,0)</x:f>
        <x:v>360</x:v>
      </x:c>
      <x:c r="L1135" s="12" t="n">
        <x:f>养成消耗调参!$C$164</x:f>
        <x:v>336</x:v>
      </x:c>
      <x:c r="M1135" s="12" t="n">
        <x:f>养成消耗调参!$F$164</x:f>
        <x:v>2100</x:v>
      </x:c>
      <x:c r="N1135" s="12" t="n">
        <x:f>养成消耗调参!$I$164</x:f>
        <x:v>0</x:v>
      </x:c>
      <x:c r="O1135" s="12" t="n">
        <x:f>养成消耗调参!$J$164</x:f>
        <x:v>2856</x:v>
      </x:c>
      <x:c r="P1135" s="12" t="n">
        <x:f>养成消耗调参!$M$164</x:f>
        <x:v>15600</x:v>
      </x:c>
      <x:c r="Q1135" s="12" t="n">
        <x:f>养成消耗调参!$P$164</x:f>
        <x:v>90</x:v>
      </x:c>
      <x:c r="R1135" s="13">
        <x:f>I1135/英雄升级调参!$G$82-1</x:f>
        <x:v>0.004864091559370509</x:v>
      </x:c>
      <x:c r="S1135" s="6"/>
      <x:c r="T1135" s="6"/>
      <x:c r="U1135" s="6"/>
    </x:row>
    <x:row r="1136" ht="21" customHeight="1">
      <x:c r="A1136" s="14" t="n">
        <x:f>英雄升级调参!$B$25</x:f>
        <x:v>310008</x:v>
      </x:c>
      <x:c r="B1136" s="14" t="str">
        <x:f>英雄升级调参!$C$25</x:f>
        <x:v>魔魔龙</x:v>
      </x:c>
      <x:c r="C1136" s="6" t="str">
        <x:f>英雄升级调参!$D$25</x:f>
        <x:v>战士</x:v>
      </x:c>
      <x:c r="D1136" s="6" t="s">
        <x:v>18</x:v>
      </x:c>
      <x:c r="E1136" s="6">
        <x:v>18</x:v>
      </x:c>
      <x:c r="F1136" s="6" t="n">
        <x:f>英雄升级调参!$C$83</x:f>
        <x:v>4</x:v>
      </x:c>
      <x:c r="G1136" s="12">
        <x:f t="shared" si="105"/>
        <x:v>934</x:v>
      </x:c>
      <x:c r="H1136" s="12">
        <x:f t="shared" si="106"/>
        <x:v>5952</x:v>
      </x:c>
      <x:c r="I1136" s="12">
        <x:f t="shared" si="102"/>
        <x:v>5559168</x:v>
      </x:c>
      <x:c r="J1136" s="12">
        <x:f>ROUND(英雄升级调参!$D$83*英雄升级调参!$J$9*英雄升级调参!$E$25,0)</x:f>
        <x:v>56</x:v>
      </x:c>
      <x:c r="K1136" s="12">
        <x:f>ROUND(英雄升级调参!$D$83*英雄升级调参!$C$11*英雄升级调参!$J$9*英雄升级调参!$G$25,0)</x:f>
        <x:v>360</x:v>
      </x:c>
      <x:c r="L1136" s="12" t="n">
        <x:f>养成消耗调参!$C$165</x:f>
        <x:v>384</x:v>
      </x:c>
      <x:c r="M1136" s="12" t="n">
        <x:f>养成消耗调参!$F$165</x:f>
        <x:v>2100</x:v>
      </x:c>
      <x:c r="N1136" s="12" t="n">
        <x:f>养成消耗调参!$I$165</x:f>
        <x:v>0</x:v>
      </x:c>
      <x:c r="O1136" s="12" t="n">
        <x:f>养成消耗调参!$J$165</x:f>
        <x:v>3240</x:v>
      </x:c>
      <x:c r="P1136" s="12" t="n">
        <x:f>养成消耗调参!$M$165</x:f>
        <x:v>17700</x:v>
      </x:c>
      <x:c r="Q1136" s="12" t="n">
        <x:f>养成消耗调参!$P$165</x:f>
        <x:v>90</x:v>
      </x:c>
      <x:c r="R1136" s="13">
        <x:f>I1136/英雄升级调参!$G$83-1</x:f>
        <x:v>0.004301075268817289</x:v>
      </x:c>
      <x:c r="S1136" s="6"/>
      <x:c r="T1136" s="6"/>
      <x:c r="U1136" s="6"/>
    </x:row>
    <x:row r="1137" ht="21" customHeight="1">
      <x:c r="A1137" s="14" t="n">
        <x:f>英雄升级调参!$B$25</x:f>
        <x:v>310008</x:v>
      </x:c>
      <x:c r="B1137" s="14" t="str">
        <x:f>英雄升级调参!$C$25</x:f>
        <x:v>魔魔龙</x:v>
      </x:c>
      <x:c r="C1137" s="6" t="str">
        <x:f>英雄升级调参!$D$25</x:f>
        <x:v>战士</x:v>
      </x:c>
      <x:c r="D1137" s="6" t="s">
        <x:v>18</x:v>
      </x:c>
      <x:c r="E1137" s="6">
        <x:v>19</x:v>
      </x:c>
      <x:c r="F1137" s="6" t="n">
        <x:f>英雄升级调参!$C$84</x:f>
        <x:v>4</x:v>
      </x:c>
      <x:c r="G1137" s="12">
        <x:f t="shared" si="105"/>
        <x:v>990</x:v>
      </x:c>
      <x:c r="H1137" s="12">
        <x:f t="shared" si="106"/>
        <x:v>6312</x:v>
      </x:c>
      <x:c r="I1137" s="12">
        <x:f t="shared" si="102"/>
        <x:v>6248880</x:v>
      </x:c>
      <x:c r="J1137" s="12">
        <x:f>ROUND(英雄升级调参!$D$84*英雄升级调参!$J$9*英雄升级调参!$E$25,0)</x:f>
        <x:v>56</x:v>
      </x:c>
      <x:c r="K1137" s="12">
        <x:f>ROUND(英雄升级调参!$D$84*英雄升级调参!$C$11*英雄升级调参!$J$9*英雄升级调参!$G$25,0)</x:f>
        <x:v>360</x:v>
      </x:c>
      <x:c r="L1137" s="12" t="n">
        <x:f>养成消耗调参!$C$166</x:f>
        <x:v>384</x:v>
      </x:c>
      <x:c r="M1137" s="12" t="n">
        <x:f>养成消耗调参!$F$166</x:f>
        <x:v>2100</x:v>
      </x:c>
      <x:c r="N1137" s="12" t="n">
        <x:f>养成消耗调参!$I$166</x:f>
        <x:v>0</x:v>
      </x:c>
      <x:c r="O1137" s="12" t="n">
        <x:f>养成消耗调参!$J$166</x:f>
        <x:v>3624</x:v>
      </x:c>
      <x:c r="P1137" s="12" t="n">
        <x:f>养成消耗调参!$M$166</x:f>
        <x:v>19800</x:v>
      </x:c>
      <x:c r="Q1137" s="12" t="n">
        <x:f>养成消耗调参!$P$166</x:f>
        <x:v>90</x:v>
      </x:c>
      <x:c r="R1137" s="13">
        <x:f>I1137/英雄升级调参!$G$84-1</x:f>
        <x:v>0.0038022813688212143</x:v>
      </x:c>
      <x:c r="S1137" s="6"/>
      <x:c r="T1137" s="6"/>
      <x:c r="U1137" s="6"/>
    </x:row>
    <x:row r="1138" ht="21" customHeight="1">
      <x:c r="A1138" s="14" t="n">
        <x:f>英雄升级调参!$B$25</x:f>
        <x:v>310008</x:v>
      </x:c>
      <x:c r="B1138" s="14" t="str">
        <x:f>英雄升级调参!$C$25</x:f>
        <x:v>魔魔龙</x:v>
      </x:c>
      <x:c r="C1138" s="6" t="str">
        <x:f>英雄升级调参!$D$25</x:f>
        <x:v>战士</x:v>
      </x:c>
      <x:c r="D1138" s="6" t="s">
        <x:v>18</x:v>
      </x:c>
      <x:c r="E1138" s="6">
        <x:v>20</x:v>
      </x:c>
      <x:c r="F1138" s="6" t="n">
        <x:f>英雄升级调参!$C$85</x:f>
        <x:v>4</x:v>
      </x:c>
      <x:c r="G1138" s="12">
        <x:f t="shared" si="105"/>
        <x:v>1158</x:v>
      </x:c>
      <x:c r="H1138" s="12">
        <x:f t="shared" si="106"/>
        <x:v>7392</x:v>
      </x:c>
      <x:c r="I1138" s="12">
        <x:f t="shared" si="102"/>
        <x:v>8559936</x:v>
      </x:c>
      <x:c r="J1138" s="12">
        <x:f>ROUND(英雄升级调参!$D$85*英雄升级调参!$J$9*英雄升级调参!$E$25,0)*3</x:f>
        <x:v>168</x:v>
      </x:c>
      <x:c r="K1138" s="12">
        <x:f>ROUND(英雄升级调参!$D$85*英雄升级调参!$C$11*英雄升级调参!$J$9*英雄升级调参!$G$25,0)*3</x:f>
        <x:v>1080</x:v>
      </x:c>
      <x:c r="L1138" s="12" t="n">
        <x:f>养成消耗调参!$C$167</x:f>
        <x:v>432</x:v>
      </x:c>
      <x:c r="M1138" s="12" t="n">
        <x:f>养成消耗调参!$F$167</x:f>
        <x:v>2100</x:v>
      </x:c>
      <x:c r="N1138" s="12" t="n">
        <x:f>养成消耗调参!$I$167</x:f>
        <x:v>70</x:v>
      </x:c>
      <x:c r="O1138" s="12" t="n">
        <x:f>养成消耗调参!$J$167</x:f>
        <x:v>4056</x:v>
      </x:c>
      <x:c r="P1138" s="12" t="n">
        <x:f>养成消耗调参!$M$167</x:f>
        <x:v>21900</x:v>
      </x:c>
      <x:c r="Q1138" s="12" t="n">
        <x:f>养成消耗调参!$P$167</x:f>
        <x:v>160</x:v>
      </x:c>
      <x:c r="R1138" s="13">
        <x:f>I1138/英雄升级调参!$G$85-1</x:f>
        <x:v>0.0025974025974024872</x:v>
      </x:c>
      <x:c r="S1138" s="6"/>
      <x:c r="T1138" s="6"/>
      <x:c r="U1138" s="6"/>
    </x:row>
    <x:row r="1139" ht="21" customHeight="1">
      <x:c r="A1139" s="14" t="n">
        <x:f>英雄升级调参!$B$25</x:f>
        <x:v>310008</x:v>
      </x:c>
      <x:c r="B1139" s="14" t="str">
        <x:f>英雄升级调参!$C$25</x:f>
        <x:v>魔魔龙</x:v>
      </x:c>
      <x:c r="C1139" s="6" t="str">
        <x:f>英雄升级调参!$D$25</x:f>
        <x:v>战士</x:v>
      </x:c>
      <x:c r="D1139" s="6" t="s">
        <x:v>18</x:v>
      </x:c>
      <x:c r="E1139" s="6">
        <x:v>21</x:v>
      </x:c>
      <x:c r="F1139" s="6" t="n">
        <x:f>英雄升级调参!$C$86</x:f>
        <x:v>5</x:v>
      </x:c>
      <x:c r="G1139" s="12">
        <x:f t="shared" si="105"/>
        <x:v>1226</x:v>
      </x:c>
      <x:c r="H1139" s="12">
        <x:f t="shared" si="106"/>
        <x:v>7824</x:v>
      </x:c>
      <x:c r="I1139" s="12">
        <x:f t="shared" si="102"/>
        <x:v>9592224</x:v>
      </x:c>
      <x:c r="J1139" s="12">
        <x:f>ROUND(英雄升级调参!$D$86*英雄升级调参!$J$9*英雄升级调参!$E$25,0)</x:f>
        <x:v>68</x:v>
      </x:c>
      <x:c r="K1139" s="12">
        <x:f>ROUND(英雄升级调参!$D$86*英雄升级调参!$C$11*英雄升级调参!$J$9*英雄升级调参!$G$25,0)</x:f>
        <x:v>432</x:v>
      </x:c>
      <x:c r="L1139" s="12" t="n">
        <x:f>养成消耗调参!$C$168</x:f>
        <x:v>432</x:v>
      </x:c>
      <x:c r="M1139" s="12" t="n">
        <x:f>养成消耗调参!$F$168</x:f>
        <x:v>2100</x:v>
      </x:c>
      <x:c r="N1139" s="12" t="n">
        <x:f>养成消耗调参!$I$168</x:f>
        <x:v>0</x:v>
      </x:c>
      <x:c r="O1139" s="12" t="n">
        <x:f>养成消耗调参!$J$168</x:f>
        <x:v>4488</x:v>
      </x:c>
      <x:c r="P1139" s="12" t="n">
        <x:f>养成消耗调参!$M$168</x:f>
        <x:v>24000</x:v>
      </x:c>
      <x:c r="Q1139" s="12" t="n">
        <x:f>养成消耗调参!$P$168</x:f>
        <x:v>160</x:v>
      </x:c>
      <x:c r="R1139" s="13">
        <x:f>I1139/英雄升级调参!$G$86-1</x:f>
        <x:v>0.002862985685071484</x:v>
      </x:c>
      <x:c r="S1139" s="6"/>
      <x:c r="T1139" s="6"/>
      <x:c r="U1139" s="6"/>
    </x:row>
    <x:row r="1140" ht="21" customHeight="1">
      <x:c r="A1140" s="14" t="n">
        <x:f>英雄升级调参!$B$25</x:f>
        <x:v>310008</x:v>
      </x:c>
      <x:c r="B1140" s="14" t="str">
        <x:f>英雄升级调参!$C$25</x:f>
        <x:v>魔魔龙</x:v>
      </x:c>
      <x:c r="C1140" s="6" t="str">
        <x:f>英雄升级调参!$D$25</x:f>
        <x:v>战士</x:v>
      </x:c>
      <x:c r="D1140" s="6" t="s">
        <x:v>18</x:v>
      </x:c>
      <x:c r="E1140" s="6">
        <x:v>22</x:v>
      </x:c>
      <x:c r="F1140" s="6" t="n">
        <x:f>英雄升级调参!$C$87</x:f>
        <x:v>5</x:v>
      </x:c>
      <x:c r="G1140" s="12">
        <x:f t="shared" si="105"/>
        <x:v>1294</x:v>
      </x:c>
      <x:c r="H1140" s="12">
        <x:f t="shared" si="106"/>
        <x:v>8256</x:v>
      </x:c>
      <x:c r="I1140" s="12">
        <x:f t="shared" si="102"/>
        <x:v>10683264</x:v>
      </x:c>
      <x:c r="J1140" s="12">
        <x:f>ROUND(英雄升级调参!$D$87*英雄升级调参!$J$9*英雄升级调参!$E$25,0)</x:f>
        <x:v>68</x:v>
      </x:c>
      <x:c r="K1140" s="12">
        <x:f>ROUND(英雄升级调参!$D$87*英雄升级调参!$C$11*英雄升级调参!$J$9*英雄升级调参!$G$25,0)</x:f>
        <x:v>432</x:v>
      </x:c>
      <x:c r="L1140" s="12" t="n">
        <x:f>养成消耗调参!$C$169</x:f>
        <x:v>480</x:v>
      </x:c>
      <x:c r="M1140" s="12" t="n">
        <x:f>养成消耗调参!$F$169</x:f>
        <x:v>3000</x:v>
      </x:c>
      <x:c r="N1140" s="12" t="n">
        <x:f>养成消耗调参!$I$169</x:f>
        <x:v>0</x:v>
      </x:c>
      <x:c r="O1140" s="12" t="n">
        <x:f>养成消耗调参!$J$169</x:f>
        <x:v>4968</x:v>
      </x:c>
      <x:c r="P1140" s="12" t="n">
        <x:f>养成消耗调参!$M$169</x:f>
        <x:v>27000</x:v>
      </x:c>
      <x:c r="Q1140" s="12" t="n">
        <x:f>养成消耗调参!$P$169</x:f>
        <x:v>160</x:v>
      </x:c>
      <x:c r="R1140" s="13">
        <x:f>I1140/英雄升级调参!$G$87-1</x:f>
        <x:v>0.0031007751937983663</x:v>
      </x:c>
      <x:c r="S1140" s="6"/>
      <x:c r="T1140" s="6"/>
      <x:c r="U1140" s="6"/>
    </x:row>
    <x:row r="1141" ht="21" customHeight="1">
      <x:c r="A1141" s="14" t="n">
        <x:f>英雄升级调参!$B$25</x:f>
        <x:v>310008</x:v>
      </x:c>
      <x:c r="B1141" s="14" t="str">
        <x:f>英雄升级调参!$C$25</x:f>
        <x:v>魔魔龙</x:v>
      </x:c>
      <x:c r="C1141" s="6" t="str">
        <x:f>英雄升级调参!$D$25</x:f>
        <x:v>战士</x:v>
      </x:c>
      <x:c r="D1141" s="6" t="s">
        <x:v>18</x:v>
      </x:c>
      <x:c r="E1141" s="6">
        <x:v>23</x:v>
      </x:c>
      <x:c r="F1141" s="6" t="n">
        <x:f>英雄升级调参!$C$88</x:f>
        <x:v>5</x:v>
      </x:c>
      <x:c r="G1141" s="12">
        <x:f t="shared" si="105"/>
        <x:v>1362</x:v>
      </x:c>
      <x:c r="H1141" s="12">
        <x:f t="shared" si="106"/>
        <x:v>8688</x:v>
      </x:c>
      <x:c r="I1141" s="12">
        <x:f t="shared" si="102"/>
        <x:v>11833056</x:v>
      </x:c>
      <x:c r="J1141" s="12">
        <x:f>ROUND(英雄升级调参!$D$88*英雄升级调参!$J$9*英雄升级调参!$E$25,0)</x:f>
        <x:v>68</x:v>
      </x:c>
      <x:c r="K1141" s="12">
        <x:f>ROUND(英雄升级调参!$D$88*英雄升级调参!$C$11*英雄升级调参!$J$9*英雄升级调参!$G$25,0)</x:f>
        <x:v>432</x:v>
      </x:c>
      <x:c r="L1141" s="12" t="n">
        <x:f>养成消耗调参!$C$170</x:f>
        <x:v>480</x:v>
      </x:c>
      <x:c r="M1141" s="12" t="n">
        <x:f>养成消耗调参!$F$170</x:f>
        <x:v>3000</x:v>
      </x:c>
      <x:c r="N1141" s="12" t="n">
        <x:f>养成消耗调参!$I$170</x:f>
        <x:v>0</x:v>
      </x:c>
      <x:c r="O1141" s="12" t="n">
        <x:f>养成消耗调参!$J$170</x:f>
        <x:v>5448</x:v>
      </x:c>
      <x:c r="P1141" s="12" t="n">
        <x:f>养成消耗调参!$M$170</x:f>
        <x:v>30000</x:v>
      </x:c>
      <x:c r="Q1141" s="12" t="n">
        <x:f>养成消耗调参!$P$170</x:f>
        <x:v>160</x:v>
      </x:c>
      <x:c r="R1141" s="13">
        <x:f>I1141/英雄升级调参!$G$88-1</x:f>
        <x:v>0.0033149171270718814</x:v>
      </x:c>
      <x:c r="S1141" s="6"/>
      <x:c r="T1141" s="6"/>
      <x:c r="U1141" s="6"/>
    </x:row>
    <x:row r="1142" ht="21" customHeight="1">
      <x:c r="A1142" s="14" t="n">
        <x:f>英雄升级调参!$B$25</x:f>
        <x:v>310008</x:v>
      </x:c>
      <x:c r="B1142" s="14" t="str">
        <x:f>英雄升级调参!$C$25</x:f>
        <x:v>魔魔龙</x:v>
      </x:c>
      <x:c r="C1142" s="6" t="str">
        <x:f>英雄升级调参!$D$25</x:f>
        <x:v>战士</x:v>
      </x:c>
      <x:c r="D1142" s="6" t="s">
        <x:v>18</x:v>
      </x:c>
      <x:c r="E1142" s="6">
        <x:v>24</x:v>
      </x:c>
      <x:c r="F1142" s="6" t="n">
        <x:f>英雄升级调参!$C$89</x:f>
        <x:v>5</x:v>
      </x:c>
      <x:c r="G1142" s="12">
        <x:f t="shared" si="105"/>
        <x:v>1430</x:v>
      </x:c>
      <x:c r="H1142" s="12">
        <x:f t="shared" si="106"/>
        <x:v>9120</x:v>
      </x:c>
      <x:c r="I1142" s="12">
        <x:f t="shared" si="102"/>
        <x:v>13041600</x:v>
      </x:c>
      <x:c r="J1142" s="12">
        <x:f>ROUND(英雄升级调参!$D$89*英雄升级调参!$J$9*英雄升级调参!$E$25,0)</x:f>
        <x:v>68</x:v>
      </x:c>
      <x:c r="K1142" s="12">
        <x:f>ROUND(英雄升级调参!$D$89*英雄升级调参!$C$11*英雄升级调参!$J$9*英雄升级调参!$G$25,0)</x:f>
        <x:v>432</x:v>
      </x:c>
      <x:c r="L1142" s="12" t="n">
        <x:f>养成消耗调参!$C$171</x:f>
        <x:v>528</x:v>
      </x:c>
      <x:c r="M1142" s="12" t="n">
        <x:f>养成消耗调参!$F$171</x:f>
        <x:v>3000</x:v>
      </x:c>
      <x:c r="N1142" s="12" t="n">
        <x:f>养成消耗调参!$I$171</x:f>
        <x:v>0</x:v>
      </x:c>
      <x:c r="O1142" s="12" t="n">
        <x:f>养成消耗调参!$J$171</x:f>
        <x:v>5976</x:v>
      </x:c>
      <x:c r="P1142" s="12" t="n">
        <x:f>养成消耗调参!$M$171</x:f>
        <x:v>33000</x:v>
      </x:c>
      <x:c r="Q1142" s="12" t="n">
        <x:f>养成消耗调参!$P$171</x:f>
        <x:v>160</x:v>
      </x:c>
      <x:c r="R1142" s="13">
        <x:f>I1142/英雄升级调参!$G$89-1</x:f>
        <x:v>0.0035087719298245723</x:v>
      </x:c>
      <x:c r="S1142" s="6"/>
      <x:c r="T1142" s="6"/>
      <x:c r="U1142" s="6"/>
    </x:row>
    <x:row r="1143" ht="21" customHeight="1">
      <x:c r="A1143" s="14" t="n">
        <x:f>英雄升级调参!$B$25</x:f>
        <x:v>310008</x:v>
      </x:c>
      <x:c r="B1143" s="14" t="str">
        <x:f>英雄升级调参!$C$25</x:f>
        <x:v>魔魔龙</x:v>
      </x:c>
      <x:c r="C1143" s="6" t="str">
        <x:f>英雄升级调参!$D$25</x:f>
        <x:v>战士</x:v>
      </x:c>
      <x:c r="D1143" s="6" t="s">
        <x:v>18</x:v>
      </x:c>
      <x:c r="E1143" s="6">
        <x:v>25</x:v>
      </x:c>
      <x:c r="F1143" s="6" t="n">
        <x:f>英雄升级调参!$C$90</x:f>
        <x:v>5</x:v>
      </x:c>
      <x:c r="G1143" s="12">
        <x:f t="shared" si="105"/>
        <x:v>1634</x:v>
      </x:c>
      <x:c r="H1143" s="12">
        <x:f t="shared" si="106"/>
        <x:v>10416</x:v>
      </x:c>
      <x:c r="I1143" s="12">
        <x:f t="shared" si="102"/>
        <x:v>17019744</x:v>
      </x:c>
      <x:c r="J1143" s="12">
        <x:f>ROUND(英雄升级调参!$D$90*英雄升级调参!$J$9*英雄升级调参!$E$25,0)*3</x:f>
        <x:v>204</x:v>
      </x:c>
      <x:c r="K1143" s="12">
        <x:f>ROUND(英雄升级调参!$D$90*英雄升级调参!$C$11*英雄升级调参!$J$9*英雄升级调参!$G$25,0)*3</x:f>
        <x:v>1296</x:v>
      </x:c>
      <x:c r="L1143" s="12" t="n">
        <x:f>养成消耗调参!$C$172</x:f>
        <x:v>528</x:v>
      </x:c>
      <x:c r="M1143" s="12" t="n">
        <x:f>养成消耗调参!$F$172</x:f>
        <x:v>3000</x:v>
      </x:c>
      <x:c r="N1143" s="12" t="n">
        <x:f>养成消耗调参!$I$172</x:f>
        <x:v>90</x:v>
      </x:c>
      <x:c r="O1143" s="12" t="n">
        <x:f>养成消耗调参!$J$172</x:f>
        <x:v>6504</x:v>
      </x:c>
      <x:c r="P1143" s="12" t="n">
        <x:f>养成消耗调参!$M$172</x:f>
        <x:v>36000</x:v>
      </x:c>
      <x:c r="Q1143" s="12" t="n">
        <x:f>养成消耗调参!$P$172</x:f>
        <x:v>250</x:v>
      </x:c>
      <x:c r="R1143" s="13">
        <x:f>I1143/英雄升级调参!$G$90-1</x:f>
        <x:v>0.0039938556067589115</x:v>
      </x:c>
      <x:c r="S1143" s="6"/>
      <x:c r="T1143" s="6"/>
      <x:c r="U1143" s="6"/>
    </x:row>
    <x:row r="1144" ht="21" customHeight="1">
      <x:c r="A1144" s="14" t="n">
        <x:f>英雄升级调参!$B$25</x:f>
        <x:v>310008</x:v>
      </x:c>
      <x:c r="B1144" s="14" t="str">
        <x:f>英雄升级调参!$C$25</x:f>
        <x:v>魔魔龙</x:v>
      </x:c>
      <x:c r="C1144" s="6" t="str">
        <x:f>英雄升级调参!$D$25</x:f>
        <x:v>战士</x:v>
      </x:c>
      <x:c r="D1144" s="6" t="s">
        <x:v>18</x:v>
      </x:c>
      <x:c r="E1144" s="6">
        <x:v>26</x:v>
      </x:c>
      <x:c r="F1144" s="6" t="n">
        <x:f>英雄升级调参!$C$91</x:f>
        <x:v>6</x:v>
      </x:c>
      <x:c r="G1144" s="12">
        <x:f t="shared" si="105"/>
        <x:v>1713</x:v>
      </x:c>
      <x:c r="H1144" s="12">
        <x:f t="shared" si="106"/>
        <x:v>10920</x:v>
      </x:c>
      <x:c r="I1144" s="12">
        <x:f t="shared" si="102"/>
        <x:v>18705960</x:v>
      </x:c>
      <x:c r="J1144" s="12">
        <x:f>ROUND(英雄升级调参!$D$91*英雄升级调参!$J$9*英雄升级调参!$E$25,0)</x:f>
        <x:v>79</x:v>
      </x:c>
      <x:c r="K1144" s="12">
        <x:f>ROUND(英雄升级调参!$D$91*英雄升级调参!$C$11*英雄升级调参!$J$9*英雄升级调参!$G$25,0)</x:f>
        <x:v>504</x:v>
      </x:c>
      <x:c r="L1144" s="12" t="n">
        <x:f>养成消耗调参!$C$173</x:f>
        <x:v>576</x:v>
      </x:c>
      <x:c r="M1144" s="12" t="n">
        <x:f>养成消耗调参!$F$173</x:f>
        <x:v>3000</x:v>
      </x:c>
      <x:c r="N1144" s="12" t="n">
        <x:f>养成消耗调参!$I$173</x:f>
        <x:v>0</x:v>
      </x:c>
      <x:c r="O1144" s="12" t="n">
        <x:f>养成消耗调参!$J$173</x:f>
        <x:v>7080</x:v>
      </x:c>
      <x:c r="P1144" s="12" t="n">
        <x:f>养成消耗调参!$M$173</x:f>
        <x:v>39000</x:v>
      </x:c>
      <x:c r="Q1144" s="12" t="n">
        <x:f>养成消耗调参!$P$173</x:f>
        <x:v>250</x:v>
      </x:c>
      <x:c r="R1144" s="13">
        <x:f>I1144/英雄升级调参!$G$91-1</x:f>
        <x:v>0.003956043956043986</x:v>
      </x:c>
      <x:c r="S1144" s="6"/>
      <x:c r="T1144" s="6"/>
      <x:c r="U1144" s="6"/>
    </x:row>
    <x:row r="1145" ht="21" customHeight="1">
      <x:c r="A1145" s="14" t="n">
        <x:f>英雄升级调参!$B$25</x:f>
        <x:v>310008</x:v>
      </x:c>
      <x:c r="B1145" s="14" t="str">
        <x:f>英雄升级调参!$C$25</x:f>
        <x:v>魔魔龙</x:v>
      </x:c>
      <x:c r="C1145" s="6" t="str">
        <x:f>英雄升级调参!$D$25</x:f>
        <x:v>战士</x:v>
      </x:c>
      <x:c r="D1145" s="6" t="s">
        <x:v>18</x:v>
      </x:c>
      <x:c r="E1145" s="6">
        <x:v>27</x:v>
      </x:c>
      <x:c r="F1145" s="6" t="n">
        <x:f>英雄升级调参!$C$92</x:f>
        <x:v>6</x:v>
      </x:c>
      <x:c r="G1145" s="12">
        <x:f t="shared" si="105"/>
        <x:v>1792</x:v>
      </x:c>
      <x:c r="H1145" s="12">
        <x:f t="shared" si="106"/>
        <x:v>11424</x:v>
      </x:c>
      <x:c r="I1145" s="12">
        <x:f t="shared" si="102"/>
        <x:v>20471808</x:v>
      </x:c>
      <x:c r="J1145" s="12">
        <x:f>ROUND(英雄升级调参!$D$92*英雄升级调参!$J$9*英雄升级调参!$E$25,0)</x:f>
        <x:v>79</x:v>
      </x:c>
      <x:c r="K1145" s="12">
        <x:f>ROUND(英雄升级调参!$D$92*英雄升级调参!$C$11*英雄升级调参!$J$9*英雄升级调参!$G$25,0)</x:f>
        <x:v>504</x:v>
      </x:c>
      <x:c r="L1145" s="12" t="n">
        <x:f>养成消耗调参!$C$174</x:f>
        <x:v>576</x:v>
      </x:c>
      <x:c r="M1145" s="12" t="n">
        <x:f>养成消耗调参!$F$174</x:f>
        <x:v>3900</x:v>
      </x:c>
      <x:c r="N1145" s="12" t="n">
        <x:f>养成消耗调参!$I$174</x:f>
        <x:v>0</x:v>
      </x:c>
      <x:c r="O1145" s="12" t="n">
        <x:f>养成消耗调参!$J$174</x:f>
        <x:v>7656</x:v>
      </x:c>
      <x:c r="P1145" s="12" t="n">
        <x:f>养成消耗调参!$M$174</x:f>
        <x:v>42900</x:v>
      </x:c>
      <x:c r="Q1145" s="12" t="n">
        <x:f>养成消耗调参!$P$174</x:f>
        <x:v>250</x:v>
      </x:c>
      <x:c r="R1145" s="13">
        <x:f>I1145/英雄升级调参!$G$92-1</x:f>
        <x:v>0.0039215686274509665</x:v>
      </x:c>
      <x:c r="S1145" s="6"/>
      <x:c r="T1145" s="6"/>
      <x:c r="U1145" s="6"/>
    </x:row>
    <x:row r="1146" ht="21" customHeight="1">
      <x:c r="A1146" s="14" t="n">
        <x:f>英雄升级调参!$B$25</x:f>
        <x:v>310008</x:v>
      </x:c>
      <x:c r="B1146" s="14" t="str">
        <x:f>英雄升级调参!$C$25</x:f>
        <x:v>魔魔龙</x:v>
      </x:c>
      <x:c r="C1146" s="6" t="str">
        <x:f>英雄升级调参!$D$25</x:f>
        <x:v>战士</x:v>
      </x:c>
      <x:c r="D1146" s="6" t="s">
        <x:v>18</x:v>
      </x:c>
      <x:c r="E1146" s="6">
        <x:v>28</x:v>
      </x:c>
      <x:c r="F1146" s="6" t="n">
        <x:f>英雄升级调参!$C$93</x:f>
        <x:v>6</x:v>
      </x:c>
      <x:c r="G1146" s="12">
        <x:f t="shared" si="105"/>
        <x:v>1871</x:v>
      </x:c>
      <x:c r="H1146" s="12">
        <x:f t="shared" si="106"/>
        <x:v>11928</x:v>
      </x:c>
      <x:c r="I1146" s="12">
        <x:f t="shared" si="102"/>
        <x:v>22317288</x:v>
      </x:c>
      <x:c r="J1146" s="12">
        <x:f>ROUND(英雄升级调参!$D$93*英雄升级调参!$J$9*英雄升级调参!$E$25,0)</x:f>
        <x:v>79</x:v>
      </x:c>
      <x:c r="K1146" s="12">
        <x:f>ROUND(英雄升级调参!$D$93*英雄升级调参!$C$11*英雄升级调参!$J$9*英雄升级调参!$G$25,0)</x:f>
        <x:v>504</x:v>
      </x:c>
      <x:c r="L1146" s="12" t="n">
        <x:f>养成消耗调参!$C$175</x:f>
        <x:v>624</x:v>
      </x:c>
      <x:c r="M1146" s="12" t="n">
        <x:f>养成消耗调参!$F$175</x:f>
        <x:v>3900</x:v>
      </x:c>
      <x:c r="N1146" s="12" t="n">
        <x:f>养成消耗调参!$I$175</x:f>
        <x:v>0</x:v>
      </x:c>
      <x:c r="O1146" s="12" t="n">
        <x:f>养成消耗调参!$J$175</x:f>
        <x:v>8280</x:v>
      </x:c>
      <x:c r="P1146" s="12" t="n">
        <x:f>养成消耗调参!$M$175</x:f>
        <x:v>46800</x:v>
      </x:c>
      <x:c r="Q1146" s="12" t="n">
        <x:f>养成消耗调参!$P$175</x:f>
        <x:v>250</x:v>
      </x:c>
      <x:c r="R1146" s="13">
        <x:f>I1146/英雄升级调参!$G$93-1</x:f>
        <x:v>0.003890006706908089</x:v>
      </x:c>
      <x:c r="S1146" s="6"/>
      <x:c r="T1146" s="6"/>
      <x:c r="U1146" s="6"/>
    </x:row>
    <x:row r="1147" ht="21" customHeight="1">
      <x:c r="A1147" s="14" t="n">
        <x:f>英雄升级调参!$B$25</x:f>
        <x:v>310008</x:v>
      </x:c>
      <x:c r="B1147" s="14" t="str">
        <x:f>英雄升级调参!$C$25</x:f>
        <x:v>魔魔龙</x:v>
      </x:c>
      <x:c r="C1147" s="6" t="str">
        <x:f>英雄升级调参!$D$25</x:f>
        <x:v>战士</x:v>
      </x:c>
      <x:c r="D1147" s="6" t="s">
        <x:v>18</x:v>
      </x:c>
      <x:c r="E1147" s="6">
        <x:v>29</x:v>
      </x:c>
      <x:c r="F1147" s="6" t="n">
        <x:f>英雄升级调参!$C$94</x:f>
        <x:v>6</x:v>
      </x:c>
      <x:c r="G1147" s="12">
        <x:f t="shared" si="105"/>
        <x:v>1950</x:v>
      </x:c>
      <x:c r="H1147" s="12">
        <x:f t="shared" si="106"/>
        <x:v>12432</x:v>
      </x:c>
      <x:c r="I1147" s="12">
        <x:f t="shared" si="102"/>
        <x:v>24242400</x:v>
      </x:c>
      <x:c r="J1147" s="12">
        <x:f>ROUND(英雄升级调参!$D$94*英雄升级调参!$J$9*英雄升级调参!$E$25,0)</x:f>
        <x:v>79</x:v>
      </x:c>
      <x:c r="K1147" s="12">
        <x:f>ROUND(英雄升级调参!$D$94*英雄升级调参!$C$11*英雄升级调参!$J$9*英雄升级调参!$G$25,0)</x:f>
        <x:v>504</x:v>
      </x:c>
      <x:c r="L1147" s="12" t="n">
        <x:f>养成消耗调参!$C$176</x:f>
        <x:v>624</x:v>
      </x:c>
      <x:c r="M1147" s="12" t="n">
        <x:f>养成消耗调参!$F$176</x:f>
        <x:v>3900</x:v>
      </x:c>
      <x:c r="N1147" s="12" t="n">
        <x:f>养成消耗调参!$I$176</x:f>
        <x:v>0</x:v>
      </x:c>
      <x:c r="O1147" s="12" t="n">
        <x:f>养成消耗调参!$J$176</x:f>
        <x:v>8904</x:v>
      </x:c>
      <x:c r="P1147" s="12" t="n">
        <x:f>养成消耗调参!$M$176</x:f>
        <x:v>50700</x:v>
      </x:c>
      <x:c r="Q1147" s="12" t="n">
        <x:f>养成消耗调参!$P$176</x:f>
        <x:v>250</x:v>
      </x:c>
      <x:c r="R1147" s="13">
        <x:f>I1147/英雄升级调参!$G$94-1</x:f>
        <x:v>0.0038610038610038533</x:v>
      </x:c>
      <x:c r="S1147" s="6"/>
      <x:c r="T1147" s="6"/>
      <x:c r="U1147" s="6"/>
    </x:row>
    <x:row r="1148" ht="21" customHeight="1">
      <x:c r="A1148" s="14" t="n">
        <x:f>英雄升级调参!$B$25</x:f>
        <x:v>310008</x:v>
      </x:c>
      <x:c r="B1148" s="14" t="str">
        <x:f>英雄升级调参!$C$25</x:f>
        <x:v>魔魔龙</x:v>
      </x:c>
      <x:c r="C1148" s="6" t="str">
        <x:f>英雄升级调参!$D$25</x:f>
        <x:v>战士</x:v>
      </x:c>
      <x:c r="D1148" s="6" t="s">
        <x:v>18</x:v>
      </x:c>
      <x:c r="E1148" s="6">
        <x:v>30</x:v>
      </x:c>
      <x:c r="F1148" s="6" t="n">
        <x:f>英雄升级调参!$C$95</x:f>
        <x:v>6</x:v>
      </x:c>
      <x:c r="G1148" s="12">
        <x:f t="shared" si="105"/>
        <x:v>2187</x:v>
      </x:c>
      <x:c r="H1148" s="12">
        <x:f t="shared" si="106"/>
        <x:v>13944</x:v>
      </x:c>
      <x:c r="I1148" s="12">
        <x:f t="shared" si="102"/>
        <x:v>30495528</x:v>
      </x:c>
      <x:c r="J1148" s="12">
        <x:f>ROUND(英雄升级调参!$D$95*英雄升级调参!$J$9*英雄升级调参!$E$25,0)*3</x:f>
        <x:v>237</x:v>
      </x:c>
      <x:c r="K1148" s="12">
        <x:f>ROUND(英雄升级调参!$D$95*英雄升级调参!$C$11*英雄升级调参!$J$9*英雄升级调参!$G$25,0)*3</x:f>
        <x:v>1512</x:v>
      </x:c>
      <x:c r="L1148" s="12" t="n">
        <x:f>养成消耗调参!$C$177</x:f>
        <x:v>672</x:v>
      </x:c>
      <x:c r="M1148" s="12" t="n">
        <x:f>养成消耗调参!$F$177</x:f>
        <x:v>3900</x:v>
      </x:c>
      <x:c r="N1148" s="12" t="n">
        <x:f>养成消耗调参!$I$177</x:f>
        <x:v>110</x:v>
      </x:c>
      <x:c r="O1148" s="12" t="n">
        <x:f>养成消耗调参!$J$177</x:f>
        <x:v>9576</x:v>
      </x:c>
      <x:c r="P1148" s="12" t="n">
        <x:f>养成消耗调参!$M$177</x:f>
        <x:v>54600</x:v>
      </x:c>
      <x:c r="Q1148" s="12" t="n">
        <x:f>养成消耗调参!$P$177</x:f>
        <x:v>360</x:v>
      </x:c>
      <x:c r="R1148" s="13">
        <x:f>I1148/英雄升级调参!$G$95-1</x:f>
        <x:v>0.0037865748709122737</x:v>
      </x:c>
      <x:c r="S1148" s="6"/>
      <x:c r="T1148" s="6"/>
      <x:c r="U1148" s="6"/>
    </x:row>
    <x:row r="1149" ht="21" customHeight="1">
      <x:c r="A1149" s="14" t="n">
        <x:f>英雄升级调参!$B$25</x:f>
        <x:v>310008</x:v>
      </x:c>
      <x:c r="B1149" s="14" t="str">
        <x:f>英雄升级调参!$C$25</x:f>
        <x:v>魔魔龙</x:v>
      </x:c>
      <x:c r="C1149" s="6" t="str">
        <x:f>英雄升级调参!$D$25</x:f>
        <x:v>战士</x:v>
      </x:c>
      <x:c r="D1149" s="6" t="s">
        <x:v>18</x:v>
      </x:c>
      <x:c r="E1149" s="6">
        <x:v>31</x:v>
      </x:c>
      <x:c r="F1149" s="6" t="n">
        <x:f>英雄升级调参!$C$96</x:f>
        <x:v>7</x:v>
      </x:c>
      <x:c r="G1149" s="12">
        <x:f t="shared" si="105"/>
        <x:v>2277</x:v>
      </x:c>
      <x:c r="H1149" s="12">
        <x:f t="shared" si="106"/>
        <x:v>14520</x:v>
      </x:c>
      <x:c r="I1149" s="12">
        <x:f t="shared" si="102"/>
        <x:v>33062040</x:v>
      </x:c>
      <x:c r="J1149" s="12">
        <x:f>ROUND(英雄升级调参!$D$96*英雄升级调参!$J$9*英雄升级调参!$E$25,0)</x:f>
        <x:v>90</x:v>
      </x:c>
      <x:c r="K1149" s="12">
        <x:f>ROUND(英雄升级调参!$D$96*英雄升级调参!$C$11*英雄升级调参!$J$9*英雄升级调参!$G$25,0)</x:f>
        <x:v>576</x:v>
      </x:c>
      <x:c r="L1149" s="12" t="n">
        <x:f>养成消耗调参!$C$178</x:f>
        <x:v>672</x:v>
      </x:c>
      <x:c r="M1149" s="12" t="n">
        <x:f>养成消耗调参!$F$178</x:f>
        <x:v>3900</x:v>
      </x:c>
      <x:c r="N1149" s="12" t="n">
        <x:f>养成消耗调参!$I$178</x:f>
        <x:v>0</x:v>
      </x:c>
      <x:c r="O1149" s="12" t="n">
        <x:f>养成消耗调参!$J$178</x:f>
        <x:v>10248</x:v>
      </x:c>
      <x:c r="P1149" s="12" t="n">
        <x:f>养成消耗调参!$M$178</x:f>
        <x:v>58500</x:v>
      </x:c>
      <x:c r="Q1149" s="12" t="n">
        <x:f>养成消耗调参!$P$178</x:f>
        <x:v>360</x:v>
      </x:c>
      <x:c r="R1149" s="13">
        <x:f>I1149/英雄升级调参!$G$96-1</x:f>
        <x:v>0.0036363636363636598</x:v>
      </x:c>
      <x:c r="S1149" s="6"/>
      <x:c r="T1149" s="6"/>
      <x:c r="U1149" s="6"/>
    </x:row>
    <x:row r="1150" ht="21" customHeight="1">
      <x:c r="A1150" s="14" t="n">
        <x:f>英雄升级调参!$B$25</x:f>
        <x:v>310008</x:v>
      </x:c>
      <x:c r="B1150" s="14" t="str">
        <x:f>英雄升级调参!$C$25</x:f>
        <x:v>魔魔龙</x:v>
      </x:c>
      <x:c r="C1150" s="6" t="str">
        <x:f>英雄升级调参!$D$25</x:f>
        <x:v>战士</x:v>
      </x:c>
      <x:c r="D1150" s="6" t="s">
        <x:v>18</x:v>
      </x:c>
      <x:c r="E1150" s="6">
        <x:v>32</x:v>
      </x:c>
      <x:c r="F1150" s="6" t="n">
        <x:f>英雄升级调参!$C$97</x:f>
        <x:v>7</x:v>
      </x:c>
      <x:c r="G1150" s="12">
        <x:f t="shared" si="105"/>
        <x:v>2367</x:v>
      </x:c>
      <x:c r="H1150" s="12">
        <x:f t="shared" si="106"/>
        <x:v>15096</x:v>
      </x:c>
      <x:c r="I1150" s="12">
        <x:f t="shared" si="102"/>
        <x:v>35732232</x:v>
      </x:c>
      <x:c r="J1150" s="12">
        <x:f>ROUND(英雄升级调参!$D$97*英雄升级调参!$J$9*英雄升级调参!$E$25,0)</x:f>
        <x:v>90</x:v>
      </x:c>
      <x:c r="K1150" s="12">
        <x:f>ROUND(英雄升级调参!$D$97*英雄升级调参!$C$11*英雄升级调参!$J$9*英雄升级调参!$G$25,0)</x:f>
        <x:v>576</x:v>
      </x:c>
      <x:c r="L1150" s="12" t="n">
        <x:f>养成消耗调参!$C$179</x:f>
        <x:v>720</x:v>
      </x:c>
      <x:c r="M1150" s="12" t="n">
        <x:f>养成消耗调参!$F$179</x:f>
        <x:v>4800</x:v>
      </x:c>
      <x:c r="N1150" s="12" t="n">
        <x:f>养成消耗调参!$I$179</x:f>
        <x:v>0</x:v>
      </x:c>
      <x:c r="O1150" s="12" t="n">
        <x:f>养成消耗调参!$J$179</x:f>
        <x:v>10968</x:v>
      </x:c>
      <x:c r="P1150" s="12" t="n">
        <x:f>养成消耗调参!$M$179</x:f>
        <x:v>63300</x:v>
      </x:c>
      <x:c r="Q1150" s="12" t="n">
        <x:f>养成消耗调参!$P$179</x:f>
        <x:v>360</x:v>
      </x:c>
      <x:c r="R1150" s="13">
        <x:f>I1150/英雄升级调参!$G$97-1</x:f>
        <x:v>0.0034976152623211743</x:v>
      </x:c>
      <x:c r="S1150" s="6"/>
      <x:c r="T1150" s="6"/>
      <x:c r="U1150" s="6"/>
    </x:row>
    <x:row r="1151" ht="21" customHeight="1">
      <x:c r="A1151" s="14" t="n">
        <x:f>英雄升级调参!$B$25</x:f>
        <x:v>310008</x:v>
      </x:c>
      <x:c r="B1151" s="14" t="str">
        <x:f>英雄升级调参!$C$25</x:f>
        <x:v>魔魔龙</x:v>
      </x:c>
      <x:c r="C1151" s="6" t="str">
        <x:f>英雄升级调参!$D$25</x:f>
        <x:v>战士</x:v>
      </x:c>
      <x:c r="D1151" s="6" t="s">
        <x:v>18</x:v>
      </x:c>
      <x:c r="E1151" s="6">
        <x:v>33</x:v>
      </x:c>
      <x:c r="F1151" s="6" t="n">
        <x:f>英雄升级调参!$C$98</x:f>
        <x:v>7</x:v>
      </x:c>
      <x:c r="G1151" s="12">
        <x:f t="shared" si="105"/>
        <x:v>2457</x:v>
      </x:c>
      <x:c r="H1151" s="12">
        <x:f t="shared" si="106"/>
        <x:v>15672</x:v>
      </x:c>
      <x:c r="I1151" s="12">
        <x:f t="shared" si="102"/>
        <x:v>38506104</x:v>
      </x:c>
      <x:c r="J1151" s="12">
        <x:f>ROUND(英雄升级调参!$D$98*英雄升级调参!$J$9*英雄升级调参!$E$25,0)</x:f>
        <x:v>90</x:v>
      </x:c>
      <x:c r="K1151" s="12">
        <x:f>ROUND(英雄升级调参!$D$98*英雄升级调参!$C$11*英雄升级调参!$J$9*英雄升级调参!$G$25,0)</x:f>
        <x:v>576</x:v>
      </x:c>
      <x:c r="L1151" s="12" t="n">
        <x:f>养成消耗调参!$C$180</x:f>
        <x:v>720</x:v>
      </x:c>
      <x:c r="M1151" s="12" t="n">
        <x:f>养成消耗调参!$F$180</x:f>
        <x:v>4800</x:v>
      </x:c>
      <x:c r="N1151" s="12" t="n">
        <x:f>养成消耗调参!$I$180</x:f>
        <x:v>0</x:v>
      </x:c>
      <x:c r="O1151" s="12" t="n">
        <x:f>养成消耗调参!$J$180</x:f>
        <x:v>11688</x:v>
      </x:c>
      <x:c r="P1151" s="12" t="n">
        <x:f>养成消耗调参!$M$180</x:f>
        <x:v>68100</x:v>
      </x:c>
      <x:c r="Q1151" s="12" t="n">
        <x:f>养成消耗调参!$P$180</x:f>
        <x:v>360</x:v>
      </x:c>
      <x:c r="R1151" s="13">
        <x:f>I1151/英雄升级调参!$G$98-1</x:f>
        <x:v>0.0033690658499234694</x:v>
      </x:c>
      <x:c r="S1151" s="6"/>
      <x:c r="T1151" s="6"/>
      <x:c r="U1151" s="6"/>
    </x:row>
    <x:row r="1152" ht="21" customHeight="1">
      <x:c r="A1152" s="14" t="n">
        <x:f>英雄升级调参!$B$25</x:f>
        <x:v>310008</x:v>
      </x:c>
      <x:c r="B1152" s="14" t="str">
        <x:f>英雄升级调参!$C$25</x:f>
        <x:v>魔魔龙</x:v>
      </x:c>
      <x:c r="C1152" s="6" t="str">
        <x:f>英雄升级调参!$D$25</x:f>
        <x:v>战士</x:v>
      </x:c>
      <x:c r="D1152" s="6" t="s">
        <x:v>18</x:v>
      </x:c>
      <x:c r="E1152" s="6">
        <x:v>34</x:v>
      </x:c>
      <x:c r="F1152" s="6" t="n">
        <x:f>英雄升级调参!$C$99</x:f>
        <x:v>7</x:v>
      </x:c>
      <x:c r="G1152" s="12">
        <x:f t="shared" ref="G1152:G1168" si="107">G1151+J1152</x:f>
        <x:v>2547</x:v>
      </x:c>
      <x:c r="H1152" s="12">
        <x:f t="shared" ref="H1152:H1168" si="108">H1151+K1152</x:f>
        <x:v>16248</x:v>
      </x:c>
      <x:c r="I1152" s="12">
        <x:f t="shared" si="102"/>
        <x:v>41383656</x:v>
      </x:c>
      <x:c r="J1152" s="12">
        <x:f>ROUND(英雄升级调参!$D$99*英雄升级调参!$J$9*英雄升级调参!$E$25,0)</x:f>
        <x:v>90</x:v>
      </x:c>
      <x:c r="K1152" s="12">
        <x:f>ROUND(英雄升级调参!$D$99*英雄升级调参!$C$11*英雄升级调参!$J$9*英雄升级调参!$G$25,0)</x:f>
        <x:v>576</x:v>
      </x:c>
      <x:c r="L1152" s="12" t="n">
        <x:f>养成消耗调参!$C$181</x:f>
        <x:v>768</x:v>
      </x:c>
      <x:c r="M1152" s="12" t="n">
        <x:f>养成消耗调参!$F$181</x:f>
        <x:v>4800</x:v>
      </x:c>
      <x:c r="N1152" s="12" t="n">
        <x:f>养成消耗调参!$I$181</x:f>
        <x:v>0</x:v>
      </x:c>
      <x:c r="O1152" s="12" t="n">
        <x:f>养成消耗调参!$J$181</x:f>
        <x:v>12456</x:v>
      </x:c>
      <x:c r="P1152" s="12" t="n">
        <x:f>养成消耗调参!$M$181</x:f>
        <x:v>72900</x:v>
      </x:c>
      <x:c r="Q1152" s="12" t="n">
        <x:f>养成消耗调参!$P$181</x:f>
        <x:v>360</x:v>
      </x:c>
      <x:c r="R1152" s="13">
        <x:f>I1152/英雄升级调参!$G$99-1</x:f>
        <x:v>0.0032496307237814825</x:v>
      </x:c>
      <x:c r="S1152" s="6"/>
      <x:c r="T1152" s="6"/>
      <x:c r="U1152" s="6"/>
    </x:row>
    <x:row r="1153" ht="21" customHeight="1">
      <x:c r="A1153" s="14" t="n">
        <x:f>英雄升级调参!$B$25</x:f>
        <x:v>310008</x:v>
      </x:c>
      <x:c r="B1153" s="14" t="str">
        <x:f>英雄升级调参!$C$25</x:f>
        <x:v>魔魔龙</x:v>
      </x:c>
      <x:c r="C1153" s="6" t="str">
        <x:f>英雄升级调参!$D$25</x:f>
        <x:v>战士</x:v>
      </x:c>
      <x:c r="D1153" s="6" t="s">
        <x:v>18</x:v>
      </x:c>
      <x:c r="E1153" s="6">
        <x:v>35</x:v>
      </x:c>
      <x:c r="F1153" s="6" t="n">
        <x:f>英雄升级调参!$C$100</x:f>
        <x:v>7</x:v>
      </x:c>
      <x:c r="G1153" s="12">
        <x:f t="shared" si="107"/>
        <x:v>2817</x:v>
      </x:c>
      <x:c r="H1153" s="12">
        <x:f t="shared" si="108"/>
        <x:v>17976</x:v>
      </x:c>
      <x:c r="I1153" s="12">
        <x:f t="shared" si="102"/>
        <x:v>50638392</x:v>
      </x:c>
      <x:c r="J1153" s="12">
        <x:f>ROUND(英雄升级调参!$D$100*英雄升级调参!$J$9*英雄升级调参!$E$25,0)*3</x:f>
        <x:v>270</x:v>
      </x:c>
      <x:c r="K1153" s="12">
        <x:f>ROUND(英雄升级调参!$D$100*英雄升级调参!$C$11*英雄升级调参!$J$9*英雄升级调参!$G$25,0)*3</x:f>
        <x:v>1728</x:v>
      </x:c>
      <x:c r="L1153" s="12" t="n">
        <x:f>养成消耗调参!$C$182</x:f>
        <x:v>768</x:v>
      </x:c>
      <x:c r="M1153" s="12" t="n">
        <x:f>养成消耗调参!$F$182</x:f>
        <x:v>4800</x:v>
      </x:c>
      <x:c r="N1153" s="12" t="n">
        <x:f>养成消耗调参!$I$182</x:f>
        <x:v>130</x:v>
      </x:c>
      <x:c r="O1153" s="12" t="n">
        <x:f>养成消耗调参!$J$182</x:f>
        <x:v>13224</x:v>
      </x:c>
      <x:c r="P1153" s="12" t="n">
        <x:f>养成消耗调参!$M$182</x:f>
        <x:v>77700</x:v>
      </x:c>
      <x:c r="Q1153" s="12" t="n">
        <x:f>养成消耗调参!$P$182</x:f>
        <x:v>490</x:v>
      </x:c>
      <x:c r="R1153" s="13">
        <x:f>I1153/英雄升级调参!$G$100-1</x:f>
        <x:v>0.002937249666221664</x:v>
      </x:c>
      <x:c r="S1153" s="6"/>
      <x:c r="T1153" s="6"/>
      <x:c r="U1153" s="6"/>
    </x:row>
    <x:row r="1154" ht="21" customHeight="1">
      <x:c r="A1154" s="14" t="n">
        <x:f>英雄升级调参!$B$25</x:f>
        <x:v>310008</x:v>
      </x:c>
      <x:c r="B1154" s="14" t="str">
        <x:f>英雄升级调参!$C$25</x:f>
        <x:v>魔魔龙</x:v>
      </x:c>
      <x:c r="C1154" s="6" t="str">
        <x:f>英雄升级调参!$D$25</x:f>
        <x:v>战士</x:v>
      </x:c>
      <x:c r="D1154" s="6" t="s">
        <x:v>18</x:v>
      </x:c>
      <x:c r="E1154" s="6">
        <x:v>36</x:v>
      </x:c>
      <x:c r="F1154" s="6" t="n">
        <x:f>英雄升级调参!$C$101</x:f>
        <x:v>8</x:v>
      </x:c>
      <x:c r="G1154" s="12">
        <x:f t="shared" si="107"/>
        <x:v>2918</x:v>
      </x:c>
      <x:c r="H1154" s="12">
        <x:f t="shared" si="108"/>
        <x:v>18624</x:v>
      </x:c>
      <x:c r="I1154" s="12">
        <x:f t="shared" si="102"/>
        <x:v>54344832</x:v>
      </x:c>
      <x:c r="J1154" s="12">
        <x:f>ROUND(英雄升级调参!$D$101*英雄升级调参!$J$9*英雄升级调参!$E$25,0)</x:f>
        <x:v>101</x:v>
      </x:c>
      <x:c r="K1154" s="12">
        <x:f>ROUND(英雄升级调参!$D$101*英雄升级调参!$C$11*英雄升级调参!$J$9*英雄升级调参!$G$25,0)</x:f>
        <x:v>648</x:v>
      </x:c>
      <x:c r="L1154" s="12" t="n">
        <x:f>养成消耗调参!$C$183</x:f>
        <x:v>816</x:v>
      </x:c>
      <x:c r="M1154" s="12" t="n">
        <x:f>养成消耗调参!$F$183</x:f>
        <x:v>4800</x:v>
      </x:c>
      <x:c r="N1154" s="12" t="n">
        <x:f>养成消耗调参!$I$183</x:f>
        <x:v>0</x:v>
      </x:c>
      <x:c r="O1154" s="12" t="n">
        <x:f>养成消耗调参!$J$183</x:f>
        <x:v>14040</x:v>
      </x:c>
      <x:c r="P1154" s="12" t="n">
        <x:f>养成消耗调参!$M$183</x:f>
        <x:v>82500</x:v>
      </x:c>
      <x:c r="Q1154" s="12" t="n">
        <x:f>养成消耗调参!$P$183</x:f>
        <x:v>490</x:v>
      </x:c>
      <x:c r="R1154" s="13">
        <x:f>I1154/英雄升级调参!$G$101-1</x:f>
        <x:v>0.0027491408934707806</x:v>
      </x:c>
      <x:c r="S1154" s="6"/>
      <x:c r="T1154" s="6"/>
      <x:c r="U1154" s="6"/>
    </x:row>
    <x:row r="1155" ht="21" customHeight="1">
      <x:c r="A1155" s="14" t="n">
        <x:f>英雄升级调参!$B$25</x:f>
        <x:v>310008</x:v>
      </x:c>
      <x:c r="B1155" s="14" t="str">
        <x:f>英雄升级调参!$C$25</x:f>
        <x:v>魔魔龙</x:v>
      </x:c>
      <x:c r="C1155" s="6" t="str">
        <x:f>英雄升级调参!$D$25</x:f>
        <x:v>战士</x:v>
      </x:c>
      <x:c r="D1155" s="6" t="s">
        <x:v>18</x:v>
      </x:c>
      <x:c r="E1155" s="6">
        <x:v>37</x:v>
      </x:c>
      <x:c r="F1155" s="6" t="n">
        <x:f>英雄升级调参!$C$102</x:f>
        <x:v>8</x:v>
      </x:c>
      <x:c r="G1155" s="12">
        <x:f t="shared" si="107"/>
        <x:v>3019</x:v>
      </x:c>
      <x:c r="H1155" s="12">
        <x:f t="shared" si="108"/>
        <x:v>19272</x:v>
      </x:c>
      <x:c r="I1155" s="12">
        <x:f t="shared" si="102"/>
        <x:v>58182168</x:v>
      </x:c>
      <x:c r="J1155" s="12">
        <x:f>ROUND(英雄升级调参!$D$102*英雄升级调参!$J$9*英雄升级调参!$E$25,0)</x:f>
        <x:v>101</x:v>
      </x:c>
      <x:c r="K1155" s="12">
        <x:f>ROUND(英雄升级调参!$D$102*英雄升级调参!$C$11*英雄升级调参!$J$9*英雄升级调参!$G$25,0)</x:f>
        <x:v>648</x:v>
      </x:c>
      <x:c r="L1155" s="12" t="n">
        <x:f>养成消耗调参!$C$184</x:f>
        <x:v>816</x:v>
      </x:c>
      <x:c r="M1155" s="12" t="n">
        <x:f>养成消耗调参!$F$184</x:f>
        <x:v>5700</x:v>
      </x:c>
      <x:c r="N1155" s="12" t="n">
        <x:f>养成消耗调参!$I$184</x:f>
        <x:v>0</x:v>
      </x:c>
      <x:c r="O1155" s="12" t="n">
        <x:f>养成消耗调参!$J$184</x:f>
        <x:v>14856</x:v>
      </x:c>
      <x:c r="P1155" s="12" t="n">
        <x:f>养成消耗调参!$M$184</x:f>
        <x:v>88200</x:v>
      </x:c>
      <x:c r="Q1155" s="12" t="n">
        <x:f>养成消耗调参!$P$184</x:f>
        <x:v>490</x:v>
      </x:c>
      <x:c r="R1155" s="13">
        <x:f>I1155/英雄升级调参!$G$102-1</x:f>
        <x:v>0.002573682025736712</x:v>
      </x:c>
      <x:c r="S1155" s="6"/>
      <x:c r="T1155" s="6"/>
      <x:c r="U1155" s="6"/>
    </x:row>
    <x:row r="1156" ht="21" customHeight="1">
      <x:c r="A1156" s="14" t="n">
        <x:f>英雄升级调参!$B$25</x:f>
        <x:v>310008</x:v>
      </x:c>
      <x:c r="B1156" s="14" t="str">
        <x:f>英雄升级调参!$C$25</x:f>
        <x:v>魔魔龙</x:v>
      </x:c>
      <x:c r="C1156" s="6" t="str">
        <x:f>英雄升级调参!$D$25</x:f>
        <x:v>战士</x:v>
      </x:c>
      <x:c r="D1156" s="6" t="s">
        <x:v>18</x:v>
      </x:c>
      <x:c r="E1156" s="6">
        <x:v>38</x:v>
      </x:c>
      <x:c r="F1156" s="6" t="n">
        <x:f>英雄升级调参!$C$103</x:f>
        <x:v>8</x:v>
      </x:c>
      <x:c r="G1156" s="12">
        <x:f t="shared" si="107"/>
        <x:v>3120</x:v>
      </x:c>
      <x:c r="H1156" s="12">
        <x:f t="shared" si="108"/>
        <x:v>19920</x:v>
      </x:c>
      <x:c r="I1156" s="12">
        <x:f t="shared" si="102"/>
        <x:v>62150400</x:v>
      </x:c>
      <x:c r="J1156" s="12">
        <x:f>ROUND(英雄升级调参!$D$103*英雄升级调参!$J$9*英雄升级调参!$E$25,0)</x:f>
        <x:v>101</x:v>
      </x:c>
      <x:c r="K1156" s="12">
        <x:f>ROUND(英雄升级调参!$D$103*英雄升级调参!$C$11*英雄升级调参!$J$9*英雄升级调参!$G$25,0)</x:f>
        <x:v>648</x:v>
      </x:c>
      <x:c r="L1156" s="12" t="n">
        <x:f>养成消耗调参!$C$185</x:f>
        <x:v>864</x:v>
      </x:c>
      <x:c r="M1156" s="12" t="n">
        <x:f>养成消耗调参!$F$185</x:f>
        <x:v>5700</x:v>
      </x:c>
      <x:c r="N1156" s="12" t="n">
        <x:f>养成消耗调参!$I$185</x:f>
        <x:v>0</x:v>
      </x:c>
      <x:c r="O1156" s="12" t="n">
        <x:f>养成消耗调参!$J$185</x:f>
        <x:v>15720</x:v>
      </x:c>
      <x:c r="P1156" s="12" t="n">
        <x:f>养成消耗调参!$M$185</x:f>
        <x:v>93900</x:v>
      </x:c>
      <x:c r="Q1156" s="12" t="n">
        <x:f>养成消耗调参!$P$185</x:f>
        <x:v>490</x:v>
      </x:c>
      <x:c r="R1156" s="13">
        <x:f>I1156/英雄升级调参!$G$103-1</x:f>
        <x:v>0.002409638554216942</x:v>
      </x:c>
      <x:c r="S1156" s="6"/>
      <x:c r="T1156" s="6"/>
      <x:c r="U1156" s="6"/>
    </x:row>
    <x:row r="1157" ht="21" customHeight="1">
      <x:c r="A1157" s="14" t="n">
        <x:f>英雄升级调参!$B$25</x:f>
        <x:v>310008</x:v>
      </x:c>
      <x:c r="B1157" s="14" t="str">
        <x:f>英雄升级调参!$C$25</x:f>
        <x:v>魔魔龙</x:v>
      </x:c>
      <x:c r="C1157" s="6" t="str">
        <x:f>英雄升级调参!$D$25</x:f>
        <x:v>战士</x:v>
      </x:c>
      <x:c r="D1157" s="6" t="s">
        <x:v>18</x:v>
      </x:c>
      <x:c r="E1157" s="6">
        <x:v>39</x:v>
      </x:c>
      <x:c r="F1157" s="6" t="n">
        <x:f>英雄升级调参!$C$104</x:f>
        <x:v>8</x:v>
      </x:c>
      <x:c r="G1157" s="12">
        <x:f t="shared" si="107"/>
        <x:v>3221</x:v>
      </x:c>
      <x:c r="H1157" s="12">
        <x:f t="shared" si="108"/>
        <x:v>20568</x:v>
      </x:c>
      <x:c r="I1157" s="12">
        <x:f t="shared" ref="I1157:I1220" si="109">G1157*H1157</x:f>
        <x:v>66249528</x:v>
      </x:c>
      <x:c r="J1157" s="12">
        <x:f>ROUND(英雄升级调参!$D$104*英雄升级调参!$J$9*英雄升级调参!$E$25,0)</x:f>
        <x:v>101</x:v>
      </x:c>
      <x:c r="K1157" s="12">
        <x:f>ROUND(英雄升级调参!$D$104*英雄升级调参!$C$11*英雄升级调参!$J$9*英雄升级调参!$G$25,0)</x:f>
        <x:v>648</x:v>
      </x:c>
      <x:c r="L1157" s="12" t="n">
        <x:f>养成消耗调参!$C$186</x:f>
        <x:v>864</x:v>
      </x:c>
      <x:c r="M1157" s="12" t="n">
        <x:f>养成消耗调参!$F$186</x:f>
        <x:v>5700</x:v>
      </x:c>
      <x:c r="N1157" s="12" t="n">
        <x:f>养成消耗调参!$I$186</x:f>
        <x:v>0</x:v>
      </x:c>
      <x:c r="O1157" s="12" t="n">
        <x:f>养成消耗调参!$J$186</x:f>
        <x:v>16584</x:v>
      </x:c>
      <x:c r="P1157" s="12" t="n">
        <x:f>养成消耗调参!$M$186</x:f>
        <x:v>99600</x:v>
      </x:c>
      <x:c r="Q1157" s="12" t="n">
        <x:f>养成消耗调参!$P$186</x:f>
        <x:v>490</x:v>
      </x:c>
      <x:c r="R1157" s="13">
        <x:f>I1157/英雄升级调参!$G$104-1</x:f>
        <x:v>0.0022559315441461614</x:v>
      </x:c>
      <x:c r="S1157" s="6"/>
      <x:c r="T1157" s="6"/>
      <x:c r="U1157" s="6"/>
    </x:row>
    <x:row r="1158" ht="21" customHeight="1">
      <x:c r="A1158" s="14" t="n">
        <x:f>英雄升级调参!$B$25</x:f>
        <x:v>310008</x:v>
      </x:c>
      <x:c r="B1158" s="14" t="str">
        <x:f>英雄升级调参!$C$25</x:f>
        <x:v>魔魔龙</x:v>
      </x:c>
      <x:c r="C1158" s="6" t="str">
        <x:f>英雄升级调参!$D$25</x:f>
        <x:v>战士</x:v>
      </x:c>
      <x:c r="D1158" s="6" t="s">
        <x:v>18</x:v>
      </x:c>
      <x:c r="E1158" s="6">
        <x:v>40</x:v>
      </x:c>
      <x:c r="F1158" s="6" t="n">
        <x:f>英雄升级调参!$C$105</x:f>
        <x:v>8</x:v>
      </x:c>
      <x:c r="G1158" s="12">
        <x:f t="shared" si="107"/>
        <x:v>3524</x:v>
      </x:c>
      <x:c r="H1158" s="12">
        <x:f t="shared" si="108"/>
        <x:v>22512</x:v>
      </x:c>
      <x:c r="I1158" s="12">
        <x:f t="shared" si="109"/>
        <x:v>79332288</x:v>
      </x:c>
      <x:c r="J1158" s="12">
        <x:f>ROUND(英雄升级调参!$D$105*英雄升级调参!$J$9*英雄升级调参!$E$25,0)*3</x:f>
        <x:v>303</x:v>
      </x:c>
      <x:c r="K1158" s="12">
        <x:f>ROUND(英雄升级调参!$D$105*英雄升级调参!$C$11*英雄升级调参!$J$9*英雄升级调参!$G$25,0)*3</x:f>
        <x:v>1944</x:v>
      </x:c>
      <x:c r="L1158" s="12" t="n">
        <x:f>养成消耗调参!$C$187</x:f>
        <x:v>912</x:v>
      </x:c>
      <x:c r="M1158" s="12" t="n">
        <x:f>养成消耗调参!$F$187</x:f>
        <x:v>5700</x:v>
      </x:c>
      <x:c r="N1158" s="12" t="n">
        <x:f>养成消耗调参!$I$187</x:f>
        <x:v>150</x:v>
      </x:c>
      <x:c r="O1158" s="12" t="n">
        <x:f>养成消耗调参!$J$187</x:f>
        <x:v>17496</x:v>
      </x:c>
      <x:c r="P1158" s="12" t="n">
        <x:f>养成消耗调参!$M$187</x:f>
        <x:v>105300</x:v>
      </x:c>
      <x:c r="Q1158" s="12" t="n">
        <x:f>养成消耗调参!$P$187</x:f>
        <x:v>640</x:v>
      </x:c>
      <x:c r="R1158" s="13">
        <x:f>I1158/英雄升级调参!$G$105-1</x:f>
        <x:v>0.0018479033404406042</x:v>
      </x:c>
      <x:c r="S1158" s="6"/>
      <x:c r="T1158" s="6"/>
      <x:c r="U1158" s="6"/>
    </x:row>
    <x:row r="1159" ht="21" customHeight="1">
      <x:c r="A1159" s="14" t="n">
        <x:f>英雄升级调参!$B$25</x:f>
        <x:v>310008</x:v>
      </x:c>
      <x:c r="B1159" s="14" t="str">
        <x:f>英雄升级调参!$C$25</x:f>
        <x:v>魔魔龙</x:v>
      </x:c>
      <x:c r="C1159" s="6" t="str">
        <x:f>英雄升级调参!$D$25</x:f>
        <x:v>战士</x:v>
      </x:c>
      <x:c r="D1159" s="6" t="s">
        <x:v>18</x:v>
      </x:c>
      <x:c r="E1159" s="6">
        <x:v>41</x:v>
      </x:c>
      <x:c r="F1159" s="6" t="n">
        <x:f>英雄升级调参!$C$106</x:f>
        <x:v>9</x:v>
      </x:c>
      <x:c r="G1159" s="12">
        <x:f t="shared" si="107"/>
        <x:v>3637</x:v>
      </x:c>
      <x:c r="H1159" s="12">
        <x:f t="shared" si="108"/>
        <x:v>23232</x:v>
      </x:c>
      <x:c r="I1159" s="12">
        <x:f t="shared" si="109"/>
        <x:v>84494784</x:v>
      </x:c>
      <x:c r="J1159" s="12">
        <x:f>ROUND(英雄升级调参!$D$106*英雄升级调参!$J$9*英雄升级调参!$E$25,0)</x:f>
        <x:v>113</x:v>
      </x:c>
      <x:c r="K1159" s="12">
        <x:f>ROUND(英雄升级调参!$D$106*英雄升级调参!$C$11*英雄升级调参!$J$9*英雄升级调参!$G$25,0)</x:f>
        <x:v>720</x:v>
      </x:c>
      <x:c r="L1159" s="12" t="n">
        <x:f>养成消耗调参!$C$188</x:f>
        <x:v>912</x:v>
      </x:c>
      <x:c r="M1159" s="12" t="n">
        <x:f>养成消耗调参!$F$188</x:f>
        <x:v>5700</x:v>
      </x:c>
      <x:c r="N1159" s="12" t="n">
        <x:f>养成消耗调参!$I$188</x:f>
        <x:v>0</x:v>
      </x:c>
      <x:c r="O1159" s="12" t="n">
        <x:f>养成消耗调参!$J$188</x:f>
        <x:v>18408</x:v>
      </x:c>
      <x:c r="P1159" s="12" t="n">
        <x:f>养成消耗调参!$M$188</x:f>
        <x:v>111000</x:v>
      </x:c>
      <x:c r="Q1159" s="12" t="n">
        <x:f>养成消耗调参!$P$188</x:f>
        <x:v>640</x:v>
      </x:c>
      <x:c r="R1159" s="13">
        <x:f>I1159/英雄升级调参!$G$106-1</x:f>
        <x:v>0.0019283746556473247</x:v>
      </x:c>
      <x:c r="S1159" s="6"/>
      <x:c r="T1159" s="6"/>
      <x:c r="U1159" s="6"/>
    </x:row>
    <x:row r="1160" ht="21" customHeight="1">
      <x:c r="A1160" s="14" t="n">
        <x:f>英雄升级调参!$B$25</x:f>
        <x:v>310008</x:v>
      </x:c>
      <x:c r="B1160" s="14" t="str">
        <x:f>英雄升级调参!$C$25</x:f>
        <x:v>魔魔龙</x:v>
      </x:c>
      <x:c r="C1160" s="6" t="str">
        <x:f>英雄升级调参!$D$25</x:f>
        <x:v>战士</x:v>
      </x:c>
      <x:c r="D1160" s="6" t="s">
        <x:v>18</x:v>
      </x:c>
      <x:c r="E1160" s="6">
        <x:v>42</x:v>
      </x:c>
      <x:c r="F1160" s="6" t="n">
        <x:f>英雄升级调参!$C$107</x:f>
        <x:v>9</x:v>
      </x:c>
      <x:c r="G1160" s="12">
        <x:f t="shared" si="107"/>
        <x:v>3750</x:v>
      </x:c>
      <x:c r="H1160" s="12">
        <x:f t="shared" si="108"/>
        <x:v>23952</x:v>
      </x:c>
      <x:c r="I1160" s="12">
        <x:f t="shared" si="109"/>
        <x:v>89820000</x:v>
      </x:c>
      <x:c r="J1160" s="12">
        <x:f>ROUND(英雄升级调参!$D$107*英雄升级调参!$J$9*英雄升级调参!$E$25,0)</x:f>
        <x:v>113</x:v>
      </x:c>
      <x:c r="K1160" s="12">
        <x:f>ROUND(英雄升级调参!$D$107*英雄升级调参!$C$11*英雄升级调参!$J$9*英雄升级调参!$G$25,0)</x:f>
        <x:v>720</x:v>
      </x:c>
      <x:c r="L1160" s="12" t="n">
        <x:f>养成消耗调参!$C$189</x:f>
        <x:v>960</x:v>
      </x:c>
      <x:c r="M1160" s="12" t="n">
        <x:f>养成消耗调参!$F$189</x:f>
        <x:v>6600</x:v>
      </x:c>
      <x:c r="N1160" s="12" t="n">
        <x:f>养成消耗调参!$I$189</x:f>
        <x:v>0</x:v>
      </x:c>
      <x:c r="O1160" s="12" t="n">
        <x:f>养成消耗调参!$J$189</x:f>
        <x:v>19368</x:v>
      </x:c>
      <x:c r="P1160" s="12" t="n">
        <x:f>养成消耗调参!$M$189</x:f>
        <x:v>117600</x:v>
      </x:c>
      <x:c r="Q1160" s="12" t="n">
        <x:f>养成消耗调参!$P$189</x:f>
        <x:v>640</x:v>
      </x:c>
      <x:c r="R1160" s="13">
        <x:f>I1160/英雄升级调参!$G$107-1</x:f>
        <x:v>0.002004008016031955</x:v>
      </x:c>
      <x:c r="S1160" s="6"/>
      <x:c r="T1160" s="6"/>
      <x:c r="U1160" s="6"/>
    </x:row>
    <x:row r="1161" ht="21" customHeight="1">
      <x:c r="A1161" s="14" t="n">
        <x:f>英雄升级调参!$B$25</x:f>
        <x:v>310008</x:v>
      </x:c>
      <x:c r="B1161" s="14" t="str">
        <x:f>英雄升级调参!$C$25</x:f>
        <x:v>魔魔龙</x:v>
      </x:c>
      <x:c r="C1161" s="6" t="str">
        <x:f>英雄升级调参!$D$25</x:f>
        <x:v>战士</x:v>
      </x:c>
      <x:c r="D1161" s="6" t="s">
        <x:v>18</x:v>
      </x:c>
      <x:c r="E1161" s="6">
        <x:v>43</x:v>
      </x:c>
      <x:c r="F1161" s="6" t="n">
        <x:f>英雄升级调参!$C$108</x:f>
        <x:v>9</x:v>
      </x:c>
      <x:c r="G1161" s="12">
        <x:f t="shared" si="107"/>
        <x:v>3863</x:v>
      </x:c>
      <x:c r="H1161" s="12">
        <x:f t="shared" si="108"/>
        <x:v>24672</x:v>
      </x:c>
      <x:c r="I1161" s="12">
        <x:f t="shared" si="109"/>
        <x:v>95307936</x:v>
      </x:c>
      <x:c r="J1161" s="12">
        <x:f>ROUND(英雄升级调参!$D$108*英雄升级调参!$J$9*英雄升级调参!$E$25,0)</x:f>
        <x:v>113</x:v>
      </x:c>
      <x:c r="K1161" s="12">
        <x:f>ROUND(英雄升级调参!$D$108*英雄升级调参!$C$11*英雄升级调参!$J$9*英雄升级调参!$G$25,0)</x:f>
        <x:v>720</x:v>
      </x:c>
      <x:c r="L1161" s="12" t="n">
        <x:f>养成消耗调参!$C$190</x:f>
        <x:v>960</x:v>
      </x:c>
      <x:c r="M1161" s="12" t="n">
        <x:f>养成消耗调参!$F$190</x:f>
        <x:v>6600</x:v>
      </x:c>
      <x:c r="N1161" s="12" t="n">
        <x:f>养成消耗调参!$I$190</x:f>
        <x:v>0</x:v>
      </x:c>
      <x:c r="O1161" s="12" t="n">
        <x:f>养成消耗调参!$J$190</x:f>
        <x:v>20328</x:v>
      </x:c>
      <x:c r="P1161" s="12" t="n">
        <x:f>养成消耗调参!$M$190</x:f>
        <x:v>124200</x:v>
      </x:c>
      <x:c r="Q1161" s="12" t="n">
        <x:f>养成消耗调参!$P$190</x:f>
        <x:v>640</x:v>
      </x:c>
      <x:c r="R1161" s="13">
        <x:f>I1161/英雄升级调参!$G$108-1</x:f>
        <x:v>0.002075226977950706</x:v>
      </x:c>
      <x:c r="S1161" s="6"/>
      <x:c r="T1161" s="6"/>
      <x:c r="U1161" s="6"/>
    </x:row>
    <x:row r="1162" ht="21" customHeight="1">
      <x:c r="A1162" s="14" t="n">
        <x:f>英雄升级调参!$B$25</x:f>
        <x:v>310008</x:v>
      </x:c>
      <x:c r="B1162" s="14" t="str">
        <x:f>英雄升级调参!$C$25</x:f>
        <x:v>魔魔龙</x:v>
      </x:c>
      <x:c r="C1162" s="6" t="str">
        <x:f>英雄升级调参!$D$25</x:f>
        <x:v>战士</x:v>
      </x:c>
      <x:c r="D1162" s="6" t="s">
        <x:v>18</x:v>
      </x:c>
      <x:c r="E1162" s="6">
        <x:v>44</x:v>
      </x:c>
      <x:c r="F1162" s="6" t="n">
        <x:f>英雄升级调参!$C$109</x:f>
        <x:v>9</x:v>
      </x:c>
      <x:c r="G1162" s="12">
        <x:f t="shared" si="107"/>
        <x:v>3976</x:v>
      </x:c>
      <x:c r="H1162" s="12">
        <x:f t="shared" si="108"/>
        <x:v>25392</x:v>
      </x:c>
      <x:c r="I1162" s="12">
        <x:f t="shared" si="109"/>
        <x:v>100958592</x:v>
      </x:c>
      <x:c r="J1162" s="12">
        <x:f>ROUND(英雄升级调参!$D$109*英雄升级调参!$J$9*英雄升级调参!$E$25,0)</x:f>
        <x:v>113</x:v>
      </x:c>
      <x:c r="K1162" s="12">
        <x:f>ROUND(英雄升级调参!$D$109*英雄升级调参!$C$11*英雄升级调参!$J$9*英雄升级调参!$G$25,0)</x:f>
        <x:v>720</x:v>
      </x:c>
      <x:c r="L1162" s="12" t="n">
        <x:f>养成消耗调参!$C$191</x:f>
        <x:v>1008</x:v>
      </x:c>
      <x:c r="M1162" s="12" t="n">
        <x:f>养成消耗调参!$F$191</x:f>
        <x:v>6600</x:v>
      </x:c>
      <x:c r="N1162" s="12" t="n">
        <x:f>养成消耗调参!$I$191</x:f>
        <x:v>0</x:v>
      </x:c>
      <x:c r="O1162" s="12" t="n">
        <x:f>养成消耗调参!$J$191</x:f>
        <x:v>21336</x:v>
      </x:c>
      <x:c r="P1162" s="12" t="n">
        <x:f>养成消耗调参!$M$191</x:f>
        <x:v>130800</x:v>
      </x:c>
      <x:c r="Q1162" s="12" t="n">
        <x:f>养成消耗调参!$P$191</x:f>
        <x:v>640</x:v>
      </x:c>
      <x:c r="R1162" s="13">
        <x:f>I1162/英雄升级调参!$G$109-1</x:f>
        <x:v>0.0021424070573408116</x:v>
      </x:c>
      <x:c r="S1162" s="6"/>
      <x:c r="T1162" s="6"/>
      <x:c r="U1162" s="6"/>
    </x:row>
    <x:row r="1163" ht="21" customHeight="1">
      <x:c r="A1163" s="14" t="n">
        <x:f>英雄升级调参!$B$25</x:f>
        <x:v>310008</x:v>
      </x:c>
      <x:c r="B1163" s="14" t="str">
        <x:f>英雄升级调参!$C$25</x:f>
        <x:v>魔魔龙</x:v>
      </x:c>
      <x:c r="C1163" s="6" t="str">
        <x:f>英雄升级调参!$D$25</x:f>
        <x:v>战士</x:v>
      </x:c>
      <x:c r="D1163" s="6" t="s">
        <x:v>18</x:v>
      </x:c>
      <x:c r="E1163" s="6">
        <x:v>45</x:v>
      </x:c>
      <x:c r="F1163" s="6" t="n">
        <x:f>英雄升级调参!$C$110</x:f>
        <x:v>9</x:v>
      </x:c>
      <x:c r="G1163" s="12">
        <x:f t="shared" si="107"/>
        <x:v>4315</x:v>
      </x:c>
      <x:c r="H1163" s="12">
        <x:f t="shared" si="108"/>
        <x:v>27552</x:v>
      </x:c>
      <x:c r="I1163" s="12">
        <x:f t="shared" si="109"/>
        <x:v>118886880</x:v>
      </x:c>
      <x:c r="J1163" s="12">
        <x:f>ROUND(英雄升级调参!$D$110*英雄升级调参!$J$9*英雄升级调参!$E$25,0)*3</x:f>
        <x:v>339</x:v>
      </x:c>
      <x:c r="K1163" s="12">
        <x:f>ROUND(英雄升级调参!$D$110*英雄升级调参!$C$11*英雄升级调参!$J$9*英雄升级调参!$G$25,0)*3</x:f>
        <x:v>2160</x:v>
      </x:c>
      <x:c r="L1163" s="12" t="n">
        <x:f>养成消耗调参!$C$192</x:f>
        <x:v>1008</x:v>
      </x:c>
      <x:c r="M1163" s="12" t="n">
        <x:f>养成消耗调参!$F$192</x:f>
        <x:v>6600</x:v>
      </x:c>
      <x:c r="N1163" s="12" t="n">
        <x:f>养成消耗调参!$I$192</x:f>
        <x:v>170</x:v>
      </x:c>
      <x:c r="O1163" s="12" t="n">
        <x:f>养成消耗调参!$J$192</x:f>
        <x:v>22344</x:v>
      </x:c>
      <x:c r="P1163" s="12" t="n">
        <x:f>养成消耗调参!$M$192</x:f>
        <x:v>137400</x:v>
      </x:c>
      <x:c r="Q1163" s="12" t="n">
        <x:f>养成消耗调参!$P$192</x:f>
        <x:v>810</x:v>
      </x:c>
      <x:c r="R1163" s="13">
        <x:f>I1163/英雄升级调参!$G$110-1</x:f>
        <x:v>0.0023228803716608404</x:v>
      </x:c>
      <x:c r="S1163" s="6"/>
      <x:c r="T1163" s="6"/>
      <x:c r="U1163" s="6"/>
    </x:row>
    <x:row r="1164" ht="21" customHeight="1">
      <x:c r="A1164" s="14" t="n">
        <x:f>英雄升级调参!$B$25</x:f>
        <x:v>310008</x:v>
      </x:c>
      <x:c r="B1164" s="14" t="str">
        <x:f>英雄升级调参!$C$25</x:f>
        <x:v>魔魔龙</x:v>
      </x:c>
      <x:c r="C1164" s="6" t="str">
        <x:f>英雄升级调参!$D$25</x:f>
        <x:v>战士</x:v>
      </x:c>
      <x:c r="D1164" s="6" t="s">
        <x:v>18</x:v>
      </x:c>
      <x:c r="E1164" s="6">
        <x:v>46</x:v>
      </x:c>
      <x:c r="F1164" s="6" t="n">
        <x:f>英雄升级调参!$C$111</x:f>
        <x:v>10</x:v>
      </x:c>
      <x:c r="G1164" s="12">
        <x:f t="shared" si="107"/>
        <x:v>4439</x:v>
      </x:c>
      <x:c r="H1164" s="12">
        <x:f t="shared" si="108"/>
        <x:v>28344</x:v>
      </x:c>
      <x:c r="I1164" s="12">
        <x:f t="shared" si="109"/>
        <x:v>125819016</x:v>
      </x:c>
      <x:c r="J1164" s="12">
        <x:f>ROUND(英雄升级调参!$D$111*英雄升级调参!$J$9*英雄升级调参!$E$25,0)</x:f>
        <x:v>124</x:v>
      </x:c>
      <x:c r="K1164" s="12">
        <x:f>ROUND(英雄升级调参!$D$111*英雄升级调参!$C$11*英雄升级调参!$J$9*英雄升级调参!$G$25,0)</x:f>
        <x:v>792</x:v>
      </x:c>
      <x:c r="L1164" s="12" t="n">
        <x:f>养成消耗调参!$C$193</x:f>
        <x:v>1056</x:v>
      </x:c>
      <x:c r="M1164" s="12" t="n">
        <x:f>养成消耗调参!$F$193</x:f>
        <x:v>6600</x:v>
      </x:c>
      <x:c r="N1164" s="12" t="n">
        <x:f>养成消耗调参!$I$193</x:f>
        <x:v>0</x:v>
      </x:c>
      <x:c r="O1164" s="12" t="n">
        <x:f>养成消耗调参!$J$193</x:f>
        <x:v>23400</x:v>
      </x:c>
      <x:c r="P1164" s="12" t="n">
        <x:f>养成消耗调参!$M$193</x:f>
        <x:v>144000</x:v>
      </x:c>
      <x:c r="Q1164" s="12" t="n">
        <x:f>养成消耗调参!$P$193</x:f>
        <x:v>810</x:v>
      </x:c>
      <x:c r="R1164" s="13">
        <x:f>I1164/英雄升级调参!$G$111-1</x:f>
        <x:v>0.002314422805532068</x:v>
      </x:c>
      <x:c r="S1164" s="6"/>
      <x:c r="T1164" s="6"/>
      <x:c r="U1164" s="6"/>
    </x:row>
    <x:row r="1165" ht="21" customHeight="1">
      <x:c r="A1165" s="14" t="n">
        <x:f>英雄升级调参!$B$25</x:f>
        <x:v>310008</x:v>
      </x:c>
      <x:c r="B1165" s="14" t="str">
        <x:f>英雄升级调参!$C$25</x:f>
        <x:v>魔魔龙</x:v>
      </x:c>
      <x:c r="C1165" s="6" t="str">
        <x:f>英雄升级调参!$D$25</x:f>
        <x:v>战士</x:v>
      </x:c>
      <x:c r="D1165" s="6" t="s">
        <x:v>18</x:v>
      </x:c>
      <x:c r="E1165" s="6">
        <x:v>47</x:v>
      </x:c>
      <x:c r="F1165" s="6" t="n">
        <x:f>英雄升级调参!$C$112</x:f>
        <x:v>10</x:v>
      </x:c>
      <x:c r="G1165" s="12">
        <x:f t="shared" si="107"/>
        <x:v>4563</x:v>
      </x:c>
      <x:c r="H1165" s="12">
        <x:f t="shared" si="108"/>
        <x:v>29136</x:v>
      </x:c>
      <x:c r="I1165" s="12">
        <x:f t="shared" si="109"/>
        <x:v>132947568</x:v>
      </x:c>
      <x:c r="J1165" s="12">
        <x:f>ROUND(英雄升级调参!$D$112*英雄升级调参!$J$9*英雄升级调参!$E$25,0)</x:f>
        <x:v>124</x:v>
      </x:c>
      <x:c r="K1165" s="12">
        <x:f>ROUND(英雄升级调参!$D$112*英雄升级调参!$C$11*英雄升级调参!$J$9*英雄升级调参!$G$25,0)</x:f>
        <x:v>792</x:v>
      </x:c>
      <x:c r="L1165" s="12" t="n">
        <x:f>养成消耗调参!$C$194</x:f>
        <x:v>1056</x:v>
      </x:c>
      <x:c r="M1165" s="12" t="n">
        <x:f>养成消耗调参!$F$194</x:f>
        <x:v>7500</x:v>
      </x:c>
      <x:c r="N1165" s="12" t="n">
        <x:f>养成消耗调参!$I$194</x:f>
        <x:v>0</x:v>
      </x:c>
      <x:c r="O1165" s="12" t="n">
        <x:f>养成消耗调参!$J$194</x:f>
        <x:v>24456</x:v>
      </x:c>
      <x:c r="P1165" s="12" t="n">
        <x:f>养成消耗调参!$M$194</x:f>
        <x:v>151500</x:v>
      </x:c>
      <x:c r="Q1165" s="12" t="n">
        <x:f>养成消耗调参!$P$194</x:f>
        <x:v>810</x:v>
      </x:c>
      <x:c r="R1165" s="13">
        <x:f>I1165/英雄升级调参!$G$112-1</x:f>
        <x:v>0.0023064250411861664</x:v>
      </x:c>
      <x:c r="S1165" s="6"/>
      <x:c r="T1165" s="6"/>
      <x:c r="U1165" s="6"/>
    </x:row>
    <x:row r="1166" ht="21" customHeight="1">
      <x:c r="A1166" s="14" t="n">
        <x:f>英雄升级调参!$B$25</x:f>
        <x:v>310008</x:v>
      </x:c>
      <x:c r="B1166" s="14" t="str">
        <x:f>英雄升级调参!$C$25</x:f>
        <x:v>魔魔龙</x:v>
      </x:c>
      <x:c r="C1166" s="6" t="str">
        <x:f>英雄升级调参!$D$25</x:f>
        <x:v>战士</x:v>
      </x:c>
      <x:c r="D1166" s="6" t="s">
        <x:v>18</x:v>
      </x:c>
      <x:c r="E1166" s="6">
        <x:v>48</x:v>
      </x:c>
      <x:c r="F1166" s="6" t="n">
        <x:f>英雄升级调参!$C$113</x:f>
        <x:v>10</x:v>
      </x:c>
      <x:c r="G1166" s="12">
        <x:f t="shared" si="107"/>
        <x:v>4687</x:v>
      </x:c>
      <x:c r="H1166" s="12">
        <x:f t="shared" si="108"/>
        <x:v>29928</x:v>
      </x:c>
      <x:c r="I1166" s="12">
        <x:f t="shared" si="109"/>
        <x:v>140272536</x:v>
      </x:c>
      <x:c r="J1166" s="12">
        <x:f>ROUND(英雄升级调参!$D$113*英雄升级调参!$J$9*英雄升级调参!$E$25,0)</x:f>
        <x:v>124</x:v>
      </x:c>
      <x:c r="K1166" s="12">
        <x:f>ROUND(英雄升级调参!$D$113*英雄升级调参!$C$11*英雄升级调参!$J$9*英雄升级调参!$G$25,0)</x:f>
        <x:v>792</x:v>
      </x:c>
      <x:c r="L1166" s="12" t="n">
        <x:f>养成消耗调参!$C$195</x:f>
        <x:v>1104</x:v>
      </x:c>
      <x:c r="M1166" s="12" t="n">
        <x:f>养成消耗调参!$F$195</x:f>
        <x:v>7500</x:v>
      </x:c>
      <x:c r="N1166" s="12" t="n">
        <x:f>养成消耗调参!$I$195</x:f>
        <x:v>0</x:v>
      </x:c>
      <x:c r="O1166" s="12" t="n">
        <x:f>养成消耗调参!$J$195</x:f>
        <x:v>25560</x:v>
      </x:c>
      <x:c r="P1166" s="12" t="n">
        <x:f>养成消耗调参!$M$195</x:f>
        <x:v>159000</x:v>
      </x:c>
      <x:c r="Q1166" s="12" t="n">
        <x:f>养成消耗调参!$P$195</x:f>
        <x:v>810</x:v>
      </x:c>
      <x:c r="R1166" s="13">
        <x:f>I1166/英雄升级调参!$G$113-1</x:f>
        <x:v>0.0022988505747125743</x:v>
      </x:c>
      <x:c r="S1166" s="6"/>
      <x:c r="T1166" s="6"/>
      <x:c r="U1166" s="6"/>
    </x:row>
    <x:row r="1167" ht="21" customHeight="1">
      <x:c r="A1167" s="14" t="n">
        <x:f>英雄升级调参!$B$25</x:f>
        <x:v>310008</x:v>
      </x:c>
      <x:c r="B1167" s="14" t="str">
        <x:f>英雄升级调参!$C$25</x:f>
        <x:v>魔魔龙</x:v>
      </x:c>
      <x:c r="C1167" s="6" t="str">
        <x:f>英雄升级调参!$D$25</x:f>
        <x:v>战士</x:v>
      </x:c>
      <x:c r="D1167" s="6" t="s">
        <x:v>18</x:v>
      </x:c>
      <x:c r="E1167" s="6">
        <x:v>49</x:v>
      </x:c>
      <x:c r="F1167" s="6" t="n">
        <x:f>英雄升级调参!$C$114</x:f>
        <x:v>10</x:v>
      </x:c>
      <x:c r="G1167" s="12">
        <x:f t="shared" si="107"/>
        <x:v>4811</x:v>
      </x:c>
      <x:c r="H1167" s="12">
        <x:f t="shared" si="108"/>
        <x:v>30720</x:v>
      </x:c>
      <x:c r="I1167" s="12">
        <x:f t="shared" si="109"/>
        <x:v>147793920</x:v>
      </x:c>
      <x:c r="J1167" s="12">
        <x:f>ROUND(英雄升级调参!$D$114*英雄升级调参!$J$9*英雄升级调参!$E$25,0)</x:f>
        <x:v>124</x:v>
      </x:c>
      <x:c r="K1167" s="12">
        <x:f>ROUND(英雄升级调参!$D$114*英雄升级调参!$C$11*英雄升级调参!$J$9*英雄升级调参!$G$25,0)</x:f>
        <x:v>792</x:v>
      </x:c>
      <x:c r="L1167" s="12" t="n">
        <x:f>养成消耗调参!$C$196</x:f>
        <x:v>1104</x:v>
      </x:c>
      <x:c r="M1167" s="12" t="n">
        <x:f>养成消耗调参!$F$196</x:f>
        <x:v>7500</x:v>
      </x:c>
      <x:c r="N1167" s="12" t="n">
        <x:f>养成消耗调参!$I$196</x:f>
        <x:v>0</x:v>
      </x:c>
      <x:c r="O1167" s="12" t="n">
        <x:f>养成消耗调参!$J$196</x:f>
        <x:v>26664</x:v>
      </x:c>
      <x:c r="P1167" s="12" t="n">
        <x:f>养成消耗调参!$M$196</x:f>
        <x:v>166500</x:v>
      </x:c>
      <x:c r="Q1167" s="12" t="n">
        <x:f>养成消耗调参!$P$196</x:f>
        <x:v>810</x:v>
      </x:c>
      <x:c r="R1167" s="13">
        <x:f>I1167/英雄升级调参!$G$114-1</x:f>
        <x:v>0.002291666666666581</x:v>
      </x:c>
      <x:c r="S1167" s="6"/>
      <x:c r="T1167" s="6"/>
      <x:c r="U1167" s="6"/>
    </x:row>
    <x:row r="1168" ht="21" customHeight="1">
      <x:c r="A1168" s="14" t="n">
        <x:f>英雄升级调参!$B$25</x:f>
        <x:v>310008</x:v>
      </x:c>
      <x:c r="B1168" s="14" t="str">
        <x:f>英雄升级调参!$C$25</x:f>
        <x:v>魔魔龙</x:v>
      </x:c>
      <x:c r="C1168" s="6" t="str">
        <x:f>英雄升级调参!$D$25</x:f>
        <x:v>战士</x:v>
      </x:c>
      <x:c r="D1168" s="6" t="s">
        <x:v>18</x:v>
      </x:c>
      <x:c r="E1168" s="6">
        <x:v>50</x:v>
      </x:c>
      <x:c r="F1168" s="6" t="n">
        <x:f>英雄升级调参!$C$115</x:f>
        <x:v>10</x:v>
      </x:c>
      <x:c r="G1168" s="12">
        <x:f t="shared" si="107"/>
        <x:v>5183</x:v>
      </x:c>
      <x:c r="H1168" s="12">
        <x:f t="shared" si="108"/>
        <x:v>33096</x:v>
      </x:c>
      <x:c r="I1168" s="12">
        <x:f t="shared" si="109"/>
        <x:v>171536568</x:v>
      </x:c>
      <x:c r="J1168" s="12">
        <x:f>ROUND(英雄升级调参!$D$115*英雄升级调参!$J$9*英雄升级调参!$E$25,0)*3</x:f>
        <x:v>372</x:v>
      </x:c>
      <x:c r="K1168" s="12">
        <x:f>ROUND(英雄升级调参!$D$115*英雄升级调参!$C$11*英雄升级调参!$J$9*英雄升级调参!$G$25,0)*3</x:f>
        <x:v>2376</x:v>
      </x:c>
      <x:c r="L1168" s="12" t="n">
        <x:f>养成消耗调参!$C$197</x:f>
        <x:v>1152</x:v>
      </x:c>
      <x:c r="M1168" s="12" t="n">
        <x:f>养成消耗调参!$F$197</x:f>
        <x:v>7500</x:v>
      </x:c>
      <x:c r="N1168" s="12" t="n">
        <x:f>养成消耗调参!$I$197</x:f>
        <x:v>190</x:v>
      </x:c>
      <x:c r="O1168" s="12" t="n">
        <x:f>养成消耗调参!$J$197</x:f>
        <x:v>27816</x:v>
      </x:c>
      <x:c r="P1168" s="12" t="n">
        <x:f>养成消耗调参!$M$197</x:f>
        <x:v>174000</x:v>
      </x:c>
      <x:c r="Q1168" s="12" t="n">
        <x:f>养成消耗调参!$P$197</x:f>
        <x:v>1000</x:v>
      </x:c>
      <x:c r="R1168" s="13">
        <x:f>I1168/英雄升级调参!$G$115-1</x:f>
        <x:v>0.0022721779066956493</x:v>
      </x:c>
      <x:c r="S1168" s="6"/>
      <x:c r="T1168" s="6"/>
      <x:c r="U1168" s="6"/>
    </x:row>
    <x:row r="1169" ht="21" customHeight="1">
      <x:c r="A1169" s="14" t="n">
        <x:f>英雄升级调参!$B$25</x:f>
        <x:v>310008</x:v>
      </x:c>
      <x:c r="B1169" s="14" t="str">
        <x:f>英雄升级调参!$C$25</x:f>
        <x:v>魔魔龙</x:v>
      </x:c>
      <x:c r="C1169" s="6" t="str">
        <x:f>英雄升级调参!$D$25</x:f>
        <x:v>战士</x:v>
      </x:c>
      <x:c r="D1169" s="6" t="s">
        <x:v>22</x:v>
      </x:c>
      <x:c r="E1169" s="6">
        <x:v>1</x:v>
      </x:c>
      <x:c r="F1169" s="6" t="n">
        <x:f>英雄升级调参!$C$66</x:f>
        <x:v>1</x:v>
      </x:c>
      <x:c r="G1169" s="12">
        <x:f>G1128-SUM(J1170:J1173)</x:f>
        <x:v>247</x:v>
      </x:c>
      <x:c r="H1169" s="12">
        <x:f>H1128-SUM(K1170:K1173)</x:f>
        <x:v>1560</x:v>
      </x:c>
      <x:c r="I1169" s="12">
        <x:f t="shared" si="109"/>
        <x:v>385320</x:v>
      </x:c>
      <x:c r="J1169" s="12" t="n">
        <x:f>0</x:f>
        <x:v>0</x:v>
      </x:c>
      <x:c r="K1169" s="12" t="n">
        <x:f>0</x:f>
        <x:v>0</x:v>
      </x:c>
      <x:c r="L1169" s="12" t="n">
        <x:f>养成消耗调参!$D$148</x:f>
        <x:v>0</x:v>
      </x:c>
      <x:c r="M1169" s="12" t="n">
        <x:f>养成消耗调参!$G$148</x:f>
        <x:v>0</x:v>
      </x:c>
      <x:c r="N1169" s="12" t="n">
        <x:f>养成消耗调参!$I$148</x:f>
        <x:v>0</x:v>
      </x:c>
      <x:c r="O1169" s="12" t="n">
        <x:f>养成消耗调参!$K$148</x:f>
        <x:v>0</x:v>
      </x:c>
      <x:c r="P1169" s="12" t="n">
        <x:f>养成消耗调参!$N$148</x:f>
        <x:v>0</x:v>
      </x:c>
      <x:c r="Q1169" s="12" t="n">
        <x:f>养成消耗调参!$P$148</x:f>
        <x:v>0</x:v>
      </x:c>
      <x:c r="R1169" s="13">
        <x:f>I1169/英雄升级调参!$J$66-1</x:f>
        <x:v>0.01333333333333342</x:v>
      </x:c>
      <x:c r="S1169" s="6"/>
      <x:c r="T1169" s="6"/>
      <x:c r="U1169" s="6"/>
    </x:row>
    <x:row r="1170" ht="21" customHeight="1">
      <x:c r="A1170" s="14" t="n">
        <x:f>英雄升级调参!$B$25</x:f>
        <x:v>310008</x:v>
      </x:c>
      <x:c r="B1170" s="14" t="str">
        <x:f>英雄升级调参!$C$25</x:f>
        <x:v>魔魔龙</x:v>
      </x:c>
      <x:c r="C1170" s="6" t="str">
        <x:f>英雄升级调参!$D$25</x:f>
        <x:v>战士</x:v>
      </x:c>
      <x:c r="D1170" s="6" t="s">
        <x:v>22</x:v>
      </x:c>
      <x:c r="E1170" s="6">
        <x:v>2</x:v>
      </x:c>
      <x:c r="F1170" s="6" t="n">
        <x:f>英雄升级调参!$C$67</x:f>
        <x:v>1</x:v>
      </x:c>
      <x:c r="G1170" s="12">
        <x:f t="shared" ref="G1170:G1201" si="110">G1169+J1170</x:f>
        <x:v>281</x:v>
      </x:c>
      <x:c r="H1170" s="12">
        <x:f t="shared" ref="H1170:H1201" si="111">H1169+K1170</x:f>
        <x:v>1776</x:v>
      </x:c>
      <x:c r="I1170" s="12">
        <x:f t="shared" si="109"/>
        <x:v>499056</x:v>
      </x:c>
      <x:c r="J1170" s="12">
        <x:f>ROUND(英雄升级调参!$D$67*英雄升级调参!$J$10*英雄升级调参!$E$25,0)</x:f>
        <x:v>34</x:v>
      </x:c>
      <x:c r="K1170" s="12">
        <x:f>ROUND(英雄升级调参!$D$67*英雄升级调参!$C$11*英雄升级调参!$J$10*英雄升级调参!$G$25,0)</x:f>
        <x:v>216</x:v>
      </x:c>
      <x:c r="L1170" s="12" t="n">
        <x:f>养成消耗调参!$D$149</x:f>
        <x:v>36</x:v>
      </x:c>
      <x:c r="M1170" s="12" t="n">
        <x:f>养成消耗调参!$G$149</x:f>
        <x:v>450</x:v>
      </x:c>
      <x:c r="N1170" s="12" t="n">
        <x:f>养成消耗调参!$I$149</x:f>
        <x:v>0</x:v>
      </x:c>
      <x:c r="O1170" s="12" t="n">
        <x:f>养成消耗调参!$K$149</x:f>
        <x:v>36</x:v>
      </x:c>
      <x:c r="P1170" s="12" t="n">
        <x:f>养成消耗调参!$N$149</x:f>
        <x:v>450</x:v>
      </x:c>
      <x:c r="Q1170" s="12" t="n">
        <x:f>养成消耗调参!$P$149</x:f>
        <x:v>0</x:v>
      </x:c>
      <x:c r="R1170" s="13">
        <x:f>I1170/英雄升级调参!$J$67-1</x:f>
        <x:v>0.012612612612612706</x:v>
      </x:c>
      <x:c r="S1170" s="6"/>
      <x:c r="T1170" s="6"/>
      <x:c r="U1170" s="6"/>
    </x:row>
    <x:row r="1171" ht="21" customHeight="1">
      <x:c r="A1171" s="14" t="n">
        <x:f>英雄升级调参!$B$25</x:f>
        <x:v>310008</x:v>
      </x:c>
      <x:c r="B1171" s="14" t="str">
        <x:f>英雄升级调参!$C$25</x:f>
        <x:v>魔魔龙</x:v>
      </x:c>
      <x:c r="C1171" s="6" t="str">
        <x:f>英雄升级调参!$D$25</x:f>
        <x:v>战士</x:v>
      </x:c>
      <x:c r="D1171" s="6" t="s">
        <x:v>22</x:v>
      </x:c>
      <x:c r="E1171" s="6">
        <x:v>3</x:v>
      </x:c>
      <x:c r="F1171" s="6" t="n">
        <x:f>英雄升级调参!$C$68</x:f>
        <x:v>1</x:v>
      </x:c>
      <x:c r="G1171" s="12">
        <x:f t="shared" si="110"/>
        <x:v>315</x:v>
      </x:c>
      <x:c r="H1171" s="12">
        <x:f t="shared" si="111"/>
        <x:v>1992</x:v>
      </x:c>
      <x:c r="I1171" s="12">
        <x:f t="shared" si="109"/>
        <x:v>627480</x:v>
      </x:c>
      <x:c r="J1171" s="12">
        <x:f>ROUND(英雄升级调参!$D$68*英雄升级调参!$J$10*英雄升级调参!$E$25,0)</x:f>
        <x:v>34</x:v>
      </x:c>
      <x:c r="K1171" s="12">
        <x:f>ROUND(英雄升级调参!$D$68*英雄升级调参!$C$11*英雄升级调参!$J$10*英雄升级调参!$G$25,0)</x:f>
        <x:v>216</x:v>
      </x:c>
      <x:c r="L1171" s="12" t="n">
        <x:f>养成消耗调参!$D$150</x:f>
        <x:v>36</x:v>
      </x:c>
      <x:c r="M1171" s="12" t="n">
        <x:f>养成消耗调参!$G$150</x:f>
        <x:v>450</x:v>
      </x:c>
      <x:c r="N1171" s="12" t="n">
        <x:f>养成消耗调参!$I$150</x:f>
        <x:v>0</x:v>
      </x:c>
      <x:c r="O1171" s="12" t="n">
        <x:f>养成消耗调参!$K$150</x:f>
        <x:v>72</x:v>
      </x:c>
      <x:c r="P1171" s="12" t="n">
        <x:f>养成消耗调参!$N$150</x:f>
        <x:v>900</x:v>
      </x:c>
      <x:c r="Q1171" s="12" t="n">
        <x:f>养成消耗调参!$P$150</x:f>
        <x:v>0</x:v>
      </x:c>
      <x:c r="R1171" s="13">
        <x:f>I1171/英雄升级调参!$J$68-1</x:f>
        <x:v>0.012048192771084265</x:v>
      </x:c>
      <x:c r="S1171" s="6"/>
      <x:c r="T1171" s="6"/>
      <x:c r="U1171" s="6"/>
    </x:row>
    <x:row r="1172" ht="21" customHeight="1">
      <x:c r="A1172" s="14" t="n">
        <x:f>英雄升级调参!$B$25</x:f>
        <x:v>310008</x:v>
      </x:c>
      <x:c r="B1172" s="14" t="str">
        <x:f>英雄升级调参!$C$25</x:f>
        <x:v>魔魔龙</x:v>
      </x:c>
      <x:c r="C1172" s="6" t="str">
        <x:f>英雄升级调参!$D$25</x:f>
        <x:v>战士</x:v>
      </x:c>
      <x:c r="D1172" s="6" t="s">
        <x:v>22</x:v>
      </x:c>
      <x:c r="E1172" s="6">
        <x:v>4</x:v>
      </x:c>
      <x:c r="F1172" s="6" t="n">
        <x:f>英雄升级调参!$C$69</x:f>
        <x:v>1</x:v>
      </x:c>
      <x:c r="G1172" s="12">
        <x:f t="shared" si="110"/>
        <x:v>349</x:v>
      </x:c>
      <x:c r="H1172" s="12">
        <x:f t="shared" si="111"/>
        <x:v>2208</x:v>
      </x:c>
      <x:c r="I1172" s="12">
        <x:f t="shared" si="109"/>
        <x:v>770592</x:v>
      </x:c>
      <x:c r="J1172" s="12">
        <x:f>ROUND(英雄升级调参!$D$69*英雄升级调参!$J$10*英雄升级调参!$E$25,0)</x:f>
        <x:v>34</x:v>
      </x:c>
      <x:c r="K1172" s="12">
        <x:f>ROUND(英雄升级调参!$D$69*英雄升级调参!$C$11*英雄升级调参!$J$10*英雄升级调参!$G$25,0)</x:f>
        <x:v>216</x:v>
      </x:c>
      <x:c r="L1172" s="12" t="n">
        <x:f>养成消耗调参!$D$151</x:f>
        <x:v>72</x:v>
      </x:c>
      <x:c r="M1172" s="12" t="n">
        <x:f>养成消耗调参!$G$151</x:f>
        <x:v>450</x:v>
      </x:c>
      <x:c r="N1172" s="12" t="n">
        <x:f>养成消耗调参!$I$151</x:f>
        <x:v>0</x:v>
      </x:c>
      <x:c r="O1172" s="12" t="n">
        <x:f>养成消耗调参!$K$151</x:f>
        <x:v>144</x:v>
      </x:c>
      <x:c r="P1172" s="12" t="n">
        <x:f>养成消耗调参!$N$151</x:f>
        <x:v>1350</x:v>
      </x:c>
      <x:c r="Q1172" s="12" t="n">
        <x:f>养成消耗调参!$P$151</x:f>
        <x:v>0</x:v>
      </x:c>
      <x:c r="R1172" s="13">
        <x:f>I1172/英雄升级调参!$J$69-1</x:f>
        <x:v>0.011594202898550732</x:v>
      </x:c>
      <x:c r="S1172" s="6"/>
      <x:c r="T1172" s="6"/>
      <x:c r="U1172" s="6"/>
    </x:row>
    <x:row r="1173" ht="21" customHeight="1">
      <x:c r="A1173" s="14" t="n">
        <x:f>英雄升级调参!$B$25</x:f>
        <x:v>310008</x:v>
      </x:c>
      <x:c r="B1173" s="14" t="str">
        <x:f>英雄升级调参!$C$25</x:f>
        <x:v>魔魔龙</x:v>
      </x:c>
      <x:c r="C1173" s="6" t="str">
        <x:f>英雄升级调参!$D$25</x:f>
        <x:v>战士</x:v>
      </x:c>
      <x:c r="D1173" s="6" t="s">
        <x:v>22</x:v>
      </x:c>
      <x:c r="E1173" s="6">
        <x:v>5</x:v>
      </x:c>
      <x:c r="F1173" s="6" t="n">
        <x:f>英雄升级调参!$C$70</x:f>
        <x:v>1</x:v>
      </x:c>
      <x:c r="G1173" s="12">
        <x:f t="shared" si="110"/>
        <x:v>451</x:v>
      </x:c>
      <x:c r="H1173" s="12">
        <x:f t="shared" si="111"/>
        <x:v>2856</x:v>
      </x:c>
      <x:c r="I1173" s="12">
        <x:f t="shared" si="109"/>
        <x:v>1288056</x:v>
      </x:c>
      <x:c r="J1173" s="12">
        <x:f>ROUND(英雄升级调参!$D$70*英雄升级调参!$J$10*英雄升级调参!$E$25,0)*3</x:f>
        <x:v>102</x:v>
      </x:c>
      <x:c r="K1173" s="12">
        <x:f>ROUND(英雄升级调参!$D$70*英雄升级调参!$C$11*英雄升级调参!$J$10*英雄升级调参!$G$25,0)*3</x:f>
        <x:v>648</x:v>
      </x:c>
      <x:c r="L1173" s="12" t="n">
        <x:f>养成消耗调参!$D$152</x:f>
        <x:v>72</x:v>
      </x:c>
      <x:c r="M1173" s="12" t="n">
        <x:f>养成消耗调参!$G$152</x:f>
        <x:v>450</x:v>
      </x:c>
      <x:c r="N1173" s="12" t="n">
        <x:f>养成消耗调参!$I$152</x:f>
        <x:v>10</x:v>
      </x:c>
      <x:c r="O1173" s="12" t="n">
        <x:f>养成消耗调参!$K$152</x:f>
        <x:v>216</x:v>
      </x:c>
      <x:c r="P1173" s="12" t="n">
        <x:f>养成消耗调参!$N$152</x:f>
        <x:v>1800</x:v>
      </x:c>
      <x:c r="Q1173" s="12" t="n">
        <x:f>养成消耗调参!$P$152</x:f>
        <x:v>10</x:v>
      </x:c>
      <x:c r="R1173" s="13">
        <x:f>I1173/英雄升级调参!$J$70-1</x:f>
        <x:v>0.010644257703081195</x:v>
      </x:c>
      <x:c r="S1173" s="6"/>
      <x:c r="T1173" s="6"/>
      <x:c r="U1173" s="6"/>
    </x:row>
    <x:row r="1174" ht="21" customHeight="1">
      <x:c r="A1174" s="14" t="n">
        <x:f>英雄升级调参!$B$25</x:f>
        <x:v>310008</x:v>
      </x:c>
      <x:c r="B1174" s="14" t="str">
        <x:f>英雄升级调参!$C$25</x:f>
        <x:v>魔魔龙</x:v>
      </x:c>
      <x:c r="C1174" s="6" t="str">
        <x:f>英雄升级调参!$D$25</x:f>
        <x:v>战士</x:v>
      </x:c>
      <x:c r="D1174" s="6" t="s">
        <x:v>22</x:v>
      </x:c>
      <x:c r="E1174" s="6">
        <x:v>6</x:v>
      </x:c>
      <x:c r="F1174" s="6" t="n">
        <x:f>英雄升级调参!$C$71</x:f>
        <x:v>2</x:v>
      </x:c>
      <x:c r="G1174" s="12">
        <x:f t="shared" si="110"/>
        <x:v>502</x:v>
      </x:c>
      <x:c r="H1174" s="12">
        <x:f t="shared" si="111"/>
        <x:v>3180</x:v>
      </x:c>
      <x:c r="I1174" s="12">
        <x:f t="shared" si="109"/>
        <x:v>1596360</x:v>
      </x:c>
      <x:c r="J1174" s="12">
        <x:f>ROUND(英雄升级调参!$D$71*英雄升级调参!$J$10*英雄升级调参!$E$25,0)</x:f>
        <x:v>51</x:v>
      </x:c>
      <x:c r="K1174" s="12">
        <x:f>ROUND(英雄升级调参!$D$71*英雄升级调参!$C$11*英雄升级调参!$J$10*英雄升级调参!$G$25,0)</x:f>
        <x:v>324</x:v>
      </x:c>
      <x:c r="L1174" s="12" t="n">
        <x:f>养成消耗调参!$D$153</x:f>
        <x:v>144</x:v>
      </x:c>
      <x:c r="M1174" s="12" t="n">
        <x:f>养成消耗调参!$G$153</x:f>
        <x:v>450</x:v>
      </x:c>
      <x:c r="N1174" s="12" t="n">
        <x:f>养成消耗调参!$I$153</x:f>
        <x:v>0</x:v>
      </x:c>
      <x:c r="O1174" s="12" t="n">
        <x:f>养成消耗调参!$K$153</x:f>
        <x:v>360</x:v>
      </x:c>
      <x:c r="P1174" s="12" t="n">
        <x:f>养成消耗调参!$N$153</x:f>
        <x:v>2250</x:v>
      </x:c>
      <x:c r="Q1174" s="12" t="n">
        <x:f>养成消耗调参!$P$153</x:f>
        <x:v>10</x:v>
      </x:c>
      <x:c r="R1174" s="13">
        <x:f>I1174/英雄升级调参!$J$71-1</x:f>
        <x:v>0.009045226130653283</x:v>
      </x:c>
      <x:c r="S1174" s="6"/>
      <x:c r="T1174" s="6"/>
      <x:c r="U1174" s="6"/>
    </x:row>
    <x:row r="1175" ht="21" customHeight="1">
      <x:c r="A1175" s="14" t="n">
        <x:f>英雄升级调参!$B$25</x:f>
        <x:v>310008</x:v>
      </x:c>
      <x:c r="B1175" s="14" t="str">
        <x:f>英雄升级调参!$C$25</x:f>
        <x:v>魔魔龙</x:v>
      </x:c>
      <x:c r="C1175" s="6" t="str">
        <x:f>英雄升级调参!$D$25</x:f>
        <x:v>战士</x:v>
      </x:c>
      <x:c r="D1175" s="6" t="s">
        <x:v>22</x:v>
      </x:c>
      <x:c r="E1175" s="6">
        <x:v>7</x:v>
      </x:c>
      <x:c r="F1175" s="6" t="n">
        <x:f>英雄升级调参!$C$72</x:f>
        <x:v>2</x:v>
      </x:c>
      <x:c r="G1175" s="12">
        <x:f t="shared" si="110"/>
        <x:v>553</x:v>
      </x:c>
      <x:c r="H1175" s="12">
        <x:f t="shared" si="111"/>
        <x:v>3504</x:v>
      </x:c>
      <x:c r="I1175" s="12">
        <x:f t="shared" si="109"/>
        <x:v>1937712</x:v>
      </x:c>
      <x:c r="J1175" s="12">
        <x:f>ROUND(英雄升级调参!$D$72*英雄升级调参!$J$10*英雄升级调参!$E$25,0)</x:f>
        <x:v>51</x:v>
      </x:c>
      <x:c r="K1175" s="12">
        <x:f>ROUND(英雄升级调参!$D$72*英雄升级调参!$C$11*英雄升级调参!$J$10*英雄升级调参!$G$25,0)</x:f>
        <x:v>324</x:v>
      </x:c>
      <x:c r="L1175" s="12" t="n">
        <x:f>养成消耗调参!$D$154</x:f>
        <x:v>144</x:v>
      </x:c>
      <x:c r="M1175" s="12" t="n">
        <x:f>养成消耗调参!$G$154</x:f>
        <x:v>1350</x:v>
      </x:c>
      <x:c r="N1175" s="12" t="n">
        <x:f>养成消耗调参!$I$154</x:f>
        <x:v>0</x:v>
      </x:c>
      <x:c r="O1175" s="12" t="n">
        <x:f>养成消耗调参!$K$154</x:f>
        <x:v>504</x:v>
      </x:c>
      <x:c r="P1175" s="12" t="n">
        <x:f>养成消耗调参!$N$154</x:f>
        <x:v>3600</x:v>
      </x:c>
      <x:c r="Q1175" s="12" t="n">
        <x:f>养成消耗调参!$P$154</x:f>
        <x:v>10</x:v>
      </x:c>
      <x:c r="R1175" s="13">
        <x:f>I1175/英雄升级调参!$J$72-1</x:f>
        <x:v>0.0077448747152619735</x:v>
      </x:c>
      <x:c r="S1175" s="6"/>
      <x:c r="T1175" s="6"/>
      <x:c r="U1175" s="6"/>
    </x:row>
    <x:row r="1176" ht="21" customHeight="1">
      <x:c r="A1176" s="14" t="n">
        <x:f>英雄升级调参!$B$25</x:f>
        <x:v>310008</x:v>
      </x:c>
      <x:c r="B1176" s="14" t="str">
        <x:f>英雄升级调参!$C$25</x:f>
        <x:v>魔魔龙</x:v>
      </x:c>
      <x:c r="C1176" s="6" t="str">
        <x:f>英雄升级调参!$D$25</x:f>
        <x:v>战士</x:v>
      </x:c>
      <x:c r="D1176" s="6" t="s">
        <x:v>22</x:v>
      </x:c>
      <x:c r="E1176" s="6">
        <x:v>8</x:v>
      </x:c>
      <x:c r="F1176" s="6" t="n">
        <x:f>英雄升级调参!$C$73</x:f>
        <x:v>2</x:v>
      </x:c>
      <x:c r="G1176" s="12">
        <x:f t="shared" si="110"/>
        <x:v>604</x:v>
      </x:c>
      <x:c r="H1176" s="12">
        <x:f t="shared" si="111"/>
        <x:v>3828</x:v>
      </x:c>
      <x:c r="I1176" s="12">
        <x:f t="shared" si="109"/>
        <x:v>2312112</x:v>
      </x:c>
      <x:c r="J1176" s="12">
        <x:f>ROUND(英雄升级调参!$D$73*英雄升级调参!$J$10*英雄升级调参!$E$25,0)</x:f>
        <x:v>51</x:v>
      </x:c>
      <x:c r="K1176" s="12">
        <x:f>ROUND(英雄升级调参!$D$73*英雄升级调参!$C$11*英雄升级调参!$J$10*英雄升级调参!$G$25,0)</x:f>
        <x:v>324</x:v>
      </x:c>
      <x:c r="L1176" s="12" t="n">
        <x:f>养成消耗调参!$D$155</x:f>
        <x:v>216</x:v>
      </x:c>
      <x:c r="M1176" s="12" t="n">
        <x:f>养成消耗调参!$G$155</x:f>
        <x:v>1350</x:v>
      </x:c>
      <x:c r="N1176" s="12" t="n">
        <x:f>养成消耗调参!$I$155</x:f>
        <x:v>0</x:v>
      </x:c>
      <x:c r="O1176" s="12" t="n">
        <x:f>养成消耗调参!$K$155</x:f>
        <x:v>720</x:v>
      </x:c>
      <x:c r="P1176" s="12" t="n">
        <x:f>养成消耗调参!$N$155</x:f>
        <x:v>4950</x:v>
      </x:c>
      <x:c r="Q1176" s="12" t="n">
        <x:f>养成消耗调参!$P$155</x:f>
        <x:v>10</x:v>
      </x:c>
      <x:c r="R1176" s="13">
        <x:f>I1176/英雄升级调参!$J$73-1</x:f>
        <x:v>0.006666666666666599</x:v>
      </x:c>
      <x:c r="S1176" s="6"/>
      <x:c r="T1176" s="6"/>
      <x:c r="U1176" s="6"/>
    </x:row>
    <x:row r="1177" ht="21" customHeight="1">
      <x:c r="A1177" s="14" t="n">
        <x:f>英雄升级调参!$B$25</x:f>
        <x:v>310008</x:v>
      </x:c>
      <x:c r="B1177" s="14" t="str">
        <x:f>英雄升级调参!$C$25</x:f>
        <x:v>魔魔龙</x:v>
      </x:c>
      <x:c r="C1177" s="6" t="str">
        <x:f>英雄升级调参!$D$25</x:f>
        <x:v>战士</x:v>
      </x:c>
      <x:c r="D1177" s="6" t="s">
        <x:v>22</x:v>
      </x:c>
      <x:c r="E1177" s="6">
        <x:v>9</x:v>
      </x:c>
      <x:c r="F1177" s="6" t="n">
        <x:f>英雄升级调参!$C$74</x:f>
        <x:v>2</x:v>
      </x:c>
      <x:c r="G1177" s="12">
        <x:f t="shared" si="110"/>
        <x:v>655</x:v>
      </x:c>
      <x:c r="H1177" s="12">
        <x:f t="shared" si="111"/>
        <x:v>4152</x:v>
      </x:c>
      <x:c r="I1177" s="12">
        <x:f t="shared" si="109"/>
        <x:v>2719560</x:v>
      </x:c>
      <x:c r="J1177" s="12">
        <x:f>ROUND(英雄升级调参!$D$74*英雄升级调参!$J$10*英雄升级调参!$E$25,0)</x:f>
        <x:v>51</x:v>
      </x:c>
      <x:c r="K1177" s="12">
        <x:f>ROUND(英雄升级调参!$D$74*英雄升级调参!$C$11*英雄升级调参!$J$10*英雄升级调参!$G$25,0)</x:f>
        <x:v>324</x:v>
      </x:c>
      <x:c r="L1177" s="12" t="n">
        <x:f>养成消耗调参!$D$156</x:f>
        <x:v>216</x:v>
      </x:c>
      <x:c r="M1177" s="12" t="n">
        <x:f>养成消耗调参!$G$156</x:f>
        <x:v>1350</x:v>
      </x:c>
      <x:c r="N1177" s="12" t="n">
        <x:f>养成消耗调参!$I$156</x:f>
        <x:v>0</x:v>
      </x:c>
      <x:c r="O1177" s="12" t="n">
        <x:f>养成消耗调参!$K$156</x:f>
        <x:v>936</x:v>
      </x:c>
      <x:c r="P1177" s="12" t="n">
        <x:f>养成消耗调参!$N$156</x:f>
        <x:v>6300</x:v>
      </x:c>
      <x:c r="Q1177" s="12" t="n">
        <x:f>养成消耗调参!$P$156</x:f>
        <x:v>10</x:v>
      </x:c>
      <x:c r="R1177" s="13">
        <x:f>I1177/英雄升级调参!$J$74-1</x:f>
        <x:v>0.0057581573896352545</x:v>
      </x:c>
      <x:c r="S1177" s="6"/>
      <x:c r="T1177" s="6"/>
      <x:c r="U1177" s="6"/>
    </x:row>
    <x:row r="1178" ht="21" customHeight="1">
      <x:c r="A1178" s="14" t="n">
        <x:f>英雄升级调参!$B$25</x:f>
        <x:v>310008</x:v>
      </x:c>
      <x:c r="B1178" s="14" t="str">
        <x:f>英雄升级调参!$C$25</x:f>
        <x:v>魔魔龙</x:v>
      </x:c>
      <x:c r="C1178" s="6" t="str">
        <x:f>英雄升级调参!$D$25</x:f>
        <x:v>战士</x:v>
      </x:c>
      <x:c r="D1178" s="6" t="s">
        <x:v>22</x:v>
      </x:c>
      <x:c r="E1178" s="6">
        <x:v>10</x:v>
      </x:c>
      <x:c r="F1178" s="6" t="n">
        <x:f>英雄升级调参!$C$75</x:f>
        <x:v>2</x:v>
      </x:c>
      <x:c r="G1178" s="12">
        <x:f t="shared" si="110"/>
        <x:v>808</x:v>
      </x:c>
      <x:c r="H1178" s="12">
        <x:f t="shared" si="111"/>
        <x:v>5124</x:v>
      </x:c>
      <x:c r="I1178" s="12">
        <x:f t="shared" si="109"/>
        <x:v>4140192</x:v>
      </x:c>
      <x:c r="J1178" s="12">
        <x:f>ROUND(英雄升级调参!$D$75*英雄升级调参!$J$10*英雄升级调参!$E$25,0)*3</x:f>
        <x:v>153</x:v>
      </x:c>
      <x:c r="K1178" s="12">
        <x:f>ROUND(英雄升级调参!$D$75*英雄升级调参!$C$11*英雄升级调参!$J$10*英雄升级调参!$G$25,0)*3</x:f>
        <x:v>972</x:v>
      </x:c>
      <x:c r="L1178" s="12" t="n">
        <x:f>养成消耗调参!$D$157</x:f>
        <x:v>288</x:v>
      </x:c>
      <x:c r="M1178" s="12" t="n">
        <x:f>养成消耗调参!$G$157</x:f>
        <x:v>1350</x:v>
      </x:c>
      <x:c r="N1178" s="12" t="n">
        <x:f>养成消耗调参!$I$157</x:f>
        <x:v>30</x:v>
      </x:c>
      <x:c r="O1178" s="12" t="n">
        <x:f>养成消耗调参!$K$157</x:f>
        <x:v>1224</x:v>
      </x:c>
      <x:c r="P1178" s="12" t="n">
        <x:f>养成消耗调参!$N$157</x:f>
        <x:v>7650</x:v>
      </x:c>
      <x:c r="Q1178" s="12" t="n">
        <x:f>养成消耗调参!$P$157</x:f>
        <x:v>40</x:v>
      </x:c>
      <x:c r="R1178" s="13">
        <x:f>I1178/英雄升级调参!$J$75-1</x:f>
        <x:v>0.003726708074534235</x:v>
      </x:c>
      <x:c r="S1178" s="6"/>
      <x:c r="T1178" s="6"/>
      <x:c r="U1178" s="6"/>
    </x:row>
    <x:row r="1179" ht="21" customHeight="1">
      <x:c r="A1179" s="14" t="n">
        <x:f>英雄升级调参!$B$25</x:f>
        <x:v>310008</x:v>
      </x:c>
      <x:c r="B1179" s="14" t="str">
        <x:f>英雄升级调参!$C$25</x:f>
        <x:v>魔魔龙</x:v>
      </x:c>
      <x:c r="C1179" s="6" t="str">
        <x:f>英雄升级调参!$D$25</x:f>
        <x:v>战士</x:v>
      </x:c>
      <x:c r="D1179" s="6" t="s">
        <x:v>22</x:v>
      </x:c>
      <x:c r="E1179" s="6">
        <x:v>11</x:v>
      </x:c>
      <x:c r="F1179" s="6" t="n">
        <x:f>英雄升级调参!$C$76</x:f>
        <x:v>3</x:v>
      </x:c>
      <x:c r="G1179" s="12">
        <x:f t="shared" si="110"/>
        <x:v>876</x:v>
      </x:c>
      <x:c r="H1179" s="12">
        <x:f t="shared" si="111"/>
        <x:v>5556</x:v>
      </x:c>
      <x:c r="I1179" s="12">
        <x:f t="shared" si="109"/>
        <x:v>4867056</x:v>
      </x:c>
      <x:c r="J1179" s="12">
        <x:f>ROUND(英雄升级调参!$D$76*英雄升级调参!$J$10*英雄升级调参!$E$25,0)</x:f>
        <x:v>68</x:v>
      </x:c>
      <x:c r="K1179" s="12">
        <x:f>ROUND(英雄升级调参!$D$76*英雄升级调参!$C$11*英雄升级调参!$J$10*英雄升级调参!$G$25,0)</x:f>
        <x:v>432</x:v>
      </x:c>
      <x:c r="L1179" s="12" t="n">
        <x:f>养成消耗调参!$D$158</x:f>
        <x:v>288</x:v>
      </x:c>
      <x:c r="M1179" s="12" t="n">
        <x:f>养成消耗调参!$G$158</x:f>
        <x:v>1350</x:v>
      </x:c>
      <x:c r="N1179" s="12" t="n">
        <x:f>养成消耗调参!$I$158</x:f>
        <x:v>0</x:v>
      </x:c>
      <x:c r="O1179" s="12" t="n">
        <x:f>养成消耗调参!$K$158</x:f>
        <x:v>1512</x:v>
      </x:c>
      <x:c r="P1179" s="12" t="n">
        <x:f>养成消耗调参!$N$158</x:f>
        <x:v>9000</x:v>
      </x:c>
      <x:c r="Q1179" s="12" t="n">
        <x:f>养成消耗调参!$P$158</x:f>
        <x:v>40</x:v>
      </x:c>
      <x:c r="R1179" s="13">
        <x:f>I1179/英雄升级调参!$J$76-1</x:f>
        <x:v>0.0040114613180515235</x:v>
      </x:c>
      <x:c r="S1179" s="6"/>
      <x:c r="T1179" s="6"/>
      <x:c r="U1179" s="6"/>
    </x:row>
    <x:row r="1180" ht="21" customHeight="1">
      <x:c r="A1180" s="14" t="n">
        <x:f>英雄升级调参!$B$25</x:f>
        <x:v>310008</x:v>
      </x:c>
      <x:c r="B1180" s="14" t="str">
        <x:f>英雄升级调参!$C$25</x:f>
        <x:v>魔魔龙</x:v>
      </x:c>
      <x:c r="C1180" s="6" t="str">
        <x:f>英雄升级调参!$D$25</x:f>
        <x:v>战士</x:v>
      </x:c>
      <x:c r="D1180" s="6" t="s">
        <x:v>22</x:v>
      </x:c>
      <x:c r="E1180" s="6">
        <x:v>12</x:v>
      </x:c>
      <x:c r="F1180" s="6" t="n">
        <x:f>英雄升级调参!$C$77</x:f>
        <x:v>3</x:v>
      </x:c>
      <x:c r="G1180" s="12">
        <x:f t="shared" si="110"/>
        <x:v>944</x:v>
      </x:c>
      <x:c r="H1180" s="12">
        <x:f t="shared" si="111"/>
        <x:v>5988</x:v>
      </x:c>
      <x:c r="I1180" s="12">
        <x:f t="shared" si="109"/>
        <x:v>5652672</x:v>
      </x:c>
      <x:c r="J1180" s="12">
        <x:f>ROUND(英雄升级调参!$D$77*英雄升级调参!$J$10*英雄升级调参!$E$25,0)</x:f>
        <x:v>68</x:v>
      </x:c>
      <x:c r="K1180" s="12">
        <x:f>ROUND(英雄升级调参!$D$77*英雄升级调参!$C$11*英雄升级调参!$J$10*英雄升级调参!$G$25,0)</x:f>
        <x:v>432</x:v>
      </x:c>
      <x:c r="L1180" s="12" t="n">
        <x:f>养成消耗调参!$D$159</x:f>
        <x:v>360</x:v>
      </x:c>
      <x:c r="M1180" s="12" t="n">
        <x:f>养成消耗调参!$G$159</x:f>
        <x:v>2250</x:v>
      </x:c>
      <x:c r="N1180" s="12" t="n">
        <x:f>养成消耗调参!$I$159</x:f>
        <x:v>0</x:v>
      </x:c>
      <x:c r="O1180" s="12" t="n">
        <x:f>养成消耗调参!$K$159</x:f>
        <x:v>1872</x:v>
      </x:c>
      <x:c r="P1180" s="12" t="n">
        <x:f>养成消耗调参!$N$159</x:f>
        <x:v>11250</x:v>
      </x:c>
      <x:c r="Q1180" s="12" t="n">
        <x:f>养成消耗调参!$P$159</x:f>
        <x:v>40</x:v>
      </x:c>
      <x:c r="R1180" s="13">
        <x:f>I1180/英雄升级调参!$J$77-1</x:f>
        <x:v>0.004255319148936065</x:v>
      </x:c>
      <x:c r="S1180" s="6"/>
      <x:c r="T1180" s="6"/>
      <x:c r="U1180" s="6"/>
    </x:row>
    <x:row r="1181" ht="21" customHeight="1">
      <x:c r="A1181" s="14" t="n">
        <x:f>英雄升级调参!$B$25</x:f>
        <x:v>310008</x:v>
      </x:c>
      <x:c r="B1181" s="14" t="str">
        <x:f>英雄升级调参!$C$25</x:f>
        <x:v>魔魔龙</x:v>
      </x:c>
      <x:c r="C1181" s="6" t="str">
        <x:f>英雄升级调参!$D$25</x:f>
        <x:v>战士</x:v>
      </x:c>
      <x:c r="D1181" s="6" t="s">
        <x:v>22</x:v>
      </x:c>
      <x:c r="E1181" s="6">
        <x:v>13</x:v>
      </x:c>
      <x:c r="F1181" s="6" t="n">
        <x:f>英雄升级调参!$C$78</x:f>
        <x:v>3</x:v>
      </x:c>
      <x:c r="G1181" s="12">
        <x:f t="shared" si="110"/>
        <x:v>1012</x:v>
      </x:c>
      <x:c r="H1181" s="12">
        <x:f t="shared" si="111"/>
        <x:v>6420</x:v>
      </x:c>
      <x:c r="I1181" s="12">
        <x:f t="shared" si="109"/>
        <x:v>6497040</x:v>
      </x:c>
      <x:c r="J1181" s="12">
        <x:f>ROUND(英雄升级调参!$D$78*英雄升级调参!$J$10*英雄升级调参!$E$25,0)</x:f>
        <x:v>68</x:v>
      </x:c>
      <x:c r="K1181" s="12">
        <x:f>ROUND(英雄升级调参!$D$78*英雄升级调参!$C$11*英雄升级调参!$J$10*英雄升级调参!$G$25,0)</x:f>
        <x:v>432</x:v>
      </x:c>
      <x:c r="L1181" s="12" t="n">
        <x:f>养成消耗调参!$D$160</x:f>
        <x:v>360</x:v>
      </x:c>
      <x:c r="M1181" s="12" t="n">
        <x:f>养成消耗调参!$G$160</x:f>
        <x:v>2250</x:v>
      </x:c>
      <x:c r="N1181" s="12" t="n">
        <x:f>养成消耗调参!$I$160</x:f>
        <x:v>0</x:v>
      </x:c>
      <x:c r="O1181" s="12" t="n">
        <x:f>养成消耗调参!$K$160</x:f>
        <x:v>2232</x:v>
      </x:c>
      <x:c r="P1181" s="12" t="n">
        <x:f>养成消耗调参!$N$160</x:f>
        <x:v>13500</x:v>
      </x:c>
      <x:c r="Q1181" s="12" t="n">
        <x:f>养成消耗调参!$P$160</x:f>
        <x:v>40</x:v>
      </x:c>
      <x:c r="R1181" s="13">
        <x:f>I1181/英雄升级调参!$J$78-1</x:f>
        <x:v>0.004466501240694809</x:v>
      </x:c>
      <x:c r="S1181" s="6"/>
      <x:c r="T1181" s="6"/>
      <x:c r="U1181" s="6"/>
    </x:row>
    <x:row r="1182" ht="21" customHeight="1">
      <x:c r="A1182" s="14" t="n">
        <x:f>英雄升级调参!$B$25</x:f>
        <x:v>310008</x:v>
      </x:c>
      <x:c r="B1182" s="14" t="str">
        <x:f>英雄升级调参!$C$25</x:f>
        <x:v>魔魔龙</x:v>
      </x:c>
      <x:c r="C1182" s="6" t="str">
        <x:f>英雄升级调参!$D$25</x:f>
        <x:v>战士</x:v>
      </x:c>
      <x:c r="D1182" s="6" t="s">
        <x:v>22</x:v>
      </x:c>
      <x:c r="E1182" s="6">
        <x:v>14</x:v>
      </x:c>
      <x:c r="F1182" s="6" t="n">
        <x:f>英雄升级调参!$C$79</x:f>
        <x:v>3</x:v>
      </x:c>
      <x:c r="G1182" s="12">
        <x:f t="shared" si="110"/>
        <x:v>1080</x:v>
      </x:c>
      <x:c r="H1182" s="12">
        <x:f t="shared" si="111"/>
        <x:v>6852</x:v>
      </x:c>
      <x:c r="I1182" s="12">
        <x:f t="shared" si="109"/>
        <x:v>7400160</x:v>
      </x:c>
      <x:c r="J1182" s="12">
        <x:f>ROUND(英雄升级调参!$D$79*英雄升级调参!$J$10*英雄升级调参!$E$25,0)</x:f>
        <x:v>68</x:v>
      </x:c>
      <x:c r="K1182" s="12">
        <x:f>ROUND(英雄升级调参!$D$79*英雄升级调参!$C$11*英雄升级调参!$J$10*英雄升级调参!$G$25,0)</x:f>
        <x:v>432</x:v>
      </x:c>
      <x:c r="L1182" s="12" t="n">
        <x:f>养成消耗调参!$D$161</x:f>
        <x:v>432</x:v>
      </x:c>
      <x:c r="M1182" s="12" t="n">
        <x:f>养成消耗调参!$G$161</x:f>
        <x:v>2250</x:v>
      </x:c>
      <x:c r="N1182" s="12" t="n">
        <x:f>养成消耗调参!$I$161</x:f>
        <x:v>0</x:v>
      </x:c>
      <x:c r="O1182" s="12" t="n">
        <x:f>养成消耗调参!$K$161</x:f>
        <x:v>2664</x:v>
      </x:c>
      <x:c r="P1182" s="12" t="n">
        <x:f>养成消耗调参!$N$161</x:f>
        <x:v>15750</x:v>
      </x:c>
      <x:c r="Q1182" s="12" t="n">
        <x:f>养成消耗调参!$P$161</x:f>
        <x:v>40</x:v>
      </x:c>
      <x:c r="R1182" s="13">
        <x:f>I1182/英雄升级调参!$J$79-1</x:f>
        <x:v>0.0046511627906977715</x:v>
      </x:c>
      <x:c r="S1182" s="6"/>
      <x:c r="T1182" s="6"/>
      <x:c r="U1182" s="6"/>
    </x:row>
    <x:row r="1183" ht="21" customHeight="1">
      <x:c r="A1183" s="14" t="n">
        <x:f>英雄升级调参!$B$25</x:f>
        <x:v>310008</x:v>
      </x:c>
      <x:c r="B1183" s="14" t="str">
        <x:f>英雄升级调参!$C$25</x:f>
        <x:v>魔魔龙</x:v>
      </x:c>
      <x:c r="C1183" s="6" t="str">
        <x:f>英雄升级调参!$D$25</x:f>
        <x:v>战士</x:v>
      </x:c>
      <x:c r="D1183" s="6" t="s">
        <x:v>22</x:v>
      </x:c>
      <x:c r="E1183" s="6">
        <x:v>15</x:v>
      </x:c>
      <x:c r="F1183" s="6" t="n">
        <x:f>英雄升级调参!$C$80</x:f>
        <x:v>3</x:v>
      </x:c>
      <x:c r="G1183" s="12">
        <x:f t="shared" si="110"/>
        <x:v>1284</x:v>
      </x:c>
      <x:c r="H1183" s="12">
        <x:f t="shared" si="111"/>
        <x:v>8148</x:v>
      </x:c>
      <x:c r="I1183" s="12">
        <x:f t="shared" si="109"/>
        <x:v>10462032</x:v>
      </x:c>
      <x:c r="J1183" s="12">
        <x:f>ROUND(英雄升级调参!$D$80*英雄升级调参!$J$10*英雄升级调参!$E$25,0)*3</x:f>
        <x:v>204</x:v>
      </x:c>
      <x:c r="K1183" s="12">
        <x:f>ROUND(英雄升级调参!$D$80*英雄升级调参!$C$11*英雄升级调参!$J$10*英雄升级调参!$G$25,0)*3</x:f>
        <x:v>1296</x:v>
      </x:c>
      <x:c r="L1183" s="12" t="n">
        <x:f>养成消耗调参!$D$162</x:f>
        <x:v>432</x:v>
      </x:c>
      <x:c r="M1183" s="12" t="n">
        <x:f>养成消耗调参!$G$162</x:f>
        <x:v>2250</x:v>
      </x:c>
      <x:c r="N1183" s="12" t="n">
        <x:f>养成消耗调参!$I$162</x:f>
        <x:v>50</x:v>
      </x:c>
      <x:c r="O1183" s="12" t="n">
        <x:f>养成消耗调参!$K$162</x:f>
        <x:v>3096</x:v>
      </x:c>
      <x:c r="P1183" s="12" t="n">
        <x:f>养成消耗调参!$N$162</x:f>
        <x:v>18000</x:v>
      </x:c>
      <x:c r="Q1183" s="12" t="n">
        <x:f>养成消耗调参!$P$162</x:f>
        <x:v>90</x:v>
      </x:c>
      <x:c r="R1183" s="13">
        <x:f>I1183/英雄升级调参!$J$80-1</x:f>
        <x:v>0.0050880626223090974</x:v>
      </x:c>
      <x:c r="S1183" s="6"/>
      <x:c r="T1183" s="6"/>
      <x:c r="U1183" s="6"/>
    </x:row>
    <x:row r="1184" ht="21" customHeight="1">
      <x:c r="A1184" s="14" t="n">
        <x:f>英雄升级调参!$B$25</x:f>
        <x:v>310008</x:v>
      </x:c>
      <x:c r="B1184" s="14" t="str">
        <x:f>英雄升级调参!$C$25</x:f>
        <x:v>魔魔龙</x:v>
      </x:c>
      <x:c r="C1184" s="6" t="str">
        <x:f>英雄升级调参!$D$25</x:f>
        <x:v>战士</x:v>
      </x:c>
      <x:c r="D1184" s="6" t="s">
        <x:v>22</x:v>
      </x:c>
      <x:c r="E1184" s="6">
        <x:v>16</x:v>
      </x:c>
      <x:c r="F1184" s="6" t="n">
        <x:f>英雄升级调参!$C$81</x:f>
        <x:v>4</x:v>
      </x:c>
      <x:c r="G1184" s="12">
        <x:f t="shared" si="110"/>
        <x:v>1368</x:v>
      </x:c>
      <x:c r="H1184" s="12">
        <x:f t="shared" si="111"/>
        <x:v>8688</x:v>
      </x:c>
      <x:c r="I1184" s="12">
        <x:f t="shared" si="109"/>
        <x:v>11885184</x:v>
      </x:c>
      <x:c r="J1184" s="12">
        <x:f>ROUND(英雄升级调参!$D$81*英雄升级调参!$J$10*英雄升级调参!$E$25,0)</x:f>
        <x:v>84</x:v>
      </x:c>
      <x:c r="K1184" s="12">
        <x:f>ROUND(英雄升级调参!$D$81*英雄升级调参!$C$11*英雄升级调参!$J$10*英雄升级调参!$G$25,0)</x:f>
        <x:v>540</x:v>
      </x:c>
      <x:c r="L1184" s="12" t="n">
        <x:f>养成消耗调参!$D$163</x:f>
        <x:v>504</x:v>
      </x:c>
      <x:c r="M1184" s="12" t="n">
        <x:f>养成消耗调参!$G$163</x:f>
        <x:v>2250</x:v>
      </x:c>
      <x:c r="N1184" s="12" t="n">
        <x:f>养成消耗调参!$I$163</x:f>
        <x:v>0</x:v>
      </x:c>
      <x:c r="O1184" s="12" t="n">
        <x:f>养成消耗调参!$K$163</x:f>
        <x:v>3600</x:v>
      </x:c>
      <x:c r="P1184" s="12" t="n">
        <x:f>养成消耗调参!$N$163</x:f>
        <x:v>20250</x:v>
      </x:c>
      <x:c r="Q1184" s="12" t="n">
        <x:f>养成消耗调参!$P$163</x:f>
        <x:v>90</x:v>
      </x:c>
      <x:c r="R1184" s="13">
        <x:f>I1184/英雄升级调参!$J$81-1</x:f>
        <x:v>0.004036697247706389</x:v>
      </x:c>
      <x:c r="S1184" s="6"/>
      <x:c r="T1184" s="6"/>
      <x:c r="U1184" s="6"/>
    </x:row>
    <x:row r="1185" ht="21" customHeight="1">
      <x:c r="A1185" s="14" t="n">
        <x:f>英雄升级调参!$B$25</x:f>
        <x:v>310008</x:v>
      </x:c>
      <x:c r="B1185" s="14" t="str">
        <x:f>英雄升级调参!$C$25</x:f>
        <x:v>魔魔龙</x:v>
      </x:c>
      <x:c r="C1185" s="6" t="str">
        <x:f>英雄升级调参!$D$25</x:f>
        <x:v>战士</x:v>
      </x:c>
      <x:c r="D1185" s="6" t="s">
        <x:v>22</x:v>
      </x:c>
      <x:c r="E1185" s="6">
        <x:v>17</x:v>
      </x:c>
      <x:c r="F1185" s="6" t="n">
        <x:f>英雄升级调参!$C$82</x:f>
        <x:v>4</x:v>
      </x:c>
      <x:c r="G1185" s="12">
        <x:f t="shared" si="110"/>
        <x:v>1452</x:v>
      </x:c>
      <x:c r="H1185" s="12">
        <x:f t="shared" si="111"/>
        <x:v>9228</x:v>
      </x:c>
      <x:c r="I1185" s="12">
        <x:f t="shared" si="109"/>
        <x:v>13399056</x:v>
      </x:c>
      <x:c r="J1185" s="12">
        <x:f>ROUND(英雄升级调参!$D$82*英雄升级调参!$J$10*英雄升级调参!$E$25,0)</x:f>
        <x:v>84</x:v>
      </x:c>
      <x:c r="K1185" s="12">
        <x:f>ROUND(英雄升级调参!$D$82*英雄升级调参!$C$11*英雄升级调参!$J$10*英雄升级调参!$G$25,0)</x:f>
        <x:v>540</x:v>
      </x:c>
      <x:c r="L1185" s="12" t="n">
        <x:f>养成消耗调参!$D$164</x:f>
        <x:v>504</x:v>
      </x:c>
      <x:c r="M1185" s="12" t="n">
        <x:f>养成消耗调参!$G$164</x:f>
        <x:v>3150</x:v>
      </x:c>
      <x:c r="N1185" s="12" t="n">
        <x:f>养成消耗调参!$I$164</x:f>
        <x:v>0</x:v>
      </x:c>
      <x:c r="O1185" s="12" t="n">
        <x:f>养成消耗调参!$K$164</x:f>
        <x:v>4104</x:v>
      </x:c>
      <x:c r="P1185" s="12" t="n">
        <x:f>养成消耗调参!$N$164</x:f>
        <x:v>23400</x:v>
      </x:c>
      <x:c r="Q1185" s="12" t="n">
        <x:f>养成消耗调参!$P$164</x:f>
        <x:v>90</x:v>
      </x:c>
      <x:c r="R1185" s="13">
        <x:f>I1185/英雄升级调参!$J$82-1</x:f>
        <x:v>0.0031088082901553626</x:v>
      </x:c>
      <x:c r="S1185" s="6"/>
      <x:c r="T1185" s="6"/>
      <x:c r="U1185" s="6"/>
    </x:row>
    <x:row r="1186" ht="21" customHeight="1">
      <x:c r="A1186" s="14" t="n">
        <x:f>英雄升级调参!$B$25</x:f>
        <x:v>310008</x:v>
      </x:c>
      <x:c r="B1186" s="14" t="str">
        <x:f>英雄升级调参!$C$25</x:f>
        <x:v>魔魔龙</x:v>
      </x:c>
      <x:c r="C1186" s="6" t="str">
        <x:f>英雄升级调参!$D$25</x:f>
        <x:v>战士</x:v>
      </x:c>
      <x:c r="D1186" s="6" t="s">
        <x:v>22</x:v>
      </x:c>
      <x:c r="E1186" s="6">
        <x:v>18</x:v>
      </x:c>
      <x:c r="F1186" s="6" t="n">
        <x:f>英雄升级调参!$C$83</x:f>
        <x:v>4</x:v>
      </x:c>
      <x:c r="G1186" s="12">
        <x:f t="shared" si="110"/>
        <x:v>1536</x:v>
      </x:c>
      <x:c r="H1186" s="12">
        <x:f t="shared" si="111"/>
        <x:v>9768</x:v>
      </x:c>
      <x:c r="I1186" s="12">
        <x:f t="shared" si="109"/>
        <x:v>15003648</x:v>
      </x:c>
      <x:c r="J1186" s="12">
        <x:f>ROUND(英雄升级调参!$D$83*英雄升级调参!$J$10*英雄升级调参!$E$25,0)</x:f>
        <x:v>84</x:v>
      </x:c>
      <x:c r="K1186" s="12">
        <x:f>ROUND(英雄升级调参!$D$83*英雄升级调参!$C$11*英雄升级调参!$J$10*英雄升级调参!$G$25,0)</x:f>
        <x:v>540</x:v>
      </x:c>
      <x:c r="L1186" s="12" t="n">
        <x:f>养成消耗调参!$D$165</x:f>
        <x:v>576</x:v>
      </x:c>
      <x:c r="M1186" s="12" t="n">
        <x:f>养成消耗调参!$G$165</x:f>
        <x:v>3150</x:v>
      </x:c>
      <x:c r="N1186" s="12" t="n">
        <x:f>养成消耗调参!$I$165</x:f>
        <x:v>0</x:v>
      </x:c>
      <x:c r="O1186" s="12" t="n">
        <x:f>养成消耗调参!$K$165</x:f>
        <x:v>4680</x:v>
      </x:c>
      <x:c r="P1186" s="12" t="n">
        <x:f>养成消耗调参!$N$165</x:f>
        <x:v>26550</x:v>
      </x:c>
      <x:c r="Q1186" s="12" t="n">
        <x:f>养成消耗调参!$P$165</x:f>
        <x:v>90</x:v>
      </x:c>
      <x:c r="R1186" s="13">
        <x:f>I1186/英雄升级调参!$J$83-1</x:f>
        <x:v>0.002283849918433889</x:v>
      </x:c>
      <x:c r="S1186" s="6"/>
      <x:c r="T1186" s="6"/>
      <x:c r="U1186" s="6"/>
    </x:row>
    <x:row r="1187" ht="21" customHeight="1">
      <x:c r="A1187" s="14" t="n">
        <x:f>英雄升级调参!$B$25</x:f>
        <x:v>310008</x:v>
      </x:c>
      <x:c r="B1187" s="14" t="str">
        <x:f>英雄升级调参!$C$25</x:f>
        <x:v>魔魔龙</x:v>
      </x:c>
      <x:c r="C1187" s="6" t="str">
        <x:f>英雄升级调参!$D$25</x:f>
        <x:v>战士</x:v>
      </x:c>
      <x:c r="D1187" s="6" t="s">
        <x:v>22</x:v>
      </x:c>
      <x:c r="E1187" s="6">
        <x:v>19</x:v>
      </x:c>
      <x:c r="F1187" s="6" t="n">
        <x:f>英雄升级调参!$C$84</x:f>
        <x:v>4</x:v>
      </x:c>
      <x:c r="G1187" s="12">
        <x:f t="shared" si="110"/>
        <x:v>1620</x:v>
      </x:c>
      <x:c r="H1187" s="12">
        <x:f t="shared" si="111"/>
        <x:v>10308</x:v>
      </x:c>
      <x:c r="I1187" s="12">
        <x:f t="shared" si="109"/>
        <x:v>16698960</x:v>
      </x:c>
      <x:c r="J1187" s="12">
        <x:f>ROUND(英雄升级调参!$D$84*英雄升级调参!$J$10*英雄升级调参!$E$25,0)</x:f>
        <x:v>84</x:v>
      </x:c>
      <x:c r="K1187" s="12">
        <x:f>ROUND(英雄升级调参!$D$84*英雄升级调参!$C$11*英雄升级调参!$J$10*英雄升级调参!$G$25,0)</x:f>
        <x:v>540</x:v>
      </x:c>
      <x:c r="L1187" s="12" t="n">
        <x:f>养成消耗调参!$D$166</x:f>
        <x:v>576</x:v>
      </x:c>
      <x:c r="M1187" s="12" t="n">
        <x:f>养成消耗调参!$G$166</x:f>
        <x:v>3150</x:v>
      </x:c>
      <x:c r="N1187" s="12" t="n">
        <x:f>养成消耗调参!$I$166</x:f>
        <x:v>0</x:v>
      </x:c>
      <x:c r="O1187" s="12" t="n">
        <x:f>养成消耗调参!$K$166</x:f>
        <x:v>5256</x:v>
      </x:c>
      <x:c r="P1187" s="12" t="n">
        <x:f>养成消耗调参!$N$166</x:f>
        <x:v>29700</x:v>
      </x:c>
      <x:c r="Q1187" s="12" t="n">
        <x:f>养成消耗调参!$P$166</x:f>
        <x:v>90</x:v>
      </x:c>
      <x:c r="R1187" s="13">
        <x:f>I1187/英雄升级调参!$J$84-1</x:f>
        <x:v>0.0015455950540959051</x:v>
      </x:c>
      <x:c r="S1187" s="6"/>
      <x:c r="T1187" s="6"/>
      <x:c r="U1187" s="6"/>
    </x:row>
    <x:row r="1188" ht="21" customHeight="1">
      <x:c r="A1188" s="14" t="n">
        <x:f>英雄升级调参!$B$25</x:f>
        <x:v>310008</x:v>
      </x:c>
      <x:c r="B1188" s="14" t="str">
        <x:f>英雄升级调参!$C$25</x:f>
        <x:v>魔魔龙</x:v>
      </x:c>
      <x:c r="C1188" s="6" t="str">
        <x:f>英雄升级调参!$D$25</x:f>
        <x:v>战士</x:v>
      </x:c>
      <x:c r="D1188" s="6" t="s">
        <x:v>22</x:v>
      </x:c>
      <x:c r="E1188" s="6">
        <x:v>20</x:v>
      </x:c>
      <x:c r="F1188" s="6" t="n">
        <x:f>英雄升级调参!$C$85</x:f>
        <x:v>4</x:v>
      </x:c>
      <x:c r="G1188" s="12">
        <x:f t="shared" si="110"/>
        <x:v>1872</x:v>
      </x:c>
      <x:c r="H1188" s="12">
        <x:f t="shared" si="111"/>
        <x:v>11928</x:v>
      </x:c>
      <x:c r="I1188" s="12">
        <x:f t="shared" si="109"/>
        <x:v>22329216</x:v>
      </x:c>
      <x:c r="J1188" s="12">
        <x:f>ROUND(英雄升级调参!$D$85*英雄升级调参!$J$10*英雄升级调参!$E$25,0)*3</x:f>
        <x:v>252</x:v>
      </x:c>
      <x:c r="K1188" s="12">
        <x:f>ROUND(英雄升级调参!$D$85*英雄升级调参!$C$11*英雄升级调参!$J$10*英雄升级调参!$G$25,0)*3</x:f>
        <x:v>1620</x:v>
      </x:c>
      <x:c r="L1188" s="12" t="n">
        <x:f>养成消耗调参!$D$167</x:f>
        <x:v>648</x:v>
      </x:c>
      <x:c r="M1188" s="12" t="n">
        <x:f>养成消耗调参!$G$167</x:f>
        <x:v>3150</x:v>
      </x:c>
      <x:c r="N1188" s="12" t="n">
        <x:f>养成消耗调参!$I$167</x:f>
        <x:v>70</x:v>
      </x:c>
      <x:c r="O1188" s="12" t="n">
        <x:f>养成消耗调参!$K$167</x:f>
        <x:v>5904</x:v>
      </x:c>
      <x:c r="P1188" s="12" t="n">
        <x:f>养成消耗调参!$N$167</x:f>
        <x:v>32850</x:v>
      </x:c>
      <x:c r="Q1188" s="12" t="n">
        <x:f>养成消耗调参!$P$167</x:f>
        <x:v>160</x:v>
      </x:c>
      <x:c r="R1188" s="13">
        <x:f>I1188/英雄升级调参!$J$85-1</x:f>
        <x:v>-0.0002670226969292422</x:v>
      </x:c>
      <x:c r="S1188" s="6"/>
      <x:c r="T1188" s="6"/>
      <x:c r="U1188" s="6"/>
    </x:row>
    <x:row r="1189" ht="21" customHeight="1">
      <x:c r="A1189" s="14" t="n">
        <x:f>英雄升级调参!$B$25</x:f>
        <x:v>310008</x:v>
      </x:c>
      <x:c r="B1189" s="14" t="str">
        <x:f>英雄升级调参!$C$25</x:f>
        <x:v>魔魔龙</x:v>
      </x:c>
      <x:c r="C1189" s="6" t="str">
        <x:f>英雄升级调参!$D$25</x:f>
        <x:v>战士</x:v>
      </x:c>
      <x:c r="D1189" s="6" t="s">
        <x:v>22</x:v>
      </x:c>
      <x:c r="E1189" s="6">
        <x:v>21</x:v>
      </x:c>
      <x:c r="F1189" s="6" t="n">
        <x:f>英雄升级调参!$C$86</x:f>
        <x:v>5</x:v>
      </x:c>
      <x:c r="G1189" s="12">
        <x:f t="shared" si="110"/>
        <x:v>1973</x:v>
      </x:c>
      <x:c r="H1189" s="12">
        <x:f t="shared" si="111"/>
        <x:v>12576</x:v>
      </x:c>
      <x:c r="I1189" s="12">
        <x:f t="shared" si="109"/>
        <x:v>24812448</x:v>
      </x:c>
      <x:c r="J1189" s="12">
        <x:f>ROUND(英雄升级调参!$D$86*英雄升级调参!$J$10*英雄升级调参!$E$25,0)</x:f>
        <x:v>101</x:v>
      </x:c>
      <x:c r="K1189" s="12">
        <x:f>ROUND(英雄升级调参!$D$86*英雄升级调参!$C$11*英雄升级调参!$J$10*英雄升级调参!$G$25,0)</x:f>
        <x:v>648</x:v>
      </x:c>
      <x:c r="L1189" s="12" t="n">
        <x:f>养成消耗调参!$D$168</x:f>
        <x:v>648</x:v>
      </x:c>
      <x:c r="M1189" s="12" t="n">
        <x:f>养成消耗调参!$G$168</x:f>
        <x:v>3150</x:v>
      </x:c>
      <x:c r="N1189" s="12" t="n">
        <x:f>养成消耗调参!$I$168</x:f>
        <x:v>0</x:v>
      </x:c>
      <x:c r="O1189" s="12" t="n">
        <x:f>养成消耗调参!$K$168</x:f>
        <x:v>6552</x:v>
      </x:c>
      <x:c r="P1189" s="12" t="n">
        <x:f>养成消耗调参!$N$168</x:f>
        <x:v>36000</x:v>
      </x:c>
      <x:c r="Q1189" s="12" t="n">
        <x:f>养成消耗调参!$P$168</x:f>
        <x:v>160</x:v>
      </x:c>
      <x:c r="R1189" s="13">
        <x:f>I1189/英雄升级调参!$J$86-1</x:f>
        <x:v>-0.00037998733375554927</x:v>
      </x:c>
      <x:c r="S1189" s="6"/>
      <x:c r="T1189" s="6"/>
      <x:c r="U1189" s="6"/>
    </x:row>
    <x:row r="1190" ht="21" customHeight="1">
      <x:c r="A1190" s="14" t="n">
        <x:f>英雄升级调参!$B$25</x:f>
        <x:v>310008</x:v>
      </x:c>
      <x:c r="B1190" s="14" t="str">
        <x:f>英雄升级调参!$C$25</x:f>
        <x:v>魔魔龙</x:v>
      </x:c>
      <x:c r="C1190" s="6" t="str">
        <x:f>英雄升级调参!$D$25</x:f>
        <x:v>战士</x:v>
      </x:c>
      <x:c r="D1190" s="6" t="s">
        <x:v>22</x:v>
      </x:c>
      <x:c r="E1190" s="6">
        <x:v>22</x:v>
      </x:c>
      <x:c r="F1190" s="6" t="n">
        <x:f>英雄升级调参!$C$87</x:f>
        <x:v>5</x:v>
      </x:c>
      <x:c r="G1190" s="12">
        <x:f t="shared" si="110"/>
        <x:v>2074</x:v>
      </x:c>
      <x:c r="H1190" s="12">
        <x:f t="shared" si="111"/>
        <x:v>13224</x:v>
      </x:c>
      <x:c r="I1190" s="12">
        <x:f t="shared" si="109"/>
        <x:v>27426576</x:v>
      </x:c>
      <x:c r="J1190" s="12">
        <x:f>ROUND(英雄升级调参!$D$87*英雄升级调参!$J$10*英雄升级调参!$E$25,0)</x:f>
        <x:v>101</x:v>
      </x:c>
      <x:c r="K1190" s="12">
        <x:f>ROUND(英雄升级调参!$D$87*英雄升级调参!$C$11*英雄升级调参!$J$10*英雄升级调参!$G$25,0)</x:f>
        <x:v>648</x:v>
      </x:c>
      <x:c r="L1190" s="12" t="n">
        <x:f>养成消耗调参!$D$169</x:f>
        <x:v>720</x:v>
      </x:c>
      <x:c r="M1190" s="12" t="n">
        <x:f>养成消耗调参!$G$169</x:f>
        <x:v>4500</x:v>
      </x:c>
      <x:c r="N1190" s="12" t="n">
        <x:f>养成消耗调参!$I$169</x:f>
        <x:v>0</x:v>
      </x:c>
      <x:c r="O1190" s="12" t="n">
        <x:f>养成消耗调参!$K$169</x:f>
        <x:v>7272</x:v>
      </x:c>
      <x:c r="P1190" s="12" t="n">
        <x:f>养成消耗调参!$N$169</x:f>
        <x:v>40500</x:v>
      </x:c>
      <x:c r="Q1190" s="12" t="n">
        <x:f>养成消耗调参!$P$169</x:f>
        <x:v>160</x:v>
      </x:c>
      <x:c r="R1190" s="13">
        <x:f>I1190/英雄升级调参!$J$87-1</x:f>
        <x:v>-0.00048192771084332175</x:v>
      </x:c>
      <x:c r="S1190" s="6"/>
      <x:c r="T1190" s="6"/>
      <x:c r="U1190" s="6"/>
    </x:row>
    <x:row r="1191" ht="21" customHeight="1">
      <x:c r="A1191" s="14" t="n">
        <x:f>英雄升级调参!$B$25</x:f>
        <x:v>310008</x:v>
      </x:c>
      <x:c r="B1191" s="14" t="str">
        <x:f>英雄升级调参!$C$25</x:f>
        <x:v>魔魔龙</x:v>
      </x:c>
      <x:c r="C1191" s="6" t="str">
        <x:f>英雄升级调参!$D$25</x:f>
        <x:v>战士</x:v>
      </x:c>
      <x:c r="D1191" s="6" t="s">
        <x:v>22</x:v>
      </x:c>
      <x:c r="E1191" s="6">
        <x:v>23</x:v>
      </x:c>
      <x:c r="F1191" s="6" t="n">
        <x:f>英雄升级调参!$C$88</x:f>
        <x:v>5</x:v>
      </x:c>
      <x:c r="G1191" s="12">
        <x:f t="shared" si="110"/>
        <x:v>2175</x:v>
      </x:c>
      <x:c r="H1191" s="12">
        <x:f t="shared" si="111"/>
        <x:v>13872</x:v>
      </x:c>
      <x:c r="I1191" s="12">
        <x:f t="shared" si="109"/>
        <x:v>30171600</x:v>
      </x:c>
      <x:c r="J1191" s="12">
        <x:f>ROUND(英雄升级调参!$D$88*英雄升级调参!$J$10*英雄升级调参!$E$25,0)</x:f>
        <x:v>101</x:v>
      </x:c>
      <x:c r="K1191" s="12">
        <x:f>ROUND(英雄升级调参!$D$88*英雄升级调参!$C$11*英雄升级调参!$J$10*英雄升级调参!$G$25,0)</x:f>
        <x:v>648</x:v>
      </x:c>
      <x:c r="L1191" s="12" t="n">
        <x:f>养成消耗调参!$D$170</x:f>
        <x:v>720</x:v>
      </x:c>
      <x:c r="M1191" s="12" t="n">
        <x:f>养成消耗调参!$G$170</x:f>
        <x:v>4500</x:v>
      </x:c>
      <x:c r="N1191" s="12" t="n">
        <x:f>养成消耗调参!$I$170</x:f>
        <x:v>0</x:v>
      </x:c>
      <x:c r="O1191" s="12" t="n">
        <x:f>养成消耗调参!$K$170</x:f>
        <x:v>7992</x:v>
      </x:c>
      <x:c r="P1191" s="12" t="n">
        <x:f>养成消耗调参!$N$170</x:f>
        <x:v>45000</x:v>
      </x:c>
      <x:c r="Q1191" s="12" t="n">
        <x:f>养成消耗调参!$P$170</x:f>
        <x:v>160</x:v>
      </x:c>
      <x:c r="R1191" s="13">
        <x:f>I1191/英雄升级调参!$J$88-1</x:f>
        <x:v>-0.0005743825387708457</x:v>
      </x:c>
      <x:c r="S1191" s="6"/>
      <x:c r="T1191" s="6"/>
      <x:c r="U1191" s="6"/>
    </x:row>
    <x:row r="1192" ht="21" customHeight="1">
      <x:c r="A1192" s="14" t="n">
        <x:f>英雄升级调参!$B$25</x:f>
        <x:v>310008</x:v>
      </x:c>
      <x:c r="B1192" s="14" t="str">
        <x:f>英雄升级调参!$C$25</x:f>
        <x:v>魔魔龙</x:v>
      </x:c>
      <x:c r="C1192" s="6" t="str">
        <x:f>英雄升级调参!$D$25</x:f>
        <x:v>战士</x:v>
      </x:c>
      <x:c r="D1192" s="6" t="s">
        <x:v>22</x:v>
      </x:c>
      <x:c r="E1192" s="6">
        <x:v>24</x:v>
      </x:c>
      <x:c r="F1192" s="6" t="n">
        <x:f>英雄升级调参!$C$89</x:f>
        <x:v>5</x:v>
      </x:c>
      <x:c r="G1192" s="12">
        <x:f t="shared" si="110"/>
        <x:v>2276</x:v>
      </x:c>
      <x:c r="H1192" s="12">
        <x:f t="shared" si="111"/>
        <x:v>14520</x:v>
      </x:c>
      <x:c r="I1192" s="12">
        <x:f t="shared" si="109"/>
        <x:v>33047520</x:v>
      </x:c>
      <x:c r="J1192" s="12">
        <x:f>ROUND(英雄升级调参!$D$89*英雄升级调参!$J$10*英雄升级调参!$E$25,0)</x:f>
        <x:v>101</x:v>
      </x:c>
      <x:c r="K1192" s="12">
        <x:f>ROUND(英雄升级调参!$D$89*英雄升级调参!$C$11*英雄升级调参!$J$10*英雄升级调参!$G$25,0)</x:f>
        <x:v>648</x:v>
      </x:c>
      <x:c r="L1192" s="12" t="n">
        <x:f>养成消耗调参!$D$171</x:f>
        <x:v>792</x:v>
      </x:c>
      <x:c r="M1192" s="12" t="n">
        <x:f>养成消耗调参!$G$171</x:f>
        <x:v>4500</x:v>
      </x:c>
      <x:c r="N1192" s="12" t="n">
        <x:f>养成消耗调参!$I$171</x:f>
        <x:v>0</x:v>
      </x:c>
      <x:c r="O1192" s="12" t="n">
        <x:f>养成消耗调参!$K$171</x:f>
        <x:v>8784</x:v>
      </x:c>
      <x:c r="P1192" s="12" t="n">
        <x:f>养成消耗调参!$N$171</x:f>
        <x:v>49500</x:v>
      </x:c>
      <x:c r="Q1192" s="12" t="n">
        <x:f>养成消耗调参!$P$171</x:f>
        <x:v>160</x:v>
      </x:c>
      <x:c r="R1192" s="13">
        <x:f>I1192/英雄升级调参!$J$89-1</x:f>
        <x:v>-0.0006586169045005308</x:v>
      </x:c>
      <x:c r="S1192" s="6"/>
      <x:c r="T1192" s="6"/>
      <x:c r="U1192" s="6"/>
    </x:row>
    <x:row r="1193" ht="21" customHeight="1">
      <x:c r="A1193" s="14" t="n">
        <x:f>英雄升级调参!$B$25</x:f>
        <x:v>310008</x:v>
      </x:c>
      <x:c r="B1193" s="14" t="str">
        <x:f>英雄升级调参!$C$25</x:f>
        <x:v>魔魔龙</x:v>
      </x:c>
      <x:c r="C1193" s="6" t="str">
        <x:f>英雄升级调参!$D$25</x:f>
        <x:v>战士</x:v>
      </x:c>
      <x:c r="D1193" s="6" t="s">
        <x:v>22</x:v>
      </x:c>
      <x:c r="E1193" s="6">
        <x:v>25</x:v>
      </x:c>
      <x:c r="F1193" s="6" t="n">
        <x:f>英雄升级调参!$C$90</x:f>
        <x:v>5</x:v>
      </x:c>
      <x:c r="G1193" s="12">
        <x:f t="shared" si="110"/>
        <x:v>2579</x:v>
      </x:c>
      <x:c r="H1193" s="12">
        <x:f t="shared" si="111"/>
        <x:v>16464</x:v>
      </x:c>
      <x:c r="I1193" s="12">
        <x:f t="shared" si="109"/>
        <x:v>42460656</x:v>
      </x:c>
      <x:c r="J1193" s="12">
        <x:f>ROUND(英雄升级调参!$D$90*英雄升级调参!$J$10*英雄升级调参!$E$25,0)*3</x:f>
        <x:v>303</x:v>
      </x:c>
      <x:c r="K1193" s="12">
        <x:f>ROUND(英雄升级调参!$D$90*英雄升级调参!$C$11*英雄升级调参!$J$10*英雄升级调参!$G$25,0)*3</x:f>
        <x:v>1944</x:v>
      </x:c>
      <x:c r="L1193" s="12" t="n">
        <x:f>养成消耗调参!$D$172</x:f>
        <x:v>792</x:v>
      </x:c>
      <x:c r="M1193" s="12" t="n">
        <x:f>养成消耗调参!$G$172</x:f>
        <x:v>4500</x:v>
      </x:c>
      <x:c r="N1193" s="12" t="n">
        <x:f>养成消耗调参!$I$172</x:f>
        <x:v>90</x:v>
      </x:c>
      <x:c r="O1193" s="12" t="n">
        <x:f>养成消耗调参!$K$172</x:f>
        <x:v>9576</x:v>
      </x:c>
      <x:c r="P1193" s="12" t="n">
        <x:f>养成消耗调参!$N$172</x:f>
        <x:v>54000</x:v>
      </x:c>
      <x:c r="Q1193" s="12" t="n">
        <x:f>养成消耗调参!$P$172</x:f>
        <x:v>250</x:v>
      </x:c>
      <x:c r="R1193" s="13">
        <x:f>I1193/英雄升级调参!$J$90-1</x:f>
        <x:v>-0.0008716707021791947</x:v>
      </x:c>
      <x:c r="S1193" s="6"/>
      <x:c r="T1193" s="6"/>
      <x:c r="U1193" s="6"/>
    </x:row>
    <x:row r="1194" ht="21" customHeight="1">
      <x:c r="A1194" s="14" t="n">
        <x:f>英雄升级调参!$B$25</x:f>
        <x:v>310008</x:v>
      </x:c>
      <x:c r="B1194" s="14" t="str">
        <x:f>英雄升级调参!$C$25</x:f>
        <x:v>魔魔龙</x:v>
      </x:c>
      <x:c r="C1194" s="6" t="str">
        <x:f>英雄升级调参!$D$25</x:f>
        <x:v>战士</x:v>
      </x:c>
      <x:c r="D1194" s="6" t="s">
        <x:v>22</x:v>
      </x:c>
      <x:c r="E1194" s="6">
        <x:v>26</x:v>
      </x:c>
      <x:c r="F1194" s="6" t="n">
        <x:f>英雄升级调参!$C$91</x:f>
        <x:v>6</x:v>
      </x:c>
      <x:c r="G1194" s="12">
        <x:f t="shared" si="110"/>
        <x:v>2697</x:v>
      </x:c>
      <x:c r="H1194" s="12">
        <x:f t="shared" si="111"/>
        <x:v>17220</x:v>
      </x:c>
      <x:c r="I1194" s="12">
        <x:f t="shared" si="109"/>
        <x:v>46442340</x:v>
      </x:c>
      <x:c r="J1194" s="12">
        <x:f>ROUND(英雄升级调参!$D$91*英雄升级调参!$J$10*英雄升级调参!$E$25,0)</x:f>
        <x:v>118</x:v>
      </x:c>
      <x:c r="K1194" s="12">
        <x:f>ROUND(英雄升级调参!$D$91*英雄升级调参!$C$11*英雄升级调参!$J$10*英雄升级调参!$G$25,0)</x:f>
        <x:v>756</x:v>
      </x:c>
      <x:c r="L1194" s="12" t="n">
        <x:f>养成消耗调参!$D$173</x:f>
        <x:v>864</x:v>
      </x:c>
      <x:c r="M1194" s="12" t="n">
        <x:f>养成消耗调参!$G$173</x:f>
        <x:v>4500</x:v>
      </x:c>
      <x:c r="N1194" s="12" t="n">
        <x:f>养成消耗调参!$I$173</x:f>
        <x:v>0</x:v>
      </x:c>
      <x:c r="O1194" s="12" t="n">
        <x:f>养成消耗调参!$K$173</x:f>
        <x:v>10440</x:v>
      </x:c>
      <x:c r="P1194" s="12" t="n">
        <x:f>养成消耗调参!$N$173</x:f>
        <x:v>58500</x:v>
      </x:c>
      <x:c r="Q1194" s="12" t="n">
        <x:f>养成消耗调参!$P$173</x:f>
        <x:v>250</x:v>
      </x:c>
      <x:c r="R1194" s="13">
        <x:f>I1194/英雄升级调参!$J$91-1</x:f>
        <x:v>-0.0011111111111110628</x:v>
      </x:c>
      <x:c r="S1194" s="6"/>
      <x:c r="T1194" s="6"/>
      <x:c r="U1194" s="6"/>
    </x:row>
    <x:row r="1195" ht="21" customHeight="1">
      <x:c r="A1195" s="14" t="n">
        <x:f>英雄升级调参!$B$25</x:f>
        <x:v>310008</x:v>
      </x:c>
      <x:c r="B1195" s="14" t="str">
        <x:f>英雄升级调参!$C$25</x:f>
        <x:v>魔魔龙</x:v>
      </x:c>
      <x:c r="C1195" s="6" t="str">
        <x:f>英雄升级调参!$D$25</x:f>
        <x:v>战士</x:v>
      </x:c>
      <x:c r="D1195" s="6" t="s">
        <x:v>22</x:v>
      </x:c>
      <x:c r="E1195" s="6">
        <x:v>27</x:v>
      </x:c>
      <x:c r="F1195" s="6" t="n">
        <x:f>英雄升级调参!$C$92</x:f>
        <x:v>6</x:v>
      </x:c>
      <x:c r="G1195" s="12">
        <x:f t="shared" si="110"/>
        <x:v>2815</x:v>
      </x:c>
      <x:c r="H1195" s="12">
        <x:f t="shared" si="111"/>
        <x:v>17976</x:v>
      </x:c>
      <x:c r="I1195" s="12">
        <x:f t="shared" si="109"/>
        <x:v>50602440</x:v>
      </x:c>
      <x:c r="J1195" s="12">
        <x:f>ROUND(英雄升级调参!$D$92*英雄升级调参!$J$10*英雄升级调参!$E$25,0)</x:f>
        <x:v>118</x:v>
      </x:c>
      <x:c r="K1195" s="12">
        <x:f>ROUND(英雄升级调参!$D$92*英雄升级调参!$C$11*英雄升级调参!$J$10*英雄升级调参!$G$25,0)</x:f>
        <x:v>756</x:v>
      </x:c>
      <x:c r="L1195" s="12" t="n">
        <x:f>养成消耗调参!$D$174</x:f>
        <x:v>864</x:v>
      </x:c>
      <x:c r="M1195" s="12" t="n">
        <x:f>养成消耗调参!$G$174</x:f>
        <x:v>5850</x:v>
      </x:c>
      <x:c r="N1195" s="12" t="n">
        <x:f>养成消耗调参!$I$174</x:f>
        <x:v>0</x:v>
      </x:c>
      <x:c r="O1195" s="12" t="n">
        <x:f>养成消耗调参!$K$174</x:f>
        <x:v>11304</x:v>
      </x:c>
      <x:c r="P1195" s="12" t="n">
        <x:f>养成消耗调参!$N$174</x:f>
        <x:v>64350</x:v>
      </x:c>
      <x:c r="Q1195" s="12" t="n">
        <x:f>养成消耗调参!$P$174</x:f>
        <x:v>250</x:v>
      </x:c>
      <x:c r="R1195" s="13">
        <x:f>I1195/英雄升级调参!$J$92-1</x:f>
        <x:v>-0.001330376940133049</x:v>
      </x:c>
      <x:c r="S1195" s="6"/>
      <x:c r="T1195" s="6"/>
      <x:c r="U1195" s="6"/>
    </x:row>
    <x:row r="1196" ht="21" customHeight="1">
      <x:c r="A1196" s="14" t="n">
        <x:f>英雄升级调参!$B$25</x:f>
        <x:v>310008</x:v>
      </x:c>
      <x:c r="B1196" s="14" t="str">
        <x:f>英雄升级调参!$C$25</x:f>
        <x:v>魔魔龙</x:v>
      </x:c>
      <x:c r="C1196" s="6" t="str">
        <x:f>英雄升级调参!$D$25</x:f>
        <x:v>战士</x:v>
      </x:c>
      <x:c r="D1196" s="6" t="s">
        <x:v>22</x:v>
      </x:c>
      <x:c r="E1196" s="6">
        <x:v>28</x:v>
      </x:c>
      <x:c r="F1196" s="6" t="n">
        <x:f>英雄升级调参!$C$93</x:f>
        <x:v>6</x:v>
      </x:c>
      <x:c r="G1196" s="12">
        <x:f t="shared" si="110"/>
        <x:v>2933</x:v>
      </x:c>
      <x:c r="H1196" s="12">
        <x:f t="shared" si="111"/>
        <x:v>18732</x:v>
      </x:c>
      <x:c r="I1196" s="12">
        <x:f t="shared" si="109"/>
        <x:v>54940956</x:v>
      </x:c>
      <x:c r="J1196" s="12">
        <x:f>ROUND(英雄升级调参!$D$93*英雄升级调参!$J$10*英雄升级调参!$E$25,0)</x:f>
        <x:v>118</x:v>
      </x:c>
      <x:c r="K1196" s="12">
        <x:f>ROUND(英雄升级调参!$D$93*英雄升级调参!$C$11*英雄升级调参!$J$10*英雄升级调参!$G$25,0)</x:f>
        <x:v>756</x:v>
      </x:c>
      <x:c r="L1196" s="12" t="n">
        <x:f>养成消耗调参!$D$175</x:f>
        <x:v>936</x:v>
      </x:c>
      <x:c r="M1196" s="12" t="n">
        <x:f>养成消耗调参!$G$175</x:f>
        <x:v>5850</x:v>
      </x:c>
      <x:c r="N1196" s="12" t="n">
        <x:f>养成消耗调参!$I$175</x:f>
        <x:v>0</x:v>
      </x:c>
      <x:c r="O1196" s="12" t="n">
        <x:f>养成消耗调参!$K$175</x:f>
        <x:v>12240</x:v>
      </x:c>
      <x:c r="P1196" s="12" t="n">
        <x:f>养成消耗调参!$N$175</x:f>
        <x:v>70200</x:v>
      </x:c>
      <x:c r="Q1196" s="12" t="n">
        <x:f>养成消耗调参!$P$175</x:f>
        <x:v>250</x:v>
      </x:c>
      <x:c r="R1196" s="13">
        <x:f>I1196/英雄升级调参!$J$93-1</x:f>
        <x:v>-0.0015319148936170368</x:v>
      </x:c>
      <x:c r="S1196" s="6"/>
      <x:c r="T1196" s="6"/>
      <x:c r="U1196" s="6"/>
    </x:row>
    <x:row r="1197" ht="21" customHeight="1">
      <x:c r="A1197" s="14" t="n">
        <x:f>英雄升级调参!$B$25</x:f>
        <x:v>310008</x:v>
      </x:c>
      <x:c r="B1197" s="14" t="str">
        <x:f>英雄升级调参!$C$25</x:f>
        <x:v>魔魔龙</x:v>
      </x:c>
      <x:c r="C1197" s="6" t="str">
        <x:f>英雄升级调参!$D$25</x:f>
        <x:v>战士</x:v>
      </x:c>
      <x:c r="D1197" s="6" t="s">
        <x:v>22</x:v>
      </x:c>
      <x:c r="E1197" s="6">
        <x:v>29</x:v>
      </x:c>
      <x:c r="F1197" s="6" t="n">
        <x:f>英雄升级调参!$C$94</x:f>
        <x:v>6</x:v>
      </x:c>
      <x:c r="G1197" s="12">
        <x:f t="shared" si="110"/>
        <x:v>3051</x:v>
      </x:c>
      <x:c r="H1197" s="12">
        <x:f t="shared" si="111"/>
        <x:v>19488</x:v>
      </x:c>
      <x:c r="I1197" s="12">
        <x:f t="shared" si="109"/>
        <x:v>59457888</x:v>
      </x:c>
      <x:c r="J1197" s="12">
        <x:f>ROUND(英雄升级调参!$D$94*英雄升级调参!$J$10*英雄升级调参!$E$25,0)</x:f>
        <x:v>118</x:v>
      </x:c>
      <x:c r="K1197" s="12">
        <x:f>ROUND(英雄升级调参!$D$94*英雄升级调参!$C$11*英雄升级调参!$J$10*英雄升级调参!$G$25,0)</x:f>
        <x:v>756</x:v>
      </x:c>
      <x:c r="L1197" s="12" t="n">
        <x:f>养成消耗调参!$D$176</x:f>
        <x:v>936</x:v>
      </x:c>
      <x:c r="M1197" s="12" t="n">
        <x:f>养成消耗调参!$G$176</x:f>
        <x:v>5850</x:v>
      </x:c>
      <x:c r="N1197" s="12" t="n">
        <x:f>养成消耗调参!$I$176</x:f>
        <x:v>0</x:v>
      </x:c>
      <x:c r="O1197" s="12" t="n">
        <x:f>养成消耗调参!$K$176</x:f>
        <x:v>13176</x:v>
      </x:c>
      <x:c r="P1197" s="12" t="n">
        <x:f>养成消耗调参!$N$176</x:f>
        <x:v>76050</x:v>
      </x:c>
      <x:c r="Q1197" s="12" t="n">
        <x:f>养成消耗调参!$P$176</x:f>
        <x:v>250</x:v>
      </x:c>
      <x:c r="R1197" s="13">
        <x:f>I1197/英雄升级调参!$J$94-1</x:f>
        <x:v>-0.0017177914110428905</x:v>
      </x:c>
      <x:c r="S1197" s="6"/>
      <x:c r="T1197" s="6"/>
      <x:c r="U1197" s="6"/>
    </x:row>
    <x:row r="1198" ht="21" customHeight="1">
      <x:c r="A1198" s="14" t="n">
        <x:f>英雄升级调参!$B$25</x:f>
        <x:v>310008</x:v>
      </x:c>
      <x:c r="B1198" s="14" t="str">
        <x:f>英雄升级调参!$C$25</x:f>
        <x:v>魔魔龙</x:v>
      </x:c>
      <x:c r="C1198" s="6" t="str">
        <x:f>英雄升级调参!$D$25</x:f>
        <x:v>战士</x:v>
      </x:c>
      <x:c r="D1198" s="6" t="s">
        <x:v>22</x:v>
      </x:c>
      <x:c r="E1198" s="6">
        <x:v>30</x:v>
      </x:c>
      <x:c r="F1198" s="6" t="n">
        <x:f>英雄升级调参!$C$95</x:f>
        <x:v>6</x:v>
      </x:c>
      <x:c r="G1198" s="12">
        <x:f t="shared" si="110"/>
        <x:v>3405</x:v>
      </x:c>
      <x:c r="H1198" s="12">
        <x:f t="shared" si="111"/>
        <x:v>21756</x:v>
      </x:c>
      <x:c r="I1198" s="12">
        <x:f t="shared" si="109"/>
        <x:v>74079180</x:v>
      </x:c>
      <x:c r="J1198" s="12">
        <x:f>ROUND(英雄升级调参!$D$95*英雄升级调参!$J$10*英雄升级调参!$E$25,0)*3</x:f>
        <x:v>354</x:v>
      </x:c>
      <x:c r="K1198" s="12">
        <x:f>ROUND(英雄升级调参!$D$95*英雄升级调参!$C$11*英雄升级调参!$J$10*英雄升级调参!$G$25,0)*3</x:f>
        <x:v>2268</x:v>
      </x:c>
      <x:c r="L1198" s="12" t="n">
        <x:f>养成消耗调参!$D$177</x:f>
        <x:v>1008</x:v>
      </x:c>
      <x:c r="M1198" s="12" t="n">
        <x:f>养成消耗调参!$G$177</x:f>
        <x:v>5850</x:v>
      </x:c>
      <x:c r="N1198" s="12" t="n">
        <x:f>养成消耗调参!$I$177</x:f>
        <x:v>110</x:v>
      </x:c>
      <x:c r="O1198" s="12" t="n">
        <x:f>养成消耗调参!$K$177</x:f>
        <x:v>14184</x:v>
      </x:c>
      <x:c r="P1198" s="12" t="n">
        <x:f>养成消耗调参!$N$177</x:f>
        <x:v>81900</x:v>
      </x:c>
      <x:c r="Q1198" s="12" t="n">
        <x:f>养成消耗调参!$P$177</x:f>
        <x:v>360</x:v>
      </x:c>
      <x:c r="R1198" s="13">
        <x:f>I1198/英雄升级调参!$J$95-1</x:f>
        <x:v>-0.00219780219780219</x:v>
      </x:c>
      <x:c r="S1198" s="6"/>
      <x:c r="T1198" s="6"/>
      <x:c r="U1198" s="6"/>
    </x:row>
    <x:row r="1199" ht="21" customHeight="1">
      <x:c r="A1199" s="14" t="n">
        <x:f>英雄升级调参!$B$25</x:f>
        <x:v>310008</x:v>
      </x:c>
      <x:c r="B1199" s="14" t="str">
        <x:f>英雄升级调参!$C$25</x:f>
        <x:v>魔魔龙</x:v>
      </x:c>
      <x:c r="C1199" s="6" t="str">
        <x:f>英雄升级调参!$D$25</x:f>
        <x:v>战士</x:v>
      </x:c>
      <x:c r="D1199" s="6" t="s">
        <x:v>22</x:v>
      </x:c>
      <x:c r="E1199" s="6">
        <x:v>31</x:v>
      </x:c>
      <x:c r="F1199" s="6" t="n">
        <x:f>英雄升级调参!$C$96</x:f>
        <x:v>7</x:v>
      </x:c>
      <x:c r="G1199" s="12">
        <x:f t="shared" si="110"/>
        <x:v>3540</x:v>
      </x:c>
      <x:c r="H1199" s="12">
        <x:f t="shared" si="111"/>
        <x:v>22620</x:v>
      </x:c>
      <x:c r="I1199" s="12">
        <x:f t="shared" si="109"/>
        <x:v>80074800</x:v>
      </x:c>
      <x:c r="J1199" s="12">
        <x:f>ROUND(英雄升级调参!$D$96*英雄升级调参!$J$10*英雄升级调参!$E$25,0)</x:f>
        <x:v>135</x:v>
      </x:c>
      <x:c r="K1199" s="12">
        <x:f>ROUND(英雄升级调参!$D$96*英雄升级调参!$C$11*英雄升级调参!$J$10*英雄升级调参!$G$25,0)</x:f>
        <x:v>864</x:v>
      </x:c>
      <x:c r="L1199" s="12" t="n">
        <x:f>养成消耗调参!$D$178</x:f>
        <x:v>1008</x:v>
      </x:c>
      <x:c r="M1199" s="12" t="n">
        <x:f>养成消耗调参!$G$178</x:f>
        <x:v>5850</x:v>
      </x:c>
      <x:c r="N1199" s="12" t="n">
        <x:f>养成消耗调参!$I$178</x:f>
        <x:v>0</x:v>
      </x:c>
      <x:c r="O1199" s="12" t="n">
        <x:f>养成消耗调参!$K$178</x:f>
        <x:v>15192</x:v>
      </x:c>
      <x:c r="P1199" s="12" t="n">
        <x:f>养成消耗调参!$N$178</x:f>
        <x:v>87750</x:v>
      </x:c>
      <x:c r="Q1199" s="12" t="n">
        <x:f>养成消耗调参!$P$178</x:f>
        <x:v>360</x:v>
      </x:c>
      <x:c r="R1199" s="13">
        <x:f>I1199/英雄升级调参!$J$96-1</x:f>
        <x:v>-0.0021141649048626032</x:v>
      </x:c>
      <x:c r="S1199" s="6"/>
      <x:c r="T1199" s="6"/>
      <x:c r="U1199" s="6"/>
    </x:row>
    <x:row r="1200" ht="21" customHeight="1">
      <x:c r="A1200" s="14" t="n">
        <x:f>英雄升级调参!$B$25</x:f>
        <x:v>310008</x:v>
      </x:c>
      <x:c r="B1200" s="14" t="str">
        <x:f>英雄升级调参!$C$25</x:f>
        <x:v>魔魔龙</x:v>
      </x:c>
      <x:c r="C1200" s="6" t="str">
        <x:f>英雄升级调参!$D$25</x:f>
        <x:v>战士</x:v>
      </x:c>
      <x:c r="D1200" s="6" t="s">
        <x:v>22</x:v>
      </x:c>
      <x:c r="E1200" s="6">
        <x:v>32</x:v>
      </x:c>
      <x:c r="F1200" s="6" t="n">
        <x:f>英雄升级调参!$C$97</x:f>
        <x:v>7</x:v>
      </x:c>
      <x:c r="G1200" s="12">
        <x:f t="shared" si="110"/>
        <x:v>3675</x:v>
      </x:c>
      <x:c r="H1200" s="12">
        <x:f t="shared" si="111"/>
        <x:v>23484</x:v>
      </x:c>
      <x:c r="I1200" s="12">
        <x:f t="shared" si="109"/>
        <x:v>86303700</x:v>
      </x:c>
      <x:c r="J1200" s="12">
        <x:f>ROUND(英雄升级调参!$D$97*英雄升级调参!$J$10*英雄升级调参!$E$25,0)</x:f>
        <x:v>135</x:v>
      </x:c>
      <x:c r="K1200" s="12">
        <x:f>ROUND(英雄升级调参!$D$97*英雄升级调参!$C$11*英雄升级调参!$J$10*英雄升级调参!$G$25,0)</x:f>
        <x:v>864</x:v>
      </x:c>
      <x:c r="L1200" s="12" t="n">
        <x:f>养成消耗调参!$D$179</x:f>
        <x:v>1080</x:v>
      </x:c>
      <x:c r="M1200" s="12" t="n">
        <x:f>养成消耗调参!$G$179</x:f>
        <x:v>7200</x:v>
      </x:c>
      <x:c r="N1200" s="12" t="n">
        <x:f>养成消耗调参!$I$179</x:f>
        <x:v>0</x:v>
      </x:c>
      <x:c r="O1200" s="12" t="n">
        <x:f>养成消耗调参!$K$179</x:f>
        <x:v>16272</x:v>
      </x:c>
      <x:c r="P1200" s="12" t="n">
        <x:f>养成消耗调参!$N$179</x:f>
        <x:v>94950</x:v>
      </x:c>
      <x:c r="Q1200" s="12" t="n">
        <x:f>养成消耗调参!$P$179</x:f>
        <x:v>360</x:v>
      </x:c>
      <x:c r="R1200" s="13">
        <x:f>I1200/英雄升级调参!$J$97-1</x:f>
        <x:v>-0.0020366598778004397</x:v>
      </x:c>
      <x:c r="S1200" s="6"/>
      <x:c r="T1200" s="6"/>
      <x:c r="U1200" s="6"/>
    </x:row>
    <x:row r="1201" ht="21" customHeight="1">
      <x:c r="A1201" s="14" t="n">
        <x:f>英雄升级调参!$B$25</x:f>
        <x:v>310008</x:v>
      </x:c>
      <x:c r="B1201" s="14" t="str">
        <x:f>英雄升级调参!$C$25</x:f>
        <x:v>魔魔龙</x:v>
      </x:c>
      <x:c r="C1201" s="6" t="str">
        <x:f>英雄升级调参!$D$25</x:f>
        <x:v>战士</x:v>
      </x:c>
      <x:c r="D1201" s="6" t="s">
        <x:v>22</x:v>
      </x:c>
      <x:c r="E1201" s="6">
        <x:v>33</x:v>
      </x:c>
      <x:c r="F1201" s="6" t="n">
        <x:f>英雄升级调参!$C$98</x:f>
        <x:v>7</x:v>
      </x:c>
      <x:c r="G1201" s="12">
        <x:f t="shared" si="110"/>
        <x:v>3810</x:v>
      </x:c>
      <x:c r="H1201" s="12">
        <x:f t="shared" si="111"/>
        <x:v>24348</x:v>
      </x:c>
      <x:c r="I1201" s="12">
        <x:f t="shared" si="109"/>
        <x:v>92765880</x:v>
      </x:c>
      <x:c r="J1201" s="12">
        <x:f>ROUND(英雄升级调参!$D$98*英雄升级调参!$J$10*英雄升级调参!$E$25,0)</x:f>
        <x:v>135</x:v>
      </x:c>
      <x:c r="K1201" s="12">
        <x:f>ROUND(英雄升级调参!$D$98*英雄升级调参!$C$11*英雄升级调参!$J$10*英雄升级调参!$G$25,0)</x:f>
        <x:v>864</x:v>
      </x:c>
      <x:c r="L1201" s="12" t="n">
        <x:f>养成消耗调参!$D$180</x:f>
        <x:v>1080</x:v>
      </x:c>
      <x:c r="M1201" s="12" t="n">
        <x:f>养成消耗调参!$G$180</x:f>
        <x:v>7200</x:v>
      </x:c>
      <x:c r="N1201" s="12" t="n">
        <x:f>养成消耗调参!$I$180</x:f>
        <x:v>0</x:v>
      </x:c>
      <x:c r="O1201" s="12" t="n">
        <x:f>养成消耗调参!$K$180</x:f>
        <x:v>17352</x:v>
      </x:c>
      <x:c r="P1201" s="12" t="n">
        <x:f>养成消耗调参!$N$180</x:f>
        <x:v>102150</x:v>
      </x:c>
      <x:c r="Q1201" s="12" t="n">
        <x:f>养成消耗调参!$P$180</x:f>
        <x:v>360</x:v>
      </x:c>
      <x:c r="R1201" s="13">
        <x:f>I1201/英雄升级调参!$J$98-1</x:f>
        <x:v>-0.0019646365422396617</x:v>
      </x:c>
      <x:c r="S1201" s="6"/>
      <x:c r="T1201" s="6"/>
      <x:c r="U1201" s="6"/>
    </x:row>
    <x:row r="1202" ht="21" customHeight="1">
      <x:c r="A1202" s="14" t="n">
        <x:f>英雄升级调参!$B$25</x:f>
        <x:v>310008</x:v>
      </x:c>
      <x:c r="B1202" s="14" t="str">
        <x:f>英雄升级调参!$C$25</x:f>
        <x:v>魔魔龙</x:v>
      </x:c>
      <x:c r="C1202" s="6" t="str">
        <x:f>英雄升级调参!$D$25</x:f>
        <x:v>战士</x:v>
      </x:c>
      <x:c r="D1202" s="6" t="s">
        <x:v>22</x:v>
      </x:c>
      <x:c r="E1202" s="6">
        <x:v>34</x:v>
      </x:c>
      <x:c r="F1202" s="6" t="n">
        <x:f>英雄升级调参!$C$99</x:f>
        <x:v>7</x:v>
      </x:c>
      <x:c r="G1202" s="12">
        <x:f t="shared" ref="G1202:G1218" si="112">G1201+J1202</x:f>
        <x:v>3945</x:v>
      </x:c>
      <x:c r="H1202" s="12">
        <x:f t="shared" ref="H1202:H1218" si="113">H1201+K1202</x:f>
        <x:v>25212</x:v>
      </x:c>
      <x:c r="I1202" s="12">
        <x:f t="shared" si="109"/>
        <x:v>99461340</x:v>
      </x:c>
      <x:c r="J1202" s="12">
        <x:f>ROUND(英雄升级调参!$D$99*英雄升级调参!$J$10*英雄升级调参!$E$25,0)</x:f>
        <x:v>135</x:v>
      </x:c>
      <x:c r="K1202" s="12">
        <x:f>ROUND(英雄升级调参!$D$99*英雄升级调参!$C$11*英雄升级调参!$J$10*英雄升级调参!$G$25,0)</x:f>
        <x:v>864</x:v>
      </x:c>
      <x:c r="L1202" s="12" t="n">
        <x:f>养成消耗调参!$D$181</x:f>
        <x:v>1152</x:v>
      </x:c>
      <x:c r="M1202" s="12" t="n">
        <x:f>养成消耗调参!$G$181</x:f>
        <x:v>7200</x:v>
      </x:c>
      <x:c r="N1202" s="12" t="n">
        <x:f>养成消耗调参!$I$181</x:f>
        <x:v>0</x:v>
      </x:c>
      <x:c r="O1202" s="12" t="n">
        <x:f>养成消耗调参!$K$181</x:f>
        <x:v>18504</x:v>
      </x:c>
      <x:c r="P1202" s="12" t="n">
        <x:f>养成消耗调参!$N$181</x:f>
        <x:v>109350</x:v>
      </x:c>
      <x:c r="Q1202" s="12" t="n">
        <x:f>养成消耗调参!$P$181</x:f>
        <x:v>360</x:v>
      </x:c>
      <x:c r="R1202" s="13">
        <x:f>I1202/英雄升级调参!$J$99-1</x:f>
        <x:v>-0.00189753320683117</x:v>
      </x:c>
      <x:c r="S1202" s="6"/>
      <x:c r="T1202" s="6"/>
      <x:c r="U1202" s="6"/>
    </x:row>
    <x:row r="1203" ht="21" customHeight="1">
      <x:c r="A1203" s="14" t="n">
        <x:f>英雄升级调参!$B$25</x:f>
        <x:v>310008</x:v>
      </x:c>
      <x:c r="B1203" s="14" t="str">
        <x:f>英雄升级调参!$C$25</x:f>
        <x:v>魔魔龙</x:v>
      </x:c>
      <x:c r="C1203" s="6" t="str">
        <x:f>英雄升级调参!$D$25</x:f>
        <x:v>战士</x:v>
      </x:c>
      <x:c r="D1203" s="6" t="s">
        <x:v>22</x:v>
      </x:c>
      <x:c r="E1203" s="6">
        <x:v>35</x:v>
      </x:c>
      <x:c r="F1203" s="6" t="n">
        <x:f>英雄升级调参!$C$100</x:f>
        <x:v>7</x:v>
      </x:c>
      <x:c r="G1203" s="12">
        <x:f t="shared" si="112"/>
        <x:v>4350</x:v>
      </x:c>
      <x:c r="H1203" s="12">
        <x:f t="shared" si="113"/>
        <x:v>27804</x:v>
      </x:c>
      <x:c r="I1203" s="12">
        <x:f t="shared" si="109"/>
        <x:v>120947400</x:v>
      </x:c>
      <x:c r="J1203" s="12">
        <x:f>ROUND(英雄升级调参!$D$100*英雄升级调参!$J$10*英雄升级调参!$E$25,0)*3</x:f>
        <x:v>405</x:v>
      </x:c>
      <x:c r="K1203" s="12">
        <x:f>ROUND(英雄升级调参!$D$100*英雄升级调参!$C$11*英雄升级调参!$J$10*英雄升级调参!$G$25,0)*3</x:f>
        <x:v>2592</x:v>
      </x:c>
      <x:c r="L1203" s="12" t="n">
        <x:f>养成消耗调参!$D$182</x:f>
        <x:v>1152</x:v>
      </x:c>
      <x:c r="M1203" s="12" t="n">
        <x:f>养成消耗调参!$G$182</x:f>
        <x:v>7200</x:v>
      </x:c>
      <x:c r="N1203" s="12" t="n">
        <x:f>养成消耗调参!$I$182</x:f>
        <x:v>130</x:v>
      </x:c>
      <x:c r="O1203" s="12" t="n">
        <x:f>养成消耗调参!$K$182</x:f>
        <x:v>19656</x:v>
      </x:c>
      <x:c r="P1203" s="12" t="n">
        <x:f>养成消耗调参!$N$182</x:f>
        <x:v>116550</x:v>
      </x:c>
      <x:c r="Q1203" s="12" t="n">
        <x:f>养成消耗调参!$P$182</x:f>
        <x:v>490</x:v>
      </x:c>
      <x:c r="R1203" s="13">
        <x:f>I1203/英雄升级调参!$J$100-1</x:f>
        <x:v>-0.0017211703958691649</x:v>
      </x:c>
      <x:c r="S1203" s="6"/>
      <x:c r="T1203" s="6"/>
      <x:c r="U1203" s="6"/>
    </x:row>
    <x:row r="1204" ht="21" customHeight="1">
      <x:c r="A1204" s="14" t="n">
        <x:f>英雄升级调参!$B$25</x:f>
        <x:v>310008</x:v>
      </x:c>
      <x:c r="B1204" s="14" t="str">
        <x:f>英雄升级调参!$C$25</x:f>
        <x:v>魔魔龙</x:v>
      </x:c>
      <x:c r="C1204" s="6" t="str">
        <x:f>英雄升级调参!$D$25</x:f>
        <x:v>战士</x:v>
      </x:c>
      <x:c r="D1204" s="6" t="s">
        <x:v>22</x:v>
      </x:c>
      <x:c r="E1204" s="6">
        <x:v>36</x:v>
      </x:c>
      <x:c r="F1204" s="6" t="n">
        <x:f>英雄升级调参!$C$101</x:f>
        <x:v>8</x:v>
      </x:c>
      <x:c r="G1204" s="12">
        <x:f t="shared" si="112"/>
        <x:v>4502</x:v>
      </x:c>
      <x:c r="H1204" s="12">
        <x:f t="shared" si="113"/>
        <x:v>28776</x:v>
      </x:c>
      <x:c r="I1204" s="12">
        <x:f t="shared" si="109"/>
        <x:v>129549552</x:v>
      </x:c>
      <x:c r="J1204" s="12">
        <x:f>ROUND(英雄升级调参!$D$101*英雄升级调参!$J$10*英雄升级调参!$E$25,0)</x:f>
        <x:v>152</x:v>
      </x:c>
      <x:c r="K1204" s="12">
        <x:f>ROUND(英雄升级调参!$D$101*英雄升级调参!$C$11*英雄升级调参!$J$10*英雄升级调参!$G$25,0)</x:f>
        <x:v>972</x:v>
      </x:c>
      <x:c r="L1204" s="12" t="n">
        <x:f>养成消耗调参!$D$183</x:f>
        <x:v>1224</x:v>
      </x:c>
      <x:c r="M1204" s="12" t="n">
        <x:f>养成消耗调参!$G$183</x:f>
        <x:v>7200</x:v>
      </x:c>
      <x:c r="N1204" s="12" t="n">
        <x:f>养成消耗调参!$I$183</x:f>
        <x:v>0</x:v>
      </x:c>
      <x:c r="O1204" s="12" t="n">
        <x:f>养成消耗调参!$K$183</x:f>
        <x:v>20880</x:v>
      </x:c>
      <x:c r="P1204" s="12" t="n">
        <x:f>养成消耗调参!$N$183</x:f>
        <x:v>123750</x:v>
      </x:c>
      <x:c r="Q1204" s="12" t="n">
        <x:f>养成消耗调参!$P$183</x:f>
        <x:v>490</x:v>
      </x:c>
      <x:c r="R1204" s="13">
        <x:f>I1204/英雄升级调参!$J$101-1</x:f>
        <x:v>-0.0017738359201774356</x:v>
      </x:c>
      <x:c r="S1204" s="6"/>
      <x:c r="T1204" s="6"/>
      <x:c r="U1204" s="6"/>
    </x:row>
    <x:row r="1205" ht="21" customHeight="1">
      <x:c r="A1205" s="14" t="n">
        <x:f>英雄升级调参!$B$25</x:f>
        <x:v>310008</x:v>
      </x:c>
      <x:c r="B1205" s="14" t="str">
        <x:f>英雄升级调参!$C$25</x:f>
        <x:v>魔魔龙</x:v>
      </x:c>
      <x:c r="C1205" s="6" t="str">
        <x:f>英雄升级调参!$D$25</x:f>
        <x:v>战士</x:v>
      </x:c>
      <x:c r="D1205" s="6" t="s">
        <x:v>22</x:v>
      </x:c>
      <x:c r="E1205" s="6">
        <x:v>37</x:v>
      </x:c>
      <x:c r="F1205" s="6" t="n">
        <x:f>英雄升级调参!$C$102</x:f>
        <x:v>8</x:v>
      </x:c>
      <x:c r="G1205" s="12">
        <x:f t="shared" si="112"/>
        <x:v>4654</x:v>
      </x:c>
      <x:c r="H1205" s="12">
        <x:f t="shared" si="113"/>
        <x:v>29748</x:v>
      </x:c>
      <x:c r="I1205" s="12">
        <x:f t="shared" si="109"/>
        <x:v>138447192</x:v>
      </x:c>
      <x:c r="J1205" s="12">
        <x:f>ROUND(英雄升级调参!$D$102*英雄升级调参!$J$10*英雄升级调参!$E$25,0)</x:f>
        <x:v>152</x:v>
      </x:c>
      <x:c r="K1205" s="12">
        <x:f>ROUND(英雄升级调参!$D$102*英雄升级调参!$C$11*英雄升级调参!$J$10*英雄升级调参!$G$25,0)</x:f>
        <x:v>972</x:v>
      </x:c>
      <x:c r="L1205" s="12" t="n">
        <x:f>养成消耗调参!$D$184</x:f>
        <x:v>1224</x:v>
      </x:c>
      <x:c r="M1205" s="12" t="n">
        <x:f>养成消耗调参!$G$184</x:f>
        <x:v>8550</x:v>
      </x:c>
      <x:c r="N1205" s="12" t="n">
        <x:f>养成消耗调参!$I$184</x:f>
        <x:v>0</x:v>
      </x:c>
      <x:c r="O1205" s="12" t="n">
        <x:f>养成消耗调参!$K$184</x:f>
        <x:v>22104</x:v>
      </x:c>
      <x:c r="P1205" s="12" t="n">
        <x:f>养成消耗调参!$N$184</x:f>
        <x:v>132300</x:v>
      </x:c>
      <x:c r="Q1205" s="12" t="n">
        <x:f>养成消耗调参!$P$184</x:f>
        <x:v>490</x:v>
      </x:c>
      <x:c r="R1205" s="13">
        <x:f>I1205/英雄升级调参!$J$102-1</x:f>
        <x:v>-0.0018230563002681333</x:v>
      </x:c>
      <x:c r="S1205" s="6"/>
      <x:c r="T1205" s="6"/>
      <x:c r="U1205" s="6"/>
    </x:row>
    <x:row r="1206" ht="21" customHeight="1">
      <x:c r="A1206" s="14" t="n">
        <x:f>英雄升级调参!$B$25</x:f>
        <x:v>310008</x:v>
      </x:c>
      <x:c r="B1206" s="14" t="str">
        <x:f>英雄升级调参!$C$25</x:f>
        <x:v>魔魔龙</x:v>
      </x:c>
      <x:c r="C1206" s="6" t="str">
        <x:f>英雄升级调参!$D$25</x:f>
        <x:v>战士</x:v>
      </x:c>
      <x:c r="D1206" s="6" t="s">
        <x:v>22</x:v>
      </x:c>
      <x:c r="E1206" s="6">
        <x:v>38</x:v>
      </x:c>
      <x:c r="F1206" s="6" t="n">
        <x:f>英雄升级调参!$C$103</x:f>
        <x:v>8</x:v>
      </x:c>
      <x:c r="G1206" s="12">
        <x:f t="shared" si="112"/>
        <x:v>4806</x:v>
      </x:c>
      <x:c r="H1206" s="12">
        <x:f t="shared" si="113"/>
        <x:v>30720</x:v>
      </x:c>
      <x:c r="I1206" s="12">
        <x:f t="shared" si="109"/>
        <x:v>147640320</x:v>
      </x:c>
      <x:c r="J1206" s="12">
        <x:f>ROUND(英雄升级调参!$D$103*英雄升级调参!$J$10*英雄升级调参!$E$25,0)</x:f>
        <x:v>152</x:v>
      </x:c>
      <x:c r="K1206" s="12">
        <x:f>ROUND(英雄升级调参!$D$103*英雄升级调参!$C$11*英雄升级调参!$J$10*英雄升级调参!$G$25,0)</x:f>
        <x:v>972</x:v>
      </x:c>
      <x:c r="L1206" s="12" t="n">
        <x:f>养成消耗调参!$D$185</x:f>
        <x:v>1296</x:v>
      </x:c>
      <x:c r="M1206" s="12" t="n">
        <x:f>养成消耗调参!$G$185</x:f>
        <x:v>8550</x:v>
      </x:c>
      <x:c r="N1206" s="12" t="n">
        <x:f>养成消耗调参!$I$185</x:f>
        <x:v>0</x:v>
      </x:c>
      <x:c r="O1206" s="12" t="n">
        <x:f>养成消耗调参!$K$185</x:f>
        <x:v>23400</x:v>
      </x:c>
      <x:c r="P1206" s="12" t="n">
        <x:f>养成消耗调参!$N$185</x:f>
        <x:v>140850</x:v>
      </x:c>
      <x:c r="Q1206" s="12" t="n">
        <x:f>养成消耗调参!$P$185</x:f>
        <x:v>490</x:v>
      </x:c>
      <x:c r="R1206" s="13">
        <x:f>I1206/英雄升级调参!$J$103-1</x:f>
        <x:v>-0.0018691588785046953</x:v>
      </x:c>
      <x:c r="S1206" s="6"/>
      <x:c r="T1206" s="6"/>
      <x:c r="U1206" s="6"/>
    </x:row>
    <x:row r="1207" ht="21" customHeight="1">
      <x:c r="A1207" s="14" t="n">
        <x:f>英雄升级调参!$B$25</x:f>
        <x:v>310008</x:v>
      </x:c>
      <x:c r="B1207" s="14" t="str">
        <x:f>英雄升级调参!$C$25</x:f>
        <x:v>魔魔龙</x:v>
      </x:c>
      <x:c r="C1207" s="6" t="str">
        <x:f>英雄升级调参!$D$25</x:f>
        <x:v>战士</x:v>
      </x:c>
      <x:c r="D1207" s="6" t="s">
        <x:v>22</x:v>
      </x:c>
      <x:c r="E1207" s="6">
        <x:v>39</x:v>
      </x:c>
      <x:c r="F1207" s="6" t="n">
        <x:f>英雄升级调参!$C$104</x:f>
        <x:v>8</x:v>
      </x:c>
      <x:c r="G1207" s="12">
        <x:f t="shared" si="112"/>
        <x:v>4958</x:v>
      </x:c>
      <x:c r="H1207" s="12">
        <x:f t="shared" si="113"/>
        <x:v>31692</x:v>
      </x:c>
      <x:c r="I1207" s="12">
        <x:f t="shared" si="109"/>
        <x:v>157128936</x:v>
      </x:c>
      <x:c r="J1207" s="12">
        <x:f>ROUND(英雄升级调参!$D$104*英雄升级调参!$J$10*英雄升级调参!$E$25,0)</x:f>
        <x:v>152</x:v>
      </x:c>
      <x:c r="K1207" s="12">
        <x:f>ROUND(英雄升级调参!$D$104*英雄升级调参!$C$11*英雄升级调参!$J$10*英雄升级调参!$G$25,0)</x:f>
        <x:v>972</x:v>
      </x:c>
      <x:c r="L1207" s="12" t="n">
        <x:f>养成消耗调参!$D$186</x:f>
        <x:v>1296</x:v>
      </x:c>
      <x:c r="M1207" s="12" t="n">
        <x:f>养成消耗调参!$G$186</x:f>
        <x:v>8550</x:v>
      </x:c>
      <x:c r="N1207" s="12" t="n">
        <x:f>养成消耗调参!$I$186</x:f>
        <x:v>0</x:v>
      </x:c>
      <x:c r="O1207" s="12" t="n">
        <x:f>养成消耗调参!$K$186</x:f>
        <x:v>24696</x:v>
      </x:c>
      <x:c r="P1207" s="12" t="n">
        <x:f>养成消耗调参!$N$186</x:f>
        <x:v>149400</x:v>
      </x:c>
      <x:c r="Q1207" s="12" t="n">
        <x:f>养成消耗调参!$P$186</x:f>
        <x:v>490</x:v>
      </x:c>
      <x:c r="R1207" s="13">
        <x:f>I1207/英雄升级调参!$J$104-1</x:f>
        <x:v>-0.0019124308002013146</x:v>
      </x:c>
      <x:c r="S1207" s="6"/>
      <x:c r="T1207" s="6"/>
      <x:c r="U1207" s="6"/>
    </x:row>
    <x:row r="1208" ht="21" customHeight="1">
      <x:c r="A1208" s="14" t="n">
        <x:f>英雄升级调参!$B$25</x:f>
        <x:v>310008</x:v>
      </x:c>
      <x:c r="B1208" s="14" t="str">
        <x:f>英雄升级调参!$C$25</x:f>
        <x:v>魔魔龙</x:v>
      </x:c>
      <x:c r="C1208" s="6" t="str">
        <x:f>英雄升级调参!$D$25</x:f>
        <x:v>战士</x:v>
      </x:c>
      <x:c r="D1208" s="6" t="s">
        <x:v>22</x:v>
      </x:c>
      <x:c r="E1208" s="6">
        <x:v>40</x:v>
      </x:c>
      <x:c r="F1208" s="6" t="n">
        <x:f>英雄升级调参!$C$105</x:f>
        <x:v>8</x:v>
      </x:c>
      <x:c r="G1208" s="12">
        <x:f t="shared" si="112"/>
        <x:v>5414</x:v>
      </x:c>
      <x:c r="H1208" s="12">
        <x:f t="shared" si="113"/>
        <x:v>34608</x:v>
      </x:c>
      <x:c r="I1208" s="12">
        <x:f t="shared" si="109"/>
        <x:v>187367712</x:v>
      </x:c>
      <x:c r="J1208" s="12">
        <x:f>ROUND(英雄升级调参!$D$105*英雄升级调参!$J$10*英雄升级调参!$E$25,0)*3</x:f>
        <x:v>456</x:v>
      </x:c>
      <x:c r="K1208" s="12">
        <x:f>ROUND(英雄升级调参!$D$105*英雄升级调参!$C$11*英雄升级调参!$J$10*英雄升级调参!$G$25,0)*3</x:f>
        <x:v>2916</x:v>
      </x:c>
      <x:c r="L1208" s="12" t="n">
        <x:f>养成消耗调参!$D$187</x:f>
        <x:v>1368</x:v>
      </x:c>
      <x:c r="M1208" s="12" t="n">
        <x:f>养成消耗调参!$G$187</x:f>
        <x:v>8550</x:v>
      </x:c>
      <x:c r="N1208" s="12" t="n">
        <x:f>养成消耗调参!$I$187</x:f>
        <x:v>150</x:v>
      </x:c>
      <x:c r="O1208" s="12" t="n">
        <x:f>养成消耗调参!$K$187</x:f>
        <x:v>26064</x:v>
      </x:c>
      <x:c r="P1208" s="12" t="n">
        <x:f>养成消耗调参!$N$187</x:f>
        <x:v>157950</x:v>
      </x:c>
      <x:c r="Q1208" s="12" t="n">
        <x:f>养成消耗调参!$P$187</x:f>
        <x:v>640</x:v>
      </x:c>
      <x:c r="R1208" s="13">
        <x:f>I1208/英雄升级调参!$J$105-1</x:f>
        <x:v>-0.002027649769585249</x:v>
      </x:c>
      <x:c r="S1208" s="6"/>
      <x:c r="T1208" s="6"/>
      <x:c r="U1208" s="6"/>
    </x:row>
    <x:row r="1209" ht="21" customHeight="1">
      <x:c r="A1209" s="14" t="n">
        <x:f>英雄升级调参!$B$25</x:f>
        <x:v>310008</x:v>
      </x:c>
      <x:c r="B1209" s="14" t="str">
        <x:f>英雄升级调参!$C$25</x:f>
        <x:v>魔魔龙</x:v>
      </x:c>
      <x:c r="C1209" s="6" t="str">
        <x:f>英雄升级调参!$D$25</x:f>
        <x:v>战士</x:v>
      </x:c>
      <x:c r="D1209" s="6" t="s">
        <x:v>22</x:v>
      </x:c>
      <x:c r="E1209" s="6">
        <x:v>41</x:v>
      </x:c>
      <x:c r="F1209" s="6" t="n">
        <x:f>英雄升级调参!$C$106</x:f>
        <x:v>9</x:v>
      </x:c>
      <x:c r="G1209" s="12">
        <x:f t="shared" si="112"/>
        <x:v>5583</x:v>
      </x:c>
      <x:c r="H1209" s="12">
        <x:f t="shared" si="113"/>
        <x:v>35688</x:v>
      </x:c>
      <x:c r="I1209" s="12">
        <x:f t="shared" si="109"/>
        <x:v>199246104</x:v>
      </x:c>
      <x:c r="J1209" s="12">
        <x:f>ROUND(英雄升级调参!$D$106*英雄升级调参!$J$10*英雄升级调参!$E$25,0)</x:f>
        <x:v>169</x:v>
      </x:c>
      <x:c r="K1209" s="12">
        <x:f>ROUND(英雄升级调参!$D$106*英雄升级调参!$C$11*英雄升级调参!$J$10*英雄升级调参!$G$25,0)</x:f>
        <x:v>1080</x:v>
      </x:c>
      <x:c r="L1209" s="12" t="n">
        <x:f>养成消耗调参!$D$188</x:f>
        <x:v>1368</x:v>
      </x:c>
      <x:c r="M1209" s="12" t="n">
        <x:f>养成消耗调参!$G$188</x:f>
        <x:v>8550</x:v>
      </x:c>
      <x:c r="N1209" s="12" t="n">
        <x:f>养成消耗调参!$I$188</x:f>
        <x:v>0</x:v>
      </x:c>
      <x:c r="O1209" s="12" t="n">
        <x:f>养成消耗调参!$K$188</x:f>
        <x:v>27432</x:v>
      </x:c>
      <x:c r="P1209" s="12" t="n">
        <x:f>养成消耗调参!$N$188</x:f>
        <x:v>166500</x:v>
      </x:c>
      <x:c r="Q1209" s="12" t="n">
        <x:f>养成消耗调参!$P$188</x:f>
        <x:v>640</x:v>
      </x:c>
      <x:c r="R1209" s="13">
        <x:f>I1209/英雄升级调参!$J$106-1</x:f>
        <x:v>-0.0019217877094972469</x:v>
      </x:c>
      <x:c r="S1209" s="6"/>
      <x:c r="T1209" s="6"/>
      <x:c r="U1209" s="6"/>
    </x:row>
    <x:row r="1210" ht="21" customHeight="1">
      <x:c r="A1210" s="14" t="n">
        <x:f>英雄升级调参!$B$25</x:f>
        <x:v>310008</x:v>
      </x:c>
      <x:c r="B1210" s="14" t="str">
        <x:f>英雄升级调参!$C$25</x:f>
        <x:v>魔魔龙</x:v>
      </x:c>
      <x:c r="C1210" s="6" t="str">
        <x:f>英雄升级调参!$D$25</x:f>
        <x:v>战士</x:v>
      </x:c>
      <x:c r="D1210" s="6" t="s">
        <x:v>22</x:v>
      </x:c>
      <x:c r="E1210" s="6">
        <x:v>42</x:v>
      </x:c>
      <x:c r="F1210" s="6" t="n">
        <x:f>英雄升级调参!$C$107</x:f>
        <x:v>9</x:v>
      </x:c>
      <x:c r="G1210" s="12">
        <x:f t="shared" si="112"/>
        <x:v>5752</x:v>
      </x:c>
      <x:c r="H1210" s="12">
        <x:f t="shared" si="113"/>
        <x:v>36768</x:v>
      </x:c>
      <x:c r="I1210" s="12">
        <x:f t="shared" si="109"/>
        <x:v>211489536</x:v>
      </x:c>
      <x:c r="J1210" s="12">
        <x:f>ROUND(英雄升级调参!$D$107*英雄升级调参!$J$10*英雄升级调参!$E$25,0)</x:f>
        <x:v>169</x:v>
      </x:c>
      <x:c r="K1210" s="12">
        <x:f>ROUND(英雄升级调参!$D$107*英雄升级调参!$C$11*英雄升级调参!$J$10*英雄升级调参!$G$25,0)</x:f>
        <x:v>1080</x:v>
      </x:c>
      <x:c r="L1210" s="12" t="n">
        <x:f>养成消耗调参!$D$189</x:f>
        <x:v>1440</x:v>
      </x:c>
      <x:c r="M1210" s="12" t="n">
        <x:f>养成消耗调参!$G$189</x:f>
        <x:v>9900</x:v>
      </x:c>
      <x:c r="N1210" s="12" t="n">
        <x:f>养成消耗调参!$I$189</x:f>
        <x:v>0</x:v>
      </x:c>
      <x:c r="O1210" s="12" t="n">
        <x:f>养成消耗调参!$K$189</x:f>
        <x:v>28872</x:v>
      </x:c>
      <x:c r="P1210" s="12" t="n">
        <x:f>养成消耗调参!$N$189</x:f>
        <x:v>176400</x:v>
      </x:c>
      <x:c r="Q1210" s="12" t="n">
        <x:f>养成消耗调参!$P$189</x:f>
        <x:v>640</x:v>
      </x:c>
      <x:c r="R1210" s="13">
        <x:f>I1210/英雄升级调参!$J$107-1</x:f>
        <x:v>-0.0018221258134489826</x:v>
      </x:c>
      <x:c r="S1210" s="6"/>
      <x:c r="T1210" s="6"/>
      <x:c r="U1210" s="6"/>
    </x:row>
    <x:row r="1211" ht="21" customHeight="1">
      <x:c r="A1211" s="14" t="n">
        <x:f>英雄升级调参!$B$25</x:f>
        <x:v>310008</x:v>
      </x:c>
      <x:c r="B1211" s="14" t="str">
        <x:f>英雄升级调参!$C$25</x:f>
        <x:v>魔魔龙</x:v>
      </x:c>
      <x:c r="C1211" s="6" t="str">
        <x:f>英雄升级调参!$D$25</x:f>
        <x:v>战士</x:v>
      </x:c>
      <x:c r="D1211" s="6" t="s">
        <x:v>22</x:v>
      </x:c>
      <x:c r="E1211" s="6">
        <x:v>43</x:v>
      </x:c>
      <x:c r="F1211" s="6" t="n">
        <x:f>英雄升级调参!$C$108</x:f>
        <x:v>9</x:v>
      </x:c>
      <x:c r="G1211" s="12">
        <x:f t="shared" si="112"/>
        <x:v>5921</x:v>
      </x:c>
      <x:c r="H1211" s="12">
        <x:f t="shared" si="113"/>
        <x:v>37848</x:v>
      </x:c>
      <x:c r="I1211" s="12">
        <x:f t="shared" si="109"/>
        <x:v>224098008</x:v>
      </x:c>
      <x:c r="J1211" s="12">
        <x:f>ROUND(英雄升级调参!$D$108*英雄升级调参!$J$10*英雄升级调参!$E$25,0)</x:f>
        <x:v>169</x:v>
      </x:c>
      <x:c r="K1211" s="12">
        <x:f>ROUND(英雄升级调参!$D$108*英雄升级调参!$C$11*英雄升级调参!$J$10*英雄升级调参!$G$25,0)</x:f>
        <x:v>1080</x:v>
      </x:c>
      <x:c r="L1211" s="12" t="n">
        <x:f>养成消耗调参!$D$190</x:f>
        <x:v>1440</x:v>
      </x:c>
      <x:c r="M1211" s="12" t="n">
        <x:f>养成消耗调参!$G$190</x:f>
        <x:v>9900</x:v>
      </x:c>
      <x:c r="N1211" s="12" t="n">
        <x:f>养成消耗调参!$I$190</x:f>
        <x:v>0</x:v>
      </x:c>
      <x:c r="O1211" s="12" t="n">
        <x:f>养成消耗调参!$K$190</x:f>
        <x:v>30312</x:v>
      </x:c>
      <x:c r="P1211" s="12" t="n">
        <x:f>养成消耗调参!$N$190</x:f>
        <x:v>186300</x:v>
      </x:c>
      <x:c r="Q1211" s="12" t="n">
        <x:f>养成消耗调参!$P$190</x:f>
        <x:v>640</x:v>
      </x:c>
      <x:c r="R1211" s="13">
        <x:f>I1211/英雄升级调参!$J$108-1</x:f>
        <x:v>-0.0017281348788198425</x:v>
      </x:c>
      <x:c r="S1211" s="6"/>
      <x:c r="T1211" s="6"/>
      <x:c r="U1211" s="6"/>
    </x:row>
    <x:row r="1212" ht="21" customHeight="1">
      <x:c r="A1212" s="14" t="n">
        <x:f>英雄升级调参!$B$25</x:f>
        <x:v>310008</x:v>
      </x:c>
      <x:c r="B1212" s="14" t="str">
        <x:f>英雄升级调参!$C$25</x:f>
        <x:v>魔魔龙</x:v>
      </x:c>
      <x:c r="C1212" s="6" t="str">
        <x:f>英雄升级调参!$D$25</x:f>
        <x:v>战士</x:v>
      </x:c>
      <x:c r="D1212" s="6" t="s">
        <x:v>22</x:v>
      </x:c>
      <x:c r="E1212" s="6">
        <x:v>44</x:v>
      </x:c>
      <x:c r="F1212" s="6" t="n">
        <x:f>英雄升级调参!$C$109</x:f>
        <x:v>9</x:v>
      </x:c>
      <x:c r="G1212" s="12">
        <x:f t="shared" si="112"/>
        <x:v>6090</x:v>
      </x:c>
      <x:c r="H1212" s="12">
        <x:f t="shared" si="113"/>
        <x:v>38928</x:v>
      </x:c>
      <x:c r="I1212" s="12">
        <x:f t="shared" si="109"/>
        <x:v>237071520</x:v>
      </x:c>
      <x:c r="J1212" s="12">
        <x:f>ROUND(英雄升级调参!$D$109*英雄升级调参!$J$10*英雄升级调参!$E$25,0)</x:f>
        <x:v>169</x:v>
      </x:c>
      <x:c r="K1212" s="12">
        <x:f>ROUND(英雄升级调参!$D$109*英雄升级调参!$C$11*英雄升级调参!$J$10*英雄升级调参!$G$25,0)</x:f>
        <x:v>1080</x:v>
      </x:c>
      <x:c r="L1212" s="12" t="n">
        <x:f>养成消耗调参!$D$191</x:f>
        <x:v>1512</x:v>
      </x:c>
      <x:c r="M1212" s="12" t="n">
        <x:f>养成消耗调参!$G$191</x:f>
        <x:v>9900</x:v>
      </x:c>
      <x:c r="N1212" s="12" t="n">
        <x:f>养成消耗调参!$I$191</x:f>
        <x:v>0</x:v>
      </x:c>
      <x:c r="O1212" s="12" t="n">
        <x:f>养成消耗调参!$K$191</x:f>
        <x:v>31824</x:v>
      </x:c>
      <x:c r="P1212" s="12" t="n">
        <x:f>养成消耗调参!$N$191</x:f>
        <x:v>196200</x:v>
      </x:c>
      <x:c r="Q1212" s="12" t="n">
        <x:f>养成消耗调参!$P$191</x:f>
        <x:v>640</x:v>
      </x:c>
      <x:c r="R1212" s="13">
        <x:f>I1212/英雄升级调参!$J$109-1</x:f>
        <x:v>-0.0016393442622950616</x:v>
      </x:c>
      <x:c r="S1212" s="6"/>
      <x:c r="T1212" s="6"/>
      <x:c r="U1212" s="6"/>
    </x:row>
    <x:row r="1213" ht="21" customHeight="1">
      <x:c r="A1213" s="14" t="n">
        <x:f>英雄升级调参!$B$25</x:f>
        <x:v>310008</x:v>
      </x:c>
      <x:c r="B1213" s="14" t="str">
        <x:f>英雄升级调参!$C$25</x:f>
        <x:v>魔魔龙</x:v>
      </x:c>
      <x:c r="C1213" s="6" t="str">
        <x:f>英雄升级调参!$D$25</x:f>
        <x:v>战士</x:v>
      </x:c>
      <x:c r="D1213" s="6" t="s">
        <x:v>22</x:v>
      </x:c>
      <x:c r="E1213" s="6">
        <x:v>45</x:v>
      </x:c>
      <x:c r="F1213" s="6" t="n">
        <x:f>英雄升级调参!$C$110</x:f>
        <x:v>9</x:v>
      </x:c>
      <x:c r="G1213" s="12">
        <x:f t="shared" si="112"/>
        <x:v>6597</x:v>
      </x:c>
      <x:c r="H1213" s="12">
        <x:f t="shared" si="113"/>
        <x:v>42168</x:v>
      </x:c>
      <x:c r="I1213" s="12">
        <x:f t="shared" si="109"/>
        <x:v>278182296</x:v>
      </x:c>
      <x:c r="J1213" s="12">
        <x:f>ROUND(英雄升级调参!$D$110*英雄升级调参!$J$10*英雄升级调参!$E$25,0)*3</x:f>
        <x:v>507</x:v>
      </x:c>
      <x:c r="K1213" s="12">
        <x:f>ROUND(英雄升级调参!$D$110*英雄升级调参!$C$11*英雄升级调参!$J$10*英雄升级调参!$G$25,0)*3</x:f>
        <x:v>3240</x:v>
      </x:c>
      <x:c r="L1213" s="12" t="n">
        <x:f>养成消耗调参!$D$192</x:f>
        <x:v>1512</x:v>
      </x:c>
      <x:c r="M1213" s="12" t="n">
        <x:f>养成消耗调参!$G$192</x:f>
        <x:v>9900</x:v>
      </x:c>
      <x:c r="N1213" s="12" t="n">
        <x:f>养成消耗调参!$I$192</x:f>
        <x:v>170</x:v>
      </x:c>
      <x:c r="O1213" s="12" t="n">
        <x:f>养成消耗调参!$K$192</x:f>
        <x:v>33336</x:v>
      </x:c>
      <x:c r="P1213" s="12" t="n">
        <x:f>养成消耗调参!$N$192</x:f>
        <x:v>206100</x:v>
      </x:c>
      <x:c r="Q1213" s="12" t="n">
        <x:f>养成消耗调参!$P$192</x:f>
        <x:v>810</x:v>
      </x:c>
      <x:c r="R1213" s="13">
        <x:f>I1213/英雄升级调参!$J$110-1</x:f>
        <x:v>-0.001400189214758707</x:v>
      </x:c>
      <x:c r="S1213" s="6"/>
      <x:c r="T1213" s="6"/>
      <x:c r="U1213" s="6"/>
    </x:row>
    <x:row r="1214" ht="21" customHeight="1">
      <x:c r="A1214" s="14" t="n">
        <x:f>英雄升级调参!$B$25</x:f>
        <x:v>310008</x:v>
      </x:c>
      <x:c r="B1214" s="14" t="str">
        <x:f>英雄升级调参!$C$25</x:f>
        <x:v>魔魔龙</x:v>
      </x:c>
      <x:c r="C1214" s="6" t="str">
        <x:f>英雄升级调参!$D$25</x:f>
        <x:v>战士</x:v>
      </x:c>
      <x:c r="D1214" s="6" t="s">
        <x:v>22</x:v>
      </x:c>
      <x:c r="E1214" s="6">
        <x:v>46</x:v>
      </x:c>
      <x:c r="F1214" s="6" t="n">
        <x:f>英雄升级调参!$C$111</x:f>
        <x:v>10</x:v>
      </x:c>
      <x:c r="G1214" s="12">
        <x:f t="shared" si="112"/>
        <x:v>6783</x:v>
      </x:c>
      <x:c r="H1214" s="12">
        <x:f t="shared" si="113"/>
        <x:v>43356</x:v>
      </x:c>
      <x:c r="I1214" s="12">
        <x:f t="shared" si="109"/>
        <x:v>294083748</x:v>
      </x:c>
      <x:c r="J1214" s="12">
        <x:f>ROUND(英雄升级调参!$D$111*英雄升级调参!$J$10*英雄升级调参!$E$25,0)</x:f>
        <x:v>186</x:v>
      </x:c>
      <x:c r="K1214" s="12">
        <x:f>ROUND(英雄升级调参!$D$111*英雄升级调参!$C$11*英雄升级调参!$J$10*英雄升级调参!$G$25,0)</x:f>
        <x:v>1188</x:v>
      </x:c>
      <x:c r="L1214" s="12" t="n">
        <x:f>养成消耗调参!$D$193</x:f>
        <x:v>1584</x:v>
      </x:c>
      <x:c r="M1214" s="12" t="n">
        <x:f>养成消耗调参!$G$193</x:f>
        <x:v>9900</x:v>
      </x:c>
      <x:c r="N1214" s="12" t="n">
        <x:f>养成消耗调参!$I$193</x:f>
        <x:v>0</x:v>
      </x:c>
      <x:c r="O1214" s="12" t="n">
        <x:f>养成消耗调参!$K$193</x:f>
        <x:v>34920</x:v>
      </x:c>
      <x:c r="P1214" s="12" t="n">
        <x:f>养成消耗调参!$N$193</x:f>
        <x:v>216000</x:v>
      </x:c>
      <x:c r="Q1214" s="12" t="n">
        <x:f>养成消耗调参!$P$193</x:f>
        <x:v>810</x:v>
      </x:c>
      <x:c r="R1214" s="13">
        <x:f>I1214/英雄升级调参!$J$111-1</x:f>
        <x:v>-0.0013986013986013734</x:v>
      </x:c>
      <x:c r="S1214" s="6"/>
      <x:c r="T1214" s="6"/>
      <x:c r="U1214" s="6"/>
    </x:row>
    <x:row r="1215" ht="21" customHeight="1">
      <x:c r="A1215" s="14" t="n">
        <x:f>英雄升级调参!$B$25</x:f>
        <x:v>310008</x:v>
      </x:c>
      <x:c r="B1215" s="14" t="str">
        <x:f>英雄升级调参!$C$25</x:f>
        <x:v>魔魔龙</x:v>
      </x:c>
      <x:c r="C1215" s="6" t="str">
        <x:f>英雄升级调参!$D$25</x:f>
        <x:v>战士</x:v>
      </x:c>
      <x:c r="D1215" s="6" t="s">
        <x:v>22</x:v>
      </x:c>
      <x:c r="E1215" s="6">
        <x:v>47</x:v>
      </x:c>
      <x:c r="F1215" s="6" t="n">
        <x:f>英雄升级调参!$C$112</x:f>
        <x:v>10</x:v>
      </x:c>
      <x:c r="G1215" s="12">
        <x:f t="shared" si="112"/>
        <x:v>6969</x:v>
      </x:c>
      <x:c r="H1215" s="12">
        <x:f t="shared" si="113"/>
        <x:v>44544</x:v>
      </x:c>
      <x:c r="I1215" s="12">
        <x:f t="shared" si="109"/>
        <x:v>310427136</x:v>
      </x:c>
      <x:c r="J1215" s="12">
        <x:f>ROUND(英雄升级调参!$D$112*英雄升级调参!$J$10*英雄升级调参!$E$25,0)</x:f>
        <x:v>186</x:v>
      </x:c>
      <x:c r="K1215" s="12">
        <x:f>ROUND(英雄升级调参!$D$112*英雄升级调参!$C$11*英雄升级调参!$J$10*英雄升级调参!$G$25,0)</x:f>
        <x:v>1188</x:v>
      </x:c>
      <x:c r="L1215" s="12" t="n">
        <x:f>养成消耗调参!$D$194</x:f>
        <x:v>1584</x:v>
      </x:c>
      <x:c r="M1215" s="12" t="n">
        <x:f>养成消耗调参!$G$194</x:f>
        <x:v>11250</x:v>
      </x:c>
      <x:c r="N1215" s="12" t="n">
        <x:f>养成消耗调参!$I$194</x:f>
        <x:v>0</x:v>
      </x:c>
      <x:c r="O1215" s="12" t="n">
        <x:f>养成消耗调参!$K$194</x:f>
        <x:v>36504</x:v>
      </x:c>
      <x:c r="P1215" s="12" t="n">
        <x:f>养成消耗调参!$N$194</x:f>
        <x:v>227250</x:v>
      </x:c>
      <x:c r="Q1215" s="12" t="n">
        <x:f>养成消耗调参!$P$194</x:f>
        <x:v>810</x:v>
      </x:c>
      <x:c r="R1215" s="13">
        <x:f>I1215/英雄升级调参!$J$112-1</x:f>
        <x:v>-0.0013970983342289633</x:v>
      </x:c>
      <x:c r="S1215" s="6"/>
      <x:c r="T1215" s="6"/>
      <x:c r="U1215" s="6"/>
    </x:row>
    <x:row r="1216" ht="21" customHeight="1">
      <x:c r="A1216" s="14" t="n">
        <x:f>英雄升级调参!$B$25</x:f>
        <x:v>310008</x:v>
      </x:c>
      <x:c r="B1216" s="14" t="str">
        <x:f>英雄升级调参!$C$25</x:f>
        <x:v>魔魔龙</x:v>
      </x:c>
      <x:c r="C1216" s="6" t="str">
        <x:f>英雄升级调参!$D$25</x:f>
        <x:v>战士</x:v>
      </x:c>
      <x:c r="D1216" s="6" t="s">
        <x:v>22</x:v>
      </x:c>
      <x:c r="E1216" s="6">
        <x:v>48</x:v>
      </x:c>
      <x:c r="F1216" s="6" t="n">
        <x:f>英雄升级调参!$C$113</x:f>
        <x:v>10</x:v>
      </x:c>
      <x:c r="G1216" s="12">
        <x:f t="shared" si="112"/>
        <x:v>7155</x:v>
      </x:c>
      <x:c r="H1216" s="12">
        <x:f t="shared" si="113"/>
        <x:v>45732</x:v>
      </x:c>
      <x:c r="I1216" s="12">
        <x:f t="shared" si="109"/>
        <x:v>327212460</x:v>
      </x:c>
      <x:c r="J1216" s="12">
        <x:f>ROUND(英雄升级调参!$D$113*英雄升级调参!$J$10*英雄升级调参!$E$25,0)</x:f>
        <x:v>186</x:v>
      </x:c>
      <x:c r="K1216" s="12">
        <x:f>ROUND(英雄升级调参!$D$113*英雄升级调参!$C$11*英雄升级调参!$J$10*英雄升级调参!$G$25,0)</x:f>
        <x:v>1188</x:v>
      </x:c>
      <x:c r="L1216" s="12" t="n">
        <x:f>养成消耗调参!$D$195</x:f>
        <x:v>1656</x:v>
      </x:c>
      <x:c r="M1216" s="12" t="n">
        <x:f>养成消耗调参!$G$195</x:f>
        <x:v>11250</x:v>
      </x:c>
      <x:c r="N1216" s="12" t="n">
        <x:f>养成消耗调参!$I$195</x:f>
        <x:v>0</x:v>
      </x:c>
      <x:c r="O1216" s="12" t="n">
        <x:f>养成消耗调参!$K$195</x:f>
        <x:v>38160</x:v>
      </x:c>
      <x:c r="P1216" s="12" t="n">
        <x:f>养成消耗调参!$N$195</x:f>
        <x:v>238500</x:v>
      </x:c>
      <x:c r="Q1216" s="12" t="n">
        <x:f>养成消耗调参!$P$195</x:f>
        <x:v>810</x:v>
      </x:c>
      <x:c r="R1216" s="13">
        <x:f>I1216/英雄升级调参!$J$113-1</x:f>
        <x:v>-0.0013956734124215275</x:v>
      </x:c>
      <x:c r="S1216" s="6"/>
      <x:c r="T1216" s="6"/>
      <x:c r="U1216" s="6"/>
    </x:row>
    <x:row r="1217" ht="21" customHeight="1">
      <x:c r="A1217" s="14" t="n">
        <x:f>英雄升级调参!$B$25</x:f>
        <x:v>310008</x:v>
      </x:c>
      <x:c r="B1217" s="14" t="str">
        <x:f>英雄升级调参!$C$25</x:f>
        <x:v>魔魔龙</x:v>
      </x:c>
      <x:c r="C1217" s="6" t="str">
        <x:f>英雄升级调参!$D$25</x:f>
        <x:v>战士</x:v>
      </x:c>
      <x:c r="D1217" s="6" t="s">
        <x:v>22</x:v>
      </x:c>
      <x:c r="E1217" s="6">
        <x:v>49</x:v>
      </x:c>
      <x:c r="F1217" s="6" t="n">
        <x:f>英雄升级调参!$C$114</x:f>
        <x:v>10</x:v>
      </x:c>
      <x:c r="G1217" s="12">
        <x:f t="shared" si="112"/>
        <x:v>7341</x:v>
      </x:c>
      <x:c r="H1217" s="12">
        <x:f t="shared" si="113"/>
        <x:v>46920</x:v>
      </x:c>
      <x:c r="I1217" s="12">
        <x:f t="shared" si="109"/>
        <x:v>344439720</x:v>
      </x:c>
      <x:c r="J1217" s="12">
        <x:f>ROUND(英雄升级调参!$D$114*英雄升级调参!$J$10*英雄升级调参!$E$25,0)</x:f>
        <x:v>186</x:v>
      </x:c>
      <x:c r="K1217" s="12">
        <x:f>ROUND(英雄升级调参!$D$114*英雄升级调参!$C$11*英雄升级调参!$J$10*英雄升级调参!$G$25,0)</x:f>
        <x:v>1188</x:v>
      </x:c>
      <x:c r="L1217" s="12" t="n">
        <x:f>养成消耗调参!$D$196</x:f>
        <x:v>1656</x:v>
      </x:c>
      <x:c r="M1217" s="12" t="n">
        <x:f>养成消耗调参!$G$196</x:f>
        <x:v>11250</x:v>
      </x:c>
      <x:c r="N1217" s="12" t="n">
        <x:f>养成消耗调参!$I$196</x:f>
        <x:v>0</x:v>
      </x:c>
      <x:c r="O1217" s="12" t="n">
        <x:f>养成消耗调参!$K$196</x:f>
        <x:v>39816</x:v>
      </x:c>
      <x:c r="P1217" s="12" t="n">
        <x:f>养成消耗调参!$N$196</x:f>
        <x:v>249750</x:v>
      </x:c>
      <x:c r="Q1217" s="12" t="n">
        <x:f>养成消耗调参!$P$196</x:f>
        <x:v>810</x:v>
      </x:c>
      <x:c r="R1217" s="13">
        <x:f>I1217/英雄升级调参!$J$114-1</x:f>
        <x:v>-0.0013943206937595543</x:v>
      </x:c>
      <x:c r="S1217" s="6"/>
      <x:c r="T1217" s="6"/>
      <x:c r="U1217" s="6"/>
    </x:row>
    <x:row r="1218" ht="21" customHeight="1">
      <x:c r="A1218" s="14" t="n">
        <x:f>英雄升级调参!$B$25</x:f>
        <x:v>310008</x:v>
      </x:c>
      <x:c r="B1218" s="14" t="str">
        <x:f>英雄升级调参!$C$25</x:f>
        <x:v>魔魔龙</x:v>
      </x:c>
      <x:c r="C1218" s="6" t="str">
        <x:f>英雄升级调参!$D$25</x:f>
        <x:v>战士</x:v>
      </x:c>
      <x:c r="D1218" s="6" t="s">
        <x:v>22</x:v>
      </x:c>
      <x:c r="E1218" s="6">
        <x:v>50</x:v>
      </x:c>
      <x:c r="F1218" s="6" t="n">
        <x:f>英雄升级调参!$C$115</x:f>
        <x:v>10</x:v>
      </x:c>
      <x:c r="G1218" s="12">
        <x:f t="shared" si="112"/>
        <x:v>7899</x:v>
      </x:c>
      <x:c r="H1218" s="12">
        <x:f t="shared" si="113"/>
        <x:v>50484</x:v>
      </x:c>
      <x:c r="I1218" s="12">
        <x:f t="shared" si="109"/>
        <x:v>398773116</x:v>
      </x:c>
      <x:c r="J1218" s="12">
        <x:f>ROUND(英雄升级调参!$D$115*英雄升级调参!$J$10*英雄升级调参!$E$25,0)*3</x:f>
        <x:v>558</x:v>
      </x:c>
      <x:c r="K1218" s="12">
        <x:f>ROUND(英雄升级调参!$D$115*英雄升级调参!$C$11*英雄升级调参!$J$10*英雄升级调参!$G$25,0)*3</x:f>
        <x:v>3564</x:v>
      </x:c>
      <x:c r="L1218" s="12" t="n">
        <x:f>养成消耗调参!$D$197</x:f>
        <x:v>1728</x:v>
      </x:c>
      <x:c r="M1218" s="12" t="n">
        <x:f>养成消耗调参!$G$197</x:f>
        <x:v>11250</x:v>
      </x:c>
      <x:c r="N1218" s="12" t="n">
        <x:f>养成消耗调参!$I$197</x:f>
        <x:v>190</x:v>
      </x:c>
      <x:c r="O1218" s="12" t="n">
        <x:f>养成消耗调参!$K$197</x:f>
        <x:v>41544</x:v>
      </x:c>
      <x:c r="P1218" s="12" t="n">
        <x:f>养成消耗调参!$N$197</x:f>
        <x:v>261000</x:v>
      </x:c>
      <x:c r="Q1218" s="12" t="n">
        <x:f>养成消耗调参!$P$197</x:f>
        <x:v>1000</x:v>
      </x:c>
      <x:c r="R1218" s="13">
        <x:f>I1218/英雄升级调参!$J$115-1</x:f>
        <x:v>-0.0013906447534766109</x:v>
      </x:c>
      <x:c r="S1218" s="6"/>
      <x:c r="T1218" s="6"/>
      <x:c r="U1218" s="6"/>
    </x:row>
    <x:row r="1219" ht="21" customHeight="1">
      <x:c r="A1219" s="14" t="n">
        <x:f>英雄升级调参!$B$25</x:f>
        <x:v>310008</x:v>
      </x:c>
      <x:c r="B1219" s="14" t="str">
        <x:f>英雄升级调参!$C$25</x:f>
        <x:v>魔魔龙</x:v>
      </x:c>
      <x:c r="C1219" s="6" t="str">
        <x:f>英雄升级调参!$D$25</x:f>
        <x:v>战士</x:v>
      </x:c>
      <x:c r="D1219" s="6" t="s">
        <x:v>25</x:v>
      </x:c>
      <x:c r="E1219" s="6">
        <x:v>1</x:v>
      </x:c>
      <x:c r="F1219" s="6" t="n">
        <x:f>英雄升级调参!$C$66</x:f>
        <x:v>1</x:v>
      </x:c>
      <x:c r="G1219" s="12">
        <x:f>G1128</x:f>
        <x:v>451</x:v>
      </x:c>
      <x:c r="H1219" s="12">
        <x:f>H1128</x:f>
        <x:v>2856</x:v>
      </x:c>
      <x:c r="I1219" s="12">
        <x:f t="shared" si="109"/>
        <x:v>1288056</x:v>
      </x:c>
      <x:c r="J1219" s="12" t="n">
        <x:f>0</x:f>
        <x:v>0</x:v>
      </x:c>
      <x:c r="K1219" s="12" t="n">
        <x:f>0</x:f>
        <x:v>0</x:v>
      </x:c>
      <x:c r="L1219" s="12" t="n">
        <x:f>养成消耗调参!$E$148</x:f>
        <x:v>0</x:v>
      </x:c>
      <x:c r="M1219" s="12" t="n">
        <x:f>养成消耗调参!$H$148</x:f>
        <x:v>0</x:v>
      </x:c>
      <x:c r="N1219" s="12" t="n">
        <x:f>养成消耗调参!$I$148</x:f>
        <x:v>0</x:v>
      </x:c>
      <x:c r="O1219" s="12" t="n">
        <x:f>养成消耗调参!$L$148</x:f>
        <x:v>0</x:v>
      </x:c>
      <x:c r="P1219" s="12" t="n">
        <x:f>养成消耗调参!$O$148</x:f>
        <x:v>0</x:v>
      </x:c>
      <x:c r="Q1219" s="12" t="n">
        <x:f>养成消耗调参!$P$148</x:f>
        <x:v>0</x:v>
      </x:c>
      <x:c r="R1219" s="13">
        <x:f>I1219/英雄升级调参!$M$66-1</x:f>
        <x:v>0.010644257703081195</x:v>
      </x:c>
      <x:c r="S1219" s="6"/>
      <x:c r="T1219" s="6"/>
      <x:c r="U1219" s="6"/>
    </x:row>
    <x:row r="1220" ht="21" customHeight="1">
      <x:c r="A1220" s="14" t="n">
        <x:f>英雄升级调参!$B$25</x:f>
        <x:v>310008</x:v>
      </x:c>
      <x:c r="B1220" s="14" t="str">
        <x:f>英雄升级调参!$C$25</x:f>
        <x:v>魔魔龙</x:v>
      </x:c>
      <x:c r="C1220" s="6" t="str">
        <x:f>英雄升级调参!$D$25</x:f>
        <x:v>战士</x:v>
      </x:c>
      <x:c r="D1220" s="6" t="s">
        <x:v>25</x:v>
      </x:c>
      <x:c r="E1220" s="6">
        <x:v>2</x:v>
      </x:c>
      <x:c r="F1220" s="6" t="n">
        <x:f>英雄升级调参!$C$67</x:f>
        <x:v>1</x:v>
      </x:c>
      <x:c r="G1220" s="12">
        <x:f t="shared" ref="G1220:G1251" si="114">G1219+J1220</x:f>
        <x:v>507</x:v>
      </x:c>
      <x:c r="H1220" s="12">
        <x:f t="shared" ref="H1220:H1251" si="115">H1219+K1220</x:f>
        <x:v>3216</x:v>
      </x:c>
      <x:c r="I1220" s="12">
        <x:f t="shared" si="109"/>
        <x:v>1630512</x:v>
      </x:c>
      <x:c r="J1220" s="12">
        <x:f>ROUND(英雄升级调参!$D$67*英雄升级调参!$J$11*英雄升级调参!$E$25,0)</x:f>
        <x:v>56</x:v>
      </x:c>
      <x:c r="K1220" s="12">
        <x:f>ROUND(英雄升级调参!$D$67*英雄升级调参!$C$11*英雄升级调参!$J$11*英雄升级调参!$G$25,0)</x:f>
        <x:v>360</x:v>
      </x:c>
      <x:c r="L1220" s="12" t="n">
        <x:f>养成消耗调参!$E$149</x:f>
        <x:v>48</x:v>
      </x:c>
      <x:c r="M1220" s="12" t="n">
        <x:f>养成消耗调参!$H$149</x:f>
        <x:v>600</x:v>
      </x:c>
      <x:c r="N1220" s="12" t="n">
        <x:f>养成消耗调参!$I$149</x:f>
        <x:v>0</x:v>
      </x:c>
      <x:c r="O1220" s="12" t="n">
        <x:f>养成消耗调参!$L$149</x:f>
        <x:v>48</x:v>
      </x:c>
      <x:c r="P1220" s="12" t="n">
        <x:f>养成消耗调参!$O$149</x:f>
        <x:v>600</x:v>
      </x:c>
      <x:c r="Q1220" s="12" t="n">
        <x:f>养成消耗调参!$P$149</x:f>
        <x:v>0</x:v>
      </x:c>
      <x:c r="R1220" s="13">
        <x:f>I1220/英雄升级调参!$M$67-1</x:f>
        <x:v>0.008955223880596996</x:v>
      </x:c>
      <x:c r="S1220" s="6"/>
      <x:c r="T1220" s="6"/>
      <x:c r="U1220" s="6"/>
    </x:row>
    <x:row r="1221" ht="21" customHeight="1">
      <x:c r="A1221" s="14" t="n">
        <x:f>英雄升级调参!$B$25</x:f>
        <x:v>310008</x:v>
      </x:c>
      <x:c r="B1221" s="14" t="str">
        <x:f>英雄升级调参!$C$25</x:f>
        <x:v>魔魔龙</x:v>
      </x:c>
      <x:c r="C1221" s="6" t="str">
        <x:f>英雄升级调参!$D$25</x:f>
        <x:v>战士</x:v>
      </x:c>
      <x:c r="D1221" s="6" t="s">
        <x:v>25</x:v>
      </x:c>
      <x:c r="E1221" s="6">
        <x:v>3</x:v>
      </x:c>
      <x:c r="F1221" s="6" t="n">
        <x:f>英雄升级调参!$C$68</x:f>
        <x:v>1</x:v>
      </x:c>
      <x:c r="G1221" s="12">
        <x:f t="shared" si="114"/>
        <x:v>563</x:v>
      </x:c>
      <x:c r="H1221" s="12">
        <x:f t="shared" si="115"/>
        <x:v>3576</x:v>
      </x:c>
      <x:c r="I1221" s="12">
        <x:f t="shared" ref="I1221:I1284" si="116">G1221*H1221</x:f>
        <x:v>2013288</x:v>
      </x:c>
      <x:c r="J1221" s="12">
        <x:f>ROUND(英雄升级调参!$D$68*英雄升级调参!$J$11*英雄升级调参!$E$25,0)</x:f>
        <x:v>56</x:v>
      </x:c>
      <x:c r="K1221" s="12">
        <x:f>ROUND(英雄升级调参!$D$68*英雄升级调参!$C$11*英雄升级调参!$J$11*英雄升级调参!$G$25,0)</x:f>
        <x:v>360</x:v>
      </x:c>
      <x:c r="L1221" s="12" t="n">
        <x:f>养成消耗调参!$E$150</x:f>
        <x:v>48</x:v>
      </x:c>
      <x:c r="M1221" s="12" t="n">
        <x:f>养成消耗调参!$H$150</x:f>
        <x:v>600</x:v>
      </x:c>
      <x:c r="N1221" s="12" t="n">
        <x:f>养成消耗调参!$I$150</x:f>
        <x:v>0</x:v>
      </x:c>
      <x:c r="O1221" s="12" t="n">
        <x:f>养成消耗调参!$L$150</x:f>
        <x:v>96</x:v>
      </x:c>
      <x:c r="P1221" s="12" t="n">
        <x:f>养成消耗调参!$O$150</x:f>
        <x:v>1200</x:v>
      </x:c>
      <x:c r="Q1221" s="12" t="n">
        <x:f>养成消耗调参!$P$150</x:f>
        <x:v>0</x:v>
      </x:c>
      <x:c r="R1221" s="13">
        <x:f>I1221/英雄升级调参!$M$68-1</x:f>
        <x:v>0.0076062639821028455</x:v>
      </x:c>
      <x:c r="S1221" s="6"/>
      <x:c r="T1221" s="6"/>
      <x:c r="U1221" s="6"/>
    </x:row>
    <x:row r="1222" ht="21" customHeight="1">
      <x:c r="A1222" s="14" t="n">
        <x:f>英雄升级调参!$B$25</x:f>
        <x:v>310008</x:v>
      </x:c>
      <x:c r="B1222" s="14" t="str">
        <x:f>英雄升级调参!$C$25</x:f>
        <x:v>魔魔龙</x:v>
      </x:c>
      <x:c r="C1222" s="6" t="str">
        <x:f>英雄升级调参!$D$25</x:f>
        <x:v>战士</x:v>
      </x:c>
      <x:c r="D1222" s="6" t="s">
        <x:v>25</x:v>
      </x:c>
      <x:c r="E1222" s="6">
        <x:v>4</x:v>
      </x:c>
      <x:c r="F1222" s="6" t="n">
        <x:f>英雄升级调参!$C$69</x:f>
        <x:v>1</x:v>
      </x:c>
      <x:c r="G1222" s="12">
        <x:f t="shared" si="114"/>
        <x:v>619</x:v>
      </x:c>
      <x:c r="H1222" s="12">
        <x:f t="shared" si="115"/>
        <x:v>3936</x:v>
      </x:c>
      <x:c r="I1222" s="12">
        <x:f t="shared" si="116"/>
        <x:v>2436384</x:v>
      </x:c>
      <x:c r="J1222" s="12">
        <x:f>ROUND(英雄升级调参!$D$69*英雄升级调参!$J$11*英雄升级调参!$E$25,0)</x:f>
        <x:v>56</x:v>
      </x:c>
      <x:c r="K1222" s="12">
        <x:f>ROUND(英雄升级调参!$D$69*英雄升级调参!$C$11*英雄升级调参!$J$11*英雄升级调参!$G$25,0)</x:f>
        <x:v>360</x:v>
      </x:c>
      <x:c r="L1222" s="12" t="n">
        <x:f>养成消耗调参!$E$151</x:f>
        <x:v>96</x:v>
      </x:c>
      <x:c r="M1222" s="12" t="n">
        <x:f>养成消耗调参!$H$151</x:f>
        <x:v>600</x:v>
      </x:c>
      <x:c r="N1222" s="12" t="n">
        <x:f>养成消耗调参!$I$151</x:f>
        <x:v>0</x:v>
      </x:c>
      <x:c r="O1222" s="12" t="n">
        <x:f>养成消耗调参!$L$151</x:f>
        <x:v>192</x:v>
      </x:c>
      <x:c r="P1222" s="12" t="n">
        <x:f>养成消耗调参!$O$151</x:f>
        <x:v>1800</x:v>
      </x:c>
      <x:c r="Q1222" s="12" t="n">
        <x:f>养成消耗调参!$P$151</x:f>
        <x:v>0</x:v>
      </x:c>
      <x:c r="R1222" s="13">
        <x:f>I1222/英雄升级调参!$M$69-1</x:f>
        <x:v>0.006504065040650486</x:v>
      </x:c>
      <x:c r="S1222" s="6"/>
      <x:c r="T1222" s="6"/>
      <x:c r="U1222" s="6"/>
    </x:row>
    <x:row r="1223" ht="21" customHeight="1">
      <x:c r="A1223" s="14" t="n">
        <x:f>英雄升级调参!$B$25</x:f>
        <x:v>310008</x:v>
      </x:c>
      <x:c r="B1223" s="14" t="str">
        <x:f>英雄升级调参!$C$25</x:f>
        <x:v>魔魔龙</x:v>
      </x:c>
      <x:c r="C1223" s="6" t="str">
        <x:f>英雄升级调参!$D$25</x:f>
        <x:v>战士</x:v>
      </x:c>
      <x:c r="D1223" s="6" t="s">
        <x:v>25</x:v>
      </x:c>
      <x:c r="E1223" s="6">
        <x:v>5</x:v>
      </x:c>
      <x:c r="F1223" s="6" t="n">
        <x:f>英雄升级调参!$C$70</x:f>
        <x:v>1</x:v>
      </x:c>
      <x:c r="G1223" s="12">
        <x:f t="shared" si="114"/>
        <x:v>787</x:v>
      </x:c>
      <x:c r="H1223" s="12">
        <x:f t="shared" si="115"/>
        <x:v>5016</x:v>
      </x:c>
      <x:c r="I1223" s="12">
        <x:f t="shared" si="116"/>
        <x:v>3947592</x:v>
      </x:c>
      <x:c r="J1223" s="12">
        <x:f>ROUND(英雄升级调参!$D$70*英雄升级调参!$J$11*英雄升级调参!$E$25,0)*3</x:f>
        <x:v>168</x:v>
      </x:c>
      <x:c r="K1223" s="12">
        <x:f>ROUND(英雄升级调参!$D$70*英雄升级调参!$C$11*英雄升级调参!$J$11*英雄升级调参!$G$25,0)*3</x:f>
        <x:v>1080</x:v>
      </x:c>
      <x:c r="L1223" s="12" t="n">
        <x:f>养成消耗调参!$E$152</x:f>
        <x:v>96</x:v>
      </x:c>
      <x:c r="M1223" s="12" t="n">
        <x:f>养成消耗调参!$H$152</x:f>
        <x:v>600</x:v>
      </x:c>
      <x:c r="N1223" s="12" t="n">
        <x:f>养成消耗调参!$I$152</x:f>
        <x:v>10</x:v>
      </x:c>
      <x:c r="O1223" s="12" t="n">
        <x:f>养成消耗调参!$L$152</x:f>
        <x:v>288</x:v>
      </x:c>
      <x:c r="P1223" s="12" t="n">
        <x:f>养成消耗调参!$O$152</x:f>
        <x:v>2400</x:v>
      </x:c>
      <x:c r="Q1223" s="12" t="n">
        <x:f>养成消耗调参!$P$152</x:f>
        <x:v>10</x:v>
      </x:c>
      <x:c r="R1223" s="13">
        <x:f>I1223/英雄升级调参!$M$70-1</x:f>
        <x:v>0.00414673046252001</x:v>
      </x:c>
      <x:c r="S1223" s="6"/>
      <x:c r="T1223" s="6"/>
      <x:c r="U1223" s="6"/>
    </x:row>
    <x:row r="1224" ht="21" customHeight="1">
      <x:c r="A1224" s="14" t="n">
        <x:f>英雄升级调参!$B$25</x:f>
        <x:v>310008</x:v>
      </x:c>
      <x:c r="B1224" s="14" t="str">
        <x:f>英雄升级调参!$C$25</x:f>
        <x:v>魔魔龙</x:v>
      </x:c>
      <x:c r="C1224" s="6" t="str">
        <x:f>英雄升级调参!$D$25</x:f>
        <x:v>战士</x:v>
      </x:c>
      <x:c r="D1224" s="6" t="s">
        <x:v>25</x:v>
      </x:c>
      <x:c r="E1224" s="6">
        <x:v>6</x:v>
      </x:c>
      <x:c r="F1224" s="6" t="n">
        <x:f>英雄升级调参!$C$71</x:f>
        <x:v>2</x:v>
      </x:c>
      <x:c r="G1224" s="12">
        <x:f t="shared" si="114"/>
        <x:v>871</x:v>
      </x:c>
      <x:c r="H1224" s="12">
        <x:f t="shared" si="115"/>
        <x:v>5556</x:v>
      </x:c>
      <x:c r="I1224" s="12">
        <x:f t="shared" si="116"/>
        <x:v>4839276</x:v>
      </x:c>
      <x:c r="J1224" s="12">
        <x:f>ROUND(英雄升级调参!$D$71*英雄升级调参!$J$11*英雄升级调参!$E$25,0)</x:f>
        <x:v>84</x:v>
      </x:c>
      <x:c r="K1224" s="12">
        <x:f>ROUND(英雄升级调参!$D$71*英雄升级调参!$C$11*英雄升级调参!$J$11*英雄升级调参!$G$25,0)</x:f>
        <x:v>540</x:v>
      </x:c>
      <x:c r="L1224" s="12" t="n">
        <x:f>养成消耗调参!$E$153</x:f>
        <x:v>192</x:v>
      </x:c>
      <x:c r="M1224" s="12" t="n">
        <x:f>养成消耗调参!$H$153</x:f>
        <x:v>600</x:v>
      </x:c>
      <x:c r="N1224" s="12" t="n">
        <x:f>养成消耗调参!$I$153</x:f>
        <x:v>0</x:v>
      </x:c>
      <x:c r="O1224" s="12" t="n">
        <x:f>养成消耗调参!$L$153</x:f>
        <x:v>480</x:v>
      </x:c>
      <x:c r="P1224" s="12" t="n">
        <x:f>养成消耗调参!$O$153</x:f>
        <x:v>3000</x:v>
      </x:c>
      <x:c r="Q1224" s="12" t="n">
        <x:f>养成消耗调参!$P$153</x:f>
        <x:v>10</x:v>
      </x:c>
      <x:c r="R1224" s="13">
        <x:f>I1224/英雄升级调参!$M$71-1</x:f>
        <x:v>0.0025899280575538697</x:v>
      </x:c>
      <x:c r="S1224" s="6"/>
      <x:c r="T1224" s="6"/>
      <x:c r="U1224" s="6"/>
    </x:row>
    <x:row r="1225" ht="21" customHeight="1">
      <x:c r="A1225" s="14" t="n">
        <x:f>英雄升级调参!$B$25</x:f>
        <x:v>310008</x:v>
      </x:c>
      <x:c r="B1225" s="14" t="str">
        <x:f>英雄升级调参!$C$25</x:f>
        <x:v>魔魔龙</x:v>
      </x:c>
      <x:c r="C1225" s="6" t="str">
        <x:f>英雄升级调参!$D$25</x:f>
        <x:v>战士</x:v>
      </x:c>
      <x:c r="D1225" s="6" t="s">
        <x:v>25</x:v>
      </x:c>
      <x:c r="E1225" s="6">
        <x:v>7</x:v>
      </x:c>
      <x:c r="F1225" s="6" t="n">
        <x:f>英雄升级调参!$C$72</x:f>
        <x:v>2</x:v>
      </x:c>
      <x:c r="G1225" s="12">
        <x:f t="shared" si="114"/>
        <x:v>955</x:v>
      </x:c>
      <x:c r="H1225" s="12">
        <x:f t="shared" si="115"/>
        <x:v>6096</x:v>
      </x:c>
      <x:c r="I1225" s="12">
        <x:f t="shared" si="116"/>
        <x:v>5821680</x:v>
      </x:c>
      <x:c r="J1225" s="12">
        <x:f>ROUND(英雄升级调参!$D$72*英雄升级调参!$J$11*英雄升级调参!$E$25,0)</x:f>
        <x:v>84</x:v>
      </x:c>
      <x:c r="K1225" s="12">
        <x:f>ROUND(英雄升级调参!$D$72*英雄升级调参!$C$11*英雄升级调参!$J$11*英雄升级调参!$G$25,0)</x:f>
        <x:v>540</x:v>
      </x:c>
      <x:c r="L1225" s="12" t="n">
        <x:f>养成消耗调参!$E$154</x:f>
        <x:v>192</x:v>
      </x:c>
      <x:c r="M1225" s="12" t="n">
        <x:f>养成消耗调参!$H$154</x:f>
        <x:v>1800</x:v>
      </x:c>
      <x:c r="N1225" s="12" t="n">
        <x:f>养成消耗调参!$I$154</x:f>
        <x:v>0</x:v>
      </x:c>
      <x:c r="O1225" s="12" t="n">
        <x:f>养成消耗调参!$L$154</x:f>
        <x:v>672</x:v>
      </x:c>
      <x:c r="P1225" s="12" t="n">
        <x:f>养成消耗调参!$O$154</x:f>
        <x:v>4800</x:v>
      </x:c>
      <x:c r="Q1225" s="12" t="n">
        <x:f>养成消耗调参!$P$154</x:f>
        <x:v>10</x:v>
      </x:c>
      <x:c r="R1225" s="13">
        <x:f>I1225/英雄升级调参!$M$72-1</x:f>
        <x:v>0.001310615989515096</x:v>
      </x:c>
      <x:c r="S1225" s="6"/>
      <x:c r="T1225" s="6"/>
      <x:c r="U1225" s="6"/>
    </x:row>
    <x:row r="1226" ht="21" customHeight="1">
      <x:c r="A1226" s="14" t="n">
        <x:f>英雄升级调参!$B$25</x:f>
        <x:v>310008</x:v>
      </x:c>
      <x:c r="B1226" s="14" t="str">
        <x:f>英雄升级调参!$C$25</x:f>
        <x:v>魔魔龙</x:v>
      </x:c>
      <x:c r="C1226" s="6" t="str">
        <x:f>英雄升级调参!$D$25</x:f>
        <x:v>战士</x:v>
      </x:c>
      <x:c r="D1226" s="6" t="s">
        <x:v>25</x:v>
      </x:c>
      <x:c r="E1226" s="6">
        <x:v>8</x:v>
      </x:c>
      <x:c r="F1226" s="6" t="n">
        <x:f>英雄升级调参!$C$73</x:f>
        <x:v>2</x:v>
      </x:c>
      <x:c r="G1226" s="12">
        <x:f t="shared" si="114"/>
        <x:v>1039</x:v>
      </x:c>
      <x:c r="H1226" s="12">
        <x:f t="shared" si="115"/>
        <x:v>6636</x:v>
      </x:c>
      <x:c r="I1226" s="12">
        <x:f t="shared" si="116"/>
        <x:v>6894804</x:v>
      </x:c>
      <x:c r="J1226" s="12">
        <x:f>ROUND(英雄升级调参!$D$73*英雄升级调参!$J$11*英雄升级调参!$E$25,0)</x:f>
        <x:v>84</x:v>
      </x:c>
      <x:c r="K1226" s="12">
        <x:f>ROUND(英雄升级调参!$D$73*英雄升级调参!$C$11*英雄升级调参!$J$11*英雄升级调参!$G$25,0)</x:f>
        <x:v>540</x:v>
      </x:c>
      <x:c r="L1226" s="12" t="n">
        <x:f>养成消耗调参!$E$155</x:f>
        <x:v>288</x:v>
      </x:c>
      <x:c r="M1226" s="12" t="n">
        <x:f>养成消耗调参!$H$155</x:f>
        <x:v>1800</x:v>
      </x:c>
      <x:c r="N1226" s="12" t="n">
        <x:f>养成消耗调参!$I$155</x:f>
        <x:v>0</x:v>
      </x:c>
      <x:c r="O1226" s="12" t="n">
        <x:f>养成消耗调参!$L$155</x:f>
        <x:v>960</x:v>
      </x:c>
      <x:c r="P1226" s="12" t="n">
        <x:f>养成消耗调参!$O$155</x:f>
        <x:v>6600</x:v>
      </x:c>
      <x:c r="Q1226" s="12" t="n">
        <x:f>养成消耗调参!$P$155</x:f>
        <x:v>10</x:v>
      </x:c>
      <x:c r="R1226" s="13">
        <x:f>I1226/英雄升级调参!$M$73-1</x:f>
        <x:v>0.00024067388688320257</x:v>
      </x:c>
      <x:c r="S1226" s="6"/>
      <x:c r="T1226" s="6"/>
      <x:c r="U1226" s="6"/>
    </x:row>
    <x:row r="1227" ht="21" customHeight="1">
      <x:c r="A1227" s="14" t="n">
        <x:f>英雄升级调参!$B$25</x:f>
        <x:v>310008</x:v>
      </x:c>
      <x:c r="B1227" s="14" t="str">
        <x:f>英雄升级调参!$C$25</x:f>
        <x:v>魔魔龙</x:v>
      </x:c>
      <x:c r="C1227" s="6" t="str">
        <x:f>英雄升级调参!$D$25</x:f>
        <x:v>战士</x:v>
      </x:c>
      <x:c r="D1227" s="6" t="s">
        <x:v>25</x:v>
      </x:c>
      <x:c r="E1227" s="6">
        <x:v>9</x:v>
      </x:c>
      <x:c r="F1227" s="6" t="n">
        <x:f>英雄升级调参!$C$74</x:f>
        <x:v>2</x:v>
      </x:c>
      <x:c r="G1227" s="12">
        <x:f t="shared" si="114"/>
        <x:v>1123</x:v>
      </x:c>
      <x:c r="H1227" s="12">
        <x:f t="shared" si="115"/>
        <x:v>7176</x:v>
      </x:c>
      <x:c r="I1227" s="12">
        <x:f t="shared" si="116"/>
        <x:v>8058648</x:v>
      </x:c>
      <x:c r="J1227" s="12">
        <x:f>ROUND(英雄升级调参!$D$74*英雄升级调参!$J$11*英雄升级调参!$E$25,0)</x:f>
        <x:v>84</x:v>
      </x:c>
      <x:c r="K1227" s="12">
        <x:f>ROUND(英雄升级调参!$D$74*英雄升级调参!$C$11*英雄升级调参!$J$11*英雄升级调参!$G$25,0)</x:f>
        <x:v>540</x:v>
      </x:c>
      <x:c r="L1227" s="12" t="n">
        <x:f>养成消耗调参!$E$156</x:f>
        <x:v>288</x:v>
      </x:c>
      <x:c r="M1227" s="12" t="n">
        <x:f>养成消耗调参!$H$156</x:f>
        <x:v>1800</x:v>
      </x:c>
      <x:c r="N1227" s="12" t="n">
        <x:f>养成消耗调参!$I$156</x:f>
        <x:v>0</x:v>
      </x:c>
      <x:c r="O1227" s="12" t="n">
        <x:f>养成消耗调参!$L$156</x:f>
        <x:v>1248</x:v>
      </x:c>
      <x:c r="P1227" s="12" t="n">
        <x:f>养成消耗调参!$O$156</x:f>
        <x:v>8400</x:v>
      </x:c>
      <x:c r="Q1227" s="12" t="n">
        <x:f>养成消耗调参!$P$156</x:f>
        <x:v>10</x:v>
      </x:c>
      <x:c r="R1227" s="13">
        <x:f>I1227/英雄升级调参!$M$74-1</x:f>
        <x:v>-0.0006674082313682383</x:v>
      </x:c>
      <x:c r="S1227" s="6"/>
      <x:c r="T1227" s="6"/>
      <x:c r="U1227" s="6"/>
    </x:row>
    <x:row r="1228" ht="21" customHeight="1">
      <x:c r="A1228" s="14" t="n">
        <x:f>英雄升级调参!$B$25</x:f>
        <x:v>310008</x:v>
      </x:c>
      <x:c r="B1228" s="14" t="str">
        <x:f>英雄升级调参!$C$25</x:f>
        <x:v>魔魔龙</x:v>
      </x:c>
      <x:c r="C1228" s="6" t="str">
        <x:f>英雄升级调参!$D$25</x:f>
        <x:v>战士</x:v>
      </x:c>
      <x:c r="D1228" s="6" t="s">
        <x:v>25</x:v>
      </x:c>
      <x:c r="E1228" s="6">
        <x:v>10</x:v>
      </x:c>
      <x:c r="F1228" s="6" t="n">
        <x:f>英雄升级调参!$C$75</x:f>
        <x:v>2</x:v>
      </x:c>
      <x:c r="G1228" s="12">
        <x:f t="shared" si="114"/>
        <x:v>1375</x:v>
      </x:c>
      <x:c r="H1228" s="12">
        <x:f t="shared" si="115"/>
        <x:v>8796</x:v>
      </x:c>
      <x:c r="I1228" s="12">
        <x:f t="shared" si="116"/>
        <x:v>12094500</x:v>
      </x:c>
      <x:c r="J1228" s="12">
        <x:f>ROUND(英雄升级调参!$D$75*英雄升级调参!$J$11*英雄升级调参!$E$25,0)*3</x:f>
        <x:v>252</x:v>
      </x:c>
      <x:c r="K1228" s="12">
        <x:f>ROUND(英雄升级调参!$D$75*英雄升级调参!$C$11*英雄升级调参!$J$11*英雄升级调参!$G$25,0)*3</x:f>
        <x:v>1620</x:v>
      </x:c>
      <x:c r="L1228" s="12" t="n">
        <x:f>养成消耗调参!$E$157</x:f>
        <x:v>384</x:v>
      </x:c>
      <x:c r="M1228" s="12" t="n">
        <x:f>养成消耗调参!$H$157</x:f>
        <x:v>1800</x:v>
      </x:c>
      <x:c r="N1228" s="12" t="n">
        <x:f>养成消耗调参!$I$157</x:f>
        <x:v>30</x:v>
      </x:c>
      <x:c r="O1228" s="12" t="n">
        <x:f>养成消耗调参!$L$157</x:f>
        <x:v>1632</x:v>
      </x:c>
      <x:c r="P1228" s="12" t="n">
        <x:f>养成消耗调参!$O$157</x:f>
        <x:v>10200</x:v>
      </x:c>
      <x:c r="Q1228" s="12" t="n">
        <x:f>养成消耗调参!$P$157</x:f>
        <x:v>40</x:v>
      </x:c>
      <x:c r="R1228" s="13">
        <x:f>I1228/英雄升级调参!$M$75-1</x:f>
        <x:v>-0.0027198549410698547</x:v>
      </x:c>
      <x:c r="S1228" s="6"/>
      <x:c r="T1228" s="6"/>
      <x:c r="U1228" s="6"/>
    </x:row>
    <x:row r="1229" ht="21" customHeight="1">
      <x:c r="A1229" s="14" t="n">
        <x:f>英雄升级调参!$B$25</x:f>
        <x:v>310008</x:v>
      </x:c>
      <x:c r="B1229" s="14" t="str">
        <x:f>英雄升级调参!$C$25</x:f>
        <x:v>魔魔龙</x:v>
      </x:c>
      <x:c r="C1229" s="6" t="str">
        <x:f>英雄升级调参!$D$25</x:f>
        <x:v>战士</x:v>
      </x:c>
      <x:c r="D1229" s="6" t="s">
        <x:v>25</x:v>
      </x:c>
      <x:c r="E1229" s="6">
        <x:v>11</x:v>
      </x:c>
      <x:c r="F1229" s="6" t="n">
        <x:f>英雄升级调参!$C$76</x:f>
        <x:v>3</x:v>
      </x:c>
      <x:c r="G1229" s="12">
        <x:f t="shared" si="114"/>
        <x:v>1488</x:v>
      </x:c>
      <x:c r="H1229" s="12">
        <x:f t="shared" si="115"/>
        <x:v>9516</x:v>
      </x:c>
      <x:c r="I1229" s="12">
        <x:f t="shared" si="116"/>
        <x:v>14159808</x:v>
      </x:c>
      <x:c r="J1229" s="12">
        <x:f>ROUND(英雄升级调参!$D$76*英雄升级调参!$J$11*英雄升级调参!$E$25,0)</x:f>
        <x:v>113</x:v>
      </x:c>
      <x:c r="K1229" s="12">
        <x:f>ROUND(英雄升级调参!$D$76*英雄升级调参!$C$11*英雄升级调参!$J$11*英雄升级调参!$G$25,0)</x:f>
        <x:v>720</x:v>
      </x:c>
      <x:c r="L1229" s="12" t="n">
        <x:f>养成消耗调参!$E$158</x:f>
        <x:v>384</x:v>
      </x:c>
      <x:c r="M1229" s="12" t="n">
        <x:f>养成消耗调参!$H$158</x:f>
        <x:v>1800</x:v>
      </x:c>
      <x:c r="N1229" s="12" t="n">
        <x:f>养成消耗调参!$I$158</x:f>
        <x:v>0</x:v>
      </x:c>
      <x:c r="O1229" s="12" t="n">
        <x:f>养成消耗调参!$L$158</x:f>
        <x:v>2016</x:v>
      </x:c>
      <x:c r="P1229" s="12" t="n">
        <x:f>养成消耗调参!$O$158</x:f>
        <x:v>12000</x:v>
      </x:c>
      <x:c r="Q1229" s="12" t="n">
        <x:f>养成消耗调参!$P$158</x:f>
        <x:v>40</x:v>
      </x:c>
      <x:c r="R1229" s="13">
        <x:f>I1229/英雄升级调参!$M$76-1</x:f>
        <x:v>-0.0021793797150041483</x:v>
      </x:c>
      <x:c r="S1229" s="6"/>
      <x:c r="T1229" s="6"/>
      <x:c r="U1229" s="6"/>
    </x:row>
    <x:row r="1230" ht="21" customHeight="1">
      <x:c r="A1230" s="14" t="n">
        <x:f>英雄升级调参!$B$25</x:f>
        <x:v>310008</x:v>
      </x:c>
      <x:c r="B1230" s="14" t="str">
        <x:f>英雄升级调参!$C$25</x:f>
        <x:v>魔魔龙</x:v>
      </x:c>
      <x:c r="C1230" s="6" t="str">
        <x:f>英雄升级调参!$D$25</x:f>
        <x:v>战士</x:v>
      </x:c>
      <x:c r="D1230" s="6" t="s">
        <x:v>25</x:v>
      </x:c>
      <x:c r="E1230" s="6">
        <x:v>12</x:v>
      </x:c>
      <x:c r="F1230" s="6" t="n">
        <x:f>英雄升级调参!$C$77</x:f>
        <x:v>3</x:v>
      </x:c>
      <x:c r="G1230" s="12">
        <x:f t="shared" si="114"/>
        <x:v>1601</x:v>
      </x:c>
      <x:c r="H1230" s="12">
        <x:f t="shared" si="115"/>
        <x:v>10236</x:v>
      </x:c>
      <x:c r="I1230" s="12">
        <x:f t="shared" si="116"/>
        <x:v>16387836</x:v>
      </x:c>
      <x:c r="J1230" s="12">
        <x:f>ROUND(英雄升级调参!$D$77*英雄升级调参!$J$11*英雄升级调参!$E$25,0)</x:f>
        <x:v>113</x:v>
      </x:c>
      <x:c r="K1230" s="12">
        <x:f>ROUND(英雄升级调参!$D$77*英雄升级调参!$C$11*英雄升级调参!$J$11*英雄升级调参!$G$25,0)</x:f>
        <x:v>720</x:v>
      </x:c>
      <x:c r="L1230" s="12" t="n">
        <x:f>养成消耗调参!$E$159</x:f>
        <x:v>480</x:v>
      </x:c>
      <x:c r="M1230" s="12" t="n">
        <x:f>养成消耗调参!$H$159</x:f>
        <x:v>3000</x:v>
      </x:c>
      <x:c r="N1230" s="12" t="n">
        <x:f>养成消耗调参!$I$159</x:f>
        <x:v>0</x:v>
      </x:c>
      <x:c r="O1230" s="12" t="n">
        <x:f>养成消耗调参!$L$159</x:f>
        <x:v>2496</x:v>
      </x:c>
      <x:c r="P1230" s="12" t="n">
        <x:f>养成消耗调参!$O$159</x:f>
        <x:v>15000</x:v>
      </x:c>
      <x:c r="Q1230" s="12" t="n">
        <x:f>养成消耗调参!$P$159</x:f>
        <x:v>40</x:v>
      </x:c>
      <x:c r="R1230" s="13">
        <x:f>I1230/英雄升级调参!$M$77-1</x:f>
        <x:v>-0.001714731098986788</x:v>
      </x:c>
      <x:c r="S1230" s="6"/>
      <x:c r="T1230" s="6"/>
      <x:c r="U1230" s="6"/>
    </x:row>
    <x:row r="1231" ht="21" customHeight="1">
      <x:c r="A1231" s="14" t="n">
        <x:f>英雄升级调参!$B$25</x:f>
        <x:v>310008</x:v>
      </x:c>
      <x:c r="B1231" s="14" t="str">
        <x:f>英雄升级调参!$C$25</x:f>
        <x:v>魔魔龙</x:v>
      </x:c>
      <x:c r="C1231" s="6" t="str">
        <x:f>英雄升级调参!$D$25</x:f>
        <x:v>战士</x:v>
      </x:c>
      <x:c r="D1231" s="6" t="s">
        <x:v>25</x:v>
      </x:c>
      <x:c r="E1231" s="6">
        <x:v>13</x:v>
      </x:c>
      <x:c r="F1231" s="6" t="n">
        <x:f>英雄升级调参!$C$78</x:f>
        <x:v>3</x:v>
      </x:c>
      <x:c r="G1231" s="12">
        <x:f t="shared" si="114"/>
        <x:v>1714</x:v>
      </x:c>
      <x:c r="H1231" s="12">
        <x:f t="shared" si="115"/>
        <x:v>10956</x:v>
      </x:c>
      <x:c r="I1231" s="12">
        <x:f t="shared" si="116"/>
        <x:v>18778584</x:v>
      </x:c>
      <x:c r="J1231" s="12">
        <x:f>ROUND(英雄升级调参!$D$78*英雄升级调参!$J$11*英雄升级调参!$E$25,0)</x:f>
        <x:v>113</x:v>
      </x:c>
      <x:c r="K1231" s="12">
        <x:f>ROUND(英雄升级调参!$D$78*英雄升级调参!$C$11*英雄升级调参!$J$11*英雄升级调参!$G$25,0)</x:f>
        <x:v>720</x:v>
      </x:c>
      <x:c r="L1231" s="12" t="n">
        <x:f>养成消耗调参!$E$160</x:f>
        <x:v>480</x:v>
      </x:c>
      <x:c r="M1231" s="12" t="n">
        <x:f>养成消耗调参!$H$160</x:f>
        <x:v>3000</x:v>
      </x:c>
      <x:c r="N1231" s="12" t="n">
        <x:f>养成消耗调参!$I$160</x:f>
        <x:v>0</x:v>
      </x:c>
      <x:c r="O1231" s="12" t="n">
        <x:f>养成消耗调参!$L$160</x:f>
        <x:v>2976</x:v>
      </x:c>
      <x:c r="P1231" s="12" t="n">
        <x:f>养成消耗调参!$O$160</x:f>
        <x:v>18000</x:v>
      </x:c>
      <x:c r="Q1231" s="12" t="n">
        <x:f>养成消耗调参!$P$160</x:f>
        <x:v>40</x:v>
      </x:c>
      <x:c r="R1231" s="13">
        <x:f>I1231/英雄升级调参!$M$78-1</x:f>
        <x:v>-0.001310997815003656</x:v>
      </x:c>
      <x:c r="S1231" s="6"/>
      <x:c r="T1231" s="6"/>
      <x:c r="U1231" s="6"/>
    </x:row>
    <x:row r="1232" ht="21" customHeight="1">
      <x:c r="A1232" s="14" t="n">
        <x:f>英雄升级调参!$B$25</x:f>
        <x:v>310008</x:v>
      </x:c>
      <x:c r="B1232" s="14" t="str">
        <x:f>英雄升级调参!$C$25</x:f>
        <x:v>魔魔龙</x:v>
      </x:c>
      <x:c r="C1232" s="6" t="str">
        <x:f>英雄升级调参!$D$25</x:f>
        <x:v>战士</x:v>
      </x:c>
      <x:c r="D1232" s="6" t="s">
        <x:v>25</x:v>
      </x:c>
      <x:c r="E1232" s="6">
        <x:v>14</x:v>
      </x:c>
      <x:c r="F1232" s="6" t="n">
        <x:f>英雄升级调参!$C$79</x:f>
        <x:v>3</x:v>
      </x:c>
      <x:c r="G1232" s="12">
        <x:f t="shared" si="114"/>
        <x:v>1827</x:v>
      </x:c>
      <x:c r="H1232" s="12">
        <x:f t="shared" si="115"/>
        <x:v>11676</x:v>
      </x:c>
      <x:c r="I1232" s="12">
        <x:f t="shared" si="116"/>
        <x:v>21332052</x:v>
      </x:c>
      <x:c r="J1232" s="12">
        <x:f>ROUND(英雄升级调参!$D$79*英雄升级调参!$J$11*英雄升级调参!$E$25,0)</x:f>
        <x:v>113</x:v>
      </x:c>
      <x:c r="K1232" s="12">
        <x:f>ROUND(英雄升级调参!$D$79*英雄升级调参!$C$11*英雄升级调参!$J$11*英雄升级调参!$G$25,0)</x:f>
        <x:v>720</x:v>
      </x:c>
      <x:c r="L1232" s="12" t="n">
        <x:f>养成消耗调参!$E$161</x:f>
        <x:v>576</x:v>
      </x:c>
      <x:c r="M1232" s="12" t="n">
        <x:f>养成消耗调参!$H$161</x:f>
        <x:v>3000</x:v>
      </x:c>
      <x:c r="N1232" s="12" t="n">
        <x:f>养成消耗调参!$I$161</x:f>
        <x:v>0</x:v>
      </x:c>
      <x:c r="O1232" s="12" t="n">
        <x:f>养成消耗调参!$L$161</x:f>
        <x:v>3552</x:v>
      </x:c>
      <x:c r="P1232" s="12" t="n">
        <x:f>养成消耗调参!$O$161</x:f>
        <x:v>21000</x:v>
      </x:c>
      <x:c r="Q1232" s="12" t="n">
        <x:f>养成消耗调参!$P$161</x:f>
        <x:v>40</x:v>
      </x:c>
      <x:c r="R1232" s="13">
        <x:f>I1232/英雄升级调参!$M$79-1</x:f>
        <x:v>-0.000956937799043045</x:v>
      </x:c>
      <x:c r="S1232" s="6"/>
      <x:c r="T1232" s="6"/>
      <x:c r="U1232" s="6"/>
    </x:row>
    <x:row r="1233" ht="21" customHeight="1">
      <x:c r="A1233" s="14" t="n">
        <x:f>英雄升级调参!$B$25</x:f>
        <x:v>310008</x:v>
      </x:c>
      <x:c r="B1233" s="14" t="str">
        <x:f>英雄升级调参!$C$25</x:f>
        <x:v>魔魔龙</x:v>
      </x:c>
      <x:c r="C1233" s="6" t="str">
        <x:f>英雄升级调参!$D$25</x:f>
        <x:v>战士</x:v>
      </x:c>
      <x:c r="D1233" s="6" t="s">
        <x:v>25</x:v>
      </x:c>
      <x:c r="E1233" s="6">
        <x:v>15</x:v>
      </x:c>
      <x:c r="F1233" s="6" t="n">
        <x:f>英雄升级调参!$C$80</x:f>
        <x:v>3</x:v>
      </x:c>
      <x:c r="G1233" s="12">
        <x:f t="shared" si="114"/>
        <x:v>2166</x:v>
      </x:c>
      <x:c r="H1233" s="12">
        <x:f t="shared" si="115"/>
        <x:v>13836</x:v>
      </x:c>
      <x:c r="I1233" s="12">
        <x:f t="shared" si="116"/>
        <x:v>29968776</x:v>
      </x:c>
      <x:c r="J1233" s="12">
        <x:f>ROUND(英雄升级调参!$D$80*英雄升级调参!$J$11*英雄升级调参!$E$25,0)*3</x:f>
        <x:v>339</x:v>
      </x:c>
      <x:c r="K1233" s="12">
        <x:f>ROUND(英雄升级调参!$D$80*英雄升级调参!$C$11*英雄升级调参!$J$11*英雄升级调参!$G$25,0)*3</x:f>
        <x:v>2160</x:v>
      </x:c>
      <x:c r="L1233" s="12" t="n">
        <x:f>养成消耗调参!$E$162</x:f>
        <x:v>576</x:v>
      </x:c>
      <x:c r="M1233" s="12" t="n">
        <x:f>养成消耗调参!$H$162</x:f>
        <x:v>3000</x:v>
      </x:c>
      <x:c r="N1233" s="12" t="n">
        <x:f>养成消耗调参!$I$162</x:f>
        <x:v>50</x:v>
      </x:c>
      <x:c r="O1233" s="12" t="n">
        <x:f>养成消耗调参!$L$162</x:f>
        <x:v>4128</x:v>
      </x:c>
      <x:c r="P1233" s="12" t="n">
        <x:f>养成消耗调参!$O$162</x:f>
        <x:v>24000</x:v>
      </x:c>
      <x:c r="Q1233" s="12" t="n">
        <x:f>养成消耗调参!$P$162</x:f>
        <x:v>90</x:v>
      </x:c>
      <x:c r="R1233" s="13">
        <x:f>I1233/英雄升级调参!$M$80-1</x:f>
        <x:v>-0.00011540680900168354</x:v>
      </x:c>
      <x:c r="S1233" s="6"/>
      <x:c r="T1233" s="6"/>
      <x:c r="U1233" s="6"/>
    </x:row>
    <x:row r="1234" ht="21" customHeight="1">
      <x:c r="A1234" s="14" t="n">
        <x:f>英雄升级调参!$B$25</x:f>
        <x:v>310008</x:v>
      </x:c>
      <x:c r="B1234" s="14" t="str">
        <x:f>英雄升级调参!$C$25</x:f>
        <x:v>魔魔龙</x:v>
      </x:c>
      <x:c r="C1234" s="6" t="str">
        <x:f>英雄升级调参!$D$25</x:f>
        <x:v>战士</x:v>
      </x:c>
      <x:c r="D1234" s="6" t="s">
        <x:v>25</x:v>
      </x:c>
      <x:c r="E1234" s="6">
        <x:v>16</x:v>
      </x:c>
      <x:c r="F1234" s="6" t="n">
        <x:f>英雄升级调参!$C$81</x:f>
        <x:v>4</x:v>
      </x:c>
      <x:c r="G1234" s="12">
        <x:f t="shared" si="114"/>
        <x:v>2307</x:v>
      </x:c>
      <x:c r="H1234" s="12">
        <x:f t="shared" si="115"/>
        <x:v>14736</x:v>
      </x:c>
      <x:c r="I1234" s="12">
        <x:f t="shared" si="116"/>
        <x:v>33995952</x:v>
      </x:c>
      <x:c r="J1234" s="12">
        <x:f>ROUND(英雄升级调参!$D$81*英雄升级调参!$J$11*英雄升级调参!$E$25,0)</x:f>
        <x:v>141</x:v>
      </x:c>
      <x:c r="K1234" s="12">
        <x:f>ROUND(英雄升级调参!$D$81*英雄升级调参!$C$11*英雄升级调参!$J$11*英雄升级调参!$G$25,0)</x:f>
        <x:v>900</x:v>
      </x:c>
      <x:c r="L1234" s="12" t="n">
        <x:f>养成消耗调参!$E$163</x:f>
        <x:v>672</x:v>
      </x:c>
      <x:c r="M1234" s="12" t="n">
        <x:f>养成消耗调参!$H$163</x:f>
        <x:v>3000</x:v>
      </x:c>
      <x:c r="N1234" s="12" t="n">
        <x:f>养成消耗调参!$I$163</x:f>
        <x:v>0</x:v>
      </x:c>
      <x:c r="O1234" s="12" t="n">
        <x:f>养成消耗调参!$L$163</x:f>
        <x:v>4800</x:v>
      </x:c>
      <x:c r="P1234" s="12" t="n">
        <x:f>养成消耗调参!$O$163</x:f>
        <x:v>27000</x:v>
      </x:c>
      <x:c r="Q1234" s="12" t="n">
        <x:f>养成消耗调参!$P$163</x:f>
        <x:v>90</x:v>
      </x:c>
      <x:c r="R1234" s="13">
        <x:f>I1234/英雄升级调参!$M$81-1</x:f>
        <x:v>-0.00021668472372693426</x:v>
      </x:c>
      <x:c r="S1234" s="6"/>
      <x:c r="T1234" s="6"/>
      <x:c r="U1234" s="6"/>
    </x:row>
    <x:row r="1235" ht="21" customHeight="1">
      <x:c r="A1235" s="14" t="n">
        <x:f>英雄升级调参!$B$25</x:f>
        <x:v>310008</x:v>
      </x:c>
      <x:c r="B1235" s="14" t="str">
        <x:f>英雄升级调参!$C$25</x:f>
        <x:v>魔魔龙</x:v>
      </x:c>
      <x:c r="C1235" s="6" t="str">
        <x:f>英雄升级调参!$D$25</x:f>
        <x:v>战士</x:v>
      </x:c>
      <x:c r="D1235" s="6" t="s">
        <x:v>25</x:v>
      </x:c>
      <x:c r="E1235" s="6">
        <x:v>17</x:v>
      </x:c>
      <x:c r="F1235" s="6" t="n">
        <x:f>英雄升级调参!$C$82</x:f>
        <x:v>4</x:v>
      </x:c>
      <x:c r="G1235" s="12">
        <x:f t="shared" si="114"/>
        <x:v>2448</x:v>
      </x:c>
      <x:c r="H1235" s="12">
        <x:f t="shared" si="115"/>
        <x:v>15636</x:v>
      </x:c>
      <x:c r="I1235" s="12">
        <x:f t="shared" si="116"/>
        <x:v>38276928</x:v>
      </x:c>
      <x:c r="J1235" s="12">
        <x:f>ROUND(英雄升级调参!$D$82*英雄升级调参!$J$11*英雄升级调参!$E$25,0)</x:f>
        <x:v>141</x:v>
      </x:c>
      <x:c r="K1235" s="12">
        <x:f>ROUND(英雄升级调参!$D$82*英雄升级调参!$C$11*英雄升级调参!$J$11*英雄升级调参!$G$25,0)</x:f>
        <x:v>900</x:v>
      </x:c>
      <x:c r="L1235" s="12" t="n">
        <x:f>养成消耗调参!$E$164</x:f>
        <x:v>672</x:v>
      </x:c>
      <x:c r="M1235" s="12" t="n">
        <x:f>养成消耗调参!$H$164</x:f>
        <x:v>4200</x:v>
      </x:c>
      <x:c r="N1235" s="12" t="n">
        <x:f>养成消耗调参!$I$164</x:f>
        <x:v>0</x:v>
      </x:c>
      <x:c r="O1235" s="12" t="n">
        <x:f>养成消耗调参!$L$164</x:f>
        <x:v>5472</x:v>
      </x:c>
      <x:c r="P1235" s="12" t="n">
        <x:f>养成消耗调参!$O$164</x:f>
        <x:v>31200</x:v>
      </x:c>
      <x:c r="Q1235" s="12" t="n">
        <x:f>养成消耗调参!$P$164</x:f>
        <x:v>90</x:v>
      </x:c>
      <x:c r="R1235" s="13">
        <x:f>I1235/英雄升级调参!$M$82-1</x:f>
        <x:v>-0.0003062787136294265</x:v>
      </x:c>
      <x:c r="S1235" s="6"/>
      <x:c r="T1235" s="6"/>
      <x:c r="U1235" s="6"/>
    </x:row>
    <x:row r="1236" ht="21" customHeight="1">
      <x:c r="A1236" s="14" t="n">
        <x:f>英雄升级调参!$B$25</x:f>
        <x:v>310008</x:v>
      </x:c>
      <x:c r="B1236" s="14" t="str">
        <x:f>英雄升级调参!$C$25</x:f>
        <x:v>魔魔龙</x:v>
      </x:c>
      <x:c r="C1236" s="6" t="str">
        <x:f>英雄升级调参!$D$25</x:f>
        <x:v>战士</x:v>
      </x:c>
      <x:c r="D1236" s="6" t="s">
        <x:v>25</x:v>
      </x:c>
      <x:c r="E1236" s="6">
        <x:v>18</x:v>
      </x:c>
      <x:c r="F1236" s="6" t="n">
        <x:f>英雄升级调参!$C$83</x:f>
        <x:v>4</x:v>
      </x:c>
      <x:c r="G1236" s="12">
        <x:f t="shared" si="114"/>
        <x:v>2589</x:v>
      </x:c>
      <x:c r="H1236" s="12">
        <x:f t="shared" si="115"/>
        <x:v>16536</x:v>
      </x:c>
      <x:c r="I1236" s="12">
        <x:f t="shared" si="116"/>
        <x:v>42811704</x:v>
      </x:c>
      <x:c r="J1236" s="12">
        <x:f>ROUND(英雄升级调参!$D$83*英雄升级调参!$J$11*英雄升级调参!$E$25,0)</x:f>
        <x:v>141</x:v>
      </x:c>
      <x:c r="K1236" s="12">
        <x:f>ROUND(英雄升级调参!$D$83*英雄升级调参!$C$11*英雄升级调参!$J$11*英雄升级调参!$G$25,0)</x:f>
        <x:v>900</x:v>
      </x:c>
      <x:c r="L1236" s="12" t="n">
        <x:f>养成消耗调参!$E$165</x:f>
        <x:v>768</x:v>
      </x:c>
      <x:c r="M1236" s="12" t="n">
        <x:f>养成消耗调参!$H$165</x:f>
        <x:v>4200</x:v>
      </x:c>
      <x:c r="N1236" s="12" t="n">
        <x:f>养成消耗调参!$I$165</x:f>
        <x:v>0</x:v>
      </x:c>
      <x:c r="O1236" s="12" t="n">
        <x:f>养成消耗调参!$L$165</x:f>
        <x:v>6240</x:v>
      </x:c>
      <x:c r="P1236" s="12" t="n">
        <x:f>养成消耗调参!$O$165</x:f>
        <x:v>35400</x:v>
      </x:c>
      <x:c r="Q1236" s="12" t="n">
        <x:f>养成消耗调参!$P$165</x:f>
        <x:v>90</x:v>
      </x:c>
      <x:c r="R1236" s="13">
        <x:f>I1236/英雄升级调参!$M$83-1</x:f>
        <x:v>-0.00038610038610042974</x:v>
      </x:c>
      <x:c r="S1236" s="6"/>
      <x:c r="T1236" s="6"/>
      <x:c r="U1236" s="6"/>
    </x:row>
    <x:row r="1237" ht="21" customHeight="1">
      <x:c r="A1237" s="14" t="n">
        <x:f>英雄升级调参!$B$25</x:f>
        <x:v>310008</x:v>
      </x:c>
      <x:c r="B1237" s="14" t="str">
        <x:f>英雄升级调参!$C$25</x:f>
        <x:v>魔魔龙</x:v>
      </x:c>
      <x:c r="C1237" s="6" t="str">
        <x:f>英雄升级调参!$D$25</x:f>
        <x:v>战士</x:v>
      </x:c>
      <x:c r="D1237" s="6" t="s">
        <x:v>25</x:v>
      </x:c>
      <x:c r="E1237" s="6">
        <x:v>19</x:v>
      </x:c>
      <x:c r="F1237" s="6" t="n">
        <x:f>英雄升级调参!$C$84</x:f>
        <x:v>4</x:v>
      </x:c>
      <x:c r="G1237" s="12">
        <x:f t="shared" si="114"/>
        <x:v>2730</x:v>
      </x:c>
      <x:c r="H1237" s="12">
        <x:f t="shared" si="115"/>
        <x:v>17436</x:v>
      </x:c>
      <x:c r="I1237" s="12">
        <x:f t="shared" si="116"/>
        <x:v>47600280</x:v>
      </x:c>
      <x:c r="J1237" s="12">
        <x:f>ROUND(英雄升级调参!$D$84*英雄升级调参!$J$11*英雄升级调参!$E$25,0)</x:f>
        <x:v>141</x:v>
      </x:c>
      <x:c r="K1237" s="12">
        <x:f>ROUND(英雄升级调参!$D$84*英雄升级调参!$C$11*英雄升级调参!$J$11*英雄升级调参!$G$25,0)</x:f>
        <x:v>900</x:v>
      </x:c>
      <x:c r="L1237" s="12" t="n">
        <x:f>养成消耗调参!$E$166</x:f>
        <x:v>768</x:v>
      </x:c>
      <x:c r="M1237" s="12" t="n">
        <x:f>养成消耗调参!$H$166</x:f>
        <x:v>4200</x:v>
      </x:c>
      <x:c r="N1237" s="12" t="n">
        <x:f>养成消耗调参!$I$166</x:f>
        <x:v>0</x:v>
      </x:c>
      <x:c r="O1237" s="12" t="n">
        <x:f>养成消耗调参!$L$166</x:f>
        <x:v>7008</x:v>
      </x:c>
      <x:c r="P1237" s="12" t="n">
        <x:f>养成消耗调参!$O$166</x:f>
        <x:v>39600</x:v>
      </x:c>
      <x:c r="Q1237" s="12" t="n">
        <x:f>养成消耗调参!$P$166</x:f>
        <x:v>90</x:v>
      </x:c>
      <x:c r="R1237" s="13">
        <x:f>I1237/英雄升级调参!$M$84-1</x:f>
        <x:v>-0.0004576659038901809</x:v>
      </x:c>
      <x:c r="S1237" s="6"/>
      <x:c r="T1237" s="6"/>
      <x:c r="U1237" s="6"/>
    </x:row>
    <x:row r="1238" ht="21" customHeight="1">
      <x:c r="A1238" s="14" t="n">
        <x:f>英雄升级调参!$B$25</x:f>
        <x:v>310008</x:v>
      </x:c>
      <x:c r="B1238" s="14" t="str">
        <x:f>英雄升级调参!$C$25</x:f>
        <x:v>魔魔龙</x:v>
      </x:c>
      <x:c r="C1238" s="6" t="str">
        <x:f>英雄升级调参!$D$25</x:f>
        <x:v>战士</x:v>
      </x:c>
      <x:c r="D1238" s="6" t="s">
        <x:v>25</x:v>
      </x:c>
      <x:c r="E1238" s="6">
        <x:v>20</x:v>
      </x:c>
      <x:c r="F1238" s="6" t="n">
        <x:f>英雄升级调参!$C$85</x:f>
        <x:v>4</x:v>
      </x:c>
      <x:c r="G1238" s="12">
        <x:f t="shared" si="114"/>
        <x:v>3153</x:v>
      </x:c>
      <x:c r="H1238" s="12">
        <x:f t="shared" si="115"/>
        <x:v>20136</x:v>
      </x:c>
      <x:c r="I1238" s="12">
        <x:f t="shared" si="116"/>
        <x:v>63488808</x:v>
      </x:c>
      <x:c r="J1238" s="12">
        <x:f>ROUND(英雄升级调参!$D$85*英雄升级调参!$J$11*英雄升级调参!$E$25,0)*3</x:f>
        <x:v>423</x:v>
      </x:c>
      <x:c r="K1238" s="12">
        <x:f>ROUND(英雄升级调参!$D$85*英雄升级调参!$C$11*英雄升级调参!$J$11*英雄升级调参!$G$25,0)*3</x:f>
        <x:v>2700</x:v>
      </x:c>
      <x:c r="L1238" s="12" t="n">
        <x:f>养成消耗调参!$E$167</x:f>
        <x:v>864</x:v>
      </x:c>
      <x:c r="M1238" s="12" t="n">
        <x:f>养成消耗调参!$H$167</x:f>
        <x:v>4200</x:v>
      </x:c>
      <x:c r="N1238" s="12" t="n">
        <x:f>养成消耗调参!$I$167</x:f>
        <x:v>70</x:v>
      </x:c>
      <x:c r="O1238" s="12" t="n">
        <x:f>养成消耗调参!$L$167</x:f>
        <x:v>7872</x:v>
      </x:c>
      <x:c r="P1238" s="12" t="n">
        <x:f>养成消耗调参!$O$167</x:f>
        <x:v>43800</x:v>
      </x:c>
      <x:c r="Q1238" s="12" t="n">
        <x:f>养成消耗调参!$P$167</x:f>
        <x:v>160</x:v>
      </x:c>
      <x:c r="R1238" s="13">
        <x:f>I1238/英雄升级调参!$M$85-1</x:f>
        <x:v>-0.0006339144215531389</x:v>
      </x:c>
      <x:c r="S1238" s="6"/>
      <x:c r="T1238" s="6"/>
      <x:c r="U1238" s="6"/>
    </x:row>
    <x:row r="1239" ht="21" customHeight="1">
      <x:c r="A1239" s="14" t="n">
        <x:f>英雄升级调参!$B$25</x:f>
        <x:v>310008</x:v>
      </x:c>
      <x:c r="B1239" s="14" t="str">
        <x:f>英雄升级调参!$C$25</x:f>
        <x:v>魔魔龙</x:v>
      </x:c>
      <x:c r="C1239" s="6" t="str">
        <x:f>英雄升级调参!$D$25</x:f>
        <x:v>战士</x:v>
      </x:c>
      <x:c r="D1239" s="6" t="s">
        <x:v>25</x:v>
      </x:c>
      <x:c r="E1239" s="6">
        <x:v>21</x:v>
      </x:c>
      <x:c r="F1239" s="6" t="n">
        <x:f>英雄升级调参!$C$86</x:f>
        <x:v>5</x:v>
      </x:c>
      <x:c r="G1239" s="12">
        <x:f t="shared" si="114"/>
        <x:v>3322</x:v>
      </x:c>
      <x:c r="H1239" s="12">
        <x:f t="shared" si="115"/>
        <x:v>21216</x:v>
      </x:c>
      <x:c r="I1239" s="12">
        <x:f t="shared" si="116"/>
        <x:v>70479552</x:v>
      </x:c>
      <x:c r="J1239" s="12">
        <x:f>ROUND(英雄升级调参!$D$86*英雄升级调参!$J$11*英雄升级调参!$E$25,0)</x:f>
        <x:v>169</x:v>
      </x:c>
      <x:c r="K1239" s="12">
        <x:f>ROUND(英雄升级调参!$D$86*英雄升级调参!$C$11*英雄升级调参!$J$11*英雄升级调参!$G$25,0)</x:f>
        <x:v>1080</x:v>
      </x:c>
      <x:c r="L1239" s="12" t="n">
        <x:f>养成消耗调参!$E$168</x:f>
        <x:v>864</x:v>
      </x:c>
      <x:c r="M1239" s="12" t="n">
        <x:f>养成消耗调参!$H$168</x:f>
        <x:v>4200</x:v>
      </x:c>
      <x:c r="N1239" s="12" t="n">
        <x:f>养成消耗调参!$I$168</x:f>
        <x:v>0</x:v>
      </x:c>
      <x:c r="O1239" s="12" t="n">
        <x:f>养成消耗调参!$L$168</x:f>
        <x:v>8736</x:v>
      </x:c>
      <x:c r="P1239" s="12" t="n">
        <x:f>养成消耗调参!$O$168</x:f>
        <x:v>48000</x:v>
      </x:c>
      <x:c r="Q1239" s="12" t="n">
        <x:f>养成消耗调参!$P$168</x:f>
        <x:v>160</x:v>
      </x:c>
      <x:c r="R1239" s="13">
        <x:f>I1239/英雄升级调参!$M$86-1</x:f>
        <x:v>-0.0005265137269649944</x:v>
      </x:c>
      <x:c r="S1239" s="6"/>
      <x:c r="T1239" s="6"/>
      <x:c r="U1239" s="6"/>
    </x:row>
    <x:row r="1240" ht="21" customHeight="1">
      <x:c r="A1240" s="14" t="n">
        <x:f>英雄升级调参!$B$25</x:f>
        <x:v>310008</x:v>
      </x:c>
      <x:c r="B1240" s="14" t="str">
        <x:f>英雄升级调参!$C$25</x:f>
        <x:v>魔魔龙</x:v>
      </x:c>
      <x:c r="C1240" s="6" t="str">
        <x:f>英雄升级调参!$D$25</x:f>
        <x:v>战士</x:v>
      </x:c>
      <x:c r="D1240" s="6" t="s">
        <x:v>25</x:v>
      </x:c>
      <x:c r="E1240" s="6">
        <x:v>22</x:v>
      </x:c>
      <x:c r="F1240" s="6" t="n">
        <x:f>英雄升级调参!$C$87</x:f>
        <x:v>5</x:v>
      </x:c>
      <x:c r="G1240" s="12">
        <x:f t="shared" si="114"/>
        <x:v>3491</x:v>
      </x:c>
      <x:c r="H1240" s="12">
        <x:f t="shared" si="115"/>
        <x:v>22296</x:v>
      </x:c>
      <x:c r="I1240" s="12">
        <x:f t="shared" si="116"/>
        <x:v>77835336</x:v>
      </x:c>
      <x:c r="J1240" s="12">
        <x:f>ROUND(英雄升级调参!$D$87*英雄升级调参!$J$11*英雄升级调参!$E$25,0)</x:f>
        <x:v>169</x:v>
      </x:c>
      <x:c r="K1240" s="12">
        <x:f>ROUND(英雄升级调参!$D$87*英雄升级调参!$C$11*英雄升级调参!$J$11*英雄升级调参!$G$25,0)</x:f>
        <x:v>1080</x:v>
      </x:c>
      <x:c r="L1240" s="12" t="n">
        <x:f>养成消耗调参!$E$169</x:f>
        <x:v>960</x:v>
      </x:c>
      <x:c r="M1240" s="12" t="n">
        <x:f>养成消耗调参!$H$169</x:f>
        <x:v>6000</x:v>
      </x:c>
      <x:c r="N1240" s="12" t="n">
        <x:f>养成消耗调参!$I$169</x:f>
        <x:v>0</x:v>
      </x:c>
      <x:c r="O1240" s="12" t="n">
        <x:f>养成消耗调参!$L$169</x:f>
        <x:v>9696</x:v>
      </x:c>
      <x:c r="P1240" s="12" t="n">
        <x:f>养成消耗调参!$O$169</x:f>
        <x:v>54000</x:v>
      </x:c>
      <x:c r="Q1240" s="12" t="n">
        <x:f>养成消耗调参!$P$169</x:f>
        <x:v>160</x:v>
      </x:c>
      <x:c r="R1240" s="13">
        <x:f>I1240/英雄升级调参!$M$87-1</x:f>
        <x:v>-0.00042949176807449696</x:v>
      </x:c>
      <x:c r="S1240" s="6"/>
      <x:c r="T1240" s="6"/>
      <x:c r="U1240" s="6"/>
    </x:row>
    <x:row r="1241" ht="21" customHeight="1">
      <x:c r="A1241" s="14" t="n">
        <x:f>英雄升级调参!$B$25</x:f>
        <x:v>310008</x:v>
      </x:c>
      <x:c r="B1241" s="14" t="str">
        <x:f>英雄升级调参!$C$25</x:f>
        <x:v>魔魔龙</x:v>
      </x:c>
      <x:c r="C1241" s="6" t="str">
        <x:f>英雄升级调参!$D$25</x:f>
        <x:v>战士</x:v>
      </x:c>
      <x:c r="D1241" s="6" t="s">
        <x:v>25</x:v>
      </x:c>
      <x:c r="E1241" s="6">
        <x:v>23</x:v>
      </x:c>
      <x:c r="F1241" s="6" t="n">
        <x:f>英雄升级调参!$C$88</x:f>
        <x:v>5</x:v>
      </x:c>
      <x:c r="G1241" s="12">
        <x:f t="shared" si="114"/>
        <x:v>3660</x:v>
      </x:c>
      <x:c r="H1241" s="12">
        <x:f t="shared" si="115"/>
        <x:v>23376</x:v>
      </x:c>
      <x:c r="I1241" s="12">
        <x:f t="shared" si="116"/>
        <x:v>85556160</x:v>
      </x:c>
      <x:c r="J1241" s="12">
        <x:f>ROUND(英雄升级调参!$D$88*英雄升级调参!$J$11*英雄升级调参!$E$25,0)</x:f>
        <x:v>169</x:v>
      </x:c>
      <x:c r="K1241" s="12">
        <x:f>ROUND(英雄升级调参!$D$88*英雄升级调参!$C$11*英雄升级调参!$J$11*英雄升级调参!$G$25,0)</x:f>
        <x:v>1080</x:v>
      </x:c>
      <x:c r="L1241" s="12" t="n">
        <x:f>养成消耗调参!$E$170</x:f>
        <x:v>960</x:v>
      </x:c>
      <x:c r="M1241" s="12" t="n">
        <x:f>养成消耗调参!$H$170</x:f>
        <x:v>6000</x:v>
      </x:c>
      <x:c r="N1241" s="12" t="n">
        <x:f>养成消耗调参!$I$170</x:f>
        <x:v>0</x:v>
      </x:c>
      <x:c r="O1241" s="12" t="n">
        <x:f>养成消耗调参!$L$170</x:f>
        <x:v>10656</x:v>
      </x:c>
      <x:c r="P1241" s="12" t="n">
        <x:f>养成消耗调参!$O$170</x:f>
        <x:v>60000</x:v>
      </x:c>
      <x:c r="Q1241" s="12" t="n">
        <x:f>养成消耗调参!$P$170</x:f>
        <x:v>160</x:v>
      </x:c>
      <x:c r="R1241" s="13">
        <x:f>I1241/英雄升级调参!$M$88-1</x:f>
        <x:v>-0.00034141345169003134</x:v>
      </x:c>
      <x:c r="S1241" s="6"/>
      <x:c r="T1241" s="6"/>
      <x:c r="U1241" s="6"/>
    </x:row>
    <x:row r="1242" ht="21" customHeight="1">
      <x:c r="A1242" s="14" t="n">
        <x:f>英雄升级调参!$B$25</x:f>
        <x:v>310008</x:v>
      </x:c>
      <x:c r="B1242" s="14" t="str">
        <x:f>英雄升级调参!$C$25</x:f>
        <x:v>魔魔龙</x:v>
      </x:c>
      <x:c r="C1242" s="6" t="str">
        <x:f>英雄升级调参!$D$25</x:f>
        <x:v>战士</x:v>
      </x:c>
      <x:c r="D1242" s="6" t="s">
        <x:v>25</x:v>
      </x:c>
      <x:c r="E1242" s="6">
        <x:v>24</x:v>
      </x:c>
      <x:c r="F1242" s="6" t="n">
        <x:f>英雄升级调参!$C$89</x:f>
        <x:v>5</x:v>
      </x:c>
      <x:c r="G1242" s="12">
        <x:f t="shared" si="114"/>
        <x:v>3829</x:v>
      </x:c>
      <x:c r="H1242" s="12">
        <x:f t="shared" si="115"/>
        <x:v>24456</x:v>
      </x:c>
      <x:c r="I1242" s="12">
        <x:f t="shared" si="116"/>
        <x:v>93642024</x:v>
      </x:c>
      <x:c r="J1242" s="12">
        <x:f>ROUND(英雄升级调参!$D$89*英雄升级调参!$J$11*英雄升级调参!$E$25,0)</x:f>
        <x:v>169</x:v>
      </x:c>
      <x:c r="K1242" s="12">
        <x:f>ROUND(英雄升级调参!$D$89*英雄升级调参!$C$11*英雄升级调参!$J$11*英雄升级调参!$G$25,0)</x:f>
        <x:v>1080</x:v>
      </x:c>
      <x:c r="L1242" s="12" t="n">
        <x:f>养成消耗调参!$E$171</x:f>
        <x:v>1056</x:v>
      </x:c>
      <x:c r="M1242" s="12" t="n">
        <x:f>养成消耗调参!$H$171</x:f>
        <x:v>6000</x:v>
      </x:c>
      <x:c r="N1242" s="12" t="n">
        <x:f>养成消耗调参!$I$171</x:f>
        <x:v>0</x:v>
      </x:c>
      <x:c r="O1242" s="12" t="n">
        <x:f>养成消耗调参!$L$171</x:f>
        <x:v>11712</x:v>
      </x:c>
      <x:c r="P1242" s="12" t="n">
        <x:f>养成消耗调参!$O$171</x:f>
        <x:v>66000</x:v>
      </x:c>
      <x:c r="Q1242" s="12" t="n">
        <x:f>养成消耗调参!$P$171</x:f>
        <x:v>160</x:v>
      </x:c>
      <x:c r="R1242" s="13">
        <x:f>I1242/英雄升级调参!$M$89-1</x:f>
        <x:v>-0.00026109660574413773</x:v>
      </x:c>
      <x:c r="S1242" s="6"/>
      <x:c r="T1242" s="6"/>
      <x:c r="U1242" s="6"/>
    </x:row>
    <x:row r="1243" ht="21" customHeight="1">
      <x:c r="A1243" s="14" t="n">
        <x:f>英雄升级调参!$B$25</x:f>
        <x:v>310008</x:v>
      </x:c>
      <x:c r="B1243" s="14" t="str">
        <x:f>英雄升级调参!$C$25</x:f>
        <x:v>魔魔龙</x:v>
      </x:c>
      <x:c r="C1243" s="6" t="str">
        <x:f>英雄升级调参!$D$25</x:f>
        <x:v>战士</x:v>
      </x:c>
      <x:c r="D1243" s="6" t="s">
        <x:v>25</x:v>
      </x:c>
      <x:c r="E1243" s="6">
        <x:v>25</x:v>
      </x:c>
      <x:c r="F1243" s="6" t="n">
        <x:f>英雄升级调参!$C$90</x:f>
        <x:v>5</x:v>
      </x:c>
      <x:c r="G1243" s="12">
        <x:f t="shared" si="114"/>
        <x:v>4336</x:v>
      </x:c>
      <x:c r="H1243" s="12">
        <x:f t="shared" si="115"/>
        <x:v>27696</x:v>
      </x:c>
      <x:c r="I1243" s="12">
        <x:f t="shared" si="116"/>
        <x:v>120089856</x:v>
      </x:c>
      <x:c r="J1243" s="12">
        <x:f>ROUND(英雄升级调参!$D$90*英雄升级调参!$J$11*英雄升级调参!$E$25,0)*3</x:f>
        <x:v>507</x:v>
      </x:c>
      <x:c r="K1243" s="12">
        <x:f>ROUND(英雄升级调参!$D$90*英雄升级调参!$C$11*英雄升级调参!$J$11*英雄升级调参!$G$25,0)*3</x:f>
        <x:v>3240</x:v>
      </x:c>
      <x:c r="L1243" s="12" t="n">
        <x:f>养成消耗调参!$E$172</x:f>
        <x:v>1056</x:v>
      </x:c>
      <x:c r="M1243" s="12" t="n">
        <x:f>养成消耗调参!$H$172</x:f>
        <x:v>6000</x:v>
      </x:c>
      <x:c r="N1243" s="12" t="n">
        <x:f>养成消耗调参!$I$172</x:f>
        <x:v>90</x:v>
      </x:c>
      <x:c r="O1243" s="12" t="n">
        <x:f>养成消耗调参!$L$172</x:f>
        <x:v>12768</x:v>
      </x:c>
      <x:c r="P1243" s="12" t="n">
        <x:f>养成消耗调参!$O$172</x:f>
        <x:v>72000</x:v>
      </x:c>
      <x:c r="Q1243" s="12" t="n">
        <x:f>养成消耗调参!$P$172</x:f>
        <x:v>250</x:v>
      </x:c>
      <x:c r="R1243" s="13">
        <x:f>I1243/英雄升级调参!$M$90-1</x:f>
        <x:v>-5.7653502450238925e-05</x:v>
      </x:c>
      <x:c r="S1243" s="6"/>
      <x:c r="T1243" s="6"/>
      <x:c r="U1243" s="6"/>
    </x:row>
    <x:row r="1244" ht="21" customHeight="1">
      <x:c r="A1244" s="14" t="n">
        <x:f>英雄升级调参!$B$25</x:f>
        <x:v>310008</x:v>
      </x:c>
      <x:c r="B1244" s="14" t="str">
        <x:f>英雄升级调参!$C$25</x:f>
        <x:v>魔魔龙</x:v>
      </x:c>
      <x:c r="C1244" s="6" t="str">
        <x:f>英雄升级调参!$D$25</x:f>
        <x:v>战士</x:v>
      </x:c>
      <x:c r="D1244" s="6" t="s">
        <x:v>25</x:v>
      </x:c>
      <x:c r="E1244" s="6">
        <x:v>26</x:v>
      </x:c>
      <x:c r="F1244" s="6" t="n">
        <x:f>英雄升级调参!$C$91</x:f>
        <x:v>6</x:v>
      </x:c>
      <x:c r="G1244" s="12">
        <x:f t="shared" si="114"/>
        <x:v>4533</x:v>
      </x:c>
      <x:c r="H1244" s="12">
        <x:f t="shared" si="115"/>
        <x:v>28956</x:v>
      </x:c>
      <x:c r="I1244" s="12">
        <x:f t="shared" si="116"/>
        <x:v>131257548</x:v>
      </x:c>
      <x:c r="J1244" s="12">
        <x:f>ROUND(英雄升级调参!$D$91*英雄升级调参!$J$11*英雄升级调参!$E$25,0)</x:f>
        <x:v>197</x:v>
      </x:c>
      <x:c r="K1244" s="12">
        <x:f>ROUND(英雄升级调参!$D$91*英雄升级调参!$C$11*英雄升级调参!$J$11*英雄升级调参!$G$25,0)</x:f>
        <x:v>1260</x:v>
      </x:c>
      <x:c r="L1244" s="12" t="n">
        <x:f>养成消耗调参!$E$173</x:f>
        <x:v>1152</x:v>
      </x:c>
      <x:c r="M1244" s="12" t="n">
        <x:f>养成消耗调参!$H$173</x:f>
        <x:v>6000</x:v>
      </x:c>
      <x:c r="N1244" s="12" t="n">
        <x:f>养成消耗调参!$I$173</x:f>
        <x:v>0</x:v>
      </x:c>
      <x:c r="O1244" s="12" t="n">
        <x:f>养成消耗调参!$L$173</x:f>
        <x:v>13920</x:v>
      </x:c>
      <x:c r="P1244" s="12" t="n">
        <x:f>养成消耗调参!$O$173</x:f>
        <x:v>78000</x:v>
      </x:c>
      <x:c r="Q1244" s="12" t="n">
        <x:f>养成消耗调参!$P$173</x:f>
        <x:v>250</x:v>
      </x:c>
      <x:c r="R1244" s="13">
        <x:f>I1244/英雄升级调参!$M$91-1</x:f>
        <x:v>-0.00016542597187763075</x:v>
      </x:c>
      <x:c r="S1244" s="6"/>
      <x:c r="T1244" s="6"/>
      <x:c r="U1244" s="6"/>
    </x:row>
    <x:row r="1245" ht="21" customHeight="1">
      <x:c r="A1245" s="14" t="n">
        <x:f>英雄升级调参!$B$25</x:f>
        <x:v>310008</x:v>
      </x:c>
      <x:c r="B1245" s="14" t="str">
        <x:f>英雄升级调参!$C$25</x:f>
        <x:v>魔魔龙</x:v>
      </x:c>
      <x:c r="C1245" s="6" t="str">
        <x:f>英雄升级调参!$D$25</x:f>
        <x:v>战士</x:v>
      </x:c>
      <x:c r="D1245" s="6" t="s">
        <x:v>25</x:v>
      </x:c>
      <x:c r="E1245" s="6">
        <x:v>27</x:v>
      </x:c>
      <x:c r="F1245" s="6" t="n">
        <x:f>英雄升级调参!$C$92</x:f>
        <x:v>6</x:v>
      </x:c>
      <x:c r="G1245" s="12">
        <x:f t="shared" si="114"/>
        <x:v>4730</x:v>
      </x:c>
      <x:c r="H1245" s="12">
        <x:f t="shared" si="115"/>
        <x:v>30216</x:v>
      </x:c>
      <x:c r="I1245" s="12">
        <x:f t="shared" si="116"/>
        <x:v>142921680</x:v>
      </x:c>
      <x:c r="J1245" s="12">
        <x:f>ROUND(英雄升级调参!$D$92*英雄升级调参!$J$11*英雄升级调参!$E$25,0)</x:f>
        <x:v>197</x:v>
      </x:c>
      <x:c r="K1245" s="12">
        <x:f>ROUND(英雄升级调参!$D$92*英雄升级调参!$C$11*英雄升级调参!$J$11*英雄升级调参!$G$25,0)</x:f>
        <x:v>1260</x:v>
      </x:c>
      <x:c r="L1245" s="12" t="n">
        <x:f>养成消耗调参!$E$174</x:f>
        <x:v>1152</x:v>
      </x:c>
      <x:c r="M1245" s="12" t="n">
        <x:f>养成消耗调参!$H$174</x:f>
        <x:v>7800</x:v>
      </x:c>
      <x:c r="N1245" s="12" t="n">
        <x:f>养成消耗调参!$I$174</x:f>
        <x:v>0</x:v>
      </x:c>
      <x:c r="O1245" s="12" t="n">
        <x:f>养成消耗调参!$L$174</x:f>
        <x:v>15072</x:v>
      </x:c>
      <x:c r="P1245" s="12" t="n">
        <x:f>养成消耗调参!$O$174</x:f>
        <x:v>85800</x:v>
      </x:c>
      <x:c r="Q1245" s="12" t="n">
        <x:f>养成消耗调参!$P$174</x:f>
        <x:v>250</x:v>
      </x:c>
      <x:c r="R1245" s="13">
        <x:f>I1245/英雄升级调参!$M$92-1</x:f>
        <x:v>-0.00026420079260236484</x:v>
      </x:c>
      <x:c r="S1245" s="6"/>
      <x:c r="T1245" s="6"/>
      <x:c r="U1245" s="6"/>
    </x:row>
    <x:row r="1246" ht="21" customHeight="1">
      <x:c r="A1246" s="14" t="n">
        <x:f>英雄升级调参!$B$25</x:f>
        <x:v>310008</x:v>
      </x:c>
      <x:c r="B1246" s="14" t="str">
        <x:f>英雄升级调参!$C$25</x:f>
        <x:v>魔魔龙</x:v>
      </x:c>
      <x:c r="C1246" s="6" t="str">
        <x:f>英雄升级调参!$D$25</x:f>
        <x:v>战士</x:v>
      </x:c>
      <x:c r="D1246" s="6" t="s">
        <x:v>25</x:v>
      </x:c>
      <x:c r="E1246" s="6">
        <x:v>28</x:v>
      </x:c>
      <x:c r="F1246" s="6" t="n">
        <x:f>英雄升级调参!$C$93</x:f>
        <x:v>6</x:v>
      </x:c>
      <x:c r="G1246" s="12">
        <x:f t="shared" si="114"/>
        <x:v>4927</x:v>
      </x:c>
      <x:c r="H1246" s="12">
        <x:f t="shared" si="115"/>
        <x:v>31476</x:v>
      </x:c>
      <x:c r="I1246" s="12">
        <x:f t="shared" si="116"/>
        <x:v>155082252</x:v>
      </x:c>
      <x:c r="J1246" s="12">
        <x:f>ROUND(英雄升级调参!$D$93*英雄升级调参!$J$11*英雄升级调参!$E$25,0)</x:f>
        <x:v>197</x:v>
      </x:c>
      <x:c r="K1246" s="12">
        <x:f>ROUND(英雄升级调参!$D$93*英雄升级调参!$C$11*英雄升级调参!$J$11*英雄升级调参!$G$25,0)</x:f>
        <x:v>1260</x:v>
      </x:c>
      <x:c r="L1246" s="12" t="n">
        <x:f>养成消耗调参!$E$175</x:f>
        <x:v>1248</x:v>
      </x:c>
      <x:c r="M1246" s="12" t="n">
        <x:f>养成消耗调参!$H$175</x:f>
        <x:v>7800</x:v>
      </x:c>
      <x:c r="N1246" s="12" t="n">
        <x:f>养成消耗调参!$I$175</x:f>
        <x:v>0</x:v>
      </x:c>
      <x:c r="O1246" s="12" t="n">
        <x:f>养成消耗调参!$L$175</x:f>
        <x:v>16320</x:v>
      </x:c>
      <x:c r="P1246" s="12" t="n">
        <x:f>养成消耗调参!$O$175</x:f>
        <x:v>93600</x:v>
      </x:c>
      <x:c r="Q1246" s="12" t="n">
        <x:f>养成消耗调参!$P$175</x:f>
        <x:v>250</x:v>
      </x:c>
      <x:c r="R1246" s="13">
        <x:f>I1246/英雄升级调参!$M$93-1</x:f>
        <x:v>-0.0003550595992898309</x:v>
      </x:c>
      <x:c r="S1246" s="6"/>
      <x:c r="T1246" s="6"/>
      <x:c r="U1246" s="6"/>
    </x:row>
    <x:row r="1247" ht="21" customHeight="1">
      <x:c r="A1247" s="14" t="n">
        <x:f>英雄升级调参!$B$25</x:f>
        <x:v>310008</x:v>
      </x:c>
      <x:c r="B1247" s="14" t="str">
        <x:f>英雄升级调参!$C$25</x:f>
        <x:v>魔魔龙</x:v>
      </x:c>
      <x:c r="C1247" s="6" t="str">
        <x:f>英雄升级调参!$D$25</x:f>
        <x:v>战士</x:v>
      </x:c>
      <x:c r="D1247" s="6" t="s">
        <x:v>25</x:v>
      </x:c>
      <x:c r="E1247" s="6">
        <x:v>29</x:v>
      </x:c>
      <x:c r="F1247" s="6" t="n">
        <x:f>英雄升级调参!$C$94</x:f>
        <x:v>6</x:v>
      </x:c>
      <x:c r="G1247" s="12">
        <x:f t="shared" si="114"/>
        <x:v>5124</x:v>
      </x:c>
      <x:c r="H1247" s="12">
        <x:f t="shared" si="115"/>
        <x:v>32736</x:v>
      </x:c>
      <x:c r="I1247" s="12">
        <x:f t="shared" si="116"/>
        <x:v>167739264</x:v>
      </x:c>
      <x:c r="J1247" s="12">
        <x:f>ROUND(英雄升级调参!$D$94*英雄升级调参!$J$11*英雄升级调参!$E$25,0)</x:f>
        <x:v>197</x:v>
      </x:c>
      <x:c r="K1247" s="12">
        <x:f>ROUND(英雄升级调参!$D$94*英雄升级调参!$C$11*英雄升级调参!$J$11*英雄升级调参!$G$25,0)</x:f>
        <x:v>1260</x:v>
      </x:c>
      <x:c r="L1247" s="12" t="n">
        <x:f>养成消耗调参!$E$176</x:f>
        <x:v>1248</x:v>
      </x:c>
      <x:c r="M1247" s="12" t="n">
        <x:f>养成消耗调参!$H$176</x:f>
        <x:v>7800</x:v>
      </x:c>
      <x:c r="N1247" s="12" t="n">
        <x:f>养成消耗调参!$I$176</x:f>
        <x:v>0</x:v>
      </x:c>
      <x:c r="O1247" s="12" t="n">
        <x:f>养成消耗调参!$L$176</x:f>
        <x:v>17568</x:v>
      </x:c>
      <x:c r="P1247" s="12" t="n">
        <x:f>养成消耗调参!$O$176</x:f>
        <x:v>101400</x:v>
      </x:c>
      <x:c r="Q1247" s="12" t="n">
        <x:f>养成消耗调参!$P$176</x:f>
        <x:v>250</x:v>
      </x:c>
      <x:c r="R1247" s="13">
        <x:f>I1247/英雄升级调参!$M$94-1</x:f>
        <x:v>-0.00043891733723477877</x:v>
      </x:c>
      <x:c r="S1247" s="6"/>
      <x:c r="T1247" s="6"/>
      <x:c r="U1247" s="6"/>
    </x:row>
    <x:row r="1248" ht="21" customHeight="1">
      <x:c r="A1248" s="14" t="n">
        <x:f>英雄升级调参!$B$25</x:f>
        <x:v>310008</x:v>
      </x:c>
      <x:c r="B1248" s="14" t="str">
        <x:f>英雄升级调参!$C$25</x:f>
        <x:v>魔魔龙</x:v>
      </x:c>
      <x:c r="C1248" s="6" t="str">
        <x:f>英雄升级调参!$D$25</x:f>
        <x:v>战士</x:v>
      </x:c>
      <x:c r="D1248" s="6" t="s">
        <x:v>25</x:v>
      </x:c>
      <x:c r="E1248" s="6">
        <x:v>30</x:v>
      </x:c>
      <x:c r="F1248" s="6" t="n">
        <x:f>英雄升级调参!$C$95</x:f>
        <x:v>6</x:v>
      </x:c>
      <x:c r="G1248" s="12">
        <x:f t="shared" si="114"/>
        <x:v>5715</x:v>
      </x:c>
      <x:c r="H1248" s="12">
        <x:f t="shared" si="115"/>
        <x:v>36516</x:v>
      </x:c>
      <x:c r="I1248" s="12">
        <x:f t="shared" si="116"/>
        <x:v>208688940</x:v>
      </x:c>
      <x:c r="J1248" s="12">
        <x:f>ROUND(英雄升级调参!$D$95*英雄升级调参!$J$11*英雄升级调参!$E$25,0)*3</x:f>
        <x:v>591</x:v>
      </x:c>
      <x:c r="K1248" s="12">
        <x:f>ROUND(英雄升级调参!$D$95*英雄升级调参!$C$11*英雄升级调参!$J$11*英雄升级调参!$G$25,0)*3</x:f>
        <x:v>3780</x:v>
      </x:c>
      <x:c r="L1248" s="12" t="n">
        <x:f>养成消耗调参!$E$177</x:f>
        <x:v>1344</x:v>
      </x:c>
      <x:c r="M1248" s="12" t="n">
        <x:f>养成消耗调参!$H$177</x:f>
        <x:v>7800</x:v>
      </x:c>
      <x:c r="N1248" s="12" t="n">
        <x:f>养成消耗调参!$I$177</x:f>
        <x:v>110</x:v>
      </x:c>
      <x:c r="O1248" s="12" t="n">
        <x:f>养成消耗调参!$L$177</x:f>
        <x:v>18912</x:v>
      </x:c>
      <x:c r="P1248" s="12" t="n">
        <x:f>养成消耗调参!$O$177</x:f>
        <x:v>109200</x:v>
      </x:c>
      <x:c r="Q1248" s="12" t="n">
        <x:f>养成消耗调参!$P$177</x:f>
        <x:v>360</x:v>
      </x:c>
      <x:c r="R1248" s="13">
        <x:f>I1248/英雄升级调参!$M$95-1</x:f>
        <x:v>-0.0006557377049180024</x:v>
      </x:c>
      <x:c r="S1248" s="6"/>
      <x:c r="T1248" s="6"/>
      <x:c r="U1248" s="6"/>
    </x:row>
    <x:row r="1249" ht="21" customHeight="1">
      <x:c r="A1249" s="14" t="n">
        <x:f>英雄升级调参!$B$25</x:f>
        <x:v>310008</x:v>
      </x:c>
      <x:c r="B1249" s="14" t="str">
        <x:f>英雄升级调参!$C$25</x:f>
        <x:v>魔魔龙</x:v>
      </x:c>
      <x:c r="C1249" s="6" t="str">
        <x:f>英雄升级调参!$D$25</x:f>
        <x:v>战士</x:v>
      </x:c>
      <x:c r="D1249" s="6" t="s">
        <x:v>25</x:v>
      </x:c>
      <x:c r="E1249" s="6">
        <x:v>31</x:v>
      </x:c>
      <x:c r="F1249" s="6" t="n">
        <x:f>英雄升级调参!$C$96</x:f>
        <x:v>7</x:v>
      </x:c>
      <x:c r="G1249" s="12">
        <x:f t="shared" si="114"/>
        <x:v>5940</x:v>
      </x:c>
      <x:c r="H1249" s="12">
        <x:f t="shared" si="115"/>
        <x:v>37956</x:v>
      </x:c>
      <x:c r="I1249" s="12">
        <x:f t="shared" si="116"/>
        <x:v>225458640</x:v>
      </x:c>
      <x:c r="J1249" s="12">
        <x:f>ROUND(英雄升级调参!$D$96*英雄升级调参!$J$11*英雄升级调参!$E$25,0)</x:f>
        <x:v>225</x:v>
      </x:c>
      <x:c r="K1249" s="12">
        <x:f>ROUND(英雄升级调参!$D$96*英雄升级调参!$C$11*英雄升级调参!$J$11*英雄升级调参!$G$25,0)</x:f>
        <x:v>1440</x:v>
      </x:c>
      <x:c r="L1249" s="12" t="n">
        <x:f>养成消耗调参!$E$178</x:f>
        <x:v>1344</x:v>
      </x:c>
      <x:c r="M1249" s="12" t="n">
        <x:f>养成消耗调参!$H$178</x:f>
        <x:v>7800</x:v>
      </x:c>
      <x:c r="N1249" s="12" t="n">
        <x:f>养成消耗调参!$I$178</x:f>
        <x:v>0</x:v>
      </x:c>
      <x:c r="O1249" s="12" t="n">
        <x:f>养成消耗调参!$L$178</x:f>
        <x:v>20256</x:v>
      </x:c>
      <x:c r="P1249" s="12" t="n">
        <x:f>养成消耗调参!$O$178</x:f>
        <x:v>117000</x:v>
      </x:c>
      <x:c r="Q1249" s="12" t="n">
        <x:f>养成消耗调参!$P$178</x:f>
        <x:v>360</x:v>
      </x:c>
      <x:c r="R1249" s="13">
        <x:f>I1249/英雄升级调参!$M$96-1</x:f>
        <x:v>-0.0006309148264984632</x:v>
      </x:c>
      <x:c r="S1249" s="6"/>
      <x:c r="T1249" s="6"/>
      <x:c r="U1249" s="6"/>
    </x:row>
    <x:row r="1250" ht="21" customHeight="1">
      <x:c r="A1250" s="14" t="n">
        <x:f>英雄升级调参!$B$25</x:f>
        <x:v>310008</x:v>
      </x:c>
      <x:c r="B1250" s="14" t="str">
        <x:f>英雄升级调参!$C$25</x:f>
        <x:v>魔魔龙</x:v>
      </x:c>
      <x:c r="C1250" s="6" t="str">
        <x:f>英雄升级调参!$D$25</x:f>
        <x:v>战士</x:v>
      </x:c>
      <x:c r="D1250" s="6" t="s">
        <x:v>25</x:v>
      </x:c>
      <x:c r="E1250" s="6">
        <x:v>32</x:v>
      </x:c>
      <x:c r="F1250" s="6" t="n">
        <x:f>英雄升级调参!$C$97</x:f>
        <x:v>7</x:v>
      </x:c>
      <x:c r="G1250" s="12">
        <x:f t="shared" si="114"/>
        <x:v>6165</x:v>
      </x:c>
      <x:c r="H1250" s="12">
        <x:f t="shared" si="115"/>
        <x:v>39396</x:v>
      </x:c>
      <x:c r="I1250" s="12">
        <x:f t="shared" si="116"/>
        <x:v>242876340</x:v>
      </x:c>
      <x:c r="J1250" s="12">
        <x:f>ROUND(英雄升级调参!$D$97*英雄升级调参!$J$11*英雄升级调参!$E$25,0)</x:f>
        <x:v>225</x:v>
      </x:c>
      <x:c r="K1250" s="12">
        <x:f>ROUND(英雄升级调参!$D$97*英雄升级调参!$C$11*英雄升级调参!$J$11*英雄升级调参!$G$25,0)</x:f>
        <x:v>1440</x:v>
      </x:c>
      <x:c r="L1250" s="12" t="n">
        <x:f>养成消耗调参!$E$179</x:f>
        <x:v>1440</x:v>
      </x:c>
      <x:c r="M1250" s="12" t="n">
        <x:f>养成消耗调参!$H$179</x:f>
        <x:v>9600</x:v>
      </x:c>
      <x:c r="N1250" s="12" t="n">
        <x:f>养成消耗调参!$I$179</x:f>
        <x:v>0</x:v>
      </x:c>
      <x:c r="O1250" s="12" t="n">
        <x:f>养成消耗调参!$L$179</x:f>
        <x:v>21696</x:v>
      </x:c>
      <x:c r="P1250" s="12" t="n">
        <x:f>养成消耗调参!$O$179</x:f>
        <x:v>126600</x:v>
      </x:c>
      <x:c r="Q1250" s="12" t="n">
        <x:f>养成消耗调参!$P$179</x:f>
        <x:v>360</x:v>
      </x:c>
      <x:c r="R1250" s="13">
        <x:f>I1250/英雄升级调参!$M$97-1</x:f>
        <x:v>-0.0006079027355623268</x:v>
      </x:c>
      <x:c r="S1250" s="6"/>
      <x:c r="T1250" s="6"/>
      <x:c r="U1250" s="6"/>
    </x:row>
    <x:row r="1251" ht="21" customHeight="1">
      <x:c r="A1251" s="14" t="n">
        <x:f>英雄升级调参!$B$25</x:f>
        <x:v>310008</x:v>
      </x:c>
      <x:c r="B1251" s="14" t="str">
        <x:f>英雄升级调参!$C$25</x:f>
        <x:v>魔魔龙</x:v>
      </x:c>
      <x:c r="C1251" s="6" t="str">
        <x:f>英雄升级调参!$D$25</x:f>
        <x:v>战士</x:v>
      </x:c>
      <x:c r="D1251" s="6" t="s">
        <x:v>25</x:v>
      </x:c>
      <x:c r="E1251" s="6">
        <x:v>33</x:v>
      </x:c>
      <x:c r="F1251" s="6" t="n">
        <x:f>英雄升级调参!$C$98</x:f>
        <x:v>7</x:v>
      </x:c>
      <x:c r="G1251" s="12">
        <x:f t="shared" si="114"/>
        <x:v>6390</x:v>
      </x:c>
      <x:c r="H1251" s="12">
        <x:f t="shared" si="115"/>
        <x:v>40836</x:v>
      </x:c>
      <x:c r="I1251" s="12">
        <x:f t="shared" si="116"/>
        <x:v>260942040</x:v>
      </x:c>
      <x:c r="J1251" s="12">
        <x:f>ROUND(英雄升级调参!$D$98*英雄升级调参!$J$11*英雄升级调参!$E$25,0)</x:f>
        <x:v>225</x:v>
      </x:c>
      <x:c r="K1251" s="12">
        <x:f>ROUND(英雄升级调参!$D$98*英雄升级调参!$C$11*英雄升级调参!$J$11*英雄升级调参!$G$25,0)</x:f>
        <x:v>1440</x:v>
      </x:c>
      <x:c r="L1251" s="12" t="n">
        <x:f>养成消耗调参!$E$180</x:f>
        <x:v>1440</x:v>
      </x:c>
      <x:c r="M1251" s="12" t="n">
        <x:f>养成消耗调参!$H$180</x:f>
        <x:v>9600</x:v>
      </x:c>
      <x:c r="N1251" s="12" t="n">
        <x:f>养成消耗调参!$I$180</x:f>
        <x:v>0</x:v>
      </x:c>
      <x:c r="O1251" s="12" t="n">
        <x:f>养成消耗调参!$L$180</x:f>
        <x:v>23136</x:v>
      </x:c>
      <x:c r="P1251" s="12" t="n">
        <x:f>养成消耗调参!$O$180</x:f>
        <x:v>136200</x:v>
      </x:c>
      <x:c r="Q1251" s="12" t="n">
        <x:f>养成消耗调参!$P$180</x:f>
        <x:v>360</x:v>
      </x:c>
      <x:c r="R1251" s="13">
        <x:f>I1251/英雄升级调参!$M$98-1</x:f>
        <x:v>-0.0005865102639296405</x:v>
      </x:c>
      <x:c r="S1251" s="6"/>
      <x:c r="T1251" s="6"/>
      <x:c r="U1251" s="6"/>
    </x:row>
    <x:row r="1252" ht="21" customHeight="1">
      <x:c r="A1252" s="14" t="n">
        <x:f>英雄升级调参!$B$25</x:f>
        <x:v>310008</x:v>
      </x:c>
      <x:c r="B1252" s="14" t="str">
        <x:f>英雄升级调参!$C$25</x:f>
        <x:v>魔魔龙</x:v>
      </x:c>
      <x:c r="C1252" s="6" t="str">
        <x:f>英雄升级调参!$D$25</x:f>
        <x:v>战士</x:v>
      </x:c>
      <x:c r="D1252" s="6" t="s">
        <x:v>25</x:v>
      </x:c>
      <x:c r="E1252" s="6">
        <x:v>34</x:v>
      </x:c>
      <x:c r="F1252" s="6" t="n">
        <x:f>英雄升级调参!$C$99</x:f>
        <x:v>7</x:v>
      </x:c>
      <x:c r="G1252" s="12">
        <x:f t="shared" ref="G1252:G1268" si="117">G1251+J1252</x:f>
        <x:v>6615</x:v>
      </x:c>
      <x:c r="H1252" s="12">
        <x:f t="shared" ref="H1252:H1268" si="118">H1251+K1252</x:f>
        <x:v>42276</x:v>
      </x:c>
      <x:c r="I1252" s="12">
        <x:f t="shared" si="116"/>
        <x:v>279655740</x:v>
      </x:c>
      <x:c r="J1252" s="12">
        <x:f>ROUND(英雄升级调参!$D$99*英雄升级调参!$J$11*英雄升级调参!$E$25,0)</x:f>
        <x:v>225</x:v>
      </x:c>
      <x:c r="K1252" s="12">
        <x:f>ROUND(英雄升级调参!$D$99*英雄升级调参!$C$11*英雄升级调参!$J$11*英雄升级调参!$G$25,0)</x:f>
        <x:v>1440</x:v>
      </x:c>
      <x:c r="L1252" s="12" t="n">
        <x:f>养成消耗调参!$E$181</x:f>
        <x:v>1536</x:v>
      </x:c>
      <x:c r="M1252" s="12" t="n">
        <x:f>养成消耗调参!$H$181</x:f>
        <x:v>9600</x:v>
      </x:c>
      <x:c r="N1252" s="12" t="n">
        <x:f>养成消耗调参!$I$181</x:f>
        <x:v>0</x:v>
      </x:c>
      <x:c r="O1252" s="12" t="n">
        <x:f>养成消耗调参!$L$181</x:f>
        <x:v>24672</x:v>
      </x:c>
      <x:c r="P1252" s="12" t="n">
        <x:f>养成消耗调参!$O$181</x:f>
        <x:v>145800</x:v>
      </x:c>
      <x:c r="Q1252" s="12" t="n">
        <x:f>养成消耗调参!$P$181</x:f>
        <x:v>360</x:v>
      </x:c>
      <x:c r="R1252" s="13">
        <x:f>I1252/英雄升级调参!$M$99-1</x:f>
        <x:v>-0.0005665722379603055</x:v>
      </x:c>
      <x:c r="S1252" s="6"/>
      <x:c r="T1252" s="6"/>
      <x:c r="U1252" s="6"/>
    </x:row>
    <x:row r="1253" ht="21" customHeight="1">
      <x:c r="A1253" s="14" t="n">
        <x:f>英雄升级调参!$B$25</x:f>
        <x:v>310008</x:v>
      </x:c>
      <x:c r="B1253" s="14" t="str">
        <x:f>英雄升级调参!$C$25</x:f>
        <x:v>魔魔龙</x:v>
      </x:c>
      <x:c r="C1253" s="6" t="str">
        <x:f>英雄升级调参!$D$25</x:f>
        <x:v>战士</x:v>
      </x:c>
      <x:c r="D1253" s="6" t="s">
        <x:v>25</x:v>
      </x:c>
      <x:c r="E1253" s="6">
        <x:v>35</x:v>
      </x:c>
      <x:c r="F1253" s="6" t="n">
        <x:f>英雄升级调参!$C$100</x:f>
        <x:v>7</x:v>
      </x:c>
      <x:c r="G1253" s="12">
        <x:f t="shared" si="117"/>
        <x:v>7290</x:v>
      </x:c>
      <x:c r="H1253" s="12">
        <x:f t="shared" si="118"/>
        <x:v>46596</x:v>
      </x:c>
      <x:c r="I1253" s="12">
        <x:f t="shared" si="116"/>
        <x:v>339684840</x:v>
      </x:c>
      <x:c r="J1253" s="12">
        <x:f>ROUND(英雄升级调参!$D$100*英雄升级调参!$J$11*英雄升级调参!$E$25,0)*3</x:f>
        <x:v>675</x:v>
      </x:c>
      <x:c r="K1253" s="12">
        <x:f>ROUND(英雄升级调参!$D$100*英雄升级调参!$C$11*英雄升级调参!$J$11*英雄升级调参!$G$25,0)*3</x:f>
        <x:v>4320</x:v>
      </x:c>
      <x:c r="L1253" s="12" t="n">
        <x:f>养成消耗调参!$E$182</x:f>
        <x:v>1536</x:v>
      </x:c>
      <x:c r="M1253" s="12" t="n">
        <x:f>养成消耗调参!$H$182</x:f>
        <x:v>9600</x:v>
      </x:c>
      <x:c r="N1253" s="12" t="n">
        <x:f>养成消耗调参!$I$182</x:f>
        <x:v>130</x:v>
      </x:c>
      <x:c r="O1253" s="12" t="n">
        <x:f>养成消耗调参!$L$182</x:f>
        <x:v>26208</x:v>
      </x:c>
      <x:c r="P1253" s="12" t="n">
        <x:f>养成消耗调参!$O$182</x:f>
        <x:v>155400</x:v>
      </x:c>
      <x:c r="Q1253" s="12" t="n">
        <x:f>养成消耗调参!$P$182</x:f>
        <x:v>490</x:v>
      </x:c>
      <x:c r="R1253" s="13">
        <x:f>I1253/英雄升级调参!$M$100-1</x:f>
        <x:v>-0.0005141388174807471</x:v>
      </x:c>
      <x:c r="S1253" s="6"/>
      <x:c r="T1253" s="6"/>
      <x:c r="U1253" s="6"/>
    </x:row>
    <x:row r="1254" ht="21" customHeight="1">
      <x:c r="A1254" s="14" t="n">
        <x:f>英雄升级调参!$B$25</x:f>
        <x:v>310008</x:v>
      </x:c>
      <x:c r="B1254" s="14" t="str">
        <x:f>英雄升级调参!$C$25</x:f>
        <x:v>魔魔龙</x:v>
      </x:c>
      <x:c r="C1254" s="6" t="str">
        <x:f>英雄升级调参!$D$25</x:f>
        <x:v>战士</x:v>
      </x:c>
      <x:c r="D1254" s="6" t="s">
        <x:v>25</x:v>
      </x:c>
      <x:c r="E1254" s="6">
        <x:v>36</x:v>
      </x:c>
      <x:c r="F1254" s="6" t="n">
        <x:f>英雄升级调参!$C$101</x:f>
        <x:v>8</x:v>
      </x:c>
      <x:c r="G1254" s="12">
        <x:f t="shared" si="117"/>
        <x:v>7543</x:v>
      </x:c>
      <x:c r="H1254" s="12">
        <x:f t="shared" si="118"/>
        <x:v>48216</x:v>
      </x:c>
      <x:c r="I1254" s="12">
        <x:f t="shared" si="116"/>
        <x:v>363693288</x:v>
      </x:c>
      <x:c r="J1254" s="12">
        <x:f>ROUND(英雄升级调参!$D$101*英雄升级调参!$J$11*英雄升级调参!$E$25,0)</x:f>
        <x:v>253</x:v>
      </x:c>
      <x:c r="K1254" s="12">
        <x:f>ROUND(英雄升级调参!$D$101*英雄升级调参!$C$11*英雄升级调参!$J$11*英雄升级调参!$G$25,0)</x:f>
        <x:v>1620</x:v>
      </x:c>
      <x:c r="L1254" s="12" t="n">
        <x:f>养成消耗调参!$E$183</x:f>
        <x:v>1632</x:v>
      </x:c>
      <x:c r="M1254" s="12" t="n">
        <x:f>养成消耗调参!$H$183</x:f>
        <x:v>9600</x:v>
      </x:c>
      <x:c r="N1254" s="12" t="n">
        <x:f>养成消耗调参!$I$183</x:f>
        <x:v>0</x:v>
      </x:c>
      <x:c r="O1254" s="12" t="n">
        <x:f>养成消耗调参!$L$183</x:f>
        <x:v>27840</x:v>
      </x:c>
      <x:c r="P1254" s="12" t="n">
        <x:f>养成消耗调参!$O$183</x:f>
        <x:v>165000</x:v>
      </x:c>
      <x:c r="Q1254" s="12" t="n">
        <x:f>养成消耗调参!$P$183</x:f>
        <x:v>490</x:v>
      </x:c>
      <x:c r="R1254" s="13">
        <x:f>I1254/英雄升级调参!$M$101-1</x:f>
        <x:v>-0.000596223915203753</x:v>
      </x:c>
      <x:c r="S1254" s="6"/>
      <x:c r="T1254" s="6"/>
      <x:c r="U1254" s="6"/>
    </x:row>
    <x:row r="1255" ht="21" customHeight="1">
      <x:c r="A1255" s="14" t="n">
        <x:f>英雄升级调参!$B$25</x:f>
        <x:v>310008</x:v>
      </x:c>
      <x:c r="B1255" s="14" t="str">
        <x:f>英雄升级调参!$C$25</x:f>
        <x:v>魔魔龙</x:v>
      </x:c>
      <x:c r="C1255" s="6" t="str">
        <x:f>英雄升级调参!$D$25</x:f>
        <x:v>战士</x:v>
      </x:c>
      <x:c r="D1255" s="6" t="s">
        <x:v>25</x:v>
      </x:c>
      <x:c r="E1255" s="6">
        <x:v>37</x:v>
      </x:c>
      <x:c r="F1255" s="6" t="n">
        <x:f>英雄升级调参!$C$102</x:f>
        <x:v>8</x:v>
      </x:c>
      <x:c r="G1255" s="12">
        <x:f t="shared" si="117"/>
        <x:v>7796</x:v>
      </x:c>
      <x:c r="H1255" s="12">
        <x:f t="shared" si="118"/>
        <x:v>49836</x:v>
      </x:c>
      <x:c r="I1255" s="12">
        <x:f t="shared" si="116"/>
        <x:v>388521456</x:v>
      </x:c>
      <x:c r="J1255" s="12">
        <x:f>ROUND(英雄升级调参!$D$102*英雄升级调参!$J$11*英雄升级调参!$E$25,0)</x:f>
        <x:v>253</x:v>
      </x:c>
      <x:c r="K1255" s="12">
        <x:f>ROUND(英雄升级调参!$D$102*英雄升级调参!$C$11*英雄升级调参!$J$11*英雄升级调参!$G$25,0)</x:f>
        <x:v>1620</x:v>
      </x:c>
      <x:c r="L1255" s="12" t="n">
        <x:f>养成消耗调参!$E$184</x:f>
        <x:v>1632</x:v>
      </x:c>
      <x:c r="M1255" s="12" t="n">
        <x:f>养成消耗调参!$H$184</x:f>
        <x:v>11400</x:v>
      </x:c>
      <x:c r="N1255" s="12" t="n">
        <x:f>养成消耗调参!$I$184</x:f>
        <x:v>0</x:v>
      </x:c>
      <x:c r="O1255" s="12" t="n">
        <x:f>养成消耗调参!$L$184</x:f>
        <x:v>29472</x:v>
      </x:c>
      <x:c r="P1255" s="12" t="n">
        <x:f>养成消耗调参!$O$184</x:f>
        <x:v>176400</x:v>
      </x:c>
      <x:c r="Q1255" s="12" t="n">
        <x:f>养成消耗调参!$P$184</x:f>
        <x:v>490</x:v>
      </x:c>
      <x:c r="R1255" s="13">
        <x:f>I1255/英雄升级调参!$M$102-1</x:f>
        <x:v>-0.0006729690754686546</x:v>
      </x:c>
      <x:c r="S1255" s="6"/>
      <x:c r="T1255" s="6"/>
      <x:c r="U1255" s="6"/>
    </x:row>
    <x:row r="1256" ht="21" customHeight="1">
      <x:c r="A1256" s="14" t="n">
        <x:f>英雄升级调参!$B$25</x:f>
        <x:v>310008</x:v>
      </x:c>
      <x:c r="B1256" s="14" t="str">
        <x:f>英雄升级调参!$C$25</x:f>
        <x:v>魔魔龙</x:v>
      </x:c>
      <x:c r="C1256" s="6" t="str">
        <x:f>英雄升级调参!$D$25</x:f>
        <x:v>战士</x:v>
      </x:c>
      <x:c r="D1256" s="6" t="s">
        <x:v>25</x:v>
      </x:c>
      <x:c r="E1256" s="6">
        <x:v>38</x:v>
      </x:c>
      <x:c r="F1256" s="6" t="n">
        <x:f>英雄升级调参!$C$103</x:f>
        <x:v>8</x:v>
      </x:c>
      <x:c r="G1256" s="12">
        <x:f t="shared" si="117"/>
        <x:v>8049</x:v>
      </x:c>
      <x:c r="H1256" s="12">
        <x:f t="shared" si="118"/>
        <x:v>51456</x:v>
      </x:c>
      <x:c r="I1256" s="12">
        <x:f t="shared" si="116"/>
        <x:v>414169344</x:v>
      </x:c>
      <x:c r="J1256" s="12">
        <x:f>ROUND(英雄升级调参!$D$103*英雄升级调参!$J$11*英雄升级调参!$E$25,0)</x:f>
        <x:v>253</x:v>
      </x:c>
      <x:c r="K1256" s="12">
        <x:f>ROUND(英雄升级调参!$D$103*英雄升级调参!$C$11*英雄升级调参!$J$11*英雄升级调参!$G$25,0)</x:f>
        <x:v>1620</x:v>
      </x:c>
      <x:c r="L1256" s="12" t="n">
        <x:f>养成消耗调参!$E$185</x:f>
        <x:v>1728</x:v>
      </x:c>
      <x:c r="M1256" s="12" t="n">
        <x:f>养成消耗调参!$H$185</x:f>
        <x:v>11400</x:v>
      </x:c>
      <x:c r="N1256" s="12" t="n">
        <x:f>养成消耗调参!$I$185</x:f>
        <x:v>0</x:v>
      </x:c>
      <x:c r="O1256" s="12" t="n">
        <x:f>养成消耗调参!$L$185</x:f>
        <x:v>31200</x:v>
      </x:c>
      <x:c r="P1256" s="12" t="n">
        <x:f>养成消耗调参!$O$185</x:f>
        <x:v>187800</x:v>
      </x:c>
      <x:c r="Q1256" s="12" t="n">
        <x:f>养成消耗调参!$P$185</x:f>
        <x:v>490</x:v>
      </x:c>
      <x:c r="R1256" s="13">
        <x:f>I1256/英雄升级调参!$M$103-1</x:f>
        <x:v>-0.0007448789571694592</x:v>
      </x:c>
      <x:c r="S1256" s="6"/>
      <x:c r="T1256" s="6"/>
      <x:c r="U1256" s="6"/>
    </x:row>
    <x:row r="1257" ht="21" customHeight="1">
      <x:c r="A1257" s="14" t="n">
        <x:f>英雄升级调参!$B$25</x:f>
        <x:v>310008</x:v>
      </x:c>
      <x:c r="B1257" s="14" t="str">
        <x:f>英雄升级调参!$C$25</x:f>
        <x:v>魔魔龙</x:v>
      </x:c>
      <x:c r="C1257" s="6" t="str">
        <x:f>英雄升级调参!$D$25</x:f>
        <x:v>战士</x:v>
      </x:c>
      <x:c r="D1257" s="6" t="s">
        <x:v>25</x:v>
      </x:c>
      <x:c r="E1257" s="6">
        <x:v>39</x:v>
      </x:c>
      <x:c r="F1257" s="6" t="n">
        <x:f>英雄升级调参!$C$104</x:f>
        <x:v>8</x:v>
      </x:c>
      <x:c r="G1257" s="12">
        <x:f t="shared" si="117"/>
        <x:v>8302</x:v>
      </x:c>
      <x:c r="H1257" s="12">
        <x:f t="shared" si="118"/>
        <x:v>53076</x:v>
      </x:c>
      <x:c r="I1257" s="12">
        <x:f t="shared" si="116"/>
        <x:v>440636952</x:v>
      </x:c>
      <x:c r="J1257" s="12">
        <x:f>ROUND(英雄升级调参!$D$104*英雄升级调参!$J$11*英雄升级调参!$E$25,0)</x:f>
        <x:v>253</x:v>
      </x:c>
      <x:c r="K1257" s="12">
        <x:f>ROUND(英雄升级调参!$D$104*英雄升级调参!$C$11*英雄升级调参!$J$11*英雄升级调参!$G$25,0)</x:f>
        <x:v>1620</x:v>
      </x:c>
      <x:c r="L1257" s="12" t="n">
        <x:f>养成消耗调参!$E$186</x:f>
        <x:v>1728</x:v>
      </x:c>
      <x:c r="M1257" s="12" t="n">
        <x:f>养成消耗调参!$H$186</x:f>
        <x:v>11400</x:v>
      </x:c>
      <x:c r="N1257" s="12" t="n">
        <x:f>养成消耗调参!$I$186</x:f>
        <x:v>0</x:v>
      </x:c>
      <x:c r="O1257" s="12" t="n">
        <x:f>养成消耗调参!$L$186</x:f>
        <x:v>32928</x:v>
      </x:c>
      <x:c r="P1257" s="12" t="n">
        <x:f>养成消耗调参!$O$186</x:f>
        <x:v>199200</x:v>
      </x:c>
      <x:c r="Q1257" s="12" t="n">
        <x:f>养成消耗调参!$P$186</x:f>
        <x:v>490</x:v>
      </x:c>
      <x:c r="R1257" s="13">
        <x:f>I1257/英雄升级调参!$M$104-1</x:f>
        <x:v>-0.0008123965698811908</x:v>
      </x:c>
      <x:c r="S1257" s="6"/>
      <x:c r="T1257" s="6"/>
      <x:c r="U1257" s="6"/>
    </x:row>
    <x:row r="1258" ht="21" customHeight="1">
      <x:c r="A1258" s="14" t="n">
        <x:f>英雄升级调参!$B$25</x:f>
        <x:v>310008</x:v>
      </x:c>
      <x:c r="B1258" s="14" t="str">
        <x:f>英雄升级调参!$C$25</x:f>
        <x:v>魔魔龙</x:v>
      </x:c>
      <x:c r="C1258" s="6" t="str">
        <x:f>英雄升级调参!$D$25</x:f>
        <x:v>战士</x:v>
      </x:c>
      <x:c r="D1258" s="6" t="s">
        <x:v>25</x:v>
      </x:c>
      <x:c r="E1258" s="6">
        <x:v>40</x:v>
      </x:c>
      <x:c r="F1258" s="6" t="n">
        <x:f>英雄升级调参!$C$105</x:f>
        <x:v>8</x:v>
      </x:c>
      <x:c r="G1258" s="12">
        <x:f t="shared" si="117"/>
        <x:v>9061</x:v>
      </x:c>
      <x:c r="H1258" s="12">
        <x:f t="shared" si="118"/>
        <x:v>57936</x:v>
      </x:c>
      <x:c r="I1258" s="12">
        <x:f t="shared" si="116"/>
        <x:v>524958096</x:v>
      </x:c>
      <x:c r="J1258" s="12">
        <x:f>ROUND(英雄升级调参!$D$105*英雄升级调参!$J$11*英雄升级调参!$E$25,0)*3</x:f>
        <x:v>759</x:v>
      </x:c>
      <x:c r="K1258" s="12">
        <x:f>ROUND(英雄升级调参!$D$105*英雄升级调参!$C$11*英雄升级调参!$J$11*英雄升级调参!$G$25,0)*3</x:f>
        <x:v>4860</x:v>
      </x:c>
      <x:c r="L1258" s="12" t="n">
        <x:f>养成消耗调参!$E$187</x:f>
        <x:v>1824</x:v>
      </x:c>
      <x:c r="M1258" s="12" t="n">
        <x:f>养成消耗调参!$H$187</x:f>
        <x:v>11400</x:v>
      </x:c>
      <x:c r="N1258" s="12" t="n">
        <x:f>养成消耗调参!$I$187</x:f>
        <x:v>150</x:v>
      </x:c>
      <x:c r="O1258" s="12" t="n">
        <x:f>养成消耗调参!$L$187</x:f>
        <x:v>34752</x:v>
      </x:c>
      <x:c r="P1258" s="12" t="n">
        <x:f>养成消耗调参!$O$187</x:f>
        <x:v>210600</x:v>
      </x:c>
      <x:c r="Q1258" s="12" t="n">
        <x:f>养成消耗调参!$P$187</x:f>
        <x:v>640</x:v>
      </x:c>
      <x:c r="R1258" s="13">
        <x:f>I1258/英雄升级调参!$M$105-1</x:f>
        <x:v>-0.0009922822491731376</x:v>
      </x:c>
      <x:c r="S1258" s="6"/>
      <x:c r="T1258" s="6"/>
      <x:c r="U1258" s="6"/>
    </x:row>
    <x:row r="1259" ht="21" customHeight="1">
      <x:c r="A1259" s="14" t="n">
        <x:f>英雄升级调参!$B$25</x:f>
        <x:v>310008</x:v>
      </x:c>
      <x:c r="B1259" s="14" t="str">
        <x:f>英雄升级调参!$C$25</x:f>
        <x:v>魔魔龙</x:v>
      </x:c>
      <x:c r="C1259" s="6" t="str">
        <x:f>英雄升级调参!$D$25</x:f>
        <x:v>战士</x:v>
      </x:c>
      <x:c r="D1259" s="6" t="s">
        <x:v>25</x:v>
      </x:c>
      <x:c r="E1259" s="6">
        <x:v>41</x:v>
      </x:c>
      <x:c r="F1259" s="6" t="n">
        <x:f>英雄升级调参!$C$106</x:f>
        <x:v>9</x:v>
      </x:c>
      <x:c r="G1259" s="12">
        <x:f t="shared" si="117"/>
        <x:v>9342</x:v>
      </x:c>
      <x:c r="H1259" s="12">
        <x:f t="shared" si="118"/>
        <x:v>59736</x:v>
      </x:c>
      <x:c r="I1259" s="12">
        <x:f t="shared" si="116"/>
        <x:v>558053712</x:v>
      </x:c>
      <x:c r="J1259" s="12">
        <x:f>ROUND(英雄升级调参!$D$106*英雄升级调参!$J$11*英雄升级调参!$E$25,0)</x:f>
        <x:v>281</x:v>
      </x:c>
      <x:c r="K1259" s="12">
        <x:f>ROUND(英雄升级调参!$D$106*英雄升级调参!$C$11*英雄升级调参!$J$11*英雄升级调参!$G$25,0)</x:f>
        <x:v>1800</x:v>
      </x:c>
      <x:c r="L1259" s="12" t="n">
        <x:f>养成消耗调参!$E$188</x:f>
        <x:v>1824</x:v>
      </x:c>
      <x:c r="M1259" s="12" t="n">
        <x:f>养成消耗调参!$H$188</x:f>
        <x:v>11400</x:v>
      </x:c>
      <x:c r="N1259" s="12" t="n">
        <x:f>养成消耗调参!$I$188</x:f>
        <x:v>0</x:v>
      </x:c>
      <x:c r="O1259" s="12" t="n">
        <x:f>养成消耗调参!$L$188</x:f>
        <x:v>36576</x:v>
      </x:c>
      <x:c r="P1259" s="12" t="n">
        <x:f>养成消耗调参!$O$188</x:f>
        <x:v>222000</x:v>
      </x:c>
      <x:c r="Q1259" s="12" t="n">
        <x:f>养成消耗调参!$P$188</x:f>
        <x:v>640</x:v>
      </x:c>
      <x:c r="R1259" s="13">
        <x:f>I1259/英雄升级调参!$M$106-1</x:f>
        <x:v>-0.0009891725705120091</x:v>
      </x:c>
      <x:c r="S1259" s="6"/>
      <x:c r="T1259" s="6"/>
      <x:c r="U1259" s="6"/>
    </x:row>
    <x:row r="1260" ht="21" customHeight="1">
      <x:c r="A1260" s="14" t="n">
        <x:f>英雄升级调参!$B$25</x:f>
        <x:v>310008</x:v>
      </x:c>
      <x:c r="B1260" s="14" t="str">
        <x:f>英雄升级调参!$C$25</x:f>
        <x:v>魔魔龙</x:v>
      </x:c>
      <x:c r="C1260" s="6" t="str">
        <x:f>英雄升级调参!$D$25</x:f>
        <x:v>战士</x:v>
      </x:c>
      <x:c r="D1260" s="6" t="s">
        <x:v>25</x:v>
      </x:c>
      <x:c r="E1260" s="6">
        <x:v>42</x:v>
      </x:c>
      <x:c r="F1260" s="6" t="n">
        <x:f>英雄升级调参!$C$107</x:f>
        <x:v>9</x:v>
      </x:c>
      <x:c r="G1260" s="12">
        <x:f t="shared" si="117"/>
        <x:v>9623</x:v>
      </x:c>
      <x:c r="H1260" s="12">
        <x:f t="shared" si="118"/>
        <x:v>61536</x:v>
      </x:c>
      <x:c r="I1260" s="12">
        <x:f t="shared" si="116"/>
        <x:v>592160928</x:v>
      </x:c>
      <x:c r="J1260" s="12">
        <x:f>ROUND(英雄升级调参!$D$107*英雄升级调参!$J$11*英雄升级调参!$E$25,0)</x:f>
        <x:v>281</x:v>
      </x:c>
      <x:c r="K1260" s="12">
        <x:f>ROUND(英雄升级调参!$D$107*英雄升级调参!$C$11*英雄升级调参!$J$11*英雄升级调参!$G$25,0)</x:f>
        <x:v>1800</x:v>
      </x:c>
      <x:c r="L1260" s="12" t="n">
        <x:f>养成消耗调参!$E$189</x:f>
        <x:v>1920</x:v>
      </x:c>
      <x:c r="M1260" s="12" t="n">
        <x:f>养成消耗调参!$H$189</x:f>
        <x:v>13200</x:v>
      </x:c>
      <x:c r="N1260" s="12" t="n">
        <x:f>养成消耗调参!$I$189</x:f>
        <x:v>0</x:v>
      </x:c>
      <x:c r="O1260" s="12" t="n">
        <x:f>养成消耗调参!$L$189</x:f>
        <x:v>38496</x:v>
      </x:c>
      <x:c r="P1260" s="12" t="n">
        <x:f>养成消耗调参!$O$189</x:f>
        <x:v>235200</x:v>
      </x:c>
      <x:c r="Q1260" s="12" t="n">
        <x:f>养成消耗调参!$P$189</x:f>
        <x:v>640</x:v>
      </x:c>
      <x:c r="R1260" s="13">
        <x:f>I1260/英雄升级调参!$M$107-1</x:f>
        <x:v>-0.0009862444848169893</x:v>
      </x:c>
      <x:c r="S1260" s="6"/>
      <x:c r="T1260" s="6"/>
      <x:c r="U1260" s="6"/>
    </x:row>
    <x:row r="1261" ht="21" customHeight="1">
      <x:c r="A1261" s="14" t="n">
        <x:f>英雄升级调参!$B$25</x:f>
        <x:v>310008</x:v>
      </x:c>
      <x:c r="B1261" s="14" t="str">
        <x:f>英雄升级调参!$C$25</x:f>
        <x:v>魔魔龙</x:v>
      </x:c>
      <x:c r="C1261" s="6" t="str">
        <x:f>英雄升级调参!$D$25</x:f>
        <x:v>战士</x:v>
      </x:c>
      <x:c r="D1261" s="6" t="s">
        <x:v>25</x:v>
      </x:c>
      <x:c r="E1261" s="6">
        <x:v>43</x:v>
      </x:c>
      <x:c r="F1261" s="6" t="n">
        <x:f>英雄升级调参!$C$108</x:f>
        <x:v>9</x:v>
      </x:c>
      <x:c r="G1261" s="12">
        <x:f t="shared" si="117"/>
        <x:v>9904</x:v>
      </x:c>
      <x:c r="H1261" s="12">
        <x:f t="shared" si="118"/>
        <x:v>63336</x:v>
      </x:c>
      <x:c r="I1261" s="12">
        <x:f t="shared" si="116"/>
        <x:v>627279744</x:v>
      </x:c>
      <x:c r="J1261" s="12">
        <x:f>ROUND(英雄升级调参!$D$108*英雄升级调参!$J$11*英雄升级调参!$E$25,0)</x:f>
        <x:v>281</x:v>
      </x:c>
      <x:c r="K1261" s="12">
        <x:f>ROUND(英雄升级调参!$D$108*英雄升级调参!$C$11*英雄升级调参!$J$11*英雄升级调参!$G$25,0)</x:f>
        <x:v>1800</x:v>
      </x:c>
      <x:c r="L1261" s="12" t="n">
        <x:f>养成消耗调参!$E$190</x:f>
        <x:v>1920</x:v>
      </x:c>
      <x:c r="M1261" s="12" t="n">
        <x:f>养成消耗调参!$H$190</x:f>
        <x:v>13200</x:v>
      </x:c>
      <x:c r="N1261" s="12" t="n">
        <x:f>养成消耗调参!$I$190</x:f>
        <x:v>0</x:v>
      </x:c>
      <x:c r="O1261" s="12" t="n">
        <x:f>养成消耗调参!$L$190</x:f>
        <x:v>40416</x:v>
      </x:c>
      <x:c r="P1261" s="12" t="n">
        <x:f>养成消耗调参!$O$190</x:f>
        <x:v>248400</x:v>
      </x:c>
      <x:c r="Q1261" s="12" t="n">
        <x:f>养成消耗调参!$P$190</x:f>
        <x:v>640</x:v>
      </x:c>
      <x:c r="R1261" s="13">
        <x:f>I1261/英雄升级调参!$M$108-1</x:f>
        <x:v>-0.000983482536880631</x:v>
      </x:c>
      <x:c r="S1261" s="6"/>
      <x:c r="T1261" s="6"/>
      <x:c r="U1261" s="6"/>
    </x:row>
    <x:row r="1262" ht="21" customHeight="1">
      <x:c r="A1262" s="14" t="n">
        <x:f>英雄升级调参!$B$25</x:f>
        <x:v>310008</x:v>
      </x:c>
      <x:c r="B1262" s="14" t="str">
        <x:f>英雄升级调参!$C$25</x:f>
        <x:v>魔魔龙</x:v>
      </x:c>
      <x:c r="C1262" s="6" t="str">
        <x:f>英雄升级调参!$D$25</x:f>
        <x:v>战士</x:v>
      </x:c>
      <x:c r="D1262" s="6" t="s">
        <x:v>25</x:v>
      </x:c>
      <x:c r="E1262" s="6">
        <x:v>44</x:v>
      </x:c>
      <x:c r="F1262" s="6" t="n">
        <x:f>英雄升级调参!$C$109</x:f>
        <x:v>9</x:v>
      </x:c>
      <x:c r="G1262" s="12">
        <x:f t="shared" si="117"/>
        <x:v>10185</x:v>
      </x:c>
      <x:c r="H1262" s="12">
        <x:f t="shared" si="118"/>
        <x:v>65136</x:v>
      </x:c>
      <x:c r="I1262" s="12">
        <x:f t="shared" si="116"/>
        <x:v>663410160</x:v>
      </x:c>
      <x:c r="J1262" s="12">
        <x:f>ROUND(英雄升级调参!$D$109*英雄升级调参!$J$11*英雄升级调参!$E$25,0)</x:f>
        <x:v>281</x:v>
      </x:c>
      <x:c r="K1262" s="12">
        <x:f>ROUND(英雄升级调参!$D$109*英雄升级调参!$C$11*英雄升级调参!$J$11*英雄升级调参!$G$25,0)</x:f>
        <x:v>1800</x:v>
      </x:c>
      <x:c r="L1262" s="12" t="n">
        <x:f>养成消耗调参!$E$191</x:f>
        <x:v>2016</x:v>
      </x:c>
      <x:c r="M1262" s="12" t="n">
        <x:f>养成消耗调参!$H$191</x:f>
        <x:v>13200</x:v>
      </x:c>
      <x:c r="N1262" s="12" t="n">
        <x:f>养成消耗调参!$I$191</x:f>
        <x:v>0</x:v>
      </x:c>
      <x:c r="O1262" s="12" t="n">
        <x:f>养成消耗调参!$L$191</x:f>
        <x:v>42432</x:v>
      </x:c>
      <x:c r="P1262" s="12" t="n">
        <x:f>养成消耗调参!$O$191</x:f>
        <x:v>261600</x:v>
      </x:c>
      <x:c r="Q1262" s="12" t="n">
        <x:f>养成消耗调参!$P$191</x:f>
        <x:v>640</x:v>
      </x:c>
      <x:c r="R1262" s="13">
        <x:f>I1262/英雄升级调参!$M$109-1</x:f>
        <x:v>-0.0009808729769494873</x:v>
      </x:c>
      <x:c r="S1262" s="6"/>
      <x:c r="T1262" s="6"/>
      <x:c r="U1262" s="6"/>
    </x:row>
    <x:row r="1263" ht="21" customHeight="1">
      <x:c r="A1263" s="14" t="n">
        <x:f>英雄升级调参!$B$25</x:f>
        <x:v>310008</x:v>
      </x:c>
      <x:c r="B1263" s="14" t="str">
        <x:f>英雄升级调参!$C$25</x:f>
        <x:v>魔魔龙</x:v>
      </x:c>
      <x:c r="C1263" s="6" t="str">
        <x:f>英雄升级调参!$D$25</x:f>
        <x:v>战士</x:v>
      </x:c>
      <x:c r="D1263" s="6" t="s">
        <x:v>25</x:v>
      </x:c>
      <x:c r="E1263" s="6">
        <x:v>45</x:v>
      </x:c>
      <x:c r="F1263" s="6" t="n">
        <x:f>英雄升级调参!$C$110</x:f>
        <x:v>9</x:v>
      </x:c>
      <x:c r="G1263" s="12">
        <x:f t="shared" si="117"/>
        <x:v>11028</x:v>
      </x:c>
      <x:c r="H1263" s="12">
        <x:f t="shared" si="118"/>
        <x:v>70536</x:v>
      </x:c>
      <x:c r="I1263" s="12">
        <x:f t="shared" si="116"/>
        <x:v>777871008</x:v>
      </x:c>
      <x:c r="J1263" s="12">
        <x:f>ROUND(英雄升级调参!$D$110*英雄升级调参!$J$11*英雄升级调参!$E$25,0)*3</x:f>
        <x:v>843</x:v>
      </x:c>
      <x:c r="K1263" s="12">
        <x:f>ROUND(英雄升级调参!$D$110*英雄升级调参!$C$11*英雄升级调参!$J$11*英雄升级调参!$G$25,0)*3</x:f>
        <x:v>5400</x:v>
      </x:c>
      <x:c r="L1263" s="12" t="n">
        <x:f>养成消耗调参!$E$192</x:f>
        <x:v>2016</x:v>
      </x:c>
      <x:c r="M1263" s="12" t="n">
        <x:f>养成消耗调参!$H$192</x:f>
        <x:v>13200</x:v>
      </x:c>
      <x:c r="N1263" s="12" t="n">
        <x:f>养成消耗调参!$I$192</x:f>
        <x:v>170</x:v>
      </x:c>
      <x:c r="O1263" s="12" t="n">
        <x:f>养成消耗调参!$L$192</x:f>
        <x:v>44448</x:v>
      </x:c>
      <x:c r="P1263" s="12" t="n">
        <x:f>养成消耗调参!$O$192</x:f>
        <x:v>274800</x:v>
      </x:c>
      <x:c r="Q1263" s="12" t="n">
        <x:f>养成消耗调参!$P$192</x:f>
        <x:v>810</x:v>
      </x:c>
      <x:c r="R1263" s="13">
        <x:f>I1263/英雄升级调参!$M$110-1</x:f>
        <x:v>-0.0009738421469822622</x:v>
      </x:c>
      <x:c r="S1263" s="6"/>
      <x:c r="T1263" s="6"/>
      <x:c r="U1263" s="6"/>
    </x:row>
    <x:row r="1264" ht="21" customHeight="1">
      <x:c r="A1264" s="14" t="n">
        <x:f>英雄升级调参!$B$25</x:f>
        <x:v>310008</x:v>
      </x:c>
      <x:c r="B1264" s="14" t="str">
        <x:f>英雄升级调参!$C$25</x:f>
        <x:v>魔魔龙</x:v>
      </x:c>
      <x:c r="C1264" s="6" t="str">
        <x:f>英雄升级调参!$D$25</x:f>
        <x:v>战士</x:v>
      </x:c>
      <x:c r="D1264" s="6" t="s">
        <x:v>25</x:v>
      </x:c>
      <x:c r="E1264" s="6">
        <x:v>46</x:v>
      </x:c>
      <x:c r="F1264" s="6" t="n">
        <x:f>英雄升级调参!$C$111</x:f>
        <x:v>10</x:v>
      </x:c>
      <x:c r="G1264" s="12">
        <x:f t="shared" si="117"/>
        <x:v>11337</x:v>
      </x:c>
      <x:c r="H1264" s="12">
        <x:f t="shared" si="118"/>
        <x:v>72516</x:v>
      </x:c>
      <x:c r="I1264" s="12">
        <x:f t="shared" si="116"/>
        <x:v>822113892</x:v>
      </x:c>
      <x:c r="J1264" s="12">
        <x:f>ROUND(英雄升级调参!$D$111*英雄升级调参!$J$11*英雄升级调参!$E$25,0)</x:f>
        <x:v>309</x:v>
      </x:c>
      <x:c r="K1264" s="12">
        <x:f>ROUND(英雄升级调参!$D$111*英雄升级调参!$C$11*英雄升级调参!$J$11*英雄升级调参!$G$25,0)</x:f>
        <x:v>1980</x:v>
      </x:c>
      <x:c r="L1264" s="12" t="n">
        <x:f>养成消耗调参!$E$193</x:f>
        <x:v>2112</x:v>
      </x:c>
      <x:c r="M1264" s="12" t="n">
        <x:f>养成消耗调参!$H$193</x:f>
        <x:v>13200</x:v>
      </x:c>
      <x:c r="N1264" s="12" t="n">
        <x:f>养成消耗调参!$I$193</x:f>
        <x:v>0</x:v>
      </x:c>
      <x:c r="O1264" s="12" t="n">
        <x:f>养成消耗调参!$L$193</x:f>
        <x:v>46560</x:v>
      </x:c>
      <x:c r="P1264" s="12" t="n">
        <x:f>养成消耗调参!$O$193</x:f>
        <x:v>288000</x:v>
      </x:c>
      <x:c r="Q1264" s="12" t="n">
        <x:f>养成消耗调参!$P$193</x:f>
        <x:v>810</x:v>
      </x:c>
      <x:c r="R1264" s="13">
        <x:f>I1264/英雄升级调参!$M$111-1</x:f>
        <x:v>-0.0010353563167749824</x:v>
      </x:c>
      <x:c r="S1264" s="6"/>
      <x:c r="T1264" s="6"/>
      <x:c r="U1264" s="6"/>
    </x:row>
    <x:row r="1265" ht="21" customHeight="1">
      <x:c r="A1265" s="14" t="n">
        <x:f>英雄升级调参!$B$25</x:f>
        <x:v>310008</x:v>
      </x:c>
      <x:c r="B1265" s="14" t="str">
        <x:f>英雄升级调参!$C$25</x:f>
        <x:v>魔魔龙</x:v>
      </x:c>
      <x:c r="C1265" s="6" t="str">
        <x:f>英雄升级调参!$D$25</x:f>
        <x:v>战士</x:v>
      </x:c>
      <x:c r="D1265" s="6" t="s">
        <x:v>25</x:v>
      </x:c>
      <x:c r="E1265" s="6">
        <x:v>47</x:v>
      </x:c>
      <x:c r="F1265" s="6" t="n">
        <x:f>英雄升级调参!$C$112</x:f>
        <x:v>10</x:v>
      </x:c>
      <x:c r="G1265" s="12">
        <x:f t="shared" si="117"/>
        <x:v>11646</x:v>
      </x:c>
      <x:c r="H1265" s="12">
        <x:f t="shared" si="118"/>
        <x:v>74496</x:v>
      </x:c>
      <x:c r="I1265" s="12">
        <x:f t="shared" si="116"/>
        <x:v>867580416</x:v>
      </x:c>
      <x:c r="J1265" s="12">
        <x:f>ROUND(英雄升级调参!$D$112*英雄升级调参!$J$11*英雄升级调参!$E$25,0)</x:f>
        <x:v>309</x:v>
      </x:c>
      <x:c r="K1265" s="12">
        <x:f>ROUND(英雄升级调参!$D$112*英雄升级调参!$C$11*英雄升级调参!$J$11*英雄升级调参!$G$25,0)</x:f>
        <x:v>1980</x:v>
      </x:c>
      <x:c r="L1265" s="12" t="n">
        <x:f>养成消耗调参!$E$194</x:f>
        <x:v>2112</x:v>
      </x:c>
      <x:c r="M1265" s="12" t="n">
        <x:f>养成消耗调参!$H$194</x:f>
        <x:v>15000</x:v>
      </x:c>
      <x:c r="N1265" s="12" t="n">
        <x:f>养成消耗调参!$I$194</x:f>
        <x:v>0</x:v>
      </x:c>
      <x:c r="O1265" s="12" t="n">
        <x:f>养成消耗调参!$L$194</x:f>
        <x:v>48672</x:v>
      </x:c>
      <x:c r="P1265" s="12" t="n">
        <x:f>养成消耗调参!$O$194</x:f>
        <x:v>303000</x:v>
      </x:c>
      <x:c r="Q1265" s="12" t="n">
        <x:f>养成消耗调参!$P$194</x:f>
        <x:v>810</x:v>
      </x:c>
      <x:c r="R1265" s="13">
        <x:f>I1265/英雄升级调参!$M$112-1</x:f>
        <x:v>-0.001093599228047637</x:v>
      </x:c>
      <x:c r="S1265" s="6"/>
      <x:c r="T1265" s="6"/>
      <x:c r="U1265" s="6"/>
    </x:row>
    <x:row r="1266" ht="21" customHeight="1">
      <x:c r="A1266" s="14" t="n">
        <x:f>英雄升级调参!$B$25</x:f>
        <x:v>310008</x:v>
      </x:c>
      <x:c r="B1266" s="14" t="str">
        <x:f>英雄升级调参!$C$25</x:f>
        <x:v>魔魔龙</x:v>
      </x:c>
      <x:c r="C1266" s="6" t="str">
        <x:f>英雄升级调参!$D$25</x:f>
        <x:v>战士</x:v>
      </x:c>
      <x:c r="D1266" s="6" t="s">
        <x:v>25</x:v>
      </x:c>
      <x:c r="E1266" s="6">
        <x:v>48</x:v>
      </x:c>
      <x:c r="F1266" s="6" t="n">
        <x:f>英雄升级调参!$C$113</x:f>
        <x:v>10</x:v>
      </x:c>
      <x:c r="G1266" s="12">
        <x:f t="shared" si="117"/>
        <x:v>11955</x:v>
      </x:c>
      <x:c r="H1266" s="12">
        <x:f t="shared" si="118"/>
        <x:v>76476</x:v>
      </x:c>
      <x:c r="I1266" s="12">
        <x:f t="shared" si="116"/>
        <x:v>914270580</x:v>
      </x:c>
      <x:c r="J1266" s="12">
        <x:f>ROUND(英雄升级调参!$D$113*英雄升级调参!$J$11*英雄升级调参!$E$25,0)</x:f>
        <x:v>309</x:v>
      </x:c>
      <x:c r="K1266" s="12">
        <x:f>ROUND(英雄升级调参!$D$113*英雄升级调参!$C$11*英雄升级调参!$J$11*英雄升级调参!$G$25,0)</x:f>
        <x:v>1980</x:v>
      </x:c>
      <x:c r="L1266" s="12" t="n">
        <x:f>养成消耗调参!$E$195</x:f>
        <x:v>2208</x:v>
      </x:c>
      <x:c r="M1266" s="12" t="n">
        <x:f>养成消耗调参!$H$195</x:f>
        <x:v>15000</x:v>
      </x:c>
      <x:c r="N1266" s="12" t="n">
        <x:f>养成消耗调参!$I$195</x:f>
        <x:v>0</x:v>
      </x:c>
      <x:c r="O1266" s="12" t="n">
        <x:f>养成消耗调参!$L$195</x:f>
        <x:v>50880</x:v>
      </x:c>
      <x:c r="P1266" s="12" t="n">
        <x:f>养成消耗调参!$O$195</x:f>
        <x:v>318000</x:v>
      </x:c>
      <x:c r="Q1266" s="12" t="n">
        <x:f>养成消耗调参!$P$195</x:f>
        <x:v>810</x:v>
      </x:c>
      <x:c r="R1266" s="13">
        <x:f>I1266/英雄升级调参!$M$113-1</x:f>
        <x:v>-0.0011488250652741394</x:v>
      </x:c>
      <x:c r="S1266" s="6"/>
      <x:c r="T1266" s="6"/>
      <x:c r="U1266" s="6"/>
    </x:row>
    <x:row r="1267" ht="21" customHeight="1">
      <x:c r="A1267" s="14" t="n">
        <x:f>英雄升级调参!$B$25</x:f>
        <x:v>310008</x:v>
      </x:c>
      <x:c r="B1267" s="14" t="str">
        <x:f>英雄升级调参!$C$25</x:f>
        <x:v>魔魔龙</x:v>
      </x:c>
      <x:c r="C1267" s="6" t="str">
        <x:f>英雄升级调参!$D$25</x:f>
        <x:v>战士</x:v>
      </x:c>
      <x:c r="D1267" s="6" t="s">
        <x:v>25</x:v>
      </x:c>
      <x:c r="E1267" s="6">
        <x:v>49</x:v>
      </x:c>
      <x:c r="F1267" s="6" t="n">
        <x:f>英雄升级调参!$C$114</x:f>
        <x:v>10</x:v>
      </x:c>
      <x:c r="G1267" s="12">
        <x:f t="shared" si="117"/>
        <x:v>12264</x:v>
      </x:c>
      <x:c r="H1267" s="12">
        <x:f t="shared" si="118"/>
        <x:v>78456</x:v>
      </x:c>
      <x:c r="I1267" s="12">
        <x:f t="shared" si="116"/>
        <x:v>962184384</x:v>
      </x:c>
      <x:c r="J1267" s="12">
        <x:f>ROUND(英雄升级调参!$D$114*英雄升级调参!$J$11*英雄升级调参!$E$25,0)</x:f>
        <x:v>309</x:v>
      </x:c>
      <x:c r="K1267" s="12">
        <x:f>ROUND(英雄升级调参!$D$114*英雄升级调参!$C$11*英雄升级调参!$J$11*英雄升级调参!$G$25,0)</x:f>
        <x:v>1980</x:v>
      </x:c>
      <x:c r="L1267" s="12" t="n">
        <x:f>养成消耗调参!$E$196</x:f>
        <x:v>2208</x:v>
      </x:c>
      <x:c r="M1267" s="12" t="n">
        <x:f>养成消耗调参!$H$196</x:f>
        <x:v>15000</x:v>
      </x:c>
      <x:c r="N1267" s="12" t="n">
        <x:f>养成消耗调参!$I$196</x:f>
        <x:v>0</x:v>
      </x:c>
      <x:c r="O1267" s="12" t="n">
        <x:f>养成消耗调参!$L$196</x:f>
        <x:v>53088</x:v>
      </x:c>
      <x:c r="P1267" s="12" t="n">
        <x:f>养成消耗调参!$O$196</x:f>
        <x:v>333000</x:v>
      </x:c>
      <x:c r="Q1267" s="12" t="n">
        <x:f>养成消耗调参!$P$196</x:f>
        <x:v>810</x:v>
      </x:c>
      <x:c r="R1267" s="13">
        <x:f>I1267/英雄升级调参!$M$114-1</x:f>
        <x:v>-0.0012012623434796144</x:v>
      </x:c>
      <x:c r="S1267" s="6"/>
      <x:c r="T1267" s="6"/>
      <x:c r="U1267" s="6"/>
    </x:row>
    <x:row r="1268" ht="21" customHeight="1">
      <x:c r="A1268" s="14" t="n">
        <x:f>英雄升级调参!$B$25</x:f>
        <x:v>310008</x:v>
      </x:c>
      <x:c r="B1268" s="14" t="str">
        <x:f>英雄升级调参!$C$25</x:f>
        <x:v>魔魔龙</x:v>
      </x:c>
      <x:c r="C1268" s="6" t="str">
        <x:f>英雄升级调参!$D$25</x:f>
        <x:v>战士</x:v>
      </x:c>
      <x:c r="D1268" s="6" t="s">
        <x:v>25</x:v>
      </x:c>
      <x:c r="E1268" s="6">
        <x:v>50</x:v>
      </x:c>
      <x:c r="F1268" s="6" t="n">
        <x:f>英雄升级调参!$C$115</x:f>
        <x:v>10</x:v>
      </x:c>
      <x:c r="G1268" s="12">
        <x:f t="shared" si="117"/>
        <x:v>13191</x:v>
      </x:c>
      <x:c r="H1268" s="12">
        <x:f t="shared" si="118"/>
        <x:v>84396</x:v>
      </x:c>
      <x:c r="I1268" s="12">
        <x:f t="shared" si="116"/>
        <x:v>1113267636</x:v>
      </x:c>
      <x:c r="J1268" s="12">
        <x:f>ROUND(英雄升级调参!$D$115*英雄升级调参!$J$11*英雄升级调参!$E$25,0)*3</x:f>
        <x:v>927</x:v>
      </x:c>
      <x:c r="K1268" s="12">
        <x:f>ROUND(英雄升级调参!$D$115*英雄升级调参!$C$11*英雄升级调参!$J$11*英雄升级调参!$G$25,0)*3</x:f>
        <x:v>5940</x:v>
      </x:c>
      <x:c r="L1268" s="12" t="n">
        <x:f>养成消耗调参!$E$197</x:f>
        <x:v>2304</x:v>
      </x:c>
      <x:c r="M1268" s="12" t="n">
        <x:f>养成消耗调参!$H$197</x:f>
        <x:v>15000</x:v>
      </x:c>
      <x:c r="N1268" s="12" t="n">
        <x:f>养成消耗调参!$I$197</x:f>
        <x:v>190</x:v>
      </x:c>
      <x:c r="O1268" s="12" t="n">
        <x:f>养成消耗调参!$L$197</x:f>
        <x:v>55392</x:v>
      </x:c>
      <x:c r="P1268" s="12" t="n">
        <x:f>养成消耗调参!$O$197</x:f>
        <x:v>348000</x:v>
      </x:c>
      <x:c r="Q1268" s="12" t="n">
        <x:f>养成消耗调参!$P$197</x:f>
        <x:v>1000</x:v>
      </x:c>
      <x:c r="R1268" s="13">
        <x:f>I1268/英雄升级调参!$M$115-1</x:f>
        <x:v>-0.0013438061890792552</x:v>
      </x:c>
      <x:c r="S1268" s="6"/>
      <x:c r="T1268" s="6"/>
      <x:c r="U1268" s="6"/>
    </x:row>
    <x:row r="1269" ht="21" customHeight="1">
      <x:c r="A1269" s="14" t="n">
        <x:f>英雄升级调参!$B$26</x:f>
        <x:v>310009</x:v>
      </x:c>
      <x:c r="B1269" s="14" t="str">
        <x:f>英雄升级调参!$C$26</x:f>
        <x:v>海希</x:v>
      </x:c>
      <x:c r="C1269" s="6" t="str">
        <x:f>英雄升级调参!$D$26</x:f>
        <x:v>探险家</x:v>
      </x:c>
      <x:c r="D1269" s="6" t="s">
        <x:v>18</x:v>
      </x:c>
      <x:c r="E1269" s="6">
        <x:v>1</x:v>
      </x:c>
      <x:c r="F1269" s="6" t="n">
        <x:f>英雄升级调参!$C$66</x:f>
        <x:v>1</x:v>
      </x:c>
      <x:c r="G1269" s="12" t="n">
        <x:f>ROUND(英雄升级调参!$E$66*英雄升级调参!$E$26,0)</x:f>
        <x:v>60</x:v>
      </x:c>
      <x:c r="H1269" s="12" t="n">
        <x:f>ROUND(英雄升级调参!$F$66*英雄升级调参!$G$26,0)</x:f>
        <x:v>600</x:v>
      </x:c>
      <x:c r="I1269" s="12">
        <x:f t="shared" si="116"/>
        <x:v>36000</x:v>
      </x:c>
      <x:c r="J1269" s="12" t="n">
        <x:f>0</x:f>
        <x:v>0</x:v>
      </x:c>
      <x:c r="K1269" s="12" t="n">
        <x:f>0</x:f>
        <x:v>0</x:v>
      </x:c>
      <x:c r="L1269" s="12" t="n">
        <x:f>养成消耗调参!$C$148</x:f>
        <x:v>0</x:v>
      </x:c>
      <x:c r="M1269" s="12" t="n">
        <x:f>养成消耗调参!$F$148</x:f>
        <x:v>0</x:v>
      </x:c>
      <x:c r="N1269" s="12" t="n">
        <x:f>养成消耗调参!$I$148</x:f>
        <x:v>0</x:v>
      </x:c>
      <x:c r="O1269" s="12" t="n">
        <x:f>养成消耗调参!$J$148</x:f>
        <x:v>0</x:v>
      </x:c>
      <x:c r="P1269" s="12" t="n">
        <x:f>养成消耗调参!$M$148</x:f>
        <x:v>0</x:v>
      </x:c>
      <x:c r="Q1269" s="12" t="n">
        <x:f>养成消耗调参!$P$148</x:f>
        <x:v>0</x:v>
      </x:c>
      <x:c r="R1269" s="13" t="n">
        <x:f>I1269/英雄升级调参!$G$66-1</x:f>
        <x:v>0</x:v>
      </x:c>
      <x:c r="S1269" s="6"/>
      <x:c r="T1269" s="6"/>
      <x:c r="U1269" s="6"/>
    </x:row>
    <x:row r="1270" ht="21" customHeight="1">
      <x:c r="A1270" s="14" t="n">
        <x:f>英雄升级调参!$B$26</x:f>
        <x:v>310009</x:v>
      </x:c>
      <x:c r="B1270" s="14" t="str">
        <x:f>英雄升级调参!$C$26</x:f>
        <x:v>海希</x:v>
      </x:c>
      <x:c r="C1270" s="6" t="str">
        <x:f>英雄升级调参!$D$26</x:f>
        <x:v>探险家</x:v>
      </x:c>
      <x:c r="D1270" s="6" t="s">
        <x:v>18</x:v>
      </x:c>
      <x:c r="E1270" s="6">
        <x:v>2</x:v>
      </x:c>
      <x:c r="F1270" s="6" t="n">
        <x:f>英雄升级调参!$C$67</x:f>
        <x:v>1</x:v>
      </x:c>
      <x:c r="G1270" s="12">
        <x:f t="shared" ref="G1270:G1301" si="119">G1269+J1270</x:f>
        <x:v>78</x:v>
      </x:c>
      <x:c r="H1270" s="12">
        <x:f t="shared" ref="H1270:H1301" si="120">H1269+K1270</x:f>
        <x:v>780</x:v>
      </x:c>
      <x:c r="I1270" s="12">
        <x:f t="shared" si="116"/>
        <x:v>60840</x:v>
      </x:c>
      <x:c r="J1270" s="12">
        <x:f>ROUND(英雄升级调参!$D$67*英雄升级调参!$J$9*英雄升级调参!$E$26,0)</x:f>
        <x:v>18</x:v>
      </x:c>
      <x:c r="K1270" s="12">
        <x:f>ROUND(英雄升级调参!$D$67*英雄升级调参!$C$11*英雄升级调参!$J$9*英雄升级调参!$G$26,0)</x:f>
        <x:v>180</x:v>
      </x:c>
      <x:c r="L1270" s="12" t="n">
        <x:f>养成消耗调参!$C$149</x:f>
        <x:v>24</x:v>
      </x:c>
      <x:c r="M1270" s="12" t="n">
        <x:f>养成消耗调参!$F$149</x:f>
        <x:v>300</x:v>
      </x:c>
      <x:c r="N1270" s="12" t="n">
        <x:f>养成消耗调参!$I$149</x:f>
        <x:v>0</x:v>
      </x:c>
      <x:c r="O1270" s="12" t="n">
        <x:f>养成消耗调参!$J$149</x:f>
        <x:v>24</x:v>
      </x:c>
      <x:c r="P1270" s="12" t="n">
        <x:f>养成消耗调参!$M$149</x:f>
        <x:v>300</x:v>
      </x:c>
      <x:c r="Q1270" s="12" t="n">
        <x:f>养成消耗调参!$P$149</x:f>
        <x:v>0</x:v>
      </x:c>
      <x:c r="R1270" s="13" t="n">
        <x:f>I1270/英雄升级调参!$G$67-1</x:f>
        <x:v>0</x:v>
      </x:c>
      <x:c r="S1270" s="6"/>
      <x:c r="T1270" s="6"/>
      <x:c r="U1270" s="6"/>
    </x:row>
    <x:row r="1271" ht="21" customHeight="1">
      <x:c r="A1271" s="14" t="n">
        <x:f>英雄升级调参!$B$26</x:f>
        <x:v>310009</x:v>
      </x:c>
      <x:c r="B1271" s="14" t="str">
        <x:f>英雄升级调参!$C$26</x:f>
        <x:v>海希</x:v>
      </x:c>
      <x:c r="C1271" s="6" t="str">
        <x:f>英雄升级调参!$D$26</x:f>
        <x:v>探险家</x:v>
      </x:c>
      <x:c r="D1271" s="6" t="s">
        <x:v>18</x:v>
      </x:c>
      <x:c r="E1271" s="6">
        <x:v>3</x:v>
      </x:c>
      <x:c r="F1271" s="6" t="n">
        <x:f>英雄升级调参!$C$68</x:f>
        <x:v>1</x:v>
      </x:c>
      <x:c r="G1271" s="12">
        <x:f t="shared" si="119"/>
        <x:v>96</x:v>
      </x:c>
      <x:c r="H1271" s="12">
        <x:f t="shared" si="120"/>
        <x:v>960</x:v>
      </x:c>
      <x:c r="I1271" s="12">
        <x:f t="shared" si="116"/>
        <x:v>92160</x:v>
      </x:c>
      <x:c r="J1271" s="12">
        <x:f>ROUND(英雄升级调参!$D$68*英雄升级调参!$J$9*英雄升级调参!$E$26,0)</x:f>
        <x:v>18</x:v>
      </x:c>
      <x:c r="K1271" s="12">
        <x:f>ROUND(英雄升级调参!$D$68*英雄升级调参!$C$11*英雄升级调参!$J$9*英雄升级调参!$G$26,0)</x:f>
        <x:v>180</x:v>
      </x:c>
      <x:c r="L1271" s="12" t="n">
        <x:f>养成消耗调参!$C$150</x:f>
        <x:v>24</x:v>
      </x:c>
      <x:c r="M1271" s="12" t="n">
        <x:f>养成消耗调参!$F$150</x:f>
        <x:v>300</x:v>
      </x:c>
      <x:c r="N1271" s="12" t="n">
        <x:f>养成消耗调参!$I$150</x:f>
        <x:v>0</x:v>
      </x:c>
      <x:c r="O1271" s="12" t="n">
        <x:f>养成消耗调参!$J$150</x:f>
        <x:v>48</x:v>
      </x:c>
      <x:c r="P1271" s="12" t="n">
        <x:f>养成消耗调参!$M$150</x:f>
        <x:v>600</x:v>
      </x:c>
      <x:c r="Q1271" s="12" t="n">
        <x:f>养成消耗调参!$P$150</x:f>
        <x:v>0</x:v>
      </x:c>
      <x:c r="R1271" s="13" t="n">
        <x:f>I1271/英雄升级调参!$G$68-1</x:f>
        <x:v>0</x:v>
      </x:c>
      <x:c r="S1271" s="6"/>
      <x:c r="T1271" s="6"/>
      <x:c r="U1271" s="6"/>
    </x:row>
    <x:row r="1272" ht="21" customHeight="1">
      <x:c r="A1272" s="14" t="n">
        <x:f>英雄升级调参!$B$26</x:f>
        <x:v>310009</x:v>
      </x:c>
      <x:c r="B1272" s="14" t="str">
        <x:f>英雄升级调参!$C$26</x:f>
        <x:v>海希</x:v>
      </x:c>
      <x:c r="C1272" s="6" t="str">
        <x:f>英雄升级调参!$D$26</x:f>
        <x:v>探险家</x:v>
      </x:c>
      <x:c r="D1272" s="6" t="s">
        <x:v>18</x:v>
      </x:c>
      <x:c r="E1272" s="6">
        <x:v>4</x:v>
      </x:c>
      <x:c r="F1272" s="6" t="n">
        <x:f>英雄升级调参!$C$69</x:f>
        <x:v>1</x:v>
      </x:c>
      <x:c r="G1272" s="12">
        <x:f t="shared" si="119"/>
        <x:v>114</x:v>
      </x:c>
      <x:c r="H1272" s="12">
        <x:f t="shared" si="120"/>
        <x:v>1140</x:v>
      </x:c>
      <x:c r="I1272" s="12">
        <x:f t="shared" si="116"/>
        <x:v>129960</x:v>
      </x:c>
      <x:c r="J1272" s="12">
        <x:f>ROUND(英雄升级调参!$D$69*英雄升级调参!$J$9*英雄升级调参!$E$26,0)</x:f>
        <x:v>18</x:v>
      </x:c>
      <x:c r="K1272" s="12">
        <x:f>ROUND(英雄升级调参!$D$69*英雄升级调参!$C$11*英雄升级调参!$J$9*英雄升级调参!$G$26,0)</x:f>
        <x:v>180</x:v>
      </x:c>
      <x:c r="L1272" s="12" t="n">
        <x:f>养成消耗调参!$C$151</x:f>
        <x:v>48</x:v>
      </x:c>
      <x:c r="M1272" s="12" t="n">
        <x:f>养成消耗调参!$F$151</x:f>
        <x:v>300</x:v>
      </x:c>
      <x:c r="N1272" s="12" t="n">
        <x:f>养成消耗调参!$I$151</x:f>
        <x:v>0</x:v>
      </x:c>
      <x:c r="O1272" s="12" t="n">
        <x:f>养成消耗调参!$J$151</x:f>
        <x:v>96</x:v>
      </x:c>
      <x:c r="P1272" s="12" t="n">
        <x:f>养成消耗调参!$M$151</x:f>
        <x:v>900</x:v>
      </x:c>
      <x:c r="Q1272" s="12" t="n">
        <x:f>养成消耗调参!$P$151</x:f>
        <x:v>0</x:v>
      </x:c>
      <x:c r="R1272" s="13" t="n">
        <x:f>I1272/英雄升级调参!$G$69-1</x:f>
        <x:v>0</x:v>
      </x:c>
      <x:c r="S1272" s="6"/>
      <x:c r="T1272" s="6"/>
      <x:c r="U1272" s="6"/>
    </x:row>
    <x:row r="1273" ht="21" customHeight="1">
      <x:c r="A1273" s="14" t="n">
        <x:f>英雄升级调参!$B$26</x:f>
        <x:v>310009</x:v>
      </x:c>
      <x:c r="B1273" s="14" t="str">
        <x:f>英雄升级调参!$C$26</x:f>
        <x:v>海希</x:v>
      </x:c>
      <x:c r="C1273" s="6" t="str">
        <x:f>英雄升级调参!$D$26</x:f>
        <x:v>探险家</x:v>
      </x:c>
      <x:c r="D1273" s="6" t="s">
        <x:v>18</x:v>
      </x:c>
      <x:c r="E1273" s="6">
        <x:v>5</x:v>
      </x:c>
      <x:c r="F1273" s="6" t="n">
        <x:f>英雄升级调参!$C$70</x:f>
        <x:v>1</x:v>
      </x:c>
      <x:c r="G1273" s="12">
        <x:f t="shared" si="119"/>
        <x:v>168</x:v>
      </x:c>
      <x:c r="H1273" s="12">
        <x:f t="shared" si="120"/>
        <x:v>1680</x:v>
      </x:c>
      <x:c r="I1273" s="12">
        <x:f t="shared" si="116"/>
        <x:v>282240</x:v>
      </x:c>
      <x:c r="J1273" s="12">
        <x:f>ROUND(英雄升级调参!$D$70*英雄升级调参!$J$9*英雄升级调参!$E$26,0)*3</x:f>
        <x:v>54</x:v>
      </x:c>
      <x:c r="K1273" s="12">
        <x:f>ROUND(英雄升级调参!$D$70*英雄升级调参!$C$11*英雄升级调参!$J$9*英雄升级调参!$G$26,0)*3</x:f>
        <x:v>540</x:v>
      </x:c>
      <x:c r="L1273" s="12" t="n">
        <x:f>养成消耗调参!$C$152</x:f>
        <x:v>72</x:v>
      </x:c>
      <x:c r="M1273" s="12" t="n">
        <x:f>养成消耗调参!$F$152</x:f>
        <x:v>300</x:v>
      </x:c>
      <x:c r="N1273" s="12" t="n">
        <x:f>养成消耗调参!$I$152</x:f>
        <x:v>10</x:v>
      </x:c>
      <x:c r="O1273" s="12" t="n">
        <x:f>养成消耗调参!$J$152</x:f>
        <x:v>168</x:v>
      </x:c>
      <x:c r="P1273" s="12" t="n">
        <x:f>养成消耗调参!$M$152</x:f>
        <x:v>1200</x:v>
      </x:c>
      <x:c r="Q1273" s="12" t="n">
        <x:f>养成消耗调参!$P$152</x:f>
        <x:v>10</x:v>
      </x:c>
      <x:c r="R1273" s="13" t="n">
        <x:f>I1273/英雄升级调参!$G$70-1</x:f>
        <x:v>0</x:v>
      </x:c>
      <x:c r="S1273" s="6"/>
      <x:c r="T1273" s="6"/>
      <x:c r="U1273" s="6"/>
    </x:row>
    <x:row r="1274" ht="21" customHeight="1">
      <x:c r="A1274" s="14" t="n">
        <x:f>英雄升级调参!$B$26</x:f>
        <x:v>310009</x:v>
      </x:c>
      <x:c r="B1274" s="14" t="str">
        <x:f>英雄升级调参!$C$26</x:f>
        <x:v>海希</x:v>
      </x:c>
      <x:c r="C1274" s="6" t="str">
        <x:f>英雄升级调参!$D$26</x:f>
        <x:v>探险家</x:v>
      </x:c>
      <x:c r="D1274" s="6" t="s">
        <x:v>18</x:v>
      </x:c>
      <x:c r="E1274" s="6">
        <x:v>6</x:v>
      </x:c>
      <x:c r="F1274" s="6" t="n">
        <x:f>英雄升级调参!$C$71</x:f>
        <x:v>2</x:v>
      </x:c>
      <x:c r="G1274" s="12">
        <x:f t="shared" si="119"/>
        <x:v>195</x:v>
      </x:c>
      <x:c r="H1274" s="12">
        <x:f t="shared" si="120"/>
        <x:v>1950</x:v>
      </x:c>
      <x:c r="I1274" s="12">
        <x:f t="shared" si="116"/>
        <x:v>380250</x:v>
      </x:c>
      <x:c r="J1274" s="12">
        <x:f>ROUND(英雄升级调参!$D$71*英雄升级调参!$J$9*英雄升级调参!$E$26,0)</x:f>
        <x:v>27</x:v>
      </x:c>
      <x:c r="K1274" s="12">
        <x:f>ROUND(英雄升级调参!$D$71*英雄升级调参!$C$11*英雄升级调参!$J$9*英雄升级调参!$G$26,0)</x:f>
        <x:v>270</x:v>
      </x:c>
      <x:c r="L1274" s="12" t="n">
        <x:f>养成消耗调参!$C$153</x:f>
        <x:v>120</x:v>
      </x:c>
      <x:c r="M1274" s="12" t="n">
        <x:f>养成消耗调参!$F$153</x:f>
        <x:v>300</x:v>
      </x:c>
      <x:c r="N1274" s="12" t="n">
        <x:f>养成消耗调参!$I$153</x:f>
        <x:v>0</x:v>
      </x:c>
      <x:c r="O1274" s="12" t="n">
        <x:f>养成消耗调参!$J$153</x:f>
        <x:v>288</x:v>
      </x:c>
      <x:c r="P1274" s="12" t="n">
        <x:f>养成消耗调参!$M$153</x:f>
        <x:v>1500</x:v>
      </x:c>
      <x:c r="Q1274" s="12" t="n">
        <x:f>养成消耗调参!$P$153</x:f>
        <x:v>10</x:v>
      </x:c>
      <x:c r="R1274" s="13" t="n">
        <x:f>I1274/英雄升级调参!$G$71-1</x:f>
        <x:v>0</x:v>
      </x:c>
      <x:c r="S1274" s="6"/>
      <x:c r="T1274" s="6"/>
      <x:c r="U1274" s="6"/>
    </x:row>
    <x:row r="1275" ht="21" customHeight="1">
      <x:c r="A1275" s="14" t="n">
        <x:f>英雄升级调参!$B$26</x:f>
        <x:v>310009</x:v>
      </x:c>
      <x:c r="B1275" s="14" t="str">
        <x:f>英雄升级调参!$C$26</x:f>
        <x:v>海希</x:v>
      </x:c>
      <x:c r="C1275" s="6" t="str">
        <x:f>英雄升级调参!$D$26</x:f>
        <x:v>探险家</x:v>
      </x:c>
      <x:c r="D1275" s="6" t="s">
        <x:v>18</x:v>
      </x:c>
      <x:c r="E1275" s="6">
        <x:v>7</x:v>
      </x:c>
      <x:c r="F1275" s="6" t="n">
        <x:f>英雄升级调参!$C$72</x:f>
        <x:v>2</x:v>
      </x:c>
      <x:c r="G1275" s="12">
        <x:f t="shared" si="119"/>
        <x:v>222</x:v>
      </x:c>
      <x:c r="H1275" s="12">
        <x:f t="shared" si="120"/>
        <x:v>2220</x:v>
      </x:c>
      <x:c r="I1275" s="12">
        <x:f t="shared" si="116"/>
        <x:v>492840</x:v>
      </x:c>
      <x:c r="J1275" s="12">
        <x:f>ROUND(英雄升级调参!$D$72*英雄升级调参!$J$9*英雄升级调参!$E$26,0)</x:f>
        <x:v>27</x:v>
      </x:c>
      <x:c r="K1275" s="12">
        <x:f>ROUND(英雄升级调参!$D$72*英雄升级调参!$C$11*英雄升级调参!$J$9*英雄升级调参!$G$26,0)</x:f>
        <x:v>270</x:v>
      </x:c>
      <x:c r="L1275" s="12" t="n">
        <x:f>养成消耗调参!$C$154</x:f>
        <x:v>120</x:v>
      </x:c>
      <x:c r="M1275" s="12" t="n">
        <x:f>养成消耗调参!$F$154</x:f>
        <x:v>900</x:v>
      </x:c>
      <x:c r="N1275" s="12" t="n">
        <x:f>养成消耗调参!$I$154</x:f>
        <x:v>0</x:v>
      </x:c>
      <x:c r="O1275" s="12" t="n">
        <x:f>养成消耗调参!$J$154</x:f>
        <x:v>408</x:v>
      </x:c>
      <x:c r="P1275" s="12" t="n">
        <x:f>养成消耗调参!$M$154</x:f>
        <x:v>2400</x:v>
      </x:c>
      <x:c r="Q1275" s="12" t="n">
        <x:f>养成消耗调参!$P$154</x:f>
        <x:v>10</x:v>
      </x:c>
      <x:c r="R1275" s="13" t="n">
        <x:f>I1275/英雄升级调参!$G$72-1</x:f>
        <x:v>0</x:v>
      </x:c>
      <x:c r="S1275" s="6"/>
      <x:c r="T1275" s="6"/>
      <x:c r="U1275" s="6"/>
    </x:row>
    <x:row r="1276" ht="21" customHeight="1">
      <x:c r="A1276" s="14" t="n">
        <x:f>英雄升级调参!$B$26</x:f>
        <x:v>310009</x:v>
      </x:c>
      <x:c r="B1276" s="14" t="str">
        <x:f>英雄升级调参!$C$26</x:f>
        <x:v>海希</x:v>
      </x:c>
      <x:c r="C1276" s="6" t="str">
        <x:f>英雄升级调参!$D$26</x:f>
        <x:v>探险家</x:v>
      </x:c>
      <x:c r="D1276" s="6" t="s">
        <x:v>18</x:v>
      </x:c>
      <x:c r="E1276" s="6">
        <x:v>8</x:v>
      </x:c>
      <x:c r="F1276" s="6" t="n">
        <x:f>英雄升级调参!$C$73</x:f>
        <x:v>2</x:v>
      </x:c>
      <x:c r="G1276" s="12">
        <x:f t="shared" si="119"/>
        <x:v>249</x:v>
      </x:c>
      <x:c r="H1276" s="12">
        <x:f t="shared" si="120"/>
        <x:v>2490</x:v>
      </x:c>
      <x:c r="I1276" s="12">
        <x:f t="shared" si="116"/>
        <x:v>620010</x:v>
      </x:c>
      <x:c r="J1276" s="12">
        <x:f>ROUND(英雄升级调参!$D$73*英雄升级调参!$J$9*英雄升级调参!$E$26,0)</x:f>
        <x:v>27</x:v>
      </x:c>
      <x:c r="K1276" s="12">
        <x:f>ROUND(英雄升级调参!$D$73*英雄升级调参!$C$11*英雄升级调参!$J$9*英雄升级调参!$G$26,0)</x:f>
        <x:v>270</x:v>
      </x:c>
      <x:c r="L1276" s="12" t="n">
        <x:f>养成消耗调参!$C$155</x:f>
        <x:v>144</x:v>
      </x:c>
      <x:c r="M1276" s="12" t="n">
        <x:f>养成消耗调参!$F$155</x:f>
        <x:v>900</x:v>
      </x:c>
      <x:c r="N1276" s="12" t="n">
        <x:f>养成消耗调参!$I$155</x:f>
        <x:v>0</x:v>
      </x:c>
      <x:c r="O1276" s="12" t="n">
        <x:f>养成消耗调参!$J$155</x:f>
        <x:v>552</x:v>
      </x:c>
      <x:c r="P1276" s="12" t="n">
        <x:f>养成消耗调参!$M$155</x:f>
        <x:v>3300</x:v>
      </x:c>
      <x:c r="Q1276" s="12" t="n">
        <x:f>养成消耗调参!$P$155</x:f>
        <x:v>10</x:v>
      </x:c>
      <x:c r="R1276" s="13" t="n">
        <x:f>I1276/英雄升级调参!$G$73-1</x:f>
        <x:v>0</x:v>
      </x:c>
      <x:c r="S1276" s="6"/>
      <x:c r="T1276" s="6"/>
      <x:c r="U1276" s="6"/>
    </x:row>
    <x:row r="1277" ht="21" customHeight="1">
      <x:c r="A1277" s="14" t="n">
        <x:f>英雄升级调参!$B$26</x:f>
        <x:v>310009</x:v>
      </x:c>
      <x:c r="B1277" s="14" t="str">
        <x:f>英雄升级调参!$C$26</x:f>
        <x:v>海希</x:v>
      </x:c>
      <x:c r="C1277" s="6" t="str">
        <x:f>英雄升级调参!$D$26</x:f>
        <x:v>探险家</x:v>
      </x:c>
      <x:c r="D1277" s="6" t="s">
        <x:v>18</x:v>
      </x:c>
      <x:c r="E1277" s="6">
        <x:v>9</x:v>
      </x:c>
      <x:c r="F1277" s="6" t="n">
        <x:f>英雄升级调参!$C$74</x:f>
        <x:v>2</x:v>
      </x:c>
      <x:c r="G1277" s="12">
        <x:f t="shared" si="119"/>
        <x:v>276</x:v>
      </x:c>
      <x:c r="H1277" s="12">
        <x:f t="shared" si="120"/>
        <x:v>2760</x:v>
      </x:c>
      <x:c r="I1277" s="12">
        <x:f t="shared" si="116"/>
        <x:v>761760</x:v>
      </x:c>
      <x:c r="J1277" s="12">
        <x:f>ROUND(英雄升级调参!$D$74*英雄升级调参!$J$9*英雄升级调参!$E$26,0)</x:f>
        <x:v>27</x:v>
      </x:c>
      <x:c r="K1277" s="12">
        <x:f>ROUND(英雄升级调参!$D$74*英雄升级调参!$C$11*英雄升级调参!$J$9*英雄升级调参!$G$26,0)</x:f>
        <x:v>270</x:v>
      </x:c>
      <x:c r="L1277" s="12" t="n">
        <x:f>养成消耗调参!$C$156</x:f>
        <x:v>144</x:v>
      </x:c>
      <x:c r="M1277" s="12" t="n">
        <x:f>养成消耗调参!$F$156</x:f>
        <x:v>900</x:v>
      </x:c>
      <x:c r="N1277" s="12" t="n">
        <x:f>养成消耗调参!$I$156</x:f>
        <x:v>0</x:v>
      </x:c>
      <x:c r="O1277" s="12" t="n">
        <x:f>养成消耗调参!$J$156</x:f>
        <x:v>696</x:v>
      </x:c>
      <x:c r="P1277" s="12" t="n">
        <x:f>养成消耗调参!$M$156</x:f>
        <x:v>4200</x:v>
      </x:c>
      <x:c r="Q1277" s="12" t="n">
        <x:f>养成消耗调参!$P$156</x:f>
        <x:v>10</x:v>
      </x:c>
      <x:c r="R1277" s="13" t="n">
        <x:f>I1277/英雄升级调参!$G$74-1</x:f>
        <x:v>0</x:v>
      </x:c>
      <x:c r="S1277" s="6"/>
      <x:c r="T1277" s="6"/>
      <x:c r="U1277" s="6"/>
    </x:row>
    <x:row r="1278" ht="21" customHeight="1">
      <x:c r="A1278" s="14" t="n">
        <x:f>英雄升级调参!$B$26</x:f>
        <x:v>310009</x:v>
      </x:c>
      <x:c r="B1278" s="14" t="str">
        <x:f>英雄升级调参!$C$26</x:f>
        <x:v>海希</x:v>
      </x:c>
      <x:c r="C1278" s="6" t="str">
        <x:f>英雄升级调参!$D$26</x:f>
        <x:v>探险家</x:v>
      </x:c>
      <x:c r="D1278" s="6" t="s">
        <x:v>18</x:v>
      </x:c>
      <x:c r="E1278" s="6">
        <x:v>10</x:v>
      </x:c>
      <x:c r="F1278" s="6" t="n">
        <x:f>英雄升级调参!$C$75</x:f>
        <x:v>2</x:v>
      </x:c>
      <x:c r="G1278" s="12">
        <x:f t="shared" si="119"/>
        <x:v>357</x:v>
      </x:c>
      <x:c r="H1278" s="12">
        <x:f t="shared" si="120"/>
        <x:v>3570</x:v>
      </x:c>
      <x:c r="I1278" s="12">
        <x:f t="shared" si="116"/>
        <x:v>1274490</x:v>
      </x:c>
      <x:c r="J1278" s="12">
        <x:f>ROUND(英雄升级调参!$D$75*英雄升级调参!$J$9*英雄升级调参!$E$26,0)*3</x:f>
        <x:v>81</x:v>
      </x:c>
      <x:c r="K1278" s="12">
        <x:f>ROUND(英雄升级调参!$D$75*英雄升级调参!$C$11*英雄升级调参!$J$9*英雄升级调参!$G$26,0)*3</x:f>
        <x:v>810</x:v>
      </x:c>
      <x:c r="L1278" s="12" t="n">
        <x:f>养成消耗调参!$C$157</x:f>
        <x:v>216</x:v>
      </x:c>
      <x:c r="M1278" s="12" t="n">
        <x:f>养成消耗调参!$F$157</x:f>
        <x:v>900</x:v>
      </x:c>
      <x:c r="N1278" s="12" t="n">
        <x:f>养成消耗调参!$I$157</x:f>
        <x:v>30</x:v>
      </x:c>
      <x:c r="O1278" s="12" t="n">
        <x:f>养成消耗调参!$J$157</x:f>
        <x:v>912</x:v>
      </x:c>
      <x:c r="P1278" s="12" t="n">
        <x:f>养成消耗调参!$M$157</x:f>
        <x:v>5100</x:v>
      </x:c>
      <x:c r="Q1278" s="12" t="n">
        <x:f>养成消耗调参!$P$157</x:f>
        <x:v>40</x:v>
      </x:c>
      <x:c r="R1278" s="13" t="n">
        <x:f>I1278/英雄升级调参!$G$75-1</x:f>
        <x:v>0</x:v>
      </x:c>
      <x:c r="S1278" s="6"/>
      <x:c r="T1278" s="6"/>
      <x:c r="U1278" s="6"/>
    </x:row>
    <x:row r="1279" ht="21" customHeight="1">
      <x:c r="A1279" s="14" t="n">
        <x:f>英雄升级调参!$B$26</x:f>
        <x:v>310009</x:v>
      </x:c>
      <x:c r="B1279" s="14" t="str">
        <x:f>英雄升级调参!$C$26</x:f>
        <x:v>海希</x:v>
      </x:c>
      <x:c r="C1279" s="6" t="str">
        <x:f>英雄升级调参!$D$26</x:f>
        <x:v>探险家</x:v>
      </x:c>
      <x:c r="D1279" s="6" t="s">
        <x:v>18</x:v>
      </x:c>
      <x:c r="E1279" s="6">
        <x:v>11</x:v>
      </x:c>
      <x:c r="F1279" s="6" t="n">
        <x:f>英雄升级调参!$C$76</x:f>
        <x:v>3</x:v>
      </x:c>
      <x:c r="G1279" s="12">
        <x:f t="shared" si="119"/>
        <x:v>393</x:v>
      </x:c>
      <x:c r="H1279" s="12">
        <x:f t="shared" si="120"/>
        <x:v>3930</x:v>
      </x:c>
      <x:c r="I1279" s="12">
        <x:f t="shared" si="116"/>
        <x:v>1544490</x:v>
      </x:c>
      <x:c r="J1279" s="12">
        <x:f>ROUND(英雄升级调参!$D$76*英雄升级调参!$J$9*英雄升级调参!$E$26,0)</x:f>
        <x:v>36</x:v>
      </x:c>
      <x:c r="K1279" s="12">
        <x:f>ROUND(英雄升级调参!$D$76*英雄升级调参!$C$11*英雄升级调参!$J$9*英雄升级调参!$G$26,0)</x:f>
        <x:v>360</x:v>
      </x:c>
      <x:c r="L1279" s="12" t="n">
        <x:f>养成消耗调参!$C$158</x:f>
        <x:v>216</x:v>
      </x:c>
      <x:c r="M1279" s="12" t="n">
        <x:f>养成消耗调参!$F$158</x:f>
        <x:v>900</x:v>
      </x:c>
      <x:c r="N1279" s="12" t="n">
        <x:f>养成消耗调参!$I$158</x:f>
        <x:v>0</x:v>
      </x:c>
      <x:c r="O1279" s="12" t="n">
        <x:f>养成消耗调参!$J$158</x:f>
        <x:v>1128</x:v>
      </x:c>
      <x:c r="P1279" s="12" t="n">
        <x:f>养成消耗调参!$M$158</x:f>
        <x:v>6000</x:v>
      </x:c>
      <x:c r="Q1279" s="12" t="n">
        <x:f>养成消耗调参!$P$158</x:f>
        <x:v>40</x:v>
      </x:c>
      <x:c r="R1279" s="13" t="n">
        <x:f>I1279/英雄升级调参!$G$76-1</x:f>
        <x:v>0</x:v>
      </x:c>
      <x:c r="S1279" s="6"/>
      <x:c r="T1279" s="6"/>
      <x:c r="U1279" s="6"/>
    </x:row>
    <x:row r="1280" ht="21" customHeight="1">
      <x:c r="A1280" s="14" t="n">
        <x:f>英雄升级调参!$B$26</x:f>
        <x:v>310009</x:v>
      </x:c>
      <x:c r="B1280" s="14" t="str">
        <x:f>英雄升级调参!$C$26</x:f>
        <x:v>海希</x:v>
      </x:c>
      <x:c r="C1280" s="6" t="str">
        <x:f>英雄升级调参!$D$26</x:f>
        <x:v>探险家</x:v>
      </x:c>
      <x:c r="D1280" s="6" t="s">
        <x:v>18</x:v>
      </x:c>
      <x:c r="E1280" s="6">
        <x:v>12</x:v>
      </x:c>
      <x:c r="F1280" s="6" t="n">
        <x:f>英雄升级调参!$C$77</x:f>
        <x:v>3</x:v>
      </x:c>
      <x:c r="G1280" s="12">
        <x:f t="shared" si="119"/>
        <x:v>429</x:v>
      </x:c>
      <x:c r="H1280" s="12">
        <x:f t="shared" si="120"/>
        <x:v>4290</x:v>
      </x:c>
      <x:c r="I1280" s="12">
        <x:f t="shared" si="116"/>
        <x:v>1840410</x:v>
      </x:c>
      <x:c r="J1280" s="12">
        <x:f>ROUND(英雄升级调参!$D$77*英雄升级调参!$J$9*英雄升级调参!$E$26,0)</x:f>
        <x:v>36</x:v>
      </x:c>
      <x:c r="K1280" s="12">
        <x:f>ROUND(英雄升级调参!$D$77*英雄升级调参!$C$11*英雄升级调参!$J$9*英雄升级调参!$G$26,0)</x:f>
        <x:v>360</x:v>
      </x:c>
      <x:c r="L1280" s="12" t="n">
        <x:f>养成消耗调参!$C$159</x:f>
        <x:v>240</x:v>
      </x:c>
      <x:c r="M1280" s="12" t="n">
        <x:f>养成消耗调参!$F$159</x:f>
        <x:v>1500</x:v>
      </x:c>
      <x:c r="N1280" s="12" t="n">
        <x:f>养成消耗调参!$I$159</x:f>
        <x:v>0</x:v>
      </x:c>
      <x:c r="O1280" s="12" t="n">
        <x:f>养成消耗调参!$J$159</x:f>
        <x:v>1368</x:v>
      </x:c>
      <x:c r="P1280" s="12" t="n">
        <x:f>养成消耗调参!$M$159</x:f>
        <x:v>7500</x:v>
      </x:c>
      <x:c r="Q1280" s="12" t="n">
        <x:f>养成消耗调参!$P$159</x:f>
        <x:v>40</x:v>
      </x:c>
      <x:c r="R1280" s="13" t="n">
        <x:f>I1280/英雄升级调参!$G$77-1</x:f>
        <x:v>0</x:v>
      </x:c>
      <x:c r="S1280" s="6"/>
      <x:c r="T1280" s="6"/>
      <x:c r="U1280" s="6"/>
    </x:row>
    <x:row r="1281" ht="21" customHeight="1">
      <x:c r="A1281" s="14" t="n">
        <x:f>英雄升级调参!$B$26</x:f>
        <x:v>310009</x:v>
      </x:c>
      <x:c r="B1281" s="14" t="str">
        <x:f>英雄升级调参!$C$26</x:f>
        <x:v>海希</x:v>
      </x:c>
      <x:c r="C1281" s="6" t="str">
        <x:f>英雄升级调参!$D$26</x:f>
        <x:v>探险家</x:v>
      </x:c>
      <x:c r="D1281" s="6" t="s">
        <x:v>18</x:v>
      </x:c>
      <x:c r="E1281" s="6">
        <x:v>13</x:v>
      </x:c>
      <x:c r="F1281" s="6" t="n">
        <x:f>英雄升级调参!$C$78</x:f>
        <x:v>3</x:v>
      </x:c>
      <x:c r="G1281" s="12">
        <x:f t="shared" si="119"/>
        <x:v>465</x:v>
      </x:c>
      <x:c r="H1281" s="12">
        <x:f t="shared" si="120"/>
        <x:v>4650</x:v>
      </x:c>
      <x:c r="I1281" s="12">
        <x:f t="shared" si="116"/>
        <x:v>2162250</x:v>
      </x:c>
      <x:c r="J1281" s="12">
        <x:f>ROUND(英雄升级调参!$D$78*英雄升级调参!$J$9*英雄升级调参!$E$26,0)</x:f>
        <x:v>36</x:v>
      </x:c>
      <x:c r="K1281" s="12">
        <x:f>ROUND(英雄升级调参!$D$78*英雄升级调参!$C$11*英雄升级调参!$J$9*英雄升级调参!$G$26,0)</x:f>
        <x:v>360</x:v>
      </x:c>
      <x:c r="L1281" s="12" t="n">
        <x:f>养成消耗调参!$C$160</x:f>
        <x:v>240</x:v>
      </x:c>
      <x:c r="M1281" s="12" t="n">
        <x:f>养成消耗调参!$F$160</x:f>
        <x:v>1500</x:v>
      </x:c>
      <x:c r="N1281" s="12" t="n">
        <x:f>养成消耗调参!$I$160</x:f>
        <x:v>0</x:v>
      </x:c>
      <x:c r="O1281" s="12" t="n">
        <x:f>养成消耗调参!$J$160</x:f>
        <x:v>1608</x:v>
      </x:c>
      <x:c r="P1281" s="12" t="n">
        <x:f>养成消耗调参!$M$160</x:f>
        <x:v>9000</x:v>
      </x:c>
      <x:c r="Q1281" s="12" t="n">
        <x:f>养成消耗调参!$P$160</x:f>
        <x:v>40</x:v>
      </x:c>
      <x:c r="R1281" s="13" t="n">
        <x:f>I1281/英雄升级调参!$G$78-1</x:f>
        <x:v>0</x:v>
      </x:c>
      <x:c r="S1281" s="6"/>
      <x:c r="T1281" s="6"/>
      <x:c r="U1281" s="6"/>
    </x:row>
    <x:row r="1282" ht="21" customHeight="1">
      <x:c r="A1282" s="14" t="n">
        <x:f>英雄升级调参!$B$26</x:f>
        <x:v>310009</x:v>
      </x:c>
      <x:c r="B1282" s="14" t="str">
        <x:f>英雄升级调参!$C$26</x:f>
        <x:v>海希</x:v>
      </x:c>
      <x:c r="C1282" s="6" t="str">
        <x:f>英雄升级调参!$D$26</x:f>
        <x:v>探险家</x:v>
      </x:c>
      <x:c r="D1282" s="6" t="s">
        <x:v>18</x:v>
      </x:c>
      <x:c r="E1282" s="6">
        <x:v>14</x:v>
      </x:c>
      <x:c r="F1282" s="6" t="n">
        <x:f>英雄升级调参!$C$79</x:f>
        <x:v>3</x:v>
      </x:c>
      <x:c r="G1282" s="12">
        <x:f t="shared" si="119"/>
        <x:v>501</x:v>
      </x:c>
      <x:c r="H1282" s="12">
        <x:f t="shared" si="120"/>
        <x:v>5010</x:v>
      </x:c>
      <x:c r="I1282" s="12">
        <x:f t="shared" si="116"/>
        <x:v>2510010</x:v>
      </x:c>
      <x:c r="J1282" s="12">
        <x:f>ROUND(英雄升级调参!$D$79*英雄升级调参!$J$9*英雄升级调参!$E$26,0)</x:f>
        <x:v>36</x:v>
      </x:c>
      <x:c r="K1282" s="12">
        <x:f>ROUND(英雄升级调参!$D$79*英雄升级调参!$C$11*英雄升级调参!$J$9*英雄升级调参!$G$26,0)</x:f>
        <x:v>360</x:v>
      </x:c>
      <x:c r="L1282" s="12" t="n">
        <x:f>养成消耗调参!$C$161</x:f>
        <x:v>288</x:v>
      </x:c>
      <x:c r="M1282" s="12" t="n">
        <x:f>养成消耗调参!$F$161</x:f>
        <x:v>1500</x:v>
      </x:c>
      <x:c r="N1282" s="12" t="n">
        <x:f>养成消耗调参!$I$161</x:f>
        <x:v>0</x:v>
      </x:c>
      <x:c r="O1282" s="12" t="n">
        <x:f>养成消耗调参!$J$161</x:f>
        <x:v>1896</x:v>
      </x:c>
      <x:c r="P1282" s="12" t="n">
        <x:f>养成消耗调参!$M$161</x:f>
        <x:v>10500</x:v>
      </x:c>
      <x:c r="Q1282" s="12" t="n">
        <x:f>养成消耗调参!$P$161</x:f>
        <x:v>40</x:v>
      </x:c>
      <x:c r="R1282" s="13" t="n">
        <x:f>I1282/英雄升级调参!$G$79-1</x:f>
        <x:v>0</x:v>
      </x:c>
      <x:c r="S1282" s="6"/>
      <x:c r="T1282" s="6"/>
      <x:c r="U1282" s="6"/>
    </x:row>
    <x:row r="1283" ht="21" customHeight="1">
      <x:c r="A1283" s="14" t="n">
        <x:f>英雄升级调参!$B$26</x:f>
        <x:v>310009</x:v>
      </x:c>
      <x:c r="B1283" s="14" t="str">
        <x:f>英雄升级调参!$C$26</x:f>
        <x:v>海希</x:v>
      </x:c>
      <x:c r="C1283" s="6" t="str">
        <x:f>英雄升级调参!$D$26</x:f>
        <x:v>探险家</x:v>
      </x:c>
      <x:c r="D1283" s="6" t="s">
        <x:v>18</x:v>
      </x:c>
      <x:c r="E1283" s="6">
        <x:v>15</x:v>
      </x:c>
      <x:c r="F1283" s="6" t="n">
        <x:f>英雄升级调参!$C$80</x:f>
        <x:v>3</x:v>
      </x:c>
      <x:c r="G1283" s="12">
        <x:f t="shared" si="119"/>
        <x:v>609</x:v>
      </x:c>
      <x:c r="H1283" s="12">
        <x:f t="shared" si="120"/>
        <x:v>6090</x:v>
      </x:c>
      <x:c r="I1283" s="12">
        <x:f t="shared" si="116"/>
        <x:v>3708810</x:v>
      </x:c>
      <x:c r="J1283" s="12">
        <x:f>ROUND(英雄升级调参!$D$80*英雄升级调参!$J$9*英雄升级调参!$E$26,0)*3</x:f>
        <x:v>108</x:v>
      </x:c>
      <x:c r="K1283" s="12">
        <x:f>ROUND(英雄升级调参!$D$80*英雄升级调参!$C$11*英雄升级调参!$J$9*英雄升级调参!$G$26,0)*3</x:f>
        <x:v>1080</x:v>
      </x:c>
      <x:c r="L1283" s="12" t="n">
        <x:f>养成消耗调参!$C$162</x:f>
        <x:v>288</x:v>
      </x:c>
      <x:c r="M1283" s="12" t="n">
        <x:f>养成消耗调参!$F$162</x:f>
        <x:v>1500</x:v>
      </x:c>
      <x:c r="N1283" s="12" t="n">
        <x:f>养成消耗调参!$I$162</x:f>
        <x:v>50</x:v>
      </x:c>
      <x:c r="O1283" s="12" t="n">
        <x:f>养成消耗调参!$J$162</x:f>
        <x:v>2184</x:v>
      </x:c>
      <x:c r="P1283" s="12" t="n">
        <x:f>养成消耗调参!$M$162</x:f>
        <x:v>12000</x:v>
      </x:c>
      <x:c r="Q1283" s="12" t="n">
        <x:f>养成消耗调参!$P$162</x:f>
        <x:v>90</x:v>
      </x:c>
      <x:c r="R1283" s="13" t="n">
        <x:f>I1283/英雄升级调参!$G$80-1</x:f>
        <x:v>0</x:v>
      </x:c>
      <x:c r="S1283" s="6"/>
      <x:c r="T1283" s="6"/>
      <x:c r="U1283" s="6"/>
    </x:row>
    <x:row r="1284" ht="21" customHeight="1">
      <x:c r="A1284" s="14" t="n">
        <x:f>英雄升级调参!$B$26</x:f>
        <x:v>310009</x:v>
      </x:c>
      <x:c r="B1284" s="14" t="str">
        <x:f>英雄升级调参!$C$26</x:f>
        <x:v>海希</x:v>
      </x:c>
      <x:c r="C1284" s="6" t="str">
        <x:f>英雄升级调参!$D$26</x:f>
        <x:v>探险家</x:v>
      </x:c>
      <x:c r="D1284" s="6" t="s">
        <x:v>18</x:v>
      </x:c>
      <x:c r="E1284" s="6">
        <x:v>16</x:v>
      </x:c>
      <x:c r="F1284" s="6" t="n">
        <x:f>英雄升级调参!$C$81</x:f>
        <x:v>4</x:v>
      </x:c>
      <x:c r="G1284" s="12">
        <x:f t="shared" si="119"/>
        <x:v>654</x:v>
      </x:c>
      <x:c r="H1284" s="12">
        <x:f t="shared" si="120"/>
        <x:v>6540</x:v>
      </x:c>
      <x:c r="I1284" s="12">
        <x:f t="shared" si="116"/>
        <x:v>4277160</x:v>
      </x:c>
      <x:c r="J1284" s="12">
        <x:f>ROUND(英雄升级调参!$D$81*英雄升级调参!$J$9*英雄升级调参!$E$26,0)</x:f>
        <x:v>45</x:v>
      </x:c>
      <x:c r="K1284" s="12">
        <x:f>ROUND(英雄升级调参!$D$81*英雄升级调参!$C$11*英雄升级调参!$J$9*英雄升级调参!$G$26,0)</x:f>
        <x:v>450</x:v>
      </x:c>
      <x:c r="L1284" s="12" t="n">
        <x:f>养成消耗调参!$C$163</x:f>
        <x:v>336</x:v>
      </x:c>
      <x:c r="M1284" s="12" t="n">
        <x:f>养成消耗调参!$F$163</x:f>
        <x:v>1500</x:v>
      </x:c>
      <x:c r="N1284" s="12" t="n">
        <x:f>养成消耗调参!$I$163</x:f>
        <x:v>0</x:v>
      </x:c>
      <x:c r="O1284" s="12" t="n">
        <x:f>养成消耗调参!$J$163</x:f>
        <x:v>2520</x:v>
      </x:c>
      <x:c r="P1284" s="12" t="n">
        <x:f>养成消耗调参!$M$163</x:f>
        <x:v>13500</x:v>
      </x:c>
      <x:c r="Q1284" s="12" t="n">
        <x:f>养成消耗调参!$P$163</x:f>
        <x:v>90</x:v>
      </x:c>
      <x:c r="R1284" s="13" t="n">
        <x:f>I1284/英雄升级调参!$G$81-1</x:f>
        <x:v>0</x:v>
      </x:c>
      <x:c r="S1284" s="6"/>
      <x:c r="T1284" s="6"/>
      <x:c r="U1284" s="6"/>
    </x:row>
    <x:row r="1285" ht="21" customHeight="1">
      <x:c r="A1285" s="14" t="n">
        <x:f>英雄升级调参!$B$26</x:f>
        <x:v>310009</x:v>
      </x:c>
      <x:c r="B1285" s="14" t="str">
        <x:f>英雄升级调参!$C$26</x:f>
        <x:v>海希</x:v>
      </x:c>
      <x:c r="C1285" s="6" t="str">
        <x:f>英雄升级调参!$D$26</x:f>
        <x:v>探险家</x:v>
      </x:c>
      <x:c r="D1285" s="6" t="s">
        <x:v>18</x:v>
      </x:c>
      <x:c r="E1285" s="6">
        <x:v>17</x:v>
      </x:c>
      <x:c r="F1285" s="6" t="n">
        <x:f>英雄升级调参!$C$82</x:f>
        <x:v>4</x:v>
      </x:c>
      <x:c r="G1285" s="12">
        <x:f t="shared" si="119"/>
        <x:v>699</x:v>
      </x:c>
      <x:c r="H1285" s="12">
        <x:f t="shared" si="120"/>
        <x:v>6990</x:v>
      </x:c>
      <x:c r="I1285" s="12">
        <x:f t="shared" ref="I1285:I1348" si="121">G1285*H1285</x:f>
        <x:v>4886010</x:v>
      </x:c>
      <x:c r="J1285" s="12">
        <x:f>ROUND(英雄升级调参!$D$82*英雄升级调参!$J$9*英雄升级调参!$E$26,0)</x:f>
        <x:v>45</x:v>
      </x:c>
      <x:c r="K1285" s="12">
        <x:f>ROUND(英雄升级调参!$D$82*英雄升级调参!$C$11*英雄升级调参!$J$9*英雄升级调参!$G$26,0)</x:f>
        <x:v>450</x:v>
      </x:c>
      <x:c r="L1285" s="12" t="n">
        <x:f>养成消耗调参!$C$164</x:f>
        <x:v>336</x:v>
      </x:c>
      <x:c r="M1285" s="12" t="n">
        <x:f>养成消耗调参!$F$164</x:f>
        <x:v>2100</x:v>
      </x:c>
      <x:c r="N1285" s="12" t="n">
        <x:f>养成消耗调参!$I$164</x:f>
        <x:v>0</x:v>
      </x:c>
      <x:c r="O1285" s="12" t="n">
        <x:f>养成消耗调参!$J$164</x:f>
        <x:v>2856</x:v>
      </x:c>
      <x:c r="P1285" s="12" t="n">
        <x:f>养成消耗调参!$M$164</x:f>
        <x:v>15600</x:v>
      </x:c>
      <x:c r="Q1285" s="12" t="n">
        <x:f>养成消耗调参!$P$164</x:f>
        <x:v>90</x:v>
      </x:c>
      <x:c r="R1285" s="13" t="n">
        <x:f>I1285/英雄升级调参!$G$82-1</x:f>
        <x:v>0</x:v>
      </x:c>
      <x:c r="S1285" s="6"/>
      <x:c r="T1285" s="6"/>
      <x:c r="U1285" s="6"/>
    </x:row>
    <x:row r="1286" ht="21" customHeight="1">
      <x:c r="A1286" s="14" t="n">
        <x:f>英雄升级调参!$B$26</x:f>
        <x:v>310009</x:v>
      </x:c>
      <x:c r="B1286" s="14" t="str">
        <x:f>英雄升级调参!$C$26</x:f>
        <x:v>海希</x:v>
      </x:c>
      <x:c r="C1286" s="6" t="str">
        <x:f>英雄升级调参!$D$26</x:f>
        <x:v>探险家</x:v>
      </x:c>
      <x:c r="D1286" s="6" t="s">
        <x:v>18</x:v>
      </x:c>
      <x:c r="E1286" s="6">
        <x:v>18</x:v>
      </x:c>
      <x:c r="F1286" s="6" t="n">
        <x:f>英雄升级调参!$C$83</x:f>
        <x:v>4</x:v>
      </x:c>
      <x:c r="G1286" s="12">
        <x:f t="shared" si="119"/>
        <x:v>744</x:v>
      </x:c>
      <x:c r="H1286" s="12">
        <x:f t="shared" si="120"/>
        <x:v>7440</x:v>
      </x:c>
      <x:c r="I1286" s="12">
        <x:f t="shared" si="121"/>
        <x:v>5535360</x:v>
      </x:c>
      <x:c r="J1286" s="12">
        <x:f>ROUND(英雄升级调参!$D$83*英雄升级调参!$J$9*英雄升级调参!$E$26,0)</x:f>
        <x:v>45</x:v>
      </x:c>
      <x:c r="K1286" s="12">
        <x:f>ROUND(英雄升级调参!$D$83*英雄升级调参!$C$11*英雄升级调参!$J$9*英雄升级调参!$G$26,0)</x:f>
        <x:v>450</x:v>
      </x:c>
      <x:c r="L1286" s="12" t="n">
        <x:f>养成消耗调参!$C$165</x:f>
        <x:v>384</x:v>
      </x:c>
      <x:c r="M1286" s="12" t="n">
        <x:f>养成消耗调参!$F$165</x:f>
        <x:v>2100</x:v>
      </x:c>
      <x:c r="N1286" s="12" t="n">
        <x:f>养成消耗调参!$I$165</x:f>
        <x:v>0</x:v>
      </x:c>
      <x:c r="O1286" s="12" t="n">
        <x:f>养成消耗调参!$J$165</x:f>
        <x:v>3240</x:v>
      </x:c>
      <x:c r="P1286" s="12" t="n">
        <x:f>养成消耗调参!$M$165</x:f>
        <x:v>17700</x:v>
      </x:c>
      <x:c r="Q1286" s="12" t="n">
        <x:f>养成消耗调参!$P$165</x:f>
        <x:v>90</x:v>
      </x:c>
      <x:c r="R1286" s="13" t="n">
        <x:f>I1286/英雄升级调参!$G$83-1</x:f>
        <x:v>0</x:v>
      </x:c>
      <x:c r="S1286" s="6"/>
      <x:c r="T1286" s="6"/>
      <x:c r="U1286" s="6"/>
    </x:row>
    <x:row r="1287" ht="21" customHeight="1">
      <x:c r="A1287" s="14" t="n">
        <x:f>英雄升级调参!$B$26</x:f>
        <x:v>310009</x:v>
      </x:c>
      <x:c r="B1287" s="14" t="str">
        <x:f>英雄升级调参!$C$26</x:f>
        <x:v>海希</x:v>
      </x:c>
      <x:c r="C1287" s="6" t="str">
        <x:f>英雄升级调参!$D$26</x:f>
        <x:v>探险家</x:v>
      </x:c>
      <x:c r="D1287" s="6" t="s">
        <x:v>18</x:v>
      </x:c>
      <x:c r="E1287" s="6">
        <x:v>19</x:v>
      </x:c>
      <x:c r="F1287" s="6" t="n">
        <x:f>英雄升级调参!$C$84</x:f>
        <x:v>4</x:v>
      </x:c>
      <x:c r="G1287" s="12">
        <x:f t="shared" si="119"/>
        <x:v>789</x:v>
      </x:c>
      <x:c r="H1287" s="12">
        <x:f t="shared" si="120"/>
        <x:v>7890</x:v>
      </x:c>
      <x:c r="I1287" s="12">
        <x:f t="shared" si="121"/>
        <x:v>6225210</x:v>
      </x:c>
      <x:c r="J1287" s="12">
        <x:f>ROUND(英雄升级调参!$D$84*英雄升级调参!$J$9*英雄升级调参!$E$26,0)</x:f>
        <x:v>45</x:v>
      </x:c>
      <x:c r="K1287" s="12">
        <x:f>ROUND(英雄升级调参!$D$84*英雄升级调参!$C$11*英雄升级调参!$J$9*英雄升级调参!$G$26,0)</x:f>
        <x:v>450</x:v>
      </x:c>
      <x:c r="L1287" s="12" t="n">
        <x:f>养成消耗调参!$C$166</x:f>
        <x:v>384</x:v>
      </x:c>
      <x:c r="M1287" s="12" t="n">
        <x:f>养成消耗调参!$F$166</x:f>
        <x:v>2100</x:v>
      </x:c>
      <x:c r="N1287" s="12" t="n">
        <x:f>养成消耗调参!$I$166</x:f>
        <x:v>0</x:v>
      </x:c>
      <x:c r="O1287" s="12" t="n">
        <x:f>养成消耗调参!$J$166</x:f>
        <x:v>3624</x:v>
      </x:c>
      <x:c r="P1287" s="12" t="n">
        <x:f>养成消耗调参!$M$166</x:f>
        <x:v>19800</x:v>
      </x:c>
      <x:c r="Q1287" s="12" t="n">
        <x:f>养成消耗调参!$P$166</x:f>
        <x:v>90</x:v>
      </x:c>
      <x:c r="R1287" s="13" t="n">
        <x:f>I1287/英雄升级调参!$G$84-1</x:f>
        <x:v>0</x:v>
      </x:c>
      <x:c r="S1287" s="6"/>
      <x:c r="T1287" s="6"/>
      <x:c r="U1287" s="6"/>
    </x:row>
    <x:row r="1288" ht="21" customHeight="1">
      <x:c r="A1288" s="14" t="n">
        <x:f>英雄升级调参!$B$26</x:f>
        <x:v>310009</x:v>
      </x:c>
      <x:c r="B1288" s="14" t="str">
        <x:f>英雄升级调参!$C$26</x:f>
        <x:v>海希</x:v>
      </x:c>
      <x:c r="C1288" s="6" t="str">
        <x:f>英雄升级调参!$D$26</x:f>
        <x:v>探险家</x:v>
      </x:c>
      <x:c r="D1288" s="6" t="s">
        <x:v>18</x:v>
      </x:c>
      <x:c r="E1288" s="6">
        <x:v>20</x:v>
      </x:c>
      <x:c r="F1288" s="6" t="n">
        <x:f>英雄升级调参!$C$85</x:f>
        <x:v>4</x:v>
      </x:c>
      <x:c r="G1288" s="12">
        <x:f t="shared" si="119"/>
        <x:v>924</x:v>
      </x:c>
      <x:c r="H1288" s="12">
        <x:f t="shared" si="120"/>
        <x:v>9240</x:v>
      </x:c>
      <x:c r="I1288" s="12">
        <x:f t="shared" si="121"/>
        <x:v>8537760</x:v>
      </x:c>
      <x:c r="J1288" s="12">
        <x:f>ROUND(英雄升级调参!$D$85*英雄升级调参!$J$9*英雄升级调参!$E$26,0)*3</x:f>
        <x:v>135</x:v>
      </x:c>
      <x:c r="K1288" s="12">
        <x:f>ROUND(英雄升级调参!$D$85*英雄升级调参!$C$11*英雄升级调参!$J$9*英雄升级调参!$G$26,0)*3</x:f>
        <x:v>1350</x:v>
      </x:c>
      <x:c r="L1288" s="12" t="n">
        <x:f>养成消耗调参!$C$167</x:f>
        <x:v>432</x:v>
      </x:c>
      <x:c r="M1288" s="12" t="n">
        <x:f>养成消耗调参!$F$167</x:f>
        <x:v>2100</x:v>
      </x:c>
      <x:c r="N1288" s="12" t="n">
        <x:f>养成消耗调参!$I$167</x:f>
        <x:v>70</x:v>
      </x:c>
      <x:c r="O1288" s="12" t="n">
        <x:f>养成消耗调参!$J$167</x:f>
        <x:v>4056</x:v>
      </x:c>
      <x:c r="P1288" s="12" t="n">
        <x:f>养成消耗调参!$M$167</x:f>
        <x:v>21900</x:v>
      </x:c>
      <x:c r="Q1288" s="12" t="n">
        <x:f>养成消耗调参!$P$167</x:f>
        <x:v>160</x:v>
      </x:c>
      <x:c r="R1288" s="13" t="n">
        <x:f>I1288/英雄升级调参!$G$85-1</x:f>
        <x:v>0</x:v>
      </x:c>
      <x:c r="S1288" s="6"/>
      <x:c r="T1288" s="6"/>
      <x:c r="U1288" s="6"/>
    </x:row>
    <x:row r="1289" ht="21" customHeight="1">
      <x:c r="A1289" s="14" t="n">
        <x:f>英雄升级调参!$B$26</x:f>
        <x:v>310009</x:v>
      </x:c>
      <x:c r="B1289" s="14" t="str">
        <x:f>英雄升级调参!$C$26</x:f>
        <x:v>海希</x:v>
      </x:c>
      <x:c r="C1289" s="6" t="str">
        <x:f>英雄升级调参!$D$26</x:f>
        <x:v>探险家</x:v>
      </x:c>
      <x:c r="D1289" s="6" t="s">
        <x:v>18</x:v>
      </x:c>
      <x:c r="E1289" s="6">
        <x:v>21</x:v>
      </x:c>
      <x:c r="F1289" s="6" t="n">
        <x:f>英雄升级调参!$C$86</x:f>
        <x:v>5</x:v>
      </x:c>
      <x:c r="G1289" s="12">
        <x:f t="shared" si="119"/>
        <x:v>978</x:v>
      </x:c>
      <x:c r="H1289" s="12">
        <x:f t="shared" si="120"/>
        <x:v>9780</x:v>
      </x:c>
      <x:c r="I1289" s="12">
        <x:f t="shared" si="121"/>
        <x:v>9564840</x:v>
      </x:c>
      <x:c r="J1289" s="12">
        <x:f>ROUND(英雄升级调参!$D$86*英雄升级调参!$J$9*英雄升级调参!$E$26,0)</x:f>
        <x:v>54</x:v>
      </x:c>
      <x:c r="K1289" s="12">
        <x:f>ROUND(英雄升级调参!$D$86*英雄升级调参!$C$11*英雄升级调参!$J$9*英雄升级调参!$G$26,0)</x:f>
        <x:v>540</x:v>
      </x:c>
      <x:c r="L1289" s="12" t="n">
        <x:f>养成消耗调参!$C$168</x:f>
        <x:v>432</x:v>
      </x:c>
      <x:c r="M1289" s="12" t="n">
        <x:f>养成消耗调参!$F$168</x:f>
        <x:v>2100</x:v>
      </x:c>
      <x:c r="N1289" s="12" t="n">
        <x:f>养成消耗调参!$I$168</x:f>
        <x:v>0</x:v>
      </x:c>
      <x:c r="O1289" s="12" t="n">
        <x:f>养成消耗调参!$J$168</x:f>
        <x:v>4488</x:v>
      </x:c>
      <x:c r="P1289" s="12" t="n">
        <x:f>养成消耗调参!$M$168</x:f>
        <x:v>24000</x:v>
      </x:c>
      <x:c r="Q1289" s="12" t="n">
        <x:f>养成消耗调参!$P$168</x:f>
        <x:v>160</x:v>
      </x:c>
      <x:c r="R1289" s="13" t="n">
        <x:f>I1289/英雄升级调参!$G$86-1</x:f>
        <x:v>0</x:v>
      </x:c>
      <x:c r="S1289" s="6"/>
      <x:c r="T1289" s="6"/>
      <x:c r="U1289" s="6"/>
    </x:row>
    <x:row r="1290" ht="21" customHeight="1">
      <x:c r="A1290" s="14" t="n">
        <x:f>英雄升级调参!$B$26</x:f>
        <x:v>310009</x:v>
      </x:c>
      <x:c r="B1290" s="14" t="str">
        <x:f>英雄升级调参!$C$26</x:f>
        <x:v>海希</x:v>
      </x:c>
      <x:c r="C1290" s="6" t="str">
        <x:f>英雄升级调参!$D$26</x:f>
        <x:v>探险家</x:v>
      </x:c>
      <x:c r="D1290" s="6" t="s">
        <x:v>18</x:v>
      </x:c>
      <x:c r="E1290" s="6">
        <x:v>22</x:v>
      </x:c>
      <x:c r="F1290" s="6" t="n">
        <x:f>英雄升级调参!$C$87</x:f>
        <x:v>5</x:v>
      </x:c>
      <x:c r="G1290" s="12">
        <x:f t="shared" si="119"/>
        <x:v>1032</x:v>
      </x:c>
      <x:c r="H1290" s="12">
        <x:f t="shared" si="120"/>
        <x:v>10320</x:v>
      </x:c>
      <x:c r="I1290" s="12">
        <x:f t="shared" si="121"/>
        <x:v>10650240</x:v>
      </x:c>
      <x:c r="J1290" s="12">
        <x:f>ROUND(英雄升级调参!$D$87*英雄升级调参!$J$9*英雄升级调参!$E$26,0)</x:f>
        <x:v>54</x:v>
      </x:c>
      <x:c r="K1290" s="12">
        <x:f>ROUND(英雄升级调参!$D$87*英雄升级调参!$C$11*英雄升级调参!$J$9*英雄升级调参!$G$26,0)</x:f>
        <x:v>540</x:v>
      </x:c>
      <x:c r="L1290" s="12" t="n">
        <x:f>养成消耗调参!$C$169</x:f>
        <x:v>480</x:v>
      </x:c>
      <x:c r="M1290" s="12" t="n">
        <x:f>养成消耗调参!$F$169</x:f>
        <x:v>3000</x:v>
      </x:c>
      <x:c r="N1290" s="12" t="n">
        <x:f>养成消耗调参!$I$169</x:f>
        <x:v>0</x:v>
      </x:c>
      <x:c r="O1290" s="12" t="n">
        <x:f>养成消耗调参!$J$169</x:f>
        <x:v>4968</x:v>
      </x:c>
      <x:c r="P1290" s="12" t="n">
        <x:f>养成消耗调参!$M$169</x:f>
        <x:v>27000</x:v>
      </x:c>
      <x:c r="Q1290" s="12" t="n">
        <x:f>养成消耗调参!$P$169</x:f>
        <x:v>160</x:v>
      </x:c>
      <x:c r="R1290" s="13" t="n">
        <x:f>I1290/英雄升级调参!$G$87-1</x:f>
        <x:v>0</x:v>
      </x:c>
      <x:c r="S1290" s="6"/>
      <x:c r="T1290" s="6"/>
      <x:c r="U1290" s="6"/>
    </x:row>
    <x:row r="1291" ht="21" customHeight="1">
      <x:c r="A1291" s="14" t="n">
        <x:f>英雄升级调参!$B$26</x:f>
        <x:v>310009</x:v>
      </x:c>
      <x:c r="B1291" s="14" t="str">
        <x:f>英雄升级调参!$C$26</x:f>
        <x:v>海希</x:v>
      </x:c>
      <x:c r="C1291" s="6" t="str">
        <x:f>英雄升级调参!$D$26</x:f>
        <x:v>探险家</x:v>
      </x:c>
      <x:c r="D1291" s="6" t="s">
        <x:v>18</x:v>
      </x:c>
      <x:c r="E1291" s="6">
        <x:v>23</x:v>
      </x:c>
      <x:c r="F1291" s="6" t="n">
        <x:f>英雄升级调参!$C$88</x:f>
        <x:v>5</x:v>
      </x:c>
      <x:c r="G1291" s="12">
        <x:f t="shared" si="119"/>
        <x:v>1086</x:v>
      </x:c>
      <x:c r="H1291" s="12">
        <x:f t="shared" si="120"/>
        <x:v>10860</x:v>
      </x:c>
      <x:c r="I1291" s="12">
        <x:f t="shared" si="121"/>
        <x:v>11793960</x:v>
      </x:c>
      <x:c r="J1291" s="12">
        <x:f>ROUND(英雄升级调参!$D$88*英雄升级调参!$J$9*英雄升级调参!$E$26,0)</x:f>
        <x:v>54</x:v>
      </x:c>
      <x:c r="K1291" s="12">
        <x:f>ROUND(英雄升级调参!$D$88*英雄升级调参!$C$11*英雄升级调参!$J$9*英雄升级调参!$G$26,0)</x:f>
        <x:v>540</x:v>
      </x:c>
      <x:c r="L1291" s="12" t="n">
        <x:f>养成消耗调参!$C$170</x:f>
        <x:v>480</x:v>
      </x:c>
      <x:c r="M1291" s="12" t="n">
        <x:f>养成消耗调参!$F$170</x:f>
        <x:v>3000</x:v>
      </x:c>
      <x:c r="N1291" s="12" t="n">
        <x:f>养成消耗调参!$I$170</x:f>
        <x:v>0</x:v>
      </x:c>
      <x:c r="O1291" s="12" t="n">
        <x:f>养成消耗调参!$J$170</x:f>
        <x:v>5448</x:v>
      </x:c>
      <x:c r="P1291" s="12" t="n">
        <x:f>养成消耗调参!$M$170</x:f>
        <x:v>30000</x:v>
      </x:c>
      <x:c r="Q1291" s="12" t="n">
        <x:f>养成消耗调参!$P$170</x:f>
        <x:v>160</x:v>
      </x:c>
      <x:c r="R1291" s="13" t="n">
        <x:f>I1291/英雄升级调参!$G$88-1</x:f>
        <x:v>0</x:v>
      </x:c>
      <x:c r="S1291" s="6"/>
      <x:c r="T1291" s="6"/>
      <x:c r="U1291" s="6"/>
    </x:row>
    <x:row r="1292" ht="21" customHeight="1">
      <x:c r="A1292" s="14" t="n">
        <x:f>英雄升级调参!$B$26</x:f>
        <x:v>310009</x:v>
      </x:c>
      <x:c r="B1292" s="14" t="str">
        <x:f>英雄升级调参!$C$26</x:f>
        <x:v>海希</x:v>
      </x:c>
      <x:c r="C1292" s="6" t="str">
        <x:f>英雄升级调参!$D$26</x:f>
        <x:v>探险家</x:v>
      </x:c>
      <x:c r="D1292" s="6" t="s">
        <x:v>18</x:v>
      </x:c>
      <x:c r="E1292" s="6">
        <x:v>24</x:v>
      </x:c>
      <x:c r="F1292" s="6" t="n">
        <x:f>英雄升级调参!$C$89</x:f>
        <x:v>5</x:v>
      </x:c>
      <x:c r="G1292" s="12">
        <x:f t="shared" si="119"/>
        <x:v>1140</x:v>
      </x:c>
      <x:c r="H1292" s="12">
        <x:f t="shared" si="120"/>
        <x:v>11400</x:v>
      </x:c>
      <x:c r="I1292" s="12">
        <x:f t="shared" si="121"/>
        <x:v>12996000</x:v>
      </x:c>
      <x:c r="J1292" s="12">
        <x:f>ROUND(英雄升级调参!$D$89*英雄升级调参!$J$9*英雄升级调参!$E$26,0)</x:f>
        <x:v>54</x:v>
      </x:c>
      <x:c r="K1292" s="12">
        <x:f>ROUND(英雄升级调参!$D$89*英雄升级调参!$C$11*英雄升级调参!$J$9*英雄升级调参!$G$26,0)</x:f>
        <x:v>540</x:v>
      </x:c>
      <x:c r="L1292" s="12" t="n">
        <x:f>养成消耗调参!$C$171</x:f>
        <x:v>528</x:v>
      </x:c>
      <x:c r="M1292" s="12" t="n">
        <x:f>养成消耗调参!$F$171</x:f>
        <x:v>3000</x:v>
      </x:c>
      <x:c r="N1292" s="12" t="n">
        <x:f>养成消耗调参!$I$171</x:f>
        <x:v>0</x:v>
      </x:c>
      <x:c r="O1292" s="12" t="n">
        <x:f>养成消耗调参!$J$171</x:f>
        <x:v>5976</x:v>
      </x:c>
      <x:c r="P1292" s="12" t="n">
        <x:f>养成消耗调参!$M$171</x:f>
        <x:v>33000</x:v>
      </x:c>
      <x:c r="Q1292" s="12" t="n">
        <x:f>养成消耗调参!$P$171</x:f>
        <x:v>160</x:v>
      </x:c>
      <x:c r="R1292" s="13" t="n">
        <x:f>I1292/英雄升级调参!$G$89-1</x:f>
        <x:v>0</x:v>
      </x:c>
      <x:c r="S1292" s="6"/>
      <x:c r="T1292" s="6"/>
      <x:c r="U1292" s="6"/>
    </x:row>
    <x:row r="1293" ht="21" customHeight="1">
      <x:c r="A1293" s="14" t="n">
        <x:f>英雄升级调参!$B$26</x:f>
        <x:v>310009</x:v>
      </x:c>
      <x:c r="B1293" s="14" t="str">
        <x:f>英雄升级调参!$C$26</x:f>
        <x:v>海希</x:v>
      </x:c>
      <x:c r="C1293" s="6" t="str">
        <x:f>英雄升级调参!$D$26</x:f>
        <x:v>探险家</x:v>
      </x:c>
      <x:c r="D1293" s="6" t="s">
        <x:v>18</x:v>
      </x:c>
      <x:c r="E1293" s="6">
        <x:v>25</x:v>
      </x:c>
      <x:c r="F1293" s="6" t="n">
        <x:f>英雄升级调参!$C$90</x:f>
        <x:v>5</x:v>
      </x:c>
      <x:c r="G1293" s="12">
        <x:f t="shared" si="119"/>
        <x:v>1302</x:v>
      </x:c>
      <x:c r="H1293" s="12">
        <x:f t="shared" si="120"/>
        <x:v>13020</x:v>
      </x:c>
      <x:c r="I1293" s="12">
        <x:f t="shared" si="121"/>
        <x:v>16952040</x:v>
      </x:c>
      <x:c r="J1293" s="12">
        <x:f>ROUND(英雄升级调参!$D$90*英雄升级调参!$J$9*英雄升级调参!$E$26,0)*3</x:f>
        <x:v>162</x:v>
      </x:c>
      <x:c r="K1293" s="12">
        <x:f>ROUND(英雄升级调参!$D$90*英雄升级调参!$C$11*英雄升级调参!$J$9*英雄升级调参!$G$26,0)*3</x:f>
        <x:v>1620</x:v>
      </x:c>
      <x:c r="L1293" s="12" t="n">
        <x:f>养成消耗调参!$C$172</x:f>
        <x:v>528</x:v>
      </x:c>
      <x:c r="M1293" s="12" t="n">
        <x:f>养成消耗调参!$F$172</x:f>
        <x:v>3000</x:v>
      </x:c>
      <x:c r="N1293" s="12" t="n">
        <x:f>养成消耗调参!$I$172</x:f>
        <x:v>90</x:v>
      </x:c>
      <x:c r="O1293" s="12" t="n">
        <x:f>养成消耗调参!$J$172</x:f>
        <x:v>6504</x:v>
      </x:c>
      <x:c r="P1293" s="12" t="n">
        <x:f>养成消耗调参!$M$172</x:f>
        <x:v>36000</x:v>
      </x:c>
      <x:c r="Q1293" s="12" t="n">
        <x:f>养成消耗调参!$P$172</x:f>
        <x:v>250</x:v>
      </x:c>
      <x:c r="R1293" s="13" t="n">
        <x:f>I1293/英雄升级调参!$G$90-1</x:f>
        <x:v>0</x:v>
      </x:c>
      <x:c r="S1293" s="6"/>
      <x:c r="T1293" s="6"/>
      <x:c r="U1293" s="6"/>
    </x:row>
    <x:row r="1294" ht="21" customHeight="1">
      <x:c r="A1294" s="14" t="n">
        <x:f>英雄升级调参!$B$26</x:f>
        <x:v>310009</x:v>
      </x:c>
      <x:c r="B1294" s="14" t="str">
        <x:f>英雄升级调参!$C$26</x:f>
        <x:v>海希</x:v>
      </x:c>
      <x:c r="C1294" s="6" t="str">
        <x:f>英雄升级调参!$D$26</x:f>
        <x:v>探险家</x:v>
      </x:c>
      <x:c r="D1294" s="6" t="s">
        <x:v>18</x:v>
      </x:c>
      <x:c r="E1294" s="6">
        <x:v>26</x:v>
      </x:c>
      <x:c r="F1294" s="6" t="n">
        <x:f>英雄升级调参!$C$91</x:f>
        <x:v>6</x:v>
      </x:c>
      <x:c r="G1294" s="12">
        <x:f t="shared" si="119"/>
        <x:v>1365</x:v>
      </x:c>
      <x:c r="H1294" s="12">
        <x:f t="shared" si="120"/>
        <x:v>13650</x:v>
      </x:c>
      <x:c r="I1294" s="12">
        <x:f t="shared" si="121"/>
        <x:v>18632250</x:v>
      </x:c>
      <x:c r="J1294" s="12">
        <x:f>ROUND(英雄升级调参!$D$91*英雄升级调参!$J$9*英雄升级调参!$E$26,0)</x:f>
        <x:v>63</x:v>
      </x:c>
      <x:c r="K1294" s="12">
        <x:f>ROUND(英雄升级调参!$D$91*英雄升级调参!$C$11*英雄升级调参!$J$9*英雄升级调参!$G$26,0)</x:f>
        <x:v>630</x:v>
      </x:c>
      <x:c r="L1294" s="12" t="n">
        <x:f>养成消耗调参!$C$173</x:f>
        <x:v>576</x:v>
      </x:c>
      <x:c r="M1294" s="12" t="n">
        <x:f>养成消耗调参!$F$173</x:f>
        <x:v>3000</x:v>
      </x:c>
      <x:c r="N1294" s="12" t="n">
        <x:f>养成消耗调参!$I$173</x:f>
        <x:v>0</x:v>
      </x:c>
      <x:c r="O1294" s="12" t="n">
        <x:f>养成消耗调参!$J$173</x:f>
        <x:v>7080</x:v>
      </x:c>
      <x:c r="P1294" s="12" t="n">
        <x:f>养成消耗调参!$M$173</x:f>
        <x:v>39000</x:v>
      </x:c>
      <x:c r="Q1294" s="12" t="n">
        <x:f>养成消耗调参!$P$173</x:f>
        <x:v>250</x:v>
      </x:c>
      <x:c r="R1294" s="13" t="n">
        <x:f>I1294/英雄升级调参!$G$91-1</x:f>
        <x:v>0</x:v>
      </x:c>
      <x:c r="S1294" s="6"/>
      <x:c r="T1294" s="6"/>
      <x:c r="U1294" s="6"/>
    </x:row>
    <x:row r="1295" ht="21" customHeight="1">
      <x:c r="A1295" s="14" t="n">
        <x:f>英雄升级调参!$B$26</x:f>
        <x:v>310009</x:v>
      </x:c>
      <x:c r="B1295" s="14" t="str">
        <x:f>英雄升级调参!$C$26</x:f>
        <x:v>海希</x:v>
      </x:c>
      <x:c r="C1295" s="6" t="str">
        <x:f>英雄升级调参!$D$26</x:f>
        <x:v>探险家</x:v>
      </x:c>
      <x:c r="D1295" s="6" t="s">
        <x:v>18</x:v>
      </x:c>
      <x:c r="E1295" s="6">
        <x:v>27</x:v>
      </x:c>
      <x:c r="F1295" s="6" t="n">
        <x:f>英雄升级调参!$C$92</x:f>
        <x:v>6</x:v>
      </x:c>
      <x:c r="G1295" s="12">
        <x:f t="shared" si="119"/>
        <x:v>1428</x:v>
      </x:c>
      <x:c r="H1295" s="12">
        <x:f t="shared" si="120"/>
        <x:v>14280</x:v>
      </x:c>
      <x:c r="I1295" s="12">
        <x:f t="shared" si="121"/>
        <x:v>20391840</x:v>
      </x:c>
      <x:c r="J1295" s="12">
        <x:f>ROUND(英雄升级调参!$D$92*英雄升级调参!$J$9*英雄升级调参!$E$26,0)</x:f>
        <x:v>63</x:v>
      </x:c>
      <x:c r="K1295" s="12">
        <x:f>ROUND(英雄升级调参!$D$92*英雄升级调参!$C$11*英雄升级调参!$J$9*英雄升级调参!$G$26,0)</x:f>
        <x:v>630</x:v>
      </x:c>
      <x:c r="L1295" s="12" t="n">
        <x:f>养成消耗调参!$C$174</x:f>
        <x:v>576</x:v>
      </x:c>
      <x:c r="M1295" s="12" t="n">
        <x:f>养成消耗调参!$F$174</x:f>
        <x:v>3900</x:v>
      </x:c>
      <x:c r="N1295" s="12" t="n">
        <x:f>养成消耗调参!$I$174</x:f>
        <x:v>0</x:v>
      </x:c>
      <x:c r="O1295" s="12" t="n">
        <x:f>养成消耗调参!$J$174</x:f>
        <x:v>7656</x:v>
      </x:c>
      <x:c r="P1295" s="12" t="n">
        <x:f>养成消耗调参!$M$174</x:f>
        <x:v>42900</x:v>
      </x:c>
      <x:c r="Q1295" s="12" t="n">
        <x:f>养成消耗调参!$P$174</x:f>
        <x:v>250</x:v>
      </x:c>
      <x:c r="R1295" s="13" t="n">
        <x:f>I1295/英雄升级调参!$G$92-1</x:f>
        <x:v>0</x:v>
      </x:c>
      <x:c r="S1295" s="6"/>
      <x:c r="T1295" s="6"/>
      <x:c r="U1295" s="6"/>
    </x:row>
    <x:row r="1296" ht="21" customHeight="1">
      <x:c r="A1296" s="14" t="n">
        <x:f>英雄升级调参!$B$26</x:f>
        <x:v>310009</x:v>
      </x:c>
      <x:c r="B1296" s="14" t="str">
        <x:f>英雄升级调参!$C$26</x:f>
        <x:v>海希</x:v>
      </x:c>
      <x:c r="C1296" s="6" t="str">
        <x:f>英雄升级调参!$D$26</x:f>
        <x:v>探险家</x:v>
      </x:c>
      <x:c r="D1296" s="6" t="s">
        <x:v>18</x:v>
      </x:c>
      <x:c r="E1296" s="6">
        <x:v>28</x:v>
      </x:c>
      <x:c r="F1296" s="6" t="n">
        <x:f>英雄升级调参!$C$93</x:f>
        <x:v>6</x:v>
      </x:c>
      <x:c r="G1296" s="12">
        <x:f t="shared" si="119"/>
        <x:v>1491</x:v>
      </x:c>
      <x:c r="H1296" s="12">
        <x:f t="shared" si="120"/>
        <x:v>14910</x:v>
      </x:c>
      <x:c r="I1296" s="12">
        <x:f t="shared" si="121"/>
        <x:v>22230810</x:v>
      </x:c>
      <x:c r="J1296" s="12">
        <x:f>ROUND(英雄升级调参!$D$93*英雄升级调参!$J$9*英雄升级调参!$E$26,0)</x:f>
        <x:v>63</x:v>
      </x:c>
      <x:c r="K1296" s="12">
        <x:f>ROUND(英雄升级调参!$D$93*英雄升级调参!$C$11*英雄升级调参!$J$9*英雄升级调参!$G$26,0)</x:f>
        <x:v>630</x:v>
      </x:c>
      <x:c r="L1296" s="12" t="n">
        <x:f>养成消耗调参!$C$175</x:f>
        <x:v>624</x:v>
      </x:c>
      <x:c r="M1296" s="12" t="n">
        <x:f>养成消耗调参!$F$175</x:f>
        <x:v>3900</x:v>
      </x:c>
      <x:c r="N1296" s="12" t="n">
        <x:f>养成消耗调参!$I$175</x:f>
        <x:v>0</x:v>
      </x:c>
      <x:c r="O1296" s="12" t="n">
        <x:f>养成消耗调参!$J$175</x:f>
        <x:v>8280</x:v>
      </x:c>
      <x:c r="P1296" s="12" t="n">
        <x:f>养成消耗调参!$M$175</x:f>
        <x:v>46800</x:v>
      </x:c>
      <x:c r="Q1296" s="12" t="n">
        <x:f>养成消耗调参!$P$175</x:f>
        <x:v>250</x:v>
      </x:c>
      <x:c r="R1296" s="13" t="n">
        <x:f>I1296/英雄升级调参!$G$93-1</x:f>
        <x:v>0</x:v>
      </x:c>
      <x:c r="S1296" s="6"/>
      <x:c r="T1296" s="6"/>
      <x:c r="U1296" s="6"/>
    </x:row>
    <x:row r="1297" ht="21" customHeight="1">
      <x:c r="A1297" s="14" t="n">
        <x:f>英雄升级调参!$B$26</x:f>
        <x:v>310009</x:v>
      </x:c>
      <x:c r="B1297" s="14" t="str">
        <x:f>英雄升级调参!$C$26</x:f>
        <x:v>海希</x:v>
      </x:c>
      <x:c r="C1297" s="6" t="str">
        <x:f>英雄升级调参!$D$26</x:f>
        <x:v>探险家</x:v>
      </x:c>
      <x:c r="D1297" s="6" t="s">
        <x:v>18</x:v>
      </x:c>
      <x:c r="E1297" s="6">
        <x:v>29</x:v>
      </x:c>
      <x:c r="F1297" s="6" t="n">
        <x:f>英雄升级调参!$C$94</x:f>
        <x:v>6</x:v>
      </x:c>
      <x:c r="G1297" s="12">
        <x:f t="shared" si="119"/>
        <x:v>1554</x:v>
      </x:c>
      <x:c r="H1297" s="12">
        <x:f t="shared" si="120"/>
        <x:v>15540</x:v>
      </x:c>
      <x:c r="I1297" s="12">
        <x:f t="shared" si="121"/>
        <x:v>24149160</x:v>
      </x:c>
      <x:c r="J1297" s="12">
        <x:f>ROUND(英雄升级调参!$D$94*英雄升级调参!$J$9*英雄升级调参!$E$26,0)</x:f>
        <x:v>63</x:v>
      </x:c>
      <x:c r="K1297" s="12">
        <x:f>ROUND(英雄升级调参!$D$94*英雄升级调参!$C$11*英雄升级调参!$J$9*英雄升级调参!$G$26,0)</x:f>
        <x:v>630</x:v>
      </x:c>
      <x:c r="L1297" s="12" t="n">
        <x:f>养成消耗调参!$C$176</x:f>
        <x:v>624</x:v>
      </x:c>
      <x:c r="M1297" s="12" t="n">
        <x:f>养成消耗调参!$F$176</x:f>
        <x:v>3900</x:v>
      </x:c>
      <x:c r="N1297" s="12" t="n">
        <x:f>养成消耗调参!$I$176</x:f>
        <x:v>0</x:v>
      </x:c>
      <x:c r="O1297" s="12" t="n">
        <x:f>养成消耗调参!$J$176</x:f>
        <x:v>8904</x:v>
      </x:c>
      <x:c r="P1297" s="12" t="n">
        <x:f>养成消耗调参!$M$176</x:f>
        <x:v>50700</x:v>
      </x:c>
      <x:c r="Q1297" s="12" t="n">
        <x:f>养成消耗调参!$P$176</x:f>
        <x:v>250</x:v>
      </x:c>
      <x:c r="R1297" s="13" t="n">
        <x:f>I1297/英雄升级调参!$G$94-1</x:f>
        <x:v>0</x:v>
      </x:c>
      <x:c r="S1297" s="6"/>
      <x:c r="T1297" s="6"/>
      <x:c r="U1297" s="6"/>
    </x:row>
    <x:row r="1298" ht="21" customHeight="1">
      <x:c r="A1298" s="14" t="n">
        <x:f>英雄升级调参!$B$26</x:f>
        <x:v>310009</x:v>
      </x:c>
      <x:c r="B1298" s="14" t="str">
        <x:f>英雄升级调参!$C$26</x:f>
        <x:v>海希</x:v>
      </x:c>
      <x:c r="C1298" s="6" t="str">
        <x:f>英雄升级调参!$D$26</x:f>
        <x:v>探险家</x:v>
      </x:c>
      <x:c r="D1298" s="6" t="s">
        <x:v>18</x:v>
      </x:c>
      <x:c r="E1298" s="6">
        <x:v>30</x:v>
      </x:c>
      <x:c r="F1298" s="6" t="n">
        <x:f>英雄升级调参!$C$95</x:f>
        <x:v>6</x:v>
      </x:c>
      <x:c r="G1298" s="12">
        <x:f t="shared" si="119"/>
        <x:v>1743</x:v>
      </x:c>
      <x:c r="H1298" s="12">
        <x:f t="shared" si="120"/>
        <x:v>17430</x:v>
      </x:c>
      <x:c r="I1298" s="12">
        <x:f t="shared" si="121"/>
        <x:v>30380490</x:v>
      </x:c>
      <x:c r="J1298" s="12">
        <x:f>ROUND(英雄升级调参!$D$95*英雄升级调参!$J$9*英雄升级调参!$E$26,0)*3</x:f>
        <x:v>189</x:v>
      </x:c>
      <x:c r="K1298" s="12">
        <x:f>ROUND(英雄升级调参!$D$95*英雄升级调参!$C$11*英雄升级调参!$J$9*英雄升级调参!$G$26,0)*3</x:f>
        <x:v>1890</x:v>
      </x:c>
      <x:c r="L1298" s="12" t="n">
        <x:f>养成消耗调参!$C$177</x:f>
        <x:v>672</x:v>
      </x:c>
      <x:c r="M1298" s="12" t="n">
        <x:f>养成消耗调参!$F$177</x:f>
        <x:v>3900</x:v>
      </x:c>
      <x:c r="N1298" s="12" t="n">
        <x:f>养成消耗调参!$I$177</x:f>
        <x:v>110</x:v>
      </x:c>
      <x:c r="O1298" s="12" t="n">
        <x:f>养成消耗调参!$J$177</x:f>
        <x:v>9576</x:v>
      </x:c>
      <x:c r="P1298" s="12" t="n">
        <x:f>养成消耗调参!$M$177</x:f>
        <x:v>54600</x:v>
      </x:c>
      <x:c r="Q1298" s="12" t="n">
        <x:f>养成消耗调参!$P$177</x:f>
        <x:v>360</x:v>
      </x:c>
      <x:c r="R1298" s="13" t="n">
        <x:f>I1298/英雄升级调参!$G$95-1</x:f>
        <x:v>0</x:v>
      </x:c>
      <x:c r="S1298" s="6"/>
      <x:c r="T1298" s="6"/>
      <x:c r="U1298" s="6"/>
    </x:row>
    <x:row r="1299" ht="21" customHeight="1">
      <x:c r="A1299" s="14" t="n">
        <x:f>英雄升级调参!$B$26</x:f>
        <x:v>310009</x:v>
      </x:c>
      <x:c r="B1299" s="14" t="str">
        <x:f>英雄升级调参!$C$26</x:f>
        <x:v>海希</x:v>
      </x:c>
      <x:c r="C1299" s="6" t="str">
        <x:f>英雄升级调参!$D$26</x:f>
        <x:v>探险家</x:v>
      </x:c>
      <x:c r="D1299" s="6" t="s">
        <x:v>18</x:v>
      </x:c>
      <x:c r="E1299" s="6">
        <x:v>31</x:v>
      </x:c>
      <x:c r="F1299" s="6" t="n">
        <x:f>英雄升级调参!$C$96</x:f>
        <x:v>7</x:v>
      </x:c>
      <x:c r="G1299" s="12">
        <x:f t="shared" si="119"/>
        <x:v>1815</x:v>
      </x:c>
      <x:c r="H1299" s="12">
        <x:f t="shared" si="120"/>
        <x:v>18150</x:v>
      </x:c>
      <x:c r="I1299" s="12">
        <x:f t="shared" si="121"/>
        <x:v>32942250</x:v>
      </x:c>
      <x:c r="J1299" s="12">
        <x:f>ROUND(英雄升级调参!$D$96*英雄升级调参!$J$9*英雄升级调参!$E$26,0)</x:f>
        <x:v>72</x:v>
      </x:c>
      <x:c r="K1299" s="12">
        <x:f>ROUND(英雄升级调参!$D$96*英雄升级调参!$C$11*英雄升级调参!$J$9*英雄升级调参!$G$26,0)</x:f>
        <x:v>720</x:v>
      </x:c>
      <x:c r="L1299" s="12" t="n">
        <x:f>养成消耗调参!$C$178</x:f>
        <x:v>672</x:v>
      </x:c>
      <x:c r="M1299" s="12" t="n">
        <x:f>养成消耗调参!$F$178</x:f>
        <x:v>3900</x:v>
      </x:c>
      <x:c r="N1299" s="12" t="n">
        <x:f>养成消耗调参!$I$178</x:f>
        <x:v>0</x:v>
      </x:c>
      <x:c r="O1299" s="12" t="n">
        <x:f>养成消耗调参!$J$178</x:f>
        <x:v>10248</x:v>
      </x:c>
      <x:c r="P1299" s="12" t="n">
        <x:f>养成消耗调参!$M$178</x:f>
        <x:v>58500</x:v>
      </x:c>
      <x:c r="Q1299" s="12" t="n">
        <x:f>养成消耗调参!$P$178</x:f>
        <x:v>360</x:v>
      </x:c>
      <x:c r="R1299" s="13" t="n">
        <x:f>I1299/英雄升级调参!$G$96-1</x:f>
        <x:v>0</x:v>
      </x:c>
      <x:c r="S1299" s="6"/>
      <x:c r="T1299" s="6"/>
      <x:c r="U1299" s="6"/>
    </x:row>
    <x:row r="1300" ht="21" customHeight="1">
      <x:c r="A1300" s="14" t="n">
        <x:f>英雄升级调参!$B$26</x:f>
        <x:v>310009</x:v>
      </x:c>
      <x:c r="B1300" s="14" t="str">
        <x:f>英雄升级调参!$C$26</x:f>
        <x:v>海希</x:v>
      </x:c>
      <x:c r="C1300" s="6" t="str">
        <x:f>英雄升级调参!$D$26</x:f>
        <x:v>探险家</x:v>
      </x:c>
      <x:c r="D1300" s="6" t="s">
        <x:v>18</x:v>
      </x:c>
      <x:c r="E1300" s="6">
        <x:v>32</x:v>
      </x:c>
      <x:c r="F1300" s="6" t="n">
        <x:f>英雄升级调参!$C$97</x:f>
        <x:v>7</x:v>
      </x:c>
      <x:c r="G1300" s="12">
        <x:f t="shared" si="119"/>
        <x:v>1887</x:v>
      </x:c>
      <x:c r="H1300" s="12">
        <x:f t="shared" si="120"/>
        <x:v>18870</x:v>
      </x:c>
      <x:c r="I1300" s="12">
        <x:f t="shared" si="121"/>
        <x:v>35607690</x:v>
      </x:c>
      <x:c r="J1300" s="12">
        <x:f>ROUND(英雄升级调参!$D$97*英雄升级调参!$J$9*英雄升级调参!$E$26,0)</x:f>
        <x:v>72</x:v>
      </x:c>
      <x:c r="K1300" s="12">
        <x:f>ROUND(英雄升级调参!$D$97*英雄升级调参!$C$11*英雄升级调参!$J$9*英雄升级调参!$G$26,0)</x:f>
        <x:v>720</x:v>
      </x:c>
      <x:c r="L1300" s="12" t="n">
        <x:f>养成消耗调参!$C$179</x:f>
        <x:v>720</x:v>
      </x:c>
      <x:c r="M1300" s="12" t="n">
        <x:f>养成消耗调参!$F$179</x:f>
        <x:v>4800</x:v>
      </x:c>
      <x:c r="N1300" s="12" t="n">
        <x:f>养成消耗调参!$I$179</x:f>
        <x:v>0</x:v>
      </x:c>
      <x:c r="O1300" s="12" t="n">
        <x:f>养成消耗调参!$J$179</x:f>
        <x:v>10968</x:v>
      </x:c>
      <x:c r="P1300" s="12" t="n">
        <x:f>养成消耗调参!$M$179</x:f>
        <x:v>63300</x:v>
      </x:c>
      <x:c r="Q1300" s="12" t="n">
        <x:f>养成消耗调参!$P$179</x:f>
        <x:v>360</x:v>
      </x:c>
      <x:c r="R1300" s="13" t="n">
        <x:f>I1300/英雄升级调参!$G$97-1</x:f>
        <x:v>0</x:v>
      </x:c>
      <x:c r="S1300" s="6"/>
      <x:c r="T1300" s="6"/>
      <x:c r="U1300" s="6"/>
    </x:row>
    <x:row r="1301" ht="21" customHeight="1">
      <x:c r="A1301" s="14" t="n">
        <x:f>英雄升级调参!$B$26</x:f>
        <x:v>310009</x:v>
      </x:c>
      <x:c r="B1301" s="14" t="str">
        <x:f>英雄升级调参!$C$26</x:f>
        <x:v>海希</x:v>
      </x:c>
      <x:c r="C1301" s="6" t="str">
        <x:f>英雄升级调参!$D$26</x:f>
        <x:v>探险家</x:v>
      </x:c>
      <x:c r="D1301" s="6" t="s">
        <x:v>18</x:v>
      </x:c>
      <x:c r="E1301" s="6">
        <x:v>33</x:v>
      </x:c>
      <x:c r="F1301" s="6" t="n">
        <x:f>英雄升级调参!$C$98</x:f>
        <x:v>7</x:v>
      </x:c>
      <x:c r="G1301" s="12">
        <x:f t="shared" si="119"/>
        <x:v>1959</x:v>
      </x:c>
      <x:c r="H1301" s="12">
        <x:f t="shared" si="120"/>
        <x:v>19590</x:v>
      </x:c>
      <x:c r="I1301" s="12">
        <x:f t="shared" si="121"/>
        <x:v>38376810</x:v>
      </x:c>
      <x:c r="J1301" s="12">
        <x:f>ROUND(英雄升级调参!$D$98*英雄升级调参!$J$9*英雄升级调参!$E$26,0)</x:f>
        <x:v>72</x:v>
      </x:c>
      <x:c r="K1301" s="12">
        <x:f>ROUND(英雄升级调参!$D$98*英雄升级调参!$C$11*英雄升级调参!$J$9*英雄升级调参!$G$26,0)</x:f>
        <x:v>720</x:v>
      </x:c>
      <x:c r="L1301" s="12" t="n">
        <x:f>养成消耗调参!$C$180</x:f>
        <x:v>720</x:v>
      </x:c>
      <x:c r="M1301" s="12" t="n">
        <x:f>养成消耗调参!$F$180</x:f>
        <x:v>4800</x:v>
      </x:c>
      <x:c r="N1301" s="12" t="n">
        <x:f>养成消耗调参!$I$180</x:f>
        <x:v>0</x:v>
      </x:c>
      <x:c r="O1301" s="12" t="n">
        <x:f>养成消耗调参!$J$180</x:f>
        <x:v>11688</x:v>
      </x:c>
      <x:c r="P1301" s="12" t="n">
        <x:f>养成消耗调参!$M$180</x:f>
        <x:v>68100</x:v>
      </x:c>
      <x:c r="Q1301" s="12" t="n">
        <x:f>养成消耗调参!$P$180</x:f>
        <x:v>360</x:v>
      </x:c>
      <x:c r="R1301" s="13" t="n">
        <x:f>I1301/英雄升级调参!$G$98-1</x:f>
        <x:v>0</x:v>
      </x:c>
      <x:c r="S1301" s="6"/>
      <x:c r="T1301" s="6"/>
      <x:c r="U1301" s="6"/>
    </x:row>
    <x:row r="1302" ht="21" customHeight="1">
      <x:c r="A1302" s="14" t="n">
        <x:f>英雄升级调参!$B$26</x:f>
        <x:v>310009</x:v>
      </x:c>
      <x:c r="B1302" s="14" t="str">
        <x:f>英雄升级调参!$C$26</x:f>
        <x:v>海希</x:v>
      </x:c>
      <x:c r="C1302" s="6" t="str">
        <x:f>英雄升级调参!$D$26</x:f>
        <x:v>探险家</x:v>
      </x:c>
      <x:c r="D1302" s="6" t="s">
        <x:v>18</x:v>
      </x:c>
      <x:c r="E1302" s="6">
        <x:v>34</x:v>
      </x:c>
      <x:c r="F1302" s="6" t="n">
        <x:f>英雄升级调参!$C$99</x:f>
        <x:v>7</x:v>
      </x:c>
      <x:c r="G1302" s="12">
        <x:f t="shared" ref="G1302:G1318" si="122">G1301+J1302</x:f>
        <x:v>2031</x:v>
      </x:c>
      <x:c r="H1302" s="12">
        <x:f t="shared" ref="H1302:H1318" si="123">H1301+K1302</x:f>
        <x:v>20310</x:v>
      </x:c>
      <x:c r="I1302" s="12">
        <x:f t="shared" si="121"/>
        <x:v>41249610</x:v>
      </x:c>
      <x:c r="J1302" s="12">
        <x:f>ROUND(英雄升级调参!$D$99*英雄升级调参!$J$9*英雄升级调参!$E$26,0)</x:f>
        <x:v>72</x:v>
      </x:c>
      <x:c r="K1302" s="12">
        <x:f>ROUND(英雄升级调参!$D$99*英雄升级调参!$C$11*英雄升级调参!$J$9*英雄升级调参!$G$26,0)</x:f>
        <x:v>720</x:v>
      </x:c>
      <x:c r="L1302" s="12" t="n">
        <x:f>养成消耗调参!$C$181</x:f>
        <x:v>768</x:v>
      </x:c>
      <x:c r="M1302" s="12" t="n">
        <x:f>养成消耗调参!$F$181</x:f>
        <x:v>4800</x:v>
      </x:c>
      <x:c r="N1302" s="12" t="n">
        <x:f>养成消耗调参!$I$181</x:f>
        <x:v>0</x:v>
      </x:c>
      <x:c r="O1302" s="12" t="n">
        <x:f>养成消耗调参!$J$181</x:f>
        <x:v>12456</x:v>
      </x:c>
      <x:c r="P1302" s="12" t="n">
        <x:f>养成消耗调参!$M$181</x:f>
        <x:v>72900</x:v>
      </x:c>
      <x:c r="Q1302" s="12" t="n">
        <x:f>养成消耗调参!$P$181</x:f>
        <x:v>360</x:v>
      </x:c>
      <x:c r="R1302" s="13" t="n">
        <x:f>I1302/英雄升级调参!$G$99-1</x:f>
        <x:v>0</x:v>
      </x:c>
      <x:c r="S1302" s="6"/>
      <x:c r="T1302" s="6"/>
      <x:c r="U1302" s="6"/>
    </x:row>
    <x:row r="1303" ht="21" customHeight="1">
      <x:c r="A1303" s="14" t="n">
        <x:f>英雄升级调参!$B$26</x:f>
        <x:v>310009</x:v>
      </x:c>
      <x:c r="B1303" s="14" t="str">
        <x:f>英雄升级调参!$C$26</x:f>
        <x:v>海希</x:v>
      </x:c>
      <x:c r="C1303" s="6" t="str">
        <x:f>英雄升级调参!$D$26</x:f>
        <x:v>探险家</x:v>
      </x:c>
      <x:c r="D1303" s="6" t="s">
        <x:v>18</x:v>
      </x:c>
      <x:c r="E1303" s="6">
        <x:v>35</x:v>
      </x:c>
      <x:c r="F1303" s="6" t="n">
        <x:f>英雄升级调参!$C$100</x:f>
        <x:v>7</x:v>
      </x:c>
      <x:c r="G1303" s="12">
        <x:f t="shared" si="122"/>
        <x:v>2247</x:v>
      </x:c>
      <x:c r="H1303" s="12">
        <x:f t="shared" si="123"/>
        <x:v>22470</x:v>
      </x:c>
      <x:c r="I1303" s="12">
        <x:f t="shared" si="121"/>
        <x:v>50490090</x:v>
      </x:c>
      <x:c r="J1303" s="12">
        <x:f>ROUND(英雄升级调参!$D$100*英雄升级调参!$J$9*英雄升级调参!$E$26,0)*3</x:f>
        <x:v>216</x:v>
      </x:c>
      <x:c r="K1303" s="12">
        <x:f>ROUND(英雄升级调参!$D$100*英雄升级调参!$C$11*英雄升级调参!$J$9*英雄升级调参!$G$26,0)*3</x:f>
        <x:v>2160</x:v>
      </x:c>
      <x:c r="L1303" s="12" t="n">
        <x:f>养成消耗调参!$C$182</x:f>
        <x:v>768</x:v>
      </x:c>
      <x:c r="M1303" s="12" t="n">
        <x:f>养成消耗调参!$F$182</x:f>
        <x:v>4800</x:v>
      </x:c>
      <x:c r="N1303" s="12" t="n">
        <x:f>养成消耗调参!$I$182</x:f>
        <x:v>130</x:v>
      </x:c>
      <x:c r="O1303" s="12" t="n">
        <x:f>养成消耗调参!$J$182</x:f>
        <x:v>13224</x:v>
      </x:c>
      <x:c r="P1303" s="12" t="n">
        <x:f>养成消耗调参!$M$182</x:f>
        <x:v>77700</x:v>
      </x:c>
      <x:c r="Q1303" s="12" t="n">
        <x:f>养成消耗调参!$P$182</x:f>
        <x:v>490</x:v>
      </x:c>
      <x:c r="R1303" s="13" t="n">
        <x:f>I1303/英雄升级调参!$G$100-1</x:f>
        <x:v>0</x:v>
      </x:c>
      <x:c r="S1303" s="6"/>
      <x:c r="T1303" s="6"/>
      <x:c r="U1303" s="6"/>
    </x:row>
    <x:row r="1304" ht="21" customHeight="1">
      <x:c r="A1304" s="14" t="n">
        <x:f>英雄升级调参!$B$26</x:f>
        <x:v>310009</x:v>
      </x:c>
      <x:c r="B1304" s="14" t="str">
        <x:f>英雄升级调参!$C$26</x:f>
        <x:v>海希</x:v>
      </x:c>
      <x:c r="C1304" s="6" t="str">
        <x:f>英雄升级调参!$D$26</x:f>
        <x:v>探险家</x:v>
      </x:c>
      <x:c r="D1304" s="6" t="s">
        <x:v>18</x:v>
      </x:c>
      <x:c r="E1304" s="6">
        <x:v>36</x:v>
      </x:c>
      <x:c r="F1304" s="6" t="n">
        <x:f>英雄升级调参!$C$101</x:f>
        <x:v>8</x:v>
      </x:c>
      <x:c r="G1304" s="12">
        <x:f t="shared" si="122"/>
        <x:v>2328</x:v>
      </x:c>
      <x:c r="H1304" s="12">
        <x:f t="shared" si="123"/>
        <x:v>23280</x:v>
      </x:c>
      <x:c r="I1304" s="12">
        <x:f t="shared" si="121"/>
        <x:v>54195840</x:v>
      </x:c>
      <x:c r="J1304" s="12">
        <x:f>ROUND(英雄升级调参!$D$101*英雄升级调参!$J$9*英雄升级调参!$E$26,0)</x:f>
        <x:v>81</x:v>
      </x:c>
      <x:c r="K1304" s="12">
        <x:f>ROUND(英雄升级调参!$D$101*英雄升级调参!$C$11*英雄升级调参!$J$9*英雄升级调参!$G$26,0)</x:f>
        <x:v>810</x:v>
      </x:c>
      <x:c r="L1304" s="12" t="n">
        <x:f>养成消耗调参!$C$183</x:f>
        <x:v>816</x:v>
      </x:c>
      <x:c r="M1304" s="12" t="n">
        <x:f>养成消耗调参!$F$183</x:f>
        <x:v>4800</x:v>
      </x:c>
      <x:c r="N1304" s="12" t="n">
        <x:f>养成消耗调参!$I$183</x:f>
        <x:v>0</x:v>
      </x:c>
      <x:c r="O1304" s="12" t="n">
        <x:f>养成消耗调参!$J$183</x:f>
        <x:v>14040</x:v>
      </x:c>
      <x:c r="P1304" s="12" t="n">
        <x:f>养成消耗调参!$M$183</x:f>
        <x:v>82500</x:v>
      </x:c>
      <x:c r="Q1304" s="12" t="n">
        <x:f>养成消耗调参!$P$183</x:f>
        <x:v>490</x:v>
      </x:c>
      <x:c r="R1304" s="13" t="n">
        <x:f>I1304/英雄升级调参!$G$101-1</x:f>
        <x:v>0</x:v>
      </x:c>
      <x:c r="S1304" s="6"/>
      <x:c r="T1304" s="6"/>
      <x:c r="U1304" s="6"/>
    </x:row>
    <x:row r="1305" ht="21" customHeight="1">
      <x:c r="A1305" s="14" t="n">
        <x:f>英雄升级调参!$B$26</x:f>
        <x:v>310009</x:v>
      </x:c>
      <x:c r="B1305" s="14" t="str">
        <x:f>英雄升级调参!$C$26</x:f>
        <x:v>海希</x:v>
      </x:c>
      <x:c r="C1305" s="6" t="str">
        <x:f>英雄升级调参!$D$26</x:f>
        <x:v>探险家</x:v>
      </x:c>
      <x:c r="D1305" s="6" t="s">
        <x:v>18</x:v>
      </x:c>
      <x:c r="E1305" s="6">
        <x:v>37</x:v>
      </x:c>
      <x:c r="F1305" s="6" t="n">
        <x:f>英雄升级调参!$C$102</x:f>
        <x:v>8</x:v>
      </x:c>
      <x:c r="G1305" s="12">
        <x:f t="shared" si="122"/>
        <x:v>2409</x:v>
      </x:c>
      <x:c r="H1305" s="12">
        <x:f t="shared" si="123"/>
        <x:v>24090</x:v>
      </x:c>
      <x:c r="I1305" s="12">
        <x:f t="shared" si="121"/>
        <x:v>58032810</x:v>
      </x:c>
      <x:c r="J1305" s="12">
        <x:f>ROUND(英雄升级调参!$D$102*英雄升级调参!$J$9*英雄升级调参!$E$26,0)</x:f>
        <x:v>81</x:v>
      </x:c>
      <x:c r="K1305" s="12">
        <x:f>ROUND(英雄升级调参!$D$102*英雄升级调参!$C$11*英雄升级调参!$J$9*英雄升级调参!$G$26,0)</x:f>
        <x:v>810</x:v>
      </x:c>
      <x:c r="L1305" s="12" t="n">
        <x:f>养成消耗调参!$C$184</x:f>
        <x:v>816</x:v>
      </x:c>
      <x:c r="M1305" s="12" t="n">
        <x:f>养成消耗调参!$F$184</x:f>
        <x:v>5700</x:v>
      </x:c>
      <x:c r="N1305" s="12" t="n">
        <x:f>养成消耗调参!$I$184</x:f>
        <x:v>0</x:v>
      </x:c>
      <x:c r="O1305" s="12" t="n">
        <x:f>养成消耗调参!$J$184</x:f>
        <x:v>14856</x:v>
      </x:c>
      <x:c r="P1305" s="12" t="n">
        <x:f>养成消耗调参!$M$184</x:f>
        <x:v>88200</x:v>
      </x:c>
      <x:c r="Q1305" s="12" t="n">
        <x:f>养成消耗调参!$P$184</x:f>
        <x:v>490</x:v>
      </x:c>
      <x:c r="R1305" s="13" t="n">
        <x:f>I1305/英雄升级调参!$G$102-1</x:f>
        <x:v>0</x:v>
      </x:c>
      <x:c r="S1305" s="6"/>
      <x:c r="T1305" s="6"/>
      <x:c r="U1305" s="6"/>
    </x:row>
    <x:row r="1306" ht="21" customHeight="1">
      <x:c r="A1306" s="14" t="n">
        <x:f>英雄升级调参!$B$26</x:f>
        <x:v>310009</x:v>
      </x:c>
      <x:c r="B1306" s="14" t="str">
        <x:f>英雄升级调参!$C$26</x:f>
        <x:v>海希</x:v>
      </x:c>
      <x:c r="C1306" s="6" t="str">
        <x:f>英雄升级调参!$D$26</x:f>
        <x:v>探险家</x:v>
      </x:c>
      <x:c r="D1306" s="6" t="s">
        <x:v>18</x:v>
      </x:c>
      <x:c r="E1306" s="6">
        <x:v>38</x:v>
      </x:c>
      <x:c r="F1306" s="6" t="n">
        <x:f>英雄升级调参!$C$103</x:f>
        <x:v>8</x:v>
      </x:c>
      <x:c r="G1306" s="12">
        <x:f t="shared" si="122"/>
        <x:v>2490</x:v>
      </x:c>
      <x:c r="H1306" s="12">
        <x:f t="shared" si="123"/>
        <x:v>24900</x:v>
      </x:c>
      <x:c r="I1306" s="12">
        <x:f t="shared" si="121"/>
        <x:v>62001000</x:v>
      </x:c>
      <x:c r="J1306" s="12">
        <x:f>ROUND(英雄升级调参!$D$103*英雄升级调参!$J$9*英雄升级调参!$E$26,0)</x:f>
        <x:v>81</x:v>
      </x:c>
      <x:c r="K1306" s="12">
        <x:f>ROUND(英雄升级调参!$D$103*英雄升级调参!$C$11*英雄升级调参!$J$9*英雄升级调参!$G$26,0)</x:f>
        <x:v>810</x:v>
      </x:c>
      <x:c r="L1306" s="12" t="n">
        <x:f>养成消耗调参!$C$185</x:f>
        <x:v>864</x:v>
      </x:c>
      <x:c r="M1306" s="12" t="n">
        <x:f>养成消耗调参!$F$185</x:f>
        <x:v>5700</x:v>
      </x:c>
      <x:c r="N1306" s="12" t="n">
        <x:f>养成消耗调参!$I$185</x:f>
        <x:v>0</x:v>
      </x:c>
      <x:c r="O1306" s="12" t="n">
        <x:f>养成消耗调参!$J$185</x:f>
        <x:v>15720</x:v>
      </x:c>
      <x:c r="P1306" s="12" t="n">
        <x:f>养成消耗调参!$M$185</x:f>
        <x:v>93900</x:v>
      </x:c>
      <x:c r="Q1306" s="12" t="n">
        <x:f>养成消耗调参!$P$185</x:f>
        <x:v>490</x:v>
      </x:c>
      <x:c r="R1306" s="13" t="n">
        <x:f>I1306/英雄升级调参!$G$103-1</x:f>
        <x:v>0</x:v>
      </x:c>
      <x:c r="S1306" s="6"/>
      <x:c r="T1306" s="6"/>
      <x:c r="U1306" s="6"/>
    </x:row>
    <x:row r="1307" ht="21" customHeight="1">
      <x:c r="A1307" s="14" t="n">
        <x:f>英雄升级调参!$B$26</x:f>
        <x:v>310009</x:v>
      </x:c>
      <x:c r="B1307" s="14" t="str">
        <x:f>英雄升级调参!$C$26</x:f>
        <x:v>海希</x:v>
      </x:c>
      <x:c r="C1307" s="6" t="str">
        <x:f>英雄升级调参!$D$26</x:f>
        <x:v>探险家</x:v>
      </x:c>
      <x:c r="D1307" s="6" t="s">
        <x:v>18</x:v>
      </x:c>
      <x:c r="E1307" s="6">
        <x:v>39</x:v>
      </x:c>
      <x:c r="F1307" s="6" t="n">
        <x:f>英雄升级调参!$C$104</x:f>
        <x:v>8</x:v>
      </x:c>
      <x:c r="G1307" s="12">
        <x:f t="shared" si="122"/>
        <x:v>2571</x:v>
      </x:c>
      <x:c r="H1307" s="12">
        <x:f t="shared" si="123"/>
        <x:v>25710</x:v>
      </x:c>
      <x:c r="I1307" s="12">
        <x:f t="shared" si="121"/>
        <x:v>66100410</x:v>
      </x:c>
      <x:c r="J1307" s="12">
        <x:f>ROUND(英雄升级调参!$D$104*英雄升级调参!$J$9*英雄升级调参!$E$26,0)</x:f>
        <x:v>81</x:v>
      </x:c>
      <x:c r="K1307" s="12">
        <x:f>ROUND(英雄升级调参!$D$104*英雄升级调参!$C$11*英雄升级调参!$J$9*英雄升级调参!$G$26,0)</x:f>
        <x:v>810</x:v>
      </x:c>
      <x:c r="L1307" s="12" t="n">
        <x:f>养成消耗调参!$C$186</x:f>
        <x:v>864</x:v>
      </x:c>
      <x:c r="M1307" s="12" t="n">
        <x:f>养成消耗调参!$F$186</x:f>
        <x:v>5700</x:v>
      </x:c>
      <x:c r="N1307" s="12" t="n">
        <x:f>养成消耗调参!$I$186</x:f>
        <x:v>0</x:v>
      </x:c>
      <x:c r="O1307" s="12" t="n">
        <x:f>养成消耗调参!$J$186</x:f>
        <x:v>16584</x:v>
      </x:c>
      <x:c r="P1307" s="12" t="n">
        <x:f>养成消耗调参!$M$186</x:f>
        <x:v>99600</x:v>
      </x:c>
      <x:c r="Q1307" s="12" t="n">
        <x:f>养成消耗调参!$P$186</x:f>
        <x:v>490</x:v>
      </x:c>
      <x:c r="R1307" s="13" t="n">
        <x:f>I1307/英雄升级调参!$G$104-1</x:f>
        <x:v>0</x:v>
      </x:c>
      <x:c r="S1307" s="6"/>
      <x:c r="T1307" s="6"/>
      <x:c r="U1307" s="6"/>
    </x:row>
    <x:row r="1308" ht="21" customHeight="1">
      <x:c r="A1308" s="14" t="n">
        <x:f>英雄升级调参!$B$26</x:f>
        <x:v>310009</x:v>
      </x:c>
      <x:c r="B1308" s="14" t="str">
        <x:f>英雄升级调参!$C$26</x:f>
        <x:v>海希</x:v>
      </x:c>
      <x:c r="C1308" s="6" t="str">
        <x:f>英雄升级调参!$D$26</x:f>
        <x:v>探险家</x:v>
      </x:c>
      <x:c r="D1308" s="6" t="s">
        <x:v>18</x:v>
      </x:c>
      <x:c r="E1308" s="6">
        <x:v>40</x:v>
      </x:c>
      <x:c r="F1308" s="6" t="n">
        <x:f>英雄升级调参!$C$105</x:f>
        <x:v>8</x:v>
      </x:c>
      <x:c r="G1308" s="12">
        <x:f t="shared" si="122"/>
        <x:v>2814</x:v>
      </x:c>
      <x:c r="H1308" s="12">
        <x:f t="shared" si="123"/>
        <x:v>28140</x:v>
      </x:c>
      <x:c r="I1308" s="12">
        <x:f t="shared" si="121"/>
        <x:v>79185960</x:v>
      </x:c>
      <x:c r="J1308" s="12">
        <x:f>ROUND(英雄升级调参!$D$105*英雄升级调参!$J$9*英雄升级调参!$E$26,0)*3</x:f>
        <x:v>243</x:v>
      </x:c>
      <x:c r="K1308" s="12">
        <x:f>ROUND(英雄升级调参!$D$105*英雄升级调参!$C$11*英雄升级调参!$J$9*英雄升级调参!$G$26,0)*3</x:f>
        <x:v>2430</x:v>
      </x:c>
      <x:c r="L1308" s="12" t="n">
        <x:f>养成消耗调参!$C$187</x:f>
        <x:v>912</x:v>
      </x:c>
      <x:c r="M1308" s="12" t="n">
        <x:f>养成消耗调参!$F$187</x:f>
        <x:v>5700</x:v>
      </x:c>
      <x:c r="N1308" s="12" t="n">
        <x:f>养成消耗调参!$I$187</x:f>
        <x:v>150</x:v>
      </x:c>
      <x:c r="O1308" s="12" t="n">
        <x:f>养成消耗调参!$J$187</x:f>
        <x:v>17496</x:v>
      </x:c>
      <x:c r="P1308" s="12" t="n">
        <x:f>养成消耗调参!$M$187</x:f>
        <x:v>105300</x:v>
      </x:c>
      <x:c r="Q1308" s="12" t="n">
        <x:f>养成消耗调参!$P$187</x:f>
        <x:v>640</x:v>
      </x:c>
      <x:c r="R1308" s="13" t="n">
        <x:f>I1308/英雄升级调参!$G$105-1</x:f>
        <x:v>0</x:v>
      </x:c>
      <x:c r="S1308" s="6"/>
      <x:c r="T1308" s="6"/>
      <x:c r="U1308" s="6"/>
    </x:row>
    <x:row r="1309" ht="21" customHeight="1">
      <x:c r="A1309" s="14" t="n">
        <x:f>英雄升级调参!$B$26</x:f>
        <x:v>310009</x:v>
      </x:c>
      <x:c r="B1309" s="14" t="str">
        <x:f>英雄升级调参!$C$26</x:f>
        <x:v>海希</x:v>
      </x:c>
      <x:c r="C1309" s="6" t="str">
        <x:f>英雄升级调参!$D$26</x:f>
        <x:v>探险家</x:v>
      </x:c>
      <x:c r="D1309" s="6" t="s">
        <x:v>18</x:v>
      </x:c>
      <x:c r="E1309" s="6">
        <x:v>41</x:v>
      </x:c>
      <x:c r="F1309" s="6" t="n">
        <x:f>英雄升级调参!$C$106</x:f>
        <x:v>9</x:v>
      </x:c>
      <x:c r="G1309" s="12">
        <x:f t="shared" si="122"/>
        <x:v>2904</x:v>
      </x:c>
      <x:c r="H1309" s="12">
        <x:f t="shared" si="123"/>
        <x:v>29040</x:v>
      </x:c>
      <x:c r="I1309" s="12">
        <x:f t="shared" si="121"/>
        <x:v>84332160</x:v>
      </x:c>
      <x:c r="J1309" s="12">
        <x:f>ROUND(英雄升级调参!$D$106*英雄升级调参!$J$9*英雄升级调参!$E$26,0)</x:f>
        <x:v>90</x:v>
      </x:c>
      <x:c r="K1309" s="12">
        <x:f>ROUND(英雄升级调参!$D$106*英雄升级调参!$C$11*英雄升级调参!$J$9*英雄升级调参!$G$26,0)</x:f>
        <x:v>900</x:v>
      </x:c>
      <x:c r="L1309" s="12" t="n">
        <x:f>养成消耗调参!$C$188</x:f>
        <x:v>912</x:v>
      </x:c>
      <x:c r="M1309" s="12" t="n">
        <x:f>养成消耗调参!$F$188</x:f>
        <x:v>5700</x:v>
      </x:c>
      <x:c r="N1309" s="12" t="n">
        <x:f>养成消耗调参!$I$188</x:f>
        <x:v>0</x:v>
      </x:c>
      <x:c r="O1309" s="12" t="n">
        <x:f>养成消耗调参!$J$188</x:f>
        <x:v>18408</x:v>
      </x:c>
      <x:c r="P1309" s="12" t="n">
        <x:f>养成消耗调参!$M$188</x:f>
        <x:v>111000</x:v>
      </x:c>
      <x:c r="Q1309" s="12" t="n">
        <x:f>养成消耗调参!$P$188</x:f>
        <x:v>640</x:v>
      </x:c>
      <x:c r="R1309" s="13" t="n">
        <x:f>I1309/英雄升级调参!$G$106-1</x:f>
        <x:v>0</x:v>
      </x:c>
      <x:c r="S1309" s="6"/>
      <x:c r="T1309" s="6"/>
      <x:c r="U1309" s="6"/>
    </x:row>
    <x:row r="1310" ht="21" customHeight="1">
      <x:c r="A1310" s="14" t="n">
        <x:f>英雄升级调参!$B$26</x:f>
        <x:v>310009</x:v>
      </x:c>
      <x:c r="B1310" s="14" t="str">
        <x:f>英雄升级调参!$C$26</x:f>
        <x:v>海希</x:v>
      </x:c>
      <x:c r="C1310" s="6" t="str">
        <x:f>英雄升级调参!$D$26</x:f>
        <x:v>探险家</x:v>
      </x:c>
      <x:c r="D1310" s="6" t="s">
        <x:v>18</x:v>
      </x:c>
      <x:c r="E1310" s="6">
        <x:v>42</x:v>
      </x:c>
      <x:c r="F1310" s="6" t="n">
        <x:f>英雄升级调参!$C$107</x:f>
        <x:v>9</x:v>
      </x:c>
      <x:c r="G1310" s="12">
        <x:f t="shared" si="122"/>
        <x:v>2994</x:v>
      </x:c>
      <x:c r="H1310" s="12">
        <x:f t="shared" si="123"/>
        <x:v>29940</x:v>
      </x:c>
      <x:c r="I1310" s="12">
        <x:f t="shared" si="121"/>
        <x:v>89640360</x:v>
      </x:c>
      <x:c r="J1310" s="12">
        <x:f>ROUND(英雄升级调参!$D$107*英雄升级调参!$J$9*英雄升级调参!$E$26,0)</x:f>
        <x:v>90</x:v>
      </x:c>
      <x:c r="K1310" s="12">
        <x:f>ROUND(英雄升级调参!$D$107*英雄升级调参!$C$11*英雄升级调参!$J$9*英雄升级调参!$G$26,0)</x:f>
        <x:v>900</x:v>
      </x:c>
      <x:c r="L1310" s="12" t="n">
        <x:f>养成消耗调参!$C$189</x:f>
        <x:v>960</x:v>
      </x:c>
      <x:c r="M1310" s="12" t="n">
        <x:f>养成消耗调参!$F$189</x:f>
        <x:v>6600</x:v>
      </x:c>
      <x:c r="N1310" s="12" t="n">
        <x:f>养成消耗调参!$I$189</x:f>
        <x:v>0</x:v>
      </x:c>
      <x:c r="O1310" s="12" t="n">
        <x:f>养成消耗调参!$J$189</x:f>
        <x:v>19368</x:v>
      </x:c>
      <x:c r="P1310" s="12" t="n">
        <x:f>养成消耗调参!$M$189</x:f>
        <x:v>117600</x:v>
      </x:c>
      <x:c r="Q1310" s="12" t="n">
        <x:f>养成消耗调参!$P$189</x:f>
        <x:v>640</x:v>
      </x:c>
      <x:c r="R1310" s="13" t="n">
        <x:f>I1310/英雄升级调参!$G$107-1</x:f>
        <x:v>0</x:v>
      </x:c>
      <x:c r="S1310" s="6"/>
      <x:c r="T1310" s="6"/>
      <x:c r="U1310" s="6"/>
    </x:row>
    <x:row r="1311" ht="21" customHeight="1">
      <x:c r="A1311" s="14" t="n">
        <x:f>英雄升级调参!$B$26</x:f>
        <x:v>310009</x:v>
      </x:c>
      <x:c r="B1311" s="14" t="str">
        <x:f>英雄升级调参!$C$26</x:f>
        <x:v>海希</x:v>
      </x:c>
      <x:c r="C1311" s="6" t="str">
        <x:f>英雄升级调参!$D$26</x:f>
        <x:v>探险家</x:v>
      </x:c>
      <x:c r="D1311" s="6" t="s">
        <x:v>18</x:v>
      </x:c>
      <x:c r="E1311" s="6">
        <x:v>43</x:v>
      </x:c>
      <x:c r="F1311" s="6" t="n">
        <x:f>英雄升级调参!$C$108</x:f>
        <x:v>9</x:v>
      </x:c>
      <x:c r="G1311" s="12">
        <x:f t="shared" si="122"/>
        <x:v>3084</x:v>
      </x:c>
      <x:c r="H1311" s="12">
        <x:f t="shared" si="123"/>
        <x:v>30840</x:v>
      </x:c>
      <x:c r="I1311" s="12">
        <x:f t="shared" si="121"/>
        <x:v>95110560</x:v>
      </x:c>
      <x:c r="J1311" s="12">
        <x:f>ROUND(英雄升级调参!$D$108*英雄升级调参!$J$9*英雄升级调参!$E$26,0)</x:f>
        <x:v>90</x:v>
      </x:c>
      <x:c r="K1311" s="12">
        <x:f>ROUND(英雄升级调参!$D$108*英雄升级调参!$C$11*英雄升级调参!$J$9*英雄升级调参!$G$26,0)</x:f>
        <x:v>900</x:v>
      </x:c>
      <x:c r="L1311" s="12" t="n">
        <x:f>养成消耗调参!$C$190</x:f>
        <x:v>960</x:v>
      </x:c>
      <x:c r="M1311" s="12" t="n">
        <x:f>养成消耗调参!$F$190</x:f>
        <x:v>6600</x:v>
      </x:c>
      <x:c r="N1311" s="12" t="n">
        <x:f>养成消耗调参!$I$190</x:f>
        <x:v>0</x:v>
      </x:c>
      <x:c r="O1311" s="12" t="n">
        <x:f>养成消耗调参!$J$190</x:f>
        <x:v>20328</x:v>
      </x:c>
      <x:c r="P1311" s="12" t="n">
        <x:f>养成消耗调参!$M$190</x:f>
        <x:v>124200</x:v>
      </x:c>
      <x:c r="Q1311" s="12" t="n">
        <x:f>养成消耗调参!$P$190</x:f>
        <x:v>640</x:v>
      </x:c>
      <x:c r="R1311" s="13" t="n">
        <x:f>I1311/英雄升级调参!$G$108-1</x:f>
        <x:v>0</x:v>
      </x:c>
      <x:c r="S1311" s="6"/>
      <x:c r="T1311" s="6"/>
      <x:c r="U1311" s="6"/>
    </x:row>
    <x:row r="1312" ht="21" customHeight="1">
      <x:c r="A1312" s="14" t="n">
        <x:f>英雄升级调参!$B$26</x:f>
        <x:v>310009</x:v>
      </x:c>
      <x:c r="B1312" s="14" t="str">
        <x:f>英雄升级调参!$C$26</x:f>
        <x:v>海希</x:v>
      </x:c>
      <x:c r="C1312" s="6" t="str">
        <x:f>英雄升级调参!$D$26</x:f>
        <x:v>探险家</x:v>
      </x:c>
      <x:c r="D1312" s="6" t="s">
        <x:v>18</x:v>
      </x:c>
      <x:c r="E1312" s="6">
        <x:v>44</x:v>
      </x:c>
      <x:c r="F1312" s="6" t="n">
        <x:f>英雄升级调参!$C$109</x:f>
        <x:v>9</x:v>
      </x:c>
      <x:c r="G1312" s="12">
        <x:f t="shared" si="122"/>
        <x:v>3174</x:v>
      </x:c>
      <x:c r="H1312" s="12">
        <x:f t="shared" si="123"/>
        <x:v>31740</x:v>
      </x:c>
      <x:c r="I1312" s="12">
        <x:f t="shared" si="121"/>
        <x:v>100742760</x:v>
      </x:c>
      <x:c r="J1312" s="12">
        <x:f>ROUND(英雄升级调参!$D$109*英雄升级调参!$J$9*英雄升级调参!$E$26,0)</x:f>
        <x:v>90</x:v>
      </x:c>
      <x:c r="K1312" s="12">
        <x:f>ROUND(英雄升级调参!$D$109*英雄升级调参!$C$11*英雄升级调参!$J$9*英雄升级调参!$G$26,0)</x:f>
        <x:v>900</x:v>
      </x:c>
      <x:c r="L1312" s="12" t="n">
        <x:f>养成消耗调参!$C$191</x:f>
        <x:v>1008</x:v>
      </x:c>
      <x:c r="M1312" s="12" t="n">
        <x:f>养成消耗调参!$F$191</x:f>
        <x:v>6600</x:v>
      </x:c>
      <x:c r="N1312" s="12" t="n">
        <x:f>养成消耗调参!$I$191</x:f>
        <x:v>0</x:v>
      </x:c>
      <x:c r="O1312" s="12" t="n">
        <x:f>养成消耗调参!$J$191</x:f>
        <x:v>21336</x:v>
      </x:c>
      <x:c r="P1312" s="12" t="n">
        <x:f>养成消耗调参!$M$191</x:f>
        <x:v>130800</x:v>
      </x:c>
      <x:c r="Q1312" s="12" t="n">
        <x:f>养成消耗调参!$P$191</x:f>
        <x:v>640</x:v>
      </x:c>
      <x:c r="R1312" s="13" t="n">
        <x:f>I1312/英雄升级调参!$G$109-1</x:f>
        <x:v>0</x:v>
      </x:c>
      <x:c r="S1312" s="6"/>
      <x:c r="T1312" s="6"/>
      <x:c r="U1312" s="6"/>
    </x:row>
    <x:row r="1313" ht="21" customHeight="1">
      <x:c r="A1313" s="14" t="n">
        <x:f>英雄升级调参!$B$26</x:f>
        <x:v>310009</x:v>
      </x:c>
      <x:c r="B1313" s="14" t="str">
        <x:f>英雄升级调参!$C$26</x:f>
        <x:v>海希</x:v>
      </x:c>
      <x:c r="C1313" s="6" t="str">
        <x:f>英雄升级调参!$D$26</x:f>
        <x:v>探险家</x:v>
      </x:c>
      <x:c r="D1313" s="6" t="s">
        <x:v>18</x:v>
      </x:c>
      <x:c r="E1313" s="6">
        <x:v>45</x:v>
      </x:c>
      <x:c r="F1313" s="6" t="n">
        <x:f>英雄升级调参!$C$110</x:f>
        <x:v>9</x:v>
      </x:c>
      <x:c r="G1313" s="12">
        <x:f t="shared" si="122"/>
        <x:v>3444</x:v>
      </x:c>
      <x:c r="H1313" s="12">
        <x:f t="shared" si="123"/>
        <x:v>34440</x:v>
      </x:c>
      <x:c r="I1313" s="12">
        <x:f t="shared" si="121"/>
        <x:v>118611360</x:v>
      </x:c>
      <x:c r="J1313" s="12">
        <x:f>ROUND(英雄升级调参!$D$110*英雄升级调参!$J$9*英雄升级调参!$E$26,0)*3</x:f>
        <x:v>270</x:v>
      </x:c>
      <x:c r="K1313" s="12">
        <x:f>ROUND(英雄升级调参!$D$110*英雄升级调参!$C$11*英雄升级调参!$J$9*英雄升级调参!$G$26,0)*3</x:f>
        <x:v>2700</x:v>
      </x:c>
      <x:c r="L1313" s="12" t="n">
        <x:f>养成消耗调参!$C$192</x:f>
        <x:v>1008</x:v>
      </x:c>
      <x:c r="M1313" s="12" t="n">
        <x:f>养成消耗调参!$F$192</x:f>
        <x:v>6600</x:v>
      </x:c>
      <x:c r="N1313" s="12" t="n">
        <x:f>养成消耗调参!$I$192</x:f>
        <x:v>170</x:v>
      </x:c>
      <x:c r="O1313" s="12" t="n">
        <x:f>养成消耗调参!$J$192</x:f>
        <x:v>22344</x:v>
      </x:c>
      <x:c r="P1313" s="12" t="n">
        <x:f>养成消耗调参!$M$192</x:f>
        <x:v>137400</x:v>
      </x:c>
      <x:c r="Q1313" s="12" t="n">
        <x:f>养成消耗调参!$P$192</x:f>
        <x:v>810</x:v>
      </x:c>
      <x:c r="R1313" s="13" t="n">
        <x:f>I1313/英雄升级调参!$G$110-1</x:f>
        <x:v>0</x:v>
      </x:c>
      <x:c r="S1313" s="6"/>
      <x:c r="T1313" s="6"/>
      <x:c r="U1313" s="6"/>
    </x:row>
    <x:row r="1314" ht="21" customHeight="1">
      <x:c r="A1314" s="14" t="n">
        <x:f>英雄升级调参!$B$26</x:f>
        <x:v>310009</x:v>
      </x:c>
      <x:c r="B1314" s="14" t="str">
        <x:f>英雄升级调参!$C$26</x:f>
        <x:v>海希</x:v>
      </x:c>
      <x:c r="C1314" s="6" t="str">
        <x:f>英雄升级调参!$D$26</x:f>
        <x:v>探险家</x:v>
      </x:c>
      <x:c r="D1314" s="6" t="s">
        <x:v>18</x:v>
      </x:c>
      <x:c r="E1314" s="6">
        <x:v>46</x:v>
      </x:c>
      <x:c r="F1314" s="6" t="n">
        <x:f>英雄升级调参!$C$111</x:f>
        <x:v>10</x:v>
      </x:c>
      <x:c r="G1314" s="12">
        <x:f t="shared" si="122"/>
        <x:v>3543</x:v>
      </x:c>
      <x:c r="H1314" s="12">
        <x:f t="shared" si="123"/>
        <x:v>35430</x:v>
      </x:c>
      <x:c r="I1314" s="12">
        <x:f t="shared" si="121"/>
        <x:v>125528490</x:v>
      </x:c>
      <x:c r="J1314" s="12">
        <x:f>ROUND(英雄升级调参!$D$111*英雄升级调参!$J$9*英雄升级调参!$E$26,0)</x:f>
        <x:v>99</x:v>
      </x:c>
      <x:c r="K1314" s="12">
        <x:f>ROUND(英雄升级调参!$D$111*英雄升级调参!$C$11*英雄升级调参!$J$9*英雄升级调参!$G$26,0)</x:f>
        <x:v>990</x:v>
      </x:c>
      <x:c r="L1314" s="12" t="n">
        <x:f>养成消耗调参!$C$193</x:f>
        <x:v>1056</x:v>
      </x:c>
      <x:c r="M1314" s="12" t="n">
        <x:f>养成消耗调参!$F$193</x:f>
        <x:v>6600</x:v>
      </x:c>
      <x:c r="N1314" s="12" t="n">
        <x:f>养成消耗调参!$I$193</x:f>
        <x:v>0</x:v>
      </x:c>
      <x:c r="O1314" s="12" t="n">
        <x:f>养成消耗调参!$J$193</x:f>
        <x:v>23400</x:v>
      </x:c>
      <x:c r="P1314" s="12" t="n">
        <x:f>养成消耗调参!$M$193</x:f>
        <x:v>144000</x:v>
      </x:c>
      <x:c r="Q1314" s="12" t="n">
        <x:f>养成消耗调参!$P$193</x:f>
        <x:v>810</x:v>
      </x:c>
      <x:c r="R1314" s="13" t="n">
        <x:f>I1314/英雄升级调参!$G$111-1</x:f>
        <x:v>0</x:v>
      </x:c>
      <x:c r="S1314" s="6"/>
      <x:c r="T1314" s="6"/>
      <x:c r="U1314" s="6"/>
    </x:row>
    <x:row r="1315" ht="21" customHeight="1">
      <x:c r="A1315" s="14" t="n">
        <x:f>英雄升级调参!$B$26</x:f>
        <x:v>310009</x:v>
      </x:c>
      <x:c r="B1315" s="14" t="str">
        <x:f>英雄升级调参!$C$26</x:f>
        <x:v>海希</x:v>
      </x:c>
      <x:c r="C1315" s="6" t="str">
        <x:f>英雄升级调参!$D$26</x:f>
        <x:v>探险家</x:v>
      </x:c>
      <x:c r="D1315" s="6" t="s">
        <x:v>18</x:v>
      </x:c>
      <x:c r="E1315" s="6">
        <x:v>47</x:v>
      </x:c>
      <x:c r="F1315" s="6" t="n">
        <x:f>英雄升级调参!$C$112</x:f>
        <x:v>10</x:v>
      </x:c>
      <x:c r="G1315" s="12">
        <x:f t="shared" si="122"/>
        <x:v>3642</x:v>
      </x:c>
      <x:c r="H1315" s="12">
        <x:f t="shared" si="123"/>
        <x:v>36420</x:v>
      </x:c>
      <x:c r="I1315" s="12">
        <x:f t="shared" si="121"/>
        <x:v>132641640</x:v>
      </x:c>
      <x:c r="J1315" s="12">
        <x:f>ROUND(英雄升级调参!$D$112*英雄升级调参!$J$9*英雄升级调参!$E$26,0)</x:f>
        <x:v>99</x:v>
      </x:c>
      <x:c r="K1315" s="12">
        <x:f>ROUND(英雄升级调参!$D$112*英雄升级调参!$C$11*英雄升级调参!$J$9*英雄升级调参!$G$26,0)</x:f>
        <x:v>990</x:v>
      </x:c>
      <x:c r="L1315" s="12" t="n">
        <x:f>养成消耗调参!$C$194</x:f>
        <x:v>1056</x:v>
      </x:c>
      <x:c r="M1315" s="12" t="n">
        <x:f>养成消耗调参!$F$194</x:f>
        <x:v>7500</x:v>
      </x:c>
      <x:c r="N1315" s="12" t="n">
        <x:f>养成消耗调参!$I$194</x:f>
        <x:v>0</x:v>
      </x:c>
      <x:c r="O1315" s="12" t="n">
        <x:f>养成消耗调参!$J$194</x:f>
        <x:v>24456</x:v>
      </x:c>
      <x:c r="P1315" s="12" t="n">
        <x:f>养成消耗调参!$M$194</x:f>
        <x:v>151500</x:v>
      </x:c>
      <x:c r="Q1315" s="12" t="n">
        <x:f>养成消耗调参!$P$194</x:f>
        <x:v>810</x:v>
      </x:c>
      <x:c r="R1315" s="13" t="n">
        <x:f>I1315/英雄升级调参!$G$112-1</x:f>
        <x:v>0</x:v>
      </x:c>
      <x:c r="S1315" s="6"/>
      <x:c r="T1315" s="6"/>
      <x:c r="U1315" s="6"/>
    </x:row>
    <x:row r="1316" ht="21" customHeight="1">
      <x:c r="A1316" s="14" t="n">
        <x:f>英雄升级调参!$B$26</x:f>
        <x:v>310009</x:v>
      </x:c>
      <x:c r="B1316" s="14" t="str">
        <x:f>英雄升级调参!$C$26</x:f>
        <x:v>海希</x:v>
      </x:c>
      <x:c r="C1316" s="6" t="str">
        <x:f>英雄升级调参!$D$26</x:f>
        <x:v>探险家</x:v>
      </x:c>
      <x:c r="D1316" s="6" t="s">
        <x:v>18</x:v>
      </x:c>
      <x:c r="E1316" s="6">
        <x:v>48</x:v>
      </x:c>
      <x:c r="F1316" s="6" t="n">
        <x:f>英雄升级调参!$C$113</x:f>
        <x:v>10</x:v>
      </x:c>
      <x:c r="G1316" s="12">
        <x:f t="shared" si="122"/>
        <x:v>3741</x:v>
      </x:c>
      <x:c r="H1316" s="12">
        <x:f t="shared" si="123"/>
        <x:v>37410</x:v>
      </x:c>
      <x:c r="I1316" s="12">
        <x:f t="shared" si="121"/>
        <x:v>139950810</x:v>
      </x:c>
      <x:c r="J1316" s="12">
        <x:f>ROUND(英雄升级调参!$D$113*英雄升级调参!$J$9*英雄升级调参!$E$26,0)</x:f>
        <x:v>99</x:v>
      </x:c>
      <x:c r="K1316" s="12">
        <x:f>ROUND(英雄升级调参!$D$113*英雄升级调参!$C$11*英雄升级调参!$J$9*英雄升级调参!$G$26,0)</x:f>
        <x:v>990</x:v>
      </x:c>
      <x:c r="L1316" s="12" t="n">
        <x:f>养成消耗调参!$C$195</x:f>
        <x:v>1104</x:v>
      </x:c>
      <x:c r="M1316" s="12" t="n">
        <x:f>养成消耗调参!$F$195</x:f>
        <x:v>7500</x:v>
      </x:c>
      <x:c r="N1316" s="12" t="n">
        <x:f>养成消耗调参!$I$195</x:f>
        <x:v>0</x:v>
      </x:c>
      <x:c r="O1316" s="12" t="n">
        <x:f>养成消耗调参!$J$195</x:f>
        <x:v>25560</x:v>
      </x:c>
      <x:c r="P1316" s="12" t="n">
        <x:f>养成消耗调参!$M$195</x:f>
        <x:v>159000</x:v>
      </x:c>
      <x:c r="Q1316" s="12" t="n">
        <x:f>养成消耗调参!$P$195</x:f>
        <x:v>810</x:v>
      </x:c>
      <x:c r="R1316" s="13" t="n">
        <x:f>I1316/英雄升级调参!$G$113-1</x:f>
        <x:v>0</x:v>
      </x:c>
      <x:c r="S1316" s="6"/>
      <x:c r="T1316" s="6"/>
      <x:c r="U1316" s="6"/>
    </x:row>
    <x:row r="1317" ht="21" customHeight="1">
      <x:c r="A1317" s="14" t="n">
        <x:f>英雄升级调参!$B$26</x:f>
        <x:v>310009</x:v>
      </x:c>
      <x:c r="B1317" s="14" t="str">
        <x:f>英雄升级调参!$C$26</x:f>
        <x:v>海希</x:v>
      </x:c>
      <x:c r="C1317" s="6" t="str">
        <x:f>英雄升级调参!$D$26</x:f>
        <x:v>探险家</x:v>
      </x:c>
      <x:c r="D1317" s="6" t="s">
        <x:v>18</x:v>
      </x:c>
      <x:c r="E1317" s="6">
        <x:v>49</x:v>
      </x:c>
      <x:c r="F1317" s="6" t="n">
        <x:f>英雄升级调参!$C$114</x:f>
        <x:v>10</x:v>
      </x:c>
      <x:c r="G1317" s="12">
        <x:f t="shared" si="122"/>
        <x:v>3840</x:v>
      </x:c>
      <x:c r="H1317" s="12">
        <x:f t="shared" si="123"/>
        <x:v>38400</x:v>
      </x:c>
      <x:c r="I1317" s="12">
        <x:f t="shared" si="121"/>
        <x:v>147456000</x:v>
      </x:c>
      <x:c r="J1317" s="12">
        <x:f>ROUND(英雄升级调参!$D$114*英雄升级调参!$J$9*英雄升级调参!$E$26,0)</x:f>
        <x:v>99</x:v>
      </x:c>
      <x:c r="K1317" s="12">
        <x:f>ROUND(英雄升级调参!$D$114*英雄升级调参!$C$11*英雄升级调参!$J$9*英雄升级调参!$G$26,0)</x:f>
        <x:v>990</x:v>
      </x:c>
      <x:c r="L1317" s="12" t="n">
        <x:f>养成消耗调参!$C$196</x:f>
        <x:v>1104</x:v>
      </x:c>
      <x:c r="M1317" s="12" t="n">
        <x:f>养成消耗调参!$F$196</x:f>
        <x:v>7500</x:v>
      </x:c>
      <x:c r="N1317" s="12" t="n">
        <x:f>养成消耗调参!$I$196</x:f>
        <x:v>0</x:v>
      </x:c>
      <x:c r="O1317" s="12" t="n">
        <x:f>养成消耗调参!$J$196</x:f>
        <x:v>26664</x:v>
      </x:c>
      <x:c r="P1317" s="12" t="n">
        <x:f>养成消耗调参!$M$196</x:f>
        <x:v>166500</x:v>
      </x:c>
      <x:c r="Q1317" s="12" t="n">
        <x:f>养成消耗调参!$P$196</x:f>
        <x:v>810</x:v>
      </x:c>
      <x:c r="R1317" s="13" t="n">
        <x:f>I1317/英雄升级调参!$G$114-1</x:f>
        <x:v>0</x:v>
      </x:c>
      <x:c r="S1317" s="6"/>
      <x:c r="T1317" s="6"/>
      <x:c r="U1317" s="6"/>
    </x:row>
    <x:row r="1318" ht="21" customHeight="1">
      <x:c r="A1318" s="14" t="n">
        <x:f>英雄升级调参!$B$26</x:f>
        <x:v>310009</x:v>
      </x:c>
      <x:c r="B1318" s="14" t="str">
        <x:f>英雄升级调参!$C$26</x:f>
        <x:v>海希</x:v>
      </x:c>
      <x:c r="C1318" s="6" t="str">
        <x:f>英雄升级调参!$D$26</x:f>
        <x:v>探险家</x:v>
      </x:c>
      <x:c r="D1318" s="6" t="s">
        <x:v>18</x:v>
      </x:c>
      <x:c r="E1318" s="6">
        <x:v>50</x:v>
      </x:c>
      <x:c r="F1318" s="6" t="n">
        <x:f>英雄升级调参!$C$115</x:f>
        <x:v>10</x:v>
      </x:c>
      <x:c r="G1318" s="12">
        <x:f t="shared" si="122"/>
        <x:v>4137</x:v>
      </x:c>
      <x:c r="H1318" s="12">
        <x:f t="shared" si="123"/>
        <x:v>41370</x:v>
      </x:c>
      <x:c r="I1318" s="12">
        <x:f t="shared" si="121"/>
        <x:v>171147690</x:v>
      </x:c>
      <x:c r="J1318" s="12">
        <x:f>ROUND(英雄升级调参!$D$115*英雄升级调参!$J$9*英雄升级调参!$E$26,0)*3</x:f>
        <x:v>297</x:v>
      </x:c>
      <x:c r="K1318" s="12">
        <x:f>ROUND(英雄升级调参!$D$115*英雄升级调参!$C$11*英雄升级调参!$J$9*英雄升级调参!$G$26,0)*3</x:f>
        <x:v>2970</x:v>
      </x:c>
      <x:c r="L1318" s="12" t="n">
        <x:f>养成消耗调参!$C$197</x:f>
        <x:v>1152</x:v>
      </x:c>
      <x:c r="M1318" s="12" t="n">
        <x:f>养成消耗调参!$F$197</x:f>
        <x:v>7500</x:v>
      </x:c>
      <x:c r="N1318" s="12" t="n">
        <x:f>养成消耗调参!$I$197</x:f>
        <x:v>190</x:v>
      </x:c>
      <x:c r="O1318" s="12" t="n">
        <x:f>养成消耗调参!$J$197</x:f>
        <x:v>27816</x:v>
      </x:c>
      <x:c r="P1318" s="12" t="n">
        <x:f>养成消耗调参!$M$197</x:f>
        <x:v>174000</x:v>
      </x:c>
      <x:c r="Q1318" s="12" t="n">
        <x:f>养成消耗调参!$P$197</x:f>
        <x:v>1000</x:v>
      </x:c>
      <x:c r="R1318" s="13" t="n">
        <x:f>I1318/英雄升级调参!$G$115-1</x:f>
        <x:v>0</x:v>
      </x:c>
      <x:c r="S1318" s="6"/>
      <x:c r="T1318" s="6"/>
      <x:c r="U1318" s="6"/>
    </x:row>
    <x:row r="1319" ht="21" customHeight="1">
      <x:c r="A1319" s="14" t="n">
        <x:f>英雄升级调参!$B$26</x:f>
        <x:v>310009</x:v>
      </x:c>
      <x:c r="B1319" s="14" t="str">
        <x:f>英雄升级调参!$C$26</x:f>
        <x:v>海希</x:v>
      </x:c>
      <x:c r="C1319" s="6" t="str">
        <x:f>英雄升级调参!$D$26</x:f>
        <x:v>探险家</x:v>
      </x:c>
      <x:c r="D1319" s="6" t="s">
        <x:v>22</x:v>
      </x:c>
      <x:c r="E1319" s="6">
        <x:v>1</x:v>
      </x:c>
      <x:c r="F1319" s="6" t="n">
        <x:f>英雄升级调参!$C$66</x:f>
        <x:v>1</x:v>
      </x:c>
      <x:c r="G1319" s="12">
        <x:f>G1278-SUM(J1320:J1323)</x:f>
        <x:v>195</x:v>
      </x:c>
      <x:c r="H1319" s="12">
        <x:f>H1278-SUM(K1320:K1323)</x:f>
        <x:v>1950</x:v>
      </x:c>
      <x:c r="I1319" s="12">
        <x:f t="shared" si="121"/>
        <x:v>380250</x:v>
      </x:c>
      <x:c r="J1319" s="12" t="n">
        <x:f>0</x:f>
        <x:v>0</x:v>
      </x:c>
      <x:c r="K1319" s="12" t="n">
        <x:f>0</x:f>
        <x:v>0</x:v>
      </x:c>
      <x:c r="L1319" s="12" t="n">
        <x:f>养成消耗调参!$D$148</x:f>
        <x:v>0</x:v>
      </x:c>
      <x:c r="M1319" s="12" t="n">
        <x:f>养成消耗调参!$G$148</x:f>
        <x:v>0</x:v>
      </x:c>
      <x:c r="N1319" s="12" t="n">
        <x:f>养成消耗调参!$I$148</x:f>
        <x:v>0</x:v>
      </x:c>
      <x:c r="O1319" s="12" t="n">
        <x:f>养成消耗调参!$K$148</x:f>
        <x:v>0</x:v>
      </x:c>
      <x:c r="P1319" s="12" t="n">
        <x:f>养成消耗调参!$N$148</x:f>
        <x:v>0</x:v>
      </x:c>
      <x:c r="Q1319" s="12" t="n">
        <x:f>养成消耗调参!$P$148</x:f>
        <x:v>0</x:v>
      </x:c>
      <x:c r="R1319" s="13" t="n">
        <x:f>I1319/英雄升级调参!$J$66-1</x:f>
        <x:v>0</x:v>
      </x:c>
      <x:c r="S1319" s="6"/>
      <x:c r="T1319" s="6"/>
      <x:c r="U1319" s="6"/>
    </x:row>
    <x:row r="1320" ht="21" customHeight="1">
      <x:c r="A1320" s="14" t="n">
        <x:f>英雄升级调参!$B$26</x:f>
        <x:v>310009</x:v>
      </x:c>
      <x:c r="B1320" s="14" t="str">
        <x:f>英雄升级调参!$C$26</x:f>
        <x:v>海希</x:v>
      </x:c>
      <x:c r="C1320" s="6" t="str">
        <x:f>英雄升级调参!$D$26</x:f>
        <x:v>探险家</x:v>
      </x:c>
      <x:c r="D1320" s="6" t="s">
        <x:v>22</x:v>
      </x:c>
      <x:c r="E1320" s="6">
        <x:v>2</x:v>
      </x:c>
      <x:c r="F1320" s="6" t="n">
        <x:f>英雄升级调参!$C$67</x:f>
        <x:v>1</x:v>
      </x:c>
      <x:c r="G1320" s="12">
        <x:f t="shared" ref="G1320:G1351" si="124">G1319+J1320</x:f>
        <x:v>222</x:v>
      </x:c>
      <x:c r="H1320" s="12">
        <x:f t="shared" ref="H1320:H1351" si="125">H1319+K1320</x:f>
        <x:v>2220</x:v>
      </x:c>
      <x:c r="I1320" s="12">
        <x:f t="shared" si="121"/>
        <x:v>492840</x:v>
      </x:c>
      <x:c r="J1320" s="12">
        <x:f>ROUND(英雄升级调参!$D$67*英雄升级调参!$J$10*英雄升级调参!$E$26,0)</x:f>
        <x:v>27</x:v>
      </x:c>
      <x:c r="K1320" s="12">
        <x:f>ROUND(英雄升级调参!$D$67*英雄升级调参!$C$11*英雄升级调参!$J$10*英雄升级调参!$G$26,0)</x:f>
        <x:v>270</x:v>
      </x:c>
      <x:c r="L1320" s="12" t="n">
        <x:f>养成消耗调参!$D$149</x:f>
        <x:v>36</x:v>
      </x:c>
      <x:c r="M1320" s="12" t="n">
        <x:f>养成消耗调参!$G$149</x:f>
        <x:v>450</x:v>
      </x:c>
      <x:c r="N1320" s="12" t="n">
        <x:f>养成消耗调参!$I$149</x:f>
        <x:v>0</x:v>
      </x:c>
      <x:c r="O1320" s="12" t="n">
        <x:f>养成消耗调参!$K$149</x:f>
        <x:v>36</x:v>
      </x:c>
      <x:c r="P1320" s="12" t="n">
        <x:f>养成消耗调参!$N$149</x:f>
        <x:v>450</x:v>
      </x:c>
      <x:c r="Q1320" s="12" t="n">
        <x:f>养成消耗调参!$P$149</x:f>
        <x:v>0</x:v>
      </x:c>
      <x:c r="R1320" s="13" t="n">
        <x:f>I1320/英雄升级调参!$J$67-1</x:f>
        <x:v>0</x:v>
      </x:c>
      <x:c r="S1320" s="6"/>
      <x:c r="T1320" s="6"/>
      <x:c r="U1320" s="6"/>
    </x:row>
    <x:row r="1321" ht="21" customHeight="1">
      <x:c r="A1321" s="14" t="n">
        <x:f>英雄升级调参!$B$26</x:f>
        <x:v>310009</x:v>
      </x:c>
      <x:c r="B1321" s="14" t="str">
        <x:f>英雄升级调参!$C$26</x:f>
        <x:v>海希</x:v>
      </x:c>
      <x:c r="C1321" s="6" t="str">
        <x:f>英雄升级调参!$D$26</x:f>
        <x:v>探险家</x:v>
      </x:c>
      <x:c r="D1321" s="6" t="s">
        <x:v>22</x:v>
      </x:c>
      <x:c r="E1321" s="6">
        <x:v>3</x:v>
      </x:c>
      <x:c r="F1321" s="6" t="n">
        <x:f>英雄升级调参!$C$68</x:f>
        <x:v>1</x:v>
      </x:c>
      <x:c r="G1321" s="12">
        <x:f t="shared" si="124"/>
        <x:v>249</x:v>
      </x:c>
      <x:c r="H1321" s="12">
        <x:f t="shared" si="125"/>
        <x:v>2490</x:v>
      </x:c>
      <x:c r="I1321" s="12">
        <x:f t="shared" si="121"/>
        <x:v>620010</x:v>
      </x:c>
      <x:c r="J1321" s="12">
        <x:f>ROUND(英雄升级调参!$D$68*英雄升级调参!$J$10*英雄升级调参!$E$26,0)</x:f>
        <x:v>27</x:v>
      </x:c>
      <x:c r="K1321" s="12">
        <x:f>ROUND(英雄升级调参!$D$68*英雄升级调参!$C$11*英雄升级调参!$J$10*英雄升级调参!$G$26,0)</x:f>
        <x:v>270</x:v>
      </x:c>
      <x:c r="L1321" s="12" t="n">
        <x:f>养成消耗调参!$D$150</x:f>
        <x:v>36</x:v>
      </x:c>
      <x:c r="M1321" s="12" t="n">
        <x:f>养成消耗调参!$G$150</x:f>
        <x:v>450</x:v>
      </x:c>
      <x:c r="N1321" s="12" t="n">
        <x:f>养成消耗调参!$I$150</x:f>
        <x:v>0</x:v>
      </x:c>
      <x:c r="O1321" s="12" t="n">
        <x:f>养成消耗调参!$K$150</x:f>
        <x:v>72</x:v>
      </x:c>
      <x:c r="P1321" s="12" t="n">
        <x:f>养成消耗调参!$N$150</x:f>
        <x:v>900</x:v>
      </x:c>
      <x:c r="Q1321" s="12" t="n">
        <x:f>养成消耗调参!$P$150</x:f>
        <x:v>0</x:v>
      </x:c>
      <x:c r="R1321" s="13" t="n">
        <x:f>I1321/英雄升级调参!$J$68-1</x:f>
        <x:v>0</x:v>
      </x:c>
      <x:c r="S1321" s="6"/>
      <x:c r="T1321" s="6"/>
      <x:c r="U1321" s="6"/>
    </x:row>
    <x:row r="1322" ht="21" customHeight="1">
      <x:c r="A1322" s="14" t="n">
        <x:f>英雄升级调参!$B$26</x:f>
        <x:v>310009</x:v>
      </x:c>
      <x:c r="B1322" s="14" t="str">
        <x:f>英雄升级调参!$C$26</x:f>
        <x:v>海希</x:v>
      </x:c>
      <x:c r="C1322" s="6" t="str">
        <x:f>英雄升级调参!$D$26</x:f>
        <x:v>探险家</x:v>
      </x:c>
      <x:c r="D1322" s="6" t="s">
        <x:v>22</x:v>
      </x:c>
      <x:c r="E1322" s="6">
        <x:v>4</x:v>
      </x:c>
      <x:c r="F1322" s="6" t="n">
        <x:f>英雄升级调参!$C$69</x:f>
        <x:v>1</x:v>
      </x:c>
      <x:c r="G1322" s="12">
        <x:f t="shared" si="124"/>
        <x:v>276</x:v>
      </x:c>
      <x:c r="H1322" s="12">
        <x:f t="shared" si="125"/>
        <x:v>2760</x:v>
      </x:c>
      <x:c r="I1322" s="12">
        <x:f t="shared" si="121"/>
        <x:v>761760</x:v>
      </x:c>
      <x:c r="J1322" s="12">
        <x:f>ROUND(英雄升级调参!$D$69*英雄升级调参!$J$10*英雄升级调参!$E$26,0)</x:f>
        <x:v>27</x:v>
      </x:c>
      <x:c r="K1322" s="12">
        <x:f>ROUND(英雄升级调参!$D$69*英雄升级调参!$C$11*英雄升级调参!$J$10*英雄升级调参!$G$26,0)</x:f>
        <x:v>270</x:v>
      </x:c>
      <x:c r="L1322" s="12" t="n">
        <x:f>养成消耗调参!$D$151</x:f>
        <x:v>72</x:v>
      </x:c>
      <x:c r="M1322" s="12" t="n">
        <x:f>养成消耗调参!$G$151</x:f>
        <x:v>450</x:v>
      </x:c>
      <x:c r="N1322" s="12" t="n">
        <x:f>养成消耗调参!$I$151</x:f>
        <x:v>0</x:v>
      </x:c>
      <x:c r="O1322" s="12" t="n">
        <x:f>养成消耗调参!$K$151</x:f>
        <x:v>144</x:v>
      </x:c>
      <x:c r="P1322" s="12" t="n">
        <x:f>养成消耗调参!$N$151</x:f>
        <x:v>1350</x:v>
      </x:c>
      <x:c r="Q1322" s="12" t="n">
        <x:f>养成消耗调参!$P$151</x:f>
        <x:v>0</x:v>
      </x:c>
      <x:c r="R1322" s="13" t="n">
        <x:f>I1322/英雄升级调参!$J$69-1</x:f>
        <x:v>0</x:v>
      </x:c>
      <x:c r="S1322" s="6"/>
      <x:c r="T1322" s="6"/>
      <x:c r="U1322" s="6"/>
    </x:row>
    <x:row r="1323" ht="21" customHeight="1">
      <x:c r="A1323" s="14" t="n">
        <x:f>英雄升级调参!$B$26</x:f>
        <x:v>310009</x:v>
      </x:c>
      <x:c r="B1323" s="14" t="str">
        <x:f>英雄升级调参!$C$26</x:f>
        <x:v>海希</x:v>
      </x:c>
      <x:c r="C1323" s="6" t="str">
        <x:f>英雄升级调参!$D$26</x:f>
        <x:v>探险家</x:v>
      </x:c>
      <x:c r="D1323" s="6" t="s">
        <x:v>22</x:v>
      </x:c>
      <x:c r="E1323" s="6">
        <x:v>5</x:v>
      </x:c>
      <x:c r="F1323" s="6" t="n">
        <x:f>英雄升级调参!$C$70</x:f>
        <x:v>1</x:v>
      </x:c>
      <x:c r="G1323" s="12">
        <x:f t="shared" si="124"/>
        <x:v>357</x:v>
      </x:c>
      <x:c r="H1323" s="12">
        <x:f t="shared" si="125"/>
        <x:v>3570</x:v>
      </x:c>
      <x:c r="I1323" s="12">
        <x:f t="shared" si="121"/>
        <x:v>1274490</x:v>
      </x:c>
      <x:c r="J1323" s="12">
        <x:f>ROUND(英雄升级调参!$D$70*英雄升级调参!$J$10*英雄升级调参!$E$26,0)*3</x:f>
        <x:v>81</x:v>
      </x:c>
      <x:c r="K1323" s="12">
        <x:f>ROUND(英雄升级调参!$D$70*英雄升级调参!$C$11*英雄升级调参!$J$10*英雄升级调参!$G$26,0)*3</x:f>
        <x:v>810</x:v>
      </x:c>
      <x:c r="L1323" s="12" t="n">
        <x:f>养成消耗调参!$D$152</x:f>
        <x:v>72</x:v>
      </x:c>
      <x:c r="M1323" s="12" t="n">
        <x:f>养成消耗调参!$G$152</x:f>
        <x:v>450</x:v>
      </x:c>
      <x:c r="N1323" s="12" t="n">
        <x:f>养成消耗调参!$I$152</x:f>
        <x:v>10</x:v>
      </x:c>
      <x:c r="O1323" s="12" t="n">
        <x:f>养成消耗调参!$K$152</x:f>
        <x:v>216</x:v>
      </x:c>
      <x:c r="P1323" s="12" t="n">
        <x:f>养成消耗调参!$N$152</x:f>
        <x:v>1800</x:v>
      </x:c>
      <x:c r="Q1323" s="12" t="n">
        <x:f>养成消耗调参!$P$152</x:f>
        <x:v>10</x:v>
      </x:c>
      <x:c r="R1323" s="13" t="n">
        <x:f>I1323/英雄升级调参!$J$70-1</x:f>
        <x:v>0</x:v>
      </x:c>
      <x:c r="S1323" s="6"/>
      <x:c r="T1323" s="6"/>
      <x:c r="U1323" s="6"/>
    </x:row>
    <x:row r="1324" ht="21" customHeight="1">
      <x:c r="A1324" s="14" t="n">
        <x:f>英雄升级调参!$B$26</x:f>
        <x:v>310009</x:v>
      </x:c>
      <x:c r="B1324" s="14" t="str">
        <x:f>英雄升级调参!$C$26</x:f>
        <x:v>海希</x:v>
      </x:c>
      <x:c r="C1324" s="6" t="str">
        <x:f>英雄升级调参!$D$26</x:f>
        <x:v>探险家</x:v>
      </x:c>
      <x:c r="D1324" s="6" t="s">
        <x:v>22</x:v>
      </x:c>
      <x:c r="E1324" s="6">
        <x:v>6</x:v>
      </x:c>
      <x:c r="F1324" s="6" t="n">
        <x:f>英雄升级调参!$C$71</x:f>
        <x:v>2</x:v>
      </x:c>
      <x:c r="G1324" s="12">
        <x:f t="shared" si="124"/>
        <x:v>398</x:v>
      </x:c>
      <x:c r="H1324" s="12">
        <x:f t="shared" si="125"/>
        <x:v>3975</x:v>
      </x:c>
      <x:c r="I1324" s="12">
        <x:f t="shared" si="121"/>
        <x:v>1582050</x:v>
      </x:c>
      <x:c r="J1324" s="12">
        <x:f>ROUND(英雄升级调参!$D$71*英雄升级调参!$J$10*英雄升级调参!$E$26,0)</x:f>
        <x:v>41</x:v>
      </x:c>
      <x:c r="K1324" s="12">
        <x:f>ROUND(英雄升级调参!$D$71*英雄升级调参!$C$11*英雄升级调参!$J$10*英雄升级调参!$G$26,0)</x:f>
        <x:v>405</x:v>
      </x:c>
      <x:c r="L1324" s="12" t="n">
        <x:f>养成消耗调参!$D$153</x:f>
        <x:v>144</x:v>
      </x:c>
      <x:c r="M1324" s="12" t="n">
        <x:f>养成消耗调参!$G$153</x:f>
        <x:v>450</x:v>
      </x:c>
      <x:c r="N1324" s="12" t="n">
        <x:f>养成消耗调参!$I$153</x:f>
        <x:v>0</x:v>
      </x:c>
      <x:c r="O1324" s="12" t="n">
        <x:f>养成消耗调参!$K$153</x:f>
        <x:v>360</x:v>
      </x:c>
      <x:c r="P1324" s="12" t="n">
        <x:f>养成消耗调参!$N$153</x:f>
        <x:v>2250</x:v>
      </x:c>
      <x:c r="Q1324" s="12" t="n">
        <x:f>养成消耗调参!$P$153</x:f>
        <x:v>10</x:v>
      </x:c>
      <x:c r="R1324" s="13" t="n">
        <x:f>I1324/英雄升级调参!$J$71-1</x:f>
        <x:v>0</x:v>
      </x:c>
      <x:c r="S1324" s="6"/>
      <x:c r="T1324" s="6"/>
      <x:c r="U1324" s="6"/>
    </x:row>
    <x:row r="1325" ht="21" customHeight="1">
      <x:c r="A1325" s="14" t="n">
        <x:f>英雄升级调参!$B$26</x:f>
        <x:v>310009</x:v>
      </x:c>
      <x:c r="B1325" s="14" t="str">
        <x:f>英雄升级调参!$C$26</x:f>
        <x:v>海希</x:v>
      </x:c>
      <x:c r="C1325" s="6" t="str">
        <x:f>英雄升级调参!$D$26</x:f>
        <x:v>探险家</x:v>
      </x:c>
      <x:c r="D1325" s="6" t="s">
        <x:v>22</x:v>
      </x:c>
      <x:c r="E1325" s="6">
        <x:v>7</x:v>
      </x:c>
      <x:c r="F1325" s="6" t="n">
        <x:f>英雄升级调参!$C$72</x:f>
        <x:v>2</x:v>
      </x:c>
      <x:c r="G1325" s="12">
        <x:f t="shared" si="124"/>
        <x:v>439</x:v>
      </x:c>
      <x:c r="H1325" s="12">
        <x:f t="shared" si="125"/>
        <x:v>4380</x:v>
      </x:c>
      <x:c r="I1325" s="12">
        <x:f t="shared" si="121"/>
        <x:v>1922820</x:v>
      </x:c>
      <x:c r="J1325" s="12">
        <x:f>ROUND(英雄升级调参!$D$72*英雄升级调参!$J$10*英雄升级调参!$E$26,0)</x:f>
        <x:v>41</x:v>
      </x:c>
      <x:c r="K1325" s="12">
        <x:f>ROUND(英雄升级调参!$D$72*英雄升级调参!$C$11*英雄升级调参!$J$10*英雄升级调参!$G$26,0)</x:f>
        <x:v>405</x:v>
      </x:c>
      <x:c r="L1325" s="12" t="n">
        <x:f>养成消耗调参!$D$154</x:f>
        <x:v>144</x:v>
      </x:c>
      <x:c r="M1325" s="12" t="n">
        <x:f>养成消耗调参!$G$154</x:f>
        <x:v>1350</x:v>
      </x:c>
      <x:c r="N1325" s="12" t="n">
        <x:f>养成消耗调参!$I$154</x:f>
        <x:v>0</x:v>
      </x:c>
      <x:c r="O1325" s="12" t="n">
        <x:f>养成消耗调参!$K$154</x:f>
        <x:v>504</x:v>
      </x:c>
      <x:c r="P1325" s="12" t="n">
        <x:f>养成消耗调参!$N$154</x:f>
        <x:v>3600</x:v>
      </x:c>
      <x:c r="Q1325" s="12" t="n">
        <x:f>养成消耗调参!$P$154</x:f>
        <x:v>10</x:v>
      </x:c>
      <x:c r="R1325" s="13" t="n">
        <x:f>I1325/英雄升级调参!$J$72-1</x:f>
        <x:v>0</x:v>
      </x:c>
      <x:c r="S1325" s="6"/>
      <x:c r="T1325" s="6"/>
      <x:c r="U1325" s="6"/>
    </x:row>
    <x:row r="1326" ht="21" customHeight="1">
      <x:c r="A1326" s="14" t="n">
        <x:f>英雄升级调参!$B$26</x:f>
        <x:v>310009</x:v>
      </x:c>
      <x:c r="B1326" s="14" t="str">
        <x:f>英雄升级调参!$C$26</x:f>
        <x:v>海希</x:v>
      </x:c>
      <x:c r="C1326" s="6" t="str">
        <x:f>英雄升级调参!$D$26</x:f>
        <x:v>探险家</x:v>
      </x:c>
      <x:c r="D1326" s="6" t="s">
        <x:v>22</x:v>
      </x:c>
      <x:c r="E1326" s="6">
        <x:v>8</x:v>
      </x:c>
      <x:c r="F1326" s="6" t="n">
        <x:f>英雄升级调参!$C$73</x:f>
        <x:v>2</x:v>
      </x:c>
      <x:c r="G1326" s="12">
        <x:f t="shared" si="124"/>
        <x:v>480</x:v>
      </x:c>
      <x:c r="H1326" s="12">
        <x:f t="shared" si="125"/>
        <x:v>4785</x:v>
      </x:c>
      <x:c r="I1326" s="12">
        <x:f t="shared" si="121"/>
        <x:v>2296800</x:v>
      </x:c>
      <x:c r="J1326" s="12">
        <x:f>ROUND(英雄升级调参!$D$73*英雄升级调参!$J$10*英雄升级调参!$E$26,0)</x:f>
        <x:v>41</x:v>
      </x:c>
      <x:c r="K1326" s="12">
        <x:f>ROUND(英雄升级调参!$D$73*英雄升级调参!$C$11*英雄升级调参!$J$10*英雄升级调参!$G$26,0)</x:f>
        <x:v>405</x:v>
      </x:c>
      <x:c r="L1326" s="12" t="n">
        <x:f>养成消耗调参!$D$155</x:f>
        <x:v>216</x:v>
      </x:c>
      <x:c r="M1326" s="12" t="n">
        <x:f>养成消耗调参!$G$155</x:f>
        <x:v>1350</x:v>
      </x:c>
      <x:c r="N1326" s="12" t="n">
        <x:f>养成消耗调参!$I$155</x:f>
        <x:v>0</x:v>
      </x:c>
      <x:c r="O1326" s="12" t="n">
        <x:f>养成消耗调参!$K$155</x:f>
        <x:v>720</x:v>
      </x:c>
      <x:c r="P1326" s="12" t="n">
        <x:f>养成消耗调参!$N$155</x:f>
        <x:v>4950</x:v>
      </x:c>
      <x:c r="Q1326" s="12" t="n">
        <x:f>养成消耗调参!$P$155</x:f>
        <x:v>10</x:v>
      </x:c>
      <x:c r="R1326" s="13" t="n">
        <x:f>I1326/英雄升级调参!$J$73-1</x:f>
        <x:v>0</x:v>
      </x:c>
      <x:c r="S1326" s="6"/>
      <x:c r="T1326" s="6"/>
      <x:c r="U1326" s="6"/>
    </x:row>
    <x:row r="1327" ht="21" customHeight="1">
      <x:c r="A1327" s="14" t="n">
        <x:f>英雄升级调参!$B$26</x:f>
        <x:v>310009</x:v>
      </x:c>
      <x:c r="B1327" s="14" t="str">
        <x:f>英雄升级调参!$C$26</x:f>
        <x:v>海希</x:v>
      </x:c>
      <x:c r="C1327" s="6" t="str">
        <x:f>英雄升级调参!$D$26</x:f>
        <x:v>探险家</x:v>
      </x:c>
      <x:c r="D1327" s="6" t="s">
        <x:v>22</x:v>
      </x:c>
      <x:c r="E1327" s="6">
        <x:v>9</x:v>
      </x:c>
      <x:c r="F1327" s="6" t="n">
        <x:f>英雄升级调参!$C$74</x:f>
        <x:v>2</x:v>
      </x:c>
      <x:c r="G1327" s="12">
        <x:f t="shared" si="124"/>
        <x:v>521</x:v>
      </x:c>
      <x:c r="H1327" s="12">
        <x:f t="shared" si="125"/>
        <x:v>5190</x:v>
      </x:c>
      <x:c r="I1327" s="12">
        <x:f t="shared" si="121"/>
        <x:v>2703990</x:v>
      </x:c>
      <x:c r="J1327" s="12">
        <x:f>ROUND(英雄升级调参!$D$74*英雄升级调参!$J$10*英雄升级调参!$E$26,0)</x:f>
        <x:v>41</x:v>
      </x:c>
      <x:c r="K1327" s="12">
        <x:f>ROUND(英雄升级调参!$D$74*英雄升级调参!$C$11*英雄升级调参!$J$10*英雄升级调参!$G$26,0)</x:f>
        <x:v>405</x:v>
      </x:c>
      <x:c r="L1327" s="12" t="n">
        <x:f>养成消耗调参!$D$156</x:f>
        <x:v>216</x:v>
      </x:c>
      <x:c r="M1327" s="12" t="n">
        <x:f>养成消耗调参!$G$156</x:f>
        <x:v>1350</x:v>
      </x:c>
      <x:c r="N1327" s="12" t="n">
        <x:f>养成消耗调参!$I$156</x:f>
        <x:v>0</x:v>
      </x:c>
      <x:c r="O1327" s="12" t="n">
        <x:f>养成消耗调参!$K$156</x:f>
        <x:v>936</x:v>
      </x:c>
      <x:c r="P1327" s="12" t="n">
        <x:f>养成消耗调参!$N$156</x:f>
        <x:v>6300</x:v>
      </x:c>
      <x:c r="Q1327" s="12" t="n">
        <x:f>养成消耗调参!$P$156</x:f>
        <x:v>10</x:v>
      </x:c>
      <x:c r="R1327" s="13" t="n">
        <x:f>I1327/英雄升级调参!$J$74-1</x:f>
        <x:v>0</x:v>
      </x:c>
      <x:c r="S1327" s="6"/>
      <x:c r="T1327" s="6"/>
      <x:c r="U1327" s="6"/>
    </x:row>
    <x:row r="1328" ht="21" customHeight="1">
      <x:c r="A1328" s="14" t="n">
        <x:f>英雄升级调参!$B$26</x:f>
        <x:v>310009</x:v>
      </x:c>
      <x:c r="B1328" s="14" t="str">
        <x:f>英雄升级调参!$C$26</x:f>
        <x:v>海希</x:v>
      </x:c>
      <x:c r="C1328" s="6" t="str">
        <x:f>英雄升级调参!$D$26</x:f>
        <x:v>探险家</x:v>
      </x:c>
      <x:c r="D1328" s="6" t="s">
        <x:v>22</x:v>
      </x:c>
      <x:c r="E1328" s="6">
        <x:v>10</x:v>
      </x:c>
      <x:c r="F1328" s="6" t="n">
        <x:f>英雄升级调参!$C$75</x:f>
        <x:v>2</x:v>
      </x:c>
      <x:c r="G1328" s="12">
        <x:f t="shared" si="124"/>
        <x:v>644</x:v>
      </x:c>
      <x:c r="H1328" s="12">
        <x:f t="shared" si="125"/>
        <x:v>6405</x:v>
      </x:c>
      <x:c r="I1328" s="12">
        <x:f t="shared" si="121"/>
        <x:v>4124820</x:v>
      </x:c>
      <x:c r="J1328" s="12">
        <x:f>ROUND(英雄升级调参!$D$75*英雄升级调参!$J$10*英雄升级调参!$E$26,0)*3</x:f>
        <x:v>123</x:v>
      </x:c>
      <x:c r="K1328" s="12">
        <x:f>ROUND(英雄升级调参!$D$75*英雄升级调参!$C$11*英雄升级调参!$J$10*英雄升级调参!$G$26,0)*3</x:f>
        <x:v>1215</x:v>
      </x:c>
      <x:c r="L1328" s="12" t="n">
        <x:f>养成消耗调参!$D$157</x:f>
        <x:v>288</x:v>
      </x:c>
      <x:c r="M1328" s="12" t="n">
        <x:f>养成消耗调参!$G$157</x:f>
        <x:v>1350</x:v>
      </x:c>
      <x:c r="N1328" s="12" t="n">
        <x:f>养成消耗调参!$I$157</x:f>
        <x:v>30</x:v>
      </x:c>
      <x:c r="O1328" s="12" t="n">
        <x:f>养成消耗调参!$K$157</x:f>
        <x:v>1224</x:v>
      </x:c>
      <x:c r="P1328" s="12" t="n">
        <x:f>养成消耗调参!$N$157</x:f>
        <x:v>7650</x:v>
      </x:c>
      <x:c r="Q1328" s="12" t="n">
        <x:f>养成消耗调参!$P$157</x:f>
        <x:v>40</x:v>
      </x:c>
      <x:c r="R1328" s="13" t="n">
        <x:f>I1328/英雄升级调参!$J$75-1</x:f>
        <x:v>0</x:v>
      </x:c>
      <x:c r="S1328" s="6"/>
      <x:c r="T1328" s="6"/>
      <x:c r="U1328" s="6"/>
    </x:row>
    <x:row r="1329" ht="21" customHeight="1">
      <x:c r="A1329" s="14" t="n">
        <x:f>英雄升级调参!$B$26</x:f>
        <x:v>310009</x:v>
      </x:c>
      <x:c r="B1329" s="14" t="str">
        <x:f>英雄升级调参!$C$26</x:f>
        <x:v>海希</x:v>
      </x:c>
      <x:c r="C1329" s="6" t="str">
        <x:f>英雄升级调参!$D$26</x:f>
        <x:v>探险家</x:v>
      </x:c>
      <x:c r="D1329" s="6" t="s">
        <x:v>22</x:v>
      </x:c>
      <x:c r="E1329" s="6">
        <x:v>11</x:v>
      </x:c>
      <x:c r="F1329" s="6" t="n">
        <x:f>英雄升级调参!$C$76</x:f>
        <x:v>3</x:v>
      </x:c>
      <x:c r="G1329" s="12">
        <x:f t="shared" si="124"/>
        <x:v>698</x:v>
      </x:c>
      <x:c r="H1329" s="12">
        <x:f t="shared" si="125"/>
        <x:v>6945</x:v>
      </x:c>
      <x:c r="I1329" s="12">
        <x:f t="shared" si="121"/>
        <x:v>4847610</x:v>
      </x:c>
      <x:c r="J1329" s="12">
        <x:f>ROUND(英雄升级调参!$D$76*英雄升级调参!$J$10*英雄升级调参!$E$26,0)</x:f>
        <x:v>54</x:v>
      </x:c>
      <x:c r="K1329" s="12">
        <x:f>ROUND(英雄升级调参!$D$76*英雄升级调参!$C$11*英雄升级调参!$J$10*英雄升级调参!$G$26,0)</x:f>
        <x:v>540</x:v>
      </x:c>
      <x:c r="L1329" s="12" t="n">
        <x:f>养成消耗调参!$D$158</x:f>
        <x:v>288</x:v>
      </x:c>
      <x:c r="M1329" s="12" t="n">
        <x:f>养成消耗调参!$G$158</x:f>
        <x:v>1350</x:v>
      </x:c>
      <x:c r="N1329" s="12" t="n">
        <x:f>养成消耗调参!$I$158</x:f>
        <x:v>0</x:v>
      </x:c>
      <x:c r="O1329" s="12" t="n">
        <x:f>养成消耗调参!$K$158</x:f>
        <x:v>1512</x:v>
      </x:c>
      <x:c r="P1329" s="12" t="n">
        <x:f>养成消耗调参!$N$158</x:f>
        <x:v>9000</x:v>
      </x:c>
      <x:c r="Q1329" s="12" t="n">
        <x:f>养成消耗调参!$P$158</x:f>
        <x:v>40</x:v>
      </x:c>
      <x:c r="R1329" s="13" t="n">
        <x:f>I1329/英雄升级调参!$J$76-1</x:f>
        <x:v>0</x:v>
      </x:c>
      <x:c r="S1329" s="6"/>
      <x:c r="T1329" s="6"/>
      <x:c r="U1329" s="6"/>
    </x:row>
    <x:row r="1330" ht="21" customHeight="1">
      <x:c r="A1330" s="14" t="n">
        <x:f>英雄升级调参!$B$26</x:f>
        <x:v>310009</x:v>
      </x:c>
      <x:c r="B1330" s="14" t="str">
        <x:f>英雄升级调参!$C$26</x:f>
        <x:v>海希</x:v>
      </x:c>
      <x:c r="C1330" s="6" t="str">
        <x:f>英雄升级调参!$D$26</x:f>
        <x:v>探险家</x:v>
      </x:c>
      <x:c r="D1330" s="6" t="s">
        <x:v>22</x:v>
      </x:c>
      <x:c r="E1330" s="6">
        <x:v>12</x:v>
      </x:c>
      <x:c r="F1330" s="6" t="n">
        <x:f>英雄升级调参!$C$77</x:f>
        <x:v>3</x:v>
      </x:c>
      <x:c r="G1330" s="12">
        <x:f t="shared" si="124"/>
        <x:v>752</x:v>
      </x:c>
      <x:c r="H1330" s="12">
        <x:f t="shared" si="125"/>
        <x:v>7485</x:v>
      </x:c>
      <x:c r="I1330" s="12">
        <x:f t="shared" si="121"/>
        <x:v>5628720</x:v>
      </x:c>
      <x:c r="J1330" s="12">
        <x:f>ROUND(英雄升级调参!$D$77*英雄升级调参!$J$10*英雄升级调参!$E$26,0)</x:f>
        <x:v>54</x:v>
      </x:c>
      <x:c r="K1330" s="12">
        <x:f>ROUND(英雄升级调参!$D$77*英雄升级调参!$C$11*英雄升级调参!$J$10*英雄升级调参!$G$26,0)</x:f>
        <x:v>540</x:v>
      </x:c>
      <x:c r="L1330" s="12" t="n">
        <x:f>养成消耗调参!$D$159</x:f>
        <x:v>360</x:v>
      </x:c>
      <x:c r="M1330" s="12" t="n">
        <x:f>养成消耗调参!$G$159</x:f>
        <x:v>2250</x:v>
      </x:c>
      <x:c r="N1330" s="12" t="n">
        <x:f>养成消耗调参!$I$159</x:f>
        <x:v>0</x:v>
      </x:c>
      <x:c r="O1330" s="12" t="n">
        <x:f>养成消耗调参!$K$159</x:f>
        <x:v>1872</x:v>
      </x:c>
      <x:c r="P1330" s="12" t="n">
        <x:f>养成消耗调参!$N$159</x:f>
        <x:v>11250</x:v>
      </x:c>
      <x:c r="Q1330" s="12" t="n">
        <x:f>养成消耗调参!$P$159</x:f>
        <x:v>40</x:v>
      </x:c>
      <x:c r="R1330" s="13" t="n">
        <x:f>I1330/英雄升级调参!$J$77-1</x:f>
        <x:v>0</x:v>
      </x:c>
      <x:c r="S1330" s="6"/>
      <x:c r="T1330" s="6"/>
      <x:c r="U1330" s="6"/>
    </x:row>
    <x:row r="1331" ht="21" customHeight="1">
      <x:c r="A1331" s="14" t="n">
        <x:f>英雄升级调参!$B$26</x:f>
        <x:v>310009</x:v>
      </x:c>
      <x:c r="B1331" s="14" t="str">
        <x:f>英雄升级调参!$C$26</x:f>
        <x:v>海希</x:v>
      </x:c>
      <x:c r="C1331" s="6" t="str">
        <x:f>英雄升级调参!$D$26</x:f>
        <x:v>探险家</x:v>
      </x:c>
      <x:c r="D1331" s="6" t="s">
        <x:v>22</x:v>
      </x:c>
      <x:c r="E1331" s="6">
        <x:v>13</x:v>
      </x:c>
      <x:c r="F1331" s="6" t="n">
        <x:f>英雄升级调参!$C$78</x:f>
        <x:v>3</x:v>
      </x:c>
      <x:c r="G1331" s="12">
        <x:f t="shared" si="124"/>
        <x:v>806</x:v>
      </x:c>
      <x:c r="H1331" s="12">
        <x:f t="shared" si="125"/>
        <x:v>8025</x:v>
      </x:c>
      <x:c r="I1331" s="12">
        <x:f t="shared" si="121"/>
        <x:v>6468150</x:v>
      </x:c>
      <x:c r="J1331" s="12">
        <x:f>ROUND(英雄升级调参!$D$78*英雄升级调参!$J$10*英雄升级调参!$E$26,0)</x:f>
        <x:v>54</x:v>
      </x:c>
      <x:c r="K1331" s="12">
        <x:f>ROUND(英雄升级调参!$D$78*英雄升级调参!$C$11*英雄升级调参!$J$10*英雄升级调参!$G$26,0)</x:f>
        <x:v>540</x:v>
      </x:c>
      <x:c r="L1331" s="12" t="n">
        <x:f>养成消耗调参!$D$160</x:f>
        <x:v>360</x:v>
      </x:c>
      <x:c r="M1331" s="12" t="n">
        <x:f>养成消耗调参!$G$160</x:f>
        <x:v>2250</x:v>
      </x:c>
      <x:c r="N1331" s="12" t="n">
        <x:f>养成消耗调参!$I$160</x:f>
        <x:v>0</x:v>
      </x:c>
      <x:c r="O1331" s="12" t="n">
        <x:f>养成消耗调参!$K$160</x:f>
        <x:v>2232</x:v>
      </x:c>
      <x:c r="P1331" s="12" t="n">
        <x:f>养成消耗调参!$N$160</x:f>
        <x:v>13500</x:v>
      </x:c>
      <x:c r="Q1331" s="12" t="n">
        <x:f>养成消耗调参!$P$160</x:f>
        <x:v>40</x:v>
      </x:c>
      <x:c r="R1331" s="13" t="n">
        <x:f>I1331/英雄升级调参!$J$78-1</x:f>
        <x:v>0</x:v>
      </x:c>
      <x:c r="S1331" s="6"/>
      <x:c r="T1331" s="6"/>
      <x:c r="U1331" s="6"/>
    </x:row>
    <x:row r="1332" ht="21" customHeight="1">
      <x:c r="A1332" s="14" t="n">
        <x:f>英雄升级调参!$B$26</x:f>
        <x:v>310009</x:v>
      </x:c>
      <x:c r="B1332" s="14" t="str">
        <x:f>英雄升级调参!$C$26</x:f>
        <x:v>海希</x:v>
      </x:c>
      <x:c r="C1332" s="6" t="str">
        <x:f>英雄升级调参!$D$26</x:f>
        <x:v>探险家</x:v>
      </x:c>
      <x:c r="D1332" s="6" t="s">
        <x:v>22</x:v>
      </x:c>
      <x:c r="E1332" s="6">
        <x:v>14</x:v>
      </x:c>
      <x:c r="F1332" s="6" t="n">
        <x:f>英雄升级调参!$C$79</x:f>
        <x:v>3</x:v>
      </x:c>
      <x:c r="G1332" s="12">
        <x:f t="shared" si="124"/>
        <x:v>860</x:v>
      </x:c>
      <x:c r="H1332" s="12">
        <x:f t="shared" si="125"/>
        <x:v>8565</x:v>
      </x:c>
      <x:c r="I1332" s="12">
        <x:f t="shared" si="121"/>
        <x:v>7365900</x:v>
      </x:c>
      <x:c r="J1332" s="12">
        <x:f>ROUND(英雄升级调参!$D$79*英雄升级调参!$J$10*英雄升级调参!$E$26,0)</x:f>
        <x:v>54</x:v>
      </x:c>
      <x:c r="K1332" s="12">
        <x:f>ROUND(英雄升级调参!$D$79*英雄升级调参!$C$11*英雄升级调参!$J$10*英雄升级调参!$G$26,0)</x:f>
        <x:v>540</x:v>
      </x:c>
      <x:c r="L1332" s="12" t="n">
        <x:f>养成消耗调参!$D$161</x:f>
        <x:v>432</x:v>
      </x:c>
      <x:c r="M1332" s="12" t="n">
        <x:f>养成消耗调参!$G$161</x:f>
        <x:v>2250</x:v>
      </x:c>
      <x:c r="N1332" s="12" t="n">
        <x:f>养成消耗调参!$I$161</x:f>
        <x:v>0</x:v>
      </x:c>
      <x:c r="O1332" s="12" t="n">
        <x:f>养成消耗调参!$K$161</x:f>
        <x:v>2664</x:v>
      </x:c>
      <x:c r="P1332" s="12" t="n">
        <x:f>养成消耗调参!$N$161</x:f>
        <x:v>15750</x:v>
      </x:c>
      <x:c r="Q1332" s="12" t="n">
        <x:f>养成消耗调参!$P$161</x:f>
        <x:v>40</x:v>
      </x:c>
      <x:c r="R1332" s="13" t="n">
        <x:f>I1332/英雄升级调参!$J$79-1</x:f>
        <x:v>0</x:v>
      </x:c>
      <x:c r="S1332" s="6"/>
      <x:c r="T1332" s="6"/>
      <x:c r="U1332" s="6"/>
    </x:row>
    <x:row r="1333" ht="21" customHeight="1">
      <x:c r="A1333" s="14" t="n">
        <x:f>英雄升级调参!$B$26</x:f>
        <x:v>310009</x:v>
      </x:c>
      <x:c r="B1333" s="14" t="str">
        <x:f>英雄升级调参!$C$26</x:f>
        <x:v>海希</x:v>
      </x:c>
      <x:c r="C1333" s="6" t="str">
        <x:f>英雄升级调参!$D$26</x:f>
        <x:v>探险家</x:v>
      </x:c>
      <x:c r="D1333" s="6" t="s">
        <x:v>22</x:v>
      </x:c>
      <x:c r="E1333" s="6">
        <x:v>15</x:v>
      </x:c>
      <x:c r="F1333" s="6" t="n">
        <x:f>英雄升级调参!$C$80</x:f>
        <x:v>3</x:v>
      </x:c>
      <x:c r="G1333" s="12">
        <x:f t="shared" si="124"/>
        <x:v>1022</x:v>
      </x:c>
      <x:c r="H1333" s="12">
        <x:f t="shared" si="125"/>
        <x:v>10185</x:v>
      </x:c>
      <x:c r="I1333" s="12">
        <x:f t="shared" si="121"/>
        <x:v>10409070</x:v>
      </x:c>
      <x:c r="J1333" s="12">
        <x:f>ROUND(英雄升级调参!$D$80*英雄升级调参!$J$10*英雄升级调参!$E$26,0)*3</x:f>
        <x:v>162</x:v>
      </x:c>
      <x:c r="K1333" s="12">
        <x:f>ROUND(英雄升级调参!$D$80*英雄升级调参!$C$11*英雄升级调参!$J$10*英雄升级调参!$G$26,0)*3</x:f>
        <x:v>1620</x:v>
      </x:c>
      <x:c r="L1333" s="12" t="n">
        <x:f>养成消耗调参!$D$162</x:f>
        <x:v>432</x:v>
      </x:c>
      <x:c r="M1333" s="12" t="n">
        <x:f>养成消耗调参!$G$162</x:f>
        <x:v>2250</x:v>
      </x:c>
      <x:c r="N1333" s="12" t="n">
        <x:f>养成消耗调参!$I$162</x:f>
        <x:v>50</x:v>
      </x:c>
      <x:c r="O1333" s="12" t="n">
        <x:f>养成消耗调参!$K$162</x:f>
        <x:v>3096</x:v>
      </x:c>
      <x:c r="P1333" s="12" t="n">
        <x:f>养成消耗调参!$N$162</x:f>
        <x:v>18000</x:v>
      </x:c>
      <x:c r="Q1333" s="12" t="n">
        <x:f>养成消耗调参!$P$162</x:f>
        <x:v>90</x:v>
      </x:c>
      <x:c r="R1333" s="13" t="n">
        <x:f>I1333/英雄升级调参!$J$80-1</x:f>
        <x:v>0</x:v>
      </x:c>
      <x:c r="S1333" s="6"/>
      <x:c r="T1333" s="6"/>
      <x:c r="U1333" s="6"/>
    </x:row>
    <x:row r="1334" ht="21" customHeight="1">
      <x:c r="A1334" s="14" t="n">
        <x:f>英雄升级调参!$B$26</x:f>
        <x:v>310009</x:v>
      </x:c>
      <x:c r="B1334" s="14" t="str">
        <x:f>英雄升级调参!$C$26</x:f>
        <x:v>海希</x:v>
      </x:c>
      <x:c r="C1334" s="6" t="str">
        <x:f>英雄升级调参!$D$26</x:f>
        <x:v>探险家</x:v>
      </x:c>
      <x:c r="D1334" s="6" t="s">
        <x:v>22</x:v>
      </x:c>
      <x:c r="E1334" s="6">
        <x:v>16</x:v>
      </x:c>
      <x:c r="F1334" s="6" t="n">
        <x:f>英雄升级调参!$C$81</x:f>
        <x:v>4</x:v>
      </x:c>
      <x:c r="G1334" s="12">
        <x:f t="shared" si="124"/>
        <x:v>1090</x:v>
      </x:c>
      <x:c r="H1334" s="12">
        <x:f t="shared" si="125"/>
        <x:v>10860</x:v>
      </x:c>
      <x:c r="I1334" s="12">
        <x:f t="shared" si="121"/>
        <x:v>11837400</x:v>
      </x:c>
      <x:c r="J1334" s="12">
        <x:f>ROUND(英雄升级调参!$D$81*英雄升级调参!$J$10*英雄升级调参!$E$26,0)</x:f>
        <x:v>68</x:v>
      </x:c>
      <x:c r="K1334" s="12">
        <x:f>ROUND(英雄升级调参!$D$81*英雄升级调参!$C$11*英雄升级调参!$J$10*英雄升级调参!$G$26,0)</x:f>
        <x:v>675</x:v>
      </x:c>
      <x:c r="L1334" s="12" t="n">
        <x:f>养成消耗调参!$D$163</x:f>
        <x:v>504</x:v>
      </x:c>
      <x:c r="M1334" s="12" t="n">
        <x:f>养成消耗调参!$G$163</x:f>
        <x:v>2250</x:v>
      </x:c>
      <x:c r="N1334" s="12" t="n">
        <x:f>养成消耗调参!$I$163</x:f>
        <x:v>0</x:v>
      </x:c>
      <x:c r="O1334" s="12" t="n">
        <x:f>养成消耗调参!$K$163</x:f>
        <x:v>3600</x:v>
      </x:c>
      <x:c r="P1334" s="12" t="n">
        <x:f>养成消耗调参!$N$163</x:f>
        <x:v>20250</x:v>
      </x:c>
      <x:c r="Q1334" s="12" t="n">
        <x:f>养成消耗调参!$P$163</x:f>
        <x:v>90</x:v>
      </x:c>
      <x:c r="R1334" s="13" t="n">
        <x:f>I1334/英雄升级调参!$J$81-1</x:f>
        <x:v>0</x:v>
      </x:c>
      <x:c r="S1334" s="6"/>
      <x:c r="T1334" s="6"/>
      <x:c r="U1334" s="6"/>
    </x:row>
    <x:row r="1335" ht="21" customHeight="1">
      <x:c r="A1335" s="14" t="n">
        <x:f>英雄升级调参!$B$26</x:f>
        <x:v>310009</x:v>
      </x:c>
      <x:c r="B1335" s="14" t="str">
        <x:f>英雄升级调参!$C$26</x:f>
        <x:v>海希</x:v>
      </x:c>
      <x:c r="C1335" s="6" t="str">
        <x:f>英雄升级调参!$D$26</x:f>
        <x:v>探险家</x:v>
      </x:c>
      <x:c r="D1335" s="6" t="s">
        <x:v>22</x:v>
      </x:c>
      <x:c r="E1335" s="6">
        <x:v>17</x:v>
      </x:c>
      <x:c r="F1335" s="6" t="n">
        <x:f>英雄升级调参!$C$82</x:f>
        <x:v>4</x:v>
      </x:c>
      <x:c r="G1335" s="12">
        <x:f t="shared" si="124"/>
        <x:v>1158</x:v>
      </x:c>
      <x:c r="H1335" s="12">
        <x:f t="shared" si="125"/>
        <x:v>11535</x:v>
      </x:c>
      <x:c r="I1335" s="12">
        <x:f t="shared" si="121"/>
        <x:v>13357530</x:v>
      </x:c>
      <x:c r="J1335" s="12">
        <x:f>ROUND(英雄升级调参!$D$82*英雄升级调参!$J$10*英雄升级调参!$E$26,0)</x:f>
        <x:v>68</x:v>
      </x:c>
      <x:c r="K1335" s="12">
        <x:f>ROUND(英雄升级调参!$D$82*英雄升级调参!$C$11*英雄升级调参!$J$10*英雄升级调参!$G$26,0)</x:f>
        <x:v>675</x:v>
      </x:c>
      <x:c r="L1335" s="12" t="n">
        <x:f>养成消耗调参!$D$164</x:f>
        <x:v>504</x:v>
      </x:c>
      <x:c r="M1335" s="12" t="n">
        <x:f>养成消耗调参!$G$164</x:f>
        <x:v>3150</x:v>
      </x:c>
      <x:c r="N1335" s="12" t="n">
        <x:f>养成消耗调参!$I$164</x:f>
        <x:v>0</x:v>
      </x:c>
      <x:c r="O1335" s="12" t="n">
        <x:f>养成消耗调参!$K$164</x:f>
        <x:v>4104</x:v>
      </x:c>
      <x:c r="P1335" s="12" t="n">
        <x:f>养成消耗调参!$N$164</x:f>
        <x:v>23400</x:v>
      </x:c>
      <x:c r="Q1335" s="12" t="n">
        <x:f>养成消耗调参!$P$164</x:f>
        <x:v>90</x:v>
      </x:c>
      <x:c r="R1335" s="13" t="n">
        <x:f>I1335/英雄升级调参!$J$82-1</x:f>
        <x:v>0</x:v>
      </x:c>
      <x:c r="S1335" s="6"/>
      <x:c r="T1335" s="6"/>
      <x:c r="U1335" s="6"/>
    </x:row>
    <x:row r="1336" ht="21" customHeight="1">
      <x:c r="A1336" s="14" t="n">
        <x:f>英雄升级调参!$B$26</x:f>
        <x:v>310009</x:v>
      </x:c>
      <x:c r="B1336" s="14" t="str">
        <x:f>英雄升级调参!$C$26</x:f>
        <x:v>海希</x:v>
      </x:c>
      <x:c r="C1336" s="6" t="str">
        <x:f>英雄升级调参!$D$26</x:f>
        <x:v>探险家</x:v>
      </x:c>
      <x:c r="D1336" s="6" t="s">
        <x:v>22</x:v>
      </x:c>
      <x:c r="E1336" s="6">
        <x:v>18</x:v>
      </x:c>
      <x:c r="F1336" s="6" t="n">
        <x:f>英雄升级调参!$C$83</x:f>
        <x:v>4</x:v>
      </x:c>
      <x:c r="G1336" s="12">
        <x:f t="shared" si="124"/>
        <x:v>1226</x:v>
      </x:c>
      <x:c r="H1336" s="12">
        <x:f t="shared" si="125"/>
        <x:v>12210</x:v>
      </x:c>
      <x:c r="I1336" s="12">
        <x:f t="shared" si="121"/>
        <x:v>14969460</x:v>
      </x:c>
      <x:c r="J1336" s="12">
        <x:f>ROUND(英雄升级调参!$D$83*英雄升级调参!$J$10*英雄升级调参!$E$26,0)</x:f>
        <x:v>68</x:v>
      </x:c>
      <x:c r="K1336" s="12">
        <x:f>ROUND(英雄升级调参!$D$83*英雄升级调参!$C$11*英雄升级调参!$J$10*英雄升级调参!$G$26,0)</x:f>
        <x:v>675</x:v>
      </x:c>
      <x:c r="L1336" s="12" t="n">
        <x:f>养成消耗调参!$D$165</x:f>
        <x:v>576</x:v>
      </x:c>
      <x:c r="M1336" s="12" t="n">
        <x:f>养成消耗调参!$G$165</x:f>
        <x:v>3150</x:v>
      </x:c>
      <x:c r="N1336" s="12" t="n">
        <x:f>养成消耗调参!$I$165</x:f>
        <x:v>0</x:v>
      </x:c>
      <x:c r="O1336" s="12" t="n">
        <x:f>养成消耗调参!$K$165</x:f>
        <x:v>4680</x:v>
      </x:c>
      <x:c r="P1336" s="12" t="n">
        <x:f>养成消耗调参!$N$165</x:f>
        <x:v>26550</x:v>
      </x:c>
      <x:c r="Q1336" s="12" t="n">
        <x:f>养成消耗调参!$P$165</x:f>
        <x:v>90</x:v>
      </x:c>
      <x:c r="R1336" s="13" t="n">
        <x:f>I1336/英雄升级调参!$J$83-1</x:f>
        <x:v>0</x:v>
      </x:c>
      <x:c r="S1336" s="6"/>
      <x:c r="T1336" s="6"/>
      <x:c r="U1336" s="6"/>
    </x:row>
    <x:row r="1337" ht="21" customHeight="1">
      <x:c r="A1337" s="14" t="n">
        <x:f>英雄升级调参!$B$26</x:f>
        <x:v>310009</x:v>
      </x:c>
      <x:c r="B1337" s="14" t="str">
        <x:f>英雄升级调参!$C$26</x:f>
        <x:v>海希</x:v>
      </x:c>
      <x:c r="C1337" s="6" t="str">
        <x:f>英雄升级调参!$D$26</x:f>
        <x:v>探险家</x:v>
      </x:c>
      <x:c r="D1337" s="6" t="s">
        <x:v>22</x:v>
      </x:c>
      <x:c r="E1337" s="6">
        <x:v>19</x:v>
      </x:c>
      <x:c r="F1337" s="6" t="n">
        <x:f>英雄升级调参!$C$84</x:f>
        <x:v>4</x:v>
      </x:c>
      <x:c r="G1337" s="12">
        <x:f t="shared" si="124"/>
        <x:v>1294</x:v>
      </x:c>
      <x:c r="H1337" s="12">
        <x:f t="shared" si="125"/>
        <x:v>12885</x:v>
      </x:c>
      <x:c r="I1337" s="12">
        <x:f t="shared" si="121"/>
        <x:v>16673190</x:v>
      </x:c>
      <x:c r="J1337" s="12">
        <x:f>ROUND(英雄升级调参!$D$84*英雄升级调参!$J$10*英雄升级调参!$E$26,0)</x:f>
        <x:v>68</x:v>
      </x:c>
      <x:c r="K1337" s="12">
        <x:f>ROUND(英雄升级调参!$D$84*英雄升级调参!$C$11*英雄升级调参!$J$10*英雄升级调参!$G$26,0)</x:f>
        <x:v>675</x:v>
      </x:c>
      <x:c r="L1337" s="12" t="n">
        <x:f>养成消耗调参!$D$166</x:f>
        <x:v>576</x:v>
      </x:c>
      <x:c r="M1337" s="12" t="n">
        <x:f>养成消耗调参!$G$166</x:f>
        <x:v>3150</x:v>
      </x:c>
      <x:c r="N1337" s="12" t="n">
        <x:f>养成消耗调参!$I$166</x:f>
        <x:v>0</x:v>
      </x:c>
      <x:c r="O1337" s="12" t="n">
        <x:f>养成消耗调参!$K$166</x:f>
        <x:v>5256</x:v>
      </x:c>
      <x:c r="P1337" s="12" t="n">
        <x:f>养成消耗调参!$N$166</x:f>
        <x:v>29700</x:v>
      </x:c>
      <x:c r="Q1337" s="12" t="n">
        <x:f>养成消耗调参!$P$166</x:f>
        <x:v>90</x:v>
      </x:c>
      <x:c r="R1337" s="13" t="n">
        <x:f>I1337/英雄升级调参!$J$84-1</x:f>
        <x:v>0</x:v>
      </x:c>
      <x:c r="S1337" s="6"/>
      <x:c r="T1337" s="6"/>
      <x:c r="U1337" s="6"/>
    </x:row>
    <x:row r="1338" ht="21" customHeight="1">
      <x:c r="A1338" s="14" t="n">
        <x:f>英雄升级调参!$B$26</x:f>
        <x:v>310009</x:v>
      </x:c>
      <x:c r="B1338" s="14" t="str">
        <x:f>英雄升级调参!$C$26</x:f>
        <x:v>海希</x:v>
      </x:c>
      <x:c r="C1338" s="6" t="str">
        <x:f>英雄升级调参!$D$26</x:f>
        <x:v>探险家</x:v>
      </x:c>
      <x:c r="D1338" s="6" t="s">
        <x:v>22</x:v>
      </x:c>
      <x:c r="E1338" s="6">
        <x:v>20</x:v>
      </x:c>
      <x:c r="F1338" s="6" t="n">
        <x:f>英雄升级调参!$C$85</x:f>
        <x:v>4</x:v>
      </x:c>
      <x:c r="G1338" s="12">
        <x:f t="shared" si="124"/>
        <x:v>1498</x:v>
      </x:c>
      <x:c r="H1338" s="12">
        <x:f t="shared" si="125"/>
        <x:v>14910</x:v>
      </x:c>
      <x:c r="I1338" s="12">
        <x:f t="shared" si="121"/>
        <x:v>22335180</x:v>
      </x:c>
      <x:c r="J1338" s="12">
        <x:f>ROUND(英雄升级调参!$D$85*英雄升级调参!$J$10*英雄升级调参!$E$26,0)*3</x:f>
        <x:v>204</x:v>
      </x:c>
      <x:c r="K1338" s="12">
        <x:f>ROUND(英雄升级调参!$D$85*英雄升级调参!$C$11*英雄升级调参!$J$10*英雄升级调参!$G$26,0)*3</x:f>
        <x:v>2025</x:v>
      </x:c>
      <x:c r="L1338" s="12" t="n">
        <x:f>养成消耗调参!$D$167</x:f>
        <x:v>648</x:v>
      </x:c>
      <x:c r="M1338" s="12" t="n">
        <x:f>养成消耗调参!$G$167</x:f>
        <x:v>3150</x:v>
      </x:c>
      <x:c r="N1338" s="12" t="n">
        <x:f>养成消耗调参!$I$167</x:f>
        <x:v>70</x:v>
      </x:c>
      <x:c r="O1338" s="12" t="n">
        <x:f>养成消耗调参!$K$167</x:f>
        <x:v>5904</x:v>
      </x:c>
      <x:c r="P1338" s="12" t="n">
        <x:f>养成消耗调参!$N$167</x:f>
        <x:v>32850</x:v>
      </x:c>
      <x:c r="Q1338" s="12" t="n">
        <x:f>养成消耗调参!$P$167</x:f>
        <x:v>160</x:v>
      </x:c>
      <x:c r="R1338" s="13" t="n">
        <x:f>I1338/英雄升级调参!$J$85-1</x:f>
        <x:v>0</x:v>
      </x:c>
      <x:c r="S1338" s="6"/>
      <x:c r="T1338" s="6"/>
      <x:c r="U1338" s="6"/>
    </x:row>
    <x:row r="1339" ht="21" customHeight="1">
      <x:c r="A1339" s="14" t="n">
        <x:f>英雄升级调参!$B$26</x:f>
        <x:v>310009</x:v>
      </x:c>
      <x:c r="B1339" s="14" t="str">
        <x:f>英雄升级调参!$C$26</x:f>
        <x:v>海希</x:v>
      </x:c>
      <x:c r="C1339" s="6" t="str">
        <x:f>英雄升级调参!$D$26</x:f>
        <x:v>探险家</x:v>
      </x:c>
      <x:c r="D1339" s="6" t="s">
        <x:v>22</x:v>
      </x:c>
      <x:c r="E1339" s="6">
        <x:v>21</x:v>
      </x:c>
      <x:c r="F1339" s="6" t="n">
        <x:f>英雄升级调参!$C$86</x:f>
        <x:v>5</x:v>
      </x:c>
      <x:c r="G1339" s="12">
        <x:f t="shared" si="124"/>
        <x:v>1579</x:v>
      </x:c>
      <x:c r="H1339" s="12">
        <x:f t="shared" si="125"/>
        <x:v>15720</x:v>
      </x:c>
      <x:c r="I1339" s="12">
        <x:f t="shared" si="121"/>
        <x:v>24821880</x:v>
      </x:c>
      <x:c r="J1339" s="12">
        <x:f>ROUND(英雄升级调参!$D$86*英雄升级调参!$J$10*英雄升级调参!$E$26,0)</x:f>
        <x:v>81</x:v>
      </x:c>
      <x:c r="K1339" s="12">
        <x:f>ROUND(英雄升级调参!$D$86*英雄升级调参!$C$11*英雄升级调参!$J$10*英雄升级调参!$G$26,0)</x:f>
        <x:v>810</x:v>
      </x:c>
      <x:c r="L1339" s="12" t="n">
        <x:f>养成消耗调参!$D$168</x:f>
        <x:v>648</x:v>
      </x:c>
      <x:c r="M1339" s="12" t="n">
        <x:f>养成消耗调参!$G$168</x:f>
        <x:v>3150</x:v>
      </x:c>
      <x:c r="N1339" s="12" t="n">
        <x:f>养成消耗调参!$I$168</x:f>
        <x:v>0</x:v>
      </x:c>
      <x:c r="O1339" s="12" t="n">
        <x:f>养成消耗调参!$K$168</x:f>
        <x:v>6552</x:v>
      </x:c>
      <x:c r="P1339" s="12" t="n">
        <x:f>养成消耗调参!$N$168</x:f>
        <x:v>36000</x:v>
      </x:c>
      <x:c r="Q1339" s="12" t="n">
        <x:f>养成消耗调参!$P$168</x:f>
        <x:v>160</x:v>
      </x:c>
      <x:c r="R1339" s="13" t="n">
        <x:f>I1339/英雄升级调参!$J$86-1</x:f>
        <x:v>0</x:v>
      </x:c>
      <x:c r="S1339" s="6"/>
      <x:c r="T1339" s="6"/>
      <x:c r="U1339" s="6"/>
    </x:row>
    <x:row r="1340" ht="21" customHeight="1">
      <x:c r="A1340" s="14" t="n">
        <x:f>英雄升级调参!$B$26</x:f>
        <x:v>310009</x:v>
      </x:c>
      <x:c r="B1340" s="14" t="str">
        <x:f>英雄升级调参!$C$26</x:f>
        <x:v>海希</x:v>
      </x:c>
      <x:c r="C1340" s="6" t="str">
        <x:f>英雄升级调参!$D$26</x:f>
        <x:v>探险家</x:v>
      </x:c>
      <x:c r="D1340" s="6" t="s">
        <x:v>22</x:v>
      </x:c>
      <x:c r="E1340" s="6">
        <x:v>22</x:v>
      </x:c>
      <x:c r="F1340" s="6" t="n">
        <x:f>英雄升级调参!$C$87</x:f>
        <x:v>5</x:v>
      </x:c>
      <x:c r="G1340" s="12">
        <x:f t="shared" si="124"/>
        <x:v>1660</x:v>
      </x:c>
      <x:c r="H1340" s="12">
        <x:f t="shared" si="125"/>
        <x:v>16530</x:v>
      </x:c>
      <x:c r="I1340" s="12">
        <x:f t="shared" si="121"/>
        <x:v>27439800</x:v>
      </x:c>
      <x:c r="J1340" s="12">
        <x:f>ROUND(英雄升级调参!$D$87*英雄升级调参!$J$10*英雄升级调参!$E$26,0)</x:f>
        <x:v>81</x:v>
      </x:c>
      <x:c r="K1340" s="12">
        <x:f>ROUND(英雄升级调参!$D$87*英雄升级调参!$C$11*英雄升级调参!$J$10*英雄升级调参!$G$26,0)</x:f>
        <x:v>810</x:v>
      </x:c>
      <x:c r="L1340" s="12" t="n">
        <x:f>养成消耗调参!$D$169</x:f>
        <x:v>720</x:v>
      </x:c>
      <x:c r="M1340" s="12" t="n">
        <x:f>养成消耗调参!$G$169</x:f>
        <x:v>4500</x:v>
      </x:c>
      <x:c r="N1340" s="12" t="n">
        <x:f>养成消耗调参!$I$169</x:f>
        <x:v>0</x:v>
      </x:c>
      <x:c r="O1340" s="12" t="n">
        <x:f>养成消耗调参!$K$169</x:f>
        <x:v>7272</x:v>
      </x:c>
      <x:c r="P1340" s="12" t="n">
        <x:f>养成消耗调参!$N$169</x:f>
        <x:v>40500</x:v>
      </x:c>
      <x:c r="Q1340" s="12" t="n">
        <x:f>养成消耗调参!$P$169</x:f>
        <x:v>160</x:v>
      </x:c>
      <x:c r="R1340" s="13" t="n">
        <x:f>I1340/英雄升级调参!$J$87-1</x:f>
        <x:v>0</x:v>
      </x:c>
      <x:c r="S1340" s="6"/>
      <x:c r="T1340" s="6"/>
      <x:c r="U1340" s="6"/>
    </x:row>
    <x:row r="1341" ht="21" customHeight="1">
      <x:c r="A1341" s="14" t="n">
        <x:f>英雄升级调参!$B$26</x:f>
        <x:v>310009</x:v>
      </x:c>
      <x:c r="B1341" s="14" t="str">
        <x:f>英雄升级调参!$C$26</x:f>
        <x:v>海希</x:v>
      </x:c>
      <x:c r="C1341" s="6" t="str">
        <x:f>英雄升级调参!$D$26</x:f>
        <x:v>探险家</x:v>
      </x:c>
      <x:c r="D1341" s="6" t="s">
        <x:v>22</x:v>
      </x:c>
      <x:c r="E1341" s="6">
        <x:v>23</x:v>
      </x:c>
      <x:c r="F1341" s="6" t="n">
        <x:f>英雄升级调参!$C$88</x:f>
        <x:v>5</x:v>
      </x:c>
      <x:c r="G1341" s="12">
        <x:f t="shared" si="124"/>
        <x:v>1741</x:v>
      </x:c>
      <x:c r="H1341" s="12">
        <x:f t="shared" si="125"/>
        <x:v>17340</x:v>
      </x:c>
      <x:c r="I1341" s="12">
        <x:f t="shared" si="121"/>
        <x:v>30188940</x:v>
      </x:c>
      <x:c r="J1341" s="12">
        <x:f>ROUND(英雄升级调参!$D$88*英雄升级调参!$J$10*英雄升级调参!$E$26,0)</x:f>
        <x:v>81</x:v>
      </x:c>
      <x:c r="K1341" s="12">
        <x:f>ROUND(英雄升级调参!$D$88*英雄升级调参!$C$11*英雄升级调参!$J$10*英雄升级调参!$G$26,0)</x:f>
        <x:v>810</x:v>
      </x:c>
      <x:c r="L1341" s="12" t="n">
        <x:f>养成消耗调参!$D$170</x:f>
        <x:v>720</x:v>
      </x:c>
      <x:c r="M1341" s="12" t="n">
        <x:f>养成消耗调参!$G$170</x:f>
        <x:v>4500</x:v>
      </x:c>
      <x:c r="N1341" s="12" t="n">
        <x:f>养成消耗调参!$I$170</x:f>
        <x:v>0</x:v>
      </x:c>
      <x:c r="O1341" s="12" t="n">
        <x:f>养成消耗调参!$K$170</x:f>
        <x:v>7992</x:v>
      </x:c>
      <x:c r="P1341" s="12" t="n">
        <x:f>养成消耗调参!$N$170</x:f>
        <x:v>45000</x:v>
      </x:c>
      <x:c r="Q1341" s="12" t="n">
        <x:f>养成消耗调参!$P$170</x:f>
        <x:v>160</x:v>
      </x:c>
      <x:c r="R1341" s="13" t="n">
        <x:f>I1341/英雄升级调参!$J$88-1</x:f>
        <x:v>0</x:v>
      </x:c>
      <x:c r="S1341" s="6"/>
      <x:c r="T1341" s="6"/>
      <x:c r="U1341" s="6"/>
    </x:row>
    <x:row r="1342" ht="21" customHeight="1">
      <x:c r="A1342" s="14" t="n">
        <x:f>英雄升级调参!$B$26</x:f>
        <x:v>310009</x:v>
      </x:c>
      <x:c r="B1342" s="14" t="str">
        <x:f>英雄升级调参!$C$26</x:f>
        <x:v>海希</x:v>
      </x:c>
      <x:c r="C1342" s="6" t="str">
        <x:f>英雄升级调参!$D$26</x:f>
        <x:v>探险家</x:v>
      </x:c>
      <x:c r="D1342" s="6" t="s">
        <x:v>22</x:v>
      </x:c>
      <x:c r="E1342" s="6">
        <x:v>24</x:v>
      </x:c>
      <x:c r="F1342" s="6" t="n">
        <x:f>英雄升级调参!$C$89</x:f>
        <x:v>5</x:v>
      </x:c>
      <x:c r="G1342" s="12">
        <x:f t="shared" si="124"/>
        <x:v>1822</x:v>
      </x:c>
      <x:c r="H1342" s="12">
        <x:f t="shared" si="125"/>
        <x:v>18150</x:v>
      </x:c>
      <x:c r="I1342" s="12">
        <x:f t="shared" si="121"/>
        <x:v>33069300</x:v>
      </x:c>
      <x:c r="J1342" s="12">
        <x:f>ROUND(英雄升级调参!$D$89*英雄升级调参!$J$10*英雄升级调参!$E$26,0)</x:f>
        <x:v>81</x:v>
      </x:c>
      <x:c r="K1342" s="12">
        <x:f>ROUND(英雄升级调参!$D$89*英雄升级调参!$C$11*英雄升级调参!$J$10*英雄升级调参!$G$26,0)</x:f>
        <x:v>810</x:v>
      </x:c>
      <x:c r="L1342" s="12" t="n">
        <x:f>养成消耗调参!$D$171</x:f>
        <x:v>792</x:v>
      </x:c>
      <x:c r="M1342" s="12" t="n">
        <x:f>养成消耗调参!$G$171</x:f>
        <x:v>4500</x:v>
      </x:c>
      <x:c r="N1342" s="12" t="n">
        <x:f>养成消耗调参!$I$171</x:f>
        <x:v>0</x:v>
      </x:c>
      <x:c r="O1342" s="12" t="n">
        <x:f>养成消耗调参!$K$171</x:f>
        <x:v>8784</x:v>
      </x:c>
      <x:c r="P1342" s="12" t="n">
        <x:f>养成消耗调参!$N$171</x:f>
        <x:v>49500</x:v>
      </x:c>
      <x:c r="Q1342" s="12" t="n">
        <x:f>养成消耗调参!$P$171</x:f>
        <x:v>160</x:v>
      </x:c>
      <x:c r="R1342" s="13" t="n">
        <x:f>I1342/英雄升级调参!$J$89-1</x:f>
        <x:v>0</x:v>
      </x:c>
      <x:c r="S1342" s="6"/>
      <x:c r="T1342" s="6"/>
      <x:c r="U1342" s="6"/>
    </x:row>
    <x:row r="1343" ht="21" customHeight="1">
      <x:c r="A1343" s="14" t="n">
        <x:f>英雄升级调参!$B$26</x:f>
        <x:v>310009</x:v>
      </x:c>
      <x:c r="B1343" s="14" t="str">
        <x:f>英雄升级调参!$C$26</x:f>
        <x:v>海希</x:v>
      </x:c>
      <x:c r="C1343" s="6" t="str">
        <x:f>英雄升级调参!$D$26</x:f>
        <x:v>探险家</x:v>
      </x:c>
      <x:c r="D1343" s="6" t="s">
        <x:v>22</x:v>
      </x:c>
      <x:c r="E1343" s="6">
        <x:v>25</x:v>
      </x:c>
      <x:c r="F1343" s="6" t="n">
        <x:f>英雄升级调参!$C$90</x:f>
        <x:v>5</x:v>
      </x:c>
      <x:c r="G1343" s="12">
        <x:f t="shared" si="124"/>
        <x:v>2065</x:v>
      </x:c>
      <x:c r="H1343" s="12">
        <x:f t="shared" si="125"/>
        <x:v>20580</x:v>
      </x:c>
      <x:c r="I1343" s="12">
        <x:f t="shared" si="121"/>
        <x:v>42497700</x:v>
      </x:c>
      <x:c r="J1343" s="12">
        <x:f>ROUND(英雄升级调参!$D$90*英雄升级调参!$J$10*英雄升级调参!$E$26,0)*3</x:f>
        <x:v>243</x:v>
      </x:c>
      <x:c r="K1343" s="12">
        <x:f>ROUND(英雄升级调参!$D$90*英雄升级调参!$C$11*英雄升级调参!$J$10*英雄升级调参!$G$26,0)*3</x:f>
        <x:v>2430</x:v>
      </x:c>
      <x:c r="L1343" s="12" t="n">
        <x:f>养成消耗调参!$D$172</x:f>
        <x:v>792</x:v>
      </x:c>
      <x:c r="M1343" s="12" t="n">
        <x:f>养成消耗调参!$G$172</x:f>
        <x:v>4500</x:v>
      </x:c>
      <x:c r="N1343" s="12" t="n">
        <x:f>养成消耗调参!$I$172</x:f>
        <x:v>90</x:v>
      </x:c>
      <x:c r="O1343" s="12" t="n">
        <x:f>养成消耗调参!$K$172</x:f>
        <x:v>9576</x:v>
      </x:c>
      <x:c r="P1343" s="12" t="n">
        <x:f>养成消耗调参!$N$172</x:f>
        <x:v>54000</x:v>
      </x:c>
      <x:c r="Q1343" s="12" t="n">
        <x:f>养成消耗调参!$P$172</x:f>
        <x:v>250</x:v>
      </x:c>
      <x:c r="R1343" s="13" t="n">
        <x:f>I1343/英雄升级调参!$J$90-1</x:f>
        <x:v>0</x:v>
      </x:c>
      <x:c r="S1343" s="6"/>
      <x:c r="T1343" s="6"/>
      <x:c r="U1343" s="6"/>
    </x:row>
    <x:row r="1344" ht="21" customHeight="1">
      <x:c r="A1344" s="14" t="n">
        <x:f>英雄升级调参!$B$26</x:f>
        <x:v>310009</x:v>
      </x:c>
      <x:c r="B1344" s="14" t="str">
        <x:f>英雄升级调参!$C$26</x:f>
        <x:v>海希</x:v>
      </x:c>
      <x:c r="C1344" s="6" t="str">
        <x:f>英雄升级调参!$D$26</x:f>
        <x:v>探险家</x:v>
      </x:c>
      <x:c r="D1344" s="6" t="s">
        <x:v>22</x:v>
      </x:c>
      <x:c r="E1344" s="6">
        <x:v>26</x:v>
      </x:c>
      <x:c r="F1344" s="6" t="n">
        <x:f>英雄升级调参!$C$91</x:f>
        <x:v>6</x:v>
      </x:c>
      <x:c r="G1344" s="12">
        <x:f t="shared" si="124"/>
        <x:v>2160</x:v>
      </x:c>
      <x:c r="H1344" s="12">
        <x:f t="shared" si="125"/>
        <x:v>21525</x:v>
      </x:c>
      <x:c r="I1344" s="12">
        <x:f t="shared" si="121"/>
        <x:v>46494000</x:v>
      </x:c>
      <x:c r="J1344" s="12">
        <x:f>ROUND(英雄升级调参!$D$91*英雄升级调参!$J$10*英雄升级调参!$E$26,0)</x:f>
        <x:v>95</x:v>
      </x:c>
      <x:c r="K1344" s="12">
        <x:f>ROUND(英雄升级调参!$D$91*英雄升级调参!$C$11*英雄升级调参!$J$10*英雄升级调参!$G$26,0)</x:f>
        <x:v>945</x:v>
      </x:c>
      <x:c r="L1344" s="12" t="n">
        <x:f>养成消耗调参!$D$173</x:f>
        <x:v>864</x:v>
      </x:c>
      <x:c r="M1344" s="12" t="n">
        <x:f>养成消耗调参!$G$173</x:f>
        <x:v>4500</x:v>
      </x:c>
      <x:c r="N1344" s="12" t="n">
        <x:f>养成消耗调参!$I$173</x:f>
        <x:v>0</x:v>
      </x:c>
      <x:c r="O1344" s="12" t="n">
        <x:f>养成消耗调参!$K$173</x:f>
        <x:v>10440</x:v>
      </x:c>
      <x:c r="P1344" s="12" t="n">
        <x:f>养成消耗调参!$N$173</x:f>
        <x:v>58500</x:v>
      </x:c>
      <x:c r="Q1344" s="12" t="n">
        <x:f>养成消耗调参!$P$173</x:f>
        <x:v>250</x:v>
      </x:c>
      <x:c r="R1344" s="13" t="n">
        <x:f>I1344/英雄升级调参!$J$91-1</x:f>
        <x:v>0</x:v>
      </x:c>
      <x:c r="S1344" s="6"/>
      <x:c r="T1344" s="6"/>
      <x:c r="U1344" s="6"/>
    </x:row>
    <x:row r="1345" ht="21" customHeight="1">
      <x:c r="A1345" s="14" t="n">
        <x:f>英雄升级调参!$B$26</x:f>
        <x:v>310009</x:v>
      </x:c>
      <x:c r="B1345" s="14" t="str">
        <x:f>英雄升级调参!$C$26</x:f>
        <x:v>海希</x:v>
      </x:c>
      <x:c r="C1345" s="6" t="str">
        <x:f>英雄升级调参!$D$26</x:f>
        <x:v>探险家</x:v>
      </x:c>
      <x:c r="D1345" s="6" t="s">
        <x:v>22</x:v>
      </x:c>
      <x:c r="E1345" s="6">
        <x:v>27</x:v>
      </x:c>
      <x:c r="F1345" s="6" t="n">
        <x:f>英雄升级调参!$C$92</x:f>
        <x:v>6</x:v>
      </x:c>
      <x:c r="G1345" s="12">
        <x:f t="shared" si="124"/>
        <x:v>2255</x:v>
      </x:c>
      <x:c r="H1345" s="12">
        <x:f t="shared" si="125"/>
        <x:v>22470</x:v>
      </x:c>
      <x:c r="I1345" s="12">
        <x:f t="shared" si="121"/>
        <x:v>50669850</x:v>
      </x:c>
      <x:c r="J1345" s="12">
        <x:f>ROUND(英雄升级调参!$D$92*英雄升级调参!$J$10*英雄升级调参!$E$26,0)</x:f>
        <x:v>95</x:v>
      </x:c>
      <x:c r="K1345" s="12">
        <x:f>ROUND(英雄升级调参!$D$92*英雄升级调参!$C$11*英雄升级调参!$J$10*英雄升级调参!$G$26,0)</x:f>
        <x:v>945</x:v>
      </x:c>
      <x:c r="L1345" s="12" t="n">
        <x:f>养成消耗调参!$D$174</x:f>
        <x:v>864</x:v>
      </x:c>
      <x:c r="M1345" s="12" t="n">
        <x:f>养成消耗调参!$G$174</x:f>
        <x:v>5850</x:v>
      </x:c>
      <x:c r="N1345" s="12" t="n">
        <x:f>养成消耗调参!$I$174</x:f>
        <x:v>0</x:v>
      </x:c>
      <x:c r="O1345" s="12" t="n">
        <x:f>养成消耗调参!$K$174</x:f>
        <x:v>11304</x:v>
      </x:c>
      <x:c r="P1345" s="12" t="n">
        <x:f>养成消耗调参!$N$174</x:f>
        <x:v>64350</x:v>
      </x:c>
      <x:c r="Q1345" s="12" t="n">
        <x:f>养成消耗调参!$P$174</x:f>
        <x:v>250</x:v>
      </x:c>
      <x:c r="R1345" s="13" t="n">
        <x:f>I1345/英雄升级调参!$J$92-1</x:f>
        <x:v>0</x:v>
      </x:c>
      <x:c r="S1345" s="6"/>
      <x:c r="T1345" s="6"/>
      <x:c r="U1345" s="6"/>
    </x:row>
    <x:row r="1346" ht="21" customHeight="1">
      <x:c r="A1346" s="14" t="n">
        <x:f>英雄升级调参!$B$26</x:f>
        <x:v>310009</x:v>
      </x:c>
      <x:c r="B1346" s="14" t="str">
        <x:f>英雄升级调参!$C$26</x:f>
        <x:v>海希</x:v>
      </x:c>
      <x:c r="C1346" s="6" t="str">
        <x:f>英雄升级调参!$D$26</x:f>
        <x:v>探险家</x:v>
      </x:c>
      <x:c r="D1346" s="6" t="s">
        <x:v>22</x:v>
      </x:c>
      <x:c r="E1346" s="6">
        <x:v>28</x:v>
      </x:c>
      <x:c r="F1346" s="6" t="n">
        <x:f>英雄升级调参!$C$93</x:f>
        <x:v>6</x:v>
      </x:c>
      <x:c r="G1346" s="12">
        <x:f t="shared" si="124"/>
        <x:v>2350</x:v>
      </x:c>
      <x:c r="H1346" s="12">
        <x:f t="shared" si="125"/>
        <x:v>23415</x:v>
      </x:c>
      <x:c r="I1346" s="12">
        <x:f t="shared" si="121"/>
        <x:v>55025250</x:v>
      </x:c>
      <x:c r="J1346" s="12">
        <x:f>ROUND(英雄升级调参!$D$93*英雄升级调参!$J$10*英雄升级调参!$E$26,0)</x:f>
        <x:v>95</x:v>
      </x:c>
      <x:c r="K1346" s="12">
        <x:f>ROUND(英雄升级调参!$D$93*英雄升级调参!$C$11*英雄升级调参!$J$10*英雄升级调参!$G$26,0)</x:f>
        <x:v>945</x:v>
      </x:c>
      <x:c r="L1346" s="12" t="n">
        <x:f>养成消耗调参!$D$175</x:f>
        <x:v>936</x:v>
      </x:c>
      <x:c r="M1346" s="12" t="n">
        <x:f>养成消耗调参!$G$175</x:f>
        <x:v>5850</x:v>
      </x:c>
      <x:c r="N1346" s="12" t="n">
        <x:f>养成消耗调参!$I$175</x:f>
        <x:v>0</x:v>
      </x:c>
      <x:c r="O1346" s="12" t="n">
        <x:f>养成消耗调参!$K$175</x:f>
        <x:v>12240</x:v>
      </x:c>
      <x:c r="P1346" s="12" t="n">
        <x:f>养成消耗调参!$N$175</x:f>
        <x:v>70200</x:v>
      </x:c>
      <x:c r="Q1346" s="12" t="n">
        <x:f>养成消耗调参!$P$175</x:f>
        <x:v>250</x:v>
      </x:c>
      <x:c r="R1346" s="13" t="n">
        <x:f>I1346/英雄升级调参!$J$93-1</x:f>
        <x:v>0</x:v>
      </x:c>
      <x:c r="S1346" s="6"/>
      <x:c r="T1346" s="6"/>
      <x:c r="U1346" s="6"/>
    </x:row>
    <x:row r="1347" ht="21" customHeight="1">
      <x:c r="A1347" s="14" t="n">
        <x:f>英雄升级调参!$B$26</x:f>
        <x:v>310009</x:v>
      </x:c>
      <x:c r="B1347" s="14" t="str">
        <x:f>英雄升级调参!$C$26</x:f>
        <x:v>海希</x:v>
      </x:c>
      <x:c r="C1347" s="6" t="str">
        <x:f>英雄升级调参!$D$26</x:f>
        <x:v>探险家</x:v>
      </x:c>
      <x:c r="D1347" s="6" t="s">
        <x:v>22</x:v>
      </x:c>
      <x:c r="E1347" s="6">
        <x:v>29</x:v>
      </x:c>
      <x:c r="F1347" s="6" t="n">
        <x:f>英雄升级调参!$C$94</x:f>
        <x:v>6</x:v>
      </x:c>
      <x:c r="G1347" s="12">
        <x:f t="shared" si="124"/>
        <x:v>2445</x:v>
      </x:c>
      <x:c r="H1347" s="12">
        <x:f t="shared" si="125"/>
        <x:v>24360</x:v>
      </x:c>
      <x:c r="I1347" s="12">
        <x:f t="shared" si="121"/>
        <x:v>59560200</x:v>
      </x:c>
      <x:c r="J1347" s="12">
        <x:f>ROUND(英雄升级调参!$D$94*英雄升级调参!$J$10*英雄升级调参!$E$26,0)</x:f>
        <x:v>95</x:v>
      </x:c>
      <x:c r="K1347" s="12">
        <x:f>ROUND(英雄升级调参!$D$94*英雄升级调参!$C$11*英雄升级调参!$J$10*英雄升级调参!$G$26,0)</x:f>
        <x:v>945</x:v>
      </x:c>
      <x:c r="L1347" s="12" t="n">
        <x:f>养成消耗调参!$D$176</x:f>
        <x:v>936</x:v>
      </x:c>
      <x:c r="M1347" s="12" t="n">
        <x:f>养成消耗调参!$G$176</x:f>
        <x:v>5850</x:v>
      </x:c>
      <x:c r="N1347" s="12" t="n">
        <x:f>养成消耗调参!$I$176</x:f>
        <x:v>0</x:v>
      </x:c>
      <x:c r="O1347" s="12" t="n">
        <x:f>养成消耗调参!$K$176</x:f>
        <x:v>13176</x:v>
      </x:c>
      <x:c r="P1347" s="12" t="n">
        <x:f>养成消耗调参!$N$176</x:f>
        <x:v>76050</x:v>
      </x:c>
      <x:c r="Q1347" s="12" t="n">
        <x:f>养成消耗调参!$P$176</x:f>
        <x:v>250</x:v>
      </x:c>
      <x:c r="R1347" s="13" t="n">
        <x:f>I1347/英雄升级调参!$J$94-1</x:f>
        <x:v>0</x:v>
      </x:c>
      <x:c r="S1347" s="6"/>
      <x:c r="T1347" s="6"/>
      <x:c r="U1347" s="6"/>
    </x:row>
    <x:row r="1348" ht="21" customHeight="1">
      <x:c r="A1348" s="14" t="n">
        <x:f>英雄升级调参!$B$26</x:f>
        <x:v>310009</x:v>
      </x:c>
      <x:c r="B1348" s="14" t="str">
        <x:f>英雄升级调参!$C$26</x:f>
        <x:v>海希</x:v>
      </x:c>
      <x:c r="C1348" s="6" t="str">
        <x:f>英雄升级调参!$D$26</x:f>
        <x:v>探险家</x:v>
      </x:c>
      <x:c r="D1348" s="6" t="s">
        <x:v>22</x:v>
      </x:c>
      <x:c r="E1348" s="6">
        <x:v>30</x:v>
      </x:c>
      <x:c r="F1348" s="6" t="n">
        <x:f>英雄升级调参!$C$95</x:f>
        <x:v>6</x:v>
      </x:c>
      <x:c r="G1348" s="12">
        <x:f t="shared" si="124"/>
        <x:v>2730</x:v>
      </x:c>
      <x:c r="H1348" s="12">
        <x:f t="shared" si="125"/>
        <x:v>27195</x:v>
      </x:c>
      <x:c r="I1348" s="12">
        <x:f t="shared" si="121"/>
        <x:v>74242350</x:v>
      </x:c>
      <x:c r="J1348" s="12">
        <x:f>ROUND(英雄升级调参!$D$95*英雄升级调参!$J$10*英雄升级调参!$E$26,0)*3</x:f>
        <x:v>285</x:v>
      </x:c>
      <x:c r="K1348" s="12">
        <x:f>ROUND(英雄升级调参!$D$95*英雄升级调参!$C$11*英雄升级调参!$J$10*英雄升级调参!$G$26,0)*3</x:f>
        <x:v>2835</x:v>
      </x:c>
      <x:c r="L1348" s="12" t="n">
        <x:f>养成消耗调参!$D$177</x:f>
        <x:v>1008</x:v>
      </x:c>
      <x:c r="M1348" s="12" t="n">
        <x:f>养成消耗调参!$G$177</x:f>
        <x:v>5850</x:v>
      </x:c>
      <x:c r="N1348" s="12" t="n">
        <x:f>养成消耗调参!$I$177</x:f>
        <x:v>110</x:v>
      </x:c>
      <x:c r="O1348" s="12" t="n">
        <x:f>养成消耗调参!$K$177</x:f>
        <x:v>14184</x:v>
      </x:c>
      <x:c r="P1348" s="12" t="n">
        <x:f>养成消耗调参!$N$177</x:f>
        <x:v>81900</x:v>
      </x:c>
      <x:c r="Q1348" s="12" t="n">
        <x:f>养成消耗调参!$P$177</x:f>
        <x:v>360</x:v>
      </x:c>
      <x:c r="R1348" s="13" t="n">
        <x:f>I1348/英雄升级调参!$J$95-1</x:f>
        <x:v>0</x:v>
      </x:c>
      <x:c r="S1348" s="6"/>
      <x:c r="T1348" s="6"/>
      <x:c r="U1348" s="6"/>
    </x:row>
    <x:row r="1349" ht="21" customHeight="1">
      <x:c r="A1349" s="14" t="n">
        <x:f>英雄升级调参!$B$26</x:f>
        <x:v>310009</x:v>
      </x:c>
      <x:c r="B1349" s="14" t="str">
        <x:f>英雄升级调参!$C$26</x:f>
        <x:v>海希</x:v>
      </x:c>
      <x:c r="C1349" s="6" t="str">
        <x:f>英雄升级调参!$D$26</x:f>
        <x:v>探险家</x:v>
      </x:c>
      <x:c r="D1349" s="6" t="s">
        <x:v>22</x:v>
      </x:c>
      <x:c r="E1349" s="6">
        <x:v>31</x:v>
      </x:c>
      <x:c r="F1349" s="6" t="n">
        <x:f>英雄升级调参!$C$96</x:f>
        <x:v>7</x:v>
      </x:c>
      <x:c r="G1349" s="12">
        <x:f t="shared" si="124"/>
        <x:v>2838</x:v>
      </x:c>
      <x:c r="H1349" s="12">
        <x:f t="shared" si="125"/>
        <x:v>28275</x:v>
      </x:c>
      <x:c r="I1349" s="12">
        <x:f t="shared" ref="I1349:I1412" si="126">G1349*H1349</x:f>
        <x:v>80244450</x:v>
      </x:c>
      <x:c r="J1349" s="12">
        <x:f>ROUND(英雄升级调参!$D$96*英雄升级调参!$J$10*英雄升级调参!$E$26,0)</x:f>
        <x:v>108</x:v>
      </x:c>
      <x:c r="K1349" s="12">
        <x:f>ROUND(英雄升级调参!$D$96*英雄升级调参!$C$11*英雄升级调参!$J$10*英雄升级调参!$G$26,0)</x:f>
        <x:v>1080</x:v>
      </x:c>
      <x:c r="L1349" s="12" t="n">
        <x:f>养成消耗调参!$D$178</x:f>
        <x:v>1008</x:v>
      </x:c>
      <x:c r="M1349" s="12" t="n">
        <x:f>养成消耗调参!$G$178</x:f>
        <x:v>5850</x:v>
      </x:c>
      <x:c r="N1349" s="12" t="n">
        <x:f>养成消耗调参!$I$178</x:f>
        <x:v>0</x:v>
      </x:c>
      <x:c r="O1349" s="12" t="n">
        <x:f>养成消耗调参!$K$178</x:f>
        <x:v>15192</x:v>
      </x:c>
      <x:c r="P1349" s="12" t="n">
        <x:f>养成消耗调参!$N$178</x:f>
        <x:v>87750</x:v>
      </x:c>
      <x:c r="Q1349" s="12" t="n">
        <x:f>养成消耗调参!$P$178</x:f>
        <x:v>360</x:v>
      </x:c>
      <x:c r="R1349" s="13" t="n">
        <x:f>I1349/英雄升级调参!$J$96-1</x:f>
        <x:v>0</x:v>
      </x:c>
      <x:c r="S1349" s="6"/>
      <x:c r="T1349" s="6"/>
      <x:c r="U1349" s="6"/>
    </x:row>
    <x:row r="1350" ht="21" customHeight="1">
      <x:c r="A1350" s="14" t="n">
        <x:f>英雄升级调参!$B$26</x:f>
        <x:v>310009</x:v>
      </x:c>
      <x:c r="B1350" s="14" t="str">
        <x:f>英雄升级调参!$C$26</x:f>
        <x:v>海希</x:v>
      </x:c>
      <x:c r="C1350" s="6" t="str">
        <x:f>英雄升级调参!$D$26</x:f>
        <x:v>探险家</x:v>
      </x:c>
      <x:c r="D1350" s="6" t="s">
        <x:v>22</x:v>
      </x:c>
      <x:c r="E1350" s="6">
        <x:v>32</x:v>
      </x:c>
      <x:c r="F1350" s="6" t="n">
        <x:f>英雄升级调参!$C$97</x:f>
        <x:v>7</x:v>
      </x:c>
      <x:c r="G1350" s="12">
        <x:f t="shared" si="124"/>
        <x:v>2946</x:v>
      </x:c>
      <x:c r="H1350" s="12">
        <x:f t="shared" si="125"/>
        <x:v>29355</x:v>
      </x:c>
      <x:c r="I1350" s="12">
        <x:f t="shared" si="126"/>
        <x:v>86479830</x:v>
      </x:c>
      <x:c r="J1350" s="12">
        <x:f>ROUND(英雄升级调参!$D$97*英雄升级调参!$J$10*英雄升级调参!$E$26,0)</x:f>
        <x:v>108</x:v>
      </x:c>
      <x:c r="K1350" s="12">
        <x:f>ROUND(英雄升级调参!$D$97*英雄升级调参!$C$11*英雄升级调参!$J$10*英雄升级调参!$G$26,0)</x:f>
        <x:v>1080</x:v>
      </x:c>
      <x:c r="L1350" s="12" t="n">
        <x:f>养成消耗调参!$D$179</x:f>
        <x:v>1080</x:v>
      </x:c>
      <x:c r="M1350" s="12" t="n">
        <x:f>养成消耗调参!$G$179</x:f>
        <x:v>7200</x:v>
      </x:c>
      <x:c r="N1350" s="12" t="n">
        <x:f>养成消耗调参!$I$179</x:f>
        <x:v>0</x:v>
      </x:c>
      <x:c r="O1350" s="12" t="n">
        <x:f>养成消耗调参!$K$179</x:f>
        <x:v>16272</x:v>
      </x:c>
      <x:c r="P1350" s="12" t="n">
        <x:f>养成消耗调参!$N$179</x:f>
        <x:v>94950</x:v>
      </x:c>
      <x:c r="Q1350" s="12" t="n">
        <x:f>养成消耗调参!$P$179</x:f>
        <x:v>360</x:v>
      </x:c>
      <x:c r="R1350" s="13" t="n">
        <x:f>I1350/英雄升级调参!$J$97-1</x:f>
        <x:v>0</x:v>
      </x:c>
      <x:c r="S1350" s="6"/>
      <x:c r="T1350" s="6"/>
      <x:c r="U1350" s="6"/>
    </x:row>
    <x:row r="1351" ht="21" customHeight="1">
      <x:c r="A1351" s="14" t="n">
        <x:f>英雄升级调参!$B$26</x:f>
        <x:v>310009</x:v>
      </x:c>
      <x:c r="B1351" s="14" t="str">
        <x:f>英雄升级调参!$C$26</x:f>
        <x:v>海希</x:v>
      </x:c>
      <x:c r="C1351" s="6" t="str">
        <x:f>英雄升级调参!$D$26</x:f>
        <x:v>探险家</x:v>
      </x:c>
      <x:c r="D1351" s="6" t="s">
        <x:v>22</x:v>
      </x:c>
      <x:c r="E1351" s="6">
        <x:v>33</x:v>
      </x:c>
      <x:c r="F1351" s="6" t="n">
        <x:f>英雄升级调参!$C$98</x:f>
        <x:v>7</x:v>
      </x:c>
      <x:c r="G1351" s="12">
        <x:f t="shared" si="124"/>
        <x:v>3054</x:v>
      </x:c>
      <x:c r="H1351" s="12">
        <x:f t="shared" si="125"/>
        <x:v>30435</x:v>
      </x:c>
      <x:c r="I1351" s="12">
        <x:f t="shared" si="126"/>
        <x:v>92948490</x:v>
      </x:c>
      <x:c r="J1351" s="12">
        <x:f>ROUND(英雄升级调参!$D$98*英雄升级调参!$J$10*英雄升级调参!$E$26,0)</x:f>
        <x:v>108</x:v>
      </x:c>
      <x:c r="K1351" s="12">
        <x:f>ROUND(英雄升级调参!$D$98*英雄升级调参!$C$11*英雄升级调参!$J$10*英雄升级调参!$G$26,0)</x:f>
        <x:v>1080</x:v>
      </x:c>
      <x:c r="L1351" s="12" t="n">
        <x:f>养成消耗调参!$D$180</x:f>
        <x:v>1080</x:v>
      </x:c>
      <x:c r="M1351" s="12" t="n">
        <x:f>养成消耗调参!$G$180</x:f>
        <x:v>7200</x:v>
      </x:c>
      <x:c r="N1351" s="12" t="n">
        <x:f>养成消耗调参!$I$180</x:f>
        <x:v>0</x:v>
      </x:c>
      <x:c r="O1351" s="12" t="n">
        <x:f>养成消耗调参!$K$180</x:f>
        <x:v>17352</x:v>
      </x:c>
      <x:c r="P1351" s="12" t="n">
        <x:f>养成消耗调参!$N$180</x:f>
        <x:v>102150</x:v>
      </x:c>
      <x:c r="Q1351" s="12" t="n">
        <x:f>养成消耗调参!$P$180</x:f>
        <x:v>360</x:v>
      </x:c>
      <x:c r="R1351" s="13" t="n">
        <x:f>I1351/英雄升级调参!$J$98-1</x:f>
        <x:v>0</x:v>
      </x:c>
      <x:c r="S1351" s="6"/>
      <x:c r="T1351" s="6"/>
      <x:c r="U1351" s="6"/>
    </x:row>
    <x:row r="1352" ht="21" customHeight="1">
      <x:c r="A1352" s="14" t="n">
        <x:f>英雄升级调参!$B$26</x:f>
        <x:v>310009</x:v>
      </x:c>
      <x:c r="B1352" s="14" t="str">
        <x:f>英雄升级调参!$C$26</x:f>
        <x:v>海希</x:v>
      </x:c>
      <x:c r="C1352" s="6" t="str">
        <x:f>英雄升级调参!$D$26</x:f>
        <x:v>探险家</x:v>
      </x:c>
      <x:c r="D1352" s="6" t="s">
        <x:v>22</x:v>
      </x:c>
      <x:c r="E1352" s="6">
        <x:v>34</x:v>
      </x:c>
      <x:c r="F1352" s="6" t="n">
        <x:f>英雄升级调参!$C$99</x:f>
        <x:v>7</x:v>
      </x:c>
      <x:c r="G1352" s="12">
        <x:f t="shared" ref="G1352:G1368" si="127">G1351+J1352</x:f>
        <x:v>3162</x:v>
      </x:c>
      <x:c r="H1352" s="12">
        <x:f t="shared" ref="H1352:H1368" si="128">H1351+K1352</x:f>
        <x:v>31515</x:v>
      </x:c>
      <x:c r="I1352" s="12">
        <x:f t="shared" si="126"/>
        <x:v>99650430</x:v>
      </x:c>
      <x:c r="J1352" s="12">
        <x:f>ROUND(英雄升级调参!$D$99*英雄升级调参!$J$10*英雄升级调参!$E$26,0)</x:f>
        <x:v>108</x:v>
      </x:c>
      <x:c r="K1352" s="12">
        <x:f>ROUND(英雄升级调参!$D$99*英雄升级调参!$C$11*英雄升级调参!$J$10*英雄升级调参!$G$26,0)</x:f>
        <x:v>1080</x:v>
      </x:c>
      <x:c r="L1352" s="12" t="n">
        <x:f>养成消耗调参!$D$181</x:f>
        <x:v>1152</x:v>
      </x:c>
      <x:c r="M1352" s="12" t="n">
        <x:f>养成消耗调参!$G$181</x:f>
        <x:v>7200</x:v>
      </x:c>
      <x:c r="N1352" s="12" t="n">
        <x:f>养成消耗调参!$I$181</x:f>
        <x:v>0</x:v>
      </x:c>
      <x:c r="O1352" s="12" t="n">
        <x:f>养成消耗调参!$K$181</x:f>
        <x:v>18504</x:v>
      </x:c>
      <x:c r="P1352" s="12" t="n">
        <x:f>养成消耗调参!$N$181</x:f>
        <x:v>109350</x:v>
      </x:c>
      <x:c r="Q1352" s="12" t="n">
        <x:f>养成消耗调参!$P$181</x:f>
        <x:v>360</x:v>
      </x:c>
      <x:c r="R1352" s="13" t="n">
        <x:f>I1352/英雄升级调参!$J$99-1</x:f>
        <x:v>0</x:v>
      </x:c>
      <x:c r="S1352" s="6"/>
      <x:c r="T1352" s="6"/>
      <x:c r="U1352" s="6"/>
    </x:row>
    <x:row r="1353" ht="21" customHeight="1">
      <x:c r="A1353" s="14" t="n">
        <x:f>英雄升级调参!$B$26</x:f>
        <x:v>310009</x:v>
      </x:c>
      <x:c r="B1353" s="14" t="str">
        <x:f>英雄升级调参!$C$26</x:f>
        <x:v>海希</x:v>
      </x:c>
      <x:c r="C1353" s="6" t="str">
        <x:f>英雄升级调参!$D$26</x:f>
        <x:v>探险家</x:v>
      </x:c>
      <x:c r="D1353" s="6" t="s">
        <x:v>22</x:v>
      </x:c>
      <x:c r="E1353" s="6">
        <x:v>35</x:v>
      </x:c>
      <x:c r="F1353" s="6" t="n">
        <x:f>英雄升级调参!$C$100</x:f>
        <x:v>7</x:v>
      </x:c>
      <x:c r="G1353" s="12">
        <x:f t="shared" si="127"/>
        <x:v>3486</x:v>
      </x:c>
      <x:c r="H1353" s="12">
        <x:f t="shared" si="128"/>
        <x:v>34755</x:v>
      </x:c>
      <x:c r="I1353" s="12">
        <x:f t="shared" si="126"/>
        <x:v>121155930</x:v>
      </x:c>
      <x:c r="J1353" s="12">
        <x:f>ROUND(英雄升级调参!$D$100*英雄升级调参!$J$10*英雄升级调参!$E$26,0)*3</x:f>
        <x:v>324</x:v>
      </x:c>
      <x:c r="K1353" s="12">
        <x:f>ROUND(英雄升级调参!$D$100*英雄升级调参!$C$11*英雄升级调参!$J$10*英雄升级调参!$G$26,0)*3</x:f>
        <x:v>3240</x:v>
      </x:c>
      <x:c r="L1353" s="12" t="n">
        <x:f>养成消耗调参!$D$182</x:f>
        <x:v>1152</x:v>
      </x:c>
      <x:c r="M1353" s="12" t="n">
        <x:f>养成消耗调参!$G$182</x:f>
        <x:v>7200</x:v>
      </x:c>
      <x:c r="N1353" s="12" t="n">
        <x:f>养成消耗调参!$I$182</x:f>
        <x:v>130</x:v>
      </x:c>
      <x:c r="O1353" s="12" t="n">
        <x:f>养成消耗调参!$K$182</x:f>
        <x:v>19656</x:v>
      </x:c>
      <x:c r="P1353" s="12" t="n">
        <x:f>养成消耗调参!$N$182</x:f>
        <x:v>116550</x:v>
      </x:c>
      <x:c r="Q1353" s="12" t="n">
        <x:f>养成消耗调参!$P$182</x:f>
        <x:v>490</x:v>
      </x:c>
      <x:c r="R1353" s="13" t="n">
        <x:f>I1353/英雄升级调参!$J$100-1</x:f>
        <x:v>0</x:v>
      </x:c>
      <x:c r="S1353" s="6"/>
      <x:c r="T1353" s="6"/>
      <x:c r="U1353" s="6"/>
    </x:row>
    <x:row r="1354" ht="21" customHeight="1">
      <x:c r="A1354" s="14" t="n">
        <x:f>英雄升级调参!$B$26</x:f>
        <x:v>310009</x:v>
      </x:c>
      <x:c r="B1354" s="14" t="str">
        <x:f>英雄升级调参!$C$26</x:f>
        <x:v>海希</x:v>
      </x:c>
      <x:c r="C1354" s="6" t="str">
        <x:f>英雄升级调参!$D$26</x:f>
        <x:v>探险家</x:v>
      </x:c>
      <x:c r="D1354" s="6" t="s">
        <x:v>22</x:v>
      </x:c>
      <x:c r="E1354" s="6">
        <x:v>36</x:v>
      </x:c>
      <x:c r="F1354" s="6" t="n">
        <x:f>英雄升级调参!$C$101</x:f>
        <x:v>8</x:v>
      </x:c>
      <x:c r="G1354" s="12">
        <x:f t="shared" si="127"/>
        <x:v>3608</x:v>
      </x:c>
      <x:c r="H1354" s="12">
        <x:f t="shared" si="128"/>
        <x:v>35970</x:v>
      </x:c>
      <x:c r="I1354" s="12">
        <x:f t="shared" si="126"/>
        <x:v>129779760</x:v>
      </x:c>
      <x:c r="J1354" s="12">
        <x:f>ROUND(英雄升级调参!$D$101*英雄升级调参!$J$10*英雄升级调参!$E$26,0)</x:f>
        <x:v>122</x:v>
      </x:c>
      <x:c r="K1354" s="12">
        <x:f>ROUND(英雄升级调参!$D$101*英雄升级调参!$C$11*英雄升级调参!$J$10*英雄升级调参!$G$26,0)</x:f>
        <x:v>1215</x:v>
      </x:c>
      <x:c r="L1354" s="12" t="n">
        <x:f>养成消耗调参!$D$183</x:f>
        <x:v>1224</x:v>
      </x:c>
      <x:c r="M1354" s="12" t="n">
        <x:f>养成消耗调参!$G$183</x:f>
        <x:v>7200</x:v>
      </x:c>
      <x:c r="N1354" s="12" t="n">
        <x:f>养成消耗调参!$I$183</x:f>
        <x:v>0</x:v>
      </x:c>
      <x:c r="O1354" s="12" t="n">
        <x:f>养成消耗调参!$K$183</x:f>
        <x:v>20880</x:v>
      </x:c>
      <x:c r="P1354" s="12" t="n">
        <x:f>养成消耗调参!$N$183</x:f>
        <x:v>123750</x:v>
      </x:c>
      <x:c r="Q1354" s="12" t="n">
        <x:f>养成消耗调参!$P$183</x:f>
        <x:v>490</x:v>
      </x:c>
      <x:c r="R1354" s="13" t="n">
        <x:f>I1354/英雄升级调参!$J$101-1</x:f>
        <x:v>0</x:v>
      </x:c>
      <x:c r="S1354" s="6"/>
      <x:c r="T1354" s="6"/>
      <x:c r="U1354" s="6"/>
    </x:row>
    <x:row r="1355" ht="21" customHeight="1">
      <x:c r="A1355" s="14" t="n">
        <x:f>英雄升级调参!$B$26</x:f>
        <x:v>310009</x:v>
      </x:c>
      <x:c r="B1355" s="14" t="str">
        <x:f>英雄升级调参!$C$26</x:f>
        <x:v>海希</x:v>
      </x:c>
      <x:c r="C1355" s="6" t="str">
        <x:f>英雄升级调参!$D$26</x:f>
        <x:v>探险家</x:v>
      </x:c>
      <x:c r="D1355" s="6" t="s">
        <x:v>22</x:v>
      </x:c>
      <x:c r="E1355" s="6">
        <x:v>37</x:v>
      </x:c>
      <x:c r="F1355" s="6" t="n">
        <x:f>英雄升级调参!$C$102</x:f>
        <x:v>8</x:v>
      </x:c>
      <x:c r="G1355" s="12">
        <x:f t="shared" si="127"/>
        <x:v>3730</x:v>
      </x:c>
      <x:c r="H1355" s="12">
        <x:f t="shared" si="128"/>
        <x:v>37185</x:v>
      </x:c>
      <x:c r="I1355" s="12">
        <x:f t="shared" si="126"/>
        <x:v>138700050</x:v>
      </x:c>
      <x:c r="J1355" s="12">
        <x:f>ROUND(英雄升级调参!$D$102*英雄升级调参!$J$10*英雄升级调参!$E$26,0)</x:f>
        <x:v>122</x:v>
      </x:c>
      <x:c r="K1355" s="12">
        <x:f>ROUND(英雄升级调参!$D$102*英雄升级调参!$C$11*英雄升级调参!$J$10*英雄升级调参!$G$26,0)</x:f>
        <x:v>1215</x:v>
      </x:c>
      <x:c r="L1355" s="12" t="n">
        <x:f>养成消耗调参!$D$184</x:f>
        <x:v>1224</x:v>
      </x:c>
      <x:c r="M1355" s="12" t="n">
        <x:f>养成消耗调参!$G$184</x:f>
        <x:v>8550</x:v>
      </x:c>
      <x:c r="N1355" s="12" t="n">
        <x:f>养成消耗调参!$I$184</x:f>
        <x:v>0</x:v>
      </x:c>
      <x:c r="O1355" s="12" t="n">
        <x:f>养成消耗调参!$K$184</x:f>
        <x:v>22104</x:v>
      </x:c>
      <x:c r="P1355" s="12" t="n">
        <x:f>养成消耗调参!$N$184</x:f>
        <x:v>132300</x:v>
      </x:c>
      <x:c r="Q1355" s="12" t="n">
        <x:f>养成消耗调参!$P$184</x:f>
        <x:v>490</x:v>
      </x:c>
      <x:c r="R1355" s="13" t="n">
        <x:f>I1355/英雄升级调参!$J$102-1</x:f>
        <x:v>0</x:v>
      </x:c>
      <x:c r="S1355" s="6"/>
      <x:c r="T1355" s="6"/>
      <x:c r="U1355" s="6"/>
    </x:row>
    <x:row r="1356" ht="21" customHeight="1">
      <x:c r="A1356" s="14" t="n">
        <x:f>英雄升级调参!$B$26</x:f>
        <x:v>310009</x:v>
      </x:c>
      <x:c r="B1356" s="14" t="str">
        <x:f>英雄升级调参!$C$26</x:f>
        <x:v>海希</x:v>
      </x:c>
      <x:c r="C1356" s="6" t="str">
        <x:f>英雄升级调参!$D$26</x:f>
        <x:v>探险家</x:v>
      </x:c>
      <x:c r="D1356" s="6" t="s">
        <x:v>22</x:v>
      </x:c>
      <x:c r="E1356" s="6">
        <x:v>38</x:v>
      </x:c>
      <x:c r="F1356" s="6" t="n">
        <x:f>英雄升级调参!$C$103</x:f>
        <x:v>8</x:v>
      </x:c>
      <x:c r="G1356" s="12">
        <x:f t="shared" si="127"/>
        <x:v>3852</x:v>
      </x:c>
      <x:c r="H1356" s="12">
        <x:f t="shared" si="128"/>
        <x:v>38400</x:v>
      </x:c>
      <x:c r="I1356" s="12">
        <x:f t="shared" si="126"/>
        <x:v>147916800</x:v>
      </x:c>
      <x:c r="J1356" s="12">
        <x:f>ROUND(英雄升级调参!$D$103*英雄升级调参!$J$10*英雄升级调参!$E$26,0)</x:f>
        <x:v>122</x:v>
      </x:c>
      <x:c r="K1356" s="12">
        <x:f>ROUND(英雄升级调参!$D$103*英雄升级调参!$C$11*英雄升级调参!$J$10*英雄升级调参!$G$26,0)</x:f>
        <x:v>1215</x:v>
      </x:c>
      <x:c r="L1356" s="12" t="n">
        <x:f>养成消耗调参!$D$185</x:f>
        <x:v>1296</x:v>
      </x:c>
      <x:c r="M1356" s="12" t="n">
        <x:f>养成消耗调参!$G$185</x:f>
        <x:v>8550</x:v>
      </x:c>
      <x:c r="N1356" s="12" t="n">
        <x:f>养成消耗调参!$I$185</x:f>
        <x:v>0</x:v>
      </x:c>
      <x:c r="O1356" s="12" t="n">
        <x:f>养成消耗调参!$K$185</x:f>
        <x:v>23400</x:v>
      </x:c>
      <x:c r="P1356" s="12" t="n">
        <x:f>养成消耗调参!$N$185</x:f>
        <x:v>140850</x:v>
      </x:c>
      <x:c r="Q1356" s="12" t="n">
        <x:f>养成消耗调参!$P$185</x:f>
        <x:v>490</x:v>
      </x:c>
      <x:c r="R1356" s="13" t="n">
        <x:f>I1356/英雄升级调参!$J$103-1</x:f>
        <x:v>0</x:v>
      </x:c>
      <x:c r="S1356" s="6"/>
      <x:c r="T1356" s="6"/>
      <x:c r="U1356" s="6"/>
    </x:row>
    <x:row r="1357" ht="21" customHeight="1">
      <x:c r="A1357" s="14" t="n">
        <x:f>英雄升级调参!$B$26</x:f>
        <x:v>310009</x:v>
      </x:c>
      <x:c r="B1357" s="14" t="str">
        <x:f>英雄升级调参!$C$26</x:f>
        <x:v>海希</x:v>
      </x:c>
      <x:c r="C1357" s="6" t="str">
        <x:f>英雄升级调参!$D$26</x:f>
        <x:v>探险家</x:v>
      </x:c>
      <x:c r="D1357" s="6" t="s">
        <x:v>22</x:v>
      </x:c>
      <x:c r="E1357" s="6">
        <x:v>39</x:v>
      </x:c>
      <x:c r="F1357" s="6" t="n">
        <x:f>英雄升级调参!$C$104</x:f>
        <x:v>8</x:v>
      </x:c>
      <x:c r="G1357" s="12">
        <x:f t="shared" si="127"/>
        <x:v>3974</x:v>
      </x:c>
      <x:c r="H1357" s="12">
        <x:f t="shared" si="128"/>
        <x:v>39615</x:v>
      </x:c>
      <x:c r="I1357" s="12">
        <x:f t="shared" si="126"/>
        <x:v>157430010</x:v>
      </x:c>
      <x:c r="J1357" s="12">
        <x:f>ROUND(英雄升级调参!$D$104*英雄升级调参!$J$10*英雄升级调参!$E$26,0)</x:f>
        <x:v>122</x:v>
      </x:c>
      <x:c r="K1357" s="12">
        <x:f>ROUND(英雄升级调参!$D$104*英雄升级调参!$C$11*英雄升级调参!$J$10*英雄升级调参!$G$26,0)</x:f>
        <x:v>1215</x:v>
      </x:c>
      <x:c r="L1357" s="12" t="n">
        <x:f>养成消耗调参!$D$186</x:f>
        <x:v>1296</x:v>
      </x:c>
      <x:c r="M1357" s="12" t="n">
        <x:f>养成消耗调参!$G$186</x:f>
        <x:v>8550</x:v>
      </x:c>
      <x:c r="N1357" s="12" t="n">
        <x:f>养成消耗调参!$I$186</x:f>
        <x:v>0</x:v>
      </x:c>
      <x:c r="O1357" s="12" t="n">
        <x:f>养成消耗调参!$K$186</x:f>
        <x:v>24696</x:v>
      </x:c>
      <x:c r="P1357" s="12" t="n">
        <x:f>养成消耗调参!$N$186</x:f>
        <x:v>149400</x:v>
      </x:c>
      <x:c r="Q1357" s="12" t="n">
        <x:f>养成消耗调参!$P$186</x:f>
        <x:v>490</x:v>
      </x:c>
      <x:c r="R1357" s="13" t="n">
        <x:f>I1357/英雄升级调参!$J$104-1</x:f>
        <x:v>0</x:v>
      </x:c>
      <x:c r="S1357" s="6"/>
      <x:c r="T1357" s="6"/>
      <x:c r="U1357" s="6"/>
    </x:row>
    <x:row r="1358" ht="21" customHeight="1">
      <x:c r="A1358" s="14" t="n">
        <x:f>英雄升级调参!$B$26</x:f>
        <x:v>310009</x:v>
      </x:c>
      <x:c r="B1358" s="14" t="str">
        <x:f>英雄升级调参!$C$26</x:f>
        <x:v>海希</x:v>
      </x:c>
      <x:c r="C1358" s="6" t="str">
        <x:f>英雄升级调参!$D$26</x:f>
        <x:v>探险家</x:v>
      </x:c>
      <x:c r="D1358" s="6" t="s">
        <x:v>22</x:v>
      </x:c>
      <x:c r="E1358" s="6">
        <x:v>40</x:v>
      </x:c>
      <x:c r="F1358" s="6" t="n">
        <x:f>英雄升级调参!$C$105</x:f>
        <x:v>8</x:v>
      </x:c>
      <x:c r="G1358" s="12">
        <x:f t="shared" si="127"/>
        <x:v>4340</x:v>
      </x:c>
      <x:c r="H1358" s="12">
        <x:f t="shared" si="128"/>
        <x:v>43260</x:v>
      </x:c>
      <x:c r="I1358" s="12">
        <x:f t="shared" si="126"/>
        <x:v>187748400</x:v>
      </x:c>
      <x:c r="J1358" s="12">
        <x:f>ROUND(英雄升级调参!$D$105*英雄升级调参!$J$10*英雄升级调参!$E$26,0)*3</x:f>
        <x:v>366</x:v>
      </x:c>
      <x:c r="K1358" s="12">
        <x:f>ROUND(英雄升级调参!$D$105*英雄升级调参!$C$11*英雄升级调参!$J$10*英雄升级调参!$G$26,0)*3</x:f>
        <x:v>3645</x:v>
      </x:c>
      <x:c r="L1358" s="12" t="n">
        <x:f>养成消耗调参!$D$187</x:f>
        <x:v>1368</x:v>
      </x:c>
      <x:c r="M1358" s="12" t="n">
        <x:f>养成消耗调参!$G$187</x:f>
        <x:v>8550</x:v>
      </x:c>
      <x:c r="N1358" s="12" t="n">
        <x:f>养成消耗调参!$I$187</x:f>
        <x:v>150</x:v>
      </x:c>
      <x:c r="O1358" s="12" t="n">
        <x:f>养成消耗调参!$K$187</x:f>
        <x:v>26064</x:v>
      </x:c>
      <x:c r="P1358" s="12" t="n">
        <x:f>养成消耗调参!$N$187</x:f>
        <x:v>157950</x:v>
      </x:c>
      <x:c r="Q1358" s="12" t="n">
        <x:f>养成消耗调参!$P$187</x:f>
        <x:v>640</x:v>
      </x:c>
      <x:c r="R1358" s="13" t="n">
        <x:f>I1358/英雄升级调参!$J$105-1</x:f>
        <x:v>0</x:v>
      </x:c>
      <x:c r="S1358" s="6"/>
      <x:c r="T1358" s="6"/>
      <x:c r="U1358" s="6"/>
    </x:row>
    <x:row r="1359" ht="21" customHeight="1">
      <x:c r="A1359" s="14" t="n">
        <x:f>英雄升级调参!$B$26</x:f>
        <x:v>310009</x:v>
      </x:c>
      <x:c r="B1359" s="14" t="str">
        <x:f>英雄升级调参!$C$26</x:f>
        <x:v>海希</x:v>
      </x:c>
      <x:c r="C1359" s="6" t="str">
        <x:f>英雄升级调参!$D$26</x:f>
        <x:v>探险家</x:v>
      </x:c>
      <x:c r="D1359" s="6" t="s">
        <x:v>22</x:v>
      </x:c>
      <x:c r="E1359" s="6">
        <x:v>41</x:v>
      </x:c>
      <x:c r="F1359" s="6" t="n">
        <x:f>英雄升级调参!$C$106</x:f>
        <x:v>9</x:v>
      </x:c>
      <x:c r="G1359" s="12">
        <x:f t="shared" si="127"/>
        <x:v>4475</x:v>
      </x:c>
      <x:c r="H1359" s="12">
        <x:f t="shared" si="128"/>
        <x:v>44610</x:v>
      </x:c>
      <x:c r="I1359" s="12">
        <x:f t="shared" si="126"/>
        <x:v>199629750</x:v>
      </x:c>
      <x:c r="J1359" s="12">
        <x:f>ROUND(英雄升级调参!$D$106*英雄升级调参!$J$10*英雄升级调参!$E$26,0)</x:f>
        <x:v>135</x:v>
      </x:c>
      <x:c r="K1359" s="12">
        <x:f>ROUND(英雄升级调参!$D$106*英雄升级调参!$C$11*英雄升级调参!$J$10*英雄升级调参!$G$26,0)</x:f>
        <x:v>1350</x:v>
      </x:c>
      <x:c r="L1359" s="12" t="n">
        <x:f>养成消耗调参!$D$188</x:f>
        <x:v>1368</x:v>
      </x:c>
      <x:c r="M1359" s="12" t="n">
        <x:f>养成消耗调参!$G$188</x:f>
        <x:v>8550</x:v>
      </x:c>
      <x:c r="N1359" s="12" t="n">
        <x:f>养成消耗调参!$I$188</x:f>
        <x:v>0</x:v>
      </x:c>
      <x:c r="O1359" s="12" t="n">
        <x:f>养成消耗调参!$K$188</x:f>
        <x:v>27432</x:v>
      </x:c>
      <x:c r="P1359" s="12" t="n">
        <x:f>养成消耗调参!$N$188</x:f>
        <x:v>166500</x:v>
      </x:c>
      <x:c r="Q1359" s="12" t="n">
        <x:f>养成消耗调参!$P$188</x:f>
        <x:v>640</x:v>
      </x:c>
      <x:c r="R1359" s="13" t="n">
        <x:f>I1359/英雄升级调参!$J$106-1</x:f>
        <x:v>0</x:v>
      </x:c>
      <x:c r="S1359" s="6"/>
      <x:c r="T1359" s="6"/>
      <x:c r="U1359" s="6"/>
    </x:row>
    <x:row r="1360" ht="21" customHeight="1">
      <x:c r="A1360" s="14" t="n">
        <x:f>英雄升级调参!$B$26</x:f>
        <x:v>310009</x:v>
      </x:c>
      <x:c r="B1360" s="14" t="str">
        <x:f>英雄升级调参!$C$26</x:f>
        <x:v>海希</x:v>
      </x:c>
      <x:c r="C1360" s="6" t="str">
        <x:f>英雄升级调参!$D$26</x:f>
        <x:v>探险家</x:v>
      </x:c>
      <x:c r="D1360" s="6" t="s">
        <x:v>22</x:v>
      </x:c>
      <x:c r="E1360" s="6">
        <x:v>42</x:v>
      </x:c>
      <x:c r="F1360" s="6" t="n">
        <x:f>英雄升级调参!$C$107</x:f>
        <x:v>9</x:v>
      </x:c>
      <x:c r="G1360" s="12">
        <x:f t="shared" si="127"/>
        <x:v>4610</x:v>
      </x:c>
      <x:c r="H1360" s="12">
        <x:f t="shared" si="128"/>
        <x:v>45960</x:v>
      </x:c>
      <x:c r="I1360" s="12">
        <x:f t="shared" si="126"/>
        <x:v>211875600</x:v>
      </x:c>
      <x:c r="J1360" s="12">
        <x:f>ROUND(英雄升级调参!$D$107*英雄升级调参!$J$10*英雄升级调参!$E$26,0)</x:f>
        <x:v>135</x:v>
      </x:c>
      <x:c r="K1360" s="12">
        <x:f>ROUND(英雄升级调参!$D$107*英雄升级调参!$C$11*英雄升级调参!$J$10*英雄升级调参!$G$26,0)</x:f>
        <x:v>1350</x:v>
      </x:c>
      <x:c r="L1360" s="12" t="n">
        <x:f>养成消耗调参!$D$189</x:f>
        <x:v>1440</x:v>
      </x:c>
      <x:c r="M1360" s="12" t="n">
        <x:f>养成消耗调参!$G$189</x:f>
        <x:v>9900</x:v>
      </x:c>
      <x:c r="N1360" s="12" t="n">
        <x:f>养成消耗调参!$I$189</x:f>
        <x:v>0</x:v>
      </x:c>
      <x:c r="O1360" s="12" t="n">
        <x:f>养成消耗调参!$K$189</x:f>
        <x:v>28872</x:v>
      </x:c>
      <x:c r="P1360" s="12" t="n">
        <x:f>养成消耗调参!$N$189</x:f>
        <x:v>176400</x:v>
      </x:c>
      <x:c r="Q1360" s="12" t="n">
        <x:f>养成消耗调参!$P$189</x:f>
        <x:v>640</x:v>
      </x:c>
      <x:c r="R1360" s="13" t="n">
        <x:f>I1360/英雄升级调参!$J$107-1</x:f>
        <x:v>0</x:v>
      </x:c>
      <x:c r="S1360" s="6"/>
      <x:c r="T1360" s="6"/>
      <x:c r="U1360" s="6"/>
    </x:row>
    <x:row r="1361" ht="21" customHeight="1">
      <x:c r="A1361" s="14" t="n">
        <x:f>英雄升级调参!$B$26</x:f>
        <x:v>310009</x:v>
      </x:c>
      <x:c r="B1361" s="14" t="str">
        <x:f>英雄升级调参!$C$26</x:f>
        <x:v>海希</x:v>
      </x:c>
      <x:c r="C1361" s="6" t="str">
        <x:f>英雄升级调参!$D$26</x:f>
        <x:v>探险家</x:v>
      </x:c>
      <x:c r="D1361" s="6" t="s">
        <x:v>22</x:v>
      </x:c>
      <x:c r="E1361" s="6">
        <x:v>43</x:v>
      </x:c>
      <x:c r="F1361" s="6" t="n">
        <x:f>英雄升级调参!$C$108</x:f>
        <x:v>9</x:v>
      </x:c>
      <x:c r="G1361" s="12">
        <x:f t="shared" si="127"/>
        <x:v>4745</x:v>
      </x:c>
      <x:c r="H1361" s="12">
        <x:f t="shared" si="128"/>
        <x:v>47310</x:v>
      </x:c>
      <x:c r="I1361" s="12">
        <x:f t="shared" si="126"/>
        <x:v>224485950</x:v>
      </x:c>
      <x:c r="J1361" s="12">
        <x:f>ROUND(英雄升级调参!$D$108*英雄升级调参!$J$10*英雄升级调参!$E$26,0)</x:f>
        <x:v>135</x:v>
      </x:c>
      <x:c r="K1361" s="12">
        <x:f>ROUND(英雄升级调参!$D$108*英雄升级调参!$C$11*英雄升级调参!$J$10*英雄升级调参!$G$26,0)</x:f>
        <x:v>1350</x:v>
      </x:c>
      <x:c r="L1361" s="12" t="n">
        <x:f>养成消耗调参!$D$190</x:f>
        <x:v>1440</x:v>
      </x:c>
      <x:c r="M1361" s="12" t="n">
        <x:f>养成消耗调参!$G$190</x:f>
        <x:v>9900</x:v>
      </x:c>
      <x:c r="N1361" s="12" t="n">
        <x:f>养成消耗调参!$I$190</x:f>
        <x:v>0</x:v>
      </x:c>
      <x:c r="O1361" s="12" t="n">
        <x:f>养成消耗调参!$K$190</x:f>
        <x:v>30312</x:v>
      </x:c>
      <x:c r="P1361" s="12" t="n">
        <x:f>养成消耗调参!$N$190</x:f>
        <x:v>186300</x:v>
      </x:c>
      <x:c r="Q1361" s="12" t="n">
        <x:f>养成消耗调参!$P$190</x:f>
        <x:v>640</x:v>
      </x:c>
      <x:c r="R1361" s="13" t="n">
        <x:f>I1361/英雄升级调参!$J$108-1</x:f>
        <x:v>0</x:v>
      </x:c>
      <x:c r="S1361" s="6"/>
      <x:c r="T1361" s="6"/>
      <x:c r="U1361" s="6"/>
    </x:row>
    <x:row r="1362" ht="21" customHeight="1">
      <x:c r="A1362" s="14" t="n">
        <x:f>英雄升级调参!$B$26</x:f>
        <x:v>310009</x:v>
      </x:c>
      <x:c r="B1362" s="14" t="str">
        <x:f>英雄升级调参!$C$26</x:f>
        <x:v>海希</x:v>
      </x:c>
      <x:c r="C1362" s="6" t="str">
        <x:f>英雄升级调参!$D$26</x:f>
        <x:v>探险家</x:v>
      </x:c>
      <x:c r="D1362" s="6" t="s">
        <x:v>22</x:v>
      </x:c>
      <x:c r="E1362" s="6">
        <x:v>44</x:v>
      </x:c>
      <x:c r="F1362" s="6" t="n">
        <x:f>英雄升级调参!$C$109</x:f>
        <x:v>9</x:v>
      </x:c>
      <x:c r="G1362" s="12">
        <x:f t="shared" si="127"/>
        <x:v>4880</x:v>
      </x:c>
      <x:c r="H1362" s="12">
        <x:f t="shared" si="128"/>
        <x:v>48660</x:v>
      </x:c>
      <x:c r="I1362" s="12">
        <x:f t="shared" si="126"/>
        <x:v>237460800</x:v>
      </x:c>
      <x:c r="J1362" s="12">
        <x:f>ROUND(英雄升级调参!$D$109*英雄升级调参!$J$10*英雄升级调参!$E$26,0)</x:f>
        <x:v>135</x:v>
      </x:c>
      <x:c r="K1362" s="12">
        <x:f>ROUND(英雄升级调参!$D$109*英雄升级调参!$C$11*英雄升级调参!$J$10*英雄升级调参!$G$26,0)</x:f>
        <x:v>1350</x:v>
      </x:c>
      <x:c r="L1362" s="12" t="n">
        <x:f>养成消耗调参!$D$191</x:f>
        <x:v>1512</x:v>
      </x:c>
      <x:c r="M1362" s="12" t="n">
        <x:f>养成消耗调参!$G$191</x:f>
        <x:v>9900</x:v>
      </x:c>
      <x:c r="N1362" s="12" t="n">
        <x:f>养成消耗调参!$I$191</x:f>
        <x:v>0</x:v>
      </x:c>
      <x:c r="O1362" s="12" t="n">
        <x:f>养成消耗调参!$K$191</x:f>
        <x:v>31824</x:v>
      </x:c>
      <x:c r="P1362" s="12" t="n">
        <x:f>养成消耗调参!$N$191</x:f>
        <x:v>196200</x:v>
      </x:c>
      <x:c r="Q1362" s="12" t="n">
        <x:f>养成消耗调参!$P$191</x:f>
        <x:v>640</x:v>
      </x:c>
      <x:c r="R1362" s="13" t="n">
        <x:f>I1362/英雄升级调参!$J$109-1</x:f>
        <x:v>0</x:v>
      </x:c>
      <x:c r="S1362" s="6"/>
      <x:c r="T1362" s="6"/>
      <x:c r="U1362" s="6"/>
    </x:row>
    <x:row r="1363" ht="21" customHeight="1">
      <x:c r="A1363" s="14" t="n">
        <x:f>英雄升级调参!$B$26</x:f>
        <x:v>310009</x:v>
      </x:c>
      <x:c r="B1363" s="14" t="str">
        <x:f>英雄升级调参!$C$26</x:f>
        <x:v>海希</x:v>
      </x:c>
      <x:c r="C1363" s="6" t="str">
        <x:f>英雄升级调参!$D$26</x:f>
        <x:v>探险家</x:v>
      </x:c>
      <x:c r="D1363" s="6" t="s">
        <x:v>22</x:v>
      </x:c>
      <x:c r="E1363" s="6">
        <x:v>45</x:v>
      </x:c>
      <x:c r="F1363" s="6" t="n">
        <x:f>英雄升级调参!$C$110</x:f>
        <x:v>9</x:v>
      </x:c>
      <x:c r="G1363" s="12">
        <x:f t="shared" si="127"/>
        <x:v>5285</x:v>
      </x:c>
      <x:c r="H1363" s="12">
        <x:f t="shared" si="128"/>
        <x:v>52710</x:v>
      </x:c>
      <x:c r="I1363" s="12">
        <x:f t="shared" si="126"/>
        <x:v>278572350</x:v>
      </x:c>
      <x:c r="J1363" s="12">
        <x:f>ROUND(英雄升级调参!$D$110*英雄升级调参!$J$10*英雄升级调参!$E$26,0)*3</x:f>
        <x:v>405</x:v>
      </x:c>
      <x:c r="K1363" s="12">
        <x:f>ROUND(英雄升级调参!$D$110*英雄升级调参!$C$11*英雄升级调参!$J$10*英雄升级调参!$G$26,0)*3</x:f>
        <x:v>4050</x:v>
      </x:c>
      <x:c r="L1363" s="12" t="n">
        <x:f>养成消耗调参!$D$192</x:f>
        <x:v>1512</x:v>
      </x:c>
      <x:c r="M1363" s="12" t="n">
        <x:f>养成消耗调参!$G$192</x:f>
        <x:v>9900</x:v>
      </x:c>
      <x:c r="N1363" s="12" t="n">
        <x:f>养成消耗调参!$I$192</x:f>
        <x:v>170</x:v>
      </x:c>
      <x:c r="O1363" s="12" t="n">
        <x:f>养成消耗调参!$K$192</x:f>
        <x:v>33336</x:v>
      </x:c>
      <x:c r="P1363" s="12" t="n">
        <x:f>养成消耗调参!$N$192</x:f>
        <x:v>206100</x:v>
      </x:c>
      <x:c r="Q1363" s="12" t="n">
        <x:f>养成消耗调参!$P$192</x:f>
        <x:v>810</x:v>
      </x:c>
      <x:c r="R1363" s="13" t="n">
        <x:f>I1363/英雄升级调参!$J$110-1</x:f>
        <x:v>0</x:v>
      </x:c>
      <x:c r="S1363" s="6"/>
      <x:c r="T1363" s="6"/>
      <x:c r="U1363" s="6"/>
    </x:row>
    <x:row r="1364" ht="21" customHeight="1">
      <x:c r="A1364" s="14" t="n">
        <x:f>英雄升级调参!$B$26</x:f>
        <x:v>310009</x:v>
      </x:c>
      <x:c r="B1364" s="14" t="str">
        <x:f>英雄升级调参!$C$26</x:f>
        <x:v>海希</x:v>
      </x:c>
      <x:c r="C1364" s="6" t="str">
        <x:f>英雄升级调参!$D$26</x:f>
        <x:v>探险家</x:v>
      </x:c>
      <x:c r="D1364" s="6" t="s">
        <x:v>22</x:v>
      </x:c>
      <x:c r="E1364" s="6">
        <x:v>46</x:v>
      </x:c>
      <x:c r="F1364" s="6" t="n">
        <x:f>英雄升级调参!$C$111</x:f>
        <x:v>10</x:v>
      </x:c>
      <x:c r="G1364" s="12">
        <x:f t="shared" si="127"/>
        <x:v>5434</x:v>
      </x:c>
      <x:c r="H1364" s="12">
        <x:f t="shared" si="128"/>
        <x:v>54195</x:v>
      </x:c>
      <x:c r="I1364" s="12">
        <x:f t="shared" si="126"/>
        <x:v>294495630</x:v>
      </x:c>
      <x:c r="J1364" s="12">
        <x:f>ROUND(英雄升级调参!$D$111*英雄升级调参!$J$10*英雄升级调参!$E$26,0)</x:f>
        <x:v>149</x:v>
      </x:c>
      <x:c r="K1364" s="12">
        <x:f>ROUND(英雄升级调参!$D$111*英雄升级调参!$C$11*英雄升级调参!$J$10*英雄升级调参!$G$26,0)</x:f>
        <x:v>1485</x:v>
      </x:c>
      <x:c r="L1364" s="12" t="n">
        <x:f>养成消耗调参!$D$193</x:f>
        <x:v>1584</x:v>
      </x:c>
      <x:c r="M1364" s="12" t="n">
        <x:f>养成消耗调参!$G$193</x:f>
        <x:v>9900</x:v>
      </x:c>
      <x:c r="N1364" s="12" t="n">
        <x:f>养成消耗调参!$I$193</x:f>
        <x:v>0</x:v>
      </x:c>
      <x:c r="O1364" s="12" t="n">
        <x:f>养成消耗调参!$K$193</x:f>
        <x:v>34920</x:v>
      </x:c>
      <x:c r="P1364" s="12" t="n">
        <x:f>养成消耗调参!$N$193</x:f>
        <x:v>216000</x:v>
      </x:c>
      <x:c r="Q1364" s="12" t="n">
        <x:f>养成消耗调参!$P$193</x:f>
        <x:v>810</x:v>
      </x:c>
      <x:c r="R1364" s="13" t="n">
        <x:f>I1364/英雄升级调参!$J$111-1</x:f>
        <x:v>0</x:v>
      </x:c>
      <x:c r="S1364" s="6"/>
      <x:c r="T1364" s="6"/>
      <x:c r="U1364" s="6"/>
    </x:row>
    <x:row r="1365" ht="21" customHeight="1">
      <x:c r="A1365" s="14" t="n">
        <x:f>英雄升级调参!$B$26</x:f>
        <x:v>310009</x:v>
      </x:c>
      <x:c r="B1365" s="14" t="str">
        <x:f>英雄升级调参!$C$26</x:f>
        <x:v>海希</x:v>
      </x:c>
      <x:c r="C1365" s="6" t="str">
        <x:f>英雄升级调参!$D$26</x:f>
        <x:v>探险家</x:v>
      </x:c>
      <x:c r="D1365" s="6" t="s">
        <x:v>22</x:v>
      </x:c>
      <x:c r="E1365" s="6">
        <x:v>47</x:v>
      </x:c>
      <x:c r="F1365" s="6" t="n">
        <x:f>英雄升级调参!$C$112</x:f>
        <x:v>10</x:v>
      </x:c>
      <x:c r="G1365" s="12">
        <x:f t="shared" si="127"/>
        <x:v>5583</x:v>
      </x:c>
      <x:c r="H1365" s="12">
        <x:f t="shared" si="128"/>
        <x:v>55680</x:v>
      </x:c>
      <x:c r="I1365" s="12">
        <x:f t="shared" si="126"/>
        <x:v>310861440</x:v>
      </x:c>
      <x:c r="J1365" s="12">
        <x:f>ROUND(英雄升级调参!$D$112*英雄升级调参!$J$10*英雄升级调参!$E$26,0)</x:f>
        <x:v>149</x:v>
      </x:c>
      <x:c r="K1365" s="12">
        <x:f>ROUND(英雄升级调参!$D$112*英雄升级调参!$C$11*英雄升级调参!$J$10*英雄升级调参!$G$26,0)</x:f>
        <x:v>1485</x:v>
      </x:c>
      <x:c r="L1365" s="12" t="n">
        <x:f>养成消耗调参!$D$194</x:f>
        <x:v>1584</x:v>
      </x:c>
      <x:c r="M1365" s="12" t="n">
        <x:f>养成消耗调参!$G$194</x:f>
        <x:v>11250</x:v>
      </x:c>
      <x:c r="N1365" s="12" t="n">
        <x:f>养成消耗调参!$I$194</x:f>
        <x:v>0</x:v>
      </x:c>
      <x:c r="O1365" s="12" t="n">
        <x:f>养成消耗调参!$K$194</x:f>
        <x:v>36504</x:v>
      </x:c>
      <x:c r="P1365" s="12" t="n">
        <x:f>养成消耗调参!$N$194</x:f>
        <x:v>227250</x:v>
      </x:c>
      <x:c r="Q1365" s="12" t="n">
        <x:f>养成消耗调参!$P$194</x:f>
        <x:v>810</x:v>
      </x:c>
      <x:c r="R1365" s="13" t="n">
        <x:f>I1365/英雄升级调参!$J$112-1</x:f>
        <x:v>0</x:v>
      </x:c>
      <x:c r="S1365" s="6"/>
      <x:c r="T1365" s="6"/>
      <x:c r="U1365" s="6"/>
    </x:row>
    <x:row r="1366" ht="21" customHeight="1">
      <x:c r="A1366" s="14" t="n">
        <x:f>英雄升级调参!$B$26</x:f>
        <x:v>310009</x:v>
      </x:c>
      <x:c r="B1366" s="14" t="str">
        <x:f>英雄升级调参!$C$26</x:f>
        <x:v>海希</x:v>
      </x:c>
      <x:c r="C1366" s="6" t="str">
        <x:f>英雄升级调参!$D$26</x:f>
        <x:v>探险家</x:v>
      </x:c>
      <x:c r="D1366" s="6" t="s">
        <x:v>22</x:v>
      </x:c>
      <x:c r="E1366" s="6">
        <x:v>48</x:v>
      </x:c>
      <x:c r="F1366" s="6" t="n">
        <x:f>英雄升级调参!$C$113</x:f>
        <x:v>10</x:v>
      </x:c>
      <x:c r="G1366" s="12">
        <x:f t="shared" si="127"/>
        <x:v>5732</x:v>
      </x:c>
      <x:c r="H1366" s="12">
        <x:f t="shared" si="128"/>
        <x:v>57165</x:v>
      </x:c>
      <x:c r="I1366" s="12">
        <x:f t="shared" si="126"/>
        <x:v>327669780</x:v>
      </x:c>
      <x:c r="J1366" s="12">
        <x:f>ROUND(英雄升级调参!$D$113*英雄升级调参!$J$10*英雄升级调参!$E$26,0)</x:f>
        <x:v>149</x:v>
      </x:c>
      <x:c r="K1366" s="12">
        <x:f>ROUND(英雄升级调参!$D$113*英雄升级调参!$C$11*英雄升级调参!$J$10*英雄升级调参!$G$26,0)</x:f>
        <x:v>1485</x:v>
      </x:c>
      <x:c r="L1366" s="12" t="n">
        <x:f>养成消耗调参!$D$195</x:f>
        <x:v>1656</x:v>
      </x:c>
      <x:c r="M1366" s="12" t="n">
        <x:f>养成消耗调参!$G$195</x:f>
        <x:v>11250</x:v>
      </x:c>
      <x:c r="N1366" s="12" t="n">
        <x:f>养成消耗调参!$I$195</x:f>
        <x:v>0</x:v>
      </x:c>
      <x:c r="O1366" s="12" t="n">
        <x:f>养成消耗调参!$K$195</x:f>
        <x:v>38160</x:v>
      </x:c>
      <x:c r="P1366" s="12" t="n">
        <x:f>养成消耗调参!$N$195</x:f>
        <x:v>238500</x:v>
      </x:c>
      <x:c r="Q1366" s="12" t="n">
        <x:f>养成消耗调参!$P$195</x:f>
        <x:v>810</x:v>
      </x:c>
      <x:c r="R1366" s="13" t="n">
        <x:f>I1366/英雄升级调参!$J$113-1</x:f>
        <x:v>0</x:v>
      </x:c>
      <x:c r="S1366" s="6"/>
      <x:c r="T1366" s="6"/>
      <x:c r="U1366" s="6"/>
    </x:row>
    <x:row r="1367" ht="21" customHeight="1">
      <x:c r="A1367" s="14" t="n">
        <x:f>英雄升级调参!$B$26</x:f>
        <x:v>310009</x:v>
      </x:c>
      <x:c r="B1367" s="14" t="str">
        <x:f>英雄升级调参!$C$26</x:f>
        <x:v>海希</x:v>
      </x:c>
      <x:c r="C1367" s="6" t="str">
        <x:f>英雄升级调参!$D$26</x:f>
        <x:v>探险家</x:v>
      </x:c>
      <x:c r="D1367" s="6" t="s">
        <x:v>22</x:v>
      </x:c>
      <x:c r="E1367" s="6">
        <x:v>49</x:v>
      </x:c>
      <x:c r="F1367" s="6" t="n">
        <x:f>英雄升级调参!$C$114</x:f>
        <x:v>10</x:v>
      </x:c>
      <x:c r="G1367" s="12">
        <x:f t="shared" si="127"/>
        <x:v>5881</x:v>
      </x:c>
      <x:c r="H1367" s="12">
        <x:f t="shared" si="128"/>
        <x:v>58650</x:v>
      </x:c>
      <x:c r="I1367" s="12">
        <x:f t="shared" si="126"/>
        <x:v>344920650</x:v>
      </x:c>
      <x:c r="J1367" s="12">
        <x:f>ROUND(英雄升级调参!$D$114*英雄升级调参!$J$10*英雄升级调参!$E$26,0)</x:f>
        <x:v>149</x:v>
      </x:c>
      <x:c r="K1367" s="12">
        <x:f>ROUND(英雄升级调参!$D$114*英雄升级调参!$C$11*英雄升级调参!$J$10*英雄升级调参!$G$26,0)</x:f>
        <x:v>1485</x:v>
      </x:c>
      <x:c r="L1367" s="12" t="n">
        <x:f>养成消耗调参!$D$196</x:f>
        <x:v>1656</x:v>
      </x:c>
      <x:c r="M1367" s="12" t="n">
        <x:f>养成消耗调参!$G$196</x:f>
        <x:v>11250</x:v>
      </x:c>
      <x:c r="N1367" s="12" t="n">
        <x:f>养成消耗调参!$I$196</x:f>
        <x:v>0</x:v>
      </x:c>
      <x:c r="O1367" s="12" t="n">
        <x:f>养成消耗调参!$K$196</x:f>
        <x:v>39816</x:v>
      </x:c>
      <x:c r="P1367" s="12" t="n">
        <x:f>养成消耗调参!$N$196</x:f>
        <x:v>249750</x:v>
      </x:c>
      <x:c r="Q1367" s="12" t="n">
        <x:f>养成消耗调参!$P$196</x:f>
        <x:v>810</x:v>
      </x:c>
      <x:c r="R1367" s="13" t="n">
        <x:f>I1367/英雄升级调参!$J$114-1</x:f>
        <x:v>0</x:v>
      </x:c>
      <x:c r="S1367" s="6"/>
      <x:c r="T1367" s="6"/>
      <x:c r="U1367" s="6"/>
    </x:row>
    <x:row r="1368" ht="21" customHeight="1">
      <x:c r="A1368" s="14" t="n">
        <x:f>英雄升级调参!$B$26</x:f>
        <x:v>310009</x:v>
      </x:c>
      <x:c r="B1368" s="14" t="str">
        <x:f>英雄升级调参!$C$26</x:f>
        <x:v>海希</x:v>
      </x:c>
      <x:c r="C1368" s="6" t="str">
        <x:f>英雄升级调参!$D$26</x:f>
        <x:v>探险家</x:v>
      </x:c>
      <x:c r="D1368" s="6" t="s">
        <x:v>22</x:v>
      </x:c>
      <x:c r="E1368" s="6">
        <x:v>50</x:v>
      </x:c>
      <x:c r="F1368" s="6" t="n">
        <x:f>英雄升级调参!$C$115</x:f>
        <x:v>10</x:v>
      </x:c>
      <x:c r="G1368" s="12">
        <x:f t="shared" si="127"/>
        <x:v>6328</x:v>
      </x:c>
      <x:c r="H1368" s="12">
        <x:f t="shared" si="128"/>
        <x:v>63105</x:v>
      </x:c>
      <x:c r="I1368" s="12">
        <x:f t="shared" si="126"/>
        <x:v>399328440</x:v>
      </x:c>
      <x:c r="J1368" s="12">
        <x:f>ROUND(英雄升级调参!$D$115*英雄升级调参!$J$10*英雄升级调参!$E$26,0)*3</x:f>
        <x:v>447</x:v>
      </x:c>
      <x:c r="K1368" s="12">
        <x:f>ROUND(英雄升级调参!$D$115*英雄升级调参!$C$11*英雄升级调参!$J$10*英雄升级调参!$G$26,0)*3</x:f>
        <x:v>4455</x:v>
      </x:c>
      <x:c r="L1368" s="12" t="n">
        <x:f>养成消耗调参!$D$197</x:f>
        <x:v>1728</x:v>
      </x:c>
      <x:c r="M1368" s="12" t="n">
        <x:f>养成消耗调参!$G$197</x:f>
        <x:v>11250</x:v>
      </x:c>
      <x:c r="N1368" s="12" t="n">
        <x:f>养成消耗调参!$I$197</x:f>
        <x:v>190</x:v>
      </x:c>
      <x:c r="O1368" s="12" t="n">
        <x:f>养成消耗调参!$K$197</x:f>
        <x:v>41544</x:v>
      </x:c>
      <x:c r="P1368" s="12" t="n">
        <x:f>养成消耗调参!$N$197</x:f>
        <x:v>261000</x:v>
      </x:c>
      <x:c r="Q1368" s="12" t="n">
        <x:f>养成消耗调参!$P$197</x:f>
        <x:v>1000</x:v>
      </x:c>
      <x:c r="R1368" s="13" t="n">
        <x:f>I1368/英雄升级调参!$J$115-1</x:f>
        <x:v>0</x:v>
      </x:c>
      <x:c r="S1368" s="6"/>
      <x:c r="T1368" s="6"/>
      <x:c r="U1368" s="6"/>
    </x:row>
    <x:row r="1369" ht="21" customHeight="1">
      <x:c r="A1369" s="14" t="n">
        <x:f>英雄升级调参!$B$26</x:f>
        <x:v>310009</x:v>
      </x:c>
      <x:c r="B1369" s="14" t="str">
        <x:f>英雄升级调参!$C$26</x:f>
        <x:v>海希</x:v>
      </x:c>
      <x:c r="C1369" s="6" t="str">
        <x:f>英雄升级调参!$D$26</x:f>
        <x:v>探险家</x:v>
      </x:c>
      <x:c r="D1369" s="6" t="s">
        <x:v>25</x:v>
      </x:c>
      <x:c r="E1369" s="6">
        <x:v>1</x:v>
      </x:c>
      <x:c r="F1369" s="6" t="n">
        <x:f>英雄升级调参!$C$66</x:f>
        <x:v>1</x:v>
      </x:c>
      <x:c r="G1369" s="12">
        <x:f>G1278</x:f>
        <x:v>357</x:v>
      </x:c>
      <x:c r="H1369" s="12">
        <x:f>H1278</x:f>
        <x:v>3570</x:v>
      </x:c>
      <x:c r="I1369" s="12">
        <x:f t="shared" si="126"/>
        <x:v>1274490</x:v>
      </x:c>
      <x:c r="J1369" s="12" t="n">
        <x:f>0</x:f>
        <x:v>0</x:v>
      </x:c>
      <x:c r="K1369" s="12" t="n">
        <x:f>0</x:f>
        <x:v>0</x:v>
      </x:c>
      <x:c r="L1369" s="12" t="n">
        <x:f>养成消耗调参!$E$148</x:f>
        <x:v>0</x:v>
      </x:c>
      <x:c r="M1369" s="12" t="n">
        <x:f>养成消耗调参!$H$148</x:f>
        <x:v>0</x:v>
      </x:c>
      <x:c r="N1369" s="12" t="n">
        <x:f>养成消耗调参!$I$148</x:f>
        <x:v>0</x:v>
      </x:c>
      <x:c r="O1369" s="12" t="n">
        <x:f>养成消耗调参!$L$148</x:f>
        <x:v>0</x:v>
      </x:c>
      <x:c r="P1369" s="12" t="n">
        <x:f>养成消耗调参!$O$148</x:f>
        <x:v>0</x:v>
      </x:c>
      <x:c r="Q1369" s="12" t="n">
        <x:f>养成消耗调参!$P$148</x:f>
        <x:v>0</x:v>
      </x:c>
      <x:c r="R1369" s="13" t="n">
        <x:f>I1369/英雄升级调参!$M$66-1</x:f>
        <x:v>0</x:v>
      </x:c>
      <x:c r="S1369" s="6"/>
      <x:c r="T1369" s="6"/>
      <x:c r="U1369" s="6"/>
    </x:row>
    <x:row r="1370" ht="21" customHeight="1">
      <x:c r="A1370" s="14" t="n">
        <x:f>英雄升级调参!$B$26</x:f>
        <x:v>310009</x:v>
      </x:c>
      <x:c r="B1370" s="14" t="str">
        <x:f>英雄升级调参!$C$26</x:f>
        <x:v>海希</x:v>
      </x:c>
      <x:c r="C1370" s="6" t="str">
        <x:f>英雄升级调参!$D$26</x:f>
        <x:v>探险家</x:v>
      </x:c>
      <x:c r="D1370" s="6" t="s">
        <x:v>25</x:v>
      </x:c>
      <x:c r="E1370" s="6">
        <x:v>2</x:v>
      </x:c>
      <x:c r="F1370" s="6" t="n">
        <x:f>英雄升级调参!$C$67</x:f>
        <x:v>1</x:v>
      </x:c>
      <x:c r="G1370" s="12">
        <x:f t="shared" ref="G1370:G1401" si="129">G1369+J1370</x:f>
        <x:v>402</x:v>
      </x:c>
      <x:c r="H1370" s="12">
        <x:f t="shared" ref="H1370:H1401" si="130">H1369+K1370</x:f>
        <x:v>4020</x:v>
      </x:c>
      <x:c r="I1370" s="12">
        <x:f t="shared" si="126"/>
        <x:v>1616040</x:v>
      </x:c>
      <x:c r="J1370" s="12">
        <x:f>ROUND(英雄升级调参!$D$67*英雄升级调参!$J$11*英雄升级调参!$E$26,0)</x:f>
        <x:v>45</x:v>
      </x:c>
      <x:c r="K1370" s="12">
        <x:f>ROUND(英雄升级调参!$D$67*英雄升级调参!$C$11*英雄升级调参!$J$11*英雄升级调参!$G$26,0)</x:f>
        <x:v>450</x:v>
      </x:c>
      <x:c r="L1370" s="12" t="n">
        <x:f>养成消耗调参!$E$149</x:f>
        <x:v>48</x:v>
      </x:c>
      <x:c r="M1370" s="12" t="n">
        <x:f>养成消耗调参!$H$149</x:f>
        <x:v>600</x:v>
      </x:c>
      <x:c r="N1370" s="12" t="n">
        <x:f>养成消耗调参!$I$149</x:f>
        <x:v>0</x:v>
      </x:c>
      <x:c r="O1370" s="12" t="n">
        <x:f>养成消耗调参!$L$149</x:f>
        <x:v>48</x:v>
      </x:c>
      <x:c r="P1370" s="12" t="n">
        <x:f>养成消耗调参!$O$149</x:f>
        <x:v>600</x:v>
      </x:c>
      <x:c r="Q1370" s="12" t="n">
        <x:f>养成消耗调参!$P$149</x:f>
        <x:v>0</x:v>
      </x:c>
      <x:c r="R1370" s="13" t="n">
        <x:f>I1370/英雄升级调参!$M$67-1</x:f>
        <x:v>0</x:v>
      </x:c>
      <x:c r="S1370" s="6"/>
      <x:c r="T1370" s="6"/>
      <x:c r="U1370" s="6"/>
    </x:row>
    <x:row r="1371" ht="21" customHeight="1">
      <x:c r="A1371" s="14" t="n">
        <x:f>英雄升级调参!$B$26</x:f>
        <x:v>310009</x:v>
      </x:c>
      <x:c r="B1371" s="14" t="str">
        <x:f>英雄升级调参!$C$26</x:f>
        <x:v>海希</x:v>
      </x:c>
      <x:c r="C1371" s="6" t="str">
        <x:f>英雄升级调参!$D$26</x:f>
        <x:v>探险家</x:v>
      </x:c>
      <x:c r="D1371" s="6" t="s">
        <x:v>25</x:v>
      </x:c>
      <x:c r="E1371" s="6">
        <x:v>3</x:v>
      </x:c>
      <x:c r="F1371" s="6" t="n">
        <x:f>英雄升级调参!$C$68</x:f>
        <x:v>1</x:v>
      </x:c>
      <x:c r="G1371" s="12">
        <x:f t="shared" si="129"/>
        <x:v>447</x:v>
      </x:c>
      <x:c r="H1371" s="12">
        <x:f t="shared" si="130"/>
        <x:v>4470</x:v>
      </x:c>
      <x:c r="I1371" s="12">
        <x:f t="shared" si="126"/>
        <x:v>1998090</x:v>
      </x:c>
      <x:c r="J1371" s="12">
        <x:f>ROUND(英雄升级调参!$D$68*英雄升级调参!$J$11*英雄升级调参!$E$26,0)</x:f>
        <x:v>45</x:v>
      </x:c>
      <x:c r="K1371" s="12">
        <x:f>ROUND(英雄升级调参!$D$68*英雄升级调参!$C$11*英雄升级调参!$J$11*英雄升级调参!$G$26,0)</x:f>
        <x:v>450</x:v>
      </x:c>
      <x:c r="L1371" s="12" t="n">
        <x:f>养成消耗调参!$E$150</x:f>
        <x:v>48</x:v>
      </x:c>
      <x:c r="M1371" s="12" t="n">
        <x:f>养成消耗调参!$H$150</x:f>
        <x:v>600</x:v>
      </x:c>
      <x:c r="N1371" s="12" t="n">
        <x:f>养成消耗调参!$I$150</x:f>
        <x:v>0</x:v>
      </x:c>
      <x:c r="O1371" s="12" t="n">
        <x:f>养成消耗调参!$L$150</x:f>
        <x:v>96</x:v>
      </x:c>
      <x:c r="P1371" s="12" t="n">
        <x:f>养成消耗调参!$O$150</x:f>
        <x:v>1200</x:v>
      </x:c>
      <x:c r="Q1371" s="12" t="n">
        <x:f>养成消耗调参!$P$150</x:f>
        <x:v>0</x:v>
      </x:c>
      <x:c r="R1371" s="13" t="n">
        <x:f>I1371/英雄升级调参!$M$68-1</x:f>
        <x:v>0</x:v>
      </x:c>
      <x:c r="S1371" s="6"/>
      <x:c r="T1371" s="6"/>
      <x:c r="U1371" s="6"/>
    </x:row>
    <x:row r="1372" ht="21" customHeight="1">
      <x:c r="A1372" s="14" t="n">
        <x:f>英雄升级调参!$B$26</x:f>
        <x:v>310009</x:v>
      </x:c>
      <x:c r="B1372" s="14" t="str">
        <x:f>英雄升级调参!$C$26</x:f>
        <x:v>海希</x:v>
      </x:c>
      <x:c r="C1372" s="6" t="str">
        <x:f>英雄升级调参!$D$26</x:f>
        <x:v>探险家</x:v>
      </x:c>
      <x:c r="D1372" s="6" t="s">
        <x:v>25</x:v>
      </x:c>
      <x:c r="E1372" s="6">
        <x:v>4</x:v>
      </x:c>
      <x:c r="F1372" s="6" t="n">
        <x:f>英雄升级调参!$C$69</x:f>
        <x:v>1</x:v>
      </x:c>
      <x:c r="G1372" s="12">
        <x:f t="shared" si="129"/>
        <x:v>492</x:v>
      </x:c>
      <x:c r="H1372" s="12">
        <x:f t="shared" si="130"/>
        <x:v>4920</x:v>
      </x:c>
      <x:c r="I1372" s="12">
        <x:f t="shared" si="126"/>
        <x:v>2420640</x:v>
      </x:c>
      <x:c r="J1372" s="12">
        <x:f>ROUND(英雄升级调参!$D$69*英雄升级调参!$J$11*英雄升级调参!$E$26,0)</x:f>
        <x:v>45</x:v>
      </x:c>
      <x:c r="K1372" s="12">
        <x:f>ROUND(英雄升级调参!$D$69*英雄升级调参!$C$11*英雄升级调参!$J$11*英雄升级调参!$G$26,0)</x:f>
        <x:v>450</x:v>
      </x:c>
      <x:c r="L1372" s="12" t="n">
        <x:f>养成消耗调参!$E$151</x:f>
        <x:v>96</x:v>
      </x:c>
      <x:c r="M1372" s="12" t="n">
        <x:f>养成消耗调参!$H$151</x:f>
        <x:v>600</x:v>
      </x:c>
      <x:c r="N1372" s="12" t="n">
        <x:f>养成消耗调参!$I$151</x:f>
        <x:v>0</x:v>
      </x:c>
      <x:c r="O1372" s="12" t="n">
        <x:f>养成消耗调参!$L$151</x:f>
        <x:v>192</x:v>
      </x:c>
      <x:c r="P1372" s="12" t="n">
        <x:f>养成消耗调参!$O$151</x:f>
        <x:v>1800</x:v>
      </x:c>
      <x:c r="Q1372" s="12" t="n">
        <x:f>养成消耗调参!$P$151</x:f>
        <x:v>0</x:v>
      </x:c>
      <x:c r="R1372" s="13" t="n">
        <x:f>I1372/英雄升级调参!$M$69-1</x:f>
        <x:v>0</x:v>
      </x:c>
      <x:c r="S1372" s="6"/>
      <x:c r="T1372" s="6"/>
      <x:c r="U1372" s="6"/>
    </x:row>
    <x:row r="1373" ht="21" customHeight="1">
      <x:c r="A1373" s="14" t="n">
        <x:f>英雄升级调参!$B$26</x:f>
        <x:v>310009</x:v>
      </x:c>
      <x:c r="B1373" s="14" t="str">
        <x:f>英雄升级调参!$C$26</x:f>
        <x:v>海希</x:v>
      </x:c>
      <x:c r="C1373" s="6" t="str">
        <x:f>英雄升级调参!$D$26</x:f>
        <x:v>探险家</x:v>
      </x:c>
      <x:c r="D1373" s="6" t="s">
        <x:v>25</x:v>
      </x:c>
      <x:c r="E1373" s="6">
        <x:v>5</x:v>
      </x:c>
      <x:c r="F1373" s="6" t="n">
        <x:f>英雄升级调参!$C$70</x:f>
        <x:v>1</x:v>
      </x:c>
      <x:c r="G1373" s="12">
        <x:f t="shared" si="129"/>
        <x:v>627</x:v>
      </x:c>
      <x:c r="H1373" s="12">
        <x:f t="shared" si="130"/>
        <x:v>6270</x:v>
      </x:c>
      <x:c r="I1373" s="12">
        <x:f t="shared" si="126"/>
        <x:v>3931290</x:v>
      </x:c>
      <x:c r="J1373" s="12">
        <x:f>ROUND(英雄升级调参!$D$70*英雄升级调参!$J$11*英雄升级调参!$E$26,0)*3</x:f>
        <x:v>135</x:v>
      </x:c>
      <x:c r="K1373" s="12">
        <x:f>ROUND(英雄升级调参!$D$70*英雄升级调参!$C$11*英雄升级调参!$J$11*英雄升级调参!$G$26,0)*3</x:f>
        <x:v>1350</x:v>
      </x:c>
      <x:c r="L1373" s="12" t="n">
        <x:f>养成消耗调参!$E$152</x:f>
        <x:v>96</x:v>
      </x:c>
      <x:c r="M1373" s="12" t="n">
        <x:f>养成消耗调参!$H$152</x:f>
        <x:v>600</x:v>
      </x:c>
      <x:c r="N1373" s="12" t="n">
        <x:f>养成消耗调参!$I$152</x:f>
        <x:v>10</x:v>
      </x:c>
      <x:c r="O1373" s="12" t="n">
        <x:f>养成消耗调参!$L$152</x:f>
        <x:v>288</x:v>
      </x:c>
      <x:c r="P1373" s="12" t="n">
        <x:f>养成消耗调参!$O$152</x:f>
        <x:v>2400</x:v>
      </x:c>
      <x:c r="Q1373" s="12" t="n">
        <x:f>养成消耗调参!$P$152</x:f>
        <x:v>10</x:v>
      </x:c>
      <x:c r="R1373" s="13" t="n">
        <x:f>I1373/英雄升级调参!$M$70-1</x:f>
        <x:v>0</x:v>
      </x:c>
      <x:c r="S1373" s="6"/>
      <x:c r="T1373" s="6"/>
      <x:c r="U1373" s="6"/>
    </x:row>
    <x:row r="1374" ht="21" customHeight="1">
      <x:c r="A1374" s="14" t="n">
        <x:f>英雄升级调参!$B$26</x:f>
        <x:v>310009</x:v>
      </x:c>
      <x:c r="B1374" s="14" t="str">
        <x:f>英雄升级调参!$C$26</x:f>
        <x:v>海希</x:v>
      </x:c>
      <x:c r="C1374" s="6" t="str">
        <x:f>英雄升级调参!$D$26</x:f>
        <x:v>探险家</x:v>
      </x:c>
      <x:c r="D1374" s="6" t="s">
        <x:v>25</x:v>
      </x:c>
      <x:c r="E1374" s="6">
        <x:v>6</x:v>
      </x:c>
      <x:c r="F1374" s="6" t="n">
        <x:f>英雄升级调参!$C$71</x:f>
        <x:v>2</x:v>
      </x:c>
      <x:c r="G1374" s="12">
        <x:f t="shared" si="129"/>
        <x:v>695</x:v>
      </x:c>
      <x:c r="H1374" s="12">
        <x:f t="shared" si="130"/>
        <x:v>6945</x:v>
      </x:c>
      <x:c r="I1374" s="12">
        <x:f t="shared" si="126"/>
        <x:v>4826775</x:v>
      </x:c>
      <x:c r="J1374" s="12">
        <x:f>ROUND(英雄升级调参!$D$71*英雄升级调参!$J$11*英雄升级调参!$E$26,0)</x:f>
        <x:v>68</x:v>
      </x:c>
      <x:c r="K1374" s="12">
        <x:f>ROUND(英雄升级调参!$D$71*英雄升级调参!$C$11*英雄升级调参!$J$11*英雄升级调参!$G$26,0)</x:f>
        <x:v>675</x:v>
      </x:c>
      <x:c r="L1374" s="12" t="n">
        <x:f>养成消耗调参!$E$153</x:f>
        <x:v>192</x:v>
      </x:c>
      <x:c r="M1374" s="12" t="n">
        <x:f>养成消耗调参!$H$153</x:f>
        <x:v>600</x:v>
      </x:c>
      <x:c r="N1374" s="12" t="n">
        <x:f>养成消耗调参!$I$153</x:f>
        <x:v>0</x:v>
      </x:c>
      <x:c r="O1374" s="12" t="n">
        <x:f>养成消耗调参!$L$153</x:f>
        <x:v>480</x:v>
      </x:c>
      <x:c r="P1374" s="12" t="n">
        <x:f>养成消耗调参!$O$153</x:f>
        <x:v>3000</x:v>
      </x:c>
      <x:c r="Q1374" s="12" t="n">
        <x:f>养成消耗调参!$P$153</x:f>
        <x:v>10</x:v>
      </x:c>
      <x:c r="R1374" s="13" t="n">
        <x:f>I1374/英雄升级调参!$M$71-1</x:f>
        <x:v>0</x:v>
      </x:c>
      <x:c r="S1374" s="6"/>
      <x:c r="T1374" s="6"/>
      <x:c r="U1374" s="6"/>
    </x:row>
    <x:row r="1375" ht="21" customHeight="1">
      <x:c r="A1375" s="14" t="n">
        <x:f>英雄升级调参!$B$26</x:f>
        <x:v>310009</x:v>
      </x:c>
      <x:c r="B1375" s="14" t="str">
        <x:f>英雄升级调参!$C$26</x:f>
        <x:v>海希</x:v>
      </x:c>
      <x:c r="C1375" s="6" t="str">
        <x:f>英雄升级调参!$D$26</x:f>
        <x:v>探险家</x:v>
      </x:c>
      <x:c r="D1375" s="6" t="s">
        <x:v>25</x:v>
      </x:c>
      <x:c r="E1375" s="6">
        <x:v>7</x:v>
      </x:c>
      <x:c r="F1375" s="6" t="n">
        <x:f>英雄升级调参!$C$72</x:f>
        <x:v>2</x:v>
      </x:c>
      <x:c r="G1375" s="12">
        <x:f t="shared" si="129"/>
        <x:v>763</x:v>
      </x:c>
      <x:c r="H1375" s="12">
        <x:f t="shared" si="130"/>
        <x:v>7620</x:v>
      </x:c>
      <x:c r="I1375" s="12">
        <x:f t="shared" si="126"/>
        <x:v>5814060</x:v>
      </x:c>
      <x:c r="J1375" s="12">
        <x:f>ROUND(英雄升级调参!$D$72*英雄升级调参!$J$11*英雄升级调参!$E$26,0)</x:f>
        <x:v>68</x:v>
      </x:c>
      <x:c r="K1375" s="12">
        <x:f>ROUND(英雄升级调参!$D$72*英雄升级调参!$C$11*英雄升级调参!$J$11*英雄升级调参!$G$26,0)</x:f>
        <x:v>675</x:v>
      </x:c>
      <x:c r="L1375" s="12" t="n">
        <x:f>养成消耗调参!$E$154</x:f>
        <x:v>192</x:v>
      </x:c>
      <x:c r="M1375" s="12" t="n">
        <x:f>养成消耗调参!$H$154</x:f>
        <x:v>1800</x:v>
      </x:c>
      <x:c r="N1375" s="12" t="n">
        <x:f>养成消耗调参!$I$154</x:f>
        <x:v>0</x:v>
      </x:c>
      <x:c r="O1375" s="12" t="n">
        <x:f>养成消耗调参!$L$154</x:f>
        <x:v>672</x:v>
      </x:c>
      <x:c r="P1375" s="12" t="n">
        <x:f>养成消耗调参!$O$154</x:f>
        <x:v>4800</x:v>
      </x:c>
      <x:c r="Q1375" s="12" t="n">
        <x:f>养成消耗调参!$P$154</x:f>
        <x:v>10</x:v>
      </x:c>
      <x:c r="R1375" s="13" t="n">
        <x:f>I1375/英雄升级调参!$M$72-1</x:f>
        <x:v>0</x:v>
      </x:c>
      <x:c r="S1375" s="6"/>
      <x:c r="T1375" s="6"/>
      <x:c r="U1375" s="6"/>
    </x:row>
    <x:row r="1376" ht="21" customHeight="1">
      <x:c r="A1376" s="14" t="n">
        <x:f>英雄升级调参!$B$26</x:f>
        <x:v>310009</x:v>
      </x:c>
      <x:c r="B1376" s="14" t="str">
        <x:f>英雄升级调参!$C$26</x:f>
        <x:v>海希</x:v>
      </x:c>
      <x:c r="C1376" s="6" t="str">
        <x:f>英雄升级调参!$D$26</x:f>
        <x:v>探险家</x:v>
      </x:c>
      <x:c r="D1376" s="6" t="s">
        <x:v>25</x:v>
      </x:c>
      <x:c r="E1376" s="6">
        <x:v>8</x:v>
      </x:c>
      <x:c r="F1376" s="6" t="n">
        <x:f>英雄升级调参!$C$73</x:f>
        <x:v>2</x:v>
      </x:c>
      <x:c r="G1376" s="12">
        <x:f t="shared" si="129"/>
        <x:v>831</x:v>
      </x:c>
      <x:c r="H1376" s="12">
        <x:f t="shared" si="130"/>
        <x:v>8295</x:v>
      </x:c>
      <x:c r="I1376" s="12">
        <x:f t="shared" si="126"/>
        <x:v>6893145</x:v>
      </x:c>
      <x:c r="J1376" s="12">
        <x:f>ROUND(英雄升级调参!$D$73*英雄升级调参!$J$11*英雄升级调参!$E$26,0)</x:f>
        <x:v>68</x:v>
      </x:c>
      <x:c r="K1376" s="12">
        <x:f>ROUND(英雄升级调参!$D$73*英雄升级调参!$C$11*英雄升级调参!$J$11*英雄升级调参!$G$26,0)</x:f>
        <x:v>675</x:v>
      </x:c>
      <x:c r="L1376" s="12" t="n">
        <x:f>养成消耗调参!$E$155</x:f>
        <x:v>288</x:v>
      </x:c>
      <x:c r="M1376" s="12" t="n">
        <x:f>养成消耗调参!$H$155</x:f>
        <x:v>1800</x:v>
      </x:c>
      <x:c r="N1376" s="12" t="n">
        <x:f>养成消耗调参!$I$155</x:f>
        <x:v>0</x:v>
      </x:c>
      <x:c r="O1376" s="12" t="n">
        <x:f>养成消耗调参!$L$155</x:f>
        <x:v>960</x:v>
      </x:c>
      <x:c r="P1376" s="12" t="n">
        <x:f>养成消耗调参!$O$155</x:f>
        <x:v>6600</x:v>
      </x:c>
      <x:c r="Q1376" s="12" t="n">
        <x:f>养成消耗调参!$P$155</x:f>
        <x:v>10</x:v>
      </x:c>
      <x:c r="R1376" s="13" t="n">
        <x:f>I1376/英雄升级调参!$M$73-1</x:f>
        <x:v>0</x:v>
      </x:c>
      <x:c r="S1376" s="6"/>
      <x:c r="T1376" s="6"/>
      <x:c r="U1376" s="6"/>
    </x:row>
    <x:row r="1377" ht="21" customHeight="1">
      <x:c r="A1377" s="14" t="n">
        <x:f>英雄升级调参!$B$26</x:f>
        <x:v>310009</x:v>
      </x:c>
      <x:c r="B1377" s="14" t="str">
        <x:f>英雄升级调参!$C$26</x:f>
        <x:v>海希</x:v>
      </x:c>
      <x:c r="C1377" s="6" t="str">
        <x:f>英雄升级调参!$D$26</x:f>
        <x:v>探险家</x:v>
      </x:c>
      <x:c r="D1377" s="6" t="s">
        <x:v>25</x:v>
      </x:c>
      <x:c r="E1377" s="6">
        <x:v>9</x:v>
      </x:c>
      <x:c r="F1377" s="6" t="n">
        <x:f>英雄升级调参!$C$74</x:f>
        <x:v>2</x:v>
      </x:c>
      <x:c r="G1377" s="12">
        <x:f t="shared" si="129"/>
        <x:v>899</x:v>
      </x:c>
      <x:c r="H1377" s="12">
        <x:f t="shared" si="130"/>
        <x:v>8970</x:v>
      </x:c>
      <x:c r="I1377" s="12">
        <x:f t="shared" si="126"/>
        <x:v>8064030</x:v>
      </x:c>
      <x:c r="J1377" s="12">
        <x:f>ROUND(英雄升级调参!$D$74*英雄升级调参!$J$11*英雄升级调参!$E$26,0)</x:f>
        <x:v>68</x:v>
      </x:c>
      <x:c r="K1377" s="12">
        <x:f>ROUND(英雄升级调参!$D$74*英雄升级调参!$C$11*英雄升级调参!$J$11*英雄升级调参!$G$26,0)</x:f>
        <x:v>675</x:v>
      </x:c>
      <x:c r="L1377" s="12" t="n">
        <x:f>养成消耗调参!$E$156</x:f>
        <x:v>288</x:v>
      </x:c>
      <x:c r="M1377" s="12" t="n">
        <x:f>养成消耗调参!$H$156</x:f>
        <x:v>1800</x:v>
      </x:c>
      <x:c r="N1377" s="12" t="n">
        <x:f>养成消耗调参!$I$156</x:f>
        <x:v>0</x:v>
      </x:c>
      <x:c r="O1377" s="12" t="n">
        <x:f>养成消耗调参!$L$156</x:f>
        <x:v>1248</x:v>
      </x:c>
      <x:c r="P1377" s="12" t="n">
        <x:f>养成消耗调参!$O$156</x:f>
        <x:v>8400</x:v>
      </x:c>
      <x:c r="Q1377" s="12" t="n">
        <x:f>养成消耗调参!$P$156</x:f>
        <x:v>10</x:v>
      </x:c>
      <x:c r="R1377" s="13" t="n">
        <x:f>I1377/英雄升级调参!$M$74-1</x:f>
        <x:v>0</x:v>
      </x:c>
      <x:c r="S1377" s="6"/>
      <x:c r="T1377" s="6"/>
      <x:c r="U1377" s="6"/>
    </x:row>
    <x:row r="1378" ht="21" customHeight="1">
      <x:c r="A1378" s="14" t="n">
        <x:f>英雄升级调参!$B$26</x:f>
        <x:v>310009</x:v>
      </x:c>
      <x:c r="B1378" s="14" t="str">
        <x:f>英雄升级调参!$C$26</x:f>
        <x:v>海希</x:v>
      </x:c>
      <x:c r="C1378" s="6" t="str">
        <x:f>英雄升级调参!$D$26</x:f>
        <x:v>探险家</x:v>
      </x:c>
      <x:c r="D1378" s="6" t="s">
        <x:v>25</x:v>
      </x:c>
      <x:c r="E1378" s="6">
        <x:v>10</x:v>
      </x:c>
      <x:c r="F1378" s="6" t="n">
        <x:f>英雄升级调参!$C$75</x:f>
        <x:v>2</x:v>
      </x:c>
      <x:c r="G1378" s="12">
        <x:f t="shared" si="129"/>
        <x:v>1103</x:v>
      </x:c>
      <x:c r="H1378" s="12">
        <x:f t="shared" si="130"/>
        <x:v>10995</x:v>
      </x:c>
      <x:c r="I1378" s="12">
        <x:f t="shared" si="126"/>
        <x:v>12127485</x:v>
      </x:c>
      <x:c r="J1378" s="12">
        <x:f>ROUND(英雄升级调参!$D$75*英雄升级调参!$J$11*英雄升级调参!$E$26,0)*3</x:f>
        <x:v>204</x:v>
      </x:c>
      <x:c r="K1378" s="12">
        <x:f>ROUND(英雄升级调参!$D$75*英雄升级调参!$C$11*英雄升级调参!$J$11*英雄升级调参!$G$26,0)*3</x:f>
        <x:v>2025</x:v>
      </x:c>
      <x:c r="L1378" s="12" t="n">
        <x:f>养成消耗调参!$E$157</x:f>
        <x:v>384</x:v>
      </x:c>
      <x:c r="M1378" s="12" t="n">
        <x:f>养成消耗调参!$H$157</x:f>
        <x:v>1800</x:v>
      </x:c>
      <x:c r="N1378" s="12" t="n">
        <x:f>养成消耗调参!$I$157</x:f>
        <x:v>30</x:v>
      </x:c>
      <x:c r="O1378" s="12" t="n">
        <x:f>养成消耗调参!$L$157</x:f>
        <x:v>1632</x:v>
      </x:c>
      <x:c r="P1378" s="12" t="n">
        <x:f>养成消耗调参!$O$157</x:f>
        <x:v>10200</x:v>
      </x:c>
      <x:c r="Q1378" s="12" t="n">
        <x:f>养成消耗调参!$P$157</x:f>
        <x:v>40</x:v>
      </x:c>
      <x:c r="R1378" s="13" t="n">
        <x:f>I1378/英雄升级调参!$M$75-1</x:f>
        <x:v>0</x:v>
      </x:c>
      <x:c r="S1378" s="6"/>
      <x:c r="T1378" s="6"/>
      <x:c r="U1378" s="6"/>
    </x:row>
    <x:row r="1379" ht="21" customHeight="1">
      <x:c r="A1379" s="14" t="n">
        <x:f>英雄升级调参!$B$26</x:f>
        <x:v>310009</x:v>
      </x:c>
      <x:c r="B1379" s="14" t="str">
        <x:f>英雄升级调参!$C$26</x:f>
        <x:v>海希</x:v>
      </x:c>
      <x:c r="C1379" s="6" t="str">
        <x:f>英雄升级调参!$D$26</x:f>
        <x:v>探险家</x:v>
      </x:c>
      <x:c r="D1379" s="6" t="s">
        <x:v>25</x:v>
      </x:c>
      <x:c r="E1379" s="6">
        <x:v>11</x:v>
      </x:c>
      <x:c r="F1379" s="6" t="n">
        <x:f>英雄升级调参!$C$76</x:f>
        <x:v>3</x:v>
      </x:c>
      <x:c r="G1379" s="12">
        <x:f t="shared" si="129"/>
        <x:v>1193</x:v>
      </x:c>
      <x:c r="H1379" s="12">
        <x:f t="shared" si="130"/>
        <x:v>11895</x:v>
      </x:c>
      <x:c r="I1379" s="12">
        <x:f t="shared" si="126"/>
        <x:v>14190735</x:v>
      </x:c>
      <x:c r="J1379" s="12">
        <x:f>ROUND(英雄升级调参!$D$76*英雄升级调参!$J$11*英雄升级调参!$E$26,0)</x:f>
        <x:v>90</x:v>
      </x:c>
      <x:c r="K1379" s="12">
        <x:f>ROUND(英雄升级调参!$D$76*英雄升级调参!$C$11*英雄升级调参!$J$11*英雄升级调参!$G$26,0)</x:f>
        <x:v>900</x:v>
      </x:c>
      <x:c r="L1379" s="12" t="n">
        <x:f>养成消耗调参!$E$158</x:f>
        <x:v>384</x:v>
      </x:c>
      <x:c r="M1379" s="12" t="n">
        <x:f>养成消耗调参!$H$158</x:f>
        <x:v>1800</x:v>
      </x:c>
      <x:c r="N1379" s="12" t="n">
        <x:f>养成消耗调参!$I$158</x:f>
        <x:v>0</x:v>
      </x:c>
      <x:c r="O1379" s="12" t="n">
        <x:f>养成消耗调参!$L$158</x:f>
        <x:v>2016</x:v>
      </x:c>
      <x:c r="P1379" s="12" t="n">
        <x:f>养成消耗调参!$O$158</x:f>
        <x:v>12000</x:v>
      </x:c>
      <x:c r="Q1379" s="12" t="n">
        <x:f>养成消耗调参!$P$158</x:f>
        <x:v>40</x:v>
      </x:c>
      <x:c r="R1379" s="13" t="n">
        <x:f>I1379/英雄升级调参!$M$76-1</x:f>
        <x:v>0</x:v>
      </x:c>
      <x:c r="S1379" s="6"/>
      <x:c r="T1379" s="6"/>
      <x:c r="U1379" s="6"/>
    </x:row>
    <x:row r="1380" ht="21" customHeight="1">
      <x:c r="A1380" s="14" t="n">
        <x:f>英雄升级调参!$B$26</x:f>
        <x:v>310009</x:v>
      </x:c>
      <x:c r="B1380" s="14" t="str">
        <x:f>英雄升级调参!$C$26</x:f>
        <x:v>海希</x:v>
      </x:c>
      <x:c r="C1380" s="6" t="str">
        <x:f>英雄升级调参!$D$26</x:f>
        <x:v>探险家</x:v>
      </x:c>
      <x:c r="D1380" s="6" t="s">
        <x:v>25</x:v>
      </x:c>
      <x:c r="E1380" s="6">
        <x:v>12</x:v>
      </x:c>
      <x:c r="F1380" s="6" t="n">
        <x:f>英雄升级调参!$C$77</x:f>
        <x:v>3</x:v>
      </x:c>
      <x:c r="G1380" s="12">
        <x:f t="shared" si="129"/>
        <x:v>1283</x:v>
      </x:c>
      <x:c r="H1380" s="12">
        <x:f t="shared" si="130"/>
        <x:v>12795</x:v>
      </x:c>
      <x:c r="I1380" s="12">
        <x:f t="shared" si="126"/>
        <x:v>16415985</x:v>
      </x:c>
      <x:c r="J1380" s="12">
        <x:f>ROUND(英雄升级调参!$D$77*英雄升级调参!$J$11*英雄升级调参!$E$26,0)</x:f>
        <x:v>90</x:v>
      </x:c>
      <x:c r="K1380" s="12">
        <x:f>ROUND(英雄升级调参!$D$77*英雄升级调参!$C$11*英雄升级调参!$J$11*英雄升级调参!$G$26,0)</x:f>
        <x:v>900</x:v>
      </x:c>
      <x:c r="L1380" s="12" t="n">
        <x:f>养成消耗调参!$E$159</x:f>
        <x:v>480</x:v>
      </x:c>
      <x:c r="M1380" s="12" t="n">
        <x:f>养成消耗调参!$H$159</x:f>
        <x:v>3000</x:v>
      </x:c>
      <x:c r="N1380" s="12" t="n">
        <x:f>养成消耗调参!$I$159</x:f>
        <x:v>0</x:v>
      </x:c>
      <x:c r="O1380" s="12" t="n">
        <x:f>养成消耗调参!$L$159</x:f>
        <x:v>2496</x:v>
      </x:c>
      <x:c r="P1380" s="12" t="n">
        <x:f>养成消耗调参!$O$159</x:f>
        <x:v>15000</x:v>
      </x:c>
      <x:c r="Q1380" s="12" t="n">
        <x:f>养成消耗调参!$P$159</x:f>
        <x:v>40</x:v>
      </x:c>
      <x:c r="R1380" s="13" t="n">
        <x:f>I1380/英雄升级调参!$M$77-1</x:f>
        <x:v>0</x:v>
      </x:c>
      <x:c r="S1380" s="6"/>
      <x:c r="T1380" s="6"/>
      <x:c r="U1380" s="6"/>
    </x:row>
    <x:row r="1381" ht="21" customHeight="1">
      <x:c r="A1381" s="14" t="n">
        <x:f>英雄升级调参!$B$26</x:f>
        <x:v>310009</x:v>
      </x:c>
      <x:c r="B1381" s="14" t="str">
        <x:f>英雄升级调参!$C$26</x:f>
        <x:v>海希</x:v>
      </x:c>
      <x:c r="C1381" s="6" t="str">
        <x:f>英雄升级调参!$D$26</x:f>
        <x:v>探险家</x:v>
      </x:c>
      <x:c r="D1381" s="6" t="s">
        <x:v>25</x:v>
      </x:c>
      <x:c r="E1381" s="6">
        <x:v>13</x:v>
      </x:c>
      <x:c r="F1381" s="6" t="n">
        <x:f>英雄升级调参!$C$78</x:f>
        <x:v>3</x:v>
      </x:c>
      <x:c r="G1381" s="12">
        <x:f t="shared" si="129"/>
        <x:v>1373</x:v>
      </x:c>
      <x:c r="H1381" s="12">
        <x:f t="shared" si="130"/>
        <x:v>13695</x:v>
      </x:c>
      <x:c r="I1381" s="12">
        <x:f t="shared" si="126"/>
        <x:v>18803235</x:v>
      </x:c>
      <x:c r="J1381" s="12">
        <x:f>ROUND(英雄升级调参!$D$78*英雄升级调参!$J$11*英雄升级调参!$E$26,0)</x:f>
        <x:v>90</x:v>
      </x:c>
      <x:c r="K1381" s="12">
        <x:f>ROUND(英雄升级调参!$D$78*英雄升级调参!$C$11*英雄升级调参!$J$11*英雄升级调参!$G$26,0)</x:f>
        <x:v>900</x:v>
      </x:c>
      <x:c r="L1381" s="12" t="n">
        <x:f>养成消耗调参!$E$160</x:f>
        <x:v>480</x:v>
      </x:c>
      <x:c r="M1381" s="12" t="n">
        <x:f>养成消耗调参!$H$160</x:f>
        <x:v>3000</x:v>
      </x:c>
      <x:c r="N1381" s="12" t="n">
        <x:f>养成消耗调参!$I$160</x:f>
        <x:v>0</x:v>
      </x:c>
      <x:c r="O1381" s="12" t="n">
        <x:f>养成消耗调参!$L$160</x:f>
        <x:v>2976</x:v>
      </x:c>
      <x:c r="P1381" s="12" t="n">
        <x:f>养成消耗调参!$O$160</x:f>
        <x:v>18000</x:v>
      </x:c>
      <x:c r="Q1381" s="12" t="n">
        <x:f>养成消耗调参!$P$160</x:f>
        <x:v>40</x:v>
      </x:c>
      <x:c r="R1381" s="13" t="n">
        <x:f>I1381/英雄升级调参!$M$78-1</x:f>
        <x:v>0</x:v>
      </x:c>
      <x:c r="S1381" s="6"/>
      <x:c r="T1381" s="6"/>
      <x:c r="U1381" s="6"/>
    </x:row>
    <x:row r="1382" ht="21" customHeight="1">
      <x:c r="A1382" s="14" t="n">
        <x:f>英雄升级调参!$B$26</x:f>
        <x:v>310009</x:v>
      </x:c>
      <x:c r="B1382" s="14" t="str">
        <x:f>英雄升级调参!$C$26</x:f>
        <x:v>海希</x:v>
      </x:c>
      <x:c r="C1382" s="6" t="str">
        <x:f>英雄升级调参!$D$26</x:f>
        <x:v>探险家</x:v>
      </x:c>
      <x:c r="D1382" s="6" t="s">
        <x:v>25</x:v>
      </x:c>
      <x:c r="E1382" s="6">
        <x:v>14</x:v>
      </x:c>
      <x:c r="F1382" s="6" t="n">
        <x:f>英雄升级调参!$C$79</x:f>
        <x:v>3</x:v>
      </x:c>
      <x:c r="G1382" s="12">
        <x:f t="shared" si="129"/>
        <x:v>1463</x:v>
      </x:c>
      <x:c r="H1382" s="12">
        <x:f t="shared" si="130"/>
        <x:v>14595</x:v>
      </x:c>
      <x:c r="I1382" s="12">
        <x:f t="shared" si="126"/>
        <x:v>21352485</x:v>
      </x:c>
      <x:c r="J1382" s="12">
        <x:f>ROUND(英雄升级调参!$D$79*英雄升级调参!$J$11*英雄升级调参!$E$26,0)</x:f>
        <x:v>90</x:v>
      </x:c>
      <x:c r="K1382" s="12">
        <x:f>ROUND(英雄升级调参!$D$79*英雄升级调参!$C$11*英雄升级调参!$J$11*英雄升级调参!$G$26,0)</x:f>
        <x:v>900</x:v>
      </x:c>
      <x:c r="L1382" s="12" t="n">
        <x:f>养成消耗调参!$E$161</x:f>
        <x:v>576</x:v>
      </x:c>
      <x:c r="M1382" s="12" t="n">
        <x:f>养成消耗调参!$H$161</x:f>
        <x:v>3000</x:v>
      </x:c>
      <x:c r="N1382" s="12" t="n">
        <x:f>养成消耗调参!$I$161</x:f>
        <x:v>0</x:v>
      </x:c>
      <x:c r="O1382" s="12" t="n">
        <x:f>养成消耗调参!$L$161</x:f>
        <x:v>3552</x:v>
      </x:c>
      <x:c r="P1382" s="12" t="n">
        <x:f>养成消耗调参!$O$161</x:f>
        <x:v>21000</x:v>
      </x:c>
      <x:c r="Q1382" s="12" t="n">
        <x:f>养成消耗调参!$P$161</x:f>
        <x:v>40</x:v>
      </x:c>
      <x:c r="R1382" s="13" t="n">
        <x:f>I1382/英雄升级调参!$M$79-1</x:f>
        <x:v>0</x:v>
      </x:c>
      <x:c r="S1382" s="6"/>
      <x:c r="T1382" s="6"/>
      <x:c r="U1382" s="6"/>
    </x:row>
    <x:row r="1383" ht="21" customHeight="1">
      <x:c r="A1383" s="14" t="n">
        <x:f>英雄升级调参!$B$26</x:f>
        <x:v>310009</x:v>
      </x:c>
      <x:c r="B1383" s="14" t="str">
        <x:f>英雄升级调参!$C$26</x:f>
        <x:v>海希</x:v>
      </x:c>
      <x:c r="C1383" s="6" t="str">
        <x:f>英雄升级调参!$D$26</x:f>
        <x:v>探险家</x:v>
      </x:c>
      <x:c r="D1383" s="6" t="s">
        <x:v>25</x:v>
      </x:c>
      <x:c r="E1383" s="6">
        <x:v>15</x:v>
      </x:c>
      <x:c r="F1383" s="6" t="n">
        <x:f>英雄升级调参!$C$80</x:f>
        <x:v>3</x:v>
      </x:c>
      <x:c r="G1383" s="12">
        <x:f t="shared" si="129"/>
        <x:v>1733</x:v>
      </x:c>
      <x:c r="H1383" s="12">
        <x:f t="shared" si="130"/>
        <x:v>17295</x:v>
      </x:c>
      <x:c r="I1383" s="12">
        <x:f t="shared" si="126"/>
        <x:v>29972235</x:v>
      </x:c>
      <x:c r="J1383" s="12">
        <x:f>ROUND(英雄升级调参!$D$80*英雄升级调参!$J$11*英雄升级调参!$E$26,0)*3</x:f>
        <x:v>270</x:v>
      </x:c>
      <x:c r="K1383" s="12">
        <x:f>ROUND(英雄升级调参!$D$80*英雄升级调参!$C$11*英雄升级调参!$J$11*英雄升级调参!$G$26,0)*3</x:f>
        <x:v>2700</x:v>
      </x:c>
      <x:c r="L1383" s="12" t="n">
        <x:f>养成消耗调参!$E$162</x:f>
        <x:v>576</x:v>
      </x:c>
      <x:c r="M1383" s="12" t="n">
        <x:f>养成消耗调参!$H$162</x:f>
        <x:v>3000</x:v>
      </x:c>
      <x:c r="N1383" s="12" t="n">
        <x:f>养成消耗调参!$I$162</x:f>
        <x:v>50</x:v>
      </x:c>
      <x:c r="O1383" s="12" t="n">
        <x:f>养成消耗调参!$L$162</x:f>
        <x:v>4128</x:v>
      </x:c>
      <x:c r="P1383" s="12" t="n">
        <x:f>养成消耗调参!$O$162</x:f>
        <x:v>24000</x:v>
      </x:c>
      <x:c r="Q1383" s="12" t="n">
        <x:f>养成消耗调参!$P$162</x:f>
        <x:v>90</x:v>
      </x:c>
      <x:c r="R1383" s="13" t="n">
        <x:f>I1383/英雄升级调参!$M$80-1</x:f>
        <x:v>0</x:v>
      </x:c>
      <x:c r="S1383" s="6"/>
      <x:c r="T1383" s="6"/>
      <x:c r="U1383" s="6"/>
    </x:row>
    <x:row r="1384" ht="21" customHeight="1">
      <x:c r="A1384" s="14" t="n">
        <x:f>英雄升级调参!$B$26</x:f>
        <x:v>310009</x:v>
      </x:c>
      <x:c r="B1384" s="14" t="str">
        <x:f>英雄升级调参!$C$26</x:f>
        <x:v>海希</x:v>
      </x:c>
      <x:c r="C1384" s="6" t="str">
        <x:f>英雄升级调参!$D$26</x:f>
        <x:v>探险家</x:v>
      </x:c>
      <x:c r="D1384" s="6" t="s">
        <x:v>25</x:v>
      </x:c>
      <x:c r="E1384" s="6">
        <x:v>16</x:v>
      </x:c>
      <x:c r="F1384" s="6" t="n">
        <x:f>英雄升级调参!$C$81</x:f>
        <x:v>4</x:v>
      </x:c>
      <x:c r="G1384" s="12">
        <x:f t="shared" si="129"/>
        <x:v>1846</x:v>
      </x:c>
      <x:c r="H1384" s="12">
        <x:f t="shared" si="130"/>
        <x:v>18420</x:v>
      </x:c>
      <x:c r="I1384" s="12">
        <x:f t="shared" si="126"/>
        <x:v>34003320</x:v>
      </x:c>
      <x:c r="J1384" s="12">
        <x:f>ROUND(英雄升级调参!$D$81*英雄升级调参!$J$11*英雄升级调参!$E$26,0)</x:f>
        <x:v>113</x:v>
      </x:c>
      <x:c r="K1384" s="12">
        <x:f>ROUND(英雄升级调参!$D$81*英雄升级调参!$C$11*英雄升级调参!$J$11*英雄升级调参!$G$26,0)</x:f>
        <x:v>1125</x:v>
      </x:c>
      <x:c r="L1384" s="12" t="n">
        <x:f>养成消耗调参!$E$163</x:f>
        <x:v>672</x:v>
      </x:c>
      <x:c r="M1384" s="12" t="n">
        <x:f>养成消耗调参!$H$163</x:f>
        <x:v>3000</x:v>
      </x:c>
      <x:c r="N1384" s="12" t="n">
        <x:f>养成消耗调参!$I$163</x:f>
        <x:v>0</x:v>
      </x:c>
      <x:c r="O1384" s="12" t="n">
        <x:f>养成消耗调参!$L$163</x:f>
        <x:v>4800</x:v>
      </x:c>
      <x:c r="P1384" s="12" t="n">
        <x:f>养成消耗调参!$O$163</x:f>
        <x:v>27000</x:v>
      </x:c>
      <x:c r="Q1384" s="12" t="n">
        <x:f>养成消耗调参!$P$163</x:f>
        <x:v>90</x:v>
      </x:c>
      <x:c r="R1384" s="13" t="n">
        <x:f>I1384/英雄升级调参!$M$81-1</x:f>
        <x:v>0</x:v>
      </x:c>
      <x:c r="S1384" s="6"/>
      <x:c r="T1384" s="6"/>
      <x:c r="U1384" s="6"/>
    </x:row>
    <x:row r="1385" ht="21" customHeight="1">
      <x:c r="A1385" s="14" t="n">
        <x:f>英雄升级调参!$B$26</x:f>
        <x:v>310009</x:v>
      </x:c>
      <x:c r="B1385" s="14" t="str">
        <x:f>英雄升级调参!$C$26</x:f>
        <x:v>海希</x:v>
      </x:c>
      <x:c r="C1385" s="6" t="str">
        <x:f>英雄升级调参!$D$26</x:f>
        <x:v>探险家</x:v>
      </x:c>
      <x:c r="D1385" s="6" t="s">
        <x:v>25</x:v>
      </x:c>
      <x:c r="E1385" s="6">
        <x:v>17</x:v>
      </x:c>
      <x:c r="F1385" s="6" t="n">
        <x:f>英雄升级调参!$C$82</x:f>
        <x:v>4</x:v>
      </x:c>
      <x:c r="G1385" s="12">
        <x:f t="shared" si="129"/>
        <x:v>1959</x:v>
      </x:c>
      <x:c r="H1385" s="12">
        <x:f t="shared" si="130"/>
        <x:v>19545</x:v>
      </x:c>
      <x:c r="I1385" s="12">
        <x:f t="shared" si="126"/>
        <x:v>38288655</x:v>
      </x:c>
      <x:c r="J1385" s="12">
        <x:f>ROUND(英雄升级调参!$D$82*英雄升级调参!$J$11*英雄升级调参!$E$26,0)</x:f>
        <x:v>113</x:v>
      </x:c>
      <x:c r="K1385" s="12">
        <x:f>ROUND(英雄升级调参!$D$82*英雄升级调参!$C$11*英雄升级调参!$J$11*英雄升级调参!$G$26,0)</x:f>
        <x:v>1125</x:v>
      </x:c>
      <x:c r="L1385" s="12" t="n">
        <x:f>养成消耗调参!$E$164</x:f>
        <x:v>672</x:v>
      </x:c>
      <x:c r="M1385" s="12" t="n">
        <x:f>养成消耗调参!$H$164</x:f>
        <x:v>4200</x:v>
      </x:c>
      <x:c r="N1385" s="12" t="n">
        <x:f>养成消耗调参!$I$164</x:f>
        <x:v>0</x:v>
      </x:c>
      <x:c r="O1385" s="12" t="n">
        <x:f>养成消耗调参!$L$164</x:f>
        <x:v>5472</x:v>
      </x:c>
      <x:c r="P1385" s="12" t="n">
        <x:f>养成消耗调参!$O$164</x:f>
        <x:v>31200</x:v>
      </x:c>
      <x:c r="Q1385" s="12" t="n">
        <x:f>养成消耗调参!$P$164</x:f>
        <x:v>90</x:v>
      </x:c>
      <x:c r="R1385" s="13" t="n">
        <x:f>I1385/英雄升级调参!$M$82-1</x:f>
        <x:v>0</x:v>
      </x:c>
      <x:c r="S1385" s="6"/>
      <x:c r="T1385" s="6"/>
      <x:c r="U1385" s="6"/>
    </x:row>
    <x:row r="1386" ht="21" customHeight="1">
      <x:c r="A1386" s="14" t="n">
        <x:f>英雄升级调参!$B$26</x:f>
        <x:v>310009</x:v>
      </x:c>
      <x:c r="B1386" s="14" t="str">
        <x:f>英雄升级调参!$C$26</x:f>
        <x:v>海希</x:v>
      </x:c>
      <x:c r="C1386" s="6" t="str">
        <x:f>英雄升级调参!$D$26</x:f>
        <x:v>探险家</x:v>
      </x:c>
      <x:c r="D1386" s="6" t="s">
        <x:v>25</x:v>
      </x:c>
      <x:c r="E1386" s="6">
        <x:v>18</x:v>
      </x:c>
      <x:c r="F1386" s="6" t="n">
        <x:f>英雄升级调参!$C$83</x:f>
        <x:v>4</x:v>
      </x:c>
      <x:c r="G1386" s="12">
        <x:f t="shared" si="129"/>
        <x:v>2072</x:v>
      </x:c>
      <x:c r="H1386" s="12">
        <x:f t="shared" si="130"/>
        <x:v>20670</x:v>
      </x:c>
      <x:c r="I1386" s="12">
        <x:f t="shared" si="126"/>
        <x:v>42828240</x:v>
      </x:c>
      <x:c r="J1386" s="12">
        <x:f>ROUND(英雄升级调参!$D$83*英雄升级调参!$J$11*英雄升级调参!$E$26,0)</x:f>
        <x:v>113</x:v>
      </x:c>
      <x:c r="K1386" s="12">
        <x:f>ROUND(英雄升级调参!$D$83*英雄升级调参!$C$11*英雄升级调参!$J$11*英雄升级调参!$G$26,0)</x:f>
        <x:v>1125</x:v>
      </x:c>
      <x:c r="L1386" s="12" t="n">
        <x:f>养成消耗调参!$E$165</x:f>
        <x:v>768</x:v>
      </x:c>
      <x:c r="M1386" s="12" t="n">
        <x:f>养成消耗调参!$H$165</x:f>
        <x:v>4200</x:v>
      </x:c>
      <x:c r="N1386" s="12" t="n">
        <x:f>养成消耗调参!$I$165</x:f>
        <x:v>0</x:v>
      </x:c>
      <x:c r="O1386" s="12" t="n">
        <x:f>养成消耗调参!$L$165</x:f>
        <x:v>6240</x:v>
      </x:c>
      <x:c r="P1386" s="12" t="n">
        <x:f>养成消耗调参!$O$165</x:f>
        <x:v>35400</x:v>
      </x:c>
      <x:c r="Q1386" s="12" t="n">
        <x:f>养成消耗调参!$P$165</x:f>
        <x:v>90</x:v>
      </x:c>
      <x:c r="R1386" s="13" t="n">
        <x:f>I1386/英雄升级调参!$M$83-1</x:f>
        <x:v>0</x:v>
      </x:c>
      <x:c r="S1386" s="6"/>
      <x:c r="T1386" s="6"/>
      <x:c r="U1386" s="6"/>
    </x:row>
    <x:row r="1387" ht="21" customHeight="1">
      <x:c r="A1387" s="14" t="n">
        <x:f>英雄升级调参!$B$26</x:f>
        <x:v>310009</x:v>
      </x:c>
      <x:c r="B1387" s="14" t="str">
        <x:f>英雄升级调参!$C$26</x:f>
        <x:v>海希</x:v>
      </x:c>
      <x:c r="C1387" s="6" t="str">
        <x:f>英雄升级调参!$D$26</x:f>
        <x:v>探险家</x:v>
      </x:c>
      <x:c r="D1387" s="6" t="s">
        <x:v>25</x:v>
      </x:c>
      <x:c r="E1387" s="6">
        <x:v>19</x:v>
      </x:c>
      <x:c r="F1387" s="6" t="n">
        <x:f>英雄升级调参!$C$84</x:f>
        <x:v>4</x:v>
      </x:c>
      <x:c r="G1387" s="12">
        <x:f t="shared" si="129"/>
        <x:v>2185</x:v>
      </x:c>
      <x:c r="H1387" s="12">
        <x:f t="shared" si="130"/>
        <x:v>21795</x:v>
      </x:c>
      <x:c r="I1387" s="12">
        <x:f t="shared" si="126"/>
        <x:v>47622075</x:v>
      </x:c>
      <x:c r="J1387" s="12">
        <x:f>ROUND(英雄升级调参!$D$84*英雄升级调参!$J$11*英雄升级调参!$E$26,0)</x:f>
        <x:v>113</x:v>
      </x:c>
      <x:c r="K1387" s="12">
        <x:f>ROUND(英雄升级调参!$D$84*英雄升级调参!$C$11*英雄升级调参!$J$11*英雄升级调参!$G$26,0)</x:f>
        <x:v>1125</x:v>
      </x:c>
      <x:c r="L1387" s="12" t="n">
        <x:f>养成消耗调参!$E$166</x:f>
        <x:v>768</x:v>
      </x:c>
      <x:c r="M1387" s="12" t="n">
        <x:f>养成消耗调参!$H$166</x:f>
        <x:v>4200</x:v>
      </x:c>
      <x:c r="N1387" s="12" t="n">
        <x:f>养成消耗调参!$I$166</x:f>
        <x:v>0</x:v>
      </x:c>
      <x:c r="O1387" s="12" t="n">
        <x:f>养成消耗调参!$L$166</x:f>
        <x:v>7008</x:v>
      </x:c>
      <x:c r="P1387" s="12" t="n">
        <x:f>养成消耗调参!$O$166</x:f>
        <x:v>39600</x:v>
      </x:c>
      <x:c r="Q1387" s="12" t="n">
        <x:f>养成消耗调参!$P$166</x:f>
        <x:v>90</x:v>
      </x:c>
      <x:c r="R1387" s="13" t="n">
        <x:f>I1387/英雄升级调参!$M$84-1</x:f>
        <x:v>0</x:v>
      </x:c>
      <x:c r="S1387" s="6"/>
      <x:c r="T1387" s="6"/>
      <x:c r="U1387" s="6"/>
    </x:row>
    <x:row r="1388" ht="21" customHeight="1">
      <x:c r="A1388" s="14" t="n">
        <x:f>英雄升级调参!$B$26</x:f>
        <x:v>310009</x:v>
      </x:c>
      <x:c r="B1388" s="14" t="str">
        <x:f>英雄升级调参!$C$26</x:f>
        <x:v>海希</x:v>
      </x:c>
      <x:c r="C1388" s="6" t="str">
        <x:f>英雄升级调参!$D$26</x:f>
        <x:v>探险家</x:v>
      </x:c>
      <x:c r="D1388" s="6" t="s">
        <x:v>25</x:v>
      </x:c>
      <x:c r="E1388" s="6">
        <x:v>20</x:v>
      </x:c>
      <x:c r="F1388" s="6" t="n">
        <x:f>英雄升级调参!$C$85</x:f>
        <x:v>4</x:v>
      </x:c>
      <x:c r="G1388" s="12">
        <x:f t="shared" si="129"/>
        <x:v>2524</x:v>
      </x:c>
      <x:c r="H1388" s="12">
        <x:f t="shared" si="130"/>
        <x:v>25170</x:v>
      </x:c>
      <x:c r="I1388" s="12">
        <x:f t="shared" si="126"/>
        <x:v>63529080</x:v>
      </x:c>
      <x:c r="J1388" s="12">
        <x:f>ROUND(英雄升级调参!$D$85*英雄升级调参!$J$11*英雄升级调参!$E$26,0)*3</x:f>
        <x:v>339</x:v>
      </x:c>
      <x:c r="K1388" s="12">
        <x:f>ROUND(英雄升级调参!$D$85*英雄升级调参!$C$11*英雄升级调参!$J$11*英雄升级调参!$G$26,0)*3</x:f>
        <x:v>3375</x:v>
      </x:c>
      <x:c r="L1388" s="12" t="n">
        <x:f>养成消耗调参!$E$167</x:f>
        <x:v>864</x:v>
      </x:c>
      <x:c r="M1388" s="12" t="n">
        <x:f>养成消耗调参!$H$167</x:f>
        <x:v>4200</x:v>
      </x:c>
      <x:c r="N1388" s="12" t="n">
        <x:f>养成消耗调参!$I$167</x:f>
        <x:v>70</x:v>
      </x:c>
      <x:c r="O1388" s="12" t="n">
        <x:f>养成消耗调参!$L$167</x:f>
        <x:v>7872</x:v>
      </x:c>
      <x:c r="P1388" s="12" t="n">
        <x:f>养成消耗调参!$O$167</x:f>
        <x:v>43800</x:v>
      </x:c>
      <x:c r="Q1388" s="12" t="n">
        <x:f>养成消耗调参!$P$167</x:f>
        <x:v>160</x:v>
      </x:c>
      <x:c r="R1388" s="13" t="n">
        <x:f>I1388/英雄升级调参!$M$85-1</x:f>
        <x:v>0</x:v>
      </x:c>
      <x:c r="S1388" s="6"/>
      <x:c r="T1388" s="6"/>
      <x:c r="U1388" s="6"/>
    </x:row>
    <x:row r="1389" ht="21" customHeight="1">
      <x:c r="A1389" s="14" t="n">
        <x:f>英雄升级调参!$B$26</x:f>
        <x:v>310009</x:v>
      </x:c>
      <x:c r="B1389" s="14" t="str">
        <x:f>英雄升级调参!$C$26</x:f>
        <x:v>海希</x:v>
      </x:c>
      <x:c r="C1389" s="6" t="str">
        <x:f>英雄升级调参!$D$26</x:f>
        <x:v>探险家</x:v>
      </x:c>
      <x:c r="D1389" s="6" t="s">
        <x:v>25</x:v>
      </x:c>
      <x:c r="E1389" s="6">
        <x:v>21</x:v>
      </x:c>
      <x:c r="F1389" s="6" t="n">
        <x:f>英雄升级调参!$C$86</x:f>
        <x:v>5</x:v>
      </x:c>
      <x:c r="G1389" s="12">
        <x:f t="shared" si="129"/>
        <x:v>2659</x:v>
      </x:c>
      <x:c r="H1389" s="12">
        <x:f t="shared" si="130"/>
        <x:v>26520</x:v>
      </x:c>
      <x:c r="I1389" s="12">
        <x:f t="shared" si="126"/>
        <x:v>70516680</x:v>
      </x:c>
      <x:c r="J1389" s="12">
        <x:f>ROUND(英雄升级调参!$D$86*英雄升级调参!$J$11*英雄升级调参!$E$26,0)</x:f>
        <x:v>135</x:v>
      </x:c>
      <x:c r="K1389" s="12">
        <x:f>ROUND(英雄升级调参!$D$86*英雄升级调参!$C$11*英雄升级调参!$J$11*英雄升级调参!$G$26,0)</x:f>
        <x:v>1350</x:v>
      </x:c>
      <x:c r="L1389" s="12" t="n">
        <x:f>养成消耗调参!$E$168</x:f>
        <x:v>864</x:v>
      </x:c>
      <x:c r="M1389" s="12" t="n">
        <x:f>养成消耗调参!$H$168</x:f>
        <x:v>4200</x:v>
      </x:c>
      <x:c r="N1389" s="12" t="n">
        <x:f>养成消耗调参!$I$168</x:f>
        <x:v>0</x:v>
      </x:c>
      <x:c r="O1389" s="12" t="n">
        <x:f>养成消耗调参!$L$168</x:f>
        <x:v>8736</x:v>
      </x:c>
      <x:c r="P1389" s="12" t="n">
        <x:f>养成消耗调参!$O$168</x:f>
        <x:v>48000</x:v>
      </x:c>
      <x:c r="Q1389" s="12" t="n">
        <x:f>养成消耗调参!$P$168</x:f>
        <x:v>160</x:v>
      </x:c>
      <x:c r="R1389" s="13" t="n">
        <x:f>I1389/英雄升级调参!$M$86-1</x:f>
        <x:v>0</x:v>
      </x:c>
      <x:c r="S1389" s="6"/>
      <x:c r="T1389" s="6"/>
      <x:c r="U1389" s="6"/>
    </x:row>
    <x:row r="1390" ht="21" customHeight="1">
      <x:c r="A1390" s="14" t="n">
        <x:f>英雄升级调参!$B$26</x:f>
        <x:v>310009</x:v>
      </x:c>
      <x:c r="B1390" s="14" t="str">
        <x:f>英雄升级调参!$C$26</x:f>
        <x:v>海希</x:v>
      </x:c>
      <x:c r="C1390" s="6" t="str">
        <x:f>英雄升级调参!$D$26</x:f>
        <x:v>探险家</x:v>
      </x:c>
      <x:c r="D1390" s="6" t="s">
        <x:v>25</x:v>
      </x:c>
      <x:c r="E1390" s="6">
        <x:v>22</x:v>
      </x:c>
      <x:c r="F1390" s="6" t="n">
        <x:f>英雄升级调参!$C$87</x:f>
        <x:v>5</x:v>
      </x:c>
      <x:c r="G1390" s="12">
        <x:f t="shared" si="129"/>
        <x:v>2794</x:v>
      </x:c>
      <x:c r="H1390" s="12">
        <x:f t="shared" si="130"/>
        <x:v>27870</x:v>
      </x:c>
      <x:c r="I1390" s="12">
        <x:f t="shared" si="126"/>
        <x:v>77868780</x:v>
      </x:c>
      <x:c r="J1390" s="12">
        <x:f>ROUND(英雄升级调参!$D$87*英雄升级调参!$J$11*英雄升级调参!$E$26,0)</x:f>
        <x:v>135</x:v>
      </x:c>
      <x:c r="K1390" s="12">
        <x:f>ROUND(英雄升级调参!$D$87*英雄升级调参!$C$11*英雄升级调参!$J$11*英雄升级调参!$G$26,0)</x:f>
        <x:v>1350</x:v>
      </x:c>
      <x:c r="L1390" s="12" t="n">
        <x:f>养成消耗调参!$E$169</x:f>
        <x:v>960</x:v>
      </x:c>
      <x:c r="M1390" s="12" t="n">
        <x:f>养成消耗调参!$H$169</x:f>
        <x:v>6000</x:v>
      </x:c>
      <x:c r="N1390" s="12" t="n">
        <x:f>养成消耗调参!$I$169</x:f>
        <x:v>0</x:v>
      </x:c>
      <x:c r="O1390" s="12" t="n">
        <x:f>养成消耗调参!$L$169</x:f>
        <x:v>9696</x:v>
      </x:c>
      <x:c r="P1390" s="12" t="n">
        <x:f>养成消耗调参!$O$169</x:f>
        <x:v>54000</x:v>
      </x:c>
      <x:c r="Q1390" s="12" t="n">
        <x:f>养成消耗调参!$P$169</x:f>
        <x:v>160</x:v>
      </x:c>
      <x:c r="R1390" s="13" t="n">
        <x:f>I1390/英雄升级调参!$M$87-1</x:f>
        <x:v>0</x:v>
      </x:c>
      <x:c r="S1390" s="6"/>
      <x:c r="T1390" s="6"/>
      <x:c r="U1390" s="6"/>
    </x:row>
    <x:row r="1391" ht="21" customHeight="1">
      <x:c r="A1391" s="14" t="n">
        <x:f>英雄升级调参!$B$26</x:f>
        <x:v>310009</x:v>
      </x:c>
      <x:c r="B1391" s="14" t="str">
        <x:f>英雄升级调参!$C$26</x:f>
        <x:v>海希</x:v>
      </x:c>
      <x:c r="C1391" s="6" t="str">
        <x:f>英雄升级调参!$D$26</x:f>
        <x:v>探险家</x:v>
      </x:c>
      <x:c r="D1391" s="6" t="s">
        <x:v>25</x:v>
      </x:c>
      <x:c r="E1391" s="6">
        <x:v>23</x:v>
      </x:c>
      <x:c r="F1391" s="6" t="n">
        <x:f>英雄升级调参!$C$88</x:f>
        <x:v>5</x:v>
      </x:c>
      <x:c r="G1391" s="12">
        <x:f t="shared" si="129"/>
        <x:v>2929</x:v>
      </x:c>
      <x:c r="H1391" s="12">
        <x:f t="shared" si="130"/>
        <x:v>29220</x:v>
      </x:c>
      <x:c r="I1391" s="12">
        <x:f t="shared" si="126"/>
        <x:v>85585380</x:v>
      </x:c>
      <x:c r="J1391" s="12">
        <x:f>ROUND(英雄升级调参!$D$88*英雄升级调参!$J$11*英雄升级调参!$E$26,0)</x:f>
        <x:v>135</x:v>
      </x:c>
      <x:c r="K1391" s="12">
        <x:f>ROUND(英雄升级调参!$D$88*英雄升级调参!$C$11*英雄升级调参!$J$11*英雄升级调参!$G$26,0)</x:f>
        <x:v>1350</x:v>
      </x:c>
      <x:c r="L1391" s="12" t="n">
        <x:f>养成消耗调参!$E$170</x:f>
        <x:v>960</x:v>
      </x:c>
      <x:c r="M1391" s="12" t="n">
        <x:f>养成消耗调参!$H$170</x:f>
        <x:v>6000</x:v>
      </x:c>
      <x:c r="N1391" s="12" t="n">
        <x:f>养成消耗调参!$I$170</x:f>
        <x:v>0</x:v>
      </x:c>
      <x:c r="O1391" s="12" t="n">
        <x:f>养成消耗调参!$L$170</x:f>
        <x:v>10656</x:v>
      </x:c>
      <x:c r="P1391" s="12" t="n">
        <x:f>养成消耗调参!$O$170</x:f>
        <x:v>60000</x:v>
      </x:c>
      <x:c r="Q1391" s="12" t="n">
        <x:f>养成消耗调参!$P$170</x:f>
        <x:v>160</x:v>
      </x:c>
      <x:c r="R1391" s="13" t="n">
        <x:f>I1391/英雄升级调参!$M$88-1</x:f>
        <x:v>0</x:v>
      </x:c>
      <x:c r="S1391" s="6"/>
      <x:c r="T1391" s="6"/>
      <x:c r="U1391" s="6"/>
    </x:row>
    <x:row r="1392" ht="21" customHeight="1">
      <x:c r="A1392" s="14" t="n">
        <x:f>英雄升级调参!$B$26</x:f>
        <x:v>310009</x:v>
      </x:c>
      <x:c r="B1392" s="14" t="str">
        <x:f>英雄升级调参!$C$26</x:f>
        <x:v>海希</x:v>
      </x:c>
      <x:c r="C1392" s="6" t="str">
        <x:f>英雄升级调参!$D$26</x:f>
        <x:v>探险家</x:v>
      </x:c>
      <x:c r="D1392" s="6" t="s">
        <x:v>25</x:v>
      </x:c>
      <x:c r="E1392" s="6">
        <x:v>24</x:v>
      </x:c>
      <x:c r="F1392" s="6" t="n">
        <x:f>英雄升级调参!$C$89</x:f>
        <x:v>5</x:v>
      </x:c>
      <x:c r="G1392" s="12">
        <x:f t="shared" si="129"/>
        <x:v>3064</x:v>
      </x:c>
      <x:c r="H1392" s="12">
        <x:f t="shared" si="130"/>
        <x:v>30570</x:v>
      </x:c>
      <x:c r="I1392" s="12">
        <x:f t="shared" si="126"/>
        <x:v>93666480</x:v>
      </x:c>
      <x:c r="J1392" s="12">
        <x:f>ROUND(英雄升级调参!$D$89*英雄升级调参!$J$11*英雄升级调参!$E$26,0)</x:f>
        <x:v>135</x:v>
      </x:c>
      <x:c r="K1392" s="12">
        <x:f>ROUND(英雄升级调参!$D$89*英雄升级调参!$C$11*英雄升级调参!$J$11*英雄升级调参!$G$26,0)</x:f>
        <x:v>1350</x:v>
      </x:c>
      <x:c r="L1392" s="12" t="n">
        <x:f>养成消耗调参!$E$171</x:f>
        <x:v>1056</x:v>
      </x:c>
      <x:c r="M1392" s="12" t="n">
        <x:f>养成消耗调参!$H$171</x:f>
        <x:v>6000</x:v>
      </x:c>
      <x:c r="N1392" s="12" t="n">
        <x:f>养成消耗调参!$I$171</x:f>
        <x:v>0</x:v>
      </x:c>
      <x:c r="O1392" s="12" t="n">
        <x:f>养成消耗调参!$L$171</x:f>
        <x:v>11712</x:v>
      </x:c>
      <x:c r="P1392" s="12" t="n">
        <x:f>养成消耗调参!$O$171</x:f>
        <x:v>66000</x:v>
      </x:c>
      <x:c r="Q1392" s="12" t="n">
        <x:f>养成消耗调参!$P$171</x:f>
        <x:v>160</x:v>
      </x:c>
      <x:c r="R1392" s="13" t="n">
        <x:f>I1392/英雄升级调参!$M$89-1</x:f>
        <x:v>0</x:v>
      </x:c>
      <x:c r="S1392" s="6"/>
      <x:c r="T1392" s="6"/>
      <x:c r="U1392" s="6"/>
    </x:row>
    <x:row r="1393" ht="21" customHeight="1">
      <x:c r="A1393" s="14" t="n">
        <x:f>英雄升级调参!$B$26</x:f>
        <x:v>310009</x:v>
      </x:c>
      <x:c r="B1393" s="14" t="str">
        <x:f>英雄升级调参!$C$26</x:f>
        <x:v>海希</x:v>
      </x:c>
      <x:c r="C1393" s="6" t="str">
        <x:f>英雄升级调参!$D$26</x:f>
        <x:v>探险家</x:v>
      </x:c>
      <x:c r="D1393" s="6" t="s">
        <x:v>25</x:v>
      </x:c>
      <x:c r="E1393" s="6">
        <x:v>25</x:v>
      </x:c>
      <x:c r="F1393" s="6" t="n">
        <x:f>英雄升级调参!$C$90</x:f>
        <x:v>5</x:v>
      </x:c>
      <x:c r="G1393" s="12">
        <x:f t="shared" si="129"/>
        <x:v>3469</x:v>
      </x:c>
      <x:c r="H1393" s="12">
        <x:f t="shared" si="130"/>
        <x:v>34620</x:v>
      </x:c>
      <x:c r="I1393" s="12">
        <x:f t="shared" si="126"/>
        <x:v>120096780</x:v>
      </x:c>
      <x:c r="J1393" s="12">
        <x:f>ROUND(英雄升级调参!$D$90*英雄升级调参!$J$11*英雄升级调参!$E$26,0)*3</x:f>
        <x:v>405</x:v>
      </x:c>
      <x:c r="K1393" s="12">
        <x:f>ROUND(英雄升级调参!$D$90*英雄升级调参!$C$11*英雄升级调参!$J$11*英雄升级调参!$G$26,0)*3</x:f>
        <x:v>4050</x:v>
      </x:c>
      <x:c r="L1393" s="12" t="n">
        <x:f>养成消耗调参!$E$172</x:f>
        <x:v>1056</x:v>
      </x:c>
      <x:c r="M1393" s="12" t="n">
        <x:f>养成消耗调参!$H$172</x:f>
        <x:v>6000</x:v>
      </x:c>
      <x:c r="N1393" s="12" t="n">
        <x:f>养成消耗调参!$I$172</x:f>
        <x:v>90</x:v>
      </x:c>
      <x:c r="O1393" s="12" t="n">
        <x:f>养成消耗调参!$L$172</x:f>
        <x:v>12768</x:v>
      </x:c>
      <x:c r="P1393" s="12" t="n">
        <x:f>养成消耗调参!$O$172</x:f>
        <x:v>72000</x:v>
      </x:c>
      <x:c r="Q1393" s="12" t="n">
        <x:f>养成消耗调参!$P$172</x:f>
        <x:v>250</x:v>
      </x:c>
      <x:c r="R1393" s="13" t="n">
        <x:f>I1393/英雄升级调参!$M$90-1</x:f>
        <x:v>0</x:v>
      </x:c>
      <x:c r="S1393" s="6"/>
      <x:c r="T1393" s="6"/>
      <x:c r="U1393" s="6"/>
    </x:row>
    <x:row r="1394" ht="21" customHeight="1">
      <x:c r="A1394" s="14" t="n">
        <x:f>英雄升级调参!$B$26</x:f>
        <x:v>310009</x:v>
      </x:c>
      <x:c r="B1394" s="14" t="str">
        <x:f>英雄升级调参!$C$26</x:f>
        <x:v>海希</x:v>
      </x:c>
      <x:c r="C1394" s="6" t="str">
        <x:f>英雄升级调参!$D$26</x:f>
        <x:v>探险家</x:v>
      </x:c>
      <x:c r="D1394" s="6" t="s">
        <x:v>25</x:v>
      </x:c>
      <x:c r="E1394" s="6">
        <x:v>26</x:v>
      </x:c>
      <x:c r="F1394" s="6" t="n">
        <x:f>英雄升级调参!$C$91</x:f>
        <x:v>6</x:v>
      </x:c>
      <x:c r="G1394" s="12">
        <x:f t="shared" si="129"/>
        <x:v>3627</x:v>
      </x:c>
      <x:c r="H1394" s="12">
        <x:f t="shared" si="130"/>
        <x:v>36195</x:v>
      </x:c>
      <x:c r="I1394" s="12">
        <x:f t="shared" si="126"/>
        <x:v>131279265</x:v>
      </x:c>
      <x:c r="J1394" s="12">
        <x:f>ROUND(英雄升级调参!$D$91*英雄升级调参!$J$11*英雄升级调参!$E$26,0)</x:f>
        <x:v>158</x:v>
      </x:c>
      <x:c r="K1394" s="12">
        <x:f>ROUND(英雄升级调参!$D$91*英雄升级调参!$C$11*英雄升级调参!$J$11*英雄升级调参!$G$26,0)</x:f>
        <x:v>1575</x:v>
      </x:c>
      <x:c r="L1394" s="12" t="n">
        <x:f>养成消耗调参!$E$173</x:f>
        <x:v>1152</x:v>
      </x:c>
      <x:c r="M1394" s="12" t="n">
        <x:f>养成消耗调参!$H$173</x:f>
        <x:v>6000</x:v>
      </x:c>
      <x:c r="N1394" s="12" t="n">
        <x:f>养成消耗调参!$I$173</x:f>
        <x:v>0</x:v>
      </x:c>
      <x:c r="O1394" s="12" t="n">
        <x:f>养成消耗调参!$L$173</x:f>
        <x:v>13920</x:v>
      </x:c>
      <x:c r="P1394" s="12" t="n">
        <x:f>养成消耗调参!$O$173</x:f>
        <x:v>78000</x:v>
      </x:c>
      <x:c r="Q1394" s="12" t="n">
        <x:f>养成消耗调参!$P$173</x:f>
        <x:v>250</x:v>
      </x:c>
      <x:c r="R1394" s="13" t="n">
        <x:f>I1394/英雄升级调参!$M$91-1</x:f>
        <x:v>0</x:v>
      </x:c>
      <x:c r="S1394" s="6"/>
      <x:c r="T1394" s="6"/>
      <x:c r="U1394" s="6"/>
    </x:row>
    <x:row r="1395" ht="21" customHeight="1">
      <x:c r="A1395" s="14" t="n">
        <x:f>英雄升级调参!$B$26</x:f>
        <x:v>310009</x:v>
      </x:c>
      <x:c r="B1395" s="14" t="str">
        <x:f>英雄升级调参!$C$26</x:f>
        <x:v>海希</x:v>
      </x:c>
      <x:c r="C1395" s="6" t="str">
        <x:f>英雄升级调参!$D$26</x:f>
        <x:v>探险家</x:v>
      </x:c>
      <x:c r="D1395" s="6" t="s">
        <x:v>25</x:v>
      </x:c>
      <x:c r="E1395" s="6">
        <x:v>27</x:v>
      </x:c>
      <x:c r="F1395" s="6" t="n">
        <x:f>英雄升级调参!$C$92</x:f>
        <x:v>6</x:v>
      </x:c>
      <x:c r="G1395" s="12">
        <x:f t="shared" si="129"/>
        <x:v>3785</x:v>
      </x:c>
      <x:c r="H1395" s="12">
        <x:f t="shared" si="130"/>
        <x:v>37770</x:v>
      </x:c>
      <x:c r="I1395" s="12">
        <x:f t="shared" si="126"/>
        <x:v>142959450</x:v>
      </x:c>
      <x:c r="J1395" s="12">
        <x:f>ROUND(英雄升级调参!$D$92*英雄升级调参!$J$11*英雄升级调参!$E$26,0)</x:f>
        <x:v>158</x:v>
      </x:c>
      <x:c r="K1395" s="12">
        <x:f>ROUND(英雄升级调参!$D$92*英雄升级调参!$C$11*英雄升级调参!$J$11*英雄升级调参!$G$26,0)</x:f>
        <x:v>1575</x:v>
      </x:c>
      <x:c r="L1395" s="12" t="n">
        <x:f>养成消耗调参!$E$174</x:f>
        <x:v>1152</x:v>
      </x:c>
      <x:c r="M1395" s="12" t="n">
        <x:f>养成消耗调参!$H$174</x:f>
        <x:v>7800</x:v>
      </x:c>
      <x:c r="N1395" s="12" t="n">
        <x:f>养成消耗调参!$I$174</x:f>
        <x:v>0</x:v>
      </x:c>
      <x:c r="O1395" s="12" t="n">
        <x:f>养成消耗调参!$L$174</x:f>
        <x:v>15072</x:v>
      </x:c>
      <x:c r="P1395" s="12" t="n">
        <x:f>养成消耗调参!$O$174</x:f>
        <x:v>85800</x:v>
      </x:c>
      <x:c r="Q1395" s="12" t="n">
        <x:f>养成消耗调参!$P$174</x:f>
        <x:v>250</x:v>
      </x:c>
      <x:c r="R1395" s="13" t="n">
        <x:f>I1395/英雄升级调参!$M$92-1</x:f>
        <x:v>0</x:v>
      </x:c>
      <x:c r="S1395" s="6"/>
      <x:c r="T1395" s="6"/>
      <x:c r="U1395" s="6"/>
    </x:row>
    <x:row r="1396" ht="21" customHeight="1">
      <x:c r="A1396" s="14" t="n">
        <x:f>英雄升级调参!$B$26</x:f>
        <x:v>310009</x:v>
      </x:c>
      <x:c r="B1396" s="14" t="str">
        <x:f>英雄升级调参!$C$26</x:f>
        <x:v>海希</x:v>
      </x:c>
      <x:c r="C1396" s="6" t="str">
        <x:f>英雄升级调参!$D$26</x:f>
        <x:v>探险家</x:v>
      </x:c>
      <x:c r="D1396" s="6" t="s">
        <x:v>25</x:v>
      </x:c>
      <x:c r="E1396" s="6">
        <x:v>28</x:v>
      </x:c>
      <x:c r="F1396" s="6" t="n">
        <x:f>英雄升级调参!$C$93</x:f>
        <x:v>6</x:v>
      </x:c>
      <x:c r="G1396" s="12">
        <x:f t="shared" si="129"/>
        <x:v>3943</x:v>
      </x:c>
      <x:c r="H1396" s="12">
        <x:f t="shared" si="130"/>
        <x:v>39345</x:v>
      </x:c>
      <x:c r="I1396" s="12">
        <x:f t="shared" si="126"/>
        <x:v>155137335</x:v>
      </x:c>
      <x:c r="J1396" s="12">
        <x:f>ROUND(英雄升级调参!$D$93*英雄升级调参!$J$11*英雄升级调参!$E$26,0)</x:f>
        <x:v>158</x:v>
      </x:c>
      <x:c r="K1396" s="12">
        <x:f>ROUND(英雄升级调参!$D$93*英雄升级调参!$C$11*英雄升级调参!$J$11*英雄升级调参!$G$26,0)</x:f>
        <x:v>1575</x:v>
      </x:c>
      <x:c r="L1396" s="12" t="n">
        <x:f>养成消耗调参!$E$175</x:f>
        <x:v>1248</x:v>
      </x:c>
      <x:c r="M1396" s="12" t="n">
        <x:f>养成消耗调参!$H$175</x:f>
        <x:v>7800</x:v>
      </x:c>
      <x:c r="N1396" s="12" t="n">
        <x:f>养成消耗调参!$I$175</x:f>
        <x:v>0</x:v>
      </x:c>
      <x:c r="O1396" s="12" t="n">
        <x:f>养成消耗调参!$L$175</x:f>
        <x:v>16320</x:v>
      </x:c>
      <x:c r="P1396" s="12" t="n">
        <x:f>养成消耗调参!$O$175</x:f>
        <x:v>93600</x:v>
      </x:c>
      <x:c r="Q1396" s="12" t="n">
        <x:f>养成消耗调参!$P$175</x:f>
        <x:v>250</x:v>
      </x:c>
      <x:c r="R1396" s="13" t="n">
        <x:f>I1396/英雄升级调参!$M$93-1</x:f>
        <x:v>0</x:v>
      </x:c>
      <x:c r="S1396" s="6"/>
      <x:c r="T1396" s="6"/>
      <x:c r="U1396" s="6"/>
    </x:row>
    <x:row r="1397" ht="21" customHeight="1">
      <x:c r="A1397" s="14" t="n">
        <x:f>英雄升级调参!$B$26</x:f>
        <x:v>310009</x:v>
      </x:c>
      <x:c r="B1397" s="14" t="str">
        <x:f>英雄升级调参!$C$26</x:f>
        <x:v>海希</x:v>
      </x:c>
      <x:c r="C1397" s="6" t="str">
        <x:f>英雄升级调参!$D$26</x:f>
        <x:v>探险家</x:v>
      </x:c>
      <x:c r="D1397" s="6" t="s">
        <x:v>25</x:v>
      </x:c>
      <x:c r="E1397" s="6">
        <x:v>29</x:v>
      </x:c>
      <x:c r="F1397" s="6" t="n">
        <x:f>英雄升级调参!$C$94</x:f>
        <x:v>6</x:v>
      </x:c>
      <x:c r="G1397" s="12">
        <x:f t="shared" si="129"/>
        <x:v>4101</x:v>
      </x:c>
      <x:c r="H1397" s="12">
        <x:f t="shared" si="130"/>
        <x:v>40920</x:v>
      </x:c>
      <x:c r="I1397" s="12">
        <x:f t="shared" si="126"/>
        <x:v>167812920</x:v>
      </x:c>
      <x:c r="J1397" s="12">
        <x:f>ROUND(英雄升级调参!$D$94*英雄升级调参!$J$11*英雄升级调参!$E$26,0)</x:f>
        <x:v>158</x:v>
      </x:c>
      <x:c r="K1397" s="12">
        <x:f>ROUND(英雄升级调参!$D$94*英雄升级调参!$C$11*英雄升级调参!$J$11*英雄升级调参!$G$26,0)</x:f>
        <x:v>1575</x:v>
      </x:c>
      <x:c r="L1397" s="12" t="n">
        <x:f>养成消耗调参!$E$176</x:f>
        <x:v>1248</x:v>
      </x:c>
      <x:c r="M1397" s="12" t="n">
        <x:f>养成消耗调参!$H$176</x:f>
        <x:v>7800</x:v>
      </x:c>
      <x:c r="N1397" s="12" t="n">
        <x:f>养成消耗调参!$I$176</x:f>
        <x:v>0</x:v>
      </x:c>
      <x:c r="O1397" s="12" t="n">
        <x:f>养成消耗调参!$L$176</x:f>
        <x:v>17568</x:v>
      </x:c>
      <x:c r="P1397" s="12" t="n">
        <x:f>养成消耗调参!$O$176</x:f>
        <x:v>101400</x:v>
      </x:c>
      <x:c r="Q1397" s="12" t="n">
        <x:f>养成消耗调参!$P$176</x:f>
        <x:v>250</x:v>
      </x:c>
      <x:c r="R1397" s="13" t="n">
        <x:f>I1397/英雄升级调参!$M$94-1</x:f>
        <x:v>0</x:v>
      </x:c>
      <x:c r="S1397" s="6"/>
      <x:c r="T1397" s="6"/>
      <x:c r="U1397" s="6"/>
    </x:row>
    <x:row r="1398" ht="21" customHeight="1">
      <x:c r="A1398" s="14" t="n">
        <x:f>英雄升级调参!$B$26</x:f>
        <x:v>310009</x:v>
      </x:c>
      <x:c r="B1398" s="14" t="str">
        <x:f>英雄升级调参!$C$26</x:f>
        <x:v>海希</x:v>
      </x:c>
      <x:c r="C1398" s="6" t="str">
        <x:f>英雄升级调参!$D$26</x:f>
        <x:v>探险家</x:v>
      </x:c>
      <x:c r="D1398" s="6" t="s">
        <x:v>25</x:v>
      </x:c>
      <x:c r="E1398" s="6">
        <x:v>30</x:v>
      </x:c>
      <x:c r="F1398" s="6" t="n">
        <x:f>英雄升级调参!$C$95</x:f>
        <x:v>6</x:v>
      </x:c>
      <x:c r="G1398" s="12">
        <x:f t="shared" si="129"/>
        <x:v>4575</x:v>
      </x:c>
      <x:c r="H1398" s="12">
        <x:f t="shared" si="130"/>
        <x:v>45645</x:v>
      </x:c>
      <x:c r="I1398" s="12">
        <x:f t="shared" si="126"/>
        <x:v>208825875</x:v>
      </x:c>
      <x:c r="J1398" s="12">
        <x:f>ROUND(英雄升级调参!$D$95*英雄升级调参!$J$11*英雄升级调参!$E$26,0)*3</x:f>
        <x:v>474</x:v>
      </x:c>
      <x:c r="K1398" s="12">
        <x:f>ROUND(英雄升级调参!$D$95*英雄升级调参!$C$11*英雄升级调参!$J$11*英雄升级调参!$G$26,0)*3</x:f>
        <x:v>4725</x:v>
      </x:c>
      <x:c r="L1398" s="12" t="n">
        <x:f>养成消耗调参!$E$177</x:f>
        <x:v>1344</x:v>
      </x:c>
      <x:c r="M1398" s="12" t="n">
        <x:f>养成消耗调参!$H$177</x:f>
        <x:v>7800</x:v>
      </x:c>
      <x:c r="N1398" s="12" t="n">
        <x:f>养成消耗调参!$I$177</x:f>
        <x:v>110</x:v>
      </x:c>
      <x:c r="O1398" s="12" t="n">
        <x:f>养成消耗调参!$L$177</x:f>
        <x:v>18912</x:v>
      </x:c>
      <x:c r="P1398" s="12" t="n">
        <x:f>养成消耗调参!$O$177</x:f>
        <x:v>109200</x:v>
      </x:c>
      <x:c r="Q1398" s="12" t="n">
        <x:f>养成消耗调参!$P$177</x:f>
        <x:v>360</x:v>
      </x:c>
      <x:c r="R1398" s="13" t="n">
        <x:f>I1398/英雄升级调参!$M$95-1</x:f>
        <x:v>0</x:v>
      </x:c>
      <x:c r="S1398" s="6"/>
      <x:c r="T1398" s="6"/>
      <x:c r="U1398" s="6"/>
    </x:row>
    <x:row r="1399" ht="21" customHeight="1">
      <x:c r="A1399" s="14" t="n">
        <x:f>英雄升级调参!$B$26</x:f>
        <x:v>310009</x:v>
      </x:c>
      <x:c r="B1399" s="14" t="str">
        <x:f>英雄升级调参!$C$26</x:f>
        <x:v>海希</x:v>
      </x:c>
      <x:c r="C1399" s="6" t="str">
        <x:f>英雄升级调参!$D$26</x:f>
        <x:v>探险家</x:v>
      </x:c>
      <x:c r="D1399" s="6" t="s">
        <x:v>25</x:v>
      </x:c>
      <x:c r="E1399" s="6">
        <x:v>31</x:v>
      </x:c>
      <x:c r="F1399" s="6" t="n">
        <x:f>英雄升级调参!$C$96</x:f>
        <x:v>7</x:v>
      </x:c>
      <x:c r="G1399" s="12">
        <x:f t="shared" si="129"/>
        <x:v>4755</x:v>
      </x:c>
      <x:c r="H1399" s="12">
        <x:f t="shared" si="130"/>
        <x:v>47445</x:v>
      </x:c>
      <x:c r="I1399" s="12">
        <x:f t="shared" si="126"/>
        <x:v>225600975</x:v>
      </x:c>
      <x:c r="J1399" s="12">
        <x:f>ROUND(英雄升级调参!$D$96*英雄升级调参!$J$11*英雄升级调参!$E$26,0)</x:f>
        <x:v>180</x:v>
      </x:c>
      <x:c r="K1399" s="12">
        <x:f>ROUND(英雄升级调参!$D$96*英雄升级调参!$C$11*英雄升级调参!$J$11*英雄升级调参!$G$26,0)</x:f>
        <x:v>1800</x:v>
      </x:c>
      <x:c r="L1399" s="12" t="n">
        <x:f>养成消耗调参!$E$178</x:f>
        <x:v>1344</x:v>
      </x:c>
      <x:c r="M1399" s="12" t="n">
        <x:f>养成消耗调参!$H$178</x:f>
        <x:v>7800</x:v>
      </x:c>
      <x:c r="N1399" s="12" t="n">
        <x:f>养成消耗调参!$I$178</x:f>
        <x:v>0</x:v>
      </x:c>
      <x:c r="O1399" s="12" t="n">
        <x:f>养成消耗调参!$L$178</x:f>
        <x:v>20256</x:v>
      </x:c>
      <x:c r="P1399" s="12" t="n">
        <x:f>养成消耗调参!$O$178</x:f>
        <x:v>117000</x:v>
      </x:c>
      <x:c r="Q1399" s="12" t="n">
        <x:f>养成消耗调参!$P$178</x:f>
        <x:v>360</x:v>
      </x:c>
      <x:c r="R1399" s="13" t="n">
        <x:f>I1399/英雄升级调参!$M$96-1</x:f>
        <x:v>0</x:v>
      </x:c>
      <x:c r="S1399" s="6"/>
      <x:c r="T1399" s="6"/>
      <x:c r="U1399" s="6"/>
    </x:row>
    <x:row r="1400" ht="21" customHeight="1">
      <x:c r="A1400" s="14" t="n">
        <x:f>英雄升级调参!$B$26</x:f>
        <x:v>310009</x:v>
      </x:c>
      <x:c r="B1400" s="14" t="str">
        <x:f>英雄升级调参!$C$26</x:f>
        <x:v>海希</x:v>
      </x:c>
      <x:c r="C1400" s="6" t="str">
        <x:f>英雄升级调参!$D$26</x:f>
        <x:v>探险家</x:v>
      </x:c>
      <x:c r="D1400" s="6" t="s">
        <x:v>25</x:v>
      </x:c>
      <x:c r="E1400" s="6">
        <x:v>32</x:v>
      </x:c>
      <x:c r="F1400" s="6" t="n">
        <x:f>英雄升级调参!$C$97</x:f>
        <x:v>7</x:v>
      </x:c>
      <x:c r="G1400" s="12">
        <x:f t="shared" si="129"/>
        <x:v>4935</x:v>
      </x:c>
      <x:c r="H1400" s="12">
        <x:f t="shared" si="130"/>
        <x:v>49245</x:v>
      </x:c>
      <x:c r="I1400" s="12">
        <x:f t="shared" si="126"/>
        <x:v>243024075</x:v>
      </x:c>
      <x:c r="J1400" s="12">
        <x:f>ROUND(英雄升级调参!$D$97*英雄升级调参!$J$11*英雄升级调参!$E$26,0)</x:f>
        <x:v>180</x:v>
      </x:c>
      <x:c r="K1400" s="12">
        <x:f>ROUND(英雄升级调参!$D$97*英雄升级调参!$C$11*英雄升级调参!$J$11*英雄升级调参!$G$26,0)</x:f>
        <x:v>1800</x:v>
      </x:c>
      <x:c r="L1400" s="12" t="n">
        <x:f>养成消耗调参!$E$179</x:f>
        <x:v>1440</x:v>
      </x:c>
      <x:c r="M1400" s="12" t="n">
        <x:f>养成消耗调参!$H$179</x:f>
        <x:v>9600</x:v>
      </x:c>
      <x:c r="N1400" s="12" t="n">
        <x:f>养成消耗调参!$I$179</x:f>
        <x:v>0</x:v>
      </x:c>
      <x:c r="O1400" s="12" t="n">
        <x:f>养成消耗调参!$L$179</x:f>
        <x:v>21696</x:v>
      </x:c>
      <x:c r="P1400" s="12" t="n">
        <x:f>养成消耗调参!$O$179</x:f>
        <x:v>126600</x:v>
      </x:c>
      <x:c r="Q1400" s="12" t="n">
        <x:f>养成消耗调参!$P$179</x:f>
        <x:v>360</x:v>
      </x:c>
      <x:c r="R1400" s="13" t="n">
        <x:f>I1400/英雄升级调参!$M$97-1</x:f>
        <x:v>0</x:v>
      </x:c>
      <x:c r="S1400" s="6"/>
      <x:c r="T1400" s="6"/>
      <x:c r="U1400" s="6"/>
    </x:row>
    <x:row r="1401" ht="21" customHeight="1">
      <x:c r="A1401" s="14" t="n">
        <x:f>英雄升级调参!$B$26</x:f>
        <x:v>310009</x:v>
      </x:c>
      <x:c r="B1401" s="14" t="str">
        <x:f>英雄升级调参!$C$26</x:f>
        <x:v>海希</x:v>
      </x:c>
      <x:c r="C1401" s="6" t="str">
        <x:f>英雄升级调参!$D$26</x:f>
        <x:v>探险家</x:v>
      </x:c>
      <x:c r="D1401" s="6" t="s">
        <x:v>25</x:v>
      </x:c>
      <x:c r="E1401" s="6">
        <x:v>33</x:v>
      </x:c>
      <x:c r="F1401" s="6" t="n">
        <x:f>英雄升级调参!$C$98</x:f>
        <x:v>7</x:v>
      </x:c>
      <x:c r="G1401" s="12">
        <x:f t="shared" si="129"/>
        <x:v>5115</x:v>
      </x:c>
      <x:c r="H1401" s="12">
        <x:f t="shared" si="130"/>
        <x:v>51045</x:v>
      </x:c>
      <x:c r="I1401" s="12">
        <x:f t="shared" si="126"/>
        <x:v>261095175</x:v>
      </x:c>
      <x:c r="J1401" s="12">
        <x:f>ROUND(英雄升级调参!$D$98*英雄升级调参!$J$11*英雄升级调参!$E$26,0)</x:f>
        <x:v>180</x:v>
      </x:c>
      <x:c r="K1401" s="12">
        <x:f>ROUND(英雄升级调参!$D$98*英雄升级调参!$C$11*英雄升级调参!$J$11*英雄升级调参!$G$26,0)</x:f>
        <x:v>1800</x:v>
      </x:c>
      <x:c r="L1401" s="12" t="n">
        <x:f>养成消耗调参!$E$180</x:f>
        <x:v>1440</x:v>
      </x:c>
      <x:c r="M1401" s="12" t="n">
        <x:f>养成消耗调参!$H$180</x:f>
        <x:v>9600</x:v>
      </x:c>
      <x:c r="N1401" s="12" t="n">
        <x:f>养成消耗调参!$I$180</x:f>
        <x:v>0</x:v>
      </x:c>
      <x:c r="O1401" s="12" t="n">
        <x:f>养成消耗调参!$L$180</x:f>
        <x:v>23136</x:v>
      </x:c>
      <x:c r="P1401" s="12" t="n">
        <x:f>养成消耗调参!$O$180</x:f>
        <x:v>136200</x:v>
      </x:c>
      <x:c r="Q1401" s="12" t="n">
        <x:f>养成消耗调参!$P$180</x:f>
        <x:v>360</x:v>
      </x:c>
      <x:c r="R1401" s="13" t="n">
        <x:f>I1401/英雄升级调参!$M$98-1</x:f>
        <x:v>0</x:v>
      </x:c>
      <x:c r="S1401" s="6"/>
      <x:c r="T1401" s="6"/>
      <x:c r="U1401" s="6"/>
    </x:row>
    <x:row r="1402" ht="21" customHeight="1">
      <x:c r="A1402" s="14" t="n">
        <x:f>英雄升级调参!$B$26</x:f>
        <x:v>310009</x:v>
      </x:c>
      <x:c r="B1402" s="14" t="str">
        <x:f>英雄升级调参!$C$26</x:f>
        <x:v>海希</x:v>
      </x:c>
      <x:c r="C1402" s="6" t="str">
        <x:f>英雄升级调参!$D$26</x:f>
        <x:v>探险家</x:v>
      </x:c>
      <x:c r="D1402" s="6" t="s">
        <x:v>25</x:v>
      </x:c>
      <x:c r="E1402" s="6">
        <x:v>34</x:v>
      </x:c>
      <x:c r="F1402" s="6" t="n">
        <x:f>英雄升级调参!$C$99</x:f>
        <x:v>7</x:v>
      </x:c>
      <x:c r="G1402" s="12">
        <x:f t="shared" ref="G1402:G1418" si="131">G1401+J1402</x:f>
        <x:v>5295</x:v>
      </x:c>
      <x:c r="H1402" s="12">
        <x:f t="shared" ref="H1402:H1418" si="132">H1401+K1402</x:f>
        <x:v>52845</x:v>
      </x:c>
      <x:c r="I1402" s="12">
        <x:f t="shared" si="126"/>
        <x:v>279814275</x:v>
      </x:c>
      <x:c r="J1402" s="12">
        <x:f>ROUND(英雄升级调参!$D$99*英雄升级调参!$J$11*英雄升级调参!$E$26,0)</x:f>
        <x:v>180</x:v>
      </x:c>
      <x:c r="K1402" s="12">
        <x:f>ROUND(英雄升级调参!$D$99*英雄升级调参!$C$11*英雄升级调参!$J$11*英雄升级调参!$G$26,0)</x:f>
        <x:v>1800</x:v>
      </x:c>
      <x:c r="L1402" s="12" t="n">
        <x:f>养成消耗调参!$E$181</x:f>
        <x:v>1536</x:v>
      </x:c>
      <x:c r="M1402" s="12" t="n">
        <x:f>养成消耗调参!$H$181</x:f>
        <x:v>9600</x:v>
      </x:c>
      <x:c r="N1402" s="12" t="n">
        <x:f>养成消耗调参!$I$181</x:f>
        <x:v>0</x:v>
      </x:c>
      <x:c r="O1402" s="12" t="n">
        <x:f>养成消耗调参!$L$181</x:f>
        <x:v>24672</x:v>
      </x:c>
      <x:c r="P1402" s="12" t="n">
        <x:f>养成消耗调参!$O$181</x:f>
        <x:v>145800</x:v>
      </x:c>
      <x:c r="Q1402" s="12" t="n">
        <x:f>养成消耗调参!$P$181</x:f>
        <x:v>360</x:v>
      </x:c>
      <x:c r="R1402" s="13" t="n">
        <x:f>I1402/英雄升级调参!$M$99-1</x:f>
        <x:v>0</x:v>
      </x:c>
      <x:c r="S1402" s="6"/>
      <x:c r="T1402" s="6"/>
      <x:c r="U1402" s="6"/>
    </x:row>
    <x:row r="1403" ht="21" customHeight="1">
      <x:c r="A1403" s="14" t="n">
        <x:f>英雄升级调参!$B$26</x:f>
        <x:v>310009</x:v>
      </x:c>
      <x:c r="B1403" s="14" t="str">
        <x:f>英雄升级调参!$C$26</x:f>
        <x:v>海希</x:v>
      </x:c>
      <x:c r="C1403" s="6" t="str">
        <x:f>英雄升级调参!$D$26</x:f>
        <x:v>探险家</x:v>
      </x:c>
      <x:c r="D1403" s="6" t="s">
        <x:v>25</x:v>
      </x:c>
      <x:c r="E1403" s="6">
        <x:v>35</x:v>
      </x:c>
      <x:c r="F1403" s="6" t="n">
        <x:f>英雄升级调参!$C$100</x:f>
        <x:v>7</x:v>
      </x:c>
      <x:c r="G1403" s="12">
        <x:f t="shared" si="131"/>
        <x:v>5835</x:v>
      </x:c>
      <x:c r="H1403" s="12">
        <x:f t="shared" si="132"/>
        <x:v>58245</x:v>
      </x:c>
      <x:c r="I1403" s="12">
        <x:f t="shared" si="126"/>
        <x:v>339859575</x:v>
      </x:c>
      <x:c r="J1403" s="12">
        <x:f>ROUND(英雄升级调参!$D$100*英雄升级调参!$J$11*英雄升级调参!$E$26,0)*3</x:f>
        <x:v>540</x:v>
      </x:c>
      <x:c r="K1403" s="12">
        <x:f>ROUND(英雄升级调参!$D$100*英雄升级调参!$C$11*英雄升级调参!$J$11*英雄升级调参!$G$26,0)*3</x:f>
        <x:v>5400</x:v>
      </x:c>
      <x:c r="L1403" s="12" t="n">
        <x:f>养成消耗调参!$E$182</x:f>
        <x:v>1536</x:v>
      </x:c>
      <x:c r="M1403" s="12" t="n">
        <x:f>养成消耗调参!$H$182</x:f>
        <x:v>9600</x:v>
      </x:c>
      <x:c r="N1403" s="12" t="n">
        <x:f>养成消耗调参!$I$182</x:f>
        <x:v>130</x:v>
      </x:c>
      <x:c r="O1403" s="12" t="n">
        <x:f>养成消耗调参!$L$182</x:f>
        <x:v>26208</x:v>
      </x:c>
      <x:c r="P1403" s="12" t="n">
        <x:f>养成消耗调参!$O$182</x:f>
        <x:v>155400</x:v>
      </x:c>
      <x:c r="Q1403" s="12" t="n">
        <x:f>养成消耗调参!$P$182</x:f>
        <x:v>490</x:v>
      </x:c>
      <x:c r="R1403" s="13" t="n">
        <x:f>I1403/英雄升级调参!$M$100-1</x:f>
        <x:v>0</x:v>
      </x:c>
      <x:c r="S1403" s="6"/>
      <x:c r="T1403" s="6"/>
      <x:c r="U1403" s="6"/>
    </x:row>
    <x:row r="1404" ht="21" customHeight="1">
      <x:c r="A1404" s="14" t="n">
        <x:f>英雄升级调参!$B$26</x:f>
        <x:v>310009</x:v>
      </x:c>
      <x:c r="B1404" s="14" t="str">
        <x:f>英雄升级调参!$C$26</x:f>
        <x:v>海希</x:v>
      </x:c>
      <x:c r="C1404" s="6" t="str">
        <x:f>英雄升级调参!$D$26</x:f>
        <x:v>探险家</x:v>
      </x:c>
      <x:c r="D1404" s="6" t="s">
        <x:v>25</x:v>
      </x:c>
      <x:c r="E1404" s="6">
        <x:v>36</x:v>
      </x:c>
      <x:c r="F1404" s="6" t="n">
        <x:f>英雄升级调参!$C$101</x:f>
        <x:v>8</x:v>
      </x:c>
      <x:c r="G1404" s="12">
        <x:f t="shared" si="131"/>
        <x:v>6038</x:v>
      </x:c>
      <x:c r="H1404" s="12">
        <x:f t="shared" si="132"/>
        <x:v>60270</x:v>
      </x:c>
      <x:c r="I1404" s="12">
        <x:f t="shared" si="126"/>
        <x:v>363910260</x:v>
      </x:c>
      <x:c r="J1404" s="12">
        <x:f>ROUND(英雄升级调参!$D$101*英雄升级调参!$J$11*英雄升级调参!$E$26,0)</x:f>
        <x:v>203</x:v>
      </x:c>
      <x:c r="K1404" s="12">
        <x:f>ROUND(英雄升级调参!$D$101*英雄升级调参!$C$11*英雄升级调参!$J$11*英雄升级调参!$G$26,0)</x:f>
        <x:v>2025</x:v>
      </x:c>
      <x:c r="L1404" s="12" t="n">
        <x:f>养成消耗调参!$E$183</x:f>
        <x:v>1632</x:v>
      </x:c>
      <x:c r="M1404" s="12" t="n">
        <x:f>养成消耗调参!$H$183</x:f>
        <x:v>9600</x:v>
      </x:c>
      <x:c r="N1404" s="12" t="n">
        <x:f>养成消耗调参!$I$183</x:f>
        <x:v>0</x:v>
      </x:c>
      <x:c r="O1404" s="12" t="n">
        <x:f>养成消耗调参!$L$183</x:f>
        <x:v>27840</x:v>
      </x:c>
      <x:c r="P1404" s="12" t="n">
        <x:f>养成消耗调参!$O$183</x:f>
        <x:v>165000</x:v>
      </x:c>
      <x:c r="Q1404" s="12" t="n">
        <x:f>养成消耗调参!$P$183</x:f>
        <x:v>490</x:v>
      </x:c>
      <x:c r="R1404" s="13" t="n">
        <x:f>I1404/英雄升级调参!$M$101-1</x:f>
        <x:v>0</x:v>
      </x:c>
      <x:c r="S1404" s="6"/>
      <x:c r="T1404" s="6"/>
      <x:c r="U1404" s="6"/>
    </x:row>
    <x:row r="1405" ht="21" customHeight="1">
      <x:c r="A1405" s="14" t="n">
        <x:f>英雄升级调参!$B$26</x:f>
        <x:v>310009</x:v>
      </x:c>
      <x:c r="B1405" s="14" t="str">
        <x:f>英雄升级调参!$C$26</x:f>
        <x:v>海希</x:v>
      </x:c>
      <x:c r="C1405" s="6" t="str">
        <x:f>英雄升级调参!$D$26</x:f>
        <x:v>探险家</x:v>
      </x:c>
      <x:c r="D1405" s="6" t="s">
        <x:v>25</x:v>
      </x:c>
      <x:c r="E1405" s="6">
        <x:v>37</x:v>
      </x:c>
      <x:c r="F1405" s="6" t="n">
        <x:f>英雄升级调参!$C$102</x:f>
        <x:v>8</x:v>
      </x:c>
      <x:c r="G1405" s="12">
        <x:f t="shared" si="131"/>
        <x:v>6241</x:v>
      </x:c>
      <x:c r="H1405" s="12">
        <x:f t="shared" si="132"/>
        <x:v>62295</x:v>
      </x:c>
      <x:c r="I1405" s="12">
        <x:f t="shared" si="126"/>
        <x:v>388783095</x:v>
      </x:c>
      <x:c r="J1405" s="12">
        <x:f>ROUND(英雄升级调参!$D$102*英雄升级调参!$J$11*英雄升级调参!$E$26,0)</x:f>
        <x:v>203</x:v>
      </x:c>
      <x:c r="K1405" s="12">
        <x:f>ROUND(英雄升级调参!$D$102*英雄升级调参!$C$11*英雄升级调参!$J$11*英雄升级调参!$G$26,0)</x:f>
        <x:v>2025</x:v>
      </x:c>
      <x:c r="L1405" s="12" t="n">
        <x:f>养成消耗调参!$E$184</x:f>
        <x:v>1632</x:v>
      </x:c>
      <x:c r="M1405" s="12" t="n">
        <x:f>养成消耗调参!$H$184</x:f>
        <x:v>11400</x:v>
      </x:c>
      <x:c r="N1405" s="12" t="n">
        <x:f>养成消耗调参!$I$184</x:f>
        <x:v>0</x:v>
      </x:c>
      <x:c r="O1405" s="12" t="n">
        <x:f>养成消耗调参!$L$184</x:f>
        <x:v>29472</x:v>
      </x:c>
      <x:c r="P1405" s="12" t="n">
        <x:f>养成消耗调参!$O$184</x:f>
        <x:v>176400</x:v>
      </x:c>
      <x:c r="Q1405" s="12" t="n">
        <x:f>养成消耗调参!$P$184</x:f>
        <x:v>490</x:v>
      </x:c>
      <x:c r="R1405" s="13" t="n">
        <x:f>I1405/英雄升级调参!$M$102-1</x:f>
        <x:v>0</x:v>
      </x:c>
      <x:c r="S1405" s="6"/>
      <x:c r="T1405" s="6"/>
      <x:c r="U1405" s="6"/>
    </x:row>
    <x:row r="1406" ht="21" customHeight="1">
      <x:c r="A1406" s="14" t="n">
        <x:f>英雄升级调参!$B$26</x:f>
        <x:v>310009</x:v>
      </x:c>
      <x:c r="B1406" s="14" t="str">
        <x:f>英雄升级调参!$C$26</x:f>
        <x:v>海希</x:v>
      </x:c>
      <x:c r="C1406" s="6" t="str">
        <x:f>英雄升级调参!$D$26</x:f>
        <x:v>探险家</x:v>
      </x:c>
      <x:c r="D1406" s="6" t="s">
        <x:v>25</x:v>
      </x:c>
      <x:c r="E1406" s="6">
        <x:v>38</x:v>
      </x:c>
      <x:c r="F1406" s="6" t="n">
        <x:f>英雄升级调参!$C$103</x:f>
        <x:v>8</x:v>
      </x:c>
      <x:c r="G1406" s="12">
        <x:f t="shared" si="131"/>
        <x:v>6444</x:v>
      </x:c>
      <x:c r="H1406" s="12">
        <x:f t="shared" si="132"/>
        <x:v>64320</x:v>
      </x:c>
      <x:c r="I1406" s="12">
        <x:f t="shared" si="126"/>
        <x:v>414478080</x:v>
      </x:c>
      <x:c r="J1406" s="12">
        <x:f>ROUND(英雄升级调参!$D$103*英雄升级调参!$J$11*英雄升级调参!$E$26,0)</x:f>
        <x:v>203</x:v>
      </x:c>
      <x:c r="K1406" s="12">
        <x:f>ROUND(英雄升级调参!$D$103*英雄升级调参!$C$11*英雄升级调参!$J$11*英雄升级调参!$G$26,0)</x:f>
        <x:v>2025</x:v>
      </x:c>
      <x:c r="L1406" s="12" t="n">
        <x:f>养成消耗调参!$E$185</x:f>
        <x:v>1728</x:v>
      </x:c>
      <x:c r="M1406" s="12" t="n">
        <x:f>养成消耗调参!$H$185</x:f>
        <x:v>11400</x:v>
      </x:c>
      <x:c r="N1406" s="12" t="n">
        <x:f>养成消耗调参!$I$185</x:f>
        <x:v>0</x:v>
      </x:c>
      <x:c r="O1406" s="12" t="n">
        <x:f>养成消耗调参!$L$185</x:f>
        <x:v>31200</x:v>
      </x:c>
      <x:c r="P1406" s="12" t="n">
        <x:f>养成消耗调参!$O$185</x:f>
        <x:v>187800</x:v>
      </x:c>
      <x:c r="Q1406" s="12" t="n">
        <x:f>养成消耗调参!$P$185</x:f>
        <x:v>490</x:v>
      </x:c>
      <x:c r="R1406" s="13" t="n">
        <x:f>I1406/英雄升级调参!$M$103-1</x:f>
        <x:v>0</x:v>
      </x:c>
      <x:c r="S1406" s="6"/>
      <x:c r="T1406" s="6"/>
      <x:c r="U1406" s="6"/>
    </x:row>
    <x:row r="1407" ht="21" customHeight="1">
      <x:c r="A1407" s="14" t="n">
        <x:f>英雄升级调参!$B$26</x:f>
        <x:v>310009</x:v>
      </x:c>
      <x:c r="B1407" s="14" t="str">
        <x:f>英雄升级调参!$C$26</x:f>
        <x:v>海希</x:v>
      </x:c>
      <x:c r="C1407" s="6" t="str">
        <x:f>英雄升级调参!$D$26</x:f>
        <x:v>探险家</x:v>
      </x:c>
      <x:c r="D1407" s="6" t="s">
        <x:v>25</x:v>
      </x:c>
      <x:c r="E1407" s="6">
        <x:v>39</x:v>
      </x:c>
      <x:c r="F1407" s="6" t="n">
        <x:f>英雄升级调参!$C$104</x:f>
        <x:v>8</x:v>
      </x:c>
      <x:c r="G1407" s="12">
        <x:f t="shared" si="131"/>
        <x:v>6647</x:v>
      </x:c>
      <x:c r="H1407" s="12">
        <x:f t="shared" si="132"/>
        <x:v>66345</x:v>
      </x:c>
      <x:c r="I1407" s="12">
        <x:f t="shared" si="126"/>
        <x:v>440995215</x:v>
      </x:c>
      <x:c r="J1407" s="12">
        <x:f>ROUND(英雄升级调参!$D$104*英雄升级调参!$J$11*英雄升级调参!$E$26,0)</x:f>
        <x:v>203</x:v>
      </x:c>
      <x:c r="K1407" s="12">
        <x:f>ROUND(英雄升级调参!$D$104*英雄升级调参!$C$11*英雄升级调参!$J$11*英雄升级调参!$G$26,0)</x:f>
        <x:v>2025</x:v>
      </x:c>
      <x:c r="L1407" s="12" t="n">
        <x:f>养成消耗调参!$E$186</x:f>
        <x:v>1728</x:v>
      </x:c>
      <x:c r="M1407" s="12" t="n">
        <x:f>养成消耗调参!$H$186</x:f>
        <x:v>11400</x:v>
      </x:c>
      <x:c r="N1407" s="12" t="n">
        <x:f>养成消耗调参!$I$186</x:f>
        <x:v>0</x:v>
      </x:c>
      <x:c r="O1407" s="12" t="n">
        <x:f>养成消耗调参!$L$186</x:f>
        <x:v>32928</x:v>
      </x:c>
      <x:c r="P1407" s="12" t="n">
        <x:f>养成消耗调参!$O$186</x:f>
        <x:v>199200</x:v>
      </x:c>
      <x:c r="Q1407" s="12" t="n">
        <x:f>养成消耗调参!$P$186</x:f>
        <x:v>490</x:v>
      </x:c>
      <x:c r="R1407" s="13" t="n">
        <x:f>I1407/英雄升级调参!$M$104-1</x:f>
        <x:v>0</x:v>
      </x:c>
      <x:c r="S1407" s="6"/>
      <x:c r="T1407" s="6"/>
      <x:c r="U1407" s="6"/>
    </x:row>
    <x:row r="1408" ht="21" customHeight="1">
      <x:c r="A1408" s="14" t="n">
        <x:f>英雄升级调参!$B$26</x:f>
        <x:v>310009</x:v>
      </x:c>
      <x:c r="B1408" s="14" t="str">
        <x:f>英雄升级调参!$C$26</x:f>
        <x:v>海希</x:v>
      </x:c>
      <x:c r="C1408" s="6" t="str">
        <x:f>英雄升级调参!$D$26</x:f>
        <x:v>探险家</x:v>
      </x:c>
      <x:c r="D1408" s="6" t="s">
        <x:v>25</x:v>
      </x:c>
      <x:c r="E1408" s="6">
        <x:v>40</x:v>
      </x:c>
      <x:c r="F1408" s="6" t="n">
        <x:f>英雄升级调参!$C$105</x:f>
        <x:v>8</x:v>
      </x:c>
      <x:c r="G1408" s="12">
        <x:f t="shared" si="131"/>
        <x:v>7256</x:v>
      </x:c>
      <x:c r="H1408" s="12">
        <x:f t="shared" si="132"/>
        <x:v>72420</x:v>
      </x:c>
      <x:c r="I1408" s="12">
        <x:f t="shared" si="126"/>
        <x:v>525479520</x:v>
      </x:c>
      <x:c r="J1408" s="12">
        <x:f>ROUND(英雄升级调参!$D$105*英雄升级调参!$J$11*英雄升级调参!$E$26,0)*3</x:f>
        <x:v>609</x:v>
      </x:c>
      <x:c r="K1408" s="12">
        <x:f>ROUND(英雄升级调参!$D$105*英雄升级调参!$C$11*英雄升级调参!$J$11*英雄升级调参!$G$26,0)*3</x:f>
        <x:v>6075</x:v>
      </x:c>
      <x:c r="L1408" s="12" t="n">
        <x:f>养成消耗调参!$E$187</x:f>
        <x:v>1824</x:v>
      </x:c>
      <x:c r="M1408" s="12" t="n">
        <x:f>养成消耗调参!$H$187</x:f>
        <x:v>11400</x:v>
      </x:c>
      <x:c r="N1408" s="12" t="n">
        <x:f>养成消耗调参!$I$187</x:f>
        <x:v>150</x:v>
      </x:c>
      <x:c r="O1408" s="12" t="n">
        <x:f>养成消耗调参!$L$187</x:f>
        <x:v>34752</x:v>
      </x:c>
      <x:c r="P1408" s="12" t="n">
        <x:f>养成消耗调参!$O$187</x:f>
        <x:v>210600</x:v>
      </x:c>
      <x:c r="Q1408" s="12" t="n">
        <x:f>养成消耗调参!$P$187</x:f>
        <x:v>640</x:v>
      </x:c>
      <x:c r="R1408" s="13" t="n">
        <x:f>I1408/英雄升级调参!$M$105-1</x:f>
        <x:v>0</x:v>
      </x:c>
      <x:c r="S1408" s="6"/>
      <x:c r="T1408" s="6"/>
      <x:c r="U1408" s="6"/>
    </x:row>
    <x:row r="1409" ht="21" customHeight="1">
      <x:c r="A1409" s="14" t="n">
        <x:f>英雄升级调参!$B$26</x:f>
        <x:v>310009</x:v>
      </x:c>
      <x:c r="B1409" s="14" t="str">
        <x:f>英雄升级调参!$C$26</x:f>
        <x:v>海希</x:v>
      </x:c>
      <x:c r="C1409" s="6" t="str">
        <x:f>英雄升级调参!$D$26</x:f>
        <x:v>探险家</x:v>
      </x:c>
      <x:c r="D1409" s="6" t="s">
        <x:v>25</x:v>
      </x:c>
      <x:c r="E1409" s="6">
        <x:v>41</x:v>
      </x:c>
      <x:c r="F1409" s="6" t="n">
        <x:f>英雄升级调参!$C$106</x:f>
        <x:v>9</x:v>
      </x:c>
      <x:c r="G1409" s="12">
        <x:f t="shared" si="131"/>
        <x:v>7481</x:v>
      </x:c>
      <x:c r="H1409" s="12">
        <x:f t="shared" si="132"/>
        <x:v>74670</x:v>
      </x:c>
      <x:c r="I1409" s="12">
        <x:f t="shared" si="126"/>
        <x:v>558606270</x:v>
      </x:c>
      <x:c r="J1409" s="12">
        <x:f>ROUND(英雄升级调参!$D$106*英雄升级调参!$J$11*英雄升级调参!$E$26,0)</x:f>
        <x:v>225</x:v>
      </x:c>
      <x:c r="K1409" s="12">
        <x:f>ROUND(英雄升级调参!$D$106*英雄升级调参!$C$11*英雄升级调参!$J$11*英雄升级调参!$G$26,0)</x:f>
        <x:v>2250</x:v>
      </x:c>
      <x:c r="L1409" s="12" t="n">
        <x:f>养成消耗调参!$E$188</x:f>
        <x:v>1824</x:v>
      </x:c>
      <x:c r="M1409" s="12" t="n">
        <x:f>养成消耗调参!$H$188</x:f>
        <x:v>11400</x:v>
      </x:c>
      <x:c r="N1409" s="12" t="n">
        <x:f>养成消耗调参!$I$188</x:f>
        <x:v>0</x:v>
      </x:c>
      <x:c r="O1409" s="12" t="n">
        <x:f>养成消耗调参!$L$188</x:f>
        <x:v>36576</x:v>
      </x:c>
      <x:c r="P1409" s="12" t="n">
        <x:f>养成消耗调参!$O$188</x:f>
        <x:v>222000</x:v>
      </x:c>
      <x:c r="Q1409" s="12" t="n">
        <x:f>养成消耗调参!$P$188</x:f>
        <x:v>640</x:v>
      </x:c>
      <x:c r="R1409" s="13" t="n">
        <x:f>I1409/英雄升级调参!$M$106-1</x:f>
        <x:v>0</x:v>
      </x:c>
      <x:c r="S1409" s="6"/>
      <x:c r="T1409" s="6"/>
      <x:c r="U1409" s="6"/>
    </x:row>
    <x:row r="1410" ht="21" customHeight="1">
      <x:c r="A1410" s="14" t="n">
        <x:f>英雄升级调参!$B$26</x:f>
        <x:v>310009</x:v>
      </x:c>
      <x:c r="B1410" s="14" t="str">
        <x:f>英雄升级调参!$C$26</x:f>
        <x:v>海希</x:v>
      </x:c>
      <x:c r="C1410" s="6" t="str">
        <x:f>英雄升级调参!$D$26</x:f>
        <x:v>探险家</x:v>
      </x:c>
      <x:c r="D1410" s="6" t="s">
        <x:v>25</x:v>
      </x:c>
      <x:c r="E1410" s="6">
        <x:v>42</x:v>
      </x:c>
      <x:c r="F1410" s="6" t="n">
        <x:f>英雄升级调参!$C$107</x:f>
        <x:v>9</x:v>
      </x:c>
      <x:c r="G1410" s="12">
        <x:f t="shared" si="131"/>
        <x:v>7706</x:v>
      </x:c>
      <x:c r="H1410" s="12">
        <x:f t="shared" si="132"/>
        <x:v>76920</x:v>
      </x:c>
      <x:c r="I1410" s="12">
        <x:f t="shared" si="126"/>
        <x:v>592745520</x:v>
      </x:c>
      <x:c r="J1410" s="12">
        <x:f>ROUND(英雄升级调参!$D$107*英雄升级调参!$J$11*英雄升级调参!$E$26,0)</x:f>
        <x:v>225</x:v>
      </x:c>
      <x:c r="K1410" s="12">
        <x:f>ROUND(英雄升级调参!$D$107*英雄升级调参!$C$11*英雄升级调参!$J$11*英雄升级调参!$G$26,0)</x:f>
        <x:v>2250</x:v>
      </x:c>
      <x:c r="L1410" s="12" t="n">
        <x:f>养成消耗调参!$E$189</x:f>
        <x:v>1920</x:v>
      </x:c>
      <x:c r="M1410" s="12" t="n">
        <x:f>养成消耗调参!$H$189</x:f>
        <x:v>13200</x:v>
      </x:c>
      <x:c r="N1410" s="12" t="n">
        <x:f>养成消耗调参!$I$189</x:f>
        <x:v>0</x:v>
      </x:c>
      <x:c r="O1410" s="12" t="n">
        <x:f>养成消耗调参!$L$189</x:f>
        <x:v>38496</x:v>
      </x:c>
      <x:c r="P1410" s="12" t="n">
        <x:f>养成消耗调参!$O$189</x:f>
        <x:v>235200</x:v>
      </x:c>
      <x:c r="Q1410" s="12" t="n">
        <x:f>养成消耗调参!$P$189</x:f>
        <x:v>640</x:v>
      </x:c>
      <x:c r="R1410" s="13" t="n">
        <x:f>I1410/英雄升级调参!$M$107-1</x:f>
        <x:v>0</x:v>
      </x:c>
      <x:c r="S1410" s="6"/>
      <x:c r="T1410" s="6"/>
      <x:c r="U1410" s="6"/>
    </x:row>
    <x:row r="1411" ht="21" customHeight="1">
      <x:c r="A1411" s="14" t="n">
        <x:f>英雄升级调参!$B$26</x:f>
        <x:v>310009</x:v>
      </x:c>
      <x:c r="B1411" s="14" t="str">
        <x:f>英雄升级调参!$C$26</x:f>
        <x:v>海希</x:v>
      </x:c>
      <x:c r="C1411" s="6" t="str">
        <x:f>英雄升级调参!$D$26</x:f>
        <x:v>探险家</x:v>
      </x:c>
      <x:c r="D1411" s="6" t="s">
        <x:v>25</x:v>
      </x:c>
      <x:c r="E1411" s="6">
        <x:v>43</x:v>
      </x:c>
      <x:c r="F1411" s="6" t="n">
        <x:f>英雄升级调参!$C$108</x:f>
        <x:v>9</x:v>
      </x:c>
      <x:c r="G1411" s="12">
        <x:f t="shared" si="131"/>
        <x:v>7931</x:v>
      </x:c>
      <x:c r="H1411" s="12">
        <x:f t="shared" si="132"/>
        <x:v>79170</x:v>
      </x:c>
      <x:c r="I1411" s="12">
        <x:f t="shared" si="126"/>
        <x:v>627897270</x:v>
      </x:c>
      <x:c r="J1411" s="12">
        <x:f>ROUND(英雄升级调参!$D$108*英雄升级调参!$J$11*英雄升级调参!$E$26,0)</x:f>
        <x:v>225</x:v>
      </x:c>
      <x:c r="K1411" s="12">
        <x:f>ROUND(英雄升级调参!$D$108*英雄升级调参!$C$11*英雄升级调参!$J$11*英雄升级调参!$G$26,0)</x:f>
        <x:v>2250</x:v>
      </x:c>
      <x:c r="L1411" s="12" t="n">
        <x:f>养成消耗调参!$E$190</x:f>
        <x:v>1920</x:v>
      </x:c>
      <x:c r="M1411" s="12" t="n">
        <x:f>养成消耗调参!$H$190</x:f>
        <x:v>13200</x:v>
      </x:c>
      <x:c r="N1411" s="12" t="n">
        <x:f>养成消耗调参!$I$190</x:f>
        <x:v>0</x:v>
      </x:c>
      <x:c r="O1411" s="12" t="n">
        <x:f>养成消耗调参!$L$190</x:f>
        <x:v>40416</x:v>
      </x:c>
      <x:c r="P1411" s="12" t="n">
        <x:f>养成消耗调参!$O$190</x:f>
        <x:v>248400</x:v>
      </x:c>
      <x:c r="Q1411" s="12" t="n">
        <x:f>养成消耗调参!$P$190</x:f>
        <x:v>640</x:v>
      </x:c>
      <x:c r="R1411" s="13" t="n">
        <x:f>I1411/英雄升级调参!$M$108-1</x:f>
        <x:v>0</x:v>
      </x:c>
      <x:c r="S1411" s="6"/>
      <x:c r="T1411" s="6"/>
      <x:c r="U1411" s="6"/>
    </x:row>
    <x:row r="1412" ht="21" customHeight="1">
      <x:c r="A1412" s="14" t="n">
        <x:f>英雄升级调参!$B$26</x:f>
        <x:v>310009</x:v>
      </x:c>
      <x:c r="B1412" s="14" t="str">
        <x:f>英雄升级调参!$C$26</x:f>
        <x:v>海希</x:v>
      </x:c>
      <x:c r="C1412" s="6" t="str">
        <x:f>英雄升级调参!$D$26</x:f>
        <x:v>探险家</x:v>
      </x:c>
      <x:c r="D1412" s="6" t="s">
        <x:v>25</x:v>
      </x:c>
      <x:c r="E1412" s="6">
        <x:v>44</x:v>
      </x:c>
      <x:c r="F1412" s="6" t="n">
        <x:f>英雄升级调参!$C$109</x:f>
        <x:v>9</x:v>
      </x:c>
      <x:c r="G1412" s="12">
        <x:f t="shared" si="131"/>
        <x:v>8156</x:v>
      </x:c>
      <x:c r="H1412" s="12">
        <x:f t="shared" si="132"/>
        <x:v>81420</x:v>
      </x:c>
      <x:c r="I1412" s="12">
        <x:f t="shared" si="126"/>
        <x:v>664061520</x:v>
      </x:c>
      <x:c r="J1412" s="12">
        <x:f>ROUND(英雄升级调参!$D$109*英雄升级调参!$J$11*英雄升级调参!$E$26,0)</x:f>
        <x:v>225</x:v>
      </x:c>
      <x:c r="K1412" s="12">
        <x:f>ROUND(英雄升级调参!$D$109*英雄升级调参!$C$11*英雄升级调参!$J$11*英雄升级调参!$G$26,0)</x:f>
        <x:v>2250</x:v>
      </x:c>
      <x:c r="L1412" s="12" t="n">
        <x:f>养成消耗调参!$E$191</x:f>
        <x:v>2016</x:v>
      </x:c>
      <x:c r="M1412" s="12" t="n">
        <x:f>养成消耗调参!$H$191</x:f>
        <x:v>13200</x:v>
      </x:c>
      <x:c r="N1412" s="12" t="n">
        <x:f>养成消耗调参!$I$191</x:f>
        <x:v>0</x:v>
      </x:c>
      <x:c r="O1412" s="12" t="n">
        <x:f>养成消耗调参!$L$191</x:f>
        <x:v>42432</x:v>
      </x:c>
      <x:c r="P1412" s="12" t="n">
        <x:f>养成消耗调参!$O$191</x:f>
        <x:v>261600</x:v>
      </x:c>
      <x:c r="Q1412" s="12" t="n">
        <x:f>养成消耗调参!$P$191</x:f>
        <x:v>640</x:v>
      </x:c>
      <x:c r="R1412" s="13" t="n">
        <x:f>I1412/英雄升级调参!$M$109-1</x:f>
        <x:v>0</x:v>
      </x:c>
      <x:c r="S1412" s="6"/>
      <x:c r="T1412" s="6"/>
      <x:c r="U1412" s="6"/>
    </x:row>
    <x:row r="1413" ht="21" customHeight="1">
      <x:c r="A1413" s="14" t="n">
        <x:f>英雄升级调参!$B$26</x:f>
        <x:v>310009</x:v>
      </x:c>
      <x:c r="B1413" s="14" t="str">
        <x:f>英雄升级调参!$C$26</x:f>
        <x:v>海希</x:v>
      </x:c>
      <x:c r="C1413" s="6" t="str">
        <x:f>英雄升级调参!$D$26</x:f>
        <x:v>探险家</x:v>
      </x:c>
      <x:c r="D1413" s="6" t="s">
        <x:v>25</x:v>
      </x:c>
      <x:c r="E1413" s="6">
        <x:v>45</x:v>
      </x:c>
      <x:c r="F1413" s="6" t="n">
        <x:f>英雄升级调参!$C$110</x:f>
        <x:v>9</x:v>
      </x:c>
      <x:c r="G1413" s="12">
        <x:f t="shared" si="131"/>
        <x:v>8831</x:v>
      </x:c>
      <x:c r="H1413" s="12">
        <x:f t="shared" si="132"/>
        <x:v>88170</x:v>
      </x:c>
      <x:c r="I1413" s="12">
        <x:f t="shared" ref="I1413:I1476" si="133">G1413*H1413</x:f>
        <x:v>778629270</x:v>
      </x:c>
      <x:c r="J1413" s="12">
        <x:f>ROUND(英雄升级调参!$D$110*英雄升级调参!$J$11*英雄升级调参!$E$26,0)*3</x:f>
        <x:v>675</x:v>
      </x:c>
      <x:c r="K1413" s="12">
        <x:f>ROUND(英雄升级调参!$D$110*英雄升级调参!$C$11*英雄升级调参!$J$11*英雄升级调参!$G$26,0)*3</x:f>
        <x:v>6750</x:v>
      </x:c>
      <x:c r="L1413" s="12" t="n">
        <x:f>养成消耗调参!$E$192</x:f>
        <x:v>2016</x:v>
      </x:c>
      <x:c r="M1413" s="12" t="n">
        <x:f>养成消耗调参!$H$192</x:f>
        <x:v>13200</x:v>
      </x:c>
      <x:c r="N1413" s="12" t="n">
        <x:f>养成消耗调参!$I$192</x:f>
        <x:v>170</x:v>
      </x:c>
      <x:c r="O1413" s="12" t="n">
        <x:f>养成消耗调参!$L$192</x:f>
        <x:v>44448</x:v>
      </x:c>
      <x:c r="P1413" s="12" t="n">
        <x:f>养成消耗调参!$O$192</x:f>
        <x:v>274800</x:v>
      </x:c>
      <x:c r="Q1413" s="12" t="n">
        <x:f>养成消耗调参!$P$192</x:f>
        <x:v>810</x:v>
      </x:c>
      <x:c r="R1413" s="13" t="n">
        <x:f>I1413/英雄升级调参!$M$110-1</x:f>
        <x:v>0</x:v>
      </x:c>
      <x:c r="S1413" s="6"/>
      <x:c r="T1413" s="6"/>
      <x:c r="U1413" s="6"/>
    </x:row>
    <x:row r="1414" ht="21" customHeight="1">
      <x:c r="A1414" s="14" t="n">
        <x:f>英雄升级调参!$B$26</x:f>
        <x:v>310009</x:v>
      </x:c>
      <x:c r="B1414" s="14" t="str">
        <x:f>英雄升级调参!$C$26</x:f>
        <x:v>海希</x:v>
      </x:c>
      <x:c r="C1414" s="6" t="str">
        <x:f>英雄升级调参!$D$26</x:f>
        <x:v>探险家</x:v>
      </x:c>
      <x:c r="D1414" s="6" t="s">
        <x:v>25</x:v>
      </x:c>
      <x:c r="E1414" s="6">
        <x:v>46</x:v>
      </x:c>
      <x:c r="F1414" s="6" t="n">
        <x:f>英雄升级调参!$C$111</x:f>
        <x:v>10</x:v>
      </x:c>
      <x:c r="G1414" s="12">
        <x:f t="shared" si="131"/>
        <x:v>9079</x:v>
      </x:c>
      <x:c r="H1414" s="12">
        <x:f t="shared" si="132"/>
        <x:v>90645</x:v>
      </x:c>
      <x:c r="I1414" s="12">
        <x:f t="shared" si="133"/>
        <x:v>822965955</x:v>
      </x:c>
      <x:c r="J1414" s="12">
        <x:f>ROUND(英雄升级调参!$D$111*英雄升级调参!$J$11*英雄升级调参!$E$26,0)</x:f>
        <x:v>248</x:v>
      </x:c>
      <x:c r="K1414" s="12">
        <x:f>ROUND(英雄升级调参!$D$111*英雄升级调参!$C$11*英雄升级调参!$J$11*英雄升级调参!$G$26,0)</x:f>
        <x:v>2475</x:v>
      </x:c>
      <x:c r="L1414" s="12" t="n">
        <x:f>养成消耗调参!$E$193</x:f>
        <x:v>2112</x:v>
      </x:c>
      <x:c r="M1414" s="12" t="n">
        <x:f>养成消耗调参!$H$193</x:f>
        <x:v>13200</x:v>
      </x:c>
      <x:c r="N1414" s="12" t="n">
        <x:f>养成消耗调参!$I$193</x:f>
        <x:v>0</x:v>
      </x:c>
      <x:c r="O1414" s="12" t="n">
        <x:f>养成消耗调参!$L$193</x:f>
        <x:v>46560</x:v>
      </x:c>
      <x:c r="P1414" s="12" t="n">
        <x:f>养成消耗调参!$O$193</x:f>
        <x:v>288000</x:v>
      </x:c>
      <x:c r="Q1414" s="12" t="n">
        <x:f>养成消耗调参!$P$193</x:f>
        <x:v>810</x:v>
      </x:c>
      <x:c r="R1414" s="13" t="n">
        <x:f>I1414/英雄升级调参!$M$111-1</x:f>
        <x:v>0</x:v>
      </x:c>
      <x:c r="S1414" s="6"/>
      <x:c r="T1414" s="6"/>
      <x:c r="U1414" s="6"/>
    </x:row>
    <x:row r="1415" ht="21" customHeight="1">
      <x:c r="A1415" s="14" t="n">
        <x:f>英雄升级调参!$B$26</x:f>
        <x:v>310009</x:v>
      </x:c>
      <x:c r="B1415" s="14" t="str">
        <x:f>英雄升级调参!$C$26</x:f>
        <x:v>海希</x:v>
      </x:c>
      <x:c r="C1415" s="6" t="str">
        <x:f>英雄升级调参!$D$26</x:f>
        <x:v>探险家</x:v>
      </x:c>
      <x:c r="D1415" s="6" t="s">
        <x:v>25</x:v>
      </x:c>
      <x:c r="E1415" s="6">
        <x:v>47</x:v>
      </x:c>
      <x:c r="F1415" s="6" t="n">
        <x:f>英雄升级调参!$C$112</x:f>
        <x:v>10</x:v>
      </x:c>
      <x:c r="G1415" s="12">
        <x:f t="shared" si="131"/>
        <x:v>9327</x:v>
      </x:c>
      <x:c r="H1415" s="12">
        <x:f t="shared" si="132"/>
        <x:v>93120</x:v>
      </x:c>
      <x:c r="I1415" s="12">
        <x:f t="shared" si="133"/>
        <x:v>868530240</x:v>
      </x:c>
      <x:c r="J1415" s="12">
        <x:f>ROUND(英雄升级调参!$D$112*英雄升级调参!$J$11*英雄升级调参!$E$26,0)</x:f>
        <x:v>248</x:v>
      </x:c>
      <x:c r="K1415" s="12">
        <x:f>ROUND(英雄升级调参!$D$112*英雄升级调参!$C$11*英雄升级调参!$J$11*英雄升级调参!$G$26,0)</x:f>
        <x:v>2475</x:v>
      </x:c>
      <x:c r="L1415" s="12" t="n">
        <x:f>养成消耗调参!$E$194</x:f>
        <x:v>2112</x:v>
      </x:c>
      <x:c r="M1415" s="12" t="n">
        <x:f>养成消耗调参!$H$194</x:f>
        <x:v>15000</x:v>
      </x:c>
      <x:c r="N1415" s="12" t="n">
        <x:f>养成消耗调参!$I$194</x:f>
        <x:v>0</x:v>
      </x:c>
      <x:c r="O1415" s="12" t="n">
        <x:f>养成消耗调参!$L$194</x:f>
        <x:v>48672</x:v>
      </x:c>
      <x:c r="P1415" s="12" t="n">
        <x:f>养成消耗调参!$O$194</x:f>
        <x:v>303000</x:v>
      </x:c>
      <x:c r="Q1415" s="12" t="n">
        <x:f>养成消耗调参!$P$194</x:f>
        <x:v>810</x:v>
      </x:c>
      <x:c r="R1415" s="13" t="n">
        <x:f>I1415/英雄升级调参!$M$112-1</x:f>
        <x:v>0</x:v>
      </x:c>
      <x:c r="S1415" s="6"/>
      <x:c r="T1415" s="6"/>
      <x:c r="U1415" s="6"/>
    </x:row>
    <x:row r="1416" ht="21" customHeight="1">
      <x:c r="A1416" s="14" t="n">
        <x:f>英雄升级调参!$B$26</x:f>
        <x:v>310009</x:v>
      </x:c>
      <x:c r="B1416" s="14" t="str">
        <x:f>英雄升级调参!$C$26</x:f>
        <x:v>海希</x:v>
      </x:c>
      <x:c r="C1416" s="6" t="str">
        <x:f>英雄升级调参!$D$26</x:f>
        <x:v>探险家</x:v>
      </x:c>
      <x:c r="D1416" s="6" t="s">
        <x:v>25</x:v>
      </x:c>
      <x:c r="E1416" s="6">
        <x:v>48</x:v>
      </x:c>
      <x:c r="F1416" s="6" t="n">
        <x:f>英雄升级调参!$C$113</x:f>
        <x:v>10</x:v>
      </x:c>
      <x:c r="G1416" s="12">
        <x:f t="shared" si="131"/>
        <x:v>9575</x:v>
      </x:c>
      <x:c r="H1416" s="12">
        <x:f t="shared" si="132"/>
        <x:v>95595</x:v>
      </x:c>
      <x:c r="I1416" s="12">
        <x:f t="shared" si="133"/>
        <x:v>915322125</x:v>
      </x:c>
      <x:c r="J1416" s="12">
        <x:f>ROUND(英雄升级调参!$D$113*英雄升级调参!$J$11*英雄升级调参!$E$26,0)</x:f>
        <x:v>248</x:v>
      </x:c>
      <x:c r="K1416" s="12">
        <x:f>ROUND(英雄升级调参!$D$113*英雄升级调参!$C$11*英雄升级调参!$J$11*英雄升级调参!$G$26,0)</x:f>
        <x:v>2475</x:v>
      </x:c>
      <x:c r="L1416" s="12" t="n">
        <x:f>养成消耗调参!$E$195</x:f>
        <x:v>2208</x:v>
      </x:c>
      <x:c r="M1416" s="12" t="n">
        <x:f>养成消耗调参!$H$195</x:f>
        <x:v>15000</x:v>
      </x:c>
      <x:c r="N1416" s="12" t="n">
        <x:f>养成消耗调参!$I$195</x:f>
        <x:v>0</x:v>
      </x:c>
      <x:c r="O1416" s="12" t="n">
        <x:f>养成消耗调参!$L$195</x:f>
        <x:v>50880</x:v>
      </x:c>
      <x:c r="P1416" s="12" t="n">
        <x:f>养成消耗调参!$O$195</x:f>
        <x:v>318000</x:v>
      </x:c>
      <x:c r="Q1416" s="12" t="n">
        <x:f>养成消耗调参!$P$195</x:f>
        <x:v>810</x:v>
      </x:c>
      <x:c r="R1416" s="13" t="n">
        <x:f>I1416/英雄升级调参!$M$113-1</x:f>
        <x:v>0</x:v>
      </x:c>
      <x:c r="S1416" s="6"/>
      <x:c r="T1416" s="6"/>
      <x:c r="U1416" s="6"/>
    </x:row>
    <x:row r="1417" ht="21" customHeight="1">
      <x:c r="A1417" s="14" t="n">
        <x:f>英雄升级调参!$B$26</x:f>
        <x:v>310009</x:v>
      </x:c>
      <x:c r="B1417" s="14" t="str">
        <x:f>英雄升级调参!$C$26</x:f>
        <x:v>海希</x:v>
      </x:c>
      <x:c r="C1417" s="6" t="str">
        <x:f>英雄升级调参!$D$26</x:f>
        <x:v>探险家</x:v>
      </x:c>
      <x:c r="D1417" s="6" t="s">
        <x:v>25</x:v>
      </x:c>
      <x:c r="E1417" s="6">
        <x:v>49</x:v>
      </x:c>
      <x:c r="F1417" s="6" t="n">
        <x:f>英雄升级调参!$C$114</x:f>
        <x:v>10</x:v>
      </x:c>
      <x:c r="G1417" s="12">
        <x:f t="shared" si="131"/>
        <x:v>9823</x:v>
      </x:c>
      <x:c r="H1417" s="12">
        <x:f t="shared" si="132"/>
        <x:v>98070</x:v>
      </x:c>
      <x:c r="I1417" s="12">
        <x:f t="shared" si="133"/>
        <x:v>963341610</x:v>
      </x:c>
      <x:c r="J1417" s="12">
        <x:f>ROUND(英雄升级调参!$D$114*英雄升级调参!$J$11*英雄升级调参!$E$26,0)</x:f>
        <x:v>248</x:v>
      </x:c>
      <x:c r="K1417" s="12">
        <x:f>ROUND(英雄升级调参!$D$114*英雄升级调参!$C$11*英雄升级调参!$J$11*英雄升级调参!$G$26,0)</x:f>
        <x:v>2475</x:v>
      </x:c>
      <x:c r="L1417" s="12" t="n">
        <x:f>养成消耗调参!$E$196</x:f>
        <x:v>2208</x:v>
      </x:c>
      <x:c r="M1417" s="12" t="n">
        <x:f>养成消耗调参!$H$196</x:f>
        <x:v>15000</x:v>
      </x:c>
      <x:c r="N1417" s="12" t="n">
        <x:f>养成消耗调参!$I$196</x:f>
        <x:v>0</x:v>
      </x:c>
      <x:c r="O1417" s="12" t="n">
        <x:f>养成消耗调参!$L$196</x:f>
        <x:v>53088</x:v>
      </x:c>
      <x:c r="P1417" s="12" t="n">
        <x:f>养成消耗调参!$O$196</x:f>
        <x:v>333000</x:v>
      </x:c>
      <x:c r="Q1417" s="12" t="n">
        <x:f>养成消耗调参!$P$196</x:f>
        <x:v>810</x:v>
      </x:c>
      <x:c r="R1417" s="13" t="n">
        <x:f>I1417/英雄升级调参!$M$114-1</x:f>
        <x:v>0</x:v>
      </x:c>
      <x:c r="S1417" s="6"/>
      <x:c r="T1417" s="6"/>
      <x:c r="U1417" s="6"/>
    </x:row>
    <x:row r="1418" ht="21" customHeight="1">
      <x:c r="A1418" s="14" t="n">
        <x:f>英雄升级调参!$B$26</x:f>
        <x:v>310009</x:v>
      </x:c>
      <x:c r="B1418" s="14" t="str">
        <x:f>英雄升级调参!$C$26</x:f>
        <x:v>海希</x:v>
      </x:c>
      <x:c r="C1418" s="6" t="str">
        <x:f>英雄升级调参!$D$26</x:f>
        <x:v>探险家</x:v>
      </x:c>
      <x:c r="D1418" s="6" t="s">
        <x:v>25</x:v>
      </x:c>
      <x:c r="E1418" s="6">
        <x:v>50</x:v>
      </x:c>
      <x:c r="F1418" s="6" t="n">
        <x:f>英雄升级调参!$C$115</x:f>
        <x:v>10</x:v>
      </x:c>
      <x:c r="G1418" s="12">
        <x:f t="shared" si="131"/>
        <x:v>10567</x:v>
      </x:c>
      <x:c r="H1418" s="12">
        <x:f t="shared" si="132"/>
        <x:v>105495</x:v>
      </x:c>
      <x:c r="I1418" s="12">
        <x:f t="shared" si="133"/>
        <x:v>1114765665</x:v>
      </x:c>
      <x:c r="J1418" s="12">
        <x:f>ROUND(英雄升级调参!$D$115*英雄升级调参!$J$11*英雄升级调参!$E$26,0)*3</x:f>
        <x:v>744</x:v>
      </x:c>
      <x:c r="K1418" s="12">
        <x:f>ROUND(英雄升级调参!$D$115*英雄升级调参!$C$11*英雄升级调参!$J$11*英雄升级调参!$G$26,0)*3</x:f>
        <x:v>7425</x:v>
      </x:c>
      <x:c r="L1418" s="12" t="n">
        <x:f>养成消耗调参!$E$197</x:f>
        <x:v>2304</x:v>
      </x:c>
      <x:c r="M1418" s="12" t="n">
        <x:f>养成消耗调参!$H$197</x:f>
        <x:v>15000</x:v>
      </x:c>
      <x:c r="N1418" s="12" t="n">
        <x:f>养成消耗调参!$I$197</x:f>
        <x:v>190</x:v>
      </x:c>
      <x:c r="O1418" s="12" t="n">
        <x:f>养成消耗调参!$L$197</x:f>
        <x:v>55392</x:v>
      </x:c>
      <x:c r="P1418" s="12" t="n">
        <x:f>养成消耗调参!$O$197</x:f>
        <x:v>348000</x:v>
      </x:c>
      <x:c r="Q1418" s="12" t="n">
        <x:f>养成消耗调参!$P$197</x:f>
        <x:v>1000</x:v>
      </x:c>
      <x:c r="R1418" s="13" t="n">
        <x:f>I1418/英雄升级调参!$M$115-1</x:f>
        <x:v>0</x:v>
      </x:c>
      <x:c r="S1418" s="6"/>
      <x:c r="T1418" s="6"/>
      <x:c r="U1418" s="6"/>
    </x:row>
    <x:row r="1419" ht="21" customHeight="1">
      <x:c r="A1419" s="14" t="n">
        <x:f>英雄升级调参!$B$27</x:f>
        <x:v>310011</x:v>
      </x:c>
      <x:c r="B1419" s="14" t="str">
        <x:f>英雄升级调参!$C$27</x:f>
        <x:v>鳄不恶</x:v>
      </x:c>
      <x:c r="C1419" s="6" t="str">
        <x:f>英雄升级调参!$D$27</x:f>
        <x:v>生存者</x:v>
      </x:c>
      <x:c r="D1419" s="6" t="s">
        <x:v>18</x:v>
      </x:c>
      <x:c r="E1419" s="6">
        <x:v>1</x:v>
      </x:c>
      <x:c r="F1419" s="6" t="n">
        <x:f>英雄升级调参!$C$66</x:f>
        <x:v>1</x:v>
      </x:c>
      <x:c r="G1419" s="12" t="n">
        <x:f>ROUND(英雄升级调参!$E$66*英雄升级调参!$E$27,0)</x:f>
        <x:v>57</x:v>
      </x:c>
      <x:c r="H1419" s="12" t="n">
        <x:f>ROUND(英雄升级调参!$F$66*英雄升级调参!$G$27,0)</x:f>
        <x:v>632</x:v>
      </x:c>
      <x:c r="I1419" s="12">
        <x:f t="shared" si="133"/>
        <x:v>36024</x:v>
      </x:c>
      <x:c r="J1419" s="12" t="n">
        <x:f>0</x:f>
        <x:v>0</x:v>
      </x:c>
      <x:c r="K1419" s="12" t="n">
        <x:f>0</x:f>
        <x:v>0</x:v>
      </x:c>
      <x:c r="L1419" s="12" t="n">
        <x:f>养成消耗调参!$C$148</x:f>
        <x:v>0</x:v>
      </x:c>
      <x:c r="M1419" s="12" t="n">
        <x:f>养成消耗调参!$F$148</x:f>
        <x:v>0</x:v>
      </x:c>
      <x:c r="N1419" s="12" t="n">
        <x:f>养成消耗调参!$I$148</x:f>
        <x:v>0</x:v>
      </x:c>
      <x:c r="O1419" s="12" t="n">
        <x:f>养成消耗调参!$J$148</x:f>
        <x:v>0</x:v>
      </x:c>
      <x:c r="P1419" s="12" t="n">
        <x:f>养成消耗调参!$M$148</x:f>
        <x:v>0</x:v>
      </x:c>
      <x:c r="Q1419" s="12" t="n">
        <x:f>养成消耗调参!$P$148</x:f>
        <x:v>0</x:v>
      </x:c>
      <x:c r="R1419" s="13" t="n">
        <x:f>I1419/英雄升级调参!$G$66-1</x:f>
        <x:v>0.0006666666666665932</x:v>
      </x:c>
      <x:c r="S1419" s="6"/>
      <x:c r="T1419" s="6"/>
      <x:c r="U1419" s="6"/>
    </x:row>
    <x:row r="1420" ht="21" customHeight="1">
      <x:c r="A1420" s="14" t="n">
        <x:f>英雄升级调参!$B$27</x:f>
        <x:v>310011</x:v>
      </x:c>
      <x:c r="B1420" s="14" t="str">
        <x:f>英雄升级调参!$C$27</x:f>
        <x:v>鳄不恶</x:v>
      </x:c>
      <x:c r="C1420" s="6" t="str">
        <x:f>英雄升级调参!$D$27</x:f>
        <x:v>生存者</x:v>
      </x:c>
      <x:c r="D1420" s="6" t="s">
        <x:v>18</x:v>
      </x:c>
      <x:c r="E1420" s="6">
        <x:v>2</x:v>
      </x:c>
      <x:c r="F1420" s="6" t="n">
        <x:f>英雄升级调参!$C$67</x:f>
        <x:v>1</x:v>
      </x:c>
      <x:c r="G1420" s="12">
        <x:f t="shared" ref="G1420:G1451" si="134">G1419+J1420</x:f>
        <x:v>74</x:v>
      </x:c>
      <x:c r="H1420" s="12">
        <x:f t="shared" ref="H1420:H1451" si="135">H1419+K1420</x:f>
        <x:v>821</x:v>
      </x:c>
      <x:c r="I1420" s="12">
        <x:f t="shared" si="133"/>
        <x:v>60754</x:v>
      </x:c>
      <x:c r="J1420" s="12">
        <x:f>ROUND(英雄升级调参!$D$67*英雄升级调参!$J$9*英雄升级调参!$E$27,0)</x:f>
        <x:v>17</x:v>
      </x:c>
      <x:c r="K1420" s="12">
        <x:f>ROUND(英雄升级调参!$D$67*英雄升级调参!$C$11*英雄升级调参!$J$9*英雄升级调参!$G$27,0)</x:f>
        <x:v>189</x:v>
      </x:c>
      <x:c r="L1420" s="12" t="n">
        <x:f>养成消耗调参!$C$149</x:f>
        <x:v>24</x:v>
      </x:c>
      <x:c r="M1420" s="12" t="n">
        <x:f>养成消耗调参!$F$149</x:f>
        <x:v>300</x:v>
      </x:c>
      <x:c r="N1420" s="12" t="n">
        <x:f>养成消耗调参!$I$149</x:f>
        <x:v>0</x:v>
      </x:c>
      <x:c r="O1420" s="12" t="n">
        <x:f>养成消耗调参!$J$149</x:f>
        <x:v>24</x:v>
      </x:c>
      <x:c r="P1420" s="12" t="n">
        <x:f>养成消耗调参!$M$149</x:f>
        <x:v>300</x:v>
      </x:c>
      <x:c r="Q1420" s="12" t="n">
        <x:f>养成消耗调参!$P$149</x:f>
        <x:v>0</x:v>
      </x:c>
      <x:c r="R1420" s="13">
        <x:f>I1420/英雄升级调参!$G$67-1</x:f>
        <x:v>-0.0014135437212360324</x:v>
      </x:c>
      <x:c r="S1420" s="6"/>
      <x:c r="T1420" s="6"/>
      <x:c r="U1420" s="6"/>
    </x:row>
    <x:row r="1421" ht="21" customHeight="1">
      <x:c r="A1421" s="14" t="n">
        <x:f>英雄升级调参!$B$27</x:f>
        <x:v>310011</x:v>
      </x:c>
      <x:c r="B1421" s="14" t="str">
        <x:f>英雄升级调参!$C$27</x:f>
        <x:v>鳄不恶</x:v>
      </x:c>
      <x:c r="C1421" s="6" t="str">
        <x:f>英雄升级调参!$D$27</x:f>
        <x:v>生存者</x:v>
      </x:c>
      <x:c r="D1421" s="6" t="s">
        <x:v>18</x:v>
      </x:c>
      <x:c r="E1421" s="6">
        <x:v>3</x:v>
      </x:c>
      <x:c r="F1421" s="6" t="n">
        <x:f>英雄升级调参!$C$68</x:f>
        <x:v>1</x:v>
      </x:c>
      <x:c r="G1421" s="12">
        <x:f t="shared" si="134"/>
        <x:v>91</x:v>
      </x:c>
      <x:c r="H1421" s="12">
        <x:f t="shared" si="135"/>
        <x:v>1010</x:v>
      </x:c>
      <x:c r="I1421" s="12">
        <x:f t="shared" si="133"/>
        <x:v>91910</x:v>
      </x:c>
      <x:c r="J1421" s="12">
        <x:f>ROUND(英雄升级调参!$D$68*英雄升级调参!$J$9*英雄升级调参!$E$27,0)</x:f>
        <x:v>17</x:v>
      </x:c>
      <x:c r="K1421" s="12">
        <x:f>ROUND(英雄升级调参!$D$68*英雄升级调参!$C$11*英雄升级调参!$J$9*英雄升级调参!$G$27,0)</x:f>
        <x:v>189</x:v>
      </x:c>
      <x:c r="L1421" s="12" t="n">
        <x:f>养成消耗调参!$C$150</x:f>
        <x:v>24</x:v>
      </x:c>
      <x:c r="M1421" s="12" t="n">
        <x:f>养成消耗调参!$F$150</x:f>
        <x:v>300</x:v>
      </x:c>
      <x:c r="N1421" s="12" t="n">
        <x:f>养成消耗调参!$I$150</x:f>
        <x:v>0</x:v>
      </x:c>
      <x:c r="O1421" s="12" t="n">
        <x:f>养成消耗调参!$J$150</x:f>
        <x:v>48</x:v>
      </x:c>
      <x:c r="P1421" s="12" t="n">
        <x:f>养成消耗调参!$M$150</x:f>
        <x:v>600</x:v>
      </x:c>
      <x:c r="Q1421" s="12" t="n">
        <x:f>养成消耗调参!$P$150</x:f>
        <x:v>0</x:v>
      </x:c>
      <x:c r="R1421" s="13">
        <x:f>I1421/英雄升级调参!$G$68-1</x:f>
        <x:v>-0.0027126736111111605</x:v>
      </x:c>
      <x:c r="S1421" s="6"/>
      <x:c r="T1421" s="6"/>
      <x:c r="U1421" s="6"/>
    </x:row>
    <x:row r="1422" ht="21" customHeight="1">
      <x:c r="A1422" s="14" t="n">
        <x:f>英雄升级调参!$B$27</x:f>
        <x:v>310011</x:v>
      </x:c>
      <x:c r="B1422" s="14" t="str">
        <x:f>英雄升级调参!$C$27</x:f>
        <x:v>鳄不恶</x:v>
      </x:c>
      <x:c r="C1422" s="6" t="str">
        <x:f>英雄升级调参!$D$27</x:f>
        <x:v>生存者</x:v>
      </x:c>
      <x:c r="D1422" s="6" t="s">
        <x:v>18</x:v>
      </x:c>
      <x:c r="E1422" s="6">
        <x:v>4</x:v>
      </x:c>
      <x:c r="F1422" s="6" t="n">
        <x:f>英雄升级调参!$C$69</x:f>
        <x:v>1</x:v>
      </x:c>
      <x:c r="G1422" s="12">
        <x:f t="shared" si="134"/>
        <x:v>108</x:v>
      </x:c>
      <x:c r="H1422" s="12">
        <x:f t="shared" si="135"/>
        <x:v>1199</x:v>
      </x:c>
      <x:c r="I1422" s="12">
        <x:f t="shared" si="133"/>
        <x:v>129492</x:v>
      </x:c>
      <x:c r="J1422" s="12">
        <x:f>ROUND(英雄升级调参!$D$69*英雄升级调参!$J$9*英雄升级调参!$E$27,0)</x:f>
        <x:v>17</x:v>
      </x:c>
      <x:c r="K1422" s="12">
        <x:f>ROUND(英雄升级调参!$D$69*英雄升级调参!$C$11*英雄升级调参!$J$9*英雄升级调参!$G$27,0)</x:f>
        <x:v>189</x:v>
      </x:c>
      <x:c r="L1422" s="12" t="n">
        <x:f>养成消耗调参!$C$151</x:f>
        <x:v>48</x:v>
      </x:c>
      <x:c r="M1422" s="12" t="n">
        <x:f>养成消耗调参!$F$151</x:f>
        <x:v>300</x:v>
      </x:c>
      <x:c r="N1422" s="12" t="n">
        <x:f>养成消耗调参!$I$151</x:f>
        <x:v>0</x:v>
      </x:c>
      <x:c r="O1422" s="12" t="n">
        <x:f>养成消耗调参!$J$151</x:f>
        <x:v>96</x:v>
      </x:c>
      <x:c r="P1422" s="12" t="n">
        <x:f>养成消耗调参!$M$151</x:f>
        <x:v>900</x:v>
      </x:c>
      <x:c r="Q1422" s="12" t="n">
        <x:f>养成消耗调参!$P$151</x:f>
        <x:v>0</x:v>
      </x:c>
      <x:c r="R1422" s="13">
        <x:f>I1422/英雄升级调参!$G$69-1</x:f>
        <x:v>-0.003601108033240985</x:v>
      </x:c>
      <x:c r="S1422" s="6"/>
      <x:c r="T1422" s="6"/>
      <x:c r="U1422" s="6"/>
    </x:row>
    <x:row r="1423" ht="21" customHeight="1">
      <x:c r="A1423" s="14" t="n">
        <x:f>英雄升级调参!$B$27</x:f>
        <x:v>310011</x:v>
      </x:c>
      <x:c r="B1423" s="14" t="str">
        <x:f>英雄升级调参!$C$27</x:f>
        <x:v>鳄不恶</x:v>
      </x:c>
      <x:c r="C1423" s="6" t="str">
        <x:f>英雄升级调参!$D$27</x:f>
        <x:v>生存者</x:v>
      </x:c>
      <x:c r="D1423" s="6" t="s">
        <x:v>18</x:v>
      </x:c>
      <x:c r="E1423" s="6">
        <x:v>5</x:v>
      </x:c>
      <x:c r="F1423" s="6" t="n">
        <x:f>英雄升级调参!$C$70</x:f>
        <x:v>1</x:v>
      </x:c>
      <x:c r="G1423" s="12">
        <x:f t="shared" si="134"/>
        <x:v>159</x:v>
      </x:c>
      <x:c r="H1423" s="12">
        <x:f t="shared" si="135"/>
        <x:v>1766</x:v>
      </x:c>
      <x:c r="I1423" s="12">
        <x:f t="shared" si="133"/>
        <x:v>280794</x:v>
      </x:c>
      <x:c r="J1423" s="12">
        <x:f>ROUND(英雄升级调参!$D$70*英雄升级调参!$J$9*英雄升级调参!$E$27,0)*3</x:f>
        <x:v>51</x:v>
      </x:c>
      <x:c r="K1423" s="12">
        <x:f>ROUND(英雄升级调参!$D$70*英雄升级调参!$C$11*英雄升级调参!$J$9*英雄升级调参!$G$27,0)*3</x:f>
        <x:v>567</x:v>
      </x:c>
      <x:c r="L1423" s="12" t="n">
        <x:f>养成消耗调参!$C$152</x:f>
        <x:v>72</x:v>
      </x:c>
      <x:c r="M1423" s="12" t="n">
        <x:f>养成消耗调参!$F$152</x:f>
        <x:v>300</x:v>
      </x:c>
      <x:c r="N1423" s="12" t="n">
        <x:f>养成消耗调参!$I$152</x:f>
        <x:v>10</x:v>
      </x:c>
      <x:c r="O1423" s="12" t="n">
        <x:f>养成消耗调参!$J$152</x:f>
        <x:v>168</x:v>
      </x:c>
      <x:c r="P1423" s="12" t="n">
        <x:f>养成消耗调参!$M$152</x:f>
        <x:v>1200</x:v>
      </x:c>
      <x:c r="Q1423" s="12" t="n">
        <x:f>养成消耗调参!$P$152</x:f>
        <x:v>10</x:v>
      </x:c>
      <x:c r="R1423" s="13">
        <x:f>I1423/英雄升级调参!$G$70-1</x:f>
        <x:v>-0.005123299319727881</x:v>
      </x:c>
      <x:c r="S1423" s="6"/>
      <x:c r="T1423" s="6"/>
      <x:c r="U1423" s="6"/>
    </x:row>
    <x:row r="1424" ht="21" customHeight="1">
      <x:c r="A1424" s="14" t="n">
        <x:f>英雄升级调参!$B$27</x:f>
        <x:v>310011</x:v>
      </x:c>
      <x:c r="B1424" s="14" t="str">
        <x:f>英雄升级调参!$C$27</x:f>
        <x:v>鳄不恶</x:v>
      </x:c>
      <x:c r="C1424" s="6" t="str">
        <x:f>英雄升级调参!$D$27</x:f>
        <x:v>生存者</x:v>
      </x:c>
      <x:c r="D1424" s="6" t="s">
        <x:v>18</x:v>
      </x:c>
      <x:c r="E1424" s="6">
        <x:v>6</x:v>
      </x:c>
      <x:c r="F1424" s="6" t="n">
        <x:f>英雄升级调参!$C$71</x:f>
        <x:v>2</x:v>
      </x:c>
      <x:c r="G1424" s="12">
        <x:f t="shared" si="134"/>
        <x:v>185</x:v>
      </x:c>
      <x:c r="H1424" s="12">
        <x:f t="shared" si="135"/>
        <x:v>2050</x:v>
      </x:c>
      <x:c r="I1424" s="12">
        <x:f t="shared" si="133"/>
        <x:v>379250</x:v>
      </x:c>
      <x:c r="J1424" s="12">
        <x:f>ROUND(英雄升级调参!$D$71*英雄升级调参!$J$9*英雄升级调参!$E$27,0)</x:f>
        <x:v>26</x:v>
      </x:c>
      <x:c r="K1424" s="12">
        <x:f>ROUND(英雄升级调参!$D$71*英雄升级调参!$C$11*英雄升级调参!$J$9*英雄升级调参!$G$27,0)</x:f>
        <x:v>284</x:v>
      </x:c>
      <x:c r="L1424" s="12" t="n">
        <x:f>养成消耗调参!$C$153</x:f>
        <x:v>120</x:v>
      </x:c>
      <x:c r="M1424" s="12" t="n">
        <x:f>养成消耗调参!$F$153</x:f>
        <x:v>300</x:v>
      </x:c>
      <x:c r="N1424" s="12" t="n">
        <x:f>养成消耗调参!$I$153</x:f>
        <x:v>0</x:v>
      </x:c>
      <x:c r="O1424" s="12" t="n">
        <x:f>养成消耗调参!$J$153</x:f>
        <x:v>288</x:v>
      </x:c>
      <x:c r="P1424" s="12" t="n">
        <x:f>养成消耗调参!$M$153</x:f>
        <x:v>1500</x:v>
      </x:c>
      <x:c r="Q1424" s="12" t="n">
        <x:f>养成消耗调参!$P$153</x:f>
        <x:v>10</x:v>
      </x:c>
      <x:c r="R1424" s="13">
        <x:f>I1424/英雄升级调参!$G$71-1</x:f>
        <x:v>-0.002629848783694988</x:v>
      </x:c>
      <x:c r="S1424" s="6"/>
      <x:c r="T1424" s="6"/>
      <x:c r="U1424" s="6"/>
    </x:row>
    <x:row r="1425" ht="21" customHeight="1">
      <x:c r="A1425" s="14" t="n">
        <x:f>英雄升级调参!$B$27</x:f>
        <x:v>310011</x:v>
      </x:c>
      <x:c r="B1425" s="14" t="str">
        <x:f>英雄升级调参!$C$27</x:f>
        <x:v>鳄不恶</x:v>
      </x:c>
      <x:c r="C1425" s="6" t="str">
        <x:f>英雄升级调参!$D$27</x:f>
        <x:v>生存者</x:v>
      </x:c>
      <x:c r="D1425" s="6" t="s">
        <x:v>18</x:v>
      </x:c>
      <x:c r="E1425" s="6">
        <x:v>7</x:v>
      </x:c>
      <x:c r="F1425" s="6" t="n">
        <x:f>英雄升级调参!$C$72</x:f>
        <x:v>2</x:v>
      </x:c>
      <x:c r="G1425" s="12">
        <x:f t="shared" si="134"/>
        <x:v>211</x:v>
      </x:c>
      <x:c r="H1425" s="12">
        <x:f t="shared" si="135"/>
        <x:v>2334</x:v>
      </x:c>
      <x:c r="I1425" s="12">
        <x:f t="shared" si="133"/>
        <x:v>492474</x:v>
      </x:c>
      <x:c r="J1425" s="12">
        <x:f>ROUND(英雄升级调参!$D$72*英雄升级调参!$J$9*英雄升级调参!$E$27,0)</x:f>
        <x:v>26</x:v>
      </x:c>
      <x:c r="K1425" s="12">
        <x:f>ROUND(英雄升级调参!$D$72*英雄升级调参!$C$11*英雄升级调参!$J$9*英雄升级调参!$G$27,0)</x:f>
        <x:v>284</x:v>
      </x:c>
      <x:c r="L1425" s="12" t="n">
        <x:f>养成消耗调参!$C$154</x:f>
        <x:v>120</x:v>
      </x:c>
      <x:c r="M1425" s="12" t="n">
        <x:f>养成消耗调参!$F$154</x:f>
        <x:v>900</x:v>
      </x:c>
      <x:c r="N1425" s="12" t="n">
        <x:f>养成消耗调参!$I$154</x:f>
        <x:v>0</x:v>
      </x:c>
      <x:c r="O1425" s="12" t="n">
        <x:f>养成消耗调参!$J$154</x:f>
        <x:v>408</x:v>
      </x:c>
      <x:c r="P1425" s="12" t="n">
        <x:f>养成消耗调参!$M$154</x:f>
        <x:v>2400</x:v>
      </x:c>
      <x:c r="Q1425" s="12" t="n">
        <x:f>养成消耗调参!$P$154</x:f>
        <x:v>10</x:v>
      </x:c>
      <x:c r="R1425" s="13">
        <x:f>I1425/英雄升级调参!$G$72-1</x:f>
        <x:v>-0.0007426345264183176</x:v>
      </x:c>
      <x:c r="S1425" s="6"/>
      <x:c r="T1425" s="6"/>
      <x:c r="U1425" s="6"/>
    </x:row>
    <x:row r="1426" ht="21" customHeight="1">
      <x:c r="A1426" s="14" t="n">
        <x:f>英雄升级调参!$B$27</x:f>
        <x:v>310011</x:v>
      </x:c>
      <x:c r="B1426" s="14" t="str">
        <x:f>英雄升级调参!$C$27</x:f>
        <x:v>鳄不恶</x:v>
      </x:c>
      <x:c r="C1426" s="6" t="str">
        <x:f>英雄升级调参!$D$27</x:f>
        <x:v>生存者</x:v>
      </x:c>
      <x:c r="D1426" s="6" t="s">
        <x:v>18</x:v>
      </x:c>
      <x:c r="E1426" s="6">
        <x:v>8</x:v>
      </x:c>
      <x:c r="F1426" s="6" t="n">
        <x:f>英雄升级调参!$C$73</x:f>
        <x:v>2</x:v>
      </x:c>
      <x:c r="G1426" s="12">
        <x:f t="shared" si="134"/>
        <x:v>237</x:v>
      </x:c>
      <x:c r="H1426" s="12">
        <x:f t="shared" si="135"/>
        <x:v>2618</x:v>
      </x:c>
      <x:c r="I1426" s="12">
        <x:f t="shared" si="133"/>
        <x:v>620466</x:v>
      </x:c>
      <x:c r="J1426" s="12">
        <x:f>ROUND(英雄升级调参!$D$73*英雄升级调参!$J$9*英雄升级调参!$E$27,0)</x:f>
        <x:v>26</x:v>
      </x:c>
      <x:c r="K1426" s="12">
        <x:f>ROUND(英雄升级调参!$D$73*英雄升级调参!$C$11*英雄升级调参!$J$9*英雄升级调参!$G$27,0)</x:f>
        <x:v>284</x:v>
      </x:c>
      <x:c r="L1426" s="12" t="n">
        <x:f>养成消耗调参!$C$155</x:f>
        <x:v>144</x:v>
      </x:c>
      <x:c r="M1426" s="12" t="n">
        <x:f>养成消耗调参!$F$155</x:f>
        <x:v>900</x:v>
      </x:c>
      <x:c r="N1426" s="12" t="n">
        <x:f>养成消耗调参!$I$155</x:f>
        <x:v>0</x:v>
      </x:c>
      <x:c r="O1426" s="12" t="n">
        <x:f>养成消耗调参!$J$155</x:f>
        <x:v>552</x:v>
      </x:c>
      <x:c r="P1426" s="12" t="n">
        <x:f>养成消耗调参!$M$155</x:f>
        <x:v>3300</x:v>
      </x:c>
      <x:c r="Q1426" s="12" t="n">
        <x:f>养成消耗调参!$P$155</x:f>
        <x:v>10</x:v>
      </x:c>
      <x:c r="R1426" s="13">
        <x:f>I1426/英雄升级调参!$G$73-1</x:f>
        <x:v>0.0007354720085159805</x:v>
      </x:c>
      <x:c r="S1426" s="6"/>
      <x:c r="T1426" s="6"/>
      <x:c r="U1426" s="6"/>
    </x:row>
    <x:row r="1427" ht="21" customHeight="1">
      <x:c r="A1427" s="14" t="n">
        <x:f>英雄升级调参!$B$27</x:f>
        <x:v>310011</x:v>
      </x:c>
      <x:c r="B1427" s="14" t="str">
        <x:f>英雄升级调参!$C$27</x:f>
        <x:v>鳄不恶</x:v>
      </x:c>
      <x:c r="C1427" s="6" t="str">
        <x:f>英雄升级调参!$D$27</x:f>
        <x:v>生存者</x:v>
      </x:c>
      <x:c r="D1427" s="6" t="s">
        <x:v>18</x:v>
      </x:c>
      <x:c r="E1427" s="6">
        <x:v>9</x:v>
      </x:c>
      <x:c r="F1427" s="6" t="n">
        <x:f>英雄升级调参!$C$74</x:f>
        <x:v>2</x:v>
      </x:c>
      <x:c r="G1427" s="12">
        <x:f t="shared" si="134"/>
        <x:v>263</x:v>
      </x:c>
      <x:c r="H1427" s="12">
        <x:f t="shared" si="135"/>
        <x:v>2902</x:v>
      </x:c>
      <x:c r="I1427" s="12">
        <x:f t="shared" si="133"/>
        <x:v>763226</x:v>
      </x:c>
      <x:c r="J1427" s="12">
        <x:f>ROUND(英雄升级调参!$D$74*英雄升级调参!$J$9*英雄升级调参!$E$27,0)</x:f>
        <x:v>26</x:v>
      </x:c>
      <x:c r="K1427" s="12">
        <x:f>ROUND(英雄升级调参!$D$74*英雄升级调参!$C$11*英雄升级调参!$J$9*英雄升级调参!$G$27,0)</x:f>
        <x:v>284</x:v>
      </x:c>
      <x:c r="L1427" s="12" t="n">
        <x:f>养成消耗调参!$C$156</x:f>
        <x:v>144</x:v>
      </x:c>
      <x:c r="M1427" s="12" t="n">
        <x:f>养成消耗调参!$F$156</x:f>
        <x:v>900</x:v>
      </x:c>
      <x:c r="N1427" s="12" t="n">
        <x:f>养成消耗调参!$I$156</x:f>
        <x:v>0</x:v>
      </x:c>
      <x:c r="O1427" s="12" t="n">
        <x:f>养成消耗调参!$J$156</x:f>
        <x:v>696</x:v>
      </x:c>
      <x:c r="P1427" s="12" t="n">
        <x:f>养成消耗调参!$M$156</x:f>
        <x:v>4200</x:v>
      </x:c>
      <x:c r="Q1427" s="12" t="n">
        <x:f>养成消耗调参!$P$156</x:f>
        <x:v>10</x:v>
      </x:c>
      <x:c r="R1427" s="13">
        <x:f>I1427/英雄升级调参!$G$74-1</x:f>
        <x:v>0.0019244906532240869</x:v>
      </x:c>
      <x:c r="S1427" s="6"/>
      <x:c r="T1427" s="6"/>
      <x:c r="U1427" s="6"/>
    </x:row>
    <x:row r="1428" ht="21" customHeight="1">
      <x:c r="A1428" s="14" t="n">
        <x:f>英雄升级调参!$B$27</x:f>
        <x:v>310011</x:v>
      </x:c>
      <x:c r="B1428" s="14" t="str">
        <x:f>英雄升级调参!$C$27</x:f>
        <x:v>鳄不恶</x:v>
      </x:c>
      <x:c r="C1428" s="6" t="str">
        <x:f>英雄升级调参!$D$27</x:f>
        <x:v>生存者</x:v>
      </x:c>
      <x:c r="D1428" s="6" t="s">
        <x:v>18</x:v>
      </x:c>
      <x:c r="E1428" s="6">
        <x:v>10</x:v>
      </x:c>
      <x:c r="F1428" s="6" t="n">
        <x:f>英雄升级调参!$C$75</x:f>
        <x:v>2</x:v>
      </x:c>
      <x:c r="G1428" s="12">
        <x:f t="shared" si="134"/>
        <x:v>341</x:v>
      </x:c>
      <x:c r="H1428" s="12">
        <x:f t="shared" si="135"/>
        <x:v>3754</x:v>
      </x:c>
      <x:c r="I1428" s="12">
        <x:f t="shared" si="133"/>
        <x:v>1280114</x:v>
      </x:c>
      <x:c r="J1428" s="12">
        <x:f>ROUND(英雄升级调参!$D$75*英雄升级调参!$J$9*英雄升级调参!$E$27,0)*3</x:f>
        <x:v>78</x:v>
      </x:c>
      <x:c r="K1428" s="12">
        <x:f>ROUND(英雄升级调参!$D$75*英雄升级调参!$C$11*英雄升级调参!$J$9*英雄升级调参!$G$27,0)*3</x:f>
        <x:v>852</x:v>
      </x:c>
      <x:c r="L1428" s="12" t="n">
        <x:f>养成消耗调参!$C$157</x:f>
        <x:v>216</x:v>
      </x:c>
      <x:c r="M1428" s="12" t="n">
        <x:f>养成消耗调参!$F$157</x:f>
        <x:v>900</x:v>
      </x:c>
      <x:c r="N1428" s="12" t="n">
        <x:f>养成消耗调参!$I$157</x:f>
        <x:v>30</x:v>
      </x:c>
      <x:c r="O1428" s="12" t="n">
        <x:f>养成消耗调参!$J$157</x:f>
        <x:v>912</x:v>
      </x:c>
      <x:c r="P1428" s="12" t="n">
        <x:f>养成消耗调参!$M$157</x:f>
        <x:v>5100</x:v>
      </x:c>
      <x:c r="Q1428" s="12" t="n">
        <x:f>养成消耗调参!$P$157</x:f>
        <x:v>40</x:v>
      </x:c>
      <x:c r="R1428" s="13">
        <x:f>I1428/英雄升级调参!$G$75-1</x:f>
        <x:v>0.004412745490353087</x:v>
      </x:c>
      <x:c r="S1428" s="6"/>
      <x:c r="T1428" s="6"/>
      <x:c r="U1428" s="6"/>
    </x:row>
    <x:row r="1429" ht="21" customHeight="1">
      <x:c r="A1429" s="14" t="n">
        <x:f>英雄升级调参!$B$27</x:f>
        <x:v>310011</x:v>
      </x:c>
      <x:c r="B1429" s="14" t="str">
        <x:f>英雄升级调参!$C$27</x:f>
        <x:v>鳄不恶</x:v>
      </x:c>
      <x:c r="C1429" s="6" t="str">
        <x:f>英雄升级调参!$D$27</x:f>
        <x:v>生存者</x:v>
      </x:c>
      <x:c r="D1429" s="6" t="s">
        <x:v>18</x:v>
      </x:c>
      <x:c r="E1429" s="6">
        <x:v>11</x:v>
      </x:c>
      <x:c r="F1429" s="6" t="n">
        <x:f>英雄升级调参!$C$76</x:f>
        <x:v>3</x:v>
      </x:c>
      <x:c r="G1429" s="12">
        <x:f t="shared" si="134"/>
        <x:v>375</x:v>
      </x:c>
      <x:c r="H1429" s="12">
        <x:f t="shared" si="135"/>
        <x:v>4133</x:v>
      </x:c>
      <x:c r="I1429" s="12">
        <x:f t="shared" si="133"/>
        <x:v>1549875</x:v>
      </x:c>
      <x:c r="J1429" s="12">
        <x:f>ROUND(英雄升级调参!$D$76*英雄升级调参!$J$9*英雄升级调参!$E$27,0)</x:f>
        <x:v>34</x:v>
      </x:c>
      <x:c r="K1429" s="12">
        <x:f>ROUND(英雄升级调参!$D$76*英雄升级调参!$C$11*英雄升级调参!$J$9*英雄升级调参!$G$27,0)</x:f>
        <x:v>379</x:v>
      </x:c>
      <x:c r="L1429" s="12" t="n">
        <x:f>养成消耗调参!$C$158</x:f>
        <x:v>216</x:v>
      </x:c>
      <x:c r="M1429" s="12" t="n">
        <x:f>养成消耗调参!$F$158</x:f>
        <x:v>900</x:v>
      </x:c>
      <x:c r="N1429" s="12" t="n">
        <x:f>养成消耗调参!$I$158</x:f>
        <x:v>0</x:v>
      </x:c>
      <x:c r="O1429" s="12" t="n">
        <x:f>养成消耗调参!$J$158</x:f>
        <x:v>1128</x:v>
      </x:c>
      <x:c r="P1429" s="12" t="n">
        <x:f>养成消耗调参!$M$158</x:f>
        <x:v>6000</x:v>
      </x:c>
      <x:c r="Q1429" s="12" t="n">
        <x:f>养成消耗调参!$P$158</x:f>
        <x:v>40</x:v>
      </x:c>
      <x:c r="R1429" s="13">
        <x:f>I1429/英雄升级调参!$G$76-1</x:f>
        <x:v>0.003486587805683339</x:v>
      </x:c>
      <x:c r="S1429" s="6"/>
      <x:c r="T1429" s="6"/>
      <x:c r="U1429" s="6"/>
    </x:row>
    <x:row r="1430" ht="21" customHeight="1">
      <x:c r="A1430" s="14" t="n">
        <x:f>英雄升级调参!$B$27</x:f>
        <x:v>310011</x:v>
      </x:c>
      <x:c r="B1430" s="14" t="str">
        <x:f>英雄升级调参!$C$27</x:f>
        <x:v>鳄不恶</x:v>
      </x:c>
      <x:c r="C1430" s="6" t="str">
        <x:f>英雄升级调参!$D$27</x:f>
        <x:v>生存者</x:v>
      </x:c>
      <x:c r="D1430" s="6" t="s">
        <x:v>18</x:v>
      </x:c>
      <x:c r="E1430" s="6">
        <x:v>12</x:v>
      </x:c>
      <x:c r="F1430" s="6" t="n">
        <x:f>英雄升级调参!$C$77</x:f>
        <x:v>3</x:v>
      </x:c>
      <x:c r="G1430" s="12">
        <x:f t="shared" si="134"/>
        <x:v>409</x:v>
      </x:c>
      <x:c r="H1430" s="12">
        <x:f t="shared" si="135"/>
        <x:v>4512</x:v>
      </x:c>
      <x:c r="I1430" s="12">
        <x:f t="shared" si="133"/>
        <x:v>1845408</x:v>
      </x:c>
      <x:c r="J1430" s="12">
        <x:f>ROUND(英雄升级调参!$D$77*英雄升级调参!$J$9*英雄升级调参!$E$27,0)</x:f>
        <x:v>34</x:v>
      </x:c>
      <x:c r="K1430" s="12">
        <x:f>ROUND(英雄升级调参!$D$77*英雄升级调参!$C$11*英雄升级调参!$J$9*英雄升级调参!$G$27,0)</x:f>
        <x:v>379</x:v>
      </x:c>
      <x:c r="L1430" s="12" t="n">
        <x:f>养成消耗调参!$C$159</x:f>
        <x:v>240</x:v>
      </x:c>
      <x:c r="M1430" s="12" t="n">
        <x:f>养成消耗调参!$F$159</x:f>
        <x:v>1500</x:v>
      </x:c>
      <x:c r="N1430" s="12" t="n">
        <x:f>养成消耗调参!$I$159</x:f>
        <x:v>0</x:v>
      </x:c>
      <x:c r="O1430" s="12" t="n">
        <x:f>养成消耗调参!$J$159</x:f>
        <x:v>1368</x:v>
      </x:c>
      <x:c r="P1430" s="12" t="n">
        <x:f>养成消耗调参!$M$159</x:f>
        <x:v>7500</x:v>
      </x:c>
      <x:c r="Q1430" s="12" t="n">
        <x:f>养成消耗调参!$P$159</x:f>
        <x:v>40</x:v>
      </x:c>
      <x:c r="R1430" s="13">
        <x:f>I1430/英雄升级调参!$G$77-1</x:f>
        <x:v>0.0027156992191956775</x:v>
      </x:c>
      <x:c r="S1430" s="6"/>
      <x:c r="T1430" s="6"/>
      <x:c r="U1430" s="6"/>
    </x:row>
    <x:row r="1431" ht="21" customHeight="1">
      <x:c r="A1431" s="14" t="n">
        <x:f>英雄升级调参!$B$27</x:f>
        <x:v>310011</x:v>
      </x:c>
      <x:c r="B1431" s="14" t="str">
        <x:f>英雄升级调参!$C$27</x:f>
        <x:v>鳄不恶</x:v>
      </x:c>
      <x:c r="C1431" s="6" t="str">
        <x:f>英雄升级调参!$D$27</x:f>
        <x:v>生存者</x:v>
      </x:c>
      <x:c r="D1431" s="6" t="s">
        <x:v>18</x:v>
      </x:c>
      <x:c r="E1431" s="6">
        <x:v>13</x:v>
      </x:c>
      <x:c r="F1431" s="6" t="n">
        <x:f>英雄升级调参!$C$78</x:f>
        <x:v>3</x:v>
      </x:c>
      <x:c r="G1431" s="12">
        <x:f t="shared" si="134"/>
        <x:v>443</x:v>
      </x:c>
      <x:c r="H1431" s="12">
        <x:f t="shared" si="135"/>
        <x:v>4891</x:v>
      </x:c>
      <x:c r="I1431" s="12">
        <x:f t="shared" si="133"/>
        <x:v>2166713</x:v>
      </x:c>
      <x:c r="J1431" s="12">
        <x:f>ROUND(英雄升级调参!$D$78*英雄升级调参!$J$9*英雄升级调参!$E$27,0)</x:f>
        <x:v>34</x:v>
      </x:c>
      <x:c r="K1431" s="12">
        <x:f>ROUND(英雄升级调参!$D$78*英雄升级调参!$C$11*英雄升级调参!$J$9*英雄升级调参!$G$27,0)</x:f>
        <x:v>379</x:v>
      </x:c>
      <x:c r="L1431" s="12" t="n">
        <x:f>养成消耗调参!$C$160</x:f>
        <x:v>240</x:v>
      </x:c>
      <x:c r="M1431" s="12" t="n">
        <x:f>养成消耗调参!$F$160</x:f>
        <x:v>1500</x:v>
      </x:c>
      <x:c r="N1431" s="12" t="n">
        <x:f>养成消耗调参!$I$160</x:f>
        <x:v>0</x:v>
      </x:c>
      <x:c r="O1431" s="12" t="n">
        <x:f>养成消耗调参!$J$160</x:f>
        <x:v>1608</x:v>
      </x:c>
      <x:c r="P1431" s="12" t="n">
        <x:f>养成消耗调参!$M$160</x:f>
        <x:v>9000</x:v>
      </x:c>
      <x:c r="Q1431" s="12" t="n">
        <x:f>养成消耗调参!$P$160</x:f>
        <x:v>40</x:v>
      </x:c>
      <x:c r="R1431" s="13">
        <x:f>I1431/英雄升级调参!$G$78-1</x:f>
        <x:v>0.002064053647820474</x:v>
      </x:c>
      <x:c r="S1431" s="6"/>
      <x:c r="T1431" s="6"/>
      <x:c r="U1431" s="6"/>
    </x:row>
    <x:row r="1432" ht="21" customHeight="1">
      <x:c r="A1432" s="14" t="n">
        <x:f>英雄升级调参!$B$27</x:f>
        <x:v>310011</x:v>
      </x:c>
      <x:c r="B1432" s="14" t="str">
        <x:f>英雄升级调参!$C$27</x:f>
        <x:v>鳄不恶</x:v>
      </x:c>
      <x:c r="C1432" s="6" t="str">
        <x:f>英雄升级调参!$D$27</x:f>
        <x:v>生存者</x:v>
      </x:c>
      <x:c r="D1432" s="6" t="s">
        <x:v>18</x:v>
      </x:c>
      <x:c r="E1432" s="6">
        <x:v>14</x:v>
      </x:c>
      <x:c r="F1432" s="6" t="n">
        <x:f>英雄升级调参!$C$79</x:f>
        <x:v>3</x:v>
      </x:c>
      <x:c r="G1432" s="12">
        <x:f t="shared" si="134"/>
        <x:v>477</x:v>
      </x:c>
      <x:c r="H1432" s="12">
        <x:f t="shared" si="135"/>
        <x:v>5270</x:v>
      </x:c>
      <x:c r="I1432" s="12">
        <x:f t="shared" si="133"/>
        <x:v>2513790</x:v>
      </x:c>
      <x:c r="J1432" s="12">
        <x:f>ROUND(英雄升级调参!$D$79*英雄升级调参!$J$9*英雄升级调参!$E$27,0)</x:f>
        <x:v>34</x:v>
      </x:c>
      <x:c r="K1432" s="12">
        <x:f>ROUND(英雄升级调参!$D$79*英雄升级调参!$C$11*英雄升级调参!$J$9*英雄升级调参!$G$27,0)</x:f>
        <x:v>379</x:v>
      </x:c>
      <x:c r="L1432" s="12" t="n">
        <x:f>养成消耗调参!$C$161</x:f>
        <x:v>288</x:v>
      </x:c>
      <x:c r="M1432" s="12" t="n">
        <x:f>养成消耗调参!$F$161</x:f>
        <x:v>1500</x:v>
      </x:c>
      <x:c r="N1432" s="12" t="n">
        <x:f>养成消耗调参!$I$161</x:f>
        <x:v>0</x:v>
      </x:c>
      <x:c r="O1432" s="12" t="n">
        <x:f>养成消耗调参!$J$161</x:f>
        <x:v>1896</x:v>
      </x:c>
      <x:c r="P1432" s="12" t="n">
        <x:f>养成消耗调参!$M$161</x:f>
        <x:v>10500</x:v>
      </x:c>
      <x:c r="Q1432" s="12" t="n">
        <x:f>养成消耗调参!$P$161</x:f>
        <x:v>40</x:v>
      </x:c>
      <x:c r="R1432" s="13">
        <x:f>I1432/英雄升级调参!$G$79-1</x:f>
        <x:v>0.0015059700957367195</x:v>
      </x:c>
      <x:c r="S1432" s="6"/>
      <x:c r="T1432" s="6"/>
      <x:c r="U1432" s="6"/>
    </x:row>
    <x:row r="1433" ht="21" customHeight="1">
      <x:c r="A1433" s="14" t="n">
        <x:f>英雄升级调参!$B$27</x:f>
        <x:v>310011</x:v>
      </x:c>
      <x:c r="B1433" s="14" t="str">
        <x:f>英雄升级调参!$C$27</x:f>
        <x:v>鳄不恶</x:v>
      </x:c>
      <x:c r="C1433" s="6" t="str">
        <x:f>英雄升级调参!$D$27</x:f>
        <x:v>生存者</x:v>
      </x:c>
      <x:c r="D1433" s="6" t="s">
        <x:v>18</x:v>
      </x:c>
      <x:c r="E1433" s="6">
        <x:v>15</x:v>
      </x:c>
      <x:c r="F1433" s="6" t="n">
        <x:f>英雄升级调参!$C$80</x:f>
        <x:v>3</x:v>
      </x:c>
      <x:c r="G1433" s="12">
        <x:f t="shared" si="134"/>
        <x:v>579</x:v>
      </x:c>
      <x:c r="H1433" s="12">
        <x:f t="shared" si="135"/>
        <x:v>6407</x:v>
      </x:c>
      <x:c r="I1433" s="12">
        <x:f t="shared" si="133"/>
        <x:v>3709653</x:v>
      </x:c>
      <x:c r="J1433" s="12">
        <x:f>ROUND(英雄升级调参!$D$80*英雄升级调参!$J$9*英雄升级调参!$E$27,0)*3</x:f>
        <x:v>102</x:v>
      </x:c>
      <x:c r="K1433" s="12">
        <x:f>ROUND(英雄升级调参!$D$80*英雄升级调参!$C$11*英雄升级调参!$J$9*英雄升级调参!$G$27,0)*3</x:f>
        <x:v>1137</x:v>
      </x:c>
      <x:c r="L1433" s="12" t="n">
        <x:f>养成消耗调参!$C$162</x:f>
        <x:v>288</x:v>
      </x:c>
      <x:c r="M1433" s="12" t="n">
        <x:f>养成消耗调参!$F$162</x:f>
        <x:v>1500</x:v>
      </x:c>
      <x:c r="N1433" s="12" t="n">
        <x:f>养成消耗调参!$I$162</x:f>
        <x:v>50</x:v>
      </x:c>
      <x:c r="O1433" s="12" t="n">
        <x:f>养成消耗调参!$J$162</x:f>
        <x:v>2184</x:v>
      </x:c>
      <x:c r="P1433" s="12" t="n">
        <x:f>养成消耗调参!$M$162</x:f>
        <x:v>12000</x:v>
      </x:c>
      <x:c r="Q1433" s="12" t="n">
        <x:f>养成消耗调参!$P$162</x:f>
        <x:v>90</x:v>
      </x:c>
      <x:c r="R1433" s="13">
        <x:f>I1433/英雄升级调参!$G$80-1</x:f>
        <x:v>0.0002272966261416265</x:v>
      </x:c>
      <x:c r="S1433" s="6"/>
      <x:c r="T1433" s="6"/>
      <x:c r="U1433" s="6"/>
    </x:row>
    <x:row r="1434" ht="21" customHeight="1">
      <x:c r="A1434" s="14" t="n">
        <x:f>英雄升级调参!$B$27</x:f>
        <x:v>310011</x:v>
      </x:c>
      <x:c r="B1434" s="14" t="str">
        <x:f>英雄升级调参!$C$27</x:f>
        <x:v>鳄不恶</x:v>
      </x:c>
      <x:c r="C1434" s="6" t="str">
        <x:f>英雄升级调参!$D$27</x:f>
        <x:v>生存者</x:v>
      </x:c>
      <x:c r="D1434" s="6" t="s">
        <x:v>18</x:v>
      </x:c>
      <x:c r="E1434" s="6">
        <x:v>16</x:v>
      </x:c>
      <x:c r="F1434" s="6" t="n">
        <x:f>英雄升级调参!$C$81</x:f>
        <x:v>4</x:v>
      </x:c>
      <x:c r="G1434" s="12">
        <x:f t="shared" si="134"/>
        <x:v>622</x:v>
      </x:c>
      <x:c r="H1434" s="12">
        <x:f t="shared" si="135"/>
        <x:v>6881</x:v>
      </x:c>
      <x:c r="I1434" s="12">
        <x:f t="shared" si="133"/>
        <x:v>4279982</x:v>
      </x:c>
      <x:c r="J1434" s="12">
        <x:f>ROUND(英雄升级调参!$D$81*英雄升级调参!$J$9*英雄升级调参!$E$27,0)</x:f>
        <x:v>43</x:v>
      </x:c>
      <x:c r="K1434" s="12">
        <x:f>ROUND(英雄升级调参!$D$81*英雄升级调参!$C$11*英雄升级调参!$J$9*英雄升级调参!$G$27,0)</x:f>
        <x:v>474</x:v>
      </x:c>
      <x:c r="L1434" s="12" t="n">
        <x:f>养成消耗调参!$C$163</x:f>
        <x:v>336</x:v>
      </x:c>
      <x:c r="M1434" s="12" t="n">
        <x:f>养成消耗调参!$F$163</x:f>
        <x:v>1500</x:v>
      </x:c>
      <x:c r="N1434" s="12" t="n">
        <x:f>养成消耗调参!$I$163</x:f>
        <x:v>0</x:v>
      </x:c>
      <x:c r="O1434" s="12" t="n">
        <x:f>养成消耗调参!$J$163</x:f>
        <x:v>2520</x:v>
      </x:c>
      <x:c r="P1434" s="12" t="n">
        <x:f>养成消耗调参!$M$163</x:f>
        <x:v>13500</x:v>
      </x:c>
      <x:c r="Q1434" s="12" t="n">
        <x:f>养成消耗调参!$P$163</x:f>
        <x:v>90</x:v>
      </x:c>
      <x:c r="R1434" s="13">
        <x:f>I1434/英雄升级调参!$G$81-1</x:f>
        <x:v>0.0006597835947217412</x:v>
      </x:c>
      <x:c r="S1434" s="6"/>
      <x:c r="T1434" s="6"/>
      <x:c r="U1434" s="6"/>
    </x:row>
    <x:row r="1435" ht="21" customHeight="1">
      <x:c r="A1435" s="14" t="n">
        <x:f>英雄升级调参!$B$27</x:f>
        <x:v>310011</x:v>
      </x:c>
      <x:c r="B1435" s="14" t="str">
        <x:f>英雄升级调参!$C$27</x:f>
        <x:v>鳄不恶</x:v>
      </x:c>
      <x:c r="C1435" s="6" t="str">
        <x:f>英雄升级调参!$D$27</x:f>
        <x:v>生存者</x:v>
      </x:c>
      <x:c r="D1435" s="6" t="s">
        <x:v>18</x:v>
      </x:c>
      <x:c r="E1435" s="6">
        <x:v>17</x:v>
      </x:c>
      <x:c r="F1435" s="6" t="n">
        <x:f>英雄升级调参!$C$82</x:f>
        <x:v>4</x:v>
      </x:c>
      <x:c r="G1435" s="12">
        <x:f t="shared" si="134"/>
        <x:v>665</x:v>
      </x:c>
      <x:c r="H1435" s="12">
        <x:f t="shared" si="135"/>
        <x:v>7355</x:v>
      </x:c>
      <x:c r="I1435" s="12">
        <x:f t="shared" si="133"/>
        <x:v>4891075</x:v>
      </x:c>
      <x:c r="J1435" s="12">
        <x:f>ROUND(英雄升级调参!$D$82*英雄升级调参!$J$9*英雄升级调参!$E$27,0)</x:f>
        <x:v>43</x:v>
      </x:c>
      <x:c r="K1435" s="12">
        <x:f>ROUND(英雄升级调参!$D$82*英雄升级调参!$C$11*英雄升级调参!$J$9*英雄升级调参!$G$27,0)</x:f>
        <x:v>474</x:v>
      </x:c>
      <x:c r="L1435" s="12" t="n">
        <x:f>养成消耗调参!$C$164</x:f>
        <x:v>336</x:v>
      </x:c>
      <x:c r="M1435" s="12" t="n">
        <x:f>养成消耗调参!$F$164</x:f>
        <x:v>2100</x:v>
      </x:c>
      <x:c r="N1435" s="12" t="n">
        <x:f>养成消耗调参!$I$164</x:f>
        <x:v>0</x:v>
      </x:c>
      <x:c r="O1435" s="12" t="n">
        <x:f>养成消耗调参!$J$164</x:f>
        <x:v>2856</x:v>
      </x:c>
      <x:c r="P1435" s="12" t="n">
        <x:f>养成消耗调参!$M$164</x:f>
        <x:v>15600</x:v>
      </x:c>
      <x:c r="Q1435" s="12" t="n">
        <x:f>养成消耗调参!$P$164</x:f>
        <x:v>90</x:v>
      </x:c>
      <x:c r="R1435" s="13">
        <x:f>I1435/英雄升级调参!$G$82-1</x:f>
        <x:v>0.001036633162846634</x:v>
      </x:c>
      <x:c r="S1435" s="6"/>
      <x:c r="T1435" s="6"/>
      <x:c r="U1435" s="6"/>
    </x:row>
    <x:row r="1436" ht="21" customHeight="1">
      <x:c r="A1436" s="14" t="n">
        <x:f>英雄升级调参!$B$27</x:f>
        <x:v>310011</x:v>
      </x:c>
      <x:c r="B1436" s="14" t="str">
        <x:f>英雄升级调参!$C$27</x:f>
        <x:v>鳄不恶</x:v>
      </x:c>
      <x:c r="C1436" s="6" t="str">
        <x:f>英雄升级调参!$D$27</x:f>
        <x:v>生存者</x:v>
      </x:c>
      <x:c r="D1436" s="6" t="s">
        <x:v>18</x:v>
      </x:c>
      <x:c r="E1436" s="6">
        <x:v>18</x:v>
      </x:c>
      <x:c r="F1436" s="6" t="n">
        <x:f>英雄升级调参!$C$83</x:f>
        <x:v>4</x:v>
      </x:c>
      <x:c r="G1436" s="12">
        <x:f t="shared" si="134"/>
        <x:v>708</x:v>
      </x:c>
      <x:c r="H1436" s="12">
        <x:f t="shared" si="135"/>
        <x:v>7829</x:v>
      </x:c>
      <x:c r="I1436" s="12">
        <x:f t="shared" si="133"/>
        <x:v>5542932</x:v>
      </x:c>
      <x:c r="J1436" s="12">
        <x:f>ROUND(英雄升级调参!$D$83*英雄升级调参!$J$9*英雄升级调参!$E$27,0)</x:f>
        <x:v>43</x:v>
      </x:c>
      <x:c r="K1436" s="12">
        <x:f>ROUND(英雄升级调参!$D$83*英雄升级调参!$C$11*英雄升级调参!$J$9*英雄升级调参!$G$27,0)</x:f>
        <x:v>474</x:v>
      </x:c>
      <x:c r="L1436" s="12" t="n">
        <x:f>养成消耗调参!$C$165</x:f>
        <x:v>384</x:v>
      </x:c>
      <x:c r="M1436" s="12" t="n">
        <x:f>养成消耗调参!$F$165</x:f>
        <x:v>2100</x:v>
      </x:c>
      <x:c r="N1436" s="12" t="n">
        <x:f>养成消耗调参!$I$165</x:f>
        <x:v>0</x:v>
      </x:c>
      <x:c r="O1436" s="12" t="n">
        <x:f>养成消耗调参!$J$165</x:f>
        <x:v>3240</x:v>
      </x:c>
      <x:c r="P1436" s="12" t="n">
        <x:f>养成消耗调参!$M$165</x:f>
        <x:v>17700</x:v>
      </x:c>
      <x:c r="Q1436" s="12" t="n">
        <x:f>养成消耗调参!$P$165</x:f>
        <x:v>90</x:v>
      </x:c>
      <x:c r="R1436" s="13">
        <x:f>I1436/英雄升级调参!$G$83-1</x:f>
        <x:v>0.0013679327089837212</x:v>
      </x:c>
      <x:c r="S1436" s="6"/>
      <x:c r="T1436" s="6"/>
      <x:c r="U1436" s="6"/>
    </x:row>
    <x:row r="1437" ht="21" customHeight="1">
      <x:c r="A1437" s="14" t="n">
        <x:f>英雄升级调参!$B$27</x:f>
        <x:v>310011</x:v>
      </x:c>
      <x:c r="B1437" s="14" t="str">
        <x:f>英雄升级调参!$C$27</x:f>
        <x:v>鳄不恶</x:v>
      </x:c>
      <x:c r="C1437" s="6" t="str">
        <x:f>英雄升级调参!$D$27</x:f>
        <x:v>生存者</x:v>
      </x:c>
      <x:c r="D1437" s="6" t="s">
        <x:v>18</x:v>
      </x:c>
      <x:c r="E1437" s="6">
        <x:v>19</x:v>
      </x:c>
      <x:c r="F1437" s="6" t="n">
        <x:f>英雄升级调参!$C$84</x:f>
        <x:v>4</x:v>
      </x:c>
      <x:c r="G1437" s="12">
        <x:f t="shared" si="134"/>
        <x:v>751</x:v>
      </x:c>
      <x:c r="H1437" s="12">
        <x:f t="shared" si="135"/>
        <x:v>8303</x:v>
      </x:c>
      <x:c r="I1437" s="12">
        <x:f t="shared" si="133"/>
        <x:v>6235553</x:v>
      </x:c>
      <x:c r="J1437" s="12">
        <x:f>ROUND(英雄升级调参!$D$84*英雄升级调参!$J$9*英雄升级调参!$E$27,0)</x:f>
        <x:v>43</x:v>
      </x:c>
      <x:c r="K1437" s="12">
        <x:f>ROUND(英雄升级调参!$D$84*英雄升级调参!$C$11*英雄升级调参!$J$9*英雄升级调参!$G$27,0)</x:f>
        <x:v>474</x:v>
      </x:c>
      <x:c r="L1437" s="12" t="n">
        <x:f>养成消耗调参!$C$166</x:f>
        <x:v>384</x:v>
      </x:c>
      <x:c r="M1437" s="12" t="n">
        <x:f>养成消耗调参!$F$166</x:f>
        <x:v>2100</x:v>
      </x:c>
      <x:c r="N1437" s="12" t="n">
        <x:f>养成消耗调参!$I$166</x:f>
        <x:v>0</x:v>
      </x:c>
      <x:c r="O1437" s="12" t="n">
        <x:f>养成消耗调参!$J$166</x:f>
        <x:v>3624</x:v>
      </x:c>
      <x:c r="P1437" s="12" t="n">
        <x:f>养成消耗调参!$M$166</x:f>
        <x:v>19800</x:v>
      </x:c>
      <x:c r="Q1437" s="12" t="n">
        <x:f>养成消耗调参!$P$166</x:f>
        <x:v>90</x:v>
      </x:c>
      <x:c r="R1437" s="13">
        <x:f>I1437/英雄升级调参!$G$84-1</x:f>
        <x:v>0.0016614700548254202</x:v>
      </x:c>
      <x:c r="S1437" s="6"/>
      <x:c r="T1437" s="6"/>
      <x:c r="U1437" s="6"/>
    </x:row>
    <x:row r="1438" ht="21" customHeight="1">
      <x:c r="A1438" s="14" t="n">
        <x:f>英雄升级调参!$B$27</x:f>
        <x:v>310011</x:v>
      </x:c>
      <x:c r="B1438" s="14" t="str">
        <x:f>英雄升级调参!$C$27</x:f>
        <x:v>鳄不恶</x:v>
      </x:c>
      <x:c r="C1438" s="6" t="str">
        <x:f>英雄升级调参!$D$27</x:f>
        <x:v>生存者</x:v>
      </x:c>
      <x:c r="D1438" s="6" t="s">
        <x:v>18</x:v>
      </x:c>
      <x:c r="E1438" s="6">
        <x:v>20</x:v>
      </x:c>
      <x:c r="F1438" s="6" t="n">
        <x:f>英雄升级调参!$C$85</x:f>
        <x:v>4</x:v>
      </x:c>
      <x:c r="G1438" s="12">
        <x:f t="shared" si="134"/>
        <x:v>880</x:v>
      </x:c>
      <x:c r="H1438" s="12">
        <x:f t="shared" si="135"/>
        <x:v>9725</x:v>
      </x:c>
      <x:c r="I1438" s="12">
        <x:f t="shared" si="133"/>
        <x:v>8558000</x:v>
      </x:c>
      <x:c r="J1438" s="12">
        <x:f>ROUND(英雄升级调参!$D$85*英雄升级调参!$J$9*英雄升级调参!$E$27,0)*3</x:f>
        <x:v>129</x:v>
      </x:c>
      <x:c r="K1438" s="12">
        <x:f>ROUND(英雄升级调参!$D$85*英雄升级调参!$C$11*英雄升级调参!$J$9*英雄升级调参!$G$27,0)*3</x:f>
        <x:v>1422</x:v>
      </x:c>
      <x:c r="L1438" s="12" t="n">
        <x:f>养成消耗调参!$C$167</x:f>
        <x:v>432</x:v>
      </x:c>
      <x:c r="M1438" s="12" t="n">
        <x:f>养成消耗调参!$F$167</x:f>
        <x:v>2100</x:v>
      </x:c>
      <x:c r="N1438" s="12" t="n">
        <x:f>养成消耗调参!$I$167</x:f>
        <x:v>70</x:v>
      </x:c>
      <x:c r="O1438" s="12" t="n">
        <x:f>养成消耗调参!$J$167</x:f>
        <x:v>4056</x:v>
      </x:c>
      <x:c r="P1438" s="12" t="n">
        <x:f>养成消耗调参!$M$167</x:f>
        <x:v>21900</x:v>
      </x:c>
      <x:c r="Q1438" s="12" t="n">
        <x:f>养成消耗调参!$P$167</x:f>
        <x:v>160</x:v>
      </x:c>
      <x:c r="R1438" s="13">
        <x:f>I1438/英雄升级调参!$G$85-1</x:f>
        <x:v>0.0023706452277880707</x:v>
      </x:c>
      <x:c r="S1438" s="6"/>
      <x:c r="T1438" s="6"/>
      <x:c r="U1438" s="6"/>
    </x:row>
    <x:row r="1439" ht="21" customHeight="1">
      <x:c r="A1439" s="14" t="n">
        <x:f>英雄升级调参!$B$27</x:f>
        <x:v>310011</x:v>
      </x:c>
      <x:c r="B1439" s="14" t="str">
        <x:f>英雄升级调参!$C$27</x:f>
        <x:v>鳄不恶</x:v>
      </x:c>
      <x:c r="C1439" s="6" t="str">
        <x:f>英雄升级调参!$D$27</x:f>
        <x:v>生存者</x:v>
      </x:c>
      <x:c r="D1439" s="6" t="s">
        <x:v>18</x:v>
      </x:c>
      <x:c r="E1439" s="6">
        <x:v>21</x:v>
      </x:c>
      <x:c r="F1439" s="6" t="n">
        <x:f>英雄升级调参!$C$86</x:f>
        <x:v>5</x:v>
      </x:c>
      <x:c r="G1439" s="12">
        <x:f t="shared" si="134"/>
        <x:v>931</x:v>
      </x:c>
      <x:c r="H1439" s="12">
        <x:f t="shared" si="135"/>
        <x:v>10293</x:v>
      </x:c>
      <x:c r="I1439" s="12">
        <x:f t="shared" si="133"/>
        <x:v>9582783</x:v>
      </x:c>
      <x:c r="J1439" s="12">
        <x:f>ROUND(英雄升级调参!$D$86*英雄升级调参!$J$9*英雄升级调参!$E$27,0)</x:f>
        <x:v>51</x:v>
      </x:c>
      <x:c r="K1439" s="12">
        <x:f>ROUND(英雄升级调参!$D$86*英雄升级调参!$C$11*英雄升级调参!$J$9*英雄升级调参!$G$27,0)</x:f>
        <x:v>568</x:v>
      </x:c>
      <x:c r="L1439" s="12" t="n">
        <x:f>养成消耗调参!$C$168</x:f>
        <x:v>432</x:v>
      </x:c>
      <x:c r="M1439" s="12" t="n">
        <x:f>养成消耗调参!$F$168</x:f>
        <x:v>2100</x:v>
      </x:c>
      <x:c r="N1439" s="12" t="n">
        <x:f>养成消耗调参!$I$168</x:f>
        <x:v>0</x:v>
      </x:c>
      <x:c r="O1439" s="12" t="n">
        <x:f>养成消耗调参!$J$168</x:f>
        <x:v>4488</x:v>
      </x:c>
      <x:c r="P1439" s="12" t="n">
        <x:f>养成消耗调参!$M$168</x:f>
        <x:v>24000</x:v>
      </x:c>
      <x:c r="Q1439" s="12" t="n">
        <x:f>养成消耗调参!$P$168</x:f>
        <x:v>160</x:v>
      </x:c>
      <x:c r="R1439" s="13">
        <x:f>I1439/英雄升级调参!$G$86-1</x:f>
        <x:v>0.0018759331049971184</x:v>
      </x:c>
      <x:c r="S1439" s="6"/>
      <x:c r="T1439" s="6"/>
      <x:c r="U1439" s="6"/>
    </x:row>
    <x:row r="1440" ht="21" customHeight="1">
      <x:c r="A1440" s="14" t="n">
        <x:f>英雄升级调参!$B$27</x:f>
        <x:v>310011</x:v>
      </x:c>
      <x:c r="B1440" s="14" t="str">
        <x:f>英雄升级调参!$C$27</x:f>
        <x:v>鳄不恶</x:v>
      </x:c>
      <x:c r="C1440" s="6" t="str">
        <x:f>英雄升级调参!$D$27</x:f>
        <x:v>生存者</x:v>
      </x:c>
      <x:c r="D1440" s="6" t="s">
        <x:v>18</x:v>
      </x:c>
      <x:c r="E1440" s="6">
        <x:v>22</x:v>
      </x:c>
      <x:c r="F1440" s="6" t="n">
        <x:f>英雄升级调参!$C$87</x:f>
        <x:v>5</x:v>
      </x:c>
      <x:c r="G1440" s="12">
        <x:f t="shared" si="134"/>
        <x:v>982</x:v>
      </x:c>
      <x:c r="H1440" s="12">
        <x:f t="shared" si="135"/>
        <x:v>10861</x:v>
      </x:c>
      <x:c r="I1440" s="12">
        <x:f t="shared" si="133"/>
        <x:v>10665502</x:v>
      </x:c>
      <x:c r="J1440" s="12">
        <x:f>ROUND(英雄升级调参!$D$87*英雄升级调参!$J$9*英雄升级调参!$E$27,0)</x:f>
        <x:v>51</x:v>
      </x:c>
      <x:c r="K1440" s="12">
        <x:f>ROUND(英雄升级调参!$D$87*英雄升级调参!$C$11*英雄升级调参!$J$9*英雄升级调参!$G$27,0)</x:f>
        <x:v>568</x:v>
      </x:c>
      <x:c r="L1440" s="12" t="n">
        <x:f>养成消耗调参!$C$169</x:f>
        <x:v>480</x:v>
      </x:c>
      <x:c r="M1440" s="12" t="n">
        <x:f>养成消耗调参!$F$169</x:f>
        <x:v>3000</x:v>
      </x:c>
      <x:c r="N1440" s="12" t="n">
        <x:f>养成消耗调参!$I$169</x:f>
        <x:v>0</x:v>
      </x:c>
      <x:c r="O1440" s="12" t="n">
        <x:f>养成消耗调参!$J$169</x:f>
        <x:v>4968</x:v>
      </x:c>
      <x:c r="P1440" s="12" t="n">
        <x:f>养成消耗调参!$M$169</x:f>
        <x:v>27000</x:v>
      </x:c>
      <x:c r="Q1440" s="12" t="n">
        <x:f>养成消耗调参!$P$169</x:f>
        <x:v>160</x:v>
      </x:c>
      <x:c r="R1440" s="13">
        <x:f>I1440/英雄升级调参!$G$87-1</x:f>
        <x:v>0.0014330193497986699</x:v>
      </x:c>
      <x:c r="S1440" s="6"/>
      <x:c r="T1440" s="6"/>
      <x:c r="U1440" s="6"/>
    </x:row>
    <x:row r="1441" ht="21" customHeight="1">
      <x:c r="A1441" s="14" t="n">
        <x:f>英雄升级调参!$B$27</x:f>
        <x:v>310011</x:v>
      </x:c>
      <x:c r="B1441" s="14" t="str">
        <x:f>英雄升级调参!$C$27</x:f>
        <x:v>鳄不恶</x:v>
      </x:c>
      <x:c r="C1441" s="6" t="str">
        <x:f>英雄升级调参!$D$27</x:f>
        <x:v>生存者</x:v>
      </x:c>
      <x:c r="D1441" s="6" t="s">
        <x:v>18</x:v>
      </x:c>
      <x:c r="E1441" s="6">
        <x:v>23</x:v>
      </x:c>
      <x:c r="F1441" s="6" t="n">
        <x:f>英雄升级调参!$C$88</x:f>
        <x:v>5</x:v>
      </x:c>
      <x:c r="G1441" s="12">
        <x:f t="shared" si="134"/>
        <x:v>1033</x:v>
      </x:c>
      <x:c r="H1441" s="12">
        <x:f t="shared" si="135"/>
        <x:v>11429</x:v>
      </x:c>
      <x:c r="I1441" s="12">
        <x:f t="shared" si="133"/>
        <x:v>11806157</x:v>
      </x:c>
      <x:c r="J1441" s="12">
        <x:f>ROUND(英雄升级调参!$D$88*英雄升级调参!$J$9*英雄升级调参!$E$27,0)</x:f>
        <x:v>51</x:v>
      </x:c>
      <x:c r="K1441" s="12">
        <x:f>ROUND(英雄升级调参!$D$88*英雄升级调参!$C$11*英雄升级调参!$J$9*英雄升级调参!$G$27,0)</x:f>
        <x:v>568</x:v>
      </x:c>
      <x:c r="L1441" s="12" t="n">
        <x:f>养成消耗调参!$C$170</x:f>
        <x:v>480</x:v>
      </x:c>
      <x:c r="M1441" s="12" t="n">
        <x:f>养成消耗调参!$F$170</x:f>
        <x:v>3000</x:v>
      </x:c>
      <x:c r="N1441" s="12" t="n">
        <x:f>养成消耗调参!$I$170</x:f>
        <x:v>0</x:v>
      </x:c>
      <x:c r="O1441" s="12" t="n">
        <x:f>养成消耗调参!$J$170</x:f>
        <x:v>5448</x:v>
      </x:c>
      <x:c r="P1441" s="12" t="n">
        <x:f>养成消耗调参!$M$170</x:f>
        <x:v>30000</x:v>
      </x:c>
      <x:c r="Q1441" s="12" t="n">
        <x:f>养成消耗调参!$P$170</x:f>
        <x:v>160</x:v>
      </x:c>
      <x:c r="R1441" s="13">
        <x:f>I1441/英雄升级调参!$G$88-1</x:f>
        <x:v>0.0010341734243630718</x:v>
      </x:c>
      <x:c r="S1441" s="6"/>
      <x:c r="T1441" s="6"/>
      <x:c r="U1441" s="6"/>
    </x:row>
    <x:row r="1442" ht="21" customHeight="1">
      <x:c r="A1442" s="14" t="n">
        <x:f>英雄升级调参!$B$27</x:f>
        <x:v>310011</x:v>
      </x:c>
      <x:c r="B1442" s="14" t="str">
        <x:f>英雄升级调参!$C$27</x:f>
        <x:v>鳄不恶</x:v>
      </x:c>
      <x:c r="C1442" s="6" t="str">
        <x:f>英雄升级调参!$D$27</x:f>
        <x:v>生存者</x:v>
      </x:c>
      <x:c r="D1442" s="6" t="s">
        <x:v>18</x:v>
      </x:c>
      <x:c r="E1442" s="6">
        <x:v>24</x:v>
      </x:c>
      <x:c r="F1442" s="6" t="n">
        <x:f>英雄升级调参!$C$89</x:f>
        <x:v>5</x:v>
      </x:c>
      <x:c r="G1442" s="12">
        <x:f t="shared" si="134"/>
        <x:v>1084</x:v>
      </x:c>
      <x:c r="H1442" s="12">
        <x:f t="shared" si="135"/>
        <x:v>11997</x:v>
      </x:c>
      <x:c r="I1442" s="12">
        <x:f t="shared" si="133"/>
        <x:v>13004748</x:v>
      </x:c>
      <x:c r="J1442" s="12">
        <x:f>ROUND(英雄升级调参!$D$89*英雄升级调参!$J$9*英雄升级调参!$E$27,0)</x:f>
        <x:v>51</x:v>
      </x:c>
      <x:c r="K1442" s="12">
        <x:f>ROUND(英雄升级调参!$D$89*英雄升级调参!$C$11*英雄升级调参!$J$9*英雄升级调参!$G$27,0)</x:f>
        <x:v>568</x:v>
      </x:c>
      <x:c r="L1442" s="12" t="n">
        <x:f>养成消耗调参!$C$171</x:f>
        <x:v>528</x:v>
      </x:c>
      <x:c r="M1442" s="12" t="n">
        <x:f>养成消耗调参!$F$171</x:f>
        <x:v>3000</x:v>
      </x:c>
      <x:c r="N1442" s="12" t="n">
        <x:f>养成消耗调参!$I$171</x:f>
        <x:v>0</x:v>
      </x:c>
      <x:c r="O1442" s="12" t="n">
        <x:f>养成消耗调参!$J$171</x:f>
        <x:v>5976</x:v>
      </x:c>
      <x:c r="P1442" s="12" t="n">
        <x:f>养成消耗调参!$M$171</x:f>
        <x:v>33000</x:v>
      </x:c>
      <x:c r="Q1442" s="12" t="n">
        <x:f>养成消耗调参!$P$171</x:f>
        <x:v>160</x:v>
      </x:c>
      <x:c r="R1442" s="13">
        <x:f>I1442/英雄升级调参!$G$89-1</x:f>
        <x:v>0.0006731301939058021</x:v>
      </x:c>
      <x:c r="S1442" s="6"/>
      <x:c r="T1442" s="6"/>
      <x:c r="U1442" s="6"/>
    </x:row>
    <x:row r="1443" ht="21" customHeight="1">
      <x:c r="A1443" s="14" t="n">
        <x:f>英雄升级调参!$B$27</x:f>
        <x:v>310011</x:v>
      </x:c>
      <x:c r="B1443" s="14" t="str">
        <x:f>英雄升级调参!$C$27</x:f>
        <x:v>鳄不恶</x:v>
      </x:c>
      <x:c r="C1443" s="6" t="str">
        <x:f>英雄升级调参!$D$27</x:f>
        <x:v>生存者</x:v>
      </x:c>
      <x:c r="D1443" s="6" t="s">
        <x:v>18</x:v>
      </x:c>
      <x:c r="E1443" s="6">
        <x:v>25</x:v>
      </x:c>
      <x:c r="F1443" s="6" t="n">
        <x:f>英雄升级调参!$C$90</x:f>
        <x:v>5</x:v>
      </x:c>
      <x:c r="G1443" s="12">
        <x:f t="shared" si="134"/>
        <x:v>1237</x:v>
      </x:c>
      <x:c r="H1443" s="12">
        <x:f t="shared" si="135"/>
        <x:v>13701</x:v>
      </x:c>
      <x:c r="I1443" s="12">
        <x:f t="shared" si="133"/>
        <x:v>16948137</x:v>
      </x:c>
      <x:c r="J1443" s="12">
        <x:f>ROUND(英雄升级调参!$D$90*英雄升级调参!$J$9*英雄升级调参!$E$27,0)*3</x:f>
        <x:v>153</x:v>
      </x:c>
      <x:c r="K1443" s="12">
        <x:f>ROUND(英雄升级调参!$D$90*英雄升级调参!$C$11*英雄升级调参!$J$9*英雄升级调参!$G$27,0)*3</x:f>
        <x:v>1704</x:v>
      </x:c>
      <x:c r="L1443" s="12" t="n">
        <x:f>养成消耗调参!$C$172</x:f>
        <x:v>528</x:v>
      </x:c>
      <x:c r="M1443" s="12" t="n">
        <x:f>养成消耗调参!$F$172</x:f>
        <x:v>3000</x:v>
      </x:c>
      <x:c r="N1443" s="12" t="n">
        <x:f>养成消耗调参!$I$172</x:f>
        <x:v>90</x:v>
      </x:c>
      <x:c r="O1443" s="12" t="n">
        <x:f>养成消耗调参!$J$172</x:f>
        <x:v>6504</x:v>
      </x:c>
      <x:c r="P1443" s="12" t="n">
        <x:f>养成消耗调参!$M$172</x:f>
        <x:v>36000</x:v>
      </x:c>
      <x:c r="Q1443" s="12" t="n">
        <x:f>养成消耗调参!$P$172</x:f>
        <x:v>250</x:v>
      </x:c>
      <x:c r="R1443" s="13">
        <x:f>I1443/英雄升级调参!$G$90-1</x:f>
        <x:v>-0.0002302377766923991</x:v>
      </x:c>
      <x:c r="S1443" s="6"/>
      <x:c r="T1443" s="6"/>
      <x:c r="U1443" s="6"/>
    </x:row>
    <x:row r="1444" ht="21" customHeight="1">
      <x:c r="A1444" s="14" t="n">
        <x:f>英雄升级调参!$B$27</x:f>
        <x:v>310011</x:v>
      </x:c>
      <x:c r="B1444" s="14" t="str">
        <x:f>英雄升级调参!$C$27</x:f>
        <x:v>鳄不恶</x:v>
      </x:c>
      <x:c r="C1444" s="6" t="str">
        <x:f>英雄升级调参!$D$27</x:f>
        <x:v>生存者</x:v>
      </x:c>
      <x:c r="D1444" s="6" t="s">
        <x:v>18</x:v>
      </x:c>
      <x:c r="E1444" s="6">
        <x:v>26</x:v>
      </x:c>
      <x:c r="F1444" s="6" t="n">
        <x:f>英雄升级调参!$C$91</x:f>
        <x:v>6</x:v>
      </x:c>
      <x:c r="G1444" s="12">
        <x:f t="shared" si="134"/>
        <x:v>1297</x:v>
      </x:c>
      <x:c r="H1444" s="12">
        <x:f t="shared" si="135"/>
        <x:v>14364</x:v>
      </x:c>
      <x:c r="I1444" s="12">
        <x:f t="shared" si="133"/>
        <x:v>18630108</x:v>
      </x:c>
      <x:c r="J1444" s="12">
        <x:f>ROUND(英雄升级调参!$D$91*英雄升级调参!$J$9*英雄升级调参!$E$27,0)</x:f>
        <x:v>60</x:v>
      </x:c>
      <x:c r="K1444" s="12">
        <x:f>ROUND(英雄升级调参!$D$91*英雄升级调参!$C$11*英雄升级调参!$J$9*英雄升级调参!$G$27,0)</x:f>
        <x:v>663</x:v>
      </x:c>
      <x:c r="L1444" s="12" t="n">
        <x:f>养成消耗调参!$C$173</x:f>
        <x:v>576</x:v>
      </x:c>
      <x:c r="M1444" s="12" t="n">
        <x:f>养成消耗调参!$F$173</x:f>
        <x:v>3000</x:v>
      </x:c>
      <x:c r="N1444" s="12" t="n">
        <x:f>养成消耗调参!$I$173</x:f>
        <x:v>0</x:v>
      </x:c>
      <x:c r="O1444" s="12" t="n">
        <x:f>养成消耗调参!$J$173</x:f>
        <x:v>7080</x:v>
      </x:c>
      <x:c r="P1444" s="12" t="n">
        <x:f>养成消耗调参!$M$173</x:f>
        <x:v>39000</x:v>
      </x:c>
      <x:c r="Q1444" s="12" t="n">
        <x:f>养成消耗调参!$P$173</x:f>
        <x:v>250</x:v>
      </x:c>
      <x:c r="R1444" s="13">
        <x:f>I1444/英雄升级调参!$G$91-1</x:f>
        <x:v>-0.00011496196111582258</x:v>
      </x:c>
      <x:c r="S1444" s="6"/>
      <x:c r="T1444" s="6"/>
      <x:c r="U1444" s="6"/>
    </x:row>
    <x:row r="1445" ht="21" customHeight="1">
      <x:c r="A1445" s="14" t="n">
        <x:f>英雄升级调参!$B$27</x:f>
        <x:v>310011</x:v>
      </x:c>
      <x:c r="B1445" s="14" t="str">
        <x:f>英雄升级调参!$C$27</x:f>
        <x:v>鳄不恶</x:v>
      </x:c>
      <x:c r="C1445" s="6" t="str">
        <x:f>英雄升级调参!$D$27</x:f>
        <x:v>生存者</x:v>
      </x:c>
      <x:c r="D1445" s="6" t="s">
        <x:v>18</x:v>
      </x:c>
      <x:c r="E1445" s="6">
        <x:v>27</x:v>
      </x:c>
      <x:c r="F1445" s="6" t="n">
        <x:f>英雄升级调参!$C$92</x:f>
        <x:v>6</x:v>
      </x:c>
      <x:c r="G1445" s="12">
        <x:f t="shared" si="134"/>
        <x:v>1357</x:v>
      </x:c>
      <x:c r="H1445" s="12">
        <x:f t="shared" si="135"/>
        <x:v>15027</x:v>
      </x:c>
      <x:c r="I1445" s="12">
        <x:f t="shared" si="133"/>
        <x:v>20391639</x:v>
      </x:c>
      <x:c r="J1445" s="12">
        <x:f>ROUND(英雄升级调参!$D$92*英雄升级调参!$J$9*英雄升级调参!$E$27,0)</x:f>
        <x:v>60</x:v>
      </x:c>
      <x:c r="K1445" s="12">
        <x:f>ROUND(英雄升级调参!$D$92*英雄升级调参!$C$11*英雄升级调参!$J$9*英雄升级调参!$G$27,0)</x:f>
        <x:v>663</x:v>
      </x:c>
      <x:c r="L1445" s="12" t="n">
        <x:f>养成消耗调参!$C$174</x:f>
        <x:v>576</x:v>
      </x:c>
      <x:c r="M1445" s="12" t="n">
        <x:f>养成消耗调参!$F$174</x:f>
        <x:v>3900</x:v>
      </x:c>
      <x:c r="N1445" s="12" t="n">
        <x:f>养成消耗调参!$I$174</x:f>
        <x:v>0</x:v>
      </x:c>
      <x:c r="O1445" s="12" t="n">
        <x:f>养成消耗调参!$J$174</x:f>
        <x:v>7656</x:v>
      </x:c>
      <x:c r="P1445" s="12" t="n">
        <x:f>养成消耗调参!$M$174</x:f>
        <x:v>42900</x:v>
      </x:c>
      <x:c r="Q1445" s="12" t="n">
        <x:f>养成消耗调参!$P$174</x:f>
        <x:v>250</x:v>
      </x:c>
      <x:c r="R1445" s="13">
        <x:f>I1445/英雄升级调参!$G$92-1</x:f>
        <x:v>-9.856883930070559e-06</x:v>
      </x:c>
      <x:c r="S1445" s="6"/>
      <x:c r="T1445" s="6"/>
      <x:c r="U1445" s="6"/>
    </x:row>
    <x:row r="1446" ht="21" customHeight="1">
      <x:c r="A1446" s="14" t="n">
        <x:f>英雄升级调参!$B$27</x:f>
        <x:v>310011</x:v>
      </x:c>
      <x:c r="B1446" s="14" t="str">
        <x:f>英雄升级调参!$C$27</x:f>
        <x:v>鳄不恶</x:v>
      </x:c>
      <x:c r="C1446" s="6" t="str">
        <x:f>英雄升级调参!$D$27</x:f>
        <x:v>生存者</x:v>
      </x:c>
      <x:c r="D1446" s="6" t="s">
        <x:v>18</x:v>
      </x:c>
      <x:c r="E1446" s="6">
        <x:v>28</x:v>
      </x:c>
      <x:c r="F1446" s="6" t="n">
        <x:f>英雄升级调参!$C$93</x:f>
        <x:v>6</x:v>
      </x:c>
      <x:c r="G1446" s="12">
        <x:f t="shared" si="134"/>
        <x:v>1417</x:v>
      </x:c>
      <x:c r="H1446" s="12">
        <x:f t="shared" si="135"/>
        <x:v>15690</x:v>
      </x:c>
      <x:c r="I1446" s="12">
        <x:f t="shared" si="133"/>
        <x:v>22232730</x:v>
      </x:c>
      <x:c r="J1446" s="12">
        <x:f>ROUND(英雄升级调参!$D$93*英雄升级调参!$J$9*英雄升级调参!$E$27,0)</x:f>
        <x:v>60</x:v>
      </x:c>
      <x:c r="K1446" s="12">
        <x:f>ROUND(英雄升级调参!$D$93*英雄升级调参!$C$11*英雄升级调参!$J$9*英雄升级调参!$G$27,0)</x:f>
        <x:v>663</x:v>
      </x:c>
      <x:c r="L1446" s="12" t="n">
        <x:f>养成消耗调参!$C$175</x:f>
        <x:v>624</x:v>
      </x:c>
      <x:c r="M1446" s="12" t="n">
        <x:f>养成消耗调参!$F$175</x:f>
        <x:v>3900</x:v>
      </x:c>
      <x:c r="N1446" s="12" t="n">
        <x:f>养成消耗调参!$I$175</x:f>
        <x:v>0</x:v>
      </x:c>
      <x:c r="O1446" s="12" t="n">
        <x:f>养成消耗调参!$J$175</x:f>
        <x:v>8280</x:v>
      </x:c>
      <x:c r="P1446" s="12" t="n">
        <x:f>养成消耗调参!$M$175</x:f>
        <x:v>46800</x:v>
      </x:c>
      <x:c r="Q1446" s="12" t="n">
        <x:f>养成消耗调参!$P$175</x:f>
        <x:v>250</x:v>
      </x:c>
      <x:c r="R1446" s="13">
        <x:f>I1446/英雄升级调参!$G$93-1</x:f>
        <x:v>8.636662361838354e-05</x:v>
      </x:c>
      <x:c r="S1446" s="6"/>
      <x:c r="T1446" s="6"/>
      <x:c r="U1446" s="6"/>
    </x:row>
    <x:row r="1447" ht="21" customHeight="1">
      <x:c r="A1447" s="14" t="n">
        <x:f>英雄升级调参!$B$27</x:f>
        <x:v>310011</x:v>
      </x:c>
      <x:c r="B1447" s="14" t="str">
        <x:f>英雄升级调参!$C$27</x:f>
        <x:v>鳄不恶</x:v>
      </x:c>
      <x:c r="C1447" s="6" t="str">
        <x:f>英雄升级调参!$D$27</x:f>
        <x:v>生存者</x:v>
      </x:c>
      <x:c r="D1447" s="6" t="s">
        <x:v>18</x:v>
      </x:c>
      <x:c r="E1447" s="6">
        <x:v>29</x:v>
      </x:c>
      <x:c r="F1447" s="6" t="n">
        <x:f>英雄升级调参!$C$94</x:f>
        <x:v>6</x:v>
      </x:c>
      <x:c r="G1447" s="12">
        <x:f t="shared" si="134"/>
        <x:v>1477</x:v>
      </x:c>
      <x:c r="H1447" s="12">
        <x:f t="shared" si="135"/>
        <x:v>16353</x:v>
      </x:c>
      <x:c r="I1447" s="12">
        <x:f t="shared" si="133"/>
        <x:v>24153381</x:v>
      </x:c>
      <x:c r="J1447" s="12">
        <x:f>ROUND(英雄升级调参!$D$94*英雄升级调参!$J$9*英雄升级调参!$E$27,0)</x:f>
        <x:v>60</x:v>
      </x:c>
      <x:c r="K1447" s="12">
        <x:f>ROUND(英雄升级调参!$D$94*英雄升级调参!$C$11*英雄升级调参!$J$9*英雄升级调参!$G$27,0)</x:f>
        <x:v>663</x:v>
      </x:c>
      <x:c r="L1447" s="12" t="n">
        <x:f>养成消耗调参!$C$176</x:f>
        <x:v>624</x:v>
      </x:c>
      <x:c r="M1447" s="12" t="n">
        <x:f>养成消耗调参!$F$176</x:f>
        <x:v>3900</x:v>
      </x:c>
      <x:c r="N1447" s="12" t="n">
        <x:f>养成消耗调参!$I$176</x:f>
        <x:v>0</x:v>
      </x:c>
      <x:c r="O1447" s="12" t="n">
        <x:f>养成消耗调参!$J$176</x:f>
        <x:v>8904</x:v>
      </x:c>
      <x:c r="P1447" s="12" t="n">
        <x:f>养成消耗调参!$M$176</x:f>
        <x:v>50700</x:v>
      </x:c>
      <x:c r="Q1447" s="12" t="n">
        <x:f>养成消耗调参!$P$176</x:f>
        <x:v>250</x:v>
      </x:c>
      <x:c r="R1447" s="13">
        <x:f>I1447/英雄升级调参!$G$94-1</x:f>
        <x:v>0.0001747886883021188</x:v>
      </x:c>
      <x:c r="S1447" s="6"/>
      <x:c r="T1447" s="6"/>
      <x:c r="U1447" s="6"/>
    </x:row>
    <x:row r="1448" ht="21" customHeight="1">
      <x:c r="A1448" s="14" t="n">
        <x:f>英雄升级调参!$B$27</x:f>
        <x:v>310011</x:v>
      </x:c>
      <x:c r="B1448" s="14" t="str">
        <x:f>英雄升级调参!$C$27</x:f>
        <x:v>鳄不恶</x:v>
      </x:c>
      <x:c r="C1448" s="6" t="str">
        <x:f>英雄升级调参!$D$27</x:f>
        <x:v>生存者</x:v>
      </x:c>
      <x:c r="D1448" s="6" t="s">
        <x:v>18</x:v>
      </x:c>
      <x:c r="E1448" s="6">
        <x:v>30</x:v>
      </x:c>
      <x:c r="F1448" s="6" t="n">
        <x:f>英雄升级调参!$C$95</x:f>
        <x:v>6</x:v>
      </x:c>
      <x:c r="G1448" s="12">
        <x:f t="shared" si="134"/>
        <x:v>1657</x:v>
      </x:c>
      <x:c r="H1448" s="12">
        <x:f t="shared" si="135"/>
        <x:v>18342</x:v>
      </x:c>
      <x:c r="I1448" s="12">
        <x:f t="shared" si="133"/>
        <x:v>30392694</x:v>
      </x:c>
      <x:c r="J1448" s="12">
        <x:f>ROUND(英雄升级调参!$D$95*英雄升级调参!$J$9*英雄升级调参!$E$27,0)*3</x:f>
        <x:v>180</x:v>
      </x:c>
      <x:c r="K1448" s="12">
        <x:f>ROUND(英雄升级调参!$D$95*英雄升级调参!$C$11*英雄升级调参!$J$9*英雄升级调参!$G$27,0)*3</x:f>
        <x:v>1989</x:v>
      </x:c>
      <x:c r="L1448" s="12" t="n">
        <x:f>养成消耗调参!$C$177</x:f>
        <x:v>672</x:v>
      </x:c>
      <x:c r="M1448" s="12" t="n">
        <x:f>养成消耗调参!$F$177</x:f>
        <x:v>3900</x:v>
      </x:c>
      <x:c r="N1448" s="12" t="n">
        <x:f>养成消耗调参!$I$177</x:f>
        <x:v>110</x:v>
      </x:c>
      <x:c r="O1448" s="12" t="n">
        <x:f>养成消耗调参!$J$177</x:f>
        <x:v>9576</x:v>
      </x:c>
      <x:c r="P1448" s="12" t="n">
        <x:f>养成消耗调参!$M$177</x:f>
        <x:v>54600</x:v>
      </x:c>
      <x:c r="Q1448" s="12" t="n">
        <x:f>养成消耗调参!$P$177</x:f>
        <x:v>360</x:v>
      </x:c>
      <x:c r="R1448" s="13">
        <x:f>I1448/英雄升级调参!$G$95-1</x:f>
        <x:v>0.00040170517328719235</x:v>
      </x:c>
      <x:c r="S1448" s="6"/>
      <x:c r="T1448" s="6"/>
      <x:c r="U1448" s="6"/>
    </x:row>
    <x:row r="1449" ht="21" customHeight="1">
      <x:c r="A1449" s="14" t="n">
        <x:f>英雄升级调参!$B$27</x:f>
        <x:v>310011</x:v>
      </x:c>
      <x:c r="B1449" s="14" t="str">
        <x:f>英雄升级调参!$C$27</x:f>
        <x:v>鳄不恶</x:v>
      </x:c>
      <x:c r="C1449" s="6" t="str">
        <x:f>英雄升级调参!$D$27</x:f>
        <x:v>生存者</x:v>
      </x:c>
      <x:c r="D1449" s="6" t="s">
        <x:v>18</x:v>
      </x:c>
      <x:c r="E1449" s="6">
        <x:v>31</x:v>
      </x:c>
      <x:c r="F1449" s="6" t="n">
        <x:f>英雄升级调参!$C$96</x:f>
        <x:v>7</x:v>
      </x:c>
      <x:c r="G1449" s="12">
        <x:f t="shared" si="134"/>
        <x:v>1725</x:v>
      </x:c>
      <x:c r="H1449" s="12">
        <x:f t="shared" si="135"/>
        <x:v>19100</x:v>
      </x:c>
      <x:c r="I1449" s="12">
        <x:f t="shared" si="133"/>
        <x:v>32947500</x:v>
      </x:c>
      <x:c r="J1449" s="12">
        <x:f>ROUND(英雄升级调参!$D$96*英雄升级调参!$J$9*英雄升级调参!$E$27,0)</x:f>
        <x:v>68</x:v>
      </x:c>
      <x:c r="K1449" s="12">
        <x:f>ROUND(英雄升级调参!$D$96*英雄升级调参!$C$11*英雄升级调参!$J$9*英雄升级调参!$G$27,0)</x:f>
        <x:v>758</x:v>
      </x:c>
      <x:c r="L1449" s="12" t="n">
        <x:f>养成消耗调参!$C$178</x:f>
        <x:v>672</x:v>
      </x:c>
      <x:c r="M1449" s="12" t="n">
        <x:f>养成消耗调参!$F$178</x:f>
        <x:v>3900</x:v>
      </x:c>
      <x:c r="N1449" s="12" t="n">
        <x:f>养成消耗调参!$I$178</x:f>
        <x:v>0</x:v>
      </x:c>
      <x:c r="O1449" s="12" t="n">
        <x:f>养成消耗调参!$J$178</x:f>
        <x:v>10248</x:v>
      </x:c>
      <x:c r="P1449" s="12" t="n">
        <x:f>养成消耗调参!$M$178</x:f>
        <x:v>58500</x:v>
      </x:c>
      <x:c r="Q1449" s="12" t="n">
        <x:f>养成消耗调参!$P$178</x:f>
        <x:v>360</x:v>
      </x:c>
      <x:c r="R1449" s="13">
        <x:f>I1449/英雄升级调参!$G$96-1</x:f>
        <x:v>0.00015936980625186337</x:v>
      </x:c>
      <x:c r="S1449" s="6"/>
      <x:c r="T1449" s="6"/>
      <x:c r="U1449" s="6"/>
    </x:row>
    <x:row r="1450" ht="21" customHeight="1">
      <x:c r="A1450" s="14" t="n">
        <x:f>英雄升级调参!$B$27</x:f>
        <x:v>310011</x:v>
      </x:c>
      <x:c r="B1450" s="14" t="str">
        <x:f>英雄升级调参!$C$27</x:f>
        <x:v>鳄不恶</x:v>
      </x:c>
      <x:c r="C1450" s="6" t="str">
        <x:f>英雄升级调参!$D$27</x:f>
        <x:v>生存者</x:v>
      </x:c>
      <x:c r="D1450" s="6" t="s">
        <x:v>18</x:v>
      </x:c>
      <x:c r="E1450" s="6">
        <x:v>32</x:v>
      </x:c>
      <x:c r="F1450" s="6" t="n">
        <x:f>英雄升级调参!$C$97</x:f>
        <x:v>7</x:v>
      </x:c>
      <x:c r="G1450" s="12">
        <x:f t="shared" si="134"/>
        <x:v>1793</x:v>
      </x:c>
      <x:c r="H1450" s="12">
        <x:f t="shared" si="135"/>
        <x:v>19858</x:v>
      </x:c>
      <x:c r="I1450" s="12">
        <x:f t="shared" si="133"/>
        <x:v>35605394</x:v>
      </x:c>
      <x:c r="J1450" s="12">
        <x:f>ROUND(英雄升级调参!$D$97*英雄升级调参!$J$9*英雄升级调参!$E$27,0)</x:f>
        <x:v>68</x:v>
      </x:c>
      <x:c r="K1450" s="12">
        <x:f>ROUND(英雄升级调参!$D$97*英雄升级调参!$C$11*英雄升级调参!$J$9*英雄升级调参!$G$27,0)</x:f>
        <x:v>758</x:v>
      </x:c>
      <x:c r="L1450" s="12" t="n">
        <x:f>养成消耗调参!$C$179</x:f>
        <x:v>720</x:v>
      </x:c>
      <x:c r="M1450" s="12" t="n">
        <x:f>养成消耗调参!$F$179</x:f>
        <x:v>4800</x:v>
      </x:c>
      <x:c r="N1450" s="12" t="n">
        <x:f>养成消耗调参!$I$179</x:f>
        <x:v>0</x:v>
      </x:c>
      <x:c r="O1450" s="12" t="n">
        <x:f>养成消耗调参!$J$179</x:f>
        <x:v>10968</x:v>
      </x:c>
      <x:c r="P1450" s="12" t="n">
        <x:f>养成消耗调参!$M$179</x:f>
        <x:v>63300</x:v>
      </x:c>
      <x:c r="Q1450" s="12" t="n">
        <x:f>养成消耗调参!$P$179</x:f>
        <x:v>360</x:v>
      </x:c>
      <x:c r="R1450" s="13">
        <x:f>I1450/英雄升级调参!$G$97-1</x:f>
        <x:v>-6.448045352003273e-05</x:v>
      </x:c>
      <x:c r="S1450" s="6"/>
      <x:c r="T1450" s="6"/>
      <x:c r="U1450" s="6"/>
    </x:row>
    <x:row r="1451" ht="21" customHeight="1">
      <x:c r="A1451" s="14" t="n">
        <x:f>英雄升级调参!$B$27</x:f>
        <x:v>310011</x:v>
      </x:c>
      <x:c r="B1451" s="14" t="str">
        <x:f>英雄升级调参!$C$27</x:f>
        <x:v>鳄不恶</x:v>
      </x:c>
      <x:c r="C1451" s="6" t="str">
        <x:f>英雄升级调参!$D$27</x:f>
        <x:v>生存者</x:v>
      </x:c>
      <x:c r="D1451" s="6" t="s">
        <x:v>18</x:v>
      </x:c>
      <x:c r="E1451" s="6">
        <x:v>33</x:v>
      </x:c>
      <x:c r="F1451" s="6" t="n">
        <x:f>英雄升级调参!$C$98</x:f>
        <x:v>7</x:v>
      </x:c>
      <x:c r="G1451" s="12">
        <x:f t="shared" si="134"/>
        <x:v>1861</x:v>
      </x:c>
      <x:c r="H1451" s="12">
        <x:f t="shared" si="135"/>
        <x:v>20616</x:v>
      </x:c>
      <x:c r="I1451" s="12">
        <x:f t="shared" si="133"/>
        <x:v>38366376</x:v>
      </x:c>
      <x:c r="J1451" s="12">
        <x:f>ROUND(英雄升级调参!$D$98*英雄升级调参!$J$9*英雄升级调参!$E$27,0)</x:f>
        <x:v>68</x:v>
      </x:c>
      <x:c r="K1451" s="12">
        <x:f>ROUND(英雄升级调参!$D$98*英雄升级调参!$C$11*英雄升级调参!$J$9*英雄升级调参!$G$27,0)</x:f>
        <x:v>758</x:v>
      </x:c>
      <x:c r="L1451" s="12" t="n">
        <x:f>养成消耗调参!$C$180</x:f>
        <x:v>720</x:v>
      </x:c>
      <x:c r="M1451" s="12" t="n">
        <x:f>养成消耗调参!$F$180</x:f>
        <x:v>4800</x:v>
      </x:c>
      <x:c r="N1451" s="12" t="n">
        <x:f>养成消耗调参!$I$180</x:f>
        <x:v>0</x:v>
      </x:c>
      <x:c r="O1451" s="12" t="n">
        <x:f>养成消耗调参!$J$180</x:f>
        <x:v>11688</x:v>
      </x:c>
      <x:c r="P1451" s="12" t="n">
        <x:f>养成消耗调参!$M$180</x:f>
        <x:v>68100</x:v>
      </x:c>
      <x:c r="Q1451" s="12" t="n">
        <x:f>养成消耗调参!$P$180</x:f>
        <x:v>360</x:v>
      </x:c>
      <x:c r="R1451" s="13">
        <x:f>I1451/英雄升级调参!$G$98-1</x:f>
        <x:v>-0.0002718829418077995</x:v>
      </x:c>
      <x:c r="S1451" s="6"/>
      <x:c r="T1451" s="6"/>
      <x:c r="U1451" s="6"/>
    </x:row>
    <x:row r="1452" ht="21" customHeight="1">
      <x:c r="A1452" s="14" t="n">
        <x:f>英雄升级调参!$B$27</x:f>
        <x:v>310011</x:v>
      </x:c>
      <x:c r="B1452" s="14" t="str">
        <x:f>英雄升级调参!$C$27</x:f>
        <x:v>鳄不恶</x:v>
      </x:c>
      <x:c r="C1452" s="6" t="str">
        <x:f>英雄升级调参!$D$27</x:f>
        <x:v>生存者</x:v>
      </x:c>
      <x:c r="D1452" s="6" t="s">
        <x:v>18</x:v>
      </x:c>
      <x:c r="E1452" s="6">
        <x:v>34</x:v>
      </x:c>
      <x:c r="F1452" s="6" t="n">
        <x:f>英雄升级调参!$C$99</x:f>
        <x:v>7</x:v>
      </x:c>
      <x:c r="G1452" s="12">
        <x:f t="shared" ref="G1452:G1468" si="136">G1451+J1452</x:f>
        <x:v>1929</x:v>
      </x:c>
      <x:c r="H1452" s="12">
        <x:f t="shared" ref="H1452:H1468" si="137">H1451+K1452</x:f>
        <x:v>21374</x:v>
      </x:c>
      <x:c r="I1452" s="12">
        <x:f t="shared" si="133"/>
        <x:v>41230446</x:v>
      </x:c>
      <x:c r="J1452" s="12">
        <x:f>ROUND(英雄升级调参!$D$99*英雄升级调参!$J$9*英雄升级调参!$E$27,0)</x:f>
        <x:v>68</x:v>
      </x:c>
      <x:c r="K1452" s="12">
        <x:f>ROUND(英雄升级调参!$D$99*英雄升级调参!$C$11*英雄升级调参!$J$9*英雄升级调参!$G$27,0)</x:f>
        <x:v>758</x:v>
      </x:c>
      <x:c r="L1452" s="12" t="n">
        <x:f>养成消耗调参!$C$181</x:f>
        <x:v>768</x:v>
      </x:c>
      <x:c r="M1452" s="12" t="n">
        <x:f>养成消耗调参!$F$181</x:f>
        <x:v>4800</x:v>
      </x:c>
      <x:c r="N1452" s="12" t="n">
        <x:f>养成消耗调参!$I$181</x:f>
        <x:v>0</x:v>
      </x:c>
      <x:c r="O1452" s="12" t="n">
        <x:f>养成消耗调参!$J$181</x:f>
        <x:v>12456</x:v>
      </x:c>
      <x:c r="P1452" s="12" t="n">
        <x:f>养成消耗调参!$M$181</x:f>
        <x:v>72900</x:v>
      </x:c>
      <x:c r="Q1452" s="12" t="n">
        <x:f>养成消耗调参!$P$181</x:f>
        <x:v>360</x:v>
      </x:c>
      <x:c r="R1452" s="13">
        <x:f>I1452/英雄升级调参!$G$99-1</x:f>
        <x:v>-0.00046458621063327765</x:v>
      </x:c>
      <x:c r="S1452" s="6"/>
      <x:c r="T1452" s="6"/>
      <x:c r="U1452" s="6"/>
    </x:row>
    <x:row r="1453" ht="21" customHeight="1">
      <x:c r="A1453" s="14" t="n">
        <x:f>英雄升级调参!$B$27</x:f>
        <x:v>310011</x:v>
      </x:c>
      <x:c r="B1453" s="14" t="str">
        <x:f>英雄升级调参!$C$27</x:f>
        <x:v>鳄不恶</x:v>
      </x:c>
      <x:c r="C1453" s="6" t="str">
        <x:f>英雄升级调参!$D$27</x:f>
        <x:v>生存者</x:v>
      </x:c>
      <x:c r="D1453" s="6" t="s">
        <x:v>18</x:v>
      </x:c>
      <x:c r="E1453" s="6">
        <x:v>35</x:v>
      </x:c>
      <x:c r="F1453" s="6" t="n">
        <x:f>英雄升级调参!$C$100</x:f>
        <x:v>7</x:v>
      </x:c>
      <x:c r="G1453" s="12">
        <x:f t="shared" si="136"/>
        <x:v>2133</x:v>
      </x:c>
      <x:c r="H1453" s="12">
        <x:f t="shared" si="137"/>
        <x:v>23648</x:v>
      </x:c>
      <x:c r="I1453" s="12">
        <x:f t="shared" si="133"/>
        <x:v>50441184</x:v>
      </x:c>
      <x:c r="J1453" s="12">
        <x:f>ROUND(英雄升级调参!$D$100*英雄升级调参!$J$9*英雄升级调参!$E$27,0)*3</x:f>
        <x:v>204</x:v>
      </x:c>
      <x:c r="K1453" s="12">
        <x:f>ROUND(英雄升级调参!$D$100*英雄升级调参!$C$11*英雄升级调参!$J$9*英雄升级调参!$G$27,0)*3</x:f>
        <x:v>2274</x:v>
      </x:c>
      <x:c r="L1453" s="12" t="n">
        <x:f>养成消耗调参!$C$182</x:f>
        <x:v>768</x:v>
      </x:c>
      <x:c r="M1453" s="12" t="n">
        <x:f>养成消耗调参!$F$182</x:f>
        <x:v>4800</x:v>
      </x:c>
      <x:c r="N1453" s="12" t="n">
        <x:f>养成消耗调参!$I$182</x:f>
        <x:v>130</x:v>
      </x:c>
      <x:c r="O1453" s="12" t="n">
        <x:f>养成消耗调参!$J$182</x:f>
        <x:v>13224</x:v>
      </x:c>
      <x:c r="P1453" s="12" t="n">
        <x:f>养成消耗调参!$M$182</x:f>
        <x:v>77700</x:v>
      </x:c>
      <x:c r="Q1453" s="12" t="n">
        <x:f>养成消耗调参!$P$182</x:f>
        <x:v>490</x:v>
      </x:c>
      <x:c r="R1453" s="13">
        <x:f>I1453/英雄升级调参!$G$100-1</x:f>
        <x:v>-0.0009686257243748386</x:v>
      </x:c>
      <x:c r="S1453" s="6"/>
      <x:c r="T1453" s="6"/>
      <x:c r="U1453" s="6"/>
    </x:row>
    <x:row r="1454" ht="21" customHeight="1">
      <x:c r="A1454" s="14" t="n">
        <x:f>英雄升级调参!$B$27</x:f>
        <x:v>310011</x:v>
      </x:c>
      <x:c r="B1454" s="14" t="str">
        <x:f>英雄升级调参!$C$27</x:f>
        <x:v>鳄不恶</x:v>
      </x:c>
      <x:c r="C1454" s="6" t="str">
        <x:f>英雄升级调参!$D$27</x:f>
        <x:v>生存者</x:v>
      </x:c>
      <x:c r="D1454" s="6" t="s">
        <x:v>18</x:v>
      </x:c>
      <x:c r="E1454" s="6">
        <x:v>36</x:v>
      </x:c>
      <x:c r="F1454" s="6" t="n">
        <x:f>英雄升级调参!$C$101</x:f>
        <x:v>8</x:v>
      </x:c>
      <x:c r="G1454" s="12">
        <x:f t="shared" si="136"/>
        <x:v>2210</x:v>
      </x:c>
      <x:c r="H1454" s="12">
        <x:f t="shared" si="137"/>
        <x:v>24501</x:v>
      </x:c>
      <x:c r="I1454" s="12">
        <x:f t="shared" si="133"/>
        <x:v>54147210</x:v>
      </x:c>
      <x:c r="J1454" s="12">
        <x:f>ROUND(英雄升级调参!$D$101*英雄升级调参!$J$9*英雄升级调参!$E$27,0)</x:f>
        <x:v>77</x:v>
      </x:c>
      <x:c r="K1454" s="12">
        <x:f>ROUND(英雄升级调参!$D$101*英雄升级调参!$C$11*英雄升级调参!$J$9*英雄升级调参!$G$27,0)</x:f>
        <x:v>853</x:v>
      </x:c>
      <x:c r="L1454" s="12" t="n">
        <x:f>养成消耗调参!$C$183</x:f>
        <x:v>816</x:v>
      </x:c>
      <x:c r="M1454" s="12" t="n">
        <x:f>养成消耗调参!$F$183</x:f>
        <x:v>4800</x:v>
      </x:c>
      <x:c r="N1454" s="12" t="n">
        <x:f>养成消耗调参!$I$183</x:f>
        <x:v>0</x:v>
      </x:c>
      <x:c r="O1454" s="12" t="n">
        <x:f>养成消耗调参!$J$183</x:f>
        <x:v>14040</x:v>
      </x:c>
      <x:c r="P1454" s="12" t="n">
        <x:f>养成消耗调参!$M$183</x:f>
        <x:v>82500</x:v>
      </x:c>
      <x:c r="Q1454" s="12" t="n">
        <x:f>养成消耗调参!$P$183</x:f>
        <x:v>490</x:v>
      </x:c>
      <x:c r="R1454" s="13">
        <x:f>I1454/英雄升级调参!$G$101-1</x:f>
        <x:v>-0.0008973013426860632</x:v>
      </x:c>
      <x:c r="S1454" s="6"/>
      <x:c r="T1454" s="6"/>
      <x:c r="U1454" s="6"/>
    </x:row>
    <x:row r="1455" ht="21" customHeight="1">
      <x:c r="A1455" s="14" t="n">
        <x:f>英雄升级调参!$B$27</x:f>
        <x:v>310011</x:v>
      </x:c>
      <x:c r="B1455" s="14" t="str">
        <x:f>英雄升级调参!$C$27</x:f>
        <x:v>鳄不恶</x:v>
      </x:c>
      <x:c r="C1455" s="6" t="str">
        <x:f>英雄升级调参!$D$27</x:f>
        <x:v>生存者</x:v>
      </x:c>
      <x:c r="D1455" s="6" t="s">
        <x:v>18</x:v>
      </x:c>
      <x:c r="E1455" s="6">
        <x:v>37</x:v>
      </x:c>
      <x:c r="F1455" s="6" t="n">
        <x:f>英雄升级调参!$C$102</x:f>
        <x:v>8</x:v>
      </x:c>
      <x:c r="G1455" s="12">
        <x:f t="shared" si="136"/>
        <x:v>2287</x:v>
      </x:c>
      <x:c r="H1455" s="12">
        <x:f t="shared" si="137"/>
        <x:v>25354</x:v>
      </x:c>
      <x:c r="I1455" s="12">
        <x:f t="shared" si="133"/>
        <x:v>57984598</x:v>
      </x:c>
      <x:c r="J1455" s="12">
        <x:f>ROUND(英雄升级调参!$D$102*英雄升级调参!$J$9*英雄升级调参!$E$27,0)</x:f>
        <x:v>77</x:v>
      </x:c>
      <x:c r="K1455" s="12">
        <x:f>ROUND(英雄升级调参!$D$102*英雄升级调参!$C$11*英雄升级调参!$J$9*英雄升级调参!$G$27,0)</x:f>
        <x:v>853</x:v>
      </x:c>
      <x:c r="L1455" s="12" t="n">
        <x:f>养成消耗调参!$C$184</x:f>
        <x:v>816</x:v>
      </x:c>
      <x:c r="M1455" s="12" t="n">
        <x:f>养成消耗调参!$F$184</x:f>
        <x:v>5700</x:v>
      </x:c>
      <x:c r="N1455" s="12" t="n">
        <x:f>养成消耗调参!$I$184</x:f>
        <x:v>0</x:v>
      </x:c>
      <x:c r="O1455" s="12" t="n">
        <x:f>养成消耗调参!$J$184</x:f>
        <x:v>14856</x:v>
      </x:c>
      <x:c r="P1455" s="12" t="n">
        <x:f>养成消耗调参!$M$184</x:f>
        <x:v>88200</x:v>
      </x:c>
      <x:c r="Q1455" s="12" t="n">
        <x:f>养成消耗调参!$P$184</x:f>
        <x:v>490</x:v>
      </x:c>
      <x:c r="R1455" s="13">
        <x:f>I1455/英雄升级调参!$G$102-1</x:f>
        <x:v>-0.000830771420511911</x:v>
      </x:c>
      <x:c r="S1455" s="6"/>
      <x:c r="T1455" s="6"/>
      <x:c r="U1455" s="6"/>
    </x:row>
    <x:row r="1456" ht="21" customHeight="1">
      <x:c r="A1456" s="14" t="n">
        <x:f>英雄升级调参!$B$27</x:f>
        <x:v>310011</x:v>
      </x:c>
      <x:c r="B1456" s="14" t="str">
        <x:f>英雄升级调参!$C$27</x:f>
        <x:v>鳄不恶</x:v>
      </x:c>
      <x:c r="C1456" s="6" t="str">
        <x:f>英雄升级调参!$D$27</x:f>
        <x:v>生存者</x:v>
      </x:c>
      <x:c r="D1456" s="6" t="s">
        <x:v>18</x:v>
      </x:c>
      <x:c r="E1456" s="6">
        <x:v>38</x:v>
      </x:c>
      <x:c r="F1456" s="6" t="n">
        <x:f>英雄升级调参!$C$103</x:f>
        <x:v>8</x:v>
      </x:c>
      <x:c r="G1456" s="12">
        <x:f t="shared" si="136"/>
        <x:v>2364</x:v>
      </x:c>
      <x:c r="H1456" s="12">
        <x:f t="shared" si="137"/>
        <x:v>26207</x:v>
      </x:c>
      <x:c r="I1456" s="12">
        <x:f t="shared" si="133"/>
        <x:v>61953348</x:v>
      </x:c>
      <x:c r="J1456" s="12">
        <x:f>ROUND(英雄升级调参!$D$103*英雄升级调参!$J$9*英雄升级调参!$E$27,0)</x:f>
        <x:v>77</x:v>
      </x:c>
      <x:c r="K1456" s="12">
        <x:f>ROUND(英雄升级调参!$D$103*英雄升级调参!$C$11*英雄升级调参!$J$9*英雄升级调参!$G$27,0)</x:f>
        <x:v>853</x:v>
      </x:c>
      <x:c r="L1456" s="12" t="n">
        <x:f>养成消耗调参!$C$185</x:f>
        <x:v>864</x:v>
      </x:c>
      <x:c r="M1456" s="12" t="n">
        <x:f>养成消耗调参!$F$185</x:f>
        <x:v>5700</x:v>
      </x:c>
      <x:c r="N1456" s="12" t="n">
        <x:f>养成消耗调参!$I$185</x:f>
        <x:v>0</x:v>
      </x:c>
      <x:c r="O1456" s="12" t="n">
        <x:f>养成消耗调参!$J$185</x:f>
        <x:v>15720</x:v>
      </x:c>
      <x:c r="P1456" s="12" t="n">
        <x:f>养成消耗调参!$M$185</x:f>
        <x:v>93900</x:v>
      </x:c>
      <x:c r="Q1456" s="12" t="n">
        <x:f>养成消耗调参!$P$185</x:f>
        <x:v>490</x:v>
      </x:c>
      <x:c r="R1456" s="13">
        <x:f>I1456/英雄升级调参!$G$103-1</x:f>
        <x:v>-0.0007685682488992596</x:v>
      </x:c>
      <x:c r="S1456" s="6"/>
      <x:c r="T1456" s="6"/>
      <x:c r="U1456" s="6"/>
    </x:row>
    <x:row r="1457" ht="21" customHeight="1">
      <x:c r="A1457" s="14" t="n">
        <x:f>英雄升级调参!$B$27</x:f>
        <x:v>310011</x:v>
      </x:c>
      <x:c r="B1457" s="14" t="str">
        <x:f>英雄升级调参!$C$27</x:f>
        <x:v>鳄不恶</x:v>
      </x:c>
      <x:c r="C1457" s="6" t="str">
        <x:f>英雄升级调参!$D$27</x:f>
        <x:v>生存者</x:v>
      </x:c>
      <x:c r="D1457" s="6" t="s">
        <x:v>18</x:v>
      </x:c>
      <x:c r="E1457" s="6">
        <x:v>39</x:v>
      </x:c>
      <x:c r="F1457" s="6" t="n">
        <x:f>英雄升级调参!$C$104</x:f>
        <x:v>8</x:v>
      </x:c>
      <x:c r="G1457" s="12">
        <x:f t="shared" si="136"/>
        <x:v>2441</x:v>
      </x:c>
      <x:c r="H1457" s="12">
        <x:f t="shared" si="137"/>
        <x:v>27060</x:v>
      </x:c>
      <x:c r="I1457" s="12">
        <x:f t="shared" si="133"/>
        <x:v>66053460</x:v>
      </x:c>
      <x:c r="J1457" s="12">
        <x:f>ROUND(英雄升级调参!$D$104*英雄升级调参!$J$9*英雄升级调参!$E$27,0)</x:f>
        <x:v>77</x:v>
      </x:c>
      <x:c r="K1457" s="12">
        <x:f>ROUND(英雄升级调参!$D$104*英雄升级调参!$C$11*英雄升级调参!$J$9*英雄升级调参!$G$27,0)</x:f>
        <x:v>853</x:v>
      </x:c>
      <x:c r="L1457" s="12" t="n">
        <x:f>养成消耗调参!$C$186</x:f>
        <x:v>864</x:v>
      </x:c>
      <x:c r="M1457" s="12" t="n">
        <x:f>养成消耗调参!$F$186</x:f>
        <x:v>5700</x:v>
      </x:c>
      <x:c r="N1457" s="12" t="n">
        <x:f>养成消耗调参!$I$186</x:f>
        <x:v>0</x:v>
      </x:c>
      <x:c r="O1457" s="12" t="n">
        <x:f>养成消耗调参!$J$186</x:f>
        <x:v>16584</x:v>
      </x:c>
      <x:c r="P1457" s="12" t="n">
        <x:f>养成消耗调参!$M$186</x:f>
        <x:v>99600</x:v>
      </x:c>
      <x:c r="Q1457" s="12" t="n">
        <x:f>养成消耗调参!$P$186</x:f>
        <x:v>490</x:v>
      </x:c>
      <x:c r="R1457" s="13">
        <x:f>I1457/英雄升级调参!$G$104-1</x:f>
        <x:v>-0.0007102830375786962</x:v>
      </x:c>
      <x:c r="S1457" s="6"/>
      <x:c r="T1457" s="6"/>
      <x:c r="U1457" s="6"/>
    </x:row>
    <x:row r="1458" ht="21" customHeight="1">
      <x:c r="A1458" s="14" t="n">
        <x:f>英雄升级调参!$B$27</x:f>
        <x:v>310011</x:v>
      </x:c>
      <x:c r="B1458" s="14" t="str">
        <x:f>英雄升级调参!$C$27</x:f>
        <x:v>鳄不恶</x:v>
      </x:c>
      <x:c r="C1458" s="6" t="str">
        <x:f>英雄升级调参!$D$27</x:f>
        <x:v>生存者</x:v>
      </x:c>
      <x:c r="D1458" s="6" t="s">
        <x:v>18</x:v>
      </x:c>
      <x:c r="E1458" s="6">
        <x:v>40</x:v>
      </x:c>
      <x:c r="F1458" s="6" t="n">
        <x:f>英雄升级调参!$C$105</x:f>
        <x:v>8</x:v>
      </x:c>
      <x:c r="G1458" s="12">
        <x:f t="shared" si="136"/>
        <x:v>2672</x:v>
      </x:c>
      <x:c r="H1458" s="12">
        <x:f t="shared" si="137"/>
        <x:v>29619</x:v>
      </x:c>
      <x:c r="I1458" s="12">
        <x:f t="shared" si="133"/>
        <x:v>79141968</x:v>
      </x:c>
      <x:c r="J1458" s="12">
        <x:f>ROUND(英雄升级调参!$D$105*英雄升级调参!$J$9*英雄升级调参!$E$27,0)*3</x:f>
        <x:v>231</x:v>
      </x:c>
      <x:c r="K1458" s="12">
        <x:f>ROUND(英雄升级调参!$D$105*英雄升级调参!$C$11*英雄升级调参!$J$9*英雄升级调参!$G$27,0)*3</x:f>
        <x:v>2559</x:v>
      </x:c>
      <x:c r="L1458" s="12" t="n">
        <x:f>养成消耗调参!$C$187</x:f>
        <x:v>912</x:v>
      </x:c>
      <x:c r="M1458" s="12" t="n">
        <x:f>养成消耗调参!$F$187</x:f>
        <x:v>5700</x:v>
      </x:c>
      <x:c r="N1458" s="12" t="n">
        <x:f>养成消耗调参!$I$187</x:f>
        <x:v>150</x:v>
      </x:c>
      <x:c r="O1458" s="12" t="n">
        <x:f>养成消耗调参!$J$187</x:f>
        <x:v>17496</x:v>
      </x:c>
      <x:c r="P1458" s="12" t="n">
        <x:f>养成消耗调参!$M$187</x:f>
        <x:v>105300</x:v>
      </x:c>
      <x:c r="Q1458" s="12" t="n">
        <x:f>养成消耗调参!$P$187</x:f>
        <x:v>640</x:v>
      </x:c>
      <x:c r="R1458" s="13">
        <x:f>I1458/英雄升级调参!$G$105-1</x:f>
        <x:v>-0.0005555530298553268</x:v>
      </x:c>
      <x:c r="S1458" s="6"/>
      <x:c r="T1458" s="6"/>
      <x:c r="U1458" s="6"/>
    </x:row>
    <x:row r="1459" ht="21" customHeight="1">
      <x:c r="A1459" s="14" t="n">
        <x:f>英雄升级调参!$B$27</x:f>
        <x:v>310011</x:v>
      </x:c>
      <x:c r="B1459" s="14" t="str">
        <x:f>英雄升级调参!$C$27</x:f>
        <x:v>鳄不恶</x:v>
      </x:c>
      <x:c r="C1459" s="6" t="str">
        <x:f>英雄升级调参!$D$27</x:f>
        <x:v>生存者</x:v>
      </x:c>
      <x:c r="D1459" s="6" t="s">
        <x:v>18</x:v>
      </x:c>
      <x:c r="E1459" s="6">
        <x:v>41</x:v>
      </x:c>
      <x:c r="F1459" s="6" t="n">
        <x:f>英雄升级调参!$C$106</x:f>
        <x:v>9</x:v>
      </x:c>
      <x:c r="G1459" s="12">
        <x:f t="shared" si="136"/>
        <x:v>2758</x:v>
      </x:c>
      <x:c r="H1459" s="12">
        <x:f t="shared" si="137"/>
        <x:v>30566</x:v>
      </x:c>
      <x:c r="I1459" s="12">
        <x:f t="shared" si="133"/>
        <x:v>84301028</x:v>
      </x:c>
      <x:c r="J1459" s="12">
        <x:f>ROUND(英雄升级调参!$D$106*英雄升级调参!$J$9*英雄升级调参!$E$27,0)</x:f>
        <x:v>86</x:v>
      </x:c>
      <x:c r="K1459" s="12">
        <x:f>ROUND(英雄升级调参!$D$106*英雄升级调参!$C$11*英雄升级调参!$J$9*英雄升级调参!$G$27,0)</x:f>
        <x:v>947</x:v>
      </x:c>
      <x:c r="L1459" s="12" t="n">
        <x:f>养成消耗调参!$C$188</x:f>
        <x:v>912</x:v>
      </x:c>
      <x:c r="M1459" s="12" t="n">
        <x:f>养成消耗调参!$F$188</x:f>
        <x:v>5700</x:v>
      </x:c>
      <x:c r="N1459" s="12" t="n">
        <x:f>养成消耗调参!$I$188</x:f>
        <x:v>0</x:v>
      </x:c>
      <x:c r="O1459" s="12" t="n">
        <x:f>养成消耗调参!$J$188</x:f>
        <x:v>18408</x:v>
      </x:c>
      <x:c r="P1459" s="12" t="n">
        <x:f>养成消耗调参!$M$188</x:f>
        <x:v>111000</x:v>
      </x:c>
      <x:c r="Q1459" s="12" t="n">
        <x:f>养成消耗调参!$P$188</x:f>
        <x:v>640</x:v>
      </x:c>
      <x:c r="R1459" s="13">
        <x:f>I1459/英雄升级调参!$G$106-1</x:f>
        <x:v>-0.0003691592863268589</x:v>
      </x:c>
      <x:c r="S1459" s="6"/>
      <x:c r="T1459" s="6"/>
      <x:c r="U1459" s="6"/>
    </x:row>
    <x:row r="1460" ht="21" customHeight="1">
      <x:c r="A1460" s="14" t="n">
        <x:f>英雄升级调参!$B$27</x:f>
        <x:v>310011</x:v>
      </x:c>
      <x:c r="B1460" s="14" t="str">
        <x:f>英雄升级调参!$C$27</x:f>
        <x:v>鳄不恶</x:v>
      </x:c>
      <x:c r="C1460" s="6" t="str">
        <x:f>英雄升级调参!$D$27</x:f>
        <x:v>生存者</x:v>
      </x:c>
      <x:c r="D1460" s="6" t="s">
        <x:v>18</x:v>
      </x:c>
      <x:c r="E1460" s="6">
        <x:v>42</x:v>
      </x:c>
      <x:c r="F1460" s="6" t="n">
        <x:f>英雄升级调参!$C$107</x:f>
        <x:v>9</x:v>
      </x:c>
      <x:c r="G1460" s="12">
        <x:f t="shared" si="136"/>
        <x:v>2844</x:v>
      </x:c>
      <x:c r="H1460" s="12">
        <x:f t="shared" si="137"/>
        <x:v>31513</x:v>
      </x:c>
      <x:c r="I1460" s="12">
        <x:f t="shared" si="133"/>
        <x:v>89622972</x:v>
      </x:c>
      <x:c r="J1460" s="12">
        <x:f>ROUND(英雄升级调参!$D$107*英雄升级调参!$J$9*英雄升级调参!$E$27,0)</x:f>
        <x:v>86</x:v>
      </x:c>
      <x:c r="K1460" s="12">
        <x:f>ROUND(英雄升级调参!$D$107*英雄升级调参!$C$11*英雄升级调参!$J$9*英雄升级调参!$G$27,0)</x:f>
        <x:v>947</x:v>
      </x:c>
      <x:c r="L1460" s="12" t="n">
        <x:f>养成消耗调参!$C$189</x:f>
        <x:v>960</x:v>
      </x:c>
      <x:c r="M1460" s="12" t="n">
        <x:f>养成消耗调参!$F$189</x:f>
        <x:v>6600</x:v>
      </x:c>
      <x:c r="N1460" s="12" t="n">
        <x:f>养成消耗调参!$I$189</x:f>
        <x:v>0</x:v>
      </x:c>
      <x:c r="O1460" s="12" t="n">
        <x:f>养成消耗调参!$J$189</x:f>
        <x:v>19368</x:v>
      </x:c>
      <x:c r="P1460" s="12" t="n">
        <x:f>养成消耗调参!$M$189</x:f>
        <x:v>117600</x:v>
      </x:c>
      <x:c r="Q1460" s="12" t="n">
        <x:f>养成消耗调参!$P$189</x:f>
        <x:v>640</x:v>
      </x:c>
      <x:c r="R1460" s="13">
        <x:f>I1460/英雄升级调参!$G$107-1</x:f>
        <x:v>-0.00019397512459784494</x:v>
      </x:c>
      <x:c r="S1460" s="6"/>
      <x:c r="T1460" s="6"/>
      <x:c r="U1460" s="6"/>
    </x:row>
    <x:row r="1461" ht="21" customHeight="1">
      <x:c r="A1461" s="14" t="n">
        <x:f>英雄升级调参!$B$27</x:f>
        <x:v>310011</x:v>
      </x:c>
      <x:c r="B1461" s="14" t="str">
        <x:f>英雄升级调参!$C$27</x:f>
        <x:v>鳄不恶</x:v>
      </x:c>
      <x:c r="C1461" s="6" t="str">
        <x:f>英雄升级调参!$D$27</x:f>
        <x:v>生存者</x:v>
      </x:c>
      <x:c r="D1461" s="6" t="s">
        <x:v>18</x:v>
      </x:c>
      <x:c r="E1461" s="6">
        <x:v>43</x:v>
      </x:c>
      <x:c r="F1461" s="6" t="n">
        <x:f>英雄升级调参!$C$108</x:f>
        <x:v>9</x:v>
      </x:c>
      <x:c r="G1461" s="12">
        <x:f t="shared" si="136"/>
        <x:v>2930</x:v>
      </x:c>
      <x:c r="H1461" s="12">
        <x:f t="shared" si="137"/>
        <x:v>32460</x:v>
      </x:c>
      <x:c r="I1461" s="12">
        <x:f t="shared" si="133"/>
        <x:v>95107800</x:v>
      </x:c>
      <x:c r="J1461" s="12">
        <x:f>ROUND(英雄升级调参!$D$108*英雄升级调参!$J$9*英雄升级调参!$E$27,0)</x:f>
        <x:v>86</x:v>
      </x:c>
      <x:c r="K1461" s="12">
        <x:f>ROUND(英雄升级调参!$D$108*英雄升级调参!$C$11*英雄升级调参!$J$9*英雄升级调参!$G$27,0)</x:f>
        <x:v>947</x:v>
      </x:c>
      <x:c r="L1461" s="12" t="n">
        <x:f>养成消耗调参!$C$190</x:f>
        <x:v>960</x:v>
      </x:c>
      <x:c r="M1461" s="12" t="n">
        <x:f>养成消耗调参!$F$190</x:f>
        <x:v>6600</x:v>
      </x:c>
      <x:c r="N1461" s="12" t="n">
        <x:f>养成消耗调参!$I$190</x:f>
        <x:v>0</x:v>
      </x:c>
      <x:c r="O1461" s="12" t="n">
        <x:f>养成消耗调参!$J$190</x:f>
        <x:v>20328</x:v>
      </x:c>
      <x:c r="P1461" s="12" t="n">
        <x:f>养成消耗调参!$M$190</x:f>
        <x:v>124200</x:v>
      </x:c>
      <x:c r="Q1461" s="12" t="n">
        <x:f>养成消耗调参!$P$190</x:f>
        <x:v>640</x:v>
      </x:c>
      <x:c r="R1461" s="13">
        <x:f>I1461/英雄升级调参!$G$108-1</x:f>
        <x:v>-2.9018859735496783e-05</x:v>
      </x:c>
      <x:c r="S1461" s="6"/>
      <x:c r="T1461" s="6"/>
      <x:c r="U1461" s="6"/>
    </x:row>
    <x:row r="1462" ht="21" customHeight="1">
      <x:c r="A1462" s="14" t="n">
        <x:f>英雄升级调参!$B$27</x:f>
        <x:v>310011</x:v>
      </x:c>
      <x:c r="B1462" s="14" t="str">
        <x:f>英雄升级调参!$C$27</x:f>
        <x:v>鳄不恶</x:v>
      </x:c>
      <x:c r="C1462" s="6" t="str">
        <x:f>英雄升级调参!$D$27</x:f>
        <x:v>生存者</x:v>
      </x:c>
      <x:c r="D1462" s="6" t="s">
        <x:v>18</x:v>
      </x:c>
      <x:c r="E1462" s="6">
        <x:v>44</x:v>
      </x:c>
      <x:c r="F1462" s="6" t="n">
        <x:f>英雄升级调参!$C$109</x:f>
        <x:v>9</x:v>
      </x:c>
      <x:c r="G1462" s="12">
        <x:f t="shared" si="136"/>
        <x:v>3016</x:v>
      </x:c>
      <x:c r="H1462" s="12">
        <x:f t="shared" si="137"/>
        <x:v>33407</x:v>
      </x:c>
      <x:c r="I1462" s="12">
        <x:f t="shared" si="133"/>
        <x:v>100755512</x:v>
      </x:c>
      <x:c r="J1462" s="12">
        <x:f>ROUND(英雄升级调参!$D$109*英雄升级调参!$J$9*英雄升级调参!$E$27,0)</x:f>
        <x:v>86</x:v>
      </x:c>
      <x:c r="K1462" s="12">
        <x:f>ROUND(英雄升级调参!$D$109*英雄升级调参!$C$11*英雄升级调参!$J$9*英雄升级调参!$G$27,0)</x:f>
        <x:v>947</x:v>
      </x:c>
      <x:c r="L1462" s="12" t="n">
        <x:f>养成消耗调参!$C$191</x:f>
        <x:v>1008</x:v>
      </x:c>
      <x:c r="M1462" s="12" t="n">
        <x:f>养成消耗调参!$F$191</x:f>
        <x:v>6600</x:v>
      </x:c>
      <x:c r="N1462" s="12" t="n">
        <x:f>养成消耗调参!$I$191</x:f>
        <x:v>0</x:v>
      </x:c>
      <x:c r="O1462" s="12" t="n">
        <x:f>养成消耗调参!$J$191</x:f>
        <x:v>21336</x:v>
      </x:c>
      <x:c r="P1462" s="12" t="n">
        <x:f>养成消耗调参!$M$191</x:f>
        <x:v>130800</x:v>
      </x:c>
      <x:c r="Q1462" s="12" t="n">
        <x:f>养成消耗调参!$P$191</x:f>
        <x:v>640</x:v>
      </x:c>
      <x:c r="R1462" s="13">
        <x:f>I1462/英雄升级调参!$G$109-1</x:f>
        <x:v>0.0001265798157603637</x:v>
      </x:c>
      <x:c r="S1462" s="6"/>
      <x:c r="T1462" s="6"/>
      <x:c r="U1462" s="6"/>
    </x:row>
    <x:row r="1463" ht="21" customHeight="1">
      <x:c r="A1463" s="14" t="n">
        <x:f>英雄升级调参!$B$27</x:f>
        <x:v>310011</x:v>
      </x:c>
      <x:c r="B1463" s="14" t="str">
        <x:f>英雄升级调参!$C$27</x:f>
        <x:v>鳄不恶</x:v>
      </x:c>
      <x:c r="C1463" s="6" t="str">
        <x:f>英雄升级调参!$D$27</x:f>
        <x:v>生存者</x:v>
      </x:c>
      <x:c r="D1463" s="6" t="s">
        <x:v>18</x:v>
      </x:c>
      <x:c r="E1463" s="6">
        <x:v>45</x:v>
      </x:c>
      <x:c r="F1463" s="6" t="n">
        <x:f>英雄升级调参!$C$110</x:f>
        <x:v>9</x:v>
      </x:c>
      <x:c r="G1463" s="12">
        <x:f t="shared" si="136"/>
        <x:v>3274</x:v>
      </x:c>
      <x:c r="H1463" s="12">
        <x:f t="shared" si="137"/>
        <x:v>36248</x:v>
      </x:c>
      <x:c r="I1463" s="12">
        <x:f t="shared" si="133"/>
        <x:v>118675952</x:v>
      </x:c>
      <x:c r="J1463" s="12">
        <x:f>ROUND(英雄升级调参!$D$110*英雄升级调参!$J$9*英雄升级调参!$E$27,0)*3</x:f>
        <x:v>258</x:v>
      </x:c>
      <x:c r="K1463" s="12">
        <x:f>ROUND(英雄升级调参!$D$110*英雄升级调参!$C$11*英雄升级调参!$J$9*英雄升级调参!$G$27,0)*3</x:f>
        <x:v>2841</x:v>
      </x:c>
      <x:c r="L1463" s="12" t="n">
        <x:f>养成消耗调参!$C$192</x:f>
        <x:v>1008</x:v>
      </x:c>
      <x:c r="M1463" s="12" t="n">
        <x:f>养成消耗调参!$F$192</x:f>
        <x:v>6600</x:v>
      </x:c>
      <x:c r="N1463" s="12" t="n">
        <x:f>养成消耗调参!$I$192</x:f>
        <x:v>170</x:v>
      </x:c>
      <x:c r="O1463" s="12" t="n">
        <x:f>养成消耗调参!$J$192</x:f>
        <x:v>22344</x:v>
      </x:c>
      <x:c r="P1463" s="12" t="n">
        <x:f>养成消耗调参!$M$192</x:f>
        <x:v>137400</x:v>
      </x:c>
      <x:c r="Q1463" s="12" t="n">
        <x:f>养成消耗调参!$P$192</x:f>
        <x:v>810</x:v>
      </x:c>
      <x:c r="R1463" s="13">
        <x:f>I1463/英雄升级调参!$G$110-1</x:f>
        <x:v>0.0005445684123341898</x:v>
      </x:c>
      <x:c r="S1463" s="6"/>
      <x:c r="T1463" s="6"/>
      <x:c r="U1463" s="6"/>
    </x:row>
    <x:row r="1464" ht="21" customHeight="1">
      <x:c r="A1464" s="14" t="n">
        <x:f>英雄升级调参!$B$27</x:f>
        <x:v>310011</x:v>
      </x:c>
      <x:c r="B1464" s="14" t="str">
        <x:f>英雄升级调参!$C$27</x:f>
        <x:v>鳄不恶</x:v>
      </x:c>
      <x:c r="C1464" s="6" t="str">
        <x:f>英雄升级调参!$D$27</x:f>
        <x:v>生存者</x:v>
      </x:c>
      <x:c r="D1464" s="6" t="s">
        <x:v>18</x:v>
      </x:c>
      <x:c r="E1464" s="6">
        <x:v>46</x:v>
      </x:c>
      <x:c r="F1464" s="6" t="n">
        <x:f>英雄升级调参!$C$111</x:f>
        <x:v>10</x:v>
      </x:c>
      <x:c r="G1464" s="12">
        <x:f t="shared" si="136"/>
        <x:v>3368</x:v>
      </x:c>
      <x:c r="H1464" s="12">
        <x:f t="shared" si="137"/>
        <x:v>37290</x:v>
      </x:c>
      <x:c r="I1464" s="12">
        <x:f t="shared" si="133"/>
        <x:v>125592720</x:v>
      </x:c>
      <x:c r="J1464" s="12">
        <x:f>ROUND(英雄升级调参!$D$111*英雄升级调参!$J$9*英雄升级调参!$E$27,0)</x:f>
        <x:v>94</x:v>
      </x:c>
      <x:c r="K1464" s="12">
        <x:f>ROUND(英雄升级调参!$D$111*英雄升级调参!$C$11*英雄升级调参!$J$9*英雄升级调参!$G$27,0)</x:f>
        <x:v>1042</x:v>
      </x:c>
      <x:c r="L1464" s="12" t="n">
        <x:f>养成消耗调参!$C$193</x:f>
        <x:v>1056</x:v>
      </x:c>
      <x:c r="M1464" s="12" t="n">
        <x:f>养成消耗调参!$F$193</x:f>
        <x:v>6600</x:v>
      </x:c>
      <x:c r="N1464" s="12" t="n">
        <x:f>养成消耗调参!$I$193</x:f>
        <x:v>0</x:v>
      </x:c>
      <x:c r="O1464" s="12" t="n">
        <x:f>养成消耗调参!$J$193</x:f>
        <x:v>23400</x:v>
      </x:c>
      <x:c r="P1464" s="12" t="n">
        <x:f>养成消耗调参!$M$193</x:f>
        <x:v>144000</x:v>
      </x:c>
      <x:c r="Q1464" s="12" t="n">
        <x:f>养成消耗调参!$P$193</x:f>
        <x:v>810</x:v>
      </x:c>
      <x:c r="R1464" s="13">
        <x:f>I1464/英雄升级调参!$G$111-1</x:f>
        <x:v>0.0005116766719650556</x:v>
      </x:c>
      <x:c r="S1464" s="6"/>
      <x:c r="T1464" s="6"/>
      <x:c r="U1464" s="6"/>
    </x:row>
    <x:row r="1465" ht="21" customHeight="1">
      <x:c r="A1465" s="14" t="n">
        <x:f>英雄升级调参!$B$27</x:f>
        <x:v>310011</x:v>
      </x:c>
      <x:c r="B1465" s="14" t="str">
        <x:f>英雄升级调参!$C$27</x:f>
        <x:v>鳄不恶</x:v>
      </x:c>
      <x:c r="C1465" s="6" t="str">
        <x:f>英雄升级调参!$D$27</x:f>
        <x:v>生存者</x:v>
      </x:c>
      <x:c r="D1465" s="6" t="s">
        <x:v>18</x:v>
      </x:c>
      <x:c r="E1465" s="6">
        <x:v>47</x:v>
      </x:c>
      <x:c r="F1465" s="6" t="n">
        <x:f>英雄升级调参!$C$112</x:f>
        <x:v>10</x:v>
      </x:c>
      <x:c r="G1465" s="12">
        <x:f t="shared" si="136"/>
        <x:v>3462</x:v>
      </x:c>
      <x:c r="H1465" s="12">
        <x:f t="shared" si="137"/>
        <x:v>38332</x:v>
      </x:c>
      <x:c r="I1465" s="12">
        <x:f t="shared" si="133"/>
        <x:v>132705384</x:v>
      </x:c>
      <x:c r="J1465" s="12">
        <x:f>ROUND(英雄升级调参!$D$112*英雄升级调参!$J$9*英雄升级调参!$E$27,0)</x:f>
        <x:v>94</x:v>
      </x:c>
      <x:c r="K1465" s="12">
        <x:f>ROUND(英雄升级调参!$D$112*英雄升级调参!$C$11*英雄升级调参!$J$9*英雄升级调参!$G$27,0)</x:f>
        <x:v>1042</x:v>
      </x:c>
      <x:c r="L1465" s="12" t="n">
        <x:f>养成消耗调参!$C$194</x:f>
        <x:v>1056</x:v>
      </x:c>
      <x:c r="M1465" s="12" t="n">
        <x:f>养成消耗调参!$F$194</x:f>
        <x:v>7500</x:v>
      </x:c>
      <x:c r="N1465" s="12" t="n">
        <x:f>养成消耗调参!$I$194</x:f>
        <x:v>0</x:v>
      </x:c>
      <x:c r="O1465" s="12" t="n">
        <x:f>养成消耗调参!$J$194</x:f>
        <x:v>24456</x:v>
      </x:c>
      <x:c r="P1465" s="12" t="n">
        <x:f>养成消耗调参!$M$194</x:f>
        <x:v>151500</x:v>
      </x:c>
      <x:c r="Q1465" s="12" t="n">
        <x:f>养成消耗调参!$P$194</x:f>
        <x:v>810</x:v>
      </x:c>
      <x:c r="R1465" s="13">
        <x:f>I1465/英雄升级调参!$G$112-1</x:f>
        <x:v>0.0004805730689094734</x:v>
      </x:c>
      <x:c r="S1465" s="6"/>
      <x:c r="T1465" s="6"/>
      <x:c r="U1465" s="6"/>
    </x:row>
    <x:row r="1466" ht="21" customHeight="1">
      <x:c r="A1466" s="14" t="n">
        <x:f>英雄升级调参!$B$27</x:f>
        <x:v>310011</x:v>
      </x:c>
      <x:c r="B1466" s="14" t="str">
        <x:f>英雄升级调参!$C$27</x:f>
        <x:v>鳄不恶</x:v>
      </x:c>
      <x:c r="C1466" s="6" t="str">
        <x:f>英雄升级调参!$D$27</x:f>
        <x:v>生存者</x:v>
      </x:c>
      <x:c r="D1466" s="6" t="s">
        <x:v>18</x:v>
      </x:c>
      <x:c r="E1466" s="6">
        <x:v>48</x:v>
      </x:c>
      <x:c r="F1466" s="6" t="n">
        <x:f>英雄升级调参!$C$113</x:f>
        <x:v>10</x:v>
      </x:c>
      <x:c r="G1466" s="12">
        <x:f t="shared" si="136"/>
        <x:v>3556</x:v>
      </x:c>
      <x:c r="H1466" s="12">
        <x:f t="shared" si="137"/>
        <x:v>39374</x:v>
      </x:c>
      <x:c r="I1466" s="12">
        <x:f t="shared" si="133"/>
        <x:v>140013944</x:v>
      </x:c>
      <x:c r="J1466" s="12">
        <x:f>ROUND(英雄升级调参!$D$113*英雄升级调参!$J$9*英雄升级调参!$E$27,0)</x:f>
        <x:v>94</x:v>
      </x:c>
      <x:c r="K1466" s="12">
        <x:f>ROUND(英雄升级调参!$D$113*英雄升级调参!$C$11*英雄升级调参!$J$9*英雄升级调参!$G$27,0)</x:f>
        <x:v>1042</x:v>
      </x:c>
      <x:c r="L1466" s="12" t="n">
        <x:f>养成消耗调参!$C$195</x:f>
        <x:v>1104</x:v>
      </x:c>
      <x:c r="M1466" s="12" t="n">
        <x:f>养成消耗调参!$F$195</x:f>
        <x:v>7500</x:v>
      </x:c>
      <x:c r="N1466" s="12" t="n">
        <x:f>养成消耗调参!$I$195</x:f>
        <x:v>0</x:v>
      </x:c>
      <x:c r="O1466" s="12" t="n">
        <x:f>养成消耗调参!$J$195</x:f>
        <x:v>25560</x:v>
      </x:c>
      <x:c r="P1466" s="12" t="n">
        <x:f>养成消耗调参!$M$195</x:f>
        <x:v>159000</x:v>
      </x:c>
      <x:c r="Q1466" s="12" t="n">
        <x:f>养成消耗调参!$P$195</x:f>
        <x:v>810</x:v>
      </x:c>
      <x:c r="R1466" s="13">
        <x:f>I1466/英雄升级调参!$G$113-1</x:f>
        <x:v>0.0004511156455615506</x:v>
      </x:c>
      <x:c r="S1466" s="6"/>
      <x:c r="T1466" s="6"/>
      <x:c r="U1466" s="6"/>
    </x:row>
    <x:row r="1467" ht="21" customHeight="1">
      <x:c r="A1467" s="14" t="n">
        <x:f>英雄升级调参!$B$27</x:f>
        <x:v>310011</x:v>
      </x:c>
      <x:c r="B1467" s="14" t="str">
        <x:f>英雄升级调参!$C$27</x:f>
        <x:v>鳄不恶</x:v>
      </x:c>
      <x:c r="C1467" s="6" t="str">
        <x:f>英雄升级调参!$D$27</x:f>
        <x:v>生存者</x:v>
      </x:c>
      <x:c r="D1467" s="6" t="s">
        <x:v>18</x:v>
      </x:c>
      <x:c r="E1467" s="6">
        <x:v>49</x:v>
      </x:c>
      <x:c r="F1467" s="6" t="n">
        <x:f>英雄升级调参!$C$114</x:f>
        <x:v>10</x:v>
      </x:c>
      <x:c r="G1467" s="12">
        <x:f t="shared" si="136"/>
        <x:v>3650</x:v>
      </x:c>
      <x:c r="H1467" s="12">
        <x:f t="shared" si="137"/>
        <x:v>40416</x:v>
      </x:c>
      <x:c r="I1467" s="12">
        <x:f t="shared" si="133"/>
        <x:v>147518400</x:v>
      </x:c>
      <x:c r="J1467" s="12">
        <x:f>ROUND(英雄升级调参!$D$114*英雄升级调参!$J$9*英雄升级调参!$E$27,0)</x:f>
        <x:v>94</x:v>
      </x:c>
      <x:c r="K1467" s="12">
        <x:f>ROUND(英雄升级调参!$D$114*英雄升级调参!$C$11*英雄升级调参!$J$9*英雄升级调参!$G$27,0)</x:f>
        <x:v>1042</x:v>
      </x:c>
      <x:c r="L1467" s="12" t="n">
        <x:f>养成消耗调参!$C$196</x:f>
        <x:v>1104</x:v>
      </x:c>
      <x:c r="M1467" s="12" t="n">
        <x:f>养成消耗调参!$F$196</x:f>
        <x:v>7500</x:v>
      </x:c>
      <x:c r="N1467" s="12" t="n">
        <x:f>养成消耗调参!$I$196</x:f>
        <x:v>0</x:v>
      </x:c>
      <x:c r="O1467" s="12" t="n">
        <x:f>养成消耗调参!$J$196</x:f>
        <x:v>26664</x:v>
      </x:c>
      <x:c r="P1467" s="12" t="n">
        <x:f>养成消耗调参!$M$196</x:f>
        <x:v>166500</x:v>
      </x:c>
      <x:c r="Q1467" s="12" t="n">
        <x:f>养成消耗调参!$P$196</x:f>
        <x:v>810</x:v>
      </x:c>
      <x:c r="R1467" s="13">
        <x:f>I1467/英雄升级调参!$G$114-1</x:f>
        <x:v>0.00042317708333339255</x:v>
      </x:c>
      <x:c r="S1467" s="6"/>
      <x:c r="T1467" s="6"/>
      <x:c r="U1467" s="6"/>
    </x:row>
    <x:row r="1468" ht="21" customHeight="1">
      <x:c r="A1468" s="14" t="n">
        <x:f>英雄升级调参!$B$27</x:f>
        <x:v>310011</x:v>
      </x:c>
      <x:c r="B1468" s="14" t="str">
        <x:f>英雄升级调参!$C$27</x:f>
        <x:v>鳄不恶</x:v>
      </x:c>
      <x:c r="C1468" s="6" t="str">
        <x:f>英雄升级调参!$D$27</x:f>
        <x:v>生存者</x:v>
      </x:c>
      <x:c r="D1468" s="6" t="s">
        <x:v>18</x:v>
      </x:c>
      <x:c r="E1468" s="6">
        <x:v>50</x:v>
      </x:c>
      <x:c r="F1468" s="6" t="n">
        <x:f>英雄升级调参!$C$115</x:f>
        <x:v>10</x:v>
      </x:c>
      <x:c r="G1468" s="12">
        <x:f t="shared" si="136"/>
        <x:v>3932</x:v>
      </x:c>
      <x:c r="H1468" s="12">
        <x:f t="shared" si="137"/>
        <x:v>43542</x:v>
      </x:c>
      <x:c r="I1468" s="12">
        <x:f t="shared" si="133"/>
        <x:v>171207144</x:v>
      </x:c>
      <x:c r="J1468" s="12">
        <x:f>ROUND(英雄升级调参!$D$115*英雄升级调参!$J$9*英雄升级调参!$E$27,0)*3</x:f>
        <x:v>282</x:v>
      </x:c>
      <x:c r="K1468" s="12">
        <x:f>ROUND(英雄升级调参!$D$115*英雄升级调参!$C$11*英雄升级调参!$J$9*英雄升级调参!$G$27,0)*3</x:f>
        <x:v>3126</x:v>
      </x:c>
      <x:c r="L1468" s="12" t="n">
        <x:f>养成消耗调参!$C$197</x:f>
        <x:v>1152</x:v>
      </x:c>
      <x:c r="M1468" s="12" t="n">
        <x:f>养成消耗调参!$F$197</x:f>
        <x:v>7500</x:v>
      </x:c>
      <x:c r="N1468" s="12" t="n">
        <x:f>养成消耗调参!$I$197</x:f>
        <x:v>190</x:v>
      </x:c>
      <x:c r="O1468" s="12" t="n">
        <x:f>养成消耗调参!$J$197</x:f>
        <x:v>27816</x:v>
      </x:c>
      <x:c r="P1468" s="12" t="n">
        <x:f>养成消耗调参!$M$197</x:f>
        <x:v>174000</x:v>
      </x:c>
      <x:c r="Q1468" s="12" t="n">
        <x:f>养成消耗调参!$P$197</x:f>
        <x:v>1000</x:v>
      </x:c>
      <x:c r="R1468" s="13">
        <x:f>I1468/英雄升级调参!$G$115-1</x:f>
        <x:v>0.00034738418029478524</x:v>
      </x:c>
      <x:c r="S1468" s="6"/>
      <x:c r="T1468" s="6"/>
      <x:c r="U1468" s="6"/>
    </x:row>
    <x:row r="1469" ht="21" customHeight="1">
      <x:c r="A1469" s="14" t="n">
        <x:f>英雄升级调参!$B$27</x:f>
        <x:v>310011</x:v>
      </x:c>
      <x:c r="B1469" s="14" t="str">
        <x:f>英雄升级调参!$C$27</x:f>
        <x:v>鳄不恶</x:v>
      </x:c>
      <x:c r="C1469" s="6" t="str">
        <x:f>英雄升级调参!$D$27</x:f>
        <x:v>生存者</x:v>
      </x:c>
      <x:c r="D1469" s="6" t="s">
        <x:v>22</x:v>
      </x:c>
      <x:c r="E1469" s="6">
        <x:v>1</x:v>
      </x:c>
      <x:c r="F1469" s="6" t="n">
        <x:f>英雄升级调参!$C$66</x:f>
        <x:v>1</x:v>
      </x:c>
      <x:c r="G1469" s="12">
        <x:f>G1428-SUM(J1470:J1473)</x:f>
        <x:v>185</x:v>
      </x:c>
      <x:c r="H1469" s="12">
        <x:f>H1428-SUM(K1470:K1473)</x:f>
        <x:v>2050</x:v>
      </x:c>
      <x:c r="I1469" s="12">
        <x:f t="shared" si="133"/>
        <x:v>379250</x:v>
      </x:c>
      <x:c r="J1469" s="12" t="n">
        <x:f>0</x:f>
        <x:v>0</x:v>
      </x:c>
      <x:c r="K1469" s="12" t="n">
        <x:f>0</x:f>
        <x:v>0</x:v>
      </x:c>
      <x:c r="L1469" s="12" t="n">
        <x:f>养成消耗调参!$D$148</x:f>
        <x:v>0</x:v>
      </x:c>
      <x:c r="M1469" s="12" t="n">
        <x:f>养成消耗调参!$G$148</x:f>
        <x:v>0</x:v>
      </x:c>
      <x:c r="N1469" s="12" t="n">
        <x:f>养成消耗调参!$I$148</x:f>
        <x:v>0</x:v>
      </x:c>
      <x:c r="O1469" s="12" t="n">
        <x:f>养成消耗调参!$K$148</x:f>
        <x:v>0</x:v>
      </x:c>
      <x:c r="P1469" s="12" t="n">
        <x:f>养成消耗调参!$N$148</x:f>
        <x:v>0</x:v>
      </x:c>
      <x:c r="Q1469" s="12" t="n">
        <x:f>养成消耗调参!$P$148</x:f>
        <x:v>0</x:v>
      </x:c>
      <x:c r="R1469" s="13">
        <x:f>I1469/英雄升级调参!$J$66-1</x:f>
        <x:v>-0.002629848783694988</x:v>
      </x:c>
      <x:c r="S1469" s="6"/>
      <x:c r="T1469" s="6"/>
      <x:c r="U1469" s="6"/>
    </x:row>
    <x:row r="1470" ht="21" customHeight="1">
      <x:c r="A1470" s="14" t="n">
        <x:f>英雄升级调参!$B$27</x:f>
        <x:v>310011</x:v>
      </x:c>
      <x:c r="B1470" s="14" t="str">
        <x:f>英雄升级调参!$C$27</x:f>
        <x:v>鳄不恶</x:v>
      </x:c>
      <x:c r="C1470" s="6" t="str">
        <x:f>英雄升级调参!$D$27</x:f>
        <x:v>生存者</x:v>
      </x:c>
      <x:c r="D1470" s="6" t="s">
        <x:v>22</x:v>
      </x:c>
      <x:c r="E1470" s="6">
        <x:v>2</x:v>
      </x:c>
      <x:c r="F1470" s="6" t="n">
        <x:f>英雄升级调参!$C$67</x:f>
        <x:v>1</x:v>
      </x:c>
      <x:c r="G1470" s="12">
        <x:f t="shared" ref="G1470:G1501" si="138">G1469+J1470</x:f>
        <x:v>211</x:v>
      </x:c>
      <x:c r="H1470" s="12">
        <x:f t="shared" ref="H1470:H1501" si="139">H1469+K1470</x:f>
        <x:v>2334</x:v>
      </x:c>
      <x:c r="I1470" s="12">
        <x:f t="shared" si="133"/>
        <x:v>492474</x:v>
      </x:c>
      <x:c r="J1470" s="12">
        <x:f>ROUND(英雄升级调参!$D$67*英雄升级调参!$J$10*英雄升级调参!$E$27,0)</x:f>
        <x:v>26</x:v>
      </x:c>
      <x:c r="K1470" s="12">
        <x:f>ROUND(英雄升级调参!$D$67*英雄升级调参!$C$11*英雄升级调参!$J$10*英雄升级调参!$G$27,0)</x:f>
        <x:v>284</x:v>
      </x:c>
      <x:c r="L1470" s="12" t="n">
        <x:f>养成消耗调参!$D$149</x:f>
        <x:v>36</x:v>
      </x:c>
      <x:c r="M1470" s="12" t="n">
        <x:f>养成消耗调参!$G$149</x:f>
        <x:v>450</x:v>
      </x:c>
      <x:c r="N1470" s="12" t="n">
        <x:f>养成消耗调参!$I$149</x:f>
        <x:v>0</x:v>
      </x:c>
      <x:c r="O1470" s="12" t="n">
        <x:f>养成消耗调参!$K$149</x:f>
        <x:v>36</x:v>
      </x:c>
      <x:c r="P1470" s="12" t="n">
        <x:f>养成消耗调参!$N$149</x:f>
        <x:v>450</x:v>
      </x:c>
      <x:c r="Q1470" s="12" t="n">
        <x:f>养成消耗调参!$P$149</x:f>
        <x:v>0</x:v>
      </x:c>
      <x:c r="R1470" s="13">
        <x:f>I1470/英雄升级调参!$J$67-1</x:f>
        <x:v>-0.0007426345264183176</x:v>
      </x:c>
      <x:c r="S1470" s="6"/>
      <x:c r="T1470" s="6"/>
      <x:c r="U1470" s="6"/>
    </x:row>
    <x:row r="1471" ht="21" customHeight="1">
      <x:c r="A1471" s="14" t="n">
        <x:f>英雄升级调参!$B$27</x:f>
        <x:v>310011</x:v>
      </x:c>
      <x:c r="B1471" s="14" t="str">
        <x:f>英雄升级调参!$C$27</x:f>
        <x:v>鳄不恶</x:v>
      </x:c>
      <x:c r="C1471" s="6" t="str">
        <x:f>英雄升级调参!$D$27</x:f>
        <x:v>生存者</x:v>
      </x:c>
      <x:c r="D1471" s="6" t="s">
        <x:v>22</x:v>
      </x:c>
      <x:c r="E1471" s="6">
        <x:v>3</x:v>
      </x:c>
      <x:c r="F1471" s="6" t="n">
        <x:f>英雄升级调参!$C$68</x:f>
        <x:v>1</x:v>
      </x:c>
      <x:c r="G1471" s="12">
        <x:f t="shared" si="138"/>
        <x:v>237</x:v>
      </x:c>
      <x:c r="H1471" s="12">
        <x:f t="shared" si="139"/>
        <x:v>2618</x:v>
      </x:c>
      <x:c r="I1471" s="12">
        <x:f t="shared" si="133"/>
        <x:v>620466</x:v>
      </x:c>
      <x:c r="J1471" s="12">
        <x:f>ROUND(英雄升级调参!$D$68*英雄升级调参!$J$10*英雄升级调参!$E$27,0)</x:f>
        <x:v>26</x:v>
      </x:c>
      <x:c r="K1471" s="12">
        <x:f>ROUND(英雄升级调参!$D$68*英雄升级调参!$C$11*英雄升级调参!$J$10*英雄升级调参!$G$27,0)</x:f>
        <x:v>284</x:v>
      </x:c>
      <x:c r="L1471" s="12" t="n">
        <x:f>养成消耗调参!$D$150</x:f>
        <x:v>36</x:v>
      </x:c>
      <x:c r="M1471" s="12" t="n">
        <x:f>养成消耗调参!$G$150</x:f>
        <x:v>450</x:v>
      </x:c>
      <x:c r="N1471" s="12" t="n">
        <x:f>养成消耗调参!$I$150</x:f>
        <x:v>0</x:v>
      </x:c>
      <x:c r="O1471" s="12" t="n">
        <x:f>养成消耗调参!$K$150</x:f>
        <x:v>72</x:v>
      </x:c>
      <x:c r="P1471" s="12" t="n">
        <x:f>养成消耗调参!$N$150</x:f>
        <x:v>900</x:v>
      </x:c>
      <x:c r="Q1471" s="12" t="n">
        <x:f>养成消耗调参!$P$150</x:f>
        <x:v>0</x:v>
      </x:c>
      <x:c r="R1471" s="13">
        <x:f>I1471/英雄升级调参!$J$68-1</x:f>
        <x:v>0.0007354720085159805</x:v>
      </x:c>
      <x:c r="S1471" s="6"/>
      <x:c r="T1471" s="6"/>
      <x:c r="U1471" s="6"/>
    </x:row>
    <x:row r="1472" ht="21" customHeight="1">
      <x:c r="A1472" s="14" t="n">
        <x:f>英雄升级调参!$B$27</x:f>
        <x:v>310011</x:v>
      </x:c>
      <x:c r="B1472" s="14" t="str">
        <x:f>英雄升级调参!$C$27</x:f>
        <x:v>鳄不恶</x:v>
      </x:c>
      <x:c r="C1472" s="6" t="str">
        <x:f>英雄升级调参!$D$27</x:f>
        <x:v>生存者</x:v>
      </x:c>
      <x:c r="D1472" s="6" t="s">
        <x:v>22</x:v>
      </x:c>
      <x:c r="E1472" s="6">
        <x:v>4</x:v>
      </x:c>
      <x:c r="F1472" s="6" t="n">
        <x:f>英雄升级调参!$C$69</x:f>
        <x:v>1</x:v>
      </x:c>
      <x:c r="G1472" s="12">
        <x:f t="shared" si="138"/>
        <x:v>263</x:v>
      </x:c>
      <x:c r="H1472" s="12">
        <x:f t="shared" si="139"/>
        <x:v>2902</x:v>
      </x:c>
      <x:c r="I1472" s="12">
        <x:f t="shared" si="133"/>
        <x:v>763226</x:v>
      </x:c>
      <x:c r="J1472" s="12">
        <x:f>ROUND(英雄升级调参!$D$69*英雄升级调参!$J$10*英雄升级调参!$E$27,0)</x:f>
        <x:v>26</x:v>
      </x:c>
      <x:c r="K1472" s="12">
        <x:f>ROUND(英雄升级调参!$D$69*英雄升级调参!$C$11*英雄升级调参!$J$10*英雄升级调参!$G$27,0)</x:f>
        <x:v>284</x:v>
      </x:c>
      <x:c r="L1472" s="12" t="n">
        <x:f>养成消耗调参!$D$151</x:f>
        <x:v>72</x:v>
      </x:c>
      <x:c r="M1472" s="12" t="n">
        <x:f>养成消耗调参!$G$151</x:f>
        <x:v>450</x:v>
      </x:c>
      <x:c r="N1472" s="12" t="n">
        <x:f>养成消耗调参!$I$151</x:f>
        <x:v>0</x:v>
      </x:c>
      <x:c r="O1472" s="12" t="n">
        <x:f>养成消耗调参!$K$151</x:f>
        <x:v>144</x:v>
      </x:c>
      <x:c r="P1472" s="12" t="n">
        <x:f>养成消耗调参!$N$151</x:f>
        <x:v>1350</x:v>
      </x:c>
      <x:c r="Q1472" s="12" t="n">
        <x:f>养成消耗调参!$P$151</x:f>
        <x:v>0</x:v>
      </x:c>
      <x:c r="R1472" s="13">
        <x:f>I1472/英雄升级调参!$J$69-1</x:f>
        <x:v>0.0019244906532240869</x:v>
      </x:c>
      <x:c r="S1472" s="6"/>
      <x:c r="T1472" s="6"/>
      <x:c r="U1472" s="6"/>
    </x:row>
    <x:row r="1473" ht="21" customHeight="1">
      <x:c r="A1473" s="14" t="n">
        <x:f>英雄升级调参!$B$27</x:f>
        <x:v>310011</x:v>
      </x:c>
      <x:c r="B1473" s="14" t="str">
        <x:f>英雄升级调参!$C$27</x:f>
        <x:v>鳄不恶</x:v>
      </x:c>
      <x:c r="C1473" s="6" t="str">
        <x:f>英雄升级调参!$D$27</x:f>
        <x:v>生存者</x:v>
      </x:c>
      <x:c r="D1473" s="6" t="s">
        <x:v>22</x:v>
      </x:c>
      <x:c r="E1473" s="6">
        <x:v>5</x:v>
      </x:c>
      <x:c r="F1473" s="6" t="n">
        <x:f>英雄升级调参!$C$70</x:f>
        <x:v>1</x:v>
      </x:c>
      <x:c r="G1473" s="12">
        <x:f t="shared" si="138"/>
        <x:v>341</x:v>
      </x:c>
      <x:c r="H1473" s="12">
        <x:f t="shared" si="139"/>
        <x:v>3754</x:v>
      </x:c>
      <x:c r="I1473" s="12">
        <x:f t="shared" si="133"/>
        <x:v>1280114</x:v>
      </x:c>
      <x:c r="J1473" s="12">
        <x:f>ROUND(英雄升级调参!$D$70*英雄升级调参!$J$10*英雄升级调参!$E$27,0)*3</x:f>
        <x:v>78</x:v>
      </x:c>
      <x:c r="K1473" s="12">
        <x:f>ROUND(英雄升级调参!$D$70*英雄升级调参!$C$11*英雄升级调参!$J$10*英雄升级调参!$G$27,0)*3</x:f>
        <x:v>852</x:v>
      </x:c>
      <x:c r="L1473" s="12" t="n">
        <x:f>养成消耗调参!$D$152</x:f>
        <x:v>72</x:v>
      </x:c>
      <x:c r="M1473" s="12" t="n">
        <x:f>养成消耗调参!$G$152</x:f>
        <x:v>450</x:v>
      </x:c>
      <x:c r="N1473" s="12" t="n">
        <x:f>养成消耗调参!$I$152</x:f>
        <x:v>10</x:v>
      </x:c>
      <x:c r="O1473" s="12" t="n">
        <x:f>养成消耗调参!$K$152</x:f>
        <x:v>216</x:v>
      </x:c>
      <x:c r="P1473" s="12" t="n">
        <x:f>养成消耗调参!$N$152</x:f>
        <x:v>1800</x:v>
      </x:c>
      <x:c r="Q1473" s="12" t="n">
        <x:f>养成消耗调参!$P$152</x:f>
        <x:v>10</x:v>
      </x:c>
      <x:c r="R1473" s="13">
        <x:f>I1473/英雄升级调参!$J$70-1</x:f>
        <x:v>0.004412745490353087</x:v>
      </x:c>
      <x:c r="S1473" s="6"/>
      <x:c r="T1473" s="6"/>
      <x:c r="U1473" s="6"/>
    </x:row>
    <x:row r="1474" ht="21" customHeight="1">
      <x:c r="A1474" s="14" t="n">
        <x:f>英雄升级调参!$B$27</x:f>
        <x:v>310011</x:v>
      </x:c>
      <x:c r="B1474" s="14" t="str">
        <x:f>英雄升级调参!$C$27</x:f>
        <x:v>鳄不恶</x:v>
      </x:c>
      <x:c r="C1474" s="6" t="str">
        <x:f>英雄升级调参!$D$27</x:f>
        <x:v>生存者</x:v>
      </x:c>
      <x:c r="D1474" s="6" t="s">
        <x:v>22</x:v>
      </x:c>
      <x:c r="E1474" s="6">
        <x:v>6</x:v>
      </x:c>
      <x:c r="F1474" s="6" t="n">
        <x:f>英雄升级调参!$C$71</x:f>
        <x:v>2</x:v>
      </x:c>
      <x:c r="G1474" s="12">
        <x:f t="shared" si="138"/>
        <x:v>379</x:v>
      </x:c>
      <x:c r="H1474" s="12">
        <x:f t="shared" si="139"/>
        <x:v>4180</x:v>
      </x:c>
      <x:c r="I1474" s="12">
        <x:f t="shared" si="133"/>
        <x:v>1584220</x:v>
      </x:c>
      <x:c r="J1474" s="12">
        <x:f>ROUND(英雄升级调参!$D$71*英雄升级调参!$J$10*英雄升级调参!$E$27,0)</x:f>
        <x:v>38</x:v>
      </x:c>
      <x:c r="K1474" s="12">
        <x:f>ROUND(英雄升级调参!$D$71*英雄升级调参!$C$11*英雄升级调参!$J$10*英雄升级调参!$G$27,0)</x:f>
        <x:v>426</x:v>
      </x:c>
      <x:c r="L1474" s="12" t="n">
        <x:f>养成消耗调参!$D$153</x:f>
        <x:v>144</x:v>
      </x:c>
      <x:c r="M1474" s="12" t="n">
        <x:f>养成消耗调参!$G$153</x:f>
        <x:v>450</x:v>
      </x:c>
      <x:c r="N1474" s="12" t="n">
        <x:f>养成消耗调参!$I$153</x:f>
        <x:v>0</x:v>
      </x:c>
      <x:c r="O1474" s="12" t="n">
        <x:f>养成消耗调参!$K$153</x:f>
        <x:v>360</x:v>
      </x:c>
      <x:c r="P1474" s="12" t="n">
        <x:f>养成消耗调参!$N$153</x:f>
        <x:v>2250</x:v>
      </x:c>
      <x:c r="Q1474" s="12" t="n">
        <x:f>养成消耗调参!$P$153</x:f>
        <x:v>10</x:v>
      </x:c>
      <x:c r="R1474" s="13">
        <x:f>I1474/英雄升级调参!$J$71-1</x:f>
        <x:v>0.0013716380645365511</x:v>
      </x:c>
      <x:c r="S1474" s="6"/>
      <x:c r="T1474" s="6"/>
      <x:c r="U1474" s="6"/>
    </x:row>
    <x:row r="1475" ht="21" customHeight="1">
      <x:c r="A1475" s="14" t="n">
        <x:f>英雄升级调参!$B$27</x:f>
        <x:v>310011</x:v>
      </x:c>
      <x:c r="B1475" s="14" t="str">
        <x:f>英雄升级调参!$C$27</x:f>
        <x:v>鳄不恶</x:v>
      </x:c>
      <x:c r="C1475" s="6" t="str">
        <x:f>英雄升级调参!$D$27</x:f>
        <x:v>生存者</x:v>
      </x:c>
      <x:c r="D1475" s="6" t="s">
        <x:v>22</x:v>
      </x:c>
      <x:c r="E1475" s="6">
        <x:v>7</x:v>
      </x:c>
      <x:c r="F1475" s="6" t="n">
        <x:f>英雄升级调参!$C$72</x:f>
        <x:v>2</x:v>
      </x:c>
      <x:c r="G1475" s="12">
        <x:f t="shared" si="138"/>
        <x:v>417</x:v>
      </x:c>
      <x:c r="H1475" s="12">
        <x:f t="shared" si="139"/>
        <x:v>4606</x:v>
      </x:c>
      <x:c r="I1475" s="12">
        <x:f t="shared" si="133"/>
        <x:v>1920702</x:v>
      </x:c>
      <x:c r="J1475" s="12">
        <x:f>ROUND(英雄升级调参!$D$72*英雄升级调参!$J$10*英雄升级调参!$E$27,0)</x:f>
        <x:v>38</x:v>
      </x:c>
      <x:c r="K1475" s="12">
        <x:f>ROUND(英雄升级调参!$D$72*英雄升级调参!$C$11*英雄升级调参!$J$10*英雄升级调参!$G$27,0)</x:f>
        <x:v>426</x:v>
      </x:c>
      <x:c r="L1475" s="12" t="n">
        <x:f>养成消耗调参!$D$154</x:f>
        <x:v>144</x:v>
      </x:c>
      <x:c r="M1475" s="12" t="n">
        <x:f>养成消耗调参!$G$154</x:f>
        <x:v>1350</x:v>
      </x:c>
      <x:c r="N1475" s="12" t="n">
        <x:f>养成消耗调参!$I$154</x:f>
        <x:v>0</x:v>
      </x:c>
      <x:c r="O1475" s="12" t="n">
        <x:f>养成消耗调参!$K$154</x:f>
        <x:v>504</x:v>
      </x:c>
      <x:c r="P1475" s="12" t="n">
        <x:f>养成消耗调参!$N$154</x:f>
        <x:v>3600</x:v>
      </x:c>
      <x:c r="Q1475" s="12" t="n">
        <x:f>养成消耗调参!$P$154</x:f>
        <x:v>10</x:v>
      </x:c>
      <x:c r="R1475" s="13">
        <x:f>I1475/英雄升级调参!$J$72-1</x:f>
        <x:v>-0.0011015071613567073</x:v>
      </x:c>
      <x:c r="S1475" s="6"/>
      <x:c r="T1475" s="6"/>
      <x:c r="U1475" s="6"/>
    </x:row>
    <x:row r="1476" ht="21" customHeight="1">
      <x:c r="A1476" s="14" t="n">
        <x:f>英雄升级调参!$B$27</x:f>
        <x:v>310011</x:v>
      </x:c>
      <x:c r="B1476" s="14" t="str">
        <x:f>英雄升级调参!$C$27</x:f>
        <x:v>鳄不恶</x:v>
      </x:c>
      <x:c r="C1476" s="6" t="str">
        <x:f>英雄升级调参!$D$27</x:f>
        <x:v>生存者</x:v>
      </x:c>
      <x:c r="D1476" s="6" t="s">
        <x:v>22</x:v>
      </x:c>
      <x:c r="E1476" s="6">
        <x:v>8</x:v>
      </x:c>
      <x:c r="F1476" s="6" t="n">
        <x:f>英雄升级调参!$C$73</x:f>
        <x:v>2</x:v>
      </x:c>
      <x:c r="G1476" s="12">
        <x:f t="shared" si="138"/>
        <x:v>455</x:v>
      </x:c>
      <x:c r="H1476" s="12">
        <x:f t="shared" si="139"/>
        <x:v>5032</x:v>
      </x:c>
      <x:c r="I1476" s="12">
        <x:f t="shared" si="133"/>
        <x:v>2289560</x:v>
      </x:c>
      <x:c r="J1476" s="12">
        <x:f>ROUND(英雄升级调参!$D$73*英雄升级调参!$J$10*英雄升级调参!$E$27,0)</x:f>
        <x:v>38</x:v>
      </x:c>
      <x:c r="K1476" s="12">
        <x:f>ROUND(英雄升级调参!$D$73*英雄升级调参!$C$11*英雄升级调参!$J$10*英雄升级调参!$G$27,0)</x:f>
        <x:v>426</x:v>
      </x:c>
      <x:c r="L1476" s="12" t="n">
        <x:f>养成消耗调参!$D$155</x:f>
        <x:v>216</x:v>
      </x:c>
      <x:c r="M1476" s="12" t="n">
        <x:f>养成消耗调参!$G$155</x:f>
        <x:v>1350</x:v>
      </x:c>
      <x:c r="N1476" s="12" t="n">
        <x:f>养成消耗调参!$I$155</x:f>
        <x:v>0</x:v>
      </x:c>
      <x:c r="O1476" s="12" t="n">
        <x:f>养成消耗调参!$K$155</x:f>
        <x:v>720</x:v>
      </x:c>
      <x:c r="P1476" s="12" t="n">
        <x:f>养成消耗调参!$N$155</x:f>
        <x:v>4950</x:v>
      </x:c>
      <x:c r="Q1476" s="12" t="n">
        <x:f>养成消耗调参!$P$155</x:f>
        <x:v>10</x:v>
      </x:c>
      <x:c r="R1476" s="13">
        <x:f>I1476/英雄升级调参!$J$73-1</x:f>
        <x:v>-0.003152211772901481</x:v>
      </x:c>
      <x:c r="S1476" s="6"/>
      <x:c r="T1476" s="6"/>
      <x:c r="U1476" s="6"/>
    </x:row>
    <x:row r="1477" ht="21" customHeight="1">
      <x:c r="A1477" s="14" t="n">
        <x:f>英雄升级调参!$B$27</x:f>
        <x:v>310011</x:v>
      </x:c>
      <x:c r="B1477" s="14" t="str">
        <x:f>英雄升级调参!$C$27</x:f>
        <x:v>鳄不恶</x:v>
      </x:c>
      <x:c r="C1477" s="6" t="str">
        <x:f>英雄升级调参!$D$27</x:f>
        <x:v>生存者</x:v>
      </x:c>
      <x:c r="D1477" s="6" t="s">
        <x:v>22</x:v>
      </x:c>
      <x:c r="E1477" s="6">
        <x:v>9</x:v>
      </x:c>
      <x:c r="F1477" s="6" t="n">
        <x:f>英雄升级调参!$C$74</x:f>
        <x:v>2</x:v>
      </x:c>
      <x:c r="G1477" s="12">
        <x:f t="shared" si="138"/>
        <x:v>493</x:v>
      </x:c>
      <x:c r="H1477" s="12">
        <x:f t="shared" si="139"/>
        <x:v>5458</x:v>
      </x:c>
      <x:c r="I1477" s="12">
        <x:f t="shared" ref="I1477:I1540" si="140">G1477*H1477</x:f>
        <x:v>2690794</x:v>
      </x:c>
      <x:c r="J1477" s="12">
        <x:f>ROUND(英雄升级调参!$D$74*英雄升级调参!$J$10*英雄升级调参!$E$27,0)</x:f>
        <x:v>38</x:v>
      </x:c>
      <x:c r="K1477" s="12">
        <x:f>ROUND(英雄升级调参!$D$74*英雄升级调参!$C$11*英雄升级调参!$J$10*英雄升级调参!$G$27,0)</x:f>
        <x:v>426</x:v>
      </x:c>
      <x:c r="L1477" s="12" t="n">
        <x:f>养成消耗调参!$D$156</x:f>
        <x:v>216</x:v>
      </x:c>
      <x:c r="M1477" s="12" t="n">
        <x:f>养成消耗调参!$G$156</x:f>
        <x:v>1350</x:v>
      </x:c>
      <x:c r="N1477" s="12" t="n">
        <x:f>养成消耗调参!$I$156</x:f>
        <x:v>0</x:v>
      </x:c>
      <x:c r="O1477" s="12" t="n">
        <x:f>养成消耗调参!$K$156</x:f>
        <x:v>936</x:v>
      </x:c>
      <x:c r="P1477" s="12" t="n">
        <x:f>养成消耗调参!$N$156</x:f>
        <x:v>6300</x:v>
      </x:c>
      <x:c r="Q1477" s="12" t="n">
        <x:f>养成消耗调参!$P$156</x:f>
        <x:v>10</x:v>
      </x:c>
      <x:c r="R1477" s="13">
        <x:f>I1477/英雄升级调参!$J$74-1</x:f>
        <x:v>-0.004880195562853462</x:v>
      </x:c>
      <x:c r="S1477" s="6"/>
      <x:c r="T1477" s="6"/>
      <x:c r="U1477" s="6"/>
    </x:row>
    <x:row r="1478" ht="21" customHeight="1">
      <x:c r="A1478" s="14" t="n">
        <x:f>英雄升级调参!$B$27</x:f>
        <x:v>310011</x:v>
      </x:c>
      <x:c r="B1478" s="14" t="str">
        <x:f>英雄升级调参!$C$27</x:f>
        <x:v>鳄不恶</x:v>
      </x:c>
      <x:c r="C1478" s="6" t="str">
        <x:f>英雄升级调参!$D$27</x:f>
        <x:v>生存者</x:v>
      </x:c>
      <x:c r="D1478" s="6" t="s">
        <x:v>22</x:v>
      </x:c>
      <x:c r="E1478" s="6">
        <x:v>10</x:v>
      </x:c>
      <x:c r="F1478" s="6" t="n">
        <x:f>英雄升级调参!$C$75</x:f>
        <x:v>2</x:v>
      </x:c>
      <x:c r="G1478" s="12">
        <x:f t="shared" si="138"/>
        <x:v>607</x:v>
      </x:c>
      <x:c r="H1478" s="12">
        <x:f t="shared" si="139"/>
        <x:v>6736</x:v>
      </x:c>
      <x:c r="I1478" s="12">
        <x:f t="shared" si="140"/>
        <x:v>4088752</x:v>
      </x:c>
      <x:c r="J1478" s="12">
        <x:f>ROUND(英雄升级调参!$D$75*英雄升级调参!$J$10*英雄升级调参!$E$27,0)*3</x:f>
        <x:v>114</x:v>
      </x:c>
      <x:c r="K1478" s="12">
        <x:f>ROUND(英雄升级调参!$D$75*英雄升级调参!$C$11*英雄升级调参!$J$10*英雄升级调参!$G$27,0)*3</x:f>
        <x:v>1278</x:v>
      </x:c>
      <x:c r="L1478" s="12" t="n">
        <x:f>养成消耗调参!$D$157</x:f>
        <x:v>288</x:v>
      </x:c>
      <x:c r="M1478" s="12" t="n">
        <x:f>养成消耗调参!$G$157</x:f>
        <x:v>1350</x:v>
      </x:c>
      <x:c r="N1478" s="12" t="n">
        <x:f>养成消耗调参!$I$157</x:f>
        <x:v>30</x:v>
      </x:c>
      <x:c r="O1478" s="12" t="n">
        <x:f>养成消耗调参!$K$157</x:f>
        <x:v>1224</x:v>
      </x:c>
      <x:c r="P1478" s="12" t="n">
        <x:f>养成消耗调参!$N$157</x:f>
        <x:v>7650</x:v>
      </x:c>
      <x:c r="Q1478" s="12" t="n">
        <x:f>养成消耗调参!$P$157</x:f>
        <x:v>40</x:v>
      </x:c>
      <x:c r="R1478" s="13">
        <x:f>I1478/英雄升级调参!$J$75-1</x:f>
        <x:v>-0.00874413913819272</x:v>
      </x:c>
      <x:c r="S1478" s="6"/>
      <x:c r="T1478" s="6"/>
      <x:c r="U1478" s="6"/>
    </x:row>
    <x:row r="1479" ht="21" customHeight="1">
      <x:c r="A1479" s="14" t="n">
        <x:f>英雄升级调参!$B$27</x:f>
        <x:v>310011</x:v>
      </x:c>
      <x:c r="B1479" s="14" t="str">
        <x:f>英雄升级调参!$C$27</x:f>
        <x:v>鳄不恶</x:v>
      </x:c>
      <x:c r="C1479" s="6" t="str">
        <x:f>英雄升级调参!$D$27</x:f>
        <x:v>生存者</x:v>
      </x:c>
      <x:c r="D1479" s="6" t="s">
        <x:v>22</x:v>
      </x:c>
      <x:c r="E1479" s="6">
        <x:v>11</x:v>
      </x:c>
      <x:c r="F1479" s="6" t="n">
        <x:f>英雄升级调参!$C$76</x:f>
        <x:v>3</x:v>
      </x:c>
      <x:c r="G1479" s="12">
        <x:f t="shared" si="138"/>
        <x:v>658</x:v>
      </x:c>
      <x:c r="H1479" s="12">
        <x:f t="shared" si="139"/>
        <x:v>7304</x:v>
      </x:c>
      <x:c r="I1479" s="12">
        <x:f t="shared" si="140"/>
        <x:v>4806032</x:v>
      </x:c>
      <x:c r="J1479" s="12">
        <x:f>ROUND(英雄升级调参!$D$76*英雄升级调参!$J$10*英雄升级调参!$E$27,0)</x:f>
        <x:v>51</x:v>
      </x:c>
      <x:c r="K1479" s="12">
        <x:f>ROUND(英雄升级调参!$D$76*英雄升级调参!$C$11*英雄升级调参!$J$10*英雄升级调参!$G$27,0)</x:f>
        <x:v>568</x:v>
      </x:c>
      <x:c r="L1479" s="12" t="n">
        <x:f>养成消耗调参!$D$158</x:f>
        <x:v>288</x:v>
      </x:c>
      <x:c r="M1479" s="12" t="n">
        <x:f>养成消耗调参!$G$158</x:f>
        <x:v>1350</x:v>
      </x:c>
      <x:c r="N1479" s="12" t="n">
        <x:f>养成消耗调参!$I$158</x:f>
        <x:v>0</x:v>
      </x:c>
      <x:c r="O1479" s="12" t="n">
        <x:f>养成消耗调参!$K$158</x:f>
        <x:v>1512</x:v>
      </x:c>
      <x:c r="P1479" s="12" t="n">
        <x:f>养成消耗调参!$N$158</x:f>
        <x:v>9000</x:v>
      </x:c>
      <x:c r="Q1479" s="12" t="n">
        <x:f>养成消耗调参!$P$158</x:f>
        <x:v>40</x:v>
      </x:c>
      <x:c r="R1479" s="13">
        <x:f>I1479/英雄升级调参!$J$76-1</x:f>
        <x:v>-0.008577010114262484</x:v>
      </x:c>
      <x:c r="S1479" s="6"/>
      <x:c r="T1479" s="6"/>
      <x:c r="U1479" s="6"/>
    </x:row>
    <x:row r="1480" ht="21" customHeight="1">
      <x:c r="A1480" s="14" t="n">
        <x:f>英雄升级调参!$B$27</x:f>
        <x:v>310011</x:v>
      </x:c>
      <x:c r="B1480" s="14" t="str">
        <x:f>英雄升级调参!$C$27</x:f>
        <x:v>鳄不恶</x:v>
      </x:c>
      <x:c r="C1480" s="6" t="str">
        <x:f>英雄升级调参!$D$27</x:f>
        <x:v>生存者</x:v>
      </x:c>
      <x:c r="D1480" s="6" t="s">
        <x:v>22</x:v>
      </x:c>
      <x:c r="E1480" s="6">
        <x:v>12</x:v>
      </x:c>
      <x:c r="F1480" s="6" t="n">
        <x:f>英雄升级调参!$C$77</x:f>
        <x:v>3</x:v>
      </x:c>
      <x:c r="G1480" s="12">
        <x:f t="shared" si="138"/>
        <x:v>709</x:v>
      </x:c>
      <x:c r="H1480" s="12">
        <x:f t="shared" si="139"/>
        <x:v>7872</x:v>
      </x:c>
      <x:c r="I1480" s="12">
        <x:f t="shared" si="140"/>
        <x:v>5581248</x:v>
      </x:c>
      <x:c r="J1480" s="12">
        <x:f>ROUND(英雄升级调参!$D$77*英雄升级调参!$J$10*英雄升级调参!$E$27,0)</x:f>
        <x:v>51</x:v>
      </x:c>
      <x:c r="K1480" s="12">
        <x:f>ROUND(英雄升级调参!$D$77*英雄升级调参!$C$11*英雄升级调参!$J$10*英雄升级调参!$G$27,0)</x:f>
        <x:v>568</x:v>
      </x:c>
      <x:c r="L1480" s="12" t="n">
        <x:f>养成消耗调参!$D$159</x:f>
        <x:v>360</x:v>
      </x:c>
      <x:c r="M1480" s="12" t="n">
        <x:f>养成消耗调参!$G$159</x:f>
        <x:v>2250</x:v>
      </x:c>
      <x:c r="N1480" s="12" t="n">
        <x:f>养成消耗调参!$I$159</x:f>
        <x:v>0</x:v>
      </x:c>
      <x:c r="O1480" s="12" t="n">
        <x:f>养成消耗调参!$K$159</x:f>
        <x:v>1872</x:v>
      </x:c>
      <x:c r="P1480" s="12" t="n">
        <x:f>养成消耗调参!$N$159</x:f>
        <x:v>11250</x:v>
      </x:c>
      <x:c r="Q1480" s="12" t="n">
        <x:f>养成消耗调参!$P$159</x:f>
        <x:v>40</x:v>
      </x:c>
      <x:c r="R1480" s="13">
        <x:f>I1480/英雄升级调参!$J$77-1</x:f>
        <x:v>-0.008433889054705102</x:v>
      </x:c>
      <x:c r="S1480" s="6"/>
      <x:c r="T1480" s="6"/>
      <x:c r="U1480" s="6"/>
    </x:row>
    <x:row r="1481" ht="21" customHeight="1">
      <x:c r="A1481" s="14" t="n">
        <x:f>英雄升级调参!$B$27</x:f>
        <x:v>310011</x:v>
      </x:c>
      <x:c r="B1481" s="14" t="str">
        <x:f>英雄升级调参!$C$27</x:f>
        <x:v>鳄不恶</x:v>
      </x:c>
      <x:c r="C1481" s="6" t="str">
        <x:f>英雄升级调参!$D$27</x:f>
        <x:v>生存者</x:v>
      </x:c>
      <x:c r="D1481" s="6" t="s">
        <x:v>22</x:v>
      </x:c>
      <x:c r="E1481" s="6">
        <x:v>13</x:v>
      </x:c>
      <x:c r="F1481" s="6" t="n">
        <x:f>英雄升级调参!$C$78</x:f>
        <x:v>3</x:v>
      </x:c>
      <x:c r="G1481" s="12">
        <x:f t="shared" si="138"/>
        <x:v>760</x:v>
      </x:c>
      <x:c r="H1481" s="12">
        <x:f t="shared" si="139"/>
        <x:v>8440</x:v>
      </x:c>
      <x:c r="I1481" s="12">
        <x:f t="shared" si="140"/>
        <x:v>6414400</x:v>
      </x:c>
      <x:c r="J1481" s="12">
        <x:f>ROUND(英雄升级调参!$D$78*英雄升级调参!$J$10*英雄升级调参!$E$27,0)</x:f>
        <x:v>51</x:v>
      </x:c>
      <x:c r="K1481" s="12">
        <x:f>ROUND(英雄升级调参!$D$78*英雄升级调参!$C$11*英雄升级调参!$J$10*英雄升级调参!$G$27,0)</x:f>
        <x:v>568</x:v>
      </x:c>
      <x:c r="L1481" s="12" t="n">
        <x:f>养成消耗调参!$D$160</x:f>
        <x:v>360</x:v>
      </x:c>
      <x:c r="M1481" s="12" t="n">
        <x:f>养成消耗调参!$G$160</x:f>
        <x:v>2250</x:v>
      </x:c>
      <x:c r="N1481" s="12" t="n">
        <x:f>养成消耗调参!$I$160</x:f>
        <x:v>0</x:v>
      </x:c>
      <x:c r="O1481" s="12" t="n">
        <x:f>养成消耗调参!$K$160</x:f>
        <x:v>2232</x:v>
      </x:c>
      <x:c r="P1481" s="12" t="n">
        <x:f>养成消耗调参!$N$160</x:f>
        <x:v>13500</x:v>
      </x:c>
      <x:c r="Q1481" s="12" t="n">
        <x:f>养成消耗调参!$P$160</x:f>
        <x:v>40</x:v>
      </x:c>
      <x:c r="R1481" s="13">
        <x:f>I1481/英雄升级调参!$J$78-1</x:f>
        <x:v>-0.008309949521888016</x:v>
      </x:c>
      <x:c r="S1481" s="6"/>
      <x:c r="T1481" s="6"/>
      <x:c r="U1481" s="6"/>
    </x:row>
    <x:row r="1482" ht="21" customHeight="1">
      <x:c r="A1482" s="14" t="n">
        <x:f>英雄升级调参!$B$27</x:f>
        <x:v>310011</x:v>
      </x:c>
      <x:c r="B1482" s="14" t="str">
        <x:f>英雄升级调参!$C$27</x:f>
        <x:v>鳄不恶</x:v>
      </x:c>
      <x:c r="C1482" s="6" t="str">
        <x:f>英雄升级调参!$D$27</x:f>
        <x:v>生存者</x:v>
      </x:c>
      <x:c r="D1482" s="6" t="s">
        <x:v>22</x:v>
      </x:c>
      <x:c r="E1482" s="6">
        <x:v>14</x:v>
      </x:c>
      <x:c r="F1482" s="6" t="n">
        <x:f>英雄升级调参!$C$79</x:f>
        <x:v>3</x:v>
      </x:c>
      <x:c r="G1482" s="12">
        <x:f t="shared" si="138"/>
        <x:v>811</x:v>
      </x:c>
      <x:c r="H1482" s="12">
        <x:f t="shared" si="139"/>
        <x:v>9008</x:v>
      </x:c>
      <x:c r="I1482" s="12">
        <x:f t="shared" si="140"/>
        <x:v>7305488</x:v>
      </x:c>
      <x:c r="J1482" s="12">
        <x:f>ROUND(英雄升级调参!$D$79*英雄升级调参!$J$10*英雄升级调参!$E$27,0)</x:f>
        <x:v>51</x:v>
      </x:c>
      <x:c r="K1482" s="12">
        <x:f>ROUND(英雄升级调参!$D$79*英雄升级调参!$C$11*英雄升级调参!$J$10*英雄升级调参!$G$27,0)</x:f>
        <x:v>568</x:v>
      </x:c>
      <x:c r="L1482" s="12" t="n">
        <x:f>养成消耗调参!$D$161</x:f>
        <x:v>432</x:v>
      </x:c>
      <x:c r="M1482" s="12" t="n">
        <x:f>养成消耗调参!$G$161</x:f>
        <x:v>2250</x:v>
      </x:c>
      <x:c r="N1482" s="12" t="n">
        <x:f>养成消耗调参!$I$161</x:f>
        <x:v>0</x:v>
      </x:c>
      <x:c r="O1482" s="12" t="n">
        <x:f>养成消耗调参!$K$161</x:f>
        <x:v>2664</x:v>
      </x:c>
      <x:c r="P1482" s="12" t="n">
        <x:f>养成消耗调参!$N$161</x:f>
        <x:v>15750</x:v>
      </x:c>
      <x:c r="Q1482" s="12" t="n">
        <x:f>养成消耗调参!$P$161</x:f>
        <x:v>40</x:v>
      </x:c>
      <x:c r="R1482" s="13">
        <x:f>I1482/英雄升级调参!$J$79-1</x:f>
        <x:v>-0.008201577539743932</x:v>
      </x:c>
      <x:c r="S1482" s="6"/>
      <x:c r="T1482" s="6"/>
      <x:c r="U1482" s="6"/>
    </x:row>
    <x:row r="1483" ht="21" customHeight="1">
      <x:c r="A1483" s="14" t="n">
        <x:f>英雄升级调参!$B$27</x:f>
        <x:v>310011</x:v>
      </x:c>
      <x:c r="B1483" s="14" t="str">
        <x:f>英雄升级调参!$C$27</x:f>
        <x:v>鳄不恶</x:v>
      </x:c>
      <x:c r="C1483" s="6" t="str">
        <x:f>英雄升级调参!$D$27</x:f>
        <x:v>生存者</x:v>
      </x:c>
      <x:c r="D1483" s="6" t="s">
        <x:v>22</x:v>
      </x:c>
      <x:c r="E1483" s="6">
        <x:v>15</x:v>
      </x:c>
      <x:c r="F1483" s="6" t="n">
        <x:f>英雄升级调参!$C$80</x:f>
        <x:v>3</x:v>
      </x:c>
      <x:c r="G1483" s="12">
        <x:f t="shared" si="138"/>
        <x:v>964</x:v>
      </x:c>
      <x:c r="H1483" s="12">
        <x:f t="shared" si="139"/>
        <x:v>10712</x:v>
      </x:c>
      <x:c r="I1483" s="12">
        <x:f t="shared" si="140"/>
        <x:v>10326368</x:v>
      </x:c>
      <x:c r="J1483" s="12">
        <x:f>ROUND(英雄升级调参!$D$80*英雄升级调参!$J$10*英雄升级调参!$E$27,0)*3</x:f>
        <x:v>153</x:v>
      </x:c>
      <x:c r="K1483" s="12">
        <x:f>ROUND(英雄升级调参!$D$80*英雄升级调参!$C$11*英雄升级调参!$J$10*英雄升级调参!$G$27,0)*3</x:f>
        <x:v>1704</x:v>
      </x:c>
      <x:c r="L1483" s="12" t="n">
        <x:f>养成消耗调参!$D$162</x:f>
        <x:v>432</x:v>
      </x:c>
      <x:c r="M1483" s="12" t="n">
        <x:f>养成消耗调参!$G$162</x:f>
        <x:v>2250</x:v>
      </x:c>
      <x:c r="N1483" s="12" t="n">
        <x:f>养成消耗调参!$I$162</x:f>
        <x:v>50</x:v>
      </x:c>
      <x:c r="O1483" s="12" t="n">
        <x:f>养成消耗调参!$K$162</x:f>
        <x:v>3096</x:v>
      </x:c>
      <x:c r="P1483" s="12" t="n">
        <x:f>养成消耗调参!$N$162</x:f>
        <x:v>18000</x:v>
      </x:c>
      <x:c r="Q1483" s="12" t="n">
        <x:f>养成消耗调参!$P$162</x:f>
        <x:v>90</x:v>
      </x:c>
      <x:c r="R1483" s="13">
        <x:f>I1483/英雄升级调参!$J$80-1</x:f>
        <x:v>-0.007945186265439608</x:v>
      </x:c>
      <x:c r="S1483" s="6"/>
      <x:c r="T1483" s="6"/>
      <x:c r="U1483" s="6"/>
    </x:row>
    <x:row r="1484" ht="21" customHeight="1">
      <x:c r="A1484" s="14" t="n">
        <x:f>英雄升级调参!$B$27</x:f>
        <x:v>310011</x:v>
      </x:c>
      <x:c r="B1484" s="14" t="str">
        <x:f>英雄升级调参!$C$27</x:f>
        <x:v>鳄不恶</x:v>
      </x:c>
      <x:c r="C1484" s="6" t="str">
        <x:f>英雄升级调参!$D$27</x:f>
        <x:v>生存者</x:v>
      </x:c>
      <x:c r="D1484" s="6" t="s">
        <x:v>22</x:v>
      </x:c>
      <x:c r="E1484" s="6">
        <x:v>16</x:v>
      </x:c>
      <x:c r="F1484" s="6" t="n">
        <x:f>英雄升级调参!$C$81</x:f>
        <x:v>4</x:v>
      </x:c>
      <x:c r="G1484" s="12">
        <x:f t="shared" si="138"/>
        <x:v>1028</x:v>
      </x:c>
      <x:c r="H1484" s="12">
        <x:f t="shared" si="139"/>
        <x:v>11423</x:v>
      </x:c>
      <x:c r="I1484" s="12">
        <x:f t="shared" si="140"/>
        <x:v>11742844</x:v>
      </x:c>
      <x:c r="J1484" s="12">
        <x:f>ROUND(英雄升级调参!$D$81*英雄升级调参!$J$10*英雄升级调参!$E$27,0)</x:f>
        <x:v>64</x:v>
      </x:c>
      <x:c r="K1484" s="12">
        <x:f>ROUND(英雄升级调参!$D$81*英雄升级调参!$C$11*英雄升级调参!$J$10*英雄升级调参!$G$27,0)</x:f>
        <x:v>711</x:v>
      </x:c>
      <x:c r="L1484" s="12" t="n">
        <x:f>养成消耗调参!$D$163</x:f>
        <x:v>504</x:v>
      </x:c>
      <x:c r="M1484" s="12" t="n">
        <x:f>养成消耗调参!$G$163</x:f>
        <x:v>2250</x:v>
      </x:c>
      <x:c r="N1484" s="12" t="n">
        <x:f>养成消耗调参!$I$163</x:f>
        <x:v>0</x:v>
      </x:c>
      <x:c r="O1484" s="12" t="n">
        <x:f>养成消耗调参!$K$163</x:f>
        <x:v>3600</x:v>
      </x:c>
      <x:c r="P1484" s="12" t="n">
        <x:f>养成消耗调参!$N$163</x:f>
        <x:v>20250</x:v>
      </x:c>
      <x:c r="Q1484" s="12" t="n">
        <x:f>养成消耗调参!$P$163</x:f>
        <x:v>90</x:v>
      </x:c>
      <x:c r="R1484" s="13">
        <x:f>I1484/英雄升级调参!$J$81-1</x:f>
        <x:v>-0.007987902748914477</x:v>
      </x:c>
      <x:c r="S1484" s="6"/>
      <x:c r="T1484" s="6"/>
      <x:c r="U1484" s="6"/>
    </x:row>
    <x:row r="1485" ht="21" customHeight="1">
      <x:c r="A1485" s="14" t="n">
        <x:f>英雄升级调参!$B$27</x:f>
        <x:v>310011</x:v>
      </x:c>
      <x:c r="B1485" s="14" t="str">
        <x:f>英雄升级调参!$C$27</x:f>
        <x:v>鳄不恶</x:v>
      </x:c>
      <x:c r="C1485" s="6" t="str">
        <x:f>英雄升级调参!$D$27</x:f>
        <x:v>生存者</x:v>
      </x:c>
      <x:c r="D1485" s="6" t="s">
        <x:v>22</x:v>
      </x:c>
      <x:c r="E1485" s="6">
        <x:v>17</x:v>
      </x:c>
      <x:c r="F1485" s="6" t="n">
        <x:f>英雄升级调参!$C$82</x:f>
        <x:v>4</x:v>
      </x:c>
      <x:c r="G1485" s="12">
        <x:f t="shared" si="138"/>
        <x:v>1092</x:v>
      </x:c>
      <x:c r="H1485" s="12">
        <x:f t="shared" si="139"/>
        <x:v>12134</x:v>
      </x:c>
      <x:c r="I1485" s="12">
        <x:f t="shared" si="140"/>
        <x:v>13250328</x:v>
      </x:c>
      <x:c r="J1485" s="12">
        <x:f>ROUND(英雄升级调参!$D$82*英雄升级调参!$J$10*英雄升级调参!$E$27,0)</x:f>
        <x:v>64</x:v>
      </x:c>
      <x:c r="K1485" s="12">
        <x:f>ROUND(英雄升级调参!$D$82*英雄升级调参!$C$11*英雄升级调参!$J$10*英雄升级调参!$G$27,0)</x:f>
        <x:v>711</x:v>
      </x:c>
      <x:c r="L1485" s="12" t="n">
        <x:f>养成消耗调参!$D$164</x:f>
        <x:v>504</x:v>
      </x:c>
      <x:c r="M1485" s="12" t="n">
        <x:f>养成消耗调参!$G$164</x:f>
        <x:v>3150</x:v>
      </x:c>
      <x:c r="N1485" s="12" t="n">
        <x:f>养成消耗调参!$I$164</x:f>
        <x:v>0</x:v>
      </x:c>
      <x:c r="O1485" s="12" t="n">
        <x:f>养成消耗调参!$K$164</x:f>
        <x:v>4104</x:v>
      </x:c>
      <x:c r="P1485" s="12" t="n">
        <x:f>养成消耗调参!$N$164</x:f>
        <x:v>23400</x:v>
      </x:c>
      <x:c r="Q1485" s="12" t="n">
        <x:f>养成消耗调参!$P$164</x:f>
        <x:v>90</x:v>
      </x:c>
      <x:c r="R1485" s="13">
        <x:f>I1485/英雄升级调参!$J$82-1</x:f>
        <x:v>-0.008025585568589455</x:v>
      </x:c>
      <x:c r="S1485" s="6"/>
      <x:c r="T1485" s="6"/>
      <x:c r="U1485" s="6"/>
    </x:row>
    <x:row r="1486" ht="21" customHeight="1">
      <x:c r="A1486" s="14" t="n">
        <x:f>英雄升级调参!$B$27</x:f>
        <x:v>310011</x:v>
      </x:c>
      <x:c r="B1486" s="14" t="str">
        <x:f>英雄升级调参!$C$27</x:f>
        <x:v>鳄不恶</x:v>
      </x:c>
      <x:c r="C1486" s="6" t="str">
        <x:f>英雄升级调参!$D$27</x:f>
        <x:v>生存者</x:v>
      </x:c>
      <x:c r="D1486" s="6" t="s">
        <x:v>22</x:v>
      </x:c>
      <x:c r="E1486" s="6">
        <x:v>18</x:v>
      </x:c>
      <x:c r="F1486" s="6" t="n">
        <x:f>英雄升级调参!$C$83</x:f>
        <x:v>4</x:v>
      </x:c>
      <x:c r="G1486" s="12">
        <x:f t="shared" si="138"/>
        <x:v>1156</x:v>
      </x:c>
      <x:c r="H1486" s="12">
        <x:f t="shared" si="139"/>
        <x:v>12845</x:v>
      </x:c>
      <x:c r="I1486" s="12">
        <x:f t="shared" si="140"/>
        <x:v>14848820</x:v>
      </x:c>
      <x:c r="J1486" s="12">
        <x:f>ROUND(英雄升级调参!$D$83*英雄升级调参!$J$10*英雄升级调参!$E$27,0)</x:f>
        <x:v>64</x:v>
      </x:c>
      <x:c r="K1486" s="12">
        <x:f>ROUND(英雄升级调参!$D$83*英雄升级调参!$C$11*英雄升级调参!$J$10*英雄升级调参!$G$27,0)</x:f>
        <x:v>711</x:v>
      </x:c>
      <x:c r="L1486" s="12" t="n">
        <x:f>养成消耗调参!$D$165</x:f>
        <x:v>576</x:v>
      </x:c>
      <x:c r="M1486" s="12" t="n">
        <x:f>养成消耗调参!$G$165</x:f>
        <x:v>3150</x:v>
      </x:c>
      <x:c r="N1486" s="12" t="n">
        <x:f>养成消耗调参!$I$165</x:f>
        <x:v>0</x:v>
      </x:c>
      <x:c r="O1486" s="12" t="n">
        <x:f>养成消耗调参!$K$165</x:f>
        <x:v>4680</x:v>
      </x:c>
      <x:c r="P1486" s="12" t="n">
        <x:f>养成消耗调参!$N$165</x:f>
        <x:v>26550</x:v>
      </x:c>
      <x:c r="Q1486" s="12" t="n">
        <x:f>养成消耗调参!$P$165</x:f>
        <x:v>90</x:v>
      </x:c>
      <x:c r="R1486" s="13">
        <x:f>I1486/英雄升级调参!$J$83-1</x:f>
        <x:v>-0.008059074943251088</x:v>
      </x:c>
      <x:c r="S1486" s="6"/>
      <x:c r="T1486" s="6"/>
      <x:c r="U1486" s="6"/>
    </x:row>
    <x:row r="1487" ht="21" customHeight="1">
      <x:c r="A1487" s="14" t="n">
        <x:f>英雄升级调参!$B$27</x:f>
        <x:v>310011</x:v>
      </x:c>
      <x:c r="B1487" s="14" t="str">
        <x:f>英雄升级调参!$C$27</x:f>
        <x:v>鳄不恶</x:v>
      </x:c>
      <x:c r="C1487" s="6" t="str">
        <x:f>英雄升级调参!$D$27</x:f>
        <x:v>生存者</x:v>
      </x:c>
      <x:c r="D1487" s="6" t="s">
        <x:v>22</x:v>
      </x:c>
      <x:c r="E1487" s="6">
        <x:v>19</x:v>
      </x:c>
      <x:c r="F1487" s="6" t="n">
        <x:f>英雄升级调参!$C$84</x:f>
        <x:v>4</x:v>
      </x:c>
      <x:c r="G1487" s="12">
        <x:f t="shared" si="138"/>
        <x:v>1220</x:v>
      </x:c>
      <x:c r="H1487" s="12">
        <x:f t="shared" si="139"/>
        <x:v>13556</x:v>
      </x:c>
      <x:c r="I1487" s="12">
        <x:f t="shared" si="140"/>
        <x:v>16538320</x:v>
      </x:c>
      <x:c r="J1487" s="12">
        <x:f>ROUND(英雄升级调参!$D$84*英雄升级调参!$J$10*英雄升级调参!$E$27,0)</x:f>
        <x:v>64</x:v>
      </x:c>
      <x:c r="K1487" s="12">
        <x:f>ROUND(英雄升级调参!$D$84*英雄升级调参!$C$11*英雄升级调参!$J$10*英雄升级调参!$G$27,0)</x:f>
        <x:v>711</x:v>
      </x:c>
      <x:c r="L1487" s="12" t="n">
        <x:f>养成消耗调参!$D$166</x:f>
        <x:v>576</x:v>
      </x:c>
      <x:c r="M1487" s="12" t="n">
        <x:f>养成消耗调参!$G$166</x:f>
        <x:v>3150</x:v>
      </x:c>
      <x:c r="N1487" s="12" t="n">
        <x:f>养成消耗调参!$I$166</x:f>
        <x:v>0</x:v>
      </x:c>
      <x:c r="O1487" s="12" t="n">
        <x:f>养成消耗调参!$K$166</x:f>
        <x:v>5256</x:v>
      </x:c>
      <x:c r="P1487" s="12" t="n">
        <x:f>养成消耗调参!$N$166</x:f>
        <x:v>29700</x:v>
      </x:c>
      <x:c r="Q1487" s="12" t="n">
        <x:f>养成消耗调参!$P$166</x:f>
        <x:v>90</x:v>
      </x:c>
      <x:c r="R1487" s="13">
        <x:f>I1487/英雄升级调参!$J$84-1</x:f>
        <x:v>-0.008089033952111135</x:v>
      </x:c>
      <x:c r="S1487" s="6"/>
      <x:c r="T1487" s="6"/>
      <x:c r="U1487" s="6"/>
    </x:row>
    <x:row r="1488" ht="21" customHeight="1">
      <x:c r="A1488" s="14" t="n">
        <x:f>英雄升级调参!$B$27</x:f>
        <x:v>310011</x:v>
      </x:c>
      <x:c r="B1488" s="14" t="str">
        <x:f>英雄升级调参!$C$27</x:f>
        <x:v>鳄不恶</x:v>
      </x:c>
      <x:c r="C1488" s="6" t="str">
        <x:f>英雄升级调参!$D$27</x:f>
        <x:v>生存者</x:v>
      </x:c>
      <x:c r="D1488" s="6" t="s">
        <x:v>22</x:v>
      </x:c>
      <x:c r="E1488" s="6">
        <x:v>20</x:v>
      </x:c>
      <x:c r="F1488" s="6" t="n">
        <x:f>英雄升级调参!$C$85</x:f>
        <x:v>4</x:v>
      </x:c>
      <x:c r="G1488" s="12">
        <x:f t="shared" si="138"/>
        <x:v>1412</x:v>
      </x:c>
      <x:c r="H1488" s="12">
        <x:f t="shared" si="139"/>
        <x:v>15689</x:v>
      </x:c>
      <x:c r="I1488" s="12">
        <x:f t="shared" si="140"/>
        <x:v>22152868</x:v>
      </x:c>
      <x:c r="J1488" s="12">
        <x:f>ROUND(英雄升级调参!$D$85*英雄升级调参!$J$10*英雄升级调参!$E$27,0)*3</x:f>
        <x:v>192</x:v>
      </x:c>
      <x:c r="K1488" s="12">
        <x:f>ROUND(英雄升级调参!$D$85*英雄升级调参!$C$11*英雄升级调参!$J$10*英雄升级调参!$G$27,0)*3</x:f>
        <x:v>2133</x:v>
      </x:c>
      <x:c r="L1488" s="12" t="n">
        <x:f>养成消耗调参!$D$167</x:f>
        <x:v>648</x:v>
      </x:c>
      <x:c r="M1488" s="12" t="n">
        <x:f>养成消耗调参!$G$167</x:f>
        <x:v>3150</x:v>
      </x:c>
      <x:c r="N1488" s="12" t="n">
        <x:f>养成消耗调参!$I$167</x:f>
        <x:v>70</x:v>
      </x:c>
      <x:c r="O1488" s="12" t="n">
        <x:f>养成消耗调参!$K$167</x:f>
        <x:v>5904</x:v>
      </x:c>
      <x:c r="P1488" s="12" t="n">
        <x:f>养成消耗调参!$N$167</x:f>
        <x:v>32850</x:v>
      </x:c>
      <x:c r="Q1488" s="12" t="n">
        <x:f>养成消耗调参!$P$167</x:f>
        <x:v>160</x:v>
      </x:c>
      <x:c r="R1488" s="13">
        <x:f>I1488/英雄升级调参!$J$85-1</x:f>
        <x:v>-0.00816254894744528</x:v>
      </x:c>
      <x:c r="S1488" s="6"/>
      <x:c r="T1488" s="6"/>
      <x:c r="U1488" s="6"/>
    </x:row>
    <x:row r="1489" ht="21" customHeight="1">
      <x:c r="A1489" s="14" t="n">
        <x:f>英雄升级调参!$B$27</x:f>
        <x:v>310011</x:v>
      </x:c>
      <x:c r="B1489" s="14" t="str">
        <x:f>英雄升级调参!$C$27</x:f>
        <x:v>鳄不恶</x:v>
      </x:c>
      <x:c r="C1489" s="6" t="str">
        <x:f>英雄升级调参!$D$27</x:f>
        <x:v>生存者</x:v>
      </x:c>
      <x:c r="D1489" s="6" t="s">
        <x:v>22</x:v>
      </x:c>
      <x:c r="E1489" s="6">
        <x:v>21</x:v>
      </x:c>
      <x:c r="F1489" s="6" t="n">
        <x:f>英雄升级调参!$C$86</x:f>
        <x:v>5</x:v>
      </x:c>
      <x:c r="G1489" s="12">
        <x:f t="shared" si="138"/>
        <x:v>1489</x:v>
      </x:c>
      <x:c r="H1489" s="12">
        <x:f t="shared" si="139"/>
        <x:v>16542</x:v>
      </x:c>
      <x:c r="I1489" s="12">
        <x:f t="shared" si="140"/>
        <x:v>24631038</x:v>
      </x:c>
      <x:c r="J1489" s="12">
        <x:f>ROUND(英雄升级调参!$D$86*英雄升级调参!$J$10*英雄升级调参!$E$27,0)</x:f>
        <x:v>77</x:v>
      </x:c>
      <x:c r="K1489" s="12">
        <x:f>ROUND(英雄升级调参!$D$86*英雄升级调参!$C$11*英雄升级调参!$J$10*英雄升级调参!$G$27,0)</x:f>
        <x:v>853</x:v>
      </x:c>
      <x:c r="L1489" s="12" t="n">
        <x:f>养成消耗调参!$D$168</x:f>
        <x:v>648</x:v>
      </x:c>
      <x:c r="M1489" s="12" t="n">
        <x:f>养成消耗调参!$G$168</x:f>
        <x:v>3150</x:v>
      </x:c>
      <x:c r="N1489" s="12" t="n">
        <x:f>养成消耗调参!$I$168</x:f>
        <x:v>0</x:v>
      </x:c>
      <x:c r="O1489" s="12" t="n">
        <x:f>养成消耗调参!$K$168</x:f>
        <x:v>6552</x:v>
      </x:c>
      <x:c r="P1489" s="12" t="n">
        <x:f>养成消耗调参!$N$168</x:f>
        <x:v>36000</x:v>
      </x:c>
      <x:c r="Q1489" s="12" t="n">
        <x:f>养成消耗调参!$P$168</x:f>
        <x:v>160</x:v>
      </x:c>
      <x:c r="R1489" s="13">
        <x:f>I1489/英雄升级调参!$J$86-1</x:f>
        <x:v>-0.007688458730764958</x:v>
      </x:c>
      <x:c r="S1489" s="6"/>
      <x:c r="T1489" s="6"/>
      <x:c r="U1489" s="6"/>
    </x:row>
    <x:row r="1490" ht="21" customHeight="1">
      <x:c r="A1490" s="14" t="n">
        <x:f>英雄升级调参!$B$27</x:f>
        <x:v>310011</x:v>
      </x:c>
      <x:c r="B1490" s="14" t="str">
        <x:f>英雄升级调参!$C$27</x:f>
        <x:v>鳄不恶</x:v>
      </x:c>
      <x:c r="C1490" s="6" t="str">
        <x:f>英雄升级调参!$D$27</x:f>
        <x:v>生存者</x:v>
      </x:c>
      <x:c r="D1490" s="6" t="s">
        <x:v>22</x:v>
      </x:c>
      <x:c r="E1490" s="6">
        <x:v>22</x:v>
      </x:c>
      <x:c r="F1490" s="6" t="n">
        <x:f>英雄升级调参!$C$87</x:f>
        <x:v>5</x:v>
      </x:c>
      <x:c r="G1490" s="12">
        <x:f t="shared" si="138"/>
        <x:v>1566</x:v>
      </x:c>
      <x:c r="H1490" s="12">
        <x:f t="shared" si="139"/>
        <x:v>17395</x:v>
      </x:c>
      <x:c r="I1490" s="12">
        <x:f t="shared" si="140"/>
        <x:v>27240570</x:v>
      </x:c>
      <x:c r="J1490" s="12">
        <x:f>ROUND(英雄升级调参!$D$87*英雄升级调参!$J$10*英雄升级调参!$E$27,0)</x:f>
        <x:v>77</x:v>
      </x:c>
      <x:c r="K1490" s="12">
        <x:f>ROUND(英雄升级调参!$D$87*英雄升级调参!$C$11*英雄升级调参!$J$10*英雄升级调参!$G$27,0)</x:f>
        <x:v>853</x:v>
      </x:c>
      <x:c r="L1490" s="12" t="n">
        <x:f>养成消耗调参!$D$169</x:f>
        <x:v>720</x:v>
      </x:c>
      <x:c r="M1490" s="12" t="n">
        <x:f>养成消耗调参!$G$169</x:f>
        <x:v>4500</x:v>
      </x:c>
      <x:c r="N1490" s="12" t="n">
        <x:f>养成消耗调参!$I$169</x:f>
        <x:v>0</x:v>
      </x:c>
      <x:c r="O1490" s="12" t="n">
        <x:f>养成消耗调参!$K$169</x:f>
        <x:v>7272</x:v>
      </x:c>
      <x:c r="P1490" s="12" t="n">
        <x:f>养成消耗调参!$N$169</x:f>
        <x:v>40500</x:v>
      </x:c>
      <x:c r="Q1490" s="12" t="n">
        <x:f>养成消耗调参!$P$169</x:f>
        <x:v>160</x:v>
      </x:c>
      <x:c r="R1490" s="13">
        <x:f>I1490/英雄升级调参!$J$87-1</x:f>
        <x:v>-0.0072606214331008</x:v>
      </x:c>
      <x:c r="S1490" s="6"/>
      <x:c r="T1490" s="6"/>
      <x:c r="U1490" s="6"/>
    </x:row>
    <x:row r="1491" ht="21" customHeight="1">
      <x:c r="A1491" s="14" t="n">
        <x:f>英雄升级调参!$B$27</x:f>
        <x:v>310011</x:v>
      </x:c>
      <x:c r="B1491" s="14" t="str">
        <x:f>英雄升级调参!$C$27</x:f>
        <x:v>鳄不恶</x:v>
      </x:c>
      <x:c r="C1491" s="6" t="str">
        <x:f>英雄升级调参!$D$27</x:f>
        <x:v>生存者</x:v>
      </x:c>
      <x:c r="D1491" s="6" t="s">
        <x:v>22</x:v>
      </x:c>
      <x:c r="E1491" s="6">
        <x:v>23</x:v>
      </x:c>
      <x:c r="F1491" s="6" t="n">
        <x:f>英雄升级调参!$C$88</x:f>
        <x:v>5</x:v>
      </x:c>
      <x:c r="G1491" s="12">
        <x:f t="shared" si="138"/>
        <x:v>1643</x:v>
      </x:c>
      <x:c r="H1491" s="12">
        <x:f t="shared" si="139"/>
        <x:v>18248</x:v>
      </x:c>
      <x:c r="I1491" s="12">
        <x:f t="shared" si="140"/>
        <x:v>29981464</x:v>
      </x:c>
      <x:c r="J1491" s="12">
        <x:f>ROUND(英雄升级调参!$D$88*英雄升级调参!$J$10*英雄升级调参!$E$27,0)</x:f>
        <x:v>77</x:v>
      </x:c>
      <x:c r="K1491" s="12">
        <x:f>ROUND(英雄升级调参!$D$88*英雄升级调参!$C$11*英雄升级调参!$J$10*英雄升级调参!$G$27,0)</x:f>
        <x:v>853</x:v>
      </x:c>
      <x:c r="L1491" s="12" t="n">
        <x:f>养成消耗调参!$D$170</x:f>
        <x:v>720</x:v>
      </x:c>
      <x:c r="M1491" s="12" t="n">
        <x:f>养成消耗调参!$G$170</x:f>
        <x:v>4500</x:v>
      </x:c>
      <x:c r="N1491" s="12" t="n">
        <x:f>养成消耗调参!$I$170</x:f>
        <x:v>0</x:v>
      </x:c>
      <x:c r="O1491" s="12" t="n">
        <x:f>养成消耗调参!$K$170</x:f>
        <x:v>7992</x:v>
      </x:c>
      <x:c r="P1491" s="12" t="n">
        <x:f>养成消耗调参!$N$170</x:f>
        <x:v>45000</x:v>
      </x:c>
      <x:c r="Q1491" s="12" t="n">
        <x:f>养成消耗调参!$P$170</x:f>
        <x:v>160</x:v>
      </x:c>
      <x:c r="R1491" s="13">
        <x:f>I1491/英雄升级调参!$J$88-1</x:f>
        <x:v>-0.00687258313806316</x:v>
      </x:c>
      <x:c r="S1491" s="6"/>
      <x:c r="T1491" s="6"/>
      <x:c r="U1491" s="6"/>
    </x:row>
    <x:row r="1492" ht="21" customHeight="1">
      <x:c r="A1492" s="14" t="n">
        <x:f>英雄升级调参!$B$27</x:f>
        <x:v>310011</x:v>
      </x:c>
      <x:c r="B1492" s="14" t="str">
        <x:f>英雄升级调参!$C$27</x:f>
        <x:v>鳄不恶</x:v>
      </x:c>
      <x:c r="C1492" s="6" t="str">
        <x:f>英雄升级调参!$D$27</x:f>
        <x:v>生存者</x:v>
      </x:c>
      <x:c r="D1492" s="6" t="s">
        <x:v>22</x:v>
      </x:c>
      <x:c r="E1492" s="6">
        <x:v>24</x:v>
      </x:c>
      <x:c r="F1492" s="6" t="n">
        <x:f>英雄升级调参!$C$89</x:f>
        <x:v>5</x:v>
      </x:c>
      <x:c r="G1492" s="12">
        <x:f t="shared" si="138"/>
        <x:v>1720</x:v>
      </x:c>
      <x:c r="H1492" s="12">
        <x:f t="shared" si="139"/>
        <x:v>19101</x:v>
      </x:c>
      <x:c r="I1492" s="12">
        <x:f t="shared" si="140"/>
        <x:v>32853720</x:v>
      </x:c>
      <x:c r="J1492" s="12">
        <x:f>ROUND(英雄升级调参!$D$89*英雄升级调参!$J$10*英雄升级调参!$E$27,0)</x:f>
        <x:v>77</x:v>
      </x:c>
      <x:c r="K1492" s="12">
        <x:f>ROUND(英雄升级调参!$D$89*英雄升级调参!$C$11*英雄升级调参!$J$10*英雄升级调参!$G$27,0)</x:f>
        <x:v>853</x:v>
      </x:c>
      <x:c r="L1492" s="12" t="n">
        <x:f>养成消耗调参!$D$171</x:f>
        <x:v>792</x:v>
      </x:c>
      <x:c r="M1492" s="12" t="n">
        <x:f>养成消耗调参!$G$171</x:f>
        <x:v>4500</x:v>
      </x:c>
      <x:c r="N1492" s="12" t="n">
        <x:f>养成消耗调参!$I$171</x:f>
        <x:v>0</x:v>
      </x:c>
      <x:c r="O1492" s="12" t="n">
        <x:f>养成消耗调参!$K$171</x:f>
        <x:v>8784</x:v>
      </x:c>
      <x:c r="P1492" s="12" t="n">
        <x:f>养成消耗调参!$N$171</x:f>
        <x:v>49500</x:v>
      </x:c>
      <x:c r="Q1492" s="12" t="n">
        <x:f>养成消耗调参!$P$171</x:f>
        <x:v>160</x:v>
      </x:c>
      <x:c r="R1492" s="13">
        <x:f>I1492/英雄升级调参!$J$89-1</x:f>
        <x:v>-0.006519037294409058</x:v>
      </x:c>
      <x:c r="S1492" s="6"/>
      <x:c r="T1492" s="6"/>
      <x:c r="U1492" s="6"/>
    </x:row>
    <x:row r="1493" ht="21" customHeight="1">
      <x:c r="A1493" s="14" t="n">
        <x:f>英雄升级调参!$B$27</x:f>
        <x:v>310011</x:v>
      </x:c>
      <x:c r="B1493" s="14" t="str">
        <x:f>英雄升级调参!$C$27</x:f>
        <x:v>鳄不恶</x:v>
      </x:c>
      <x:c r="C1493" s="6" t="str">
        <x:f>英雄升级调参!$D$27</x:f>
        <x:v>生存者</x:v>
      </x:c>
      <x:c r="D1493" s="6" t="s">
        <x:v>22</x:v>
      </x:c>
      <x:c r="E1493" s="6">
        <x:v>25</x:v>
      </x:c>
      <x:c r="F1493" s="6" t="n">
        <x:f>英雄升级调参!$C$90</x:f>
        <x:v>5</x:v>
      </x:c>
      <x:c r="G1493" s="12">
        <x:f t="shared" si="138"/>
        <x:v>1951</x:v>
      </x:c>
      <x:c r="H1493" s="12">
        <x:f t="shared" si="139"/>
        <x:v>21660</x:v>
      </x:c>
      <x:c r="I1493" s="12">
        <x:f t="shared" si="140"/>
        <x:v>42258660</x:v>
      </x:c>
      <x:c r="J1493" s="12">
        <x:f>ROUND(英雄升级调参!$D$90*英雄升级调参!$J$10*英雄升级调参!$E$27,0)*3</x:f>
        <x:v>231</x:v>
      </x:c>
      <x:c r="K1493" s="12">
        <x:f>ROUND(英雄升级调参!$D$90*英雄升级调参!$C$11*英雄升级调参!$J$10*英雄升级调参!$G$27,0)*3</x:f>
        <x:v>2559</x:v>
      </x:c>
      <x:c r="L1493" s="12" t="n">
        <x:f>养成消耗调参!$D$172</x:f>
        <x:v>792</x:v>
      </x:c>
      <x:c r="M1493" s="12" t="n">
        <x:f>养成消耗调参!$G$172</x:f>
        <x:v>4500</x:v>
      </x:c>
      <x:c r="N1493" s="12" t="n">
        <x:f>养成消耗调参!$I$172</x:f>
        <x:v>90</x:v>
      </x:c>
      <x:c r="O1493" s="12" t="n">
        <x:f>养成消耗调参!$K$172</x:f>
        <x:v>9576</x:v>
      </x:c>
      <x:c r="P1493" s="12" t="n">
        <x:f>养成消耗调参!$N$172</x:f>
        <x:v>54000</x:v>
      </x:c>
      <x:c r="Q1493" s="12" t="n">
        <x:f>养成消耗调参!$P$172</x:f>
        <x:v>250</x:v>
      </x:c>
      <x:c r="R1493" s="13">
        <x:f>I1493/英雄升级调参!$J$90-1</x:f>
        <x:v>-0.005624774987822878</x:v>
      </x:c>
      <x:c r="S1493" s="6"/>
      <x:c r="T1493" s="6"/>
      <x:c r="U1493" s="6"/>
    </x:row>
    <x:row r="1494" ht="21" customHeight="1">
      <x:c r="A1494" s="14" t="n">
        <x:f>英雄升级调参!$B$27</x:f>
        <x:v>310011</x:v>
      </x:c>
      <x:c r="B1494" s="14" t="str">
        <x:f>英雄升级调参!$C$27</x:f>
        <x:v>鳄不恶</x:v>
      </x:c>
      <x:c r="C1494" s="6" t="str">
        <x:f>英雄升级调参!$D$27</x:f>
        <x:v>生存者</x:v>
      </x:c>
      <x:c r="D1494" s="6" t="s">
        <x:v>22</x:v>
      </x:c>
      <x:c r="E1494" s="6">
        <x:v>26</x:v>
      </x:c>
      <x:c r="F1494" s="6" t="n">
        <x:f>英雄升级调参!$C$91</x:f>
        <x:v>6</x:v>
      </x:c>
      <x:c r="G1494" s="12">
        <x:f t="shared" si="138"/>
        <x:v>2041</x:v>
      </x:c>
      <x:c r="H1494" s="12">
        <x:f t="shared" si="139"/>
        <x:v>22655</x:v>
      </x:c>
      <x:c r="I1494" s="12">
        <x:f t="shared" si="140"/>
        <x:v>46238855</x:v>
      </x:c>
      <x:c r="J1494" s="12">
        <x:f>ROUND(英雄升级调参!$D$91*英雄升级调参!$J$10*英雄升级调参!$E$27,0)</x:f>
        <x:v>90</x:v>
      </x:c>
      <x:c r="K1494" s="12">
        <x:f>ROUND(英雄升级调参!$D$91*英雄升级调参!$C$11*英雄升级调参!$J$10*英雄升级调参!$G$27,0)</x:f>
        <x:v>995</x:v>
      </x:c>
      <x:c r="L1494" s="12" t="n">
        <x:f>养成消耗调参!$D$173</x:f>
        <x:v>864</x:v>
      </x:c>
      <x:c r="M1494" s="12" t="n">
        <x:f>养成消耗调参!$G$173</x:f>
        <x:v>4500</x:v>
      </x:c>
      <x:c r="N1494" s="12" t="n">
        <x:f>养成消耗调参!$I$173</x:f>
        <x:v>0</x:v>
      </x:c>
      <x:c r="O1494" s="12" t="n">
        <x:f>养成消耗调参!$K$173</x:f>
        <x:v>10440</x:v>
      </x:c>
      <x:c r="P1494" s="12" t="n">
        <x:f>养成消耗调参!$N$173</x:f>
        <x:v>58500</x:v>
      </x:c>
      <x:c r="Q1494" s="12" t="n">
        <x:f>养成消耗调参!$P$173</x:f>
        <x:v>250</x:v>
      </x:c>
      <x:c r="R1494" s="13">
        <x:f>I1494/英雄升级调参!$J$91-1</x:f>
        <x:v>-0.00548769733729082</x:v>
      </x:c>
      <x:c r="S1494" s="6"/>
      <x:c r="T1494" s="6"/>
      <x:c r="U1494" s="6"/>
    </x:row>
    <x:row r="1495" ht="21" customHeight="1">
      <x:c r="A1495" s="14" t="n">
        <x:f>英雄升级调参!$B$27</x:f>
        <x:v>310011</x:v>
      </x:c>
      <x:c r="B1495" s="14" t="str">
        <x:f>英雄升级调参!$C$27</x:f>
        <x:v>鳄不恶</x:v>
      </x:c>
      <x:c r="C1495" s="6" t="str">
        <x:f>英雄升级调参!$D$27</x:f>
        <x:v>生存者</x:v>
      </x:c>
      <x:c r="D1495" s="6" t="s">
        <x:v>22</x:v>
      </x:c>
      <x:c r="E1495" s="6">
        <x:v>27</x:v>
      </x:c>
      <x:c r="F1495" s="6" t="n">
        <x:f>英雄升级调参!$C$92</x:f>
        <x:v>6</x:v>
      </x:c>
      <x:c r="G1495" s="12">
        <x:f t="shared" si="138"/>
        <x:v>2131</x:v>
      </x:c>
      <x:c r="H1495" s="12">
        <x:f t="shared" si="139"/>
        <x:v>23650</x:v>
      </x:c>
      <x:c r="I1495" s="12">
        <x:f t="shared" si="140"/>
        <x:v>50398150</x:v>
      </x:c>
      <x:c r="J1495" s="12">
        <x:f>ROUND(英雄升级调参!$D$92*英雄升级调参!$J$10*英雄升级调参!$E$27,0)</x:f>
        <x:v>90</x:v>
      </x:c>
      <x:c r="K1495" s="12">
        <x:f>ROUND(英雄升级调参!$D$92*英雄升级调参!$C$11*英雄升级调参!$J$10*英雄升级调参!$G$27,0)</x:f>
        <x:v>995</x:v>
      </x:c>
      <x:c r="L1495" s="12" t="n">
        <x:f>养成消耗调参!$D$174</x:f>
        <x:v>864</x:v>
      </x:c>
      <x:c r="M1495" s="12" t="n">
        <x:f>养成消耗调参!$G$174</x:f>
        <x:v>5850</x:v>
      </x:c>
      <x:c r="N1495" s="12" t="n">
        <x:f>养成消耗调参!$I$174</x:f>
        <x:v>0</x:v>
      </x:c>
      <x:c r="O1495" s="12" t="n">
        <x:f>养成消耗调参!$K$174</x:f>
        <x:v>11304</x:v>
      </x:c>
      <x:c r="P1495" s="12" t="n">
        <x:f>养成消耗调参!$N$174</x:f>
        <x:v>64350</x:v>
      </x:c>
      <x:c r="Q1495" s="12" t="n">
        <x:f>养成消耗调参!$P$174</x:f>
        <x:v>250</x:v>
      </x:c>
      <x:c r="R1495" s="13">
        <x:f>I1495/英雄升级调参!$J$92-1</x:f>
        <x:v>-0.005362163100936734</x:v>
      </x:c>
      <x:c r="S1495" s="6"/>
      <x:c r="T1495" s="6"/>
      <x:c r="U1495" s="6"/>
    </x:row>
    <x:row r="1496" ht="21" customHeight="1">
      <x:c r="A1496" s="14" t="n">
        <x:f>英雄升级调参!$B$27</x:f>
        <x:v>310011</x:v>
      </x:c>
      <x:c r="B1496" s="14" t="str">
        <x:f>英雄升级调参!$C$27</x:f>
        <x:v>鳄不恶</x:v>
      </x:c>
      <x:c r="C1496" s="6" t="str">
        <x:f>英雄升级调参!$D$27</x:f>
        <x:v>生存者</x:v>
      </x:c>
      <x:c r="D1496" s="6" t="s">
        <x:v>22</x:v>
      </x:c>
      <x:c r="E1496" s="6">
        <x:v>28</x:v>
      </x:c>
      <x:c r="F1496" s="6" t="n">
        <x:f>英雄升级调参!$C$93</x:f>
        <x:v>6</x:v>
      </x:c>
      <x:c r="G1496" s="12">
        <x:f t="shared" si="138"/>
        <x:v>2221</x:v>
      </x:c>
      <x:c r="H1496" s="12">
        <x:f t="shared" si="139"/>
        <x:v>24645</x:v>
      </x:c>
      <x:c r="I1496" s="12">
        <x:f t="shared" si="140"/>
        <x:v>54736545</x:v>
      </x:c>
      <x:c r="J1496" s="12">
        <x:f>ROUND(英雄升级调参!$D$93*英雄升级调参!$J$10*英雄升级调参!$E$27,0)</x:f>
        <x:v>90</x:v>
      </x:c>
      <x:c r="K1496" s="12">
        <x:f>ROUND(英雄升级调参!$D$93*英雄升级调参!$C$11*英雄升级调参!$J$10*英雄升级调参!$G$27,0)</x:f>
        <x:v>995</x:v>
      </x:c>
      <x:c r="L1496" s="12" t="n">
        <x:f>养成消耗调参!$D$175</x:f>
        <x:v>936</x:v>
      </x:c>
      <x:c r="M1496" s="12" t="n">
        <x:f>养成消耗调参!$G$175</x:f>
        <x:v>5850</x:v>
      </x:c>
      <x:c r="N1496" s="12" t="n">
        <x:f>养成消耗调参!$I$175</x:f>
        <x:v>0</x:v>
      </x:c>
      <x:c r="O1496" s="12" t="n">
        <x:f>养成消耗调参!$K$175</x:f>
        <x:v>12240</x:v>
      </x:c>
      <x:c r="P1496" s="12" t="n">
        <x:f>养成消耗调参!$N$175</x:f>
        <x:v>70200</x:v>
      </x:c>
      <x:c r="Q1496" s="12" t="n">
        <x:f>养成消耗调参!$P$175</x:f>
        <x:v>250</x:v>
      </x:c>
      <x:c r="R1496" s="13">
        <x:f>I1496/英雄升级调参!$J$93-1</x:f>
        <x:v>-0.00524677307236221</x:v>
      </x:c>
      <x:c r="S1496" s="6"/>
      <x:c r="T1496" s="6"/>
      <x:c r="U1496" s="6"/>
    </x:row>
    <x:row r="1497" ht="21" customHeight="1">
      <x:c r="A1497" s="14" t="n">
        <x:f>英雄升级调参!$B$27</x:f>
        <x:v>310011</x:v>
      </x:c>
      <x:c r="B1497" s="14" t="str">
        <x:f>英雄升级调参!$C$27</x:f>
        <x:v>鳄不恶</x:v>
      </x:c>
      <x:c r="C1497" s="6" t="str">
        <x:f>英雄升级调参!$D$27</x:f>
        <x:v>生存者</x:v>
      </x:c>
      <x:c r="D1497" s="6" t="s">
        <x:v>22</x:v>
      </x:c>
      <x:c r="E1497" s="6">
        <x:v>29</x:v>
      </x:c>
      <x:c r="F1497" s="6" t="n">
        <x:f>英雄升级调参!$C$94</x:f>
        <x:v>6</x:v>
      </x:c>
      <x:c r="G1497" s="12">
        <x:f t="shared" si="138"/>
        <x:v>2311</x:v>
      </x:c>
      <x:c r="H1497" s="12">
        <x:f t="shared" si="139"/>
        <x:v>25640</x:v>
      </x:c>
      <x:c r="I1497" s="12">
        <x:f t="shared" si="140"/>
        <x:v>59254040</x:v>
      </x:c>
      <x:c r="J1497" s="12">
        <x:f>ROUND(英雄升级调参!$D$94*英雄升级调参!$J$10*英雄升级调参!$E$27,0)</x:f>
        <x:v>90</x:v>
      </x:c>
      <x:c r="K1497" s="12">
        <x:f>ROUND(英雄升级调参!$D$94*英雄升级调参!$C$11*英雄升级调参!$J$10*英雄升级调参!$G$27,0)</x:f>
        <x:v>995</x:v>
      </x:c>
      <x:c r="L1497" s="12" t="n">
        <x:f>养成消耗调参!$D$176</x:f>
        <x:v>936</x:v>
      </x:c>
      <x:c r="M1497" s="12" t="n">
        <x:f>养成消耗调参!$G$176</x:f>
        <x:v>5850</x:v>
      </x:c>
      <x:c r="N1497" s="12" t="n">
        <x:f>养成消耗调参!$I$176</x:f>
        <x:v>0</x:v>
      </x:c>
      <x:c r="O1497" s="12" t="n">
        <x:f>养成消耗调参!$K$176</x:f>
        <x:v>13176</x:v>
      </x:c>
      <x:c r="P1497" s="12" t="n">
        <x:f>养成消耗调参!$N$176</x:f>
        <x:v>76050</x:v>
      </x:c>
      <x:c r="Q1497" s="12" t="n">
        <x:f>养成消耗调参!$P$176</x:f>
        <x:v>250</x:v>
      </x:c>
      <x:c r="R1497" s="13">
        <x:f>I1497/英雄升级调参!$J$94-1</x:f>
        <x:v>-0.005140345398437218</x:v>
      </x:c>
      <x:c r="S1497" s="6"/>
      <x:c r="T1497" s="6"/>
      <x:c r="U1497" s="6"/>
    </x:row>
    <x:row r="1498" ht="21" customHeight="1">
      <x:c r="A1498" s="14" t="n">
        <x:f>英雄升级调参!$B$27</x:f>
        <x:v>310011</x:v>
      </x:c>
      <x:c r="B1498" s="14" t="str">
        <x:f>英雄升级调参!$C$27</x:f>
        <x:v>鳄不恶</x:v>
      </x:c>
      <x:c r="C1498" s="6" t="str">
        <x:f>英雄升级调参!$D$27</x:f>
        <x:v>生存者</x:v>
      </x:c>
      <x:c r="D1498" s="6" t="s">
        <x:v>22</x:v>
      </x:c>
      <x:c r="E1498" s="6">
        <x:v>30</x:v>
      </x:c>
      <x:c r="F1498" s="6" t="n">
        <x:f>英雄升级调参!$C$95</x:f>
        <x:v>6</x:v>
      </x:c>
      <x:c r="G1498" s="12">
        <x:f t="shared" si="138"/>
        <x:v>2581</x:v>
      </x:c>
      <x:c r="H1498" s="12">
        <x:f t="shared" si="139"/>
        <x:v>28625</x:v>
      </x:c>
      <x:c r="I1498" s="12">
        <x:f t="shared" si="140"/>
        <x:v>73881125</x:v>
      </x:c>
      <x:c r="J1498" s="12">
        <x:f>ROUND(英雄升级调参!$D$95*英雄升级调参!$J$10*英雄升级调参!$E$27,0)*3</x:f>
        <x:v>270</x:v>
      </x:c>
      <x:c r="K1498" s="12">
        <x:f>ROUND(英雄升级调参!$D$95*英雄升级调参!$C$11*英雄升级调参!$J$10*英雄升级调参!$G$27,0)*3</x:f>
        <x:v>2985</x:v>
      </x:c>
      <x:c r="L1498" s="12" t="n">
        <x:f>养成消耗调参!$D$177</x:f>
        <x:v>1008</x:v>
      </x:c>
      <x:c r="M1498" s="12" t="n">
        <x:f>养成消耗调参!$G$177</x:f>
        <x:v>5850</x:v>
      </x:c>
      <x:c r="N1498" s="12" t="n">
        <x:f>养成消耗调参!$I$177</x:f>
        <x:v>110</x:v>
      </x:c>
      <x:c r="O1498" s="12" t="n">
        <x:f>养成消耗调参!$K$177</x:f>
        <x:v>14184</x:v>
      </x:c>
      <x:c r="P1498" s="12" t="n">
        <x:f>养成消耗调参!$N$177</x:f>
        <x:v>81900</x:v>
      </x:c>
      <x:c r="Q1498" s="12" t="n">
        <x:f>养成消耗调参!$P$177</x:f>
        <x:v>360</x:v>
      </x:c>
      <x:c r="R1498" s="13">
        <x:f>I1498/英雄升级调参!$J$95-1</x:f>
        <x:v>-0.004865484457321156</x:v>
      </x:c>
      <x:c r="S1498" s="6"/>
      <x:c r="T1498" s="6"/>
      <x:c r="U1498" s="6"/>
    </x:row>
    <x:row r="1499" ht="21" customHeight="1">
      <x:c r="A1499" s="14" t="n">
        <x:f>英雄升级调参!$B$27</x:f>
        <x:v>310011</x:v>
      </x:c>
      <x:c r="B1499" s="14" t="str">
        <x:f>英雄升级调参!$C$27</x:f>
        <x:v>鳄不恶</x:v>
      </x:c>
      <x:c r="C1499" s="6" t="str">
        <x:f>英雄升级调参!$D$27</x:f>
        <x:v>生存者</x:v>
      </x:c>
      <x:c r="D1499" s="6" t="s">
        <x:v>22</x:v>
      </x:c>
      <x:c r="E1499" s="6">
        <x:v>31</x:v>
      </x:c>
      <x:c r="F1499" s="6" t="n">
        <x:f>英雄升级调参!$C$96</x:f>
        <x:v>7</x:v>
      </x:c>
      <x:c r="G1499" s="12">
        <x:f t="shared" si="138"/>
        <x:v>2684</x:v>
      </x:c>
      <x:c r="H1499" s="12">
        <x:f t="shared" si="139"/>
        <x:v>29762</x:v>
      </x:c>
      <x:c r="I1499" s="12">
        <x:f t="shared" si="140"/>
        <x:v>79881208</x:v>
      </x:c>
      <x:c r="J1499" s="12">
        <x:f>ROUND(英雄升级调参!$D$96*英雄升级调参!$J$10*英雄升级调参!$E$27,0)</x:f>
        <x:v>103</x:v>
      </x:c>
      <x:c r="K1499" s="12">
        <x:f>ROUND(英雄升级调参!$D$96*英雄升级调参!$C$11*英雄升级调参!$J$10*英雄升级调参!$G$27,0)</x:f>
        <x:v>1137</x:v>
      </x:c>
      <x:c r="L1499" s="12" t="n">
        <x:f>养成消耗调参!$D$178</x:f>
        <x:v>1008</x:v>
      </x:c>
      <x:c r="M1499" s="12" t="n">
        <x:f>养成消耗调参!$G$178</x:f>
        <x:v>5850</x:v>
      </x:c>
      <x:c r="N1499" s="12" t="n">
        <x:f>养成消耗调参!$I$178</x:f>
        <x:v>0</x:v>
      </x:c>
      <x:c r="O1499" s="12" t="n">
        <x:f>养成消耗调参!$K$178</x:f>
        <x:v>15192</x:v>
      </x:c>
      <x:c r="P1499" s="12" t="n">
        <x:f>养成消耗调参!$N$178</x:f>
        <x:v>87750</x:v>
      </x:c>
      <x:c r="Q1499" s="12" t="n">
        <x:f>养成消耗调参!$P$178</x:f>
        <x:v>360</x:v>
      </x:c>
      <x:c r="R1499" s="13">
        <x:f>I1499/英雄升级调参!$J$96-1</x:f>
        <x:v>-0.004526693123324987</x:v>
      </x:c>
      <x:c r="S1499" s="6"/>
      <x:c r="T1499" s="6"/>
      <x:c r="U1499" s="6"/>
    </x:row>
    <x:row r="1500" ht="21" customHeight="1">
      <x:c r="A1500" s="14" t="n">
        <x:f>英雄升级调参!$B$27</x:f>
        <x:v>310011</x:v>
      </x:c>
      <x:c r="B1500" s="14" t="str">
        <x:f>英雄升级调参!$C$27</x:f>
        <x:v>鳄不恶</x:v>
      </x:c>
      <x:c r="C1500" s="6" t="str">
        <x:f>英雄升级调参!$D$27</x:f>
        <x:v>生存者</x:v>
      </x:c>
      <x:c r="D1500" s="6" t="s">
        <x:v>22</x:v>
      </x:c>
      <x:c r="E1500" s="6">
        <x:v>32</x:v>
      </x:c>
      <x:c r="F1500" s="6" t="n">
        <x:f>英雄升级调参!$C$97</x:f>
        <x:v>7</x:v>
      </x:c>
      <x:c r="G1500" s="12">
        <x:f t="shared" si="138"/>
        <x:v>2787</x:v>
      </x:c>
      <x:c r="H1500" s="12">
        <x:f t="shared" si="139"/>
        <x:v>30899</x:v>
      </x:c>
      <x:c r="I1500" s="12">
        <x:f t="shared" si="140"/>
        <x:v>86115513</x:v>
      </x:c>
      <x:c r="J1500" s="12">
        <x:f>ROUND(英雄升级调参!$D$97*英雄升级调参!$J$10*英雄升级调参!$E$27,0)</x:f>
        <x:v>103</x:v>
      </x:c>
      <x:c r="K1500" s="12">
        <x:f>ROUND(英雄升级调参!$D$97*英雄升级调参!$C$11*英雄升级调参!$J$10*英雄升级调参!$G$27,0)</x:f>
        <x:v>1137</x:v>
      </x:c>
      <x:c r="L1500" s="12" t="n">
        <x:f>养成消耗调参!$D$179</x:f>
        <x:v>1080</x:v>
      </x:c>
      <x:c r="M1500" s="12" t="n">
        <x:f>养成消耗调参!$G$179</x:f>
        <x:v>7200</x:v>
      </x:c>
      <x:c r="N1500" s="12" t="n">
        <x:f>养成消耗调参!$I$179</x:f>
        <x:v>0</x:v>
      </x:c>
      <x:c r="O1500" s="12" t="n">
        <x:f>养成消耗调参!$K$179</x:f>
        <x:v>16272</x:v>
      </x:c>
      <x:c r="P1500" s="12" t="n">
        <x:f>养成消耗调参!$N$179</x:f>
        <x:v>94950</x:v>
      </x:c>
      <x:c r="Q1500" s="12" t="n">
        <x:f>养成消耗调参!$P$179</x:f>
        <x:v>360</x:v>
      </x:c>
      <x:c r="R1500" s="13">
        <x:f>I1500/英雄升级调参!$J$97-1</x:f>
        <x:v>-0.004212739548632327</x:v>
      </x:c>
      <x:c r="S1500" s="6"/>
      <x:c r="T1500" s="6"/>
      <x:c r="U1500" s="6"/>
    </x:row>
    <x:row r="1501" ht="21" customHeight="1">
      <x:c r="A1501" s="14" t="n">
        <x:f>英雄升级调参!$B$27</x:f>
        <x:v>310011</x:v>
      </x:c>
      <x:c r="B1501" s="14" t="str">
        <x:f>英雄升级调参!$C$27</x:f>
        <x:v>鳄不恶</x:v>
      </x:c>
      <x:c r="C1501" s="6" t="str">
        <x:f>英雄升级调参!$D$27</x:f>
        <x:v>生存者</x:v>
      </x:c>
      <x:c r="D1501" s="6" t="s">
        <x:v>22</x:v>
      </x:c>
      <x:c r="E1501" s="6">
        <x:v>33</x:v>
      </x:c>
      <x:c r="F1501" s="6" t="n">
        <x:f>英雄升级调参!$C$98</x:f>
        <x:v>7</x:v>
      </x:c>
      <x:c r="G1501" s="12">
        <x:f t="shared" si="138"/>
        <x:v>2890</x:v>
      </x:c>
      <x:c r="H1501" s="12">
        <x:f t="shared" si="139"/>
        <x:v>32036</x:v>
      </x:c>
      <x:c r="I1501" s="12">
        <x:f t="shared" si="140"/>
        <x:v>92584040</x:v>
      </x:c>
      <x:c r="J1501" s="12">
        <x:f>ROUND(英雄升级调参!$D$98*英雄升级调参!$J$10*英雄升级调参!$E$27,0)</x:f>
        <x:v>103</x:v>
      </x:c>
      <x:c r="K1501" s="12">
        <x:f>ROUND(英雄升级调参!$D$98*英雄升级调参!$C$11*英雄升级调参!$J$10*英雄升级调参!$G$27,0)</x:f>
        <x:v>1137</x:v>
      </x:c>
      <x:c r="L1501" s="12" t="n">
        <x:f>养成消耗调参!$D$180</x:f>
        <x:v>1080</x:v>
      </x:c>
      <x:c r="M1501" s="12" t="n">
        <x:f>养成消耗调参!$G$180</x:f>
        <x:v>7200</x:v>
      </x:c>
      <x:c r="N1501" s="12" t="n">
        <x:f>养成消耗调参!$I$180</x:f>
        <x:v>0</x:v>
      </x:c>
      <x:c r="O1501" s="12" t="n">
        <x:f>养成消耗调参!$K$180</x:f>
        <x:v>17352</x:v>
      </x:c>
      <x:c r="P1501" s="12" t="n">
        <x:f>养成消耗调参!$N$180</x:f>
        <x:v>102150</x:v>
      </x:c>
      <x:c r="Q1501" s="12" t="n">
        <x:f>养成消耗调参!$P$180</x:f>
        <x:v>360</x:v>
      </x:c>
      <x:c r="R1501" s="13">
        <x:f>I1501/英雄升级调参!$J$98-1</x:f>
        <x:v>-0.003920988926232161</x:v>
      </x:c>
      <x:c r="S1501" s="6"/>
      <x:c r="T1501" s="6"/>
      <x:c r="U1501" s="6"/>
    </x:row>
    <x:row r="1502" ht="21" customHeight="1">
      <x:c r="A1502" s="14" t="n">
        <x:f>英雄升级调参!$B$27</x:f>
        <x:v>310011</x:v>
      </x:c>
      <x:c r="B1502" s="14" t="str">
        <x:f>英雄升级调参!$C$27</x:f>
        <x:v>鳄不恶</x:v>
      </x:c>
      <x:c r="C1502" s="6" t="str">
        <x:f>英雄升级调参!$D$27</x:f>
        <x:v>生存者</x:v>
      </x:c>
      <x:c r="D1502" s="6" t="s">
        <x:v>22</x:v>
      </x:c>
      <x:c r="E1502" s="6">
        <x:v>34</x:v>
      </x:c>
      <x:c r="F1502" s="6" t="n">
        <x:f>英雄升级调参!$C$99</x:f>
        <x:v>7</x:v>
      </x:c>
      <x:c r="G1502" s="12">
        <x:f t="shared" ref="G1502:G1518" si="141">G1501+J1502</x:f>
        <x:v>2993</x:v>
      </x:c>
      <x:c r="H1502" s="12">
        <x:f t="shared" ref="H1502:H1518" si="142">H1501+K1502</x:f>
        <x:v>33173</x:v>
      </x:c>
      <x:c r="I1502" s="12">
        <x:f t="shared" si="140"/>
        <x:v>99286789</x:v>
      </x:c>
      <x:c r="J1502" s="12">
        <x:f>ROUND(英雄升级调参!$D$99*英雄升级调参!$J$10*英雄升级调参!$E$27,0)</x:f>
        <x:v>103</x:v>
      </x:c>
      <x:c r="K1502" s="12">
        <x:f>ROUND(英雄升级调参!$D$99*英雄升级调参!$C$11*英雄升级调参!$J$10*英雄升级调参!$G$27,0)</x:f>
        <x:v>1137</x:v>
      </x:c>
      <x:c r="L1502" s="12" t="n">
        <x:f>养成消耗调参!$D$181</x:f>
        <x:v>1152</x:v>
      </x:c>
      <x:c r="M1502" s="12" t="n">
        <x:f>养成消耗调参!$G$181</x:f>
        <x:v>7200</x:v>
      </x:c>
      <x:c r="N1502" s="12" t="n">
        <x:f>养成消耗调参!$I$181</x:f>
        <x:v>0</x:v>
      </x:c>
      <x:c r="O1502" s="12" t="n">
        <x:f>养成消耗调参!$K$181</x:f>
        <x:v>18504</x:v>
      </x:c>
      <x:c r="P1502" s="12" t="n">
        <x:f>养成消耗调参!$N$181</x:f>
        <x:v>109350</x:v>
      </x:c>
      <x:c r="Q1502" s="12" t="n">
        <x:f>养成消耗调参!$P$181</x:f>
        <x:v>360</x:v>
      </x:c>
      <x:c r="R1502" s="13">
        <x:f>I1502/英雄升级调参!$J$99-1</x:f>
        <x:v>-0.003649166390952807</x:v>
      </x:c>
      <x:c r="S1502" s="6"/>
      <x:c r="T1502" s="6"/>
      <x:c r="U1502" s="6"/>
    </x:row>
    <x:row r="1503" ht="21" customHeight="1">
      <x:c r="A1503" s="14" t="n">
        <x:f>英雄升级调参!$B$27</x:f>
        <x:v>310011</x:v>
      </x:c>
      <x:c r="B1503" s="14" t="str">
        <x:f>英雄升级调参!$C$27</x:f>
        <x:v>鳄不恶</x:v>
      </x:c>
      <x:c r="C1503" s="6" t="str">
        <x:f>英雄升级调参!$D$27</x:f>
        <x:v>生存者</x:v>
      </x:c>
      <x:c r="D1503" s="6" t="s">
        <x:v>22</x:v>
      </x:c>
      <x:c r="E1503" s="6">
        <x:v>35</x:v>
      </x:c>
      <x:c r="F1503" s="6" t="n">
        <x:f>英雄升级调参!$C$100</x:f>
        <x:v>7</x:v>
      </x:c>
      <x:c r="G1503" s="12">
        <x:f t="shared" si="141"/>
        <x:v>3302</x:v>
      </x:c>
      <x:c r="H1503" s="12">
        <x:f t="shared" si="142"/>
        <x:v>36584</x:v>
      </x:c>
      <x:c r="I1503" s="12">
        <x:f t="shared" si="140"/>
        <x:v>120800368</x:v>
      </x:c>
      <x:c r="J1503" s="12">
        <x:f>ROUND(英雄升级调参!$D$100*英雄升级调参!$J$10*英雄升级调参!$E$27,0)*3</x:f>
        <x:v>309</x:v>
      </x:c>
      <x:c r="K1503" s="12">
        <x:f>ROUND(英雄升级调参!$D$100*英雄升级调参!$C$11*英雄升级调参!$J$10*英雄升级调参!$G$27,0)*3</x:f>
        <x:v>3411</x:v>
      </x:c>
      <x:c r="L1503" s="12" t="n">
        <x:f>养成消耗调参!$D$182</x:f>
        <x:v>1152</x:v>
      </x:c>
      <x:c r="M1503" s="12" t="n">
        <x:f>养成消耗调参!$G$182</x:f>
        <x:v>7200</x:v>
      </x:c>
      <x:c r="N1503" s="12" t="n">
        <x:f>养成消耗调参!$I$182</x:f>
        <x:v>130</x:v>
      </x:c>
      <x:c r="O1503" s="12" t="n">
        <x:f>养成消耗调参!$K$182</x:f>
        <x:v>19656</x:v>
      </x:c>
      <x:c r="P1503" s="12" t="n">
        <x:f>养成消耗调参!$N$182</x:f>
        <x:v>116550</x:v>
      </x:c>
      <x:c r="Q1503" s="12" t="n">
        <x:f>养成消耗调参!$P$182</x:f>
        <x:v>490</x:v>
      </x:c>
      <x:c r="R1503" s="13">
        <x:f>I1503/英雄升级调参!$J$100-1</x:f>
        <x:v>-0.0029347469826693784</x:v>
      </x:c>
      <x:c r="S1503" s="6"/>
      <x:c r="T1503" s="6"/>
      <x:c r="U1503" s="6"/>
    </x:row>
    <x:row r="1504" ht="21" customHeight="1">
      <x:c r="A1504" s="14" t="n">
        <x:f>英雄升级调参!$B$27</x:f>
        <x:v>310011</x:v>
      </x:c>
      <x:c r="B1504" s="14" t="str">
        <x:f>英雄升级调参!$C$27</x:f>
        <x:v>鳄不恶</x:v>
      </x:c>
      <x:c r="C1504" s="6" t="str">
        <x:f>英雄升级调参!$D$27</x:f>
        <x:v>生存者</x:v>
      </x:c>
      <x:c r="D1504" s="6" t="s">
        <x:v>22</x:v>
      </x:c>
      <x:c r="E1504" s="6">
        <x:v>36</x:v>
      </x:c>
      <x:c r="F1504" s="6" t="n">
        <x:f>英雄升级调参!$C$101</x:f>
        <x:v>8</x:v>
      </x:c>
      <x:c r="G1504" s="12">
        <x:f t="shared" si="141"/>
        <x:v>3417</x:v>
      </x:c>
      <x:c r="H1504" s="12">
        <x:f t="shared" si="142"/>
        <x:v>37863</x:v>
      </x:c>
      <x:c r="I1504" s="12">
        <x:f t="shared" si="140"/>
        <x:v>129377871</x:v>
      </x:c>
      <x:c r="J1504" s="12">
        <x:f>ROUND(英雄升级调参!$D$101*英雄升级调参!$J$10*英雄升级调参!$E$27,0)</x:f>
        <x:v>115</x:v>
      </x:c>
      <x:c r="K1504" s="12">
        <x:f>ROUND(英雄升级调参!$D$101*英雄升级调参!$C$11*英雄升级调参!$J$10*英雄升级调参!$G$27,0)</x:f>
        <x:v>1279</x:v>
      </x:c>
      <x:c r="L1504" s="12" t="n">
        <x:f>养成消耗调参!$D$183</x:f>
        <x:v>1224</x:v>
      </x:c>
      <x:c r="M1504" s="12" t="n">
        <x:f>养成消耗调参!$G$183</x:f>
        <x:v>7200</x:v>
      </x:c>
      <x:c r="N1504" s="12" t="n">
        <x:f>养成消耗调参!$I$183</x:f>
        <x:v>0</x:v>
      </x:c>
      <x:c r="O1504" s="12" t="n">
        <x:f>养成消耗调参!$K$183</x:f>
        <x:v>20880</x:v>
      </x:c>
      <x:c r="P1504" s="12" t="n">
        <x:f>养成消耗调参!$N$183</x:f>
        <x:v>123750</x:v>
      </x:c>
      <x:c r="Q1504" s="12" t="n">
        <x:f>养成消耗调参!$P$183</x:f>
        <x:v>490</x:v>
      </x:c>
      <x:c r="R1504" s="13">
        <x:f>I1504/英雄升级调参!$J$101-1</x:f>
        <x:v>-0.003096700132593888</x:v>
      </x:c>
      <x:c r="S1504" s="6"/>
      <x:c r="T1504" s="6"/>
      <x:c r="U1504" s="6"/>
    </x:row>
    <x:row r="1505" ht="21" customHeight="1">
      <x:c r="A1505" s="14" t="n">
        <x:f>英雄升级调参!$B$27</x:f>
        <x:v>310011</x:v>
      </x:c>
      <x:c r="B1505" s="14" t="str">
        <x:f>英雄升级调参!$C$27</x:f>
        <x:v>鳄不恶</x:v>
      </x:c>
      <x:c r="C1505" s="6" t="str">
        <x:f>英雄升级调参!$D$27</x:f>
        <x:v>生存者</x:v>
      </x:c>
      <x:c r="D1505" s="6" t="s">
        <x:v>22</x:v>
      </x:c>
      <x:c r="E1505" s="6">
        <x:v>37</x:v>
      </x:c>
      <x:c r="F1505" s="6" t="n">
        <x:f>英雄升级调参!$C$102</x:f>
        <x:v>8</x:v>
      </x:c>
      <x:c r="G1505" s="12">
        <x:f t="shared" si="141"/>
        <x:v>3532</x:v>
      </x:c>
      <x:c r="H1505" s="12">
        <x:f t="shared" si="142"/>
        <x:v>39142</x:v>
      </x:c>
      <x:c r="I1505" s="12">
        <x:f t="shared" si="140"/>
        <x:v>138249544</x:v>
      </x:c>
      <x:c r="J1505" s="12">
        <x:f>ROUND(英雄升级调参!$D$102*英雄升级调参!$J$10*英雄升级调参!$E$27,0)</x:f>
        <x:v>115</x:v>
      </x:c>
      <x:c r="K1505" s="12">
        <x:f>ROUND(英雄升级调参!$D$102*英雄升级调参!$C$11*英雄升级调参!$J$10*英雄升级调参!$G$27,0)</x:f>
        <x:v>1279</x:v>
      </x:c>
      <x:c r="L1505" s="12" t="n">
        <x:f>养成消耗调参!$D$184</x:f>
        <x:v>1224</x:v>
      </x:c>
      <x:c r="M1505" s="12" t="n">
        <x:f>养成消耗调参!$G$184</x:f>
        <x:v>8550</x:v>
      </x:c>
      <x:c r="N1505" s="12" t="n">
        <x:f>养成消耗调参!$I$184</x:f>
        <x:v>0</x:v>
      </x:c>
      <x:c r="O1505" s="12" t="n">
        <x:f>养成消耗调参!$K$184</x:f>
        <x:v>22104</x:v>
      </x:c>
      <x:c r="P1505" s="12" t="n">
        <x:f>养成消耗调参!$N$184</x:f>
        <x:v>132300</x:v>
      </x:c>
      <x:c r="Q1505" s="12" t="n">
        <x:f>养成消耗调参!$P$184</x:f>
        <x:v>490</x:v>
      </x:c>
      <x:c r="R1505" s="13">
        <x:f>I1505/英雄升级调参!$J$102-1</x:f>
        <x:v>-0.003248059391470992</x:v>
      </x:c>
      <x:c r="S1505" s="6"/>
      <x:c r="T1505" s="6"/>
      <x:c r="U1505" s="6"/>
    </x:row>
    <x:row r="1506" ht="21" customHeight="1">
      <x:c r="A1506" s="14" t="n">
        <x:f>英雄升级调参!$B$27</x:f>
        <x:v>310011</x:v>
      </x:c>
      <x:c r="B1506" s="14" t="str">
        <x:f>英雄升级调参!$C$27</x:f>
        <x:v>鳄不恶</x:v>
      </x:c>
      <x:c r="C1506" s="6" t="str">
        <x:f>英雄升级调参!$D$27</x:f>
        <x:v>生存者</x:v>
      </x:c>
      <x:c r="D1506" s="6" t="s">
        <x:v>22</x:v>
      </x:c>
      <x:c r="E1506" s="6">
        <x:v>38</x:v>
      </x:c>
      <x:c r="F1506" s="6" t="n">
        <x:f>英雄升级调参!$C$103</x:f>
        <x:v>8</x:v>
      </x:c>
      <x:c r="G1506" s="12">
        <x:f t="shared" si="141"/>
        <x:v>3647</x:v>
      </x:c>
      <x:c r="H1506" s="12">
        <x:f t="shared" si="142"/>
        <x:v>40421</x:v>
      </x:c>
      <x:c r="I1506" s="12">
        <x:f t="shared" si="140"/>
        <x:v>147415387</x:v>
      </x:c>
      <x:c r="J1506" s="12">
        <x:f>ROUND(英雄升级调参!$D$103*英雄升级调参!$J$10*英雄升级调参!$E$27,0)</x:f>
        <x:v>115</x:v>
      </x:c>
      <x:c r="K1506" s="12">
        <x:f>ROUND(英雄升级调参!$D$103*英雄升级调参!$C$11*英雄升级调参!$J$10*英雄升级调参!$G$27,0)</x:f>
        <x:v>1279</x:v>
      </x:c>
      <x:c r="L1506" s="12" t="n">
        <x:f>养成消耗调参!$D$185</x:f>
        <x:v>1296</x:v>
      </x:c>
      <x:c r="M1506" s="12" t="n">
        <x:f>养成消耗调参!$G$185</x:f>
        <x:v>8550</x:v>
      </x:c>
      <x:c r="N1506" s="12" t="n">
        <x:f>养成消耗调参!$I$185</x:f>
        <x:v>0</x:v>
      </x:c>
      <x:c r="O1506" s="12" t="n">
        <x:f>养成消耗调参!$K$185</x:f>
        <x:v>23400</x:v>
      </x:c>
      <x:c r="P1506" s="12" t="n">
        <x:f>养成消耗调参!$N$185</x:f>
        <x:v>140850</x:v>
      </x:c>
      <x:c r="Q1506" s="12" t="n">
        <x:f>养成消耗调参!$P$185</x:f>
        <x:v>490</x:v>
      </x:c>
      <x:c r="R1506" s="13">
        <x:f>I1506/英雄升级调参!$J$103-1</x:f>
        <x:v>-0.003389831310574576</x:v>
      </x:c>
      <x:c r="S1506" s="6"/>
      <x:c r="T1506" s="6"/>
      <x:c r="U1506" s="6"/>
    </x:row>
    <x:row r="1507" ht="21" customHeight="1">
      <x:c r="A1507" s="14" t="n">
        <x:f>英雄升级调参!$B$27</x:f>
        <x:v>310011</x:v>
      </x:c>
      <x:c r="B1507" s="14" t="str">
        <x:f>英雄升级调参!$C$27</x:f>
        <x:v>鳄不恶</x:v>
      </x:c>
      <x:c r="C1507" s="6" t="str">
        <x:f>英雄升级调参!$D$27</x:f>
        <x:v>生存者</x:v>
      </x:c>
      <x:c r="D1507" s="6" t="s">
        <x:v>22</x:v>
      </x:c>
      <x:c r="E1507" s="6">
        <x:v>39</x:v>
      </x:c>
      <x:c r="F1507" s="6" t="n">
        <x:f>英雄升级调参!$C$104</x:f>
        <x:v>8</x:v>
      </x:c>
      <x:c r="G1507" s="12">
        <x:f t="shared" si="141"/>
        <x:v>3762</x:v>
      </x:c>
      <x:c r="H1507" s="12">
        <x:f t="shared" si="142"/>
        <x:v>41700</x:v>
      </x:c>
      <x:c r="I1507" s="12">
        <x:f t="shared" si="140"/>
        <x:v>156875400</x:v>
      </x:c>
      <x:c r="J1507" s="12">
        <x:f>ROUND(英雄升级调参!$D$104*英雄升级调参!$J$10*英雄升级调参!$E$27,0)</x:f>
        <x:v>115</x:v>
      </x:c>
      <x:c r="K1507" s="12">
        <x:f>ROUND(英雄升级调参!$D$104*英雄升级调参!$C$11*英雄升级调参!$J$10*英雄升级调参!$G$27,0)</x:f>
        <x:v>1279</x:v>
      </x:c>
      <x:c r="L1507" s="12" t="n">
        <x:f>养成消耗调参!$D$186</x:f>
        <x:v>1296</x:v>
      </x:c>
      <x:c r="M1507" s="12" t="n">
        <x:f>养成消耗调参!$G$186</x:f>
        <x:v>8550</x:v>
      </x:c>
      <x:c r="N1507" s="12" t="n">
        <x:f>养成消耗调参!$I$186</x:f>
        <x:v>0</x:v>
      </x:c>
      <x:c r="O1507" s="12" t="n">
        <x:f>养成消耗调参!$K$186</x:f>
        <x:v>24696</x:v>
      </x:c>
      <x:c r="P1507" s="12" t="n">
        <x:f>养成消耗调参!$N$186</x:f>
        <x:v>149400</x:v>
      </x:c>
      <x:c r="Q1507" s="12" t="n">
        <x:f>养成消耗调参!$P$186</x:f>
        <x:v>490</x:v>
      </x:c>
      <x:c r="R1507" s="13">
        <x:f>I1507/英雄升级调参!$J$104-1</x:f>
        <x:v>-0.003522898842476141</x:v>
      </x:c>
      <x:c r="S1507" s="6"/>
      <x:c r="T1507" s="6"/>
      <x:c r="U1507" s="6"/>
    </x:row>
    <x:row r="1508" ht="21" customHeight="1">
      <x:c r="A1508" s="14" t="n">
        <x:f>英雄升级调参!$B$27</x:f>
        <x:v>310011</x:v>
      </x:c>
      <x:c r="B1508" s="14" t="str">
        <x:f>英雄升级调参!$C$27</x:f>
        <x:v>鳄不恶</x:v>
      </x:c>
      <x:c r="C1508" s="6" t="str">
        <x:f>英雄升级调参!$D$27</x:f>
        <x:v>生存者</x:v>
      </x:c>
      <x:c r="D1508" s="6" t="s">
        <x:v>22</x:v>
      </x:c>
      <x:c r="E1508" s="6">
        <x:v>40</x:v>
      </x:c>
      <x:c r="F1508" s="6" t="n">
        <x:f>英雄升级调参!$C$105</x:f>
        <x:v>8</x:v>
      </x:c>
      <x:c r="G1508" s="12">
        <x:f t="shared" si="141"/>
        <x:v>4107</x:v>
      </x:c>
      <x:c r="H1508" s="12">
        <x:f t="shared" si="142"/>
        <x:v>45537</x:v>
      </x:c>
      <x:c r="I1508" s="12">
        <x:f t="shared" si="140"/>
        <x:v>187020459</x:v>
      </x:c>
      <x:c r="J1508" s="12">
        <x:f>ROUND(英雄升级调参!$D$105*英雄升级调参!$J$10*英雄升级调参!$E$27,0)*3</x:f>
        <x:v>345</x:v>
      </x:c>
      <x:c r="K1508" s="12">
        <x:f>ROUND(英雄升级调参!$D$105*英雄升级调参!$C$11*英雄升级调参!$J$10*英雄升级调参!$G$27,0)*3</x:f>
        <x:v>3837</x:v>
      </x:c>
      <x:c r="L1508" s="12" t="n">
        <x:f>养成消耗调参!$D$187</x:f>
        <x:v>1368</x:v>
      </x:c>
      <x:c r="M1508" s="12" t="n">
        <x:f>养成消耗调参!$G$187</x:f>
        <x:v>8550</x:v>
      </x:c>
      <x:c r="N1508" s="12" t="n">
        <x:f>养成消耗调参!$I$187</x:f>
        <x:v>150</x:v>
      </x:c>
      <x:c r="O1508" s="12" t="n">
        <x:f>养成消耗调参!$K$187</x:f>
        <x:v>26064</x:v>
      </x:c>
      <x:c r="P1508" s="12" t="n">
        <x:f>养成消耗调参!$N$187</x:f>
        <x:v>157950</x:v>
      </x:c>
      <x:c r="Q1508" s="12" t="n">
        <x:f>养成消耗调参!$P$187</x:f>
        <x:v>640</x:v>
      </x:c>
      <x:c r="R1508" s="13">
        <x:f>I1508/英雄升级调参!$J$105-1</x:f>
        <x:v>-0.0038772154649520107</x:v>
      </x:c>
      <x:c r="S1508" s="6"/>
      <x:c r="T1508" s="6"/>
      <x:c r="U1508" s="6"/>
    </x:row>
    <x:row r="1509" ht="21" customHeight="1">
      <x:c r="A1509" s="14" t="n">
        <x:f>英雄升级调参!$B$27</x:f>
        <x:v>310011</x:v>
      </x:c>
      <x:c r="B1509" s="14" t="str">
        <x:f>英雄升级调参!$C$27</x:f>
        <x:v>鳄不恶</x:v>
      </x:c>
      <x:c r="C1509" s="6" t="str">
        <x:f>英雄升级调参!$D$27</x:f>
        <x:v>生存者</x:v>
      </x:c>
      <x:c r="D1509" s="6" t="s">
        <x:v>22</x:v>
      </x:c>
      <x:c r="E1509" s="6">
        <x:v>41</x:v>
      </x:c>
      <x:c r="F1509" s="6" t="n">
        <x:f>英雄升级调参!$C$106</x:f>
        <x:v>9</x:v>
      </x:c>
      <x:c r="G1509" s="12">
        <x:f t="shared" si="141"/>
        <x:v>4235</x:v>
      </x:c>
      <x:c r="H1509" s="12">
        <x:f t="shared" si="142"/>
        <x:v>46958</x:v>
      </x:c>
      <x:c r="I1509" s="12">
        <x:f t="shared" si="140"/>
        <x:v>198867130</x:v>
      </x:c>
      <x:c r="J1509" s="12">
        <x:f>ROUND(英雄升级调参!$D$106*英雄升级调参!$J$10*英雄升级调参!$E$27,0)</x:f>
        <x:v>128</x:v>
      </x:c>
      <x:c r="K1509" s="12">
        <x:f>ROUND(英雄升级调参!$D$106*英雄升级调参!$C$11*英雄升级调参!$J$10*英雄升级调参!$G$27,0)</x:f>
        <x:v>1421</x:v>
      </x:c>
      <x:c r="L1509" s="12" t="n">
        <x:f>养成消耗调参!$D$188</x:f>
        <x:v>1368</x:v>
      </x:c>
      <x:c r="M1509" s="12" t="n">
        <x:f>养成消耗调参!$G$188</x:f>
        <x:v>8550</x:v>
      </x:c>
      <x:c r="N1509" s="12" t="n">
        <x:f>养成消耗调参!$I$188</x:f>
        <x:v>0</x:v>
      </x:c>
      <x:c r="O1509" s="12" t="n">
        <x:f>养成消耗调参!$K$188</x:f>
        <x:v>27432</x:v>
      </x:c>
      <x:c r="P1509" s="12" t="n">
        <x:f>养成消耗调参!$N$188</x:f>
        <x:v>166500</x:v>
      </x:c>
      <x:c r="Q1509" s="12" t="n">
        <x:f>养成消耗调参!$P$188</x:f>
        <x:v>640</x:v>
      </x:c>
      <x:c r="R1509" s="13">
        <x:f>I1509/英雄升级调参!$J$106-1</x:f>
        <x:v>-0.0038201720935882033</x:v>
      </x:c>
      <x:c r="S1509" s="6"/>
      <x:c r="T1509" s="6"/>
      <x:c r="U1509" s="6"/>
    </x:row>
    <x:row r="1510" ht="21" customHeight="1">
      <x:c r="A1510" s="14" t="n">
        <x:f>英雄升级调参!$B$27</x:f>
        <x:v>310011</x:v>
      </x:c>
      <x:c r="B1510" s="14" t="str">
        <x:f>英雄升级调参!$C$27</x:f>
        <x:v>鳄不恶</x:v>
      </x:c>
      <x:c r="C1510" s="6" t="str">
        <x:f>英雄升级调参!$D$27</x:f>
        <x:v>生存者</x:v>
      </x:c>
      <x:c r="D1510" s="6" t="s">
        <x:v>22</x:v>
      </x:c>
      <x:c r="E1510" s="6">
        <x:v>42</x:v>
      </x:c>
      <x:c r="F1510" s="6" t="n">
        <x:f>英雄升级调参!$C$107</x:f>
        <x:v>9</x:v>
      </x:c>
      <x:c r="G1510" s="12">
        <x:f t="shared" si="141"/>
        <x:v>4363</x:v>
      </x:c>
      <x:c r="H1510" s="12">
        <x:f t="shared" si="142"/>
        <x:v>48379</x:v>
      </x:c>
      <x:c r="I1510" s="12">
        <x:f t="shared" si="140"/>
        <x:v>211077577</x:v>
      </x:c>
      <x:c r="J1510" s="12">
        <x:f>ROUND(英雄升级调参!$D$107*英雄升级调参!$J$10*英雄升级调参!$E$27,0)</x:f>
        <x:v>128</x:v>
      </x:c>
      <x:c r="K1510" s="12">
        <x:f>ROUND(英雄升级调参!$D$107*英雄升级调参!$C$11*英雄升级调参!$J$10*英雄升级调参!$G$27,0)</x:f>
        <x:v>1421</x:v>
      </x:c>
      <x:c r="L1510" s="12" t="n">
        <x:f>养成消耗调参!$D$189</x:f>
        <x:v>1440</x:v>
      </x:c>
      <x:c r="M1510" s="12" t="n">
        <x:f>养成消耗调参!$G$189</x:f>
        <x:v>9900</x:v>
      </x:c>
      <x:c r="N1510" s="12" t="n">
        <x:f>养成消耗调参!$I$189</x:f>
        <x:v>0</x:v>
      </x:c>
      <x:c r="O1510" s="12" t="n">
        <x:f>养成消耗调参!$K$189</x:f>
        <x:v>28872</x:v>
      </x:c>
      <x:c r="P1510" s="12" t="n">
        <x:f>养成消耗调参!$N$189</x:f>
        <x:v>176400</x:v>
      </x:c>
      <x:c r="Q1510" s="12" t="n">
        <x:f>养成消耗调参!$P$189</x:f>
        <x:v>640</x:v>
      </x:c>
      <x:c r="R1510" s="13">
        <x:f>I1510/英雄升级调参!$J$107-1</x:f>
        <x:v>-0.0037664695698796935</x:v>
      </x:c>
      <x:c r="S1510" s="6"/>
      <x:c r="T1510" s="6"/>
      <x:c r="U1510" s="6"/>
    </x:row>
    <x:row r="1511" ht="21" customHeight="1">
      <x:c r="A1511" s="14" t="n">
        <x:f>英雄升级调参!$B$27</x:f>
        <x:v>310011</x:v>
      </x:c>
      <x:c r="B1511" s="14" t="str">
        <x:f>英雄升级调参!$C$27</x:f>
        <x:v>鳄不恶</x:v>
      </x:c>
      <x:c r="C1511" s="6" t="str">
        <x:f>英雄升级调参!$D$27</x:f>
        <x:v>生存者</x:v>
      </x:c>
      <x:c r="D1511" s="6" t="s">
        <x:v>22</x:v>
      </x:c>
      <x:c r="E1511" s="6">
        <x:v>43</x:v>
      </x:c>
      <x:c r="F1511" s="6" t="n">
        <x:f>英雄升级调参!$C$108</x:f>
        <x:v>9</x:v>
      </x:c>
      <x:c r="G1511" s="12">
        <x:f t="shared" si="141"/>
        <x:v>4491</x:v>
      </x:c>
      <x:c r="H1511" s="12">
        <x:f t="shared" si="142"/>
        <x:v>49800</x:v>
      </x:c>
      <x:c r="I1511" s="12">
        <x:f t="shared" si="140"/>
        <x:v>223651800</x:v>
      </x:c>
      <x:c r="J1511" s="12">
        <x:f>ROUND(英雄升级调参!$D$108*英雄升级调参!$J$10*英雄升级调参!$E$27,0)</x:f>
        <x:v>128</x:v>
      </x:c>
      <x:c r="K1511" s="12">
        <x:f>ROUND(英雄升级调参!$D$108*英雄升级调参!$C$11*英雄升级调参!$J$10*英雄升级调参!$G$27,0)</x:f>
        <x:v>1421</x:v>
      </x:c>
      <x:c r="L1511" s="12" t="n">
        <x:f>养成消耗调参!$D$190</x:f>
        <x:v>1440</x:v>
      </x:c>
      <x:c r="M1511" s="12" t="n">
        <x:f>养成消耗调参!$G$190</x:f>
        <x:v>9900</x:v>
      </x:c>
      <x:c r="N1511" s="12" t="n">
        <x:f>养成消耗调参!$I$190</x:f>
        <x:v>0</x:v>
      </x:c>
      <x:c r="O1511" s="12" t="n">
        <x:f>养成消耗调参!$K$190</x:f>
        <x:v>30312</x:v>
      </x:c>
      <x:c r="P1511" s="12" t="n">
        <x:f>养成消耗调参!$N$190</x:f>
        <x:v>186300</x:v>
      </x:c>
      <x:c r="Q1511" s="12" t="n">
        <x:f>养成消耗调参!$P$190</x:f>
        <x:v>640</x:v>
      </x:c>
      <x:c r="R1511" s="13">
        <x:f>I1511/英雄升级调参!$J$108-1</x:f>
        <x:v>-0.0037158227497088303</x:v>
      </x:c>
      <x:c r="S1511" s="6"/>
      <x:c r="T1511" s="6"/>
      <x:c r="U1511" s="6"/>
    </x:row>
    <x:row r="1512" ht="21" customHeight="1">
      <x:c r="A1512" s="14" t="n">
        <x:f>英雄升级调参!$B$27</x:f>
        <x:v>310011</x:v>
      </x:c>
      <x:c r="B1512" s="14" t="str">
        <x:f>英雄升级调参!$C$27</x:f>
        <x:v>鳄不恶</x:v>
      </x:c>
      <x:c r="C1512" s="6" t="str">
        <x:f>英雄升级调参!$D$27</x:f>
        <x:v>生存者</x:v>
      </x:c>
      <x:c r="D1512" s="6" t="s">
        <x:v>22</x:v>
      </x:c>
      <x:c r="E1512" s="6">
        <x:v>44</x:v>
      </x:c>
      <x:c r="F1512" s="6" t="n">
        <x:f>英雄升级调参!$C$109</x:f>
        <x:v>9</x:v>
      </x:c>
      <x:c r="G1512" s="12">
        <x:f t="shared" si="141"/>
        <x:v>4619</x:v>
      </x:c>
      <x:c r="H1512" s="12">
        <x:f t="shared" si="142"/>
        <x:v>51221</x:v>
      </x:c>
      <x:c r="I1512" s="12">
        <x:f t="shared" si="140"/>
        <x:v>236589799</x:v>
      </x:c>
      <x:c r="J1512" s="12">
        <x:f>ROUND(英雄升级调参!$D$109*英雄升级调参!$J$10*英雄升级调参!$E$27,0)</x:f>
        <x:v>128</x:v>
      </x:c>
      <x:c r="K1512" s="12">
        <x:f>ROUND(英雄升级调参!$D$109*英雄升级调参!$C$11*英雄升级调参!$J$10*英雄升级调参!$G$27,0)</x:f>
        <x:v>1421</x:v>
      </x:c>
      <x:c r="L1512" s="12" t="n">
        <x:f>养成消耗调参!$D$191</x:f>
        <x:v>1512</x:v>
      </x:c>
      <x:c r="M1512" s="12" t="n">
        <x:f>养成消耗调参!$G$191</x:f>
        <x:v>9900</x:v>
      </x:c>
      <x:c r="N1512" s="12" t="n">
        <x:f>养成消耗调参!$I$191</x:f>
        <x:v>0</x:v>
      </x:c>
      <x:c r="O1512" s="12" t="n">
        <x:f>养成消耗调参!$K$191</x:f>
        <x:v>31824</x:v>
      </x:c>
      <x:c r="P1512" s="12" t="n">
        <x:f>养成消耗调参!$N$191</x:f>
        <x:v>196200</x:v>
      </x:c>
      <x:c r="Q1512" s="12" t="n">
        <x:f>养成消耗调参!$P$191</x:f>
        <x:v>640</x:v>
      </x:c>
      <x:c r="R1512" s="13">
        <x:f>I1512/英雄升级调参!$J$109-1</x:f>
        <x:v>-0.0036679780410071583</x:v>
      </x:c>
      <x:c r="S1512" s="6"/>
      <x:c r="T1512" s="6"/>
      <x:c r="U1512" s="6"/>
    </x:row>
    <x:row r="1513">
      <x:c r="A1513" t="n">
        <x:f>英雄升级调参!$B$27</x:f>
        <x:v>310011</x:v>
      </x:c>
      <x:c r="B1513" t="str">
        <x:f>英雄升级调参!$C$27</x:f>
        <x:v>鳄不恶</x:v>
      </x:c>
      <x:c r="C1513" t="str">
        <x:f>英雄升级调参!$D$27</x:f>
        <x:v>生存者</x:v>
      </x:c>
      <x:c r="D1513" t="s">
        <x:v>22</x:v>
      </x:c>
      <x:c r="E1513">
        <x:v>45</x:v>
      </x:c>
      <x:c r="F1513" t="n">
        <x:f>英雄升级调参!$C$110</x:f>
        <x:v>9</x:v>
      </x:c>
      <x:c r="G1513">
        <x:f t="shared" si="141"/>
        <x:v>5003</x:v>
      </x:c>
      <x:c r="H1513">
        <x:f t="shared" si="142"/>
        <x:v>55484</x:v>
      </x:c>
      <x:c r="I1513">
        <x:f t="shared" si="140"/>
        <x:v>277586452</x:v>
      </x:c>
      <x:c r="J1513">
        <x:f>ROUND(英雄升级调参!$D$110*英雄升级调参!$J$10*英雄升级调参!$E$27,0)*3</x:f>
        <x:v>384</x:v>
      </x:c>
      <x:c r="K1513">
        <x:f>ROUND(英雄升级调参!$D$110*英雄升级调参!$C$11*英雄升级调参!$J$10*英雄升级调参!$G$27,0)*3</x:f>
        <x:v>4263</x:v>
      </x:c>
      <x:c r="L1513" t="n">
        <x:f>养成消耗调参!$D$192</x:f>
        <x:v>1512</x:v>
      </x:c>
      <x:c r="M1513" t="n">
        <x:f>养成消耗调参!$G$192</x:f>
        <x:v>9900</x:v>
      </x:c>
      <x:c r="N1513" t="n">
        <x:f>养成消耗调参!$I$192</x:f>
        <x:v>170</x:v>
      </x:c>
      <x:c r="O1513" t="n">
        <x:f>养成消耗调参!$K$192</x:f>
        <x:v>33336</x:v>
      </x:c>
      <x:c r="P1513" t="n">
        <x:f>养成消耗调参!$N$192</x:f>
        <x:v>206100</x:v>
      </x:c>
      <x:c r="Q1513" t="n">
        <x:f>养成消耗调参!$P$192</x:f>
        <x:v>810</x:v>
      </x:c>
      <x:c r="R1513">
        <x:f>I1513/英雄升级调参!$J$110-1</x:f>
        <x:v>-0.003539109319356304</x:v>
      </x:c>
    </x:row>
    <x:row r="1514">
      <x:c r="A1514" t="n">
        <x:f>英雄升级调参!$B$27</x:f>
        <x:v>310011</x:v>
      </x:c>
      <x:c r="B1514" t="str">
        <x:f>英雄升级调参!$C$27</x:f>
        <x:v>鳄不恶</x:v>
      </x:c>
      <x:c r="C1514" t="str">
        <x:f>英雄升级调参!$D$27</x:f>
        <x:v>生存者</x:v>
      </x:c>
      <x:c r="D1514" t="s">
        <x:v>22</x:v>
      </x:c>
      <x:c r="E1514">
        <x:v>46</x:v>
      </x:c>
      <x:c r="F1514" t="n">
        <x:f>英雄升级调参!$C$111</x:f>
        <x:v>10</x:v>
      </x:c>
      <x:c r="G1514">
        <x:f t="shared" si="141"/>
        <x:v>5144</x:v>
      </x:c>
      <x:c r="H1514">
        <x:f t="shared" si="142"/>
        <x:v>57047</x:v>
      </x:c>
      <x:c r="I1514">
        <x:f t="shared" si="140"/>
        <x:v>293449768</x:v>
      </x:c>
      <x:c r="J1514">
        <x:f>ROUND(英雄升级调参!$D$111*英雄升级调参!$J$10*英雄升级调参!$E$27,0)</x:f>
        <x:v>141</x:v>
      </x:c>
      <x:c r="K1514">
        <x:f>ROUND(英雄升级调参!$D$111*英雄升级调参!$C$11*英雄升级调参!$J$10*英雄升级调参!$G$27,0)</x:f>
        <x:v>1563</x:v>
      </x:c>
      <x:c r="L1514" t="n">
        <x:f>养成消耗调参!$D$193</x:f>
        <x:v>1584</x:v>
      </x:c>
      <x:c r="M1514" t="n">
        <x:f>养成消耗调参!$G$193</x:f>
        <x:v>9900</x:v>
      </x:c>
      <x:c r="N1514" t="n">
        <x:f>养成消耗调参!$I$193</x:f>
        <x:v>0</x:v>
      </x:c>
      <x:c r="O1514" t="n">
        <x:f>养成消耗调参!$K$193</x:f>
        <x:v>34920</x:v>
      </x:c>
      <x:c r="P1514" t="n">
        <x:f>养成消耗调参!$N$193</x:f>
        <x:v>216000</x:v>
      </x:c>
      <x:c r="Q1514" t="n">
        <x:f>养成消耗调参!$P$193</x:f>
        <x:v>810</x:v>
      </x:c>
      <x:c r="R1514">
        <x:f>I1514/英雄升级调参!$J$111-1</x:f>
        <x:v>-0.003551366789381616</x:v>
      </x:c>
    </x:row>
    <x:row r="1515">
      <x:c r="A1515" t="n">
        <x:f>英雄升级调参!$B$27</x:f>
        <x:v>310011</x:v>
      </x:c>
      <x:c r="B1515" t="str">
        <x:f>英雄升级调参!$C$27</x:f>
        <x:v>鳄不恶</x:v>
      </x:c>
      <x:c r="C1515" t="str">
        <x:f>英雄升级调参!$D$27</x:f>
        <x:v>生存者</x:v>
      </x:c>
      <x:c r="D1515" t="s">
        <x:v>22</x:v>
      </x:c>
      <x:c r="E1515">
        <x:v>47</x:v>
      </x:c>
      <x:c r="F1515" t="n">
        <x:f>英雄升级调参!$C$112</x:f>
        <x:v>10</x:v>
      </x:c>
      <x:c r="G1515">
        <x:f t="shared" si="141"/>
        <x:v>5285</x:v>
      </x:c>
      <x:c r="H1515">
        <x:f t="shared" si="142"/>
        <x:v>58610</x:v>
      </x:c>
      <x:c r="I1515">
        <x:f t="shared" si="140"/>
        <x:v>309753850</x:v>
      </x:c>
      <x:c r="J1515">
        <x:f>ROUND(英雄升级调参!$D$112*英雄升级调参!$J$10*英雄升级调参!$E$27,0)</x:f>
        <x:v>141</x:v>
      </x:c>
      <x:c r="K1515">
        <x:f>ROUND(英雄升级调参!$D$112*英雄升级调参!$C$11*英雄升级调参!$J$10*英雄升级调参!$G$27,0)</x:f>
        <x:v>1563</x:v>
      </x:c>
      <x:c r="L1515" t="n">
        <x:f>养成消耗调参!$D$194</x:f>
        <x:v>1584</x:v>
      </x:c>
      <x:c r="M1515" t="n">
        <x:f>养成消耗调参!$G$194</x:f>
        <x:v>11250</x:v>
      </x:c>
      <x:c r="N1515" t="n">
        <x:f>养成消耗调参!$I$194</x:f>
        <x:v>0</x:v>
      </x:c>
      <x:c r="O1515" t="n">
        <x:f>养成消耗调参!$K$194</x:f>
        <x:v>36504</x:v>
      </x:c>
      <x:c r="P1515" t="n">
        <x:f>养成消耗调参!$N$194</x:f>
        <x:v>227250</x:v>
      </x:c>
      <x:c r="Q1515" t="n">
        <x:f>养成消耗调参!$P$194</x:f>
        <x:v>810</x:v>
      </x:c>
      <x:c r="R1515">
        <x:f>I1515/英雄升级调参!$J$112-1</x:f>
        <x:v>-0.003562970048649361</x:v>
      </x:c>
    </x:row>
    <x:row r="1516">
      <x:c r="A1516" t="n">
        <x:f>英雄升级调参!$B$27</x:f>
        <x:v>310011</x:v>
      </x:c>
      <x:c r="B1516" t="str">
        <x:f>英雄升级调参!$C$27</x:f>
        <x:v>鳄不恶</x:v>
      </x:c>
      <x:c r="C1516" t="str">
        <x:f>英雄升级调参!$D$27</x:f>
        <x:v>生存者</x:v>
      </x:c>
      <x:c r="D1516" t="s">
        <x:v>22</x:v>
      </x:c>
      <x:c r="E1516">
        <x:v>48</x:v>
      </x:c>
      <x:c r="F1516" t="n">
        <x:f>英雄升级调参!$C$113</x:f>
        <x:v>10</x:v>
      </x:c>
      <x:c r="G1516">
        <x:f t="shared" si="141"/>
        <x:v>5426</x:v>
      </x:c>
      <x:c r="H1516">
        <x:f t="shared" si="142"/>
        <x:v>60173</x:v>
      </x:c>
      <x:c r="I1516">
        <x:f t="shared" si="140"/>
        <x:v>326498698</x:v>
      </x:c>
      <x:c r="J1516">
        <x:f>ROUND(英雄升级调参!$D$113*英雄升级调参!$J$10*英雄升级调参!$E$27,0)</x:f>
        <x:v>141</x:v>
      </x:c>
      <x:c r="K1516">
        <x:f>ROUND(英雄升级调参!$D$113*英雄升级调参!$C$11*英雄升级调参!$J$10*英雄升级调参!$G$27,0)</x:f>
        <x:v>1563</x:v>
      </x:c>
      <x:c r="L1516" t="n">
        <x:f>养成消耗调参!$D$195</x:f>
        <x:v>1656</x:v>
      </x:c>
      <x:c r="M1516" t="n">
        <x:f>养成消耗调参!$G$195</x:f>
        <x:v>11250</x:v>
      </x:c>
      <x:c r="N1516" t="n">
        <x:f>养成消耗调参!$I$195</x:f>
        <x:v>0</x:v>
      </x:c>
      <x:c r="O1516" t="n">
        <x:f>养成消耗调参!$K$195</x:f>
        <x:v>38160</x:v>
      </x:c>
      <x:c r="P1516" t="n">
        <x:f>养成消耗调参!$N$195</x:f>
        <x:v>238500</x:v>
      </x:c>
      <x:c r="Q1516" t="n">
        <x:f>养成消耗调参!$P$195</x:f>
        <x:v>810</x:v>
      </x:c>
      <x:c r="R1516">
        <x:f>I1516/英雄升级调参!$J$113-1</x:f>
        <x:v>-0.0035739701110062416</x:v>
      </x:c>
    </x:row>
    <x:row r="1517">
      <x:c r="A1517" t="n">
        <x:f>英雄升级调参!$B$27</x:f>
        <x:v>310011</x:v>
      </x:c>
      <x:c r="B1517" t="str">
        <x:f>英雄升级调参!$C$27</x:f>
        <x:v>鳄不恶</x:v>
      </x:c>
      <x:c r="C1517" t="str">
        <x:f>英雄升级调参!$D$27</x:f>
        <x:v>生存者</x:v>
      </x:c>
      <x:c r="D1517" t="s">
        <x:v>22</x:v>
      </x:c>
      <x:c r="E1517">
        <x:v>49</x:v>
      </x:c>
      <x:c r="F1517" t="n">
        <x:f>英雄升级调参!$C$114</x:f>
        <x:v>10</x:v>
      </x:c>
      <x:c r="G1517">
        <x:f t="shared" si="141"/>
        <x:v>5567</x:v>
      </x:c>
      <x:c r="H1517">
        <x:f t="shared" si="142"/>
        <x:v>61736</x:v>
      </x:c>
      <x:c r="I1517">
        <x:f t="shared" si="140"/>
        <x:v>343684312</x:v>
      </x:c>
      <x:c r="J1517">
        <x:f>ROUND(英雄升级调参!$D$114*英雄升级调参!$J$10*英雄升级调参!$E$27,0)</x:f>
        <x:v>141</x:v>
      </x:c>
      <x:c r="K1517">
        <x:f>ROUND(英雄升级调参!$D$114*英雄升级调参!$C$11*英雄升级调参!$J$10*英雄升级调参!$G$27,0)</x:f>
        <x:v>1563</x:v>
      </x:c>
      <x:c r="L1517" t="n">
        <x:f>养成消耗调参!$D$196</x:f>
        <x:v>1656</x:v>
      </x:c>
      <x:c r="M1517" t="n">
        <x:f>养成消耗调参!$G$196</x:f>
        <x:v>11250</x:v>
      </x:c>
      <x:c r="N1517" t="n">
        <x:f>养成消耗调参!$I$196</x:f>
        <x:v>0</x:v>
      </x:c>
      <x:c r="O1517" t="n">
        <x:f>养成消耗调参!$K$196</x:f>
        <x:v>39816</x:v>
      </x:c>
      <x:c r="P1517" t="n">
        <x:f>养成消耗调参!$N$196</x:f>
        <x:v>249750</x:v>
      </x:c>
      <x:c r="Q1517" t="n">
        <x:f>养成消耗调参!$P$196</x:f>
        <x:v>810</x:v>
      </x:c>
      <x:c r="R1517">
        <x:f>I1517/英雄升级调参!$J$114-1</x:f>
        <x:v>-0.0035844128207458414</x:v>
      </x:c>
    </x:row>
    <x:row r="1518">
      <x:c r="A1518" t="n">
        <x:f>英雄升级调参!$B$27</x:f>
        <x:v>310011</x:v>
      </x:c>
      <x:c r="B1518" t="str">
        <x:f>英雄升级调参!$C$27</x:f>
        <x:v>鳄不恶</x:v>
      </x:c>
      <x:c r="C1518" t="str">
        <x:f>英雄升级调参!$D$27</x:f>
        <x:v>生存者</x:v>
      </x:c>
      <x:c r="D1518" t="s">
        <x:v>22</x:v>
      </x:c>
      <x:c r="E1518">
        <x:v>50</x:v>
      </x:c>
      <x:c r="F1518" t="n">
        <x:f>英雄升级调参!$C$115</x:f>
        <x:v>10</x:v>
      </x:c>
      <x:c r="G1518">
        <x:f t="shared" si="141"/>
        <x:v>5990</x:v>
      </x:c>
      <x:c r="H1518">
        <x:f t="shared" si="142"/>
        <x:v>66425</x:v>
      </x:c>
      <x:c r="I1518">
        <x:f t="shared" si="140"/>
        <x:v>397885750</x:v>
      </x:c>
      <x:c r="J1518">
        <x:f>ROUND(英雄升级调参!$D$115*英雄升级调参!$J$10*英雄升级调参!$E$27,0)*3</x:f>
        <x:v>423</x:v>
      </x:c>
      <x:c r="K1518">
        <x:f>ROUND(英雄升级调参!$D$115*英雄升级调参!$C$11*英雄升级调参!$J$10*英雄升级调参!$G$27,0)*3</x:f>
        <x:v>4689</x:v>
      </x:c>
      <x:c r="L1518" t="n">
        <x:f>养成消耗调参!$D$197</x:f>
        <x:v>1728</x:v>
      </x:c>
      <x:c r="M1518" t="n">
        <x:f>养成消耗调参!$G$197</x:f>
        <x:v>11250</x:v>
      </x:c>
      <x:c r="N1518" t="n">
        <x:f>养成消耗调参!$I$197</x:f>
        <x:v>190</x:v>
      </x:c>
      <x:c r="O1518" t="n">
        <x:f>养成消耗调参!$K$197</x:f>
        <x:v>41544</x:v>
      </x:c>
      <x:c r="P1518" t="n">
        <x:f>养成消耗调参!$N$197</x:f>
        <x:v>261000</x:v>
      </x:c>
      <x:c r="Q1518" t="n">
        <x:f>养成消耗调参!$P$197</x:f>
        <x:v>1000</x:v>
      </x:c>
      <x:c r="R1518">
        <x:f>I1518/英雄升级调参!$J$115-1</x:f>
        <x:v>-0.003612790513993991</x:v>
      </x:c>
    </x:row>
    <x:row r="1519">
      <x:c r="A1519" t="n">
        <x:f>英雄升级调参!$B$27</x:f>
        <x:v>310011</x:v>
      </x:c>
      <x:c r="B1519" t="str">
        <x:f>英雄升级调参!$C$27</x:f>
        <x:v>鳄不恶</x:v>
      </x:c>
      <x:c r="C1519" t="str">
        <x:f>英雄升级调参!$D$27</x:f>
        <x:v>生存者</x:v>
      </x:c>
      <x:c r="D1519" t="s">
        <x:v>25</x:v>
      </x:c>
      <x:c r="E1519">
        <x:v>1</x:v>
      </x:c>
      <x:c r="F1519" t="n">
        <x:f>英雄升级调参!$C$66</x:f>
        <x:v>1</x:v>
      </x:c>
      <x:c r="G1519">
        <x:f>G1428</x:f>
        <x:v>341</x:v>
      </x:c>
      <x:c r="H1519">
        <x:f>H1428</x:f>
        <x:v>3754</x:v>
      </x:c>
      <x:c r="I1519">
        <x:f t="shared" si="140"/>
        <x:v>1280114</x:v>
      </x:c>
      <x:c r="J1519" t="n">
        <x:f>0</x:f>
        <x:v>0</x:v>
      </x:c>
      <x:c r="K1519" t="n">
        <x:f>0</x:f>
        <x:v>0</x:v>
      </x:c>
      <x:c r="L1519" t="n">
        <x:f>养成消耗调参!$E$148</x:f>
        <x:v>0</x:v>
      </x:c>
      <x:c r="M1519" t="n">
        <x:f>养成消耗调参!$H$148</x:f>
        <x:v>0</x:v>
      </x:c>
      <x:c r="N1519" t="n">
        <x:f>养成消耗调参!$I$148</x:f>
        <x:v>0</x:v>
      </x:c>
      <x:c r="O1519" t="n">
        <x:f>养成消耗调参!$L$148</x:f>
        <x:v>0</x:v>
      </x:c>
      <x:c r="P1519" t="n">
        <x:f>养成消耗调参!$O$148</x:f>
        <x:v>0</x:v>
      </x:c>
      <x:c r="Q1519" t="n">
        <x:f>养成消耗调参!$P$148</x:f>
        <x:v>0</x:v>
      </x:c>
      <x:c r="R1519">
        <x:f>I1519/英雄升级调参!$M$66-1</x:f>
        <x:v>0.004412745490353087</x:v>
      </x:c>
    </x:row>
    <x:row r="1520">
      <x:c r="A1520" t="n">
        <x:f>英雄升级调参!$B$27</x:f>
        <x:v>310011</x:v>
      </x:c>
      <x:c r="B1520" t="str">
        <x:f>英雄升级调参!$C$27</x:f>
        <x:v>鳄不恶</x:v>
      </x:c>
      <x:c r="C1520" t="str">
        <x:f>英雄升级调参!$D$27</x:f>
        <x:v>生存者</x:v>
      </x:c>
      <x:c r="D1520" t="s">
        <x:v>25</x:v>
      </x:c>
      <x:c r="E1520">
        <x:v>2</x:v>
      </x:c>
      <x:c r="F1520" t="n">
        <x:f>英雄升级调参!$C$67</x:f>
        <x:v>1</x:v>
      </x:c>
      <x:c r="G1520">
        <x:f t="shared" ref="G1520:G1551" si="143">G1519+J1520</x:f>
        <x:v>384</x:v>
      </x:c>
      <x:c r="H1520">
        <x:f t="shared" ref="H1520:H1551" si="144">H1519+K1520</x:f>
        <x:v>4228</x:v>
      </x:c>
      <x:c r="I1520">
        <x:f t="shared" si="140"/>
        <x:v>1623552</x:v>
      </x:c>
      <x:c r="J1520">
        <x:f>ROUND(英雄升级调参!$D$67*英雄升级调参!$J$11*英雄升级调参!$E$27,0)</x:f>
        <x:v>43</x:v>
      </x:c>
      <x:c r="K1520">
        <x:f>ROUND(英雄升级调参!$D$67*英雄升级调参!$C$11*英雄升级调参!$J$11*英雄升级调参!$G$27,0)</x:f>
        <x:v>474</x:v>
      </x:c>
      <x:c r="L1520" t="n">
        <x:f>养成消耗调参!$E$149</x:f>
        <x:v>48</x:v>
      </x:c>
      <x:c r="M1520" t="n">
        <x:f>养成消耗调参!$H$149</x:f>
        <x:v>600</x:v>
      </x:c>
      <x:c r="N1520" t="n">
        <x:f>养成消耗调参!$I$149</x:f>
        <x:v>0</x:v>
      </x:c>
      <x:c r="O1520" t="n">
        <x:f>养成消耗调参!$L$149</x:f>
        <x:v>48</x:v>
      </x:c>
      <x:c r="P1520" t="n">
        <x:f>养成消耗调参!$O$149</x:f>
        <x:v>600</x:v>
      </x:c>
      <x:c r="Q1520" t="n">
        <x:f>养成消耗调参!$P$149</x:f>
        <x:v>0</x:v>
      </x:c>
      <x:c r="R1520">
        <x:f>I1520/英雄升级调参!$M$67-1</x:f>
        <x:v>0.004648399792084312</x:v>
      </x:c>
    </x:row>
    <x:row r="1521">
      <x:c r="A1521" t="n">
        <x:f>英雄升级调参!$B$27</x:f>
        <x:v>310011</x:v>
      </x:c>
      <x:c r="B1521" t="str">
        <x:f>英雄升级调参!$C$27</x:f>
        <x:v>鳄不恶</x:v>
      </x:c>
      <x:c r="C1521" t="str">
        <x:f>英雄升级调参!$D$27</x:f>
        <x:v>生存者</x:v>
      </x:c>
      <x:c r="D1521" t="s">
        <x:v>25</x:v>
      </x:c>
      <x:c r="E1521">
        <x:v>3</x:v>
      </x:c>
      <x:c r="F1521" t="n">
        <x:f>英雄升级调参!$C$68</x:f>
        <x:v>1</x:v>
      </x:c>
      <x:c r="G1521">
        <x:f t="shared" si="143"/>
        <x:v>427</x:v>
      </x:c>
      <x:c r="H1521">
        <x:f t="shared" si="144"/>
        <x:v>4702</x:v>
      </x:c>
      <x:c r="I1521">
        <x:f t="shared" si="140"/>
        <x:v>2007754</x:v>
      </x:c>
      <x:c r="J1521">
        <x:f>ROUND(英雄升级调参!$D$68*英雄升级调参!$J$11*英雄升级调参!$E$27,0)</x:f>
        <x:v>43</x:v>
      </x:c>
      <x:c r="K1521">
        <x:f>ROUND(英雄升级调参!$D$68*英雄升级调参!$C$11*英雄升级调参!$J$11*英雄升级调参!$G$27,0)</x:f>
        <x:v>474</x:v>
      </x:c>
      <x:c r="L1521" t="n">
        <x:f>养成消耗调参!$E$150</x:f>
        <x:v>48</x:v>
      </x:c>
      <x:c r="M1521" t="n">
        <x:f>养成消耗调参!$H$150</x:f>
        <x:v>600</x:v>
      </x:c>
      <x:c r="N1521" t="n">
        <x:f>养成消耗调参!$I$150</x:f>
        <x:v>0</x:v>
      </x:c>
      <x:c r="O1521" t="n">
        <x:f>养成消耗调参!$L$150</x:f>
        <x:v>96</x:v>
      </x:c>
      <x:c r="P1521" t="n">
        <x:f>养成消耗调参!$O$150</x:f>
        <x:v>1200</x:v>
      </x:c>
      <x:c r="Q1521" t="n">
        <x:f>养成消耗调参!$P$150</x:f>
        <x:v>0</x:v>
      </x:c>
      <x:c r="R1521">
        <x:f>I1521/英雄升级调参!$M$68-1</x:f>
        <x:v>0.004836618971117312</x:v>
      </x:c>
    </x:row>
    <x:row r="1522">
      <x:c r="A1522" t="n">
        <x:f>英雄升级调参!$B$27</x:f>
        <x:v>310011</x:v>
      </x:c>
      <x:c r="B1522" t="str">
        <x:f>英雄升级调参!$C$27</x:f>
        <x:v>鳄不恶</x:v>
      </x:c>
      <x:c r="C1522" t="str">
        <x:f>英雄升级调参!$D$27</x:f>
        <x:v>生存者</x:v>
      </x:c>
      <x:c r="D1522" t="s">
        <x:v>25</x:v>
      </x:c>
      <x:c r="E1522">
        <x:v>4</x:v>
      </x:c>
      <x:c r="F1522" t="n">
        <x:f>英雄升级调参!$C$69</x:f>
        <x:v>1</x:v>
      </x:c>
      <x:c r="G1522">
        <x:f t="shared" si="143"/>
        <x:v>470</x:v>
      </x:c>
      <x:c r="H1522">
        <x:f t="shared" si="144"/>
        <x:v>5176</x:v>
      </x:c>
      <x:c r="I1522">
        <x:f t="shared" si="140"/>
        <x:v>2432720</x:v>
      </x:c>
      <x:c r="J1522">
        <x:f>ROUND(英雄升级调参!$D$69*英雄升级调参!$J$11*英雄升级调参!$E$27,0)</x:f>
        <x:v>43</x:v>
      </x:c>
      <x:c r="K1522">
        <x:f>ROUND(英雄升级调参!$D$69*英雄升级调参!$C$11*英雄升级调参!$J$11*英雄升级调参!$G$27,0)</x:f>
        <x:v>474</x:v>
      </x:c>
      <x:c r="L1522" t="n">
        <x:f>养成消耗调参!$E$151</x:f>
        <x:v>96</x:v>
      </x:c>
      <x:c r="M1522" t="n">
        <x:f>养成消耗调参!$H$151</x:f>
        <x:v>600</x:v>
      </x:c>
      <x:c r="N1522" t="n">
        <x:f>养成消耗调参!$I$151</x:f>
        <x:v>0</x:v>
      </x:c>
      <x:c r="O1522" t="n">
        <x:f>养成消耗调参!$L$151</x:f>
        <x:v>192</x:v>
      </x:c>
      <x:c r="P1522" t="n">
        <x:f>养成消耗调参!$O$151</x:f>
        <x:v>1800</x:v>
      </x:c>
      <x:c r="Q1522" t="n">
        <x:f>养成消耗调参!$P$151</x:f>
        <x:v>0</x:v>
      </x:c>
      <x:c r="R1522">
        <x:f>I1522/英雄升级调参!$M$69-1</x:f>
        <x:v>0.0049904157578162245</x:v>
      </x:c>
    </x:row>
    <x:row r="1523">
      <x:c r="A1523" t="n">
        <x:f>英雄升级调参!$B$27</x:f>
        <x:v>310011</x:v>
      </x:c>
      <x:c r="B1523" t="str">
        <x:f>英雄升级调参!$C$27</x:f>
        <x:v>鳄不恶</x:v>
      </x:c>
      <x:c r="C1523" t="str">
        <x:f>英雄升级调参!$D$27</x:f>
        <x:v>生存者</x:v>
      </x:c>
      <x:c r="D1523" t="s">
        <x:v>25</x:v>
      </x:c>
      <x:c r="E1523">
        <x:v>5</x:v>
      </x:c>
      <x:c r="F1523" t="n">
        <x:f>英雄升级调参!$C$70</x:f>
        <x:v>1</x:v>
      </x:c>
      <x:c r="G1523">
        <x:f t="shared" si="143"/>
        <x:v>599</x:v>
      </x:c>
      <x:c r="H1523">
        <x:f t="shared" si="144"/>
        <x:v>6598</x:v>
      </x:c>
      <x:c r="I1523">
        <x:f t="shared" si="140"/>
        <x:v>3952202</x:v>
      </x:c>
      <x:c r="J1523">
        <x:f>ROUND(英雄升级调参!$D$70*英雄升级调参!$J$11*英雄升级调参!$E$27,0)*3</x:f>
        <x:v>129</x:v>
      </x:c>
      <x:c r="K1523">
        <x:f>ROUND(英雄升级调参!$D$70*英雄升级调参!$C$11*英雄升级调参!$J$11*英雄升级调参!$G$27,0)*3</x:f>
        <x:v>1422</x:v>
      </x:c>
      <x:c r="L1523" t="n">
        <x:f>养成消耗调参!$E$152</x:f>
        <x:v>96</x:v>
      </x:c>
      <x:c r="M1523" t="n">
        <x:f>养成消耗调参!$H$152</x:f>
        <x:v>600</x:v>
      </x:c>
      <x:c r="N1523" t="n">
        <x:f>养成消耗调参!$I$152</x:f>
        <x:v>10</x:v>
      </x:c>
      <x:c r="O1523" t="n">
        <x:f>养成消耗调参!$L$152</x:f>
        <x:v>288</x:v>
      </x:c>
      <x:c r="P1523" t="n">
        <x:f>养成消耗调参!$O$152</x:f>
        <x:v>2400</x:v>
      </x:c>
      <x:c r="Q1523" t="n">
        <x:f>养成消耗调参!$P$152</x:f>
        <x:v>10</x:v>
      </x:c>
      <x:c r="R1523">
        <x:f>I1523/英雄升级调参!$M$70-1</x:f>
        <x:v>0.0053193735389656105</x:v>
      </x:c>
    </x:row>
    <x:row r="1524">
      <x:c r="A1524" t="n">
        <x:f>英雄升级调参!$B$27</x:f>
        <x:v>310011</x:v>
      </x:c>
      <x:c r="B1524" t="str">
        <x:f>英雄升级调参!$C$27</x:f>
        <x:v>鳄不恶</x:v>
      </x:c>
      <x:c r="C1524" t="str">
        <x:f>英雄升级调参!$D$27</x:f>
        <x:v>生存者</x:v>
      </x:c>
      <x:c r="D1524" t="s">
        <x:v>25</x:v>
      </x:c>
      <x:c r="E1524">
        <x:v>6</x:v>
      </x:c>
      <x:c r="F1524" t="n">
        <x:f>英雄升级调参!$C$71</x:f>
        <x:v>2</x:v>
      </x:c>
      <x:c r="G1524">
        <x:f t="shared" si="143"/>
        <x:v>663</x:v>
      </x:c>
      <x:c r="H1524">
        <x:f t="shared" si="144"/>
        <x:v>7309</x:v>
      </x:c>
      <x:c r="I1524">
        <x:f t="shared" si="140"/>
        <x:v>4845867</x:v>
      </x:c>
      <x:c r="J1524">
        <x:f>ROUND(英雄升级调参!$D$71*英雄升级调参!$J$11*英雄升级调参!$E$27,0)</x:f>
        <x:v>64</x:v>
      </x:c>
      <x:c r="K1524">
        <x:f>ROUND(英雄升级调参!$D$71*英雄升级调参!$C$11*英雄升级调参!$J$11*英雄升级调参!$G$27,0)</x:f>
        <x:v>711</x:v>
      </x:c>
      <x:c r="L1524" t="n">
        <x:f>养成消耗调参!$E$153</x:f>
        <x:v>192</x:v>
      </x:c>
      <x:c r="M1524" t="n">
        <x:f>养成消耗调参!$H$153</x:f>
        <x:v>600</x:v>
      </x:c>
      <x:c r="N1524" t="n">
        <x:f>养成消耗调参!$I$153</x:f>
        <x:v>0</x:v>
      </x:c>
      <x:c r="O1524" t="n">
        <x:f>养成消耗调参!$L$153</x:f>
        <x:v>480</x:v>
      </x:c>
      <x:c r="P1524" t="n">
        <x:f>养成消耗调参!$O$153</x:f>
        <x:v>3000</x:v>
      </x:c>
      <x:c r="Q1524" t="n">
        <x:f>养成消耗调参!$P$153</x:f>
        <x:v>10</x:v>
      </x:c>
      <x:c r="R1524">
        <x:f>I1524/英雄升级调参!$M$71-1</x:f>
        <x:v>0.0039554360830988955</x:v>
      </x:c>
    </x:row>
    <x:row r="1525">
      <x:c r="A1525" t="n">
        <x:f>英雄升级调参!$B$27</x:f>
        <x:v>310011</x:v>
      </x:c>
      <x:c r="B1525" t="str">
        <x:f>英雄升级调参!$C$27</x:f>
        <x:v>鳄不恶</x:v>
      </x:c>
      <x:c r="C1525" t="str">
        <x:f>英雄升级调参!$D$27</x:f>
        <x:v>生存者</x:v>
      </x:c>
      <x:c r="D1525" t="s">
        <x:v>25</x:v>
      </x:c>
      <x:c r="E1525">
        <x:v>7</x:v>
      </x:c>
      <x:c r="F1525" t="n">
        <x:f>英雄升级调参!$C$72</x:f>
        <x:v>2</x:v>
      </x:c>
      <x:c r="G1525">
        <x:f t="shared" si="143"/>
        <x:v>727</x:v>
      </x:c>
      <x:c r="H1525">
        <x:f t="shared" si="144"/>
        <x:v>8020</x:v>
      </x:c>
      <x:c r="I1525">
        <x:f t="shared" si="140"/>
        <x:v>5830540</x:v>
      </x:c>
      <x:c r="J1525">
        <x:f>ROUND(英雄升级调参!$D$72*英雄升级调参!$J$11*英雄升级调参!$E$27,0)</x:f>
        <x:v>64</x:v>
      </x:c>
      <x:c r="K1525">
        <x:f>ROUND(英雄升级调参!$D$72*英雄升级调参!$C$11*英雄升级调参!$J$11*英雄升级调参!$G$27,0)</x:f>
        <x:v>711</x:v>
      </x:c>
      <x:c r="L1525" t="n">
        <x:f>养成消耗调参!$E$154</x:f>
        <x:v>192</x:v>
      </x:c>
      <x:c r="M1525" t="n">
        <x:f>养成消耗调参!$H$154</x:f>
        <x:v>1800</x:v>
      </x:c>
      <x:c r="N1525" t="n">
        <x:f>养成消耗调参!$I$154</x:f>
        <x:v>0</x:v>
      </x:c>
      <x:c r="O1525" t="n">
        <x:f>养成消耗调参!$L$154</x:f>
        <x:v>672</x:v>
      </x:c>
      <x:c r="P1525" t="n">
        <x:f>养成消耗调参!$O$154</x:f>
        <x:v>4800</x:v>
      </x:c>
      <x:c r="Q1525" t="n">
        <x:f>养成消耗调参!$P$154</x:f>
        <x:v>10</x:v>
      </x:c>
      <x:c r="R1525">
        <x:f>I1525/英雄升级调参!$M$72-1</x:f>
        <x:v>0.0028345080718121807</x:v>
      </x:c>
    </x:row>
    <x:row r="1526">
      <x:c r="A1526" t="n">
        <x:f>英雄升级调参!$B$27</x:f>
        <x:v>310011</x:v>
      </x:c>
      <x:c r="B1526" t="str">
        <x:f>英雄升级调参!$C$27</x:f>
        <x:v>鳄不恶</x:v>
      </x:c>
      <x:c r="C1526" t="str">
        <x:f>英雄升级调参!$D$27</x:f>
        <x:v>生存者</x:v>
      </x:c>
      <x:c r="D1526" t="s">
        <x:v>25</x:v>
      </x:c>
      <x:c r="E1526">
        <x:v>8</x:v>
      </x:c>
      <x:c r="F1526" t="n">
        <x:f>英雄升级调参!$C$73</x:f>
        <x:v>2</x:v>
      </x:c>
      <x:c r="G1526">
        <x:f t="shared" si="143"/>
        <x:v>791</x:v>
      </x:c>
      <x:c r="H1526">
        <x:f t="shared" si="144"/>
        <x:v>8731</x:v>
      </x:c>
      <x:c r="I1526">
        <x:f t="shared" si="140"/>
        <x:v>6906221</x:v>
      </x:c>
      <x:c r="J1526">
        <x:f>ROUND(英雄升级调参!$D$73*英雄升级调参!$J$11*英雄升级调参!$E$27,0)</x:f>
        <x:v>64</x:v>
      </x:c>
      <x:c r="K1526">
        <x:f>ROUND(英雄升级调参!$D$73*英雄升级调参!$C$11*英雄升级调参!$J$11*英雄升级调参!$G$27,0)</x:f>
        <x:v>711</x:v>
      </x:c>
      <x:c r="L1526" t="n">
        <x:f>养成消耗调参!$E$155</x:f>
        <x:v>288</x:v>
      </x:c>
      <x:c r="M1526" t="n">
        <x:f>养成消耗调参!$H$155</x:f>
        <x:v>1800</x:v>
      </x:c>
      <x:c r="N1526" t="n">
        <x:f>养成消耗调参!$I$155</x:f>
        <x:v>0</x:v>
      </x:c>
      <x:c r="O1526" t="n">
        <x:f>养成消耗调参!$L$155</x:f>
        <x:v>960</x:v>
      </x:c>
      <x:c r="P1526" t="n">
        <x:f>养成消耗调参!$O$155</x:f>
        <x:v>6600</x:v>
      </x:c>
      <x:c r="Q1526" t="n">
        <x:f>养成消耗调参!$P$155</x:f>
        <x:v>10</x:v>
      </x:c>
      <x:c r="R1526">
        <x:f>I1526/英雄升级调参!$M$73-1</x:f>
        <x:v>0.0018969570493585497</x:v>
      </x:c>
    </x:row>
    <x:row r="1527">
      <x:c r="A1527" t="n">
        <x:f>英雄升级调参!$B$27</x:f>
        <x:v>310011</x:v>
      </x:c>
      <x:c r="B1527" t="str">
        <x:f>英雄升级调参!$C$27</x:f>
        <x:v>鳄不恶</x:v>
      </x:c>
      <x:c r="C1527" t="str">
        <x:f>英雄升级调参!$D$27</x:f>
        <x:v>生存者</x:v>
      </x:c>
      <x:c r="D1527" t="s">
        <x:v>25</x:v>
      </x:c>
      <x:c r="E1527">
        <x:v>9</x:v>
      </x:c>
      <x:c r="F1527" t="n">
        <x:f>英雄升级调参!$C$74</x:f>
        <x:v>2</x:v>
      </x:c>
      <x:c r="G1527">
        <x:f t="shared" si="143"/>
        <x:v>855</x:v>
      </x:c>
      <x:c r="H1527">
        <x:f t="shared" si="144"/>
        <x:v>9442</x:v>
      </x:c>
      <x:c r="I1527">
        <x:f t="shared" si="140"/>
        <x:v>8072910</x:v>
      </x:c>
      <x:c r="J1527">
        <x:f>ROUND(英雄升级调参!$D$74*英雄升级调参!$J$11*英雄升级调参!$E$27,0)</x:f>
        <x:v>64</x:v>
      </x:c>
      <x:c r="K1527">
        <x:f>ROUND(英雄升级调参!$D$74*英雄升级调参!$C$11*英雄升级调参!$J$11*英雄升级调参!$G$27,0)</x:f>
        <x:v>711</x:v>
      </x:c>
      <x:c r="L1527" t="n">
        <x:f>养成消耗调参!$E$156</x:f>
        <x:v>288</x:v>
      </x:c>
      <x:c r="M1527" t="n">
        <x:f>养成消耗调参!$H$156</x:f>
        <x:v>1800</x:v>
      </x:c>
      <x:c r="N1527" t="n">
        <x:f>养成消耗调参!$I$156</x:f>
        <x:v>0</x:v>
      </x:c>
      <x:c r="O1527" t="n">
        <x:f>养成消耗调参!$L$156</x:f>
        <x:v>1248</x:v>
      </x:c>
      <x:c r="P1527" t="n">
        <x:f>养成消耗调参!$O$156</x:f>
        <x:v>8400</x:v>
      </x:c>
      <x:c r="Q1527" t="n">
        <x:f>养成消耗调参!$P$156</x:f>
        <x:v>10</x:v>
      </x:c>
      <x:c r="R1527">
        <x:f>I1527/英雄升级调参!$M$74-1</x:f>
        <x:v>0.0011011863795149512</x:v>
      </x:c>
    </x:row>
    <x:row r="1528">
      <x:c r="A1528" t="n">
        <x:f>英雄升级调参!$B$27</x:f>
        <x:v>310011</x:v>
      </x:c>
      <x:c r="B1528" t="str">
        <x:f>英雄升级调参!$C$27</x:f>
        <x:v>鳄不恶</x:v>
      </x:c>
      <x:c r="C1528" t="str">
        <x:f>英雄升级调参!$D$27</x:f>
        <x:v>生存者</x:v>
      </x:c>
      <x:c r="D1528" t="s">
        <x:v>25</x:v>
      </x:c>
      <x:c r="E1528">
        <x:v>10</x:v>
      </x:c>
      <x:c r="F1528" t="n">
        <x:f>英雄升级调参!$C$75</x:f>
        <x:v>2</x:v>
      </x:c>
      <x:c r="G1528">
        <x:f t="shared" si="143"/>
        <x:v>1047</x:v>
      </x:c>
      <x:c r="H1528">
        <x:f t="shared" si="144"/>
        <x:v>11575</x:v>
      </x:c>
      <x:c r="I1528">
        <x:f t="shared" si="140"/>
        <x:v>12119025</x:v>
      </x:c>
      <x:c r="J1528">
        <x:f>ROUND(英雄升级调参!$D$75*英雄升级调参!$J$11*英雄升级调参!$E$27,0)*3</x:f>
        <x:v>192</x:v>
      </x:c>
      <x:c r="K1528">
        <x:f>ROUND(英雄升级调参!$D$75*英雄升级调参!$C$11*英雄升级调参!$J$11*英雄升级调参!$G$27,0)*3</x:f>
        <x:v>2133</x:v>
      </x:c>
      <x:c r="L1528" t="n">
        <x:f>养成消耗调参!$E$157</x:f>
        <x:v>384</x:v>
      </x:c>
      <x:c r="M1528" t="n">
        <x:f>养成消耗调参!$H$157</x:f>
        <x:v>1800</x:v>
      </x:c>
      <x:c r="N1528" t="n">
        <x:f>养成消耗调参!$I$157</x:f>
        <x:v>30</x:v>
      </x:c>
      <x:c r="O1528" t="n">
        <x:f>养成消耗调参!$L$157</x:f>
        <x:v>1632</x:v>
      </x:c>
      <x:c r="P1528" t="n">
        <x:f>养成消耗调参!$O$157</x:f>
        <x:v>10200</x:v>
      </x:c>
      <x:c r="Q1528" t="n">
        <x:f>养成消耗调参!$P$157</x:f>
        <x:v>40</x:v>
      </x:c>
      <x:c r="R1528">
        <x:f>I1528/英雄升级调参!$M$75-1</x:f>
        <x:v>-0.0006975889889783149</x:v>
      </x:c>
    </x:row>
    <x:row r="1529">
      <x:c r="A1529" t="n">
        <x:f>英雄升级调参!$B$27</x:f>
        <x:v>310011</x:v>
      </x:c>
      <x:c r="B1529" t="str">
        <x:f>英雄升级调参!$C$27</x:f>
        <x:v>鳄不恶</x:v>
      </x:c>
      <x:c r="C1529" t="str">
        <x:f>英雄升级调参!$D$27</x:f>
        <x:v>生存者</x:v>
      </x:c>
      <x:c r="D1529" t="s">
        <x:v>25</x:v>
      </x:c>
      <x:c r="E1529">
        <x:v>11</x:v>
      </x:c>
      <x:c r="F1529" t="n">
        <x:f>英雄升级调参!$C$76</x:f>
        <x:v>3</x:v>
      </x:c>
      <x:c r="G1529">
        <x:f t="shared" si="143"/>
        <x:v>1133</x:v>
      </x:c>
      <x:c r="H1529">
        <x:f t="shared" si="144"/>
        <x:v>12522</x:v>
      </x:c>
      <x:c r="I1529">
        <x:f t="shared" si="140"/>
        <x:v>14187426</x:v>
      </x:c>
      <x:c r="J1529">
        <x:f>ROUND(英雄升级调参!$D$76*英雄升级调参!$J$11*英雄升级调参!$E$27,0)</x:f>
        <x:v>86</x:v>
      </x:c>
      <x:c r="K1529">
        <x:f>ROUND(英雄升级调参!$D$76*英雄升级调参!$C$11*英雄升级调参!$J$11*英雄升级调参!$G$27,0)</x:f>
        <x:v>947</x:v>
      </x:c>
      <x:c r="L1529" t="n">
        <x:f>养成消耗调参!$E$158</x:f>
        <x:v>384</x:v>
      </x:c>
      <x:c r="M1529" t="n">
        <x:f>养成消耗调参!$H$158</x:f>
        <x:v>1800</x:v>
      </x:c>
      <x:c r="N1529" t="n">
        <x:f>养成消耗调参!$I$158</x:f>
        <x:v>0</x:v>
      </x:c>
      <x:c r="O1529" t="n">
        <x:f>养成消耗调参!$L$158</x:f>
        <x:v>2016</x:v>
      </x:c>
      <x:c r="P1529" t="n">
        <x:f>养成消耗调参!$O$158</x:f>
        <x:v>12000</x:v>
      </x:c>
      <x:c r="Q1529" t="n">
        <x:f>养成消耗调参!$P$158</x:f>
        <x:v>40</x:v>
      </x:c>
      <x:c r="R1529">
        <x:f>I1529/英雄升级调参!$M$76-1</x:f>
        <x:v>-0.00023318031095642677</x:v>
      </x:c>
    </x:row>
    <x:row r="1530">
      <x:c r="A1530" t="n">
        <x:f>英雄升级调参!$B$27</x:f>
        <x:v>310011</x:v>
      </x:c>
      <x:c r="B1530" t="str">
        <x:f>英雄升级调参!$C$27</x:f>
        <x:v>鳄不恶</x:v>
      </x:c>
      <x:c r="C1530" t="str">
        <x:f>英雄升级调参!$D$27</x:f>
        <x:v>生存者</x:v>
      </x:c>
      <x:c r="D1530" t="s">
        <x:v>25</x:v>
      </x:c>
      <x:c r="E1530">
        <x:v>12</x:v>
      </x:c>
      <x:c r="F1530" t="n">
        <x:f>英雄升级调参!$C$77</x:f>
        <x:v>3</x:v>
      </x:c>
      <x:c r="G1530">
        <x:f t="shared" si="143"/>
        <x:v>1219</x:v>
      </x:c>
      <x:c r="H1530">
        <x:f t="shared" si="144"/>
        <x:v>13469</x:v>
      </x:c>
      <x:c r="I1530">
        <x:f t="shared" si="140"/>
        <x:v>16418711</x:v>
      </x:c>
      <x:c r="J1530">
        <x:f>ROUND(英雄升级调参!$D$77*英雄升级调参!$J$11*英雄升级调参!$E$27,0)</x:f>
        <x:v>86</x:v>
      </x:c>
      <x:c r="K1530">
        <x:f>ROUND(英雄升级调参!$D$77*英雄升级调参!$C$11*英雄升级调参!$J$11*英雄升级调参!$G$27,0)</x:f>
        <x:v>947</x:v>
      </x:c>
      <x:c r="L1530" t="n">
        <x:f>养成消耗调参!$E$159</x:f>
        <x:v>480</x:v>
      </x:c>
      <x:c r="M1530" t="n">
        <x:f>养成消耗调参!$H$159</x:f>
        <x:v>3000</x:v>
      </x:c>
      <x:c r="N1530" t="n">
        <x:f>养成消耗调参!$I$159</x:f>
        <x:v>0</x:v>
      </x:c>
      <x:c r="O1530" t="n">
        <x:f>养成消耗调参!$L$159</x:f>
        <x:v>2496</x:v>
      </x:c>
      <x:c r="P1530" t="n">
        <x:f>养成消耗调参!$O$159</x:f>
        <x:v>15000</x:v>
      </x:c>
      <x:c r="Q1530" t="n">
        <x:f>养成消耗调参!$P$159</x:f>
        <x:v>40</x:v>
      </x:c>
      <x:c r="R1530">
        <x:f>I1530/英雄升级调参!$M$77-1</x:f>
        <x:v>0.00016605765660715477</x:v>
      </x:c>
    </x:row>
    <x:row r="1531">
      <x:c r="A1531" t="n">
        <x:f>英雄升级调参!$B$27</x:f>
        <x:v>310011</x:v>
      </x:c>
      <x:c r="B1531" t="str">
        <x:f>英雄升级调参!$C$27</x:f>
        <x:v>鳄不恶</x:v>
      </x:c>
      <x:c r="C1531" t="str">
        <x:f>英雄升级调参!$D$27</x:f>
        <x:v>生存者</x:v>
      </x:c>
      <x:c r="D1531" t="s">
        <x:v>25</x:v>
      </x:c>
      <x:c r="E1531">
        <x:v>13</x:v>
      </x:c>
      <x:c r="F1531" t="n">
        <x:f>英雄升级调参!$C$78</x:f>
        <x:v>3</x:v>
      </x:c>
      <x:c r="G1531">
        <x:f t="shared" si="143"/>
        <x:v>1305</x:v>
      </x:c>
      <x:c r="H1531">
        <x:f t="shared" si="144"/>
        <x:v>14416</x:v>
      </x:c>
      <x:c r="I1531">
        <x:f t="shared" si="140"/>
        <x:v>18812880</x:v>
      </x:c>
      <x:c r="J1531">
        <x:f>ROUND(英雄升级调参!$D$78*英雄升级调参!$J$11*英雄升级调参!$E$27,0)</x:f>
        <x:v>86</x:v>
      </x:c>
      <x:c r="K1531">
        <x:f>ROUND(英雄升级调参!$D$78*英雄升级调参!$C$11*英雄升级调参!$J$11*英雄升级调参!$G$27,0)</x:f>
        <x:v>947</x:v>
      </x:c>
      <x:c r="L1531" t="n">
        <x:f>养成消耗调参!$E$160</x:f>
        <x:v>480</x:v>
      </x:c>
      <x:c r="M1531" t="n">
        <x:f>养成消耗调参!$H$160</x:f>
        <x:v>3000</x:v>
      </x:c>
      <x:c r="N1531" t="n">
        <x:f>养成消耗调参!$I$160</x:f>
        <x:v>0</x:v>
      </x:c>
      <x:c r="O1531" t="n">
        <x:f>养成消耗调参!$L$160</x:f>
        <x:v>2976</x:v>
      </x:c>
      <x:c r="P1531" t="n">
        <x:f>养成消耗调参!$O$160</x:f>
        <x:v>18000</x:v>
      </x:c>
      <x:c r="Q1531" t="n">
        <x:f>养成消耗调参!$P$160</x:f>
        <x:v>40</x:v>
      </x:c>
      <x:c r="R1531">
        <x:f>I1531/英雄升级调参!$M$78-1</x:f>
        <x:v>0.0005129436503878981</x:v>
      </x:c>
    </x:row>
    <x:row r="1532">
      <x:c r="A1532" t="n">
        <x:f>英雄升级调参!$B$27</x:f>
        <x:v>310011</x:v>
      </x:c>
      <x:c r="B1532" t="str">
        <x:f>英雄升级调参!$C$27</x:f>
        <x:v>鳄不恶</x:v>
      </x:c>
      <x:c r="C1532" t="str">
        <x:f>英雄升级调参!$D$27</x:f>
        <x:v>生存者</x:v>
      </x:c>
      <x:c r="D1532" t="s">
        <x:v>25</x:v>
      </x:c>
      <x:c r="E1532">
        <x:v>14</x:v>
      </x:c>
      <x:c r="F1532" t="n">
        <x:f>英雄升级调参!$C$79</x:f>
        <x:v>3</x:v>
      </x:c>
      <x:c r="G1532">
        <x:f t="shared" si="143"/>
        <x:v>1391</x:v>
      </x:c>
      <x:c r="H1532">
        <x:f t="shared" si="144"/>
        <x:v>15363</x:v>
      </x:c>
      <x:c r="I1532">
        <x:f t="shared" si="140"/>
        <x:v>21369933</x:v>
      </x:c>
      <x:c r="J1532">
        <x:f>ROUND(英雄升级调参!$D$79*英雄升级调参!$J$11*英雄升级调参!$E$27,0)</x:f>
        <x:v>86</x:v>
      </x:c>
      <x:c r="K1532">
        <x:f>ROUND(英雄升级调参!$D$79*英雄升级调参!$C$11*英雄升级调参!$J$11*英雄升级调参!$G$27,0)</x:f>
        <x:v>947</x:v>
      </x:c>
      <x:c r="L1532" t="n">
        <x:f>养成消耗调参!$E$161</x:f>
        <x:v>576</x:v>
      </x:c>
      <x:c r="M1532" t="n">
        <x:f>养成消耗调参!$H$161</x:f>
        <x:v>3000</x:v>
      </x:c>
      <x:c r="N1532" t="n">
        <x:f>养成消耗调参!$I$161</x:f>
        <x:v>0</x:v>
      </x:c>
      <x:c r="O1532" t="n">
        <x:f>养成消耗调参!$L$161</x:f>
        <x:v>3552</x:v>
      </x:c>
      <x:c r="P1532" t="n">
        <x:f>养成消耗调参!$O$161</x:f>
        <x:v>21000</x:v>
      </x:c>
      <x:c r="Q1532" t="n">
        <x:f>养成消耗调参!$P$161</x:f>
        <x:v>40</x:v>
      </x:c>
      <x:c r="R1532">
        <x:f>I1532/英雄升级调参!$M$79-1</x:f>
        <x:v>0.0008171414240543129</x:v>
      </x:c>
    </x:row>
    <x:row r="1533">
      <x:c r="A1533" t="n">
        <x:f>英雄升级调参!$B$27</x:f>
        <x:v>310011</x:v>
      </x:c>
      <x:c r="B1533" t="str">
        <x:f>英雄升级调参!$C$27</x:f>
        <x:v>鳄不恶</x:v>
      </x:c>
      <x:c r="C1533" t="str">
        <x:f>英雄升级调参!$D$27</x:f>
        <x:v>生存者</x:v>
      </x:c>
      <x:c r="D1533" t="s">
        <x:v>25</x:v>
      </x:c>
      <x:c r="E1533">
        <x:v>15</x:v>
      </x:c>
      <x:c r="F1533" t="n">
        <x:f>英雄升级调参!$C$80</x:f>
        <x:v>3</x:v>
      </x:c>
      <x:c r="G1533">
        <x:f t="shared" si="143"/>
        <x:v>1649</x:v>
      </x:c>
      <x:c r="H1533">
        <x:f t="shared" si="144"/>
        <x:v>18204</x:v>
      </x:c>
      <x:c r="I1533">
        <x:f t="shared" si="140"/>
        <x:v>30018396</x:v>
      </x:c>
      <x:c r="J1533">
        <x:f>ROUND(英雄升级调参!$D$80*英雄升级调参!$J$11*英雄升级调参!$E$27,0)*3</x:f>
        <x:v>258</x:v>
      </x:c>
      <x:c r="K1533">
        <x:f>ROUND(英雄升级调参!$D$80*英雄升级调参!$C$11*英雄升级调参!$J$11*英雄升级调参!$G$27,0)*3</x:f>
        <x:v>2841</x:v>
      </x:c>
      <x:c r="L1533" t="n">
        <x:f>养成消耗调参!$E$162</x:f>
        <x:v>576</x:v>
      </x:c>
      <x:c r="M1533" t="n">
        <x:f>养成消耗调参!$H$162</x:f>
        <x:v>3000</x:v>
      </x:c>
      <x:c r="N1533" t="n">
        <x:f>养成消耗调参!$I$162</x:f>
        <x:v>50</x:v>
      </x:c>
      <x:c r="O1533" t="n">
        <x:f>养成消耗调参!$L$162</x:f>
        <x:v>4128</x:v>
      </x:c>
      <x:c r="P1533" t="n">
        <x:f>养成消耗调参!$O$162</x:f>
        <x:v>24000</x:v>
      </x:c>
      <x:c r="Q1533" t="n">
        <x:f>养成消耗调参!$P$162</x:f>
        <x:v>90</x:v>
      </x:c>
      <x:c r="R1533">
        <x:f>I1533/英雄升级调参!$M$80-1</x:f>
        <x:v>0.001540125386044755</x:v>
      </x:c>
    </x:row>
    <x:row r="1534">
      <x:c r="A1534" t="n">
        <x:f>英雄升级调参!$B$27</x:f>
        <x:v>310011</x:v>
      </x:c>
      <x:c r="B1534" t="str">
        <x:f>英雄升级调参!$C$27</x:f>
        <x:v>鳄不恶</x:v>
      </x:c>
      <x:c r="C1534" t="str">
        <x:f>英雄升级调参!$D$27</x:f>
        <x:v>生存者</x:v>
      </x:c>
      <x:c r="D1534" t="s">
        <x:v>25</x:v>
      </x:c>
      <x:c r="E1534">
        <x:v>16</x:v>
      </x:c>
      <x:c r="F1534" t="n">
        <x:f>英雄升级调参!$C$81</x:f>
        <x:v>4</x:v>
      </x:c>
      <x:c r="G1534">
        <x:f t="shared" si="143"/>
        <x:v>1756</x:v>
      </x:c>
      <x:c r="H1534">
        <x:f t="shared" si="144"/>
        <x:v>19388</x:v>
      </x:c>
      <x:c r="I1534">
        <x:f t="shared" si="140"/>
        <x:v>34045328</x:v>
      </x:c>
      <x:c r="J1534">
        <x:f>ROUND(英雄升级调参!$D$81*英雄升级调参!$J$11*英雄升级调参!$E$27,0)</x:f>
        <x:v>107</x:v>
      </x:c>
      <x:c r="K1534">
        <x:f>ROUND(英雄升级调参!$D$81*英雄升级调参!$C$11*英雄升级调参!$J$11*英雄升级调参!$G$27,0)</x:f>
        <x:v>1184</x:v>
      </x:c>
      <x:c r="L1534" t="n">
        <x:f>养成消耗调参!$E$163</x:f>
        <x:v>672</x:v>
      </x:c>
      <x:c r="M1534" t="n">
        <x:f>养成消耗调参!$H$163</x:f>
        <x:v>3000</x:v>
      </x:c>
      <x:c r="N1534" t="n">
        <x:f>养成消耗调参!$I$163</x:f>
        <x:v>0</x:v>
      </x:c>
      <x:c r="O1534" t="n">
        <x:f>养成消耗调参!$L$163</x:f>
        <x:v>4800</x:v>
      </x:c>
      <x:c r="P1534" t="n">
        <x:f>养成消耗调参!$O$163</x:f>
        <x:v>27000</x:v>
      </x:c>
      <x:c r="Q1534" t="n">
        <x:f>养成消耗调参!$P$163</x:f>
        <x:v>90</x:v>
      </x:c>
      <x:c r="R1534">
        <x:f>I1534/英雄升级调参!$M$81-1</x:f>
        <x:v>0.0012354087777310951</x:v>
      </x:c>
    </x:row>
    <x:row r="1535">
      <x:c r="A1535" t="n">
        <x:f>英雄升级调参!$B$27</x:f>
        <x:v>310011</x:v>
      </x:c>
      <x:c r="B1535" t="str">
        <x:f>英雄升级调参!$C$27</x:f>
        <x:v>鳄不恶</x:v>
      </x:c>
      <x:c r="C1535" t="str">
        <x:f>英雄升级调参!$D$27</x:f>
        <x:v>生存者</x:v>
      </x:c>
      <x:c r="D1535" t="s">
        <x:v>25</x:v>
      </x:c>
      <x:c r="E1535">
        <x:v>17</x:v>
      </x:c>
      <x:c r="F1535" t="n">
        <x:f>英雄升级调参!$C$82</x:f>
        <x:v>4</x:v>
      </x:c>
      <x:c r="G1535">
        <x:f t="shared" si="143"/>
        <x:v>1863</x:v>
      </x:c>
      <x:c r="H1535">
        <x:f t="shared" si="144"/>
        <x:v>20572</x:v>
      </x:c>
      <x:c r="I1535">
        <x:f t="shared" si="140"/>
        <x:v>38325636</x:v>
      </x:c>
      <x:c r="J1535">
        <x:f>ROUND(英雄升级调参!$D$82*英雄升级调参!$J$11*英雄升级调参!$E$27,0)</x:f>
        <x:v>107</x:v>
      </x:c>
      <x:c r="K1535">
        <x:f>ROUND(英雄升级调参!$D$82*英雄升级调参!$C$11*英雄升级调参!$J$11*英雄升级调参!$G$27,0)</x:f>
        <x:v>1184</x:v>
      </x:c>
      <x:c r="L1535" t="n">
        <x:f>养成消耗调参!$E$164</x:f>
        <x:v>672</x:v>
      </x:c>
      <x:c r="M1535" t="n">
        <x:f>养成消耗调参!$H$164</x:f>
        <x:v>4200</x:v>
      </x:c>
      <x:c r="N1535" t="n">
        <x:f>养成消耗调参!$I$164</x:f>
        <x:v>0</x:v>
      </x:c>
      <x:c r="O1535" t="n">
        <x:f>养成消耗调参!$L$164</x:f>
        <x:v>5472</x:v>
      </x:c>
      <x:c r="P1535" t="n">
        <x:f>养成消耗调参!$O$164</x:f>
        <x:v>31200</x:v>
      </x:c>
      <x:c r="Q1535" t="n">
        <x:f>养成消耗调参!$P$164</x:f>
        <x:v>90</x:v>
      </x:c>
      <x:c r="R1535">
        <x:f>I1535/英雄升级调参!$M$82-1</x:f>
        <x:v>0.0009658474553362328</x:v>
      </x:c>
    </x:row>
    <x:row r="1536">
      <x:c r="A1536" t="n">
        <x:f>英雄升级调参!$B$27</x:f>
        <x:v>310011</x:v>
      </x:c>
      <x:c r="B1536" t="str">
        <x:f>英雄升级调参!$C$27</x:f>
        <x:v>鳄不恶</x:v>
      </x:c>
      <x:c r="C1536" t="str">
        <x:f>英雄升级调参!$D$27</x:f>
        <x:v>生存者</x:v>
      </x:c>
      <x:c r="D1536" t="s">
        <x:v>25</x:v>
      </x:c>
      <x:c r="E1536">
        <x:v>18</x:v>
      </x:c>
      <x:c r="F1536" t="n">
        <x:f>英雄升级调参!$C$83</x:f>
        <x:v>4</x:v>
      </x:c>
      <x:c r="G1536">
        <x:f t="shared" si="143"/>
        <x:v>1970</x:v>
      </x:c>
      <x:c r="H1536">
        <x:f t="shared" si="144"/>
        <x:v>21756</x:v>
      </x:c>
      <x:c r="I1536">
        <x:f t="shared" si="140"/>
        <x:v>42859320</x:v>
      </x:c>
      <x:c r="J1536">
        <x:f>ROUND(英雄升级调参!$D$83*英雄升级调参!$J$11*英雄升级调参!$E$27,0)</x:f>
        <x:v>107</x:v>
      </x:c>
      <x:c r="K1536">
        <x:f>ROUND(英雄升级调参!$D$83*英雄升级调参!$C$11*英雄升级调参!$J$11*英雄升级调参!$G$27,0)</x:f>
        <x:v>1184</x:v>
      </x:c>
      <x:c r="L1536" t="n">
        <x:f>养成消耗调参!$E$165</x:f>
        <x:v>768</x:v>
      </x:c>
      <x:c r="M1536" t="n">
        <x:f>养成消耗调参!$H$165</x:f>
        <x:v>4200</x:v>
      </x:c>
      <x:c r="N1536" t="n">
        <x:f>养成消耗调参!$I$165</x:f>
        <x:v>0</x:v>
      </x:c>
      <x:c r="O1536" t="n">
        <x:f>养成消耗调参!$L$165</x:f>
        <x:v>6240</x:v>
      </x:c>
      <x:c r="P1536" t="n">
        <x:f>养成消耗调参!$O$165</x:f>
        <x:v>35400</x:v>
      </x:c>
      <x:c r="Q1536" t="n">
        <x:f>养成消耗调参!$P$165</x:f>
        <x:v>90</x:v>
      </x:c>
      <x:c r="R1536">
        <x:f>I1536/英雄升级调参!$M$83-1</x:f>
        <x:v>0.0007256894049347817</x:v>
      </x:c>
    </x:row>
    <x:row r="1537">
      <x:c r="A1537" t="n">
        <x:f>英雄升级调参!$B$27</x:f>
        <x:v>310011</x:v>
      </x:c>
      <x:c r="B1537" t="str">
        <x:f>英雄升级调参!$C$27</x:f>
        <x:v>鳄不恶</x:v>
      </x:c>
      <x:c r="C1537" t="str">
        <x:f>英雄升级调参!$D$27</x:f>
        <x:v>生存者</x:v>
      </x:c>
      <x:c r="D1537" t="s">
        <x:v>25</x:v>
      </x:c>
      <x:c r="E1537">
        <x:v>19</x:v>
      </x:c>
      <x:c r="F1537" t="n">
        <x:f>英雄升级调参!$C$84</x:f>
        <x:v>4</x:v>
      </x:c>
      <x:c r="G1537">
        <x:f t="shared" si="143"/>
        <x:v>2077</x:v>
      </x:c>
      <x:c r="H1537">
        <x:f t="shared" si="144"/>
        <x:v>22940</x:v>
      </x:c>
      <x:c r="I1537">
        <x:f t="shared" si="140"/>
        <x:v>47646380</x:v>
      </x:c>
      <x:c r="J1537">
        <x:f>ROUND(英雄升级调参!$D$84*英雄升级调参!$J$11*英雄升级调参!$E$27,0)</x:f>
        <x:v>107</x:v>
      </x:c>
      <x:c r="K1537">
        <x:f>ROUND(英雄升级调参!$D$84*英雄升级调参!$C$11*英雄升级调参!$J$11*英雄升级调参!$G$27,0)</x:f>
        <x:v>1184</x:v>
      </x:c>
      <x:c r="L1537" t="n">
        <x:f>养成消耗调参!$E$166</x:f>
        <x:v>768</x:v>
      </x:c>
      <x:c r="M1537" t="n">
        <x:f>养成消耗调参!$H$166</x:f>
        <x:v>4200</x:v>
      </x:c>
      <x:c r="N1537" t="n">
        <x:f>养成消耗调参!$I$166</x:f>
        <x:v>0</x:v>
      </x:c>
      <x:c r="O1537" t="n">
        <x:f>养成消耗调参!$L$166</x:f>
        <x:v>7008</x:v>
      </x:c>
      <x:c r="P1537" t="n">
        <x:f>养成消耗调参!$O$166</x:f>
        <x:v>39600</x:v>
      </x:c>
      <x:c r="Q1537" t="n">
        <x:f>养成消耗调参!$P$166</x:f>
        <x:v>90</x:v>
      </x:c>
      <x:c r="R1537">
        <x:f>I1537/英雄升级调参!$M$84-1</x:f>
        <x:v>0.0005103725530648529</x:v>
      </x:c>
    </x:row>
    <x:row r="1538">
      <x:c r="A1538" t="n">
        <x:f>英雄升级调参!$B$27</x:f>
        <x:v>310011</x:v>
      </x:c>
      <x:c r="B1538" t="str">
        <x:f>英雄升级调参!$C$27</x:f>
        <x:v>鳄不恶</x:v>
      </x:c>
      <x:c r="C1538" t="str">
        <x:f>英雄升级调参!$D$27</x:f>
        <x:v>生存者</x:v>
      </x:c>
      <x:c r="D1538" t="s">
        <x:v>25</x:v>
      </x:c>
      <x:c r="E1538">
        <x:v>20</x:v>
      </x:c>
      <x:c r="F1538" t="n">
        <x:f>英雄升级调参!$C$85</x:f>
        <x:v>4</x:v>
      </x:c>
      <x:c r="G1538">
        <x:f t="shared" si="143"/>
        <x:v>2398</x:v>
      </x:c>
      <x:c r="H1538">
        <x:f t="shared" si="144"/>
        <x:v>26492</x:v>
      </x:c>
      <x:c r="I1538">
        <x:f t="shared" si="140"/>
        <x:v>63527816</x:v>
      </x:c>
      <x:c r="J1538">
        <x:f>ROUND(英雄升级调参!$D$85*英雄升级调参!$J$11*英雄升级调参!$E$27,0)*3</x:f>
        <x:v>321</x:v>
      </x:c>
      <x:c r="K1538">
        <x:f>ROUND(英雄升级调参!$D$85*英雄升级调参!$C$11*英雄升级调参!$J$11*英雄升级调参!$G$27,0)*3</x:f>
        <x:v>3552</x:v>
      </x:c>
      <x:c r="L1538" t="n">
        <x:f>养成消耗调参!$E$167</x:f>
        <x:v>864</x:v>
      </x:c>
      <x:c r="M1538" t="n">
        <x:f>养成消耗调参!$H$167</x:f>
        <x:v>4200</x:v>
      </x:c>
      <x:c r="N1538" t="n">
        <x:f>养成消耗调参!$I$167</x:f>
        <x:v>70</x:v>
      </x:c>
      <x:c r="O1538" t="n">
        <x:f>养成消耗调参!$L$167</x:f>
        <x:v>7872</x:v>
      </x:c>
      <x:c r="P1538" t="n">
        <x:f>养成消耗调参!$O$167</x:f>
        <x:v>43800</x:v>
      </x:c>
      <x:c r="Q1538" t="n">
        <x:f>养成消耗调参!$P$167</x:f>
        <x:v>160</x:v>
      </x:c>
      <x:c r="R1538">
        <x:f>I1538/英雄升级调参!$M$85-1</x:f>
        <x:v>-1.989640019972594e-05</x:v>
      </x:c>
    </x:row>
    <x:row r="1539">
      <x:c r="A1539" t="n">
        <x:f>英雄升级调参!$B$27</x:f>
        <x:v>310011</x:v>
      </x:c>
      <x:c r="B1539" t="str">
        <x:f>英雄升级调参!$C$27</x:f>
        <x:v>鳄不恶</x:v>
      </x:c>
      <x:c r="C1539" t="str">
        <x:f>英雄升级调参!$D$27</x:f>
        <x:v>生存者</x:v>
      </x:c>
      <x:c r="D1539" t="s">
        <x:v>25</x:v>
      </x:c>
      <x:c r="E1539">
        <x:v>21</x:v>
      </x:c>
      <x:c r="F1539" t="n">
        <x:f>英雄升级调参!$C$86</x:f>
        <x:v>5</x:v>
      </x:c>
      <x:c r="G1539">
        <x:f t="shared" si="143"/>
        <x:v>2526</x:v>
      </x:c>
      <x:c r="H1539">
        <x:f t="shared" si="144"/>
        <x:v>27913</x:v>
      </x:c>
      <x:c r="I1539">
        <x:f t="shared" si="140"/>
        <x:v>70508238</x:v>
      </x:c>
      <x:c r="J1539">
        <x:f>ROUND(英雄升级调参!$D$86*英雄升级调参!$J$11*英雄升级调参!$E$27,0)</x:f>
        <x:v>128</x:v>
      </x:c>
      <x:c r="K1539">
        <x:f>ROUND(英雄升级调参!$D$86*英雄升级调参!$C$11*英雄升级调参!$J$11*英雄升级调参!$G$27,0)</x:f>
        <x:v>1421</x:v>
      </x:c>
      <x:c r="L1539" t="n">
        <x:f>养成消耗调参!$E$168</x:f>
        <x:v>864</x:v>
      </x:c>
      <x:c r="M1539" t="n">
        <x:f>养成消耗调参!$H$168</x:f>
        <x:v>4200</x:v>
      </x:c>
      <x:c r="N1539" t="n">
        <x:f>养成消耗调参!$I$168</x:f>
        <x:v>0</x:v>
      </x:c>
      <x:c r="O1539" t="n">
        <x:f>养成消耗调参!$L$168</x:f>
        <x:v>8736</x:v>
      </x:c>
      <x:c r="P1539" t="n">
        <x:f>养成消耗调参!$O$168</x:f>
        <x:v>48000</x:v>
      </x:c>
      <x:c r="Q1539" t="n">
        <x:f>养成消耗调参!$P$168</x:f>
        <x:v>160</x:v>
      </x:c>
      <x:c r="R1539">
        <x:f>I1539/英雄升级调参!$M$86-1</x:f>
        <x:v>-0.00011971635647056722</x:v>
      </x:c>
    </x:row>
    <x:row r="1540">
      <x:c r="A1540" t="n">
        <x:f>英雄升级调参!$B$27</x:f>
        <x:v>310011</x:v>
      </x:c>
      <x:c r="B1540" t="str">
        <x:f>英雄升级调参!$C$27</x:f>
        <x:v>鳄不恶</x:v>
      </x:c>
      <x:c r="C1540" t="str">
        <x:f>英雄升级调参!$D$27</x:f>
        <x:v>生存者</x:v>
      </x:c>
      <x:c r="D1540" t="s">
        <x:v>25</x:v>
      </x:c>
      <x:c r="E1540">
        <x:v>22</x:v>
      </x:c>
      <x:c r="F1540" t="n">
        <x:f>英雄升级调参!$C$87</x:f>
        <x:v>5</x:v>
      </x:c>
      <x:c r="G1540">
        <x:f t="shared" si="143"/>
        <x:v>2654</x:v>
      </x:c>
      <x:c r="H1540">
        <x:f t="shared" si="144"/>
        <x:v>29334</x:v>
      </x:c>
      <x:c r="I1540">
        <x:f t="shared" si="140"/>
        <x:v>77852436</x:v>
      </x:c>
      <x:c r="J1540">
        <x:f>ROUND(英雄升级调参!$D$87*英雄升级调参!$J$11*英雄升级调参!$E$27,0)</x:f>
        <x:v>128</x:v>
      </x:c>
      <x:c r="K1540">
        <x:f>ROUND(英雄升级调参!$D$87*英雄升级调参!$C$11*英雄升级调参!$J$11*英雄升级调参!$G$27,0)</x:f>
        <x:v>1421</x:v>
      </x:c>
      <x:c r="L1540" t="n">
        <x:f>养成消耗调参!$E$169</x:f>
        <x:v>960</x:v>
      </x:c>
      <x:c r="M1540" t="n">
        <x:f>养成消耗调参!$H$169</x:f>
        <x:v>6000</x:v>
      </x:c>
      <x:c r="N1540" t="n">
        <x:f>养成消耗调参!$I$169</x:f>
        <x:v>0</x:v>
      </x:c>
      <x:c r="O1540" t="n">
        <x:f>养成消耗调参!$L$169</x:f>
        <x:v>9696</x:v>
      </x:c>
      <x:c r="P1540" t="n">
        <x:f>养成消耗调参!$O$169</x:f>
        <x:v>54000</x:v>
      </x:c>
      <x:c r="Q1540" t="n">
        <x:f>养成消耗调参!$P$169</x:f>
        <x:v>160</x:v>
      </x:c>
      <x:c r="R1540">
        <x:f>I1540/英雄升级调参!$M$87-1</x:f>
        <x:v>-0.00020989156373063533</x:v>
      </x:c>
    </x:row>
    <x:row r="1541">
      <x:c r="A1541" t="n">
        <x:f>英雄升级调参!$B$27</x:f>
        <x:v>310011</x:v>
      </x:c>
      <x:c r="B1541" t="str">
        <x:f>英雄升级调参!$C$27</x:f>
        <x:v>鳄不恶</x:v>
      </x:c>
      <x:c r="C1541" t="str">
        <x:f>英雄升级调参!$D$27</x:f>
        <x:v>生存者</x:v>
      </x:c>
      <x:c r="D1541" t="s">
        <x:v>25</x:v>
      </x:c>
      <x:c r="E1541">
        <x:v>23</x:v>
      </x:c>
      <x:c r="F1541" t="n">
        <x:f>英雄升级调参!$C$88</x:f>
        <x:v>5</x:v>
      </x:c>
      <x:c r="G1541">
        <x:f t="shared" si="143"/>
        <x:v>2782</x:v>
      </x:c>
      <x:c r="H1541">
        <x:f t="shared" si="144"/>
        <x:v>30755</x:v>
      </x:c>
      <x:c r="I1541">
        <x:f t="shared" ref="I1541:I1568" si="145">G1541*H1541</x:f>
        <x:v>85560410</x:v>
      </x:c>
      <x:c r="J1541">
        <x:f>ROUND(英雄升级调参!$D$88*英雄升级调参!$J$11*英雄升级调参!$E$27,0)</x:f>
        <x:v>128</x:v>
      </x:c>
      <x:c r="K1541">
        <x:f>ROUND(英雄升级调参!$D$88*英雄升级调参!$C$11*英雄升级调参!$J$11*英雄升级调参!$G$27,0)</x:f>
        <x:v>1421</x:v>
      </x:c>
      <x:c r="L1541" t="n">
        <x:f>养成消耗调参!$E$170</x:f>
        <x:v>960</x:v>
      </x:c>
      <x:c r="M1541" t="n">
        <x:f>养成消耗调参!$H$170</x:f>
        <x:v>6000</x:v>
      </x:c>
      <x:c r="N1541" t="n">
        <x:f>养成消耗调参!$I$170</x:f>
        <x:v>0</x:v>
      </x:c>
      <x:c r="O1541" t="n">
        <x:f>养成消耗调参!$L$170</x:f>
        <x:v>10656</x:v>
      </x:c>
      <x:c r="P1541" t="n">
        <x:f>养成消耗调参!$O$170</x:f>
        <x:v>60000</x:v>
      </x:c>
      <x:c r="Q1541" t="n">
        <x:f>养成消耗调参!$P$170</x:f>
        <x:v>160</x:v>
      </x:c>
      <x:c r="R1541">
        <x:f>I1541/英雄升级调参!$M$88-1</x:f>
        <x:v>-0.00029175543766934986</x:v>
      </x:c>
    </x:row>
    <x:row r="1542">
      <x:c r="A1542" t="n">
        <x:f>英雄升级调参!$B$27</x:f>
        <x:v>310011</x:v>
      </x:c>
      <x:c r="B1542" t="str">
        <x:f>英雄升级调参!$C$27</x:f>
        <x:v>鳄不恶</x:v>
      </x:c>
      <x:c r="C1542" t="str">
        <x:f>英雄升级调参!$D$27</x:f>
        <x:v>生存者</x:v>
      </x:c>
      <x:c r="D1542" t="s">
        <x:v>25</x:v>
      </x:c>
      <x:c r="E1542">
        <x:v>24</x:v>
      </x:c>
      <x:c r="F1542" t="n">
        <x:f>英雄升级调参!$C$89</x:f>
        <x:v>5</x:v>
      </x:c>
      <x:c r="G1542">
        <x:f t="shared" si="143"/>
        <x:v>2910</x:v>
      </x:c>
      <x:c r="H1542">
        <x:f t="shared" si="144"/>
        <x:v>32176</x:v>
      </x:c>
      <x:c r="I1542">
        <x:f t="shared" si="145"/>
        <x:v>93632160</x:v>
      </x:c>
      <x:c r="J1542">
        <x:f>ROUND(英雄升级调参!$D$89*英雄升级调参!$J$11*英雄升级调参!$E$27,0)</x:f>
        <x:v>128</x:v>
      </x:c>
      <x:c r="K1542">
        <x:f>ROUND(英雄升级调参!$D$89*英雄升级调参!$C$11*英雄升级调参!$J$11*英雄升级调参!$G$27,0)</x:f>
        <x:v>1421</x:v>
      </x:c>
      <x:c r="L1542" t="n">
        <x:f>养成消耗调参!$E$171</x:f>
        <x:v>1056</x:v>
      </x:c>
      <x:c r="M1542" t="n">
        <x:f>养成消耗调参!$H$171</x:f>
        <x:v>6000</x:v>
      </x:c>
      <x:c r="N1542" t="n">
        <x:f>养成消耗调参!$I$171</x:f>
        <x:v>0</x:v>
      </x:c>
      <x:c r="O1542" t="n">
        <x:f>养成消耗调参!$L$171</x:f>
        <x:v>11712</x:v>
      </x:c>
      <x:c r="P1542" t="n">
        <x:f>养成消耗调参!$O$171</x:f>
        <x:v>66000</x:v>
      </x:c>
      <x:c r="Q1542" t="n">
        <x:f>养成消耗调参!$P$171</x:f>
        <x:v>160</x:v>
      </x:c>
      <x:c r="R1542">
        <x:f>I1542/英雄升级调参!$M$89-1</x:f>
        <x:v>-0.00036640642415519675</x:v>
      </x:c>
    </x:row>
    <x:row r="1543">
      <x:c r="A1543" t="n">
        <x:f>英雄升级调参!$B$27</x:f>
        <x:v>310011</x:v>
      </x:c>
      <x:c r="B1543" t="str">
        <x:f>英雄升级调参!$C$27</x:f>
        <x:v>鳄不恶</x:v>
      </x:c>
      <x:c r="C1543" t="str">
        <x:f>英雄升级调参!$D$27</x:f>
        <x:v>生存者</x:v>
      </x:c>
      <x:c r="D1543" t="s">
        <x:v>25</x:v>
      </x:c>
      <x:c r="E1543">
        <x:v>25</x:v>
      </x:c>
      <x:c r="F1543" t="n">
        <x:f>英雄升级调参!$C$90</x:f>
        <x:v>5</x:v>
      </x:c>
      <x:c r="G1543">
        <x:f t="shared" si="143"/>
        <x:v>3294</x:v>
      </x:c>
      <x:c r="H1543">
        <x:f t="shared" si="144"/>
        <x:v>36439</x:v>
      </x:c>
      <x:c r="I1543">
        <x:f t="shared" si="145"/>
        <x:v>120030066</x:v>
      </x:c>
      <x:c r="J1543">
        <x:f>ROUND(英雄升级调参!$D$90*英雄升级调参!$J$11*英雄升级调参!$E$27,0)*3</x:f>
        <x:v>384</x:v>
      </x:c>
      <x:c r="K1543">
        <x:f>ROUND(英雄升级调参!$D$90*英雄升级调参!$C$11*英雄升级调参!$J$11*英雄升级调参!$G$27,0)*3</x:f>
        <x:v>4263</x:v>
      </x:c>
      <x:c r="L1543" t="n">
        <x:f>养成消耗调参!$E$172</x:f>
        <x:v>1056</x:v>
      </x:c>
      <x:c r="M1543" t="n">
        <x:f>养成消耗调参!$H$172</x:f>
        <x:v>6000</x:v>
      </x:c>
      <x:c r="N1543" t="n">
        <x:f>养成消耗调参!$I$172</x:f>
        <x:v>90</x:v>
      </x:c>
      <x:c r="O1543" t="n">
        <x:f>养成消耗调参!$L$172</x:f>
        <x:v>12768</x:v>
      </x:c>
      <x:c r="P1543" t="n">
        <x:f>养成消耗调参!$O$172</x:f>
        <x:v>72000</x:v>
      </x:c>
      <x:c r="Q1543" t="n">
        <x:f>养成消耗调参!$P$172</x:f>
        <x:v>250</x:v>
      </x:c>
      <x:c r="R1543">
        <x:f>I1543/英雄升级调参!$M$90-1</x:f>
        <x:v>-0.000555501987646978</x:v>
      </x:c>
    </x:row>
    <x:row r="1544">
      <x:c r="A1544" t="n">
        <x:f>英雄升级调参!$B$27</x:f>
        <x:v>310011</x:v>
      </x:c>
      <x:c r="B1544" t="str">
        <x:f>英雄升级调参!$C$27</x:f>
        <x:v>鳄不恶</x:v>
      </x:c>
      <x:c r="C1544" t="str">
        <x:f>英雄升级调参!$D$27</x:f>
        <x:v>生存者</x:v>
      </x:c>
      <x:c r="D1544" t="s">
        <x:v>25</x:v>
      </x:c>
      <x:c r="E1544">
        <x:v>26</x:v>
      </x:c>
      <x:c r="F1544" t="n">
        <x:f>英雄升级调参!$C$91</x:f>
        <x:v>6</x:v>
      </x:c>
      <x:c r="G1544">
        <x:f t="shared" si="143"/>
        <x:v>3444</x:v>
      </x:c>
      <x:c r="H1544">
        <x:f t="shared" si="144"/>
        <x:v>38097</x:v>
      </x:c>
      <x:c r="I1544">
        <x:f t="shared" si="145"/>
        <x:v>131206068</x:v>
      </x:c>
      <x:c r="J1544">
        <x:f>ROUND(英雄升级调参!$D$91*英雄升级调参!$J$11*英雄升级调参!$E$27,0)</x:f>
        <x:v>150</x:v>
      </x:c>
      <x:c r="K1544">
        <x:f>ROUND(英雄升级调参!$D$91*英雄升级调参!$C$11*英雄升级调参!$J$11*英雄升级调参!$G$27,0)</x:f>
        <x:v>1658</x:v>
      </x:c>
      <x:c r="L1544" t="n">
        <x:f>养成消耗调参!$E$173</x:f>
        <x:v>1152</x:v>
      </x:c>
      <x:c r="M1544" t="n">
        <x:f>养成消耗调参!$H$173</x:f>
        <x:v>6000</x:v>
      </x:c>
      <x:c r="N1544" t="n">
        <x:f>养成消耗调参!$I$173</x:f>
        <x:v>0</x:v>
      </x:c>
      <x:c r="O1544" t="n">
        <x:f>养成消耗调参!$L$173</x:f>
        <x:v>13920</x:v>
      </x:c>
      <x:c r="P1544" t="n">
        <x:f>养成消耗调参!$O$173</x:f>
        <x:v>78000</x:v>
      </x:c>
      <x:c r="Q1544" t="n">
        <x:f>养成消耗调参!$P$173</x:f>
        <x:v>250</x:v>
      </x:c>
      <x:c r="R1544">
        <x:f>I1544/英雄升级调参!$M$91-1</x:f>
        <x:v>-0.0005575671070370269</x:v>
      </x:c>
    </x:row>
    <x:row r="1545">
      <x:c r="A1545" t="n">
        <x:f>英雄升级调参!$B$27</x:f>
        <x:v>310011</x:v>
      </x:c>
      <x:c r="B1545" t="str">
        <x:f>英雄升级调参!$C$27</x:f>
        <x:v>鳄不恶</x:v>
      </x:c>
      <x:c r="C1545" t="str">
        <x:f>英雄升级调参!$D$27</x:f>
        <x:v>生存者</x:v>
      </x:c>
      <x:c r="D1545" t="s">
        <x:v>25</x:v>
      </x:c>
      <x:c r="E1545">
        <x:v>27</x:v>
      </x:c>
      <x:c r="F1545" t="n">
        <x:f>英雄升级调参!$C$92</x:f>
        <x:v>6</x:v>
      </x:c>
      <x:c r="G1545">
        <x:f t="shared" si="143"/>
        <x:v>3594</x:v>
      </x:c>
      <x:c r="H1545">
        <x:f t="shared" si="144"/>
        <x:v>39755</x:v>
      </x:c>
      <x:c r="I1545">
        <x:f t="shared" si="145"/>
        <x:v>142879470</x:v>
      </x:c>
      <x:c r="J1545">
        <x:f>ROUND(英雄升级调参!$D$92*英雄升级调参!$J$11*英雄升级调参!$E$27,0)</x:f>
        <x:v>150</x:v>
      </x:c>
      <x:c r="K1545">
        <x:f>ROUND(英雄升级调参!$D$92*英雄升级调参!$C$11*英雄升级调参!$J$11*英雄升级调参!$G$27,0)</x:f>
        <x:v>1658</x:v>
      </x:c>
      <x:c r="L1545" t="n">
        <x:f>养成消耗调参!$E$174</x:f>
        <x:v>1152</x:v>
      </x:c>
      <x:c r="M1545" t="n">
        <x:f>养成消耗调参!$H$174</x:f>
        <x:v>7800</x:v>
      </x:c>
      <x:c r="N1545" t="n">
        <x:f>养成消耗调参!$I$174</x:f>
        <x:v>0</x:v>
      </x:c>
      <x:c r="O1545" t="n">
        <x:f>养成消耗调参!$L$174</x:f>
        <x:v>15072</x:v>
      </x:c>
      <x:c r="P1545" t="n">
        <x:f>养成消耗调参!$O$174</x:f>
        <x:v>85800</x:v>
      </x:c>
      <x:c r="Q1545" t="n">
        <x:f>养成消耗调参!$P$174</x:f>
        <x:v>250</x:v>
      </x:c>
      <x:c r="R1545">
        <x:f>I1545/英雄升级调参!$M$92-1</x:f>
        <x:v>-0.0005594593431913486</x:v>
      </x:c>
    </x:row>
    <x:row r="1546">
      <x:c r="A1546" t="n">
        <x:f>英雄升级调参!$B$27</x:f>
        <x:v>310011</x:v>
      </x:c>
      <x:c r="B1546" t="str">
        <x:f>英雄升级调参!$C$27</x:f>
        <x:v>鳄不恶</x:v>
      </x:c>
      <x:c r="C1546" t="str">
        <x:f>英雄升级调参!$D$27</x:f>
        <x:v>生存者</x:v>
      </x:c>
      <x:c r="D1546" t="s">
        <x:v>25</x:v>
      </x:c>
      <x:c r="E1546">
        <x:v>28</x:v>
      </x:c>
      <x:c r="F1546" t="n">
        <x:f>英雄升级调参!$C$93</x:f>
        <x:v>6</x:v>
      </x:c>
      <x:c r="G1546">
        <x:f t="shared" si="143"/>
        <x:v>3744</x:v>
      </x:c>
      <x:c r="H1546">
        <x:f t="shared" si="144"/>
        <x:v>41413</x:v>
      </x:c>
      <x:c r="I1546">
        <x:f t="shared" si="145"/>
        <x:v>155050272</x:v>
      </x:c>
      <x:c r="J1546">
        <x:f>ROUND(英雄升级调参!$D$93*英雄升级调参!$J$11*英雄升级调参!$E$27,0)</x:f>
        <x:v>150</x:v>
      </x:c>
      <x:c r="K1546">
        <x:f>ROUND(英雄升级调参!$D$93*英雄升级调参!$C$11*英雄升级调参!$J$11*英雄升级调参!$G$27,0)</x:f>
        <x:v>1658</x:v>
      </x:c>
      <x:c r="L1546" t="n">
        <x:f>养成消耗调参!$E$175</x:f>
        <x:v>1248</x:v>
      </x:c>
      <x:c r="M1546" t="n">
        <x:f>养成消耗调参!$H$175</x:f>
        <x:v>7800</x:v>
      </x:c>
      <x:c r="N1546" t="n">
        <x:f>养成消耗调参!$I$175</x:f>
        <x:v>0</x:v>
      </x:c>
      <x:c r="O1546" t="n">
        <x:f>养成消耗调参!$L$175</x:f>
        <x:v>16320</x:v>
      </x:c>
      <x:c r="P1546" t="n">
        <x:f>养成消耗调参!$O$175</x:f>
        <x:v>93600</x:v>
      </x:c>
      <x:c r="Q1546" t="n">
        <x:f>养成消耗调参!$P$175</x:f>
        <x:v>250</x:v>
      </x:c>
      <x:c r="R1546">
        <x:f>I1546/英雄升级调参!$M$93-1</x:f>
        <x:v>-0.0005611995333038022</x:v>
      </x:c>
    </x:row>
    <x:row r="1547">
      <x:c r="A1547" t="n">
        <x:f>英雄升级调参!$B$27</x:f>
        <x:v>310011</x:v>
      </x:c>
      <x:c r="B1547" t="str">
        <x:f>英雄升级调参!$C$27</x:f>
        <x:v>鳄不恶</x:v>
      </x:c>
      <x:c r="C1547" t="str">
        <x:f>英雄升级调参!$D$27</x:f>
        <x:v>生存者</x:v>
      </x:c>
      <x:c r="D1547" t="s">
        <x:v>25</x:v>
      </x:c>
      <x:c r="E1547">
        <x:v>29</x:v>
      </x:c>
      <x:c r="F1547" t="n">
        <x:f>英雄升级调参!$C$94</x:f>
        <x:v>6</x:v>
      </x:c>
      <x:c r="G1547">
        <x:f t="shared" si="143"/>
        <x:v>3894</x:v>
      </x:c>
      <x:c r="H1547">
        <x:f t="shared" si="144"/>
        <x:v>43071</x:v>
      </x:c>
      <x:c r="I1547">
        <x:f t="shared" si="145"/>
        <x:v>167718474</x:v>
      </x:c>
      <x:c r="J1547">
        <x:f>ROUND(英雄升级调参!$D$94*英雄升级调参!$J$11*英雄升级调参!$E$27,0)</x:f>
        <x:v>150</x:v>
      </x:c>
      <x:c r="K1547">
        <x:f>ROUND(英雄升级调参!$D$94*英雄升级调参!$C$11*英雄升级调参!$J$11*英雄升级调参!$G$27,0)</x:f>
        <x:v>1658</x:v>
      </x:c>
      <x:c r="L1547" t="n">
        <x:f>养成消耗调参!$E$176</x:f>
        <x:v>1248</x:v>
      </x:c>
      <x:c r="M1547" t="n">
        <x:f>养成消耗调参!$H$176</x:f>
        <x:v>7800</x:v>
      </x:c>
      <x:c r="N1547" t="n">
        <x:f>养成消耗调参!$I$176</x:f>
        <x:v>0</x:v>
      </x:c>
      <x:c r="O1547" t="n">
        <x:f>养成消耗调参!$L$176</x:f>
        <x:v>17568</x:v>
      </x:c>
      <x:c r="P1547" t="n">
        <x:f>养成消耗调参!$O$176</x:f>
        <x:v>101400</x:v>
      </x:c>
      <x:c r="Q1547" t="n">
        <x:f>养成消耗调参!$P$176</x:f>
        <x:v>250</x:v>
      </x:c>
      <x:c r="R1547">
        <x:f>I1547/英雄升级调参!$M$94-1</x:f>
        <x:v>-0.0005628052953252638</x:v>
      </x:c>
    </x:row>
    <x:row r="1548">
      <x:c r="A1548" t="n">
        <x:f>英雄升级调参!$B$27</x:f>
        <x:v>310011</x:v>
      </x:c>
      <x:c r="B1548" t="str">
        <x:f>英雄升级调参!$C$27</x:f>
        <x:v>鳄不恶</x:v>
      </x:c>
      <x:c r="C1548" t="str">
        <x:f>英雄升级调参!$D$27</x:f>
        <x:v>生存者</x:v>
      </x:c>
      <x:c r="D1548" t="s">
        <x:v>25</x:v>
      </x:c>
      <x:c r="E1548">
        <x:v>30</x:v>
      </x:c>
      <x:c r="F1548" t="n">
        <x:f>英雄升级调参!$C$95</x:f>
        <x:v>6</x:v>
      </x:c>
      <x:c r="G1548">
        <x:f t="shared" si="143"/>
        <x:v>4344</x:v>
      </x:c>
      <x:c r="H1548">
        <x:f t="shared" si="144"/>
        <x:v>48045</x:v>
      </x:c>
      <x:c r="I1548">
        <x:f t="shared" si="145"/>
        <x:v>208707480</x:v>
      </x:c>
      <x:c r="J1548">
        <x:f>ROUND(英雄升级调参!$D$95*英雄升级调参!$J$11*英雄升级调参!$E$27,0)*3</x:f>
        <x:v>450</x:v>
      </x:c>
      <x:c r="K1548">
        <x:f>ROUND(英雄升级调参!$D$95*英雄升级调参!$C$11*英雄升级调参!$J$11*英雄升级调参!$G$27,0)*3</x:f>
        <x:v>4974</x:v>
      </x:c>
      <x:c r="L1548" t="n">
        <x:f>养成消耗调参!$E$177</x:f>
        <x:v>1344</x:v>
      </x:c>
      <x:c r="M1548" t="n">
        <x:f>养成消耗调参!$H$177</x:f>
        <x:v>7800</x:v>
      </x:c>
      <x:c r="N1548" t="n">
        <x:f>养成消耗调参!$I$177</x:f>
        <x:v>110</x:v>
      </x:c>
      <x:c r="O1548" t="n">
        <x:f>养成消耗调参!$L$177</x:f>
        <x:v>18912</x:v>
      </x:c>
      <x:c r="P1548" t="n">
        <x:f>养成消耗调参!$O$177</x:f>
        <x:v>109200</x:v>
      </x:c>
      <x:c r="Q1548" t="n">
        <x:f>养成消耗调参!$P$177</x:f>
        <x:v>360</x:v>
      </x:c>
      <x:c r="R1548">
        <x:f>I1548/英雄升级调参!$M$95-1</x:f>
        <x:v>-0.0005669556035620138</x:v>
      </x:c>
    </x:row>
    <x:row r="1549">
      <x:c r="A1549" t="n">
        <x:f>英雄升级调参!$B$27</x:f>
        <x:v>310011</x:v>
      </x:c>
      <x:c r="B1549" t="str">
        <x:f>英雄升级调参!$C$27</x:f>
        <x:v>鳄不恶</x:v>
      </x:c>
      <x:c r="C1549" t="str">
        <x:f>英雄升级调参!$D$27</x:f>
        <x:v>生存者</x:v>
      </x:c>
      <x:c r="D1549" t="s">
        <x:v>25</x:v>
      </x:c>
      <x:c r="E1549">
        <x:v>31</x:v>
      </x:c>
      <x:c r="F1549" t="n">
        <x:f>英雄升级调参!$C$96</x:f>
        <x:v>7</x:v>
      </x:c>
      <x:c r="G1549">
        <x:f t="shared" si="143"/>
        <x:v>4515</x:v>
      </x:c>
      <x:c r="H1549">
        <x:f t="shared" si="144"/>
        <x:v>49940</x:v>
      </x:c>
      <x:c r="I1549">
        <x:f t="shared" si="145"/>
        <x:v>225479100</x:v>
      </x:c>
      <x:c r="J1549">
        <x:f>ROUND(英雄升级调参!$D$96*英雄升级调参!$J$11*英雄升级调参!$E$27,0)</x:f>
        <x:v>171</x:v>
      </x:c>
      <x:c r="K1549">
        <x:f>ROUND(英雄升级调参!$D$96*英雄升级调参!$C$11*英雄升级调参!$J$11*英雄升级调参!$G$27,0)</x:f>
        <x:v>1895</x:v>
      </x:c>
      <x:c r="L1549" t="n">
        <x:f>养成消耗调参!$E$178</x:f>
        <x:v>1344</x:v>
      </x:c>
      <x:c r="M1549" t="n">
        <x:f>养成消耗调参!$H$178</x:f>
        <x:v>7800</x:v>
      </x:c>
      <x:c r="N1549" t="n">
        <x:f>养成消耗调参!$I$178</x:f>
        <x:v>0</x:v>
      </x:c>
      <x:c r="O1549" t="n">
        <x:f>养成消耗调参!$L$178</x:f>
        <x:v>20256</x:v>
      </x:c>
      <x:c r="P1549" t="n">
        <x:f>养成消耗调参!$O$178</x:f>
        <x:v>117000</x:v>
      </x:c>
      <x:c r="Q1549" t="n">
        <x:f>养成消耗调参!$P$178</x:f>
        <x:v>360</x:v>
      </x:c>
      <x:c r="R1549">
        <x:f>I1549/英雄升级调参!$M$96-1</x:f>
        <x:v>-0.0005402237290862422</x:v>
      </x:c>
    </x:row>
    <x:row r="1550">
      <x:c r="A1550" t="n">
        <x:f>英雄升级调参!$B$27</x:f>
        <x:v>310011</x:v>
      </x:c>
      <x:c r="B1550" t="str">
        <x:f>英雄升级调参!$C$27</x:f>
        <x:v>鳄不恶</x:v>
      </x:c>
      <x:c r="C1550" t="str">
        <x:f>英雄升级调参!$D$27</x:f>
        <x:v>生存者</x:v>
      </x:c>
      <x:c r="D1550" t="s">
        <x:v>25</x:v>
      </x:c>
      <x:c r="E1550">
        <x:v>32</x:v>
      </x:c>
      <x:c r="F1550" t="n">
        <x:f>英雄升级调参!$C$97</x:f>
        <x:v>7</x:v>
      </x:c>
      <x:c r="G1550">
        <x:f t="shared" si="143"/>
        <x:v>4686</x:v>
      </x:c>
      <x:c r="H1550">
        <x:f t="shared" si="144"/>
        <x:v>51835</x:v>
      </x:c>
      <x:c r="I1550">
        <x:f t="shared" si="145"/>
        <x:v>242898810</x:v>
      </x:c>
      <x:c r="J1550">
        <x:f>ROUND(英雄升级调参!$D$97*英雄升级调参!$J$11*英雄升级调参!$E$27,0)</x:f>
        <x:v>171</x:v>
      </x:c>
      <x:c r="K1550">
        <x:f>ROUND(英雄升级调参!$D$97*英雄升级调参!$C$11*英雄升级调参!$J$11*英雄升级调参!$G$27,0)</x:f>
        <x:v>1895</x:v>
      </x:c>
      <x:c r="L1550" t="n">
        <x:f>养成消耗调参!$E$179</x:f>
        <x:v>1440</x:v>
      </x:c>
      <x:c r="M1550" t="n">
        <x:f>养成消耗调参!$H$179</x:f>
        <x:v>9600</x:v>
      </x:c>
      <x:c r="N1550" t="n">
        <x:f>养成消耗调参!$I$179</x:f>
        <x:v>0</x:v>
      </x:c>
      <x:c r="O1550" t="n">
        <x:f>养成消耗调参!$L$179</x:f>
        <x:v>21696</x:v>
      </x:c>
      <x:c r="P1550" t="n">
        <x:f>养成消耗调参!$O$179</x:f>
        <x:v>126600</x:v>
      </x:c>
      <x:c r="Q1550" t="n">
        <x:f>养成消耗调参!$P$179</x:f>
        <x:v>360</x:v>
      </x:c>
      <x:c r="R1550">
        <x:f>I1550/英雄升级调参!$M$97-1</x:f>
        <x:v>-0.0005154427601462563</x:v>
      </x:c>
    </x:row>
    <x:row r="1551">
      <x:c r="A1551" t="n">
        <x:f>英雄升级调参!$B$27</x:f>
        <x:v>310011</x:v>
      </x:c>
      <x:c r="B1551" t="str">
        <x:f>英雄升级调参!$C$27</x:f>
        <x:v>鳄不恶</x:v>
      </x:c>
      <x:c r="C1551" t="str">
        <x:f>英雄升级调参!$D$27</x:f>
        <x:v>生存者</x:v>
      </x:c>
      <x:c r="D1551" t="s">
        <x:v>25</x:v>
      </x:c>
      <x:c r="E1551">
        <x:v>33</x:v>
      </x:c>
      <x:c r="F1551" t="n">
        <x:f>英雄升级调参!$C$98</x:f>
        <x:v>7</x:v>
      </x:c>
      <x:c r="G1551">
        <x:f t="shared" si="143"/>
        <x:v>4857</x:v>
      </x:c>
      <x:c r="H1551">
        <x:f t="shared" si="144"/>
        <x:v>53730</x:v>
      </x:c>
      <x:c r="I1551">
        <x:f t="shared" si="145"/>
        <x:v>260966610</x:v>
      </x:c>
      <x:c r="J1551">
        <x:f>ROUND(英雄升级调参!$D$98*英雄升级调参!$J$11*英雄升级调参!$E$27,0)</x:f>
        <x:v>171</x:v>
      </x:c>
      <x:c r="K1551">
        <x:f>ROUND(英雄升级调参!$D$98*英雄升级调参!$C$11*英雄升级调参!$J$11*英雄升级调参!$G$27,0)</x:f>
        <x:v>1895</x:v>
      </x:c>
      <x:c r="L1551" t="n">
        <x:f>养成消耗调参!$E$180</x:f>
        <x:v>1440</x:v>
      </x:c>
      <x:c r="M1551" t="n">
        <x:f>养成消耗调参!$H$180</x:f>
        <x:v>9600</x:v>
      </x:c>
      <x:c r="N1551" t="n">
        <x:f>养成消耗调参!$I$180</x:f>
        <x:v>0</x:v>
      </x:c>
      <x:c r="O1551" t="n">
        <x:f>养成消耗调参!$L$180</x:f>
        <x:v>23136</x:v>
      </x:c>
      <x:c r="P1551" t="n">
        <x:f>养成消耗调参!$O$180</x:f>
        <x:v>136200</x:v>
      </x:c>
      <x:c r="Q1551" t="n">
        <x:f>养成消耗调参!$P$180</x:f>
        <x:v>360</x:v>
      </x:c>
      <x:c r="R1551">
        <x:f>I1551/英雄升级调参!$M$98-1</x:f>
        <x:v>-0.0004924066482653311</x:v>
      </x:c>
    </x:row>
    <x:row r="1552">
      <x:c r="A1552" t="n">
        <x:f>英雄升级调参!$B$27</x:f>
        <x:v>310011</x:v>
      </x:c>
      <x:c r="B1552" t="str">
        <x:f>英雄升级调参!$C$27</x:f>
        <x:v>鳄不恶</x:v>
      </x:c>
      <x:c r="C1552" t="str">
        <x:f>英雄升级调参!$D$27</x:f>
        <x:v>生存者</x:v>
      </x:c>
      <x:c r="D1552" t="s">
        <x:v>25</x:v>
      </x:c>
      <x:c r="E1552">
        <x:v>34</x:v>
      </x:c>
      <x:c r="F1552" t="n">
        <x:f>英雄升级调参!$C$99</x:f>
        <x:v>7</x:v>
      </x:c>
      <x:c r="G1552">
        <x:f t="shared" ref="G1552:G1568" si="146">G1551+J1552</x:f>
        <x:v>5028</x:v>
      </x:c>
      <x:c r="H1552">
        <x:f t="shared" ref="H1552:H1568" si="147">H1551+K1552</x:f>
        <x:v>55625</x:v>
      </x:c>
      <x:c r="I1552">
        <x:f t="shared" si="145"/>
        <x:v>279682500</x:v>
      </x:c>
      <x:c r="J1552">
        <x:f>ROUND(英雄升级调参!$D$99*英雄升级调参!$J$11*英雄升级调参!$E$27,0)</x:f>
        <x:v>171</x:v>
      </x:c>
      <x:c r="K1552">
        <x:f>ROUND(英雄升级调参!$D$99*英雄升级调参!$C$11*英雄升级调参!$J$11*英雄升级调参!$G$27,0)</x:f>
        <x:v>1895</x:v>
      </x:c>
      <x:c r="L1552" t="n">
        <x:f>养成消耗调参!$E$181</x:f>
        <x:v>1536</x:v>
      </x:c>
      <x:c r="M1552" t="n">
        <x:f>养成消耗调参!$H$181</x:f>
        <x:v>9600</x:v>
      </x:c>
      <x:c r="N1552" t="n">
        <x:f>养成消耗调参!$I$181</x:f>
        <x:v>0</x:v>
      </x:c>
      <x:c r="O1552" t="n">
        <x:f>养成消耗调参!$L$181</x:f>
        <x:v>24672</x:v>
      </x:c>
      <x:c r="P1552" t="n">
        <x:f>养成消耗调参!$O$181</x:f>
        <x:v>145800</x:v>
      </x:c>
      <x:c r="Q1552" t="n">
        <x:f>养成消耗调参!$P$181</x:f>
        <x:v>360</x:v>
      </x:c>
      <x:c r="R1552">
        <x:f>I1552/英雄升级调参!$M$99-1</x:f>
        <x:v>-0.0004709373744423706</x:v>
      </x:c>
    </x:row>
    <x:row r="1553">
      <x:c r="A1553" t="n">
        <x:f>英雄升级调参!$B$27</x:f>
        <x:v>310011</x:v>
      </x:c>
      <x:c r="B1553" t="str">
        <x:f>英雄升级调参!$C$27</x:f>
        <x:v>鳄不恶</x:v>
      </x:c>
      <x:c r="C1553" t="str">
        <x:f>英雄升级调参!$D$27</x:f>
        <x:v>生存者</x:v>
      </x:c>
      <x:c r="D1553" t="s">
        <x:v>25</x:v>
      </x:c>
      <x:c r="E1553">
        <x:v>35</x:v>
      </x:c>
      <x:c r="F1553" t="n">
        <x:f>英雄升级调参!$C$100</x:f>
        <x:v>7</x:v>
      </x:c>
      <x:c r="G1553">
        <x:f t="shared" si="146"/>
        <x:v>5541</x:v>
      </x:c>
      <x:c r="H1553">
        <x:f t="shared" si="147"/>
        <x:v>61310</x:v>
      </x:c>
      <x:c r="I1553">
        <x:f t="shared" si="145"/>
        <x:v>339718710</x:v>
      </x:c>
      <x:c r="J1553">
        <x:f>ROUND(英雄升级调参!$D$100*英雄升级调参!$J$11*英雄升级调参!$E$27,0)*3</x:f>
        <x:v>513</x:v>
      </x:c>
      <x:c r="K1553">
        <x:f>ROUND(英雄升级调参!$D$100*英雄升级调参!$C$11*英雄升级调参!$J$11*英雄升级调参!$G$27,0)*3</x:f>
        <x:v>5685</x:v>
      </x:c>
      <x:c r="L1553" t="n">
        <x:f>养成消耗调参!$E$182</x:f>
        <x:v>1536</x:v>
      </x:c>
      <x:c r="M1553" t="n">
        <x:f>养成消耗调参!$H$182</x:f>
        <x:v>9600</x:v>
      </x:c>
      <x:c r="N1553" t="n">
        <x:f>养成消耗调参!$I$182</x:f>
        <x:v>130</x:v>
      </x:c>
      <x:c r="O1553" t="n">
        <x:f>养成消耗调参!$L$182</x:f>
        <x:v>26208</x:v>
      </x:c>
      <x:c r="P1553" t="n">
        <x:f>养成消耗调参!$O$182</x:f>
        <x:v>155400</x:v>
      </x:c>
      <x:c r="Q1553" t="n">
        <x:f>养成消耗调参!$P$182</x:f>
        <x:v>490</x:v>
      </x:c>
      <x:c r="R1553">
        <x:f>I1553/英雄升级调参!$M$100-1</x:f>
        <x:v>-0.0004144800098687673</x:v>
      </x:c>
    </x:row>
    <x:row r="1554">
      <x:c r="A1554" t="n">
        <x:f>英雄升级调参!$B$27</x:f>
        <x:v>310011</x:v>
      </x:c>
      <x:c r="B1554" t="str">
        <x:f>英雄升级调参!$C$27</x:f>
        <x:v>鳄不恶</x:v>
      </x:c>
      <x:c r="C1554" t="str">
        <x:f>英雄升级调参!$D$27</x:f>
        <x:v>生存者</x:v>
      </x:c>
      <x:c r="D1554" t="s">
        <x:v>25</x:v>
      </x:c>
      <x:c r="E1554">
        <x:v>36</x:v>
      </x:c>
      <x:c r="F1554" t="n">
        <x:f>英雄升级调参!$C$101</x:f>
        <x:v>8</x:v>
      </x:c>
      <x:c r="G1554">
        <x:f t="shared" si="146"/>
        <x:v>5733</x:v>
      </x:c>
      <x:c r="H1554">
        <x:f t="shared" si="147"/>
        <x:v>63442</x:v>
      </x:c>
      <x:c r="I1554">
        <x:f t="shared" si="145"/>
        <x:v>363712986</x:v>
      </x:c>
      <x:c r="J1554">
        <x:f>ROUND(英雄升级调参!$D$101*英雄升级调参!$J$11*英雄升级调参!$E$27,0)</x:f>
        <x:v>192</x:v>
      </x:c>
      <x:c r="K1554">
        <x:f>ROUND(英雄升级调参!$D$101*英雄升级调参!$C$11*英雄升级调参!$J$11*英雄升级调参!$G$27,0)</x:f>
        <x:v>2132</x:v>
      </x:c>
      <x:c r="L1554" t="n">
        <x:f>养成消耗调参!$E$183</x:f>
        <x:v>1632</x:v>
      </x:c>
      <x:c r="M1554" t="n">
        <x:f>养成消耗调参!$H$183</x:f>
        <x:v>9600</x:v>
      </x:c>
      <x:c r="N1554" t="n">
        <x:f>养成消耗调参!$I$183</x:f>
        <x:v>0</x:v>
      </x:c>
      <x:c r="O1554" t="n">
        <x:f>养成消耗调参!$L$183</x:f>
        <x:v>27840</x:v>
      </x:c>
      <x:c r="P1554" t="n">
        <x:f>养成消耗调参!$O$183</x:f>
        <x:v>165000</x:v>
      </x:c>
      <x:c r="Q1554" t="n">
        <x:f>养成消耗调参!$P$183</x:f>
        <x:v>490</x:v>
      </x:c>
      <x:c r="R1554">
        <x:f>I1554/英雄升级调参!$M$101-1</x:f>
        <x:v>-0.0005420951857746381</x:v>
      </x:c>
    </x:row>
    <x:row r="1555">
      <x:c r="A1555" t="n">
        <x:f>英雄升级调参!$B$27</x:f>
        <x:v>310011</x:v>
      </x:c>
      <x:c r="B1555" t="str">
        <x:f>英雄升级调参!$C$27</x:f>
        <x:v>鳄不恶</x:v>
      </x:c>
      <x:c r="C1555" t="str">
        <x:f>英雄升级调参!$D$27</x:f>
        <x:v>生存者</x:v>
      </x:c>
      <x:c r="D1555" t="s">
        <x:v>25</x:v>
      </x:c>
      <x:c r="E1555">
        <x:v>37</x:v>
      </x:c>
      <x:c r="F1555" t="n">
        <x:f>英雄升级调参!$C$102</x:f>
        <x:v>8</x:v>
      </x:c>
      <x:c r="G1555">
        <x:f t="shared" si="146"/>
        <x:v>5925</x:v>
      </x:c>
      <x:c r="H1555">
        <x:f t="shared" si="147"/>
        <x:v>65574</x:v>
      </x:c>
      <x:c r="I1555">
        <x:f t="shared" si="145"/>
        <x:v>388525950</x:v>
      </x:c>
      <x:c r="J1555">
        <x:f>ROUND(英雄升级调参!$D$102*英雄升级调参!$J$11*英雄升级调参!$E$27,0)</x:f>
        <x:v>192</x:v>
      </x:c>
      <x:c r="K1555">
        <x:f>ROUND(英雄升级调参!$D$102*英雄升级调参!$C$11*英雄升级调参!$J$11*英雄升级调参!$G$27,0)</x:f>
        <x:v>2132</x:v>
      </x:c>
      <x:c r="L1555" t="n">
        <x:f>养成消耗调参!$E$184</x:f>
        <x:v>1632</x:v>
      </x:c>
      <x:c r="M1555" t="n">
        <x:f>养成消耗调参!$H$184</x:f>
        <x:v>11400</x:v>
      </x:c>
      <x:c r="N1555" t="n">
        <x:f>养成消耗调参!$I$184</x:f>
        <x:v>0</x:v>
      </x:c>
      <x:c r="O1555" t="n">
        <x:f>养成消耗调参!$L$184</x:f>
        <x:v>29472</x:v>
      </x:c>
      <x:c r="P1555" t="n">
        <x:f>养成消耗调参!$O$184</x:f>
        <x:v>176400</x:v>
      </x:c>
      <x:c r="Q1555" t="n">
        <x:f>养成消耗调参!$P$184</x:f>
        <x:v>490</x:v>
      </x:c>
      <x:c r="R1555">
        <x:f>I1555/英雄升级调参!$M$102-1</x:f>
        <x:v>-0.0006614099309024679</x:v>
      </x:c>
    </x:row>
    <x:row r="1556">
      <x:c r="A1556" t="n">
        <x:f>英雄升级调参!$B$27</x:f>
        <x:v>310011</x:v>
      </x:c>
      <x:c r="B1556" t="str">
        <x:f>英雄升级调参!$C$27</x:f>
        <x:v>鳄不恶</x:v>
      </x:c>
      <x:c r="C1556" t="str">
        <x:f>英雄升级调参!$D$27</x:f>
        <x:v>生存者</x:v>
      </x:c>
      <x:c r="D1556" t="s">
        <x:v>25</x:v>
      </x:c>
      <x:c r="E1556">
        <x:v>38</x:v>
      </x:c>
      <x:c r="F1556" t="n">
        <x:f>英雄升级调参!$C$103</x:f>
        <x:v>8</x:v>
      </x:c>
      <x:c r="G1556">
        <x:f t="shared" si="146"/>
        <x:v>6117</x:v>
      </x:c>
      <x:c r="H1556">
        <x:f t="shared" si="147"/>
        <x:v>67706</x:v>
      </x:c>
      <x:c r="I1556">
        <x:f t="shared" si="145"/>
        <x:v>414157602</x:v>
      </x:c>
      <x:c r="J1556">
        <x:f>ROUND(英雄升级调参!$D$103*英雄升级调参!$J$11*英雄升级调参!$E$27,0)</x:f>
        <x:v>192</x:v>
      </x:c>
      <x:c r="K1556">
        <x:f>ROUND(英雄升级调参!$D$103*英雄升级调参!$C$11*英雄升级调参!$J$11*英雄升级调参!$G$27,0)</x:f>
        <x:v>2132</x:v>
      </x:c>
      <x:c r="L1556" t="n">
        <x:f>养成消耗调参!$E$185</x:f>
        <x:v>1728</x:v>
      </x:c>
      <x:c r="M1556" t="n">
        <x:f>养成消耗调参!$H$185</x:f>
        <x:v>11400</x:v>
      </x:c>
      <x:c r="N1556" t="n">
        <x:f>养成消耗调参!$I$185</x:f>
        <x:v>0</x:v>
      </x:c>
      <x:c r="O1556" t="n">
        <x:f>养成消耗调参!$L$185</x:f>
        <x:v>31200</x:v>
      </x:c>
      <x:c r="P1556" t="n">
        <x:f>养成消耗调参!$O$185</x:f>
        <x:v>187800</x:v>
      </x:c>
      <x:c r="Q1556" t="n">
        <x:f>养成消耗调参!$P$185</x:f>
        <x:v>490</x:v>
      </x:c>
      <x:c r="R1556">
        <x:f>I1556/英雄升级调参!$M$103-1</x:f>
        <x:v>-0.000773208561475669</x:v>
      </x:c>
    </x:row>
    <x:row r="1557">
      <x:c r="A1557" t="n">
        <x:f>英雄升级调参!$B$27</x:f>
        <x:v>310011</x:v>
      </x:c>
      <x:c r="B1557" t="str">
        <x:f>英雄升级调参!$C$27</x:f>
        <x:v>鳄不恶</x:v>
      </x:c>
      <x:c r="C1557" t="str">
        <x:f>英雄升级调参!$D$27</x:f>
        <x:v>生存者</x:v>
      </x:c>
      <x:c r="D1557" t="s">
        <x:v>25</x:v>
      </x:c>
      <x:c r="E1557">
        <x:v>39</x:v>
      </x:c>
      <x:c r="F1557" t="n">
        <x:f>英雄升级调参!$C$104</x:f>
        <x:v>8</x:v>
      </x:c>
      <x:c r="G1557">
        <x:f t="shared" si="146"/>
        <x:v>6309</x:v>
      </x:c>
      <x:c r="H1557">
        <x:f t="shared" si="147"/>
        <x:v>69838</x:v>
      </x:c>
      <x:c r="I1557">
        <x:f t="shared" si="145"/>
        <x:v>440607942</x:v>
      </x:c>
      <x:c r="J1557">
        <x:f>ROUND(英雄升级调参!$D$104*英雄升级调参!$J$11*英雄升级调参!$E$27,0)</x:f>
        <x:v>192</x:v>
      </x:c>
      <x:c r="K1557">
        <x:f>ROUND(英雄升级调参!$D$104*英雄升级调参!$C$11*英雄升级调参!$J$11*英雄升级调参!$G$27,0)</x:f>
        <x:v>2132</x:v>
      </x:c>
      <x:c r="L1557" t="n">
        <x:f>养成消耗调参!$E$186</x:f>
        <x:v>1728</x:v>
      </x:c>
      <x:c r="M1557" t="n">
        <x:f>养成消耗调参!$H$186</x:f>
        <x:v>11400</x:v>
      </x:c>
      <x:c r="N1557" t="n">
        <x:f>养成消耗调参!$I$186</x:f>
        <x:v>0</x:v>
      </x:c>
      <x:c r="O1557" t="n">
        <x:f>养成消耗调参!$L$186</x:f>
        <x:v>32928</x:v>
      </x:c>
      <x:c r="P1557" t="n">
        <x:f>养成消耗调参!$O$186</x:f>
        <x:v>199200</x:v>
      </x:c>
      <x:c r="Q1557" t="n">
        <x:f>养成消耗调参!$P$186</x:f>
        <x:v>490</x:v>
      </x:c>
      <x:c r="R1557">
        <x:f>I1557/英雄升级调参!$M$104-1</x:f>
        <x:v>-0.0008781795965745465</x:v>
      </x:c>
    </x:row>
    <x:row r="1558">
      <x:c r="A1558" t="n">
        <x:f>英雄升级调参!$B$27</x:f>
        <x:v>310011</x:v>
      </x:c>
      <x:c r="B1558" t="str">
        <x:f>英雄升级调参!$C$27</x:f>
        <x:v>鳄不恶</x:v>
      </x:c>
      <x:c r="C1558" t="str">
        <x:f>英雄升级调参!$D$27</x:f>
        <x:v>生存者</x:v>
      </x:c>
      <x:c r="D1558" t="s">
        <x:v>25</x:v>
      </x:c>
      <x:c r="E1558">
        <x:v>40</x:v>
      </x:c>
      <x:c r="F1558" t="n">
        <x:f>英雄升级调参!$C$105</x:f>
        <x:v>8</x:v>
      </x:c>
      <x:c r="G1558">
        <x:f t="shared" si="146"/>
        <x:v>6885</x:v>
      </x:c>
      <x:c r="H1558">
        <x:f t="shared" si="147"/>
        <x:v>76234</x:v>
      </x:c>
      <x:c r="I1558">
        <x:f t="shared" si="145"/>
        <x:v>524871090</x:v>
      </x:c>
      <x:c r="J1558">
        <x:f>ROUND(英雄升级调参!$D$105*英雄升级调参!$J$11*英雄升级调参!$E$27,0)*3</x:f>
        <x:v>576</x:v>
      </x:c>
      <x:c r="K1558">
        <x:f>ROUND(英雄升级调参!$D$105*英雄升级调参!$C$11*英雄升级调参!$J$11*英雄升级调参!$G$27,0)*3</x:f>
        <x:v>6396</x:v>
      </x:c>
      <x:c r="L1558" t="n">
        <x:f>养成消耗调参!$E$187</x:f>
        <x:v>1824</x:v>
      </x:c>
      <x:c r="M1558" t="n">
        <x:f>养成消耗调参!$H$187</x:f>
        <x:v>11400</x:v>
      </x:c>
      <x:c r="N1558" t="n">
        <x:f>养成消耗调参!$I$187</x:f>
        <x:v>150</x:v>
      </x:c>
      <x:c r="O1558" t="n">
        <x:f>养成消耗调参!$L$187</x:f>
        <x:v>34752</x:v>
      </x:c>
      <x:c r="P1558" t="n">
        <x:f>养成消耗调参!$O$187</x:f>
        <x:v>210600</x:v>
      </x:c>
      <x:c r="Q1558" t="n">
        <x:f>养成消耗调参!$P$187</x:f>
        <x:v>640</x:v>
      </x:c>
      <x:c r="R1558">
        <x:f>I1558/英雄升级调参!$M$105-1</x:f>
        <x:v>-0.001157856732456497</x:v>
      </x:c>
    </x:row>
    <x:row r="1559">
      <x:c r="A1559" t="n">
        <x:f>英雄升级调参!$B$27</x:f>
        <x:v>310011</x:v>
      </x:c>
      <x:c r="B1559" t="str">
        <x:f>英雄升级调参!$C$27</x:f>
        <x:v>鳄不恶</x:v>
      </x:c>
      <x:c r="C1559" t="str">
        <x:f>英雄升级调参!$D$27</x:f>
        <x:v>生存者</x:v>
      </x:c>
      <x:c r="D1559" t="s">
        <x:v>25</x:v>
      </x:c>
      <x:c r="E1559">
        <x:v>41</x:v>
      </x:c>
      <x:c r="F1559" t="n">
        <x:f>英雄升级调参!$C$106</x:f>
        <x:v>9</x:v>
      </x:c>
      <x:c r="G1559">
        <x:f t="shared" si="146"/>
        <x:v>7099</x:v>
      </x:c>
      <x:c r="H1559">
        <x:f t="shared" si="147"/>
        <x:v>78602</x:v>
      </x:c>
      <x:c r="I1559">
        <x:f t="shared" si="145"/>
        <x:v>557995598</x:v>
      </x:c>
      <x:c r="J1559">
        <x:f>ROUND(英雄升级调参!$D$106*英雄升级调参!$J$11*英雄升级调参!$E$27,0)</x:f>
        <x:v>214</x:v>
      </x:c>
      <x:c r="K1559">
        <x:f>ROUND(英雄升级调参!$D$106*英雄升级调参!$C$11*英雄升级调参!$J$11*英雄升级调参!$G$27,0)</x:f>
        <x:v>2368</x:v>
      </x:c>
      <x:c r="L1559" t="n">
        <x:f>养成消耗调参!$E$188</x:f>
        <x:v>1824</x:v>
      </x:c>
      <x:c r="M1559" t="n">
        <x:f>养成消耗调参!$H$188</x:f>
        <x:v>11400</x:v>
      </x:c>
      <x:c r="N1559" t="n">
        <x:f>养成消耗调参!$I$188</x:f>
        <x:v>0</x:v>
      </x:c>
      <x:c r="O1559" t="n">
        <x:f>养成消耗调参!$L$188</x:f>
        <x:v>36576</x:v>
      </x:c>
      <x:c r="P1559" t="n">
        <x:f>养成消耗调参!$O$188</x:f>
        <x:v>222000</x:v>
      </x:c>
      <x:c r="Q1559" t="n">
        <x:f>养成消耗调参!$P$188</x:f>
        <x:v>640</x:v>
      </x:c>
      <x:c r="R1559">
        <x:f>I1559/英雄升级调参!$M$106-1</x:f>
        <x:v>-0.0010932064905035954</x:v>
      </x:c>
    </x:row>
    <x:row r="1560">
      <x:c r="A1560" t="n">
        <x:f>英雄升级调参!$B$27</x:f>
        <x:v>310011</x:v>
      </x:c>
      <x:c r="B1560" t="str">
        <x:f>英雄升级调参!$C$27</x:f>
        <x:v>鳄不恶</x:v>
      </x:c>
      <x:c r="C1560" t="str">
        <x:f>英雄升级调参!$D$27</x:f>
        <x:v>生存者</x:v>
      </x:c>
      <x:c r="D1560" t="s">
        <x:v>25</x:v>
      </x:c>
      <x:c r="E1560">
        <x:v>42</x:v>
      </x:c>
      <x:c r="F1560" t="n">
        <x:f>英雄升级调参!$C$107</x:f>
        <x:v>9</x:v>
      </x:c>
      <x:c r="G1560">
        <x:f t="shared" si="146"/>
        <x:v>7313</x:v>
      </x:c>
      <x:c r="H1560">
        <x:f t="shared" si="147"/>
        <x:v>80970</x:v>
      </x:c>
      <x:c r="I1560">
        <x:f t="shared" si="145"/>
        <x:v>592133610</x:v>
      </x:c>
      <x:c r="J1560">
        <x:f>ROUND(英雄升级调参!$D$107*英雄升级调参!$J$11*英雄升级调参!$E$27,0)</x:f>
        <x:v>214</x:v>
      </x:c>
      <x:c r="K1560">
        <x:f>ROUND(英雄升级调参!$D$107*英雄升级调参!$C$11*英雄升级调参!$J$11*英雄升级调参!$G$27,0)</x:f>
        <x:v>2368</x:v>
      </x:c>
      <x:c r="L1560" t="n">
        <x:f>养成消耗调参!$E$189</x:f>
        <x:v>1920</x:v>
      </x:c>
      <x:c r="M1560" t="n">
        <x:f>养成消耗调参!$H$189</x:f>
        <x:v>13200</x:v>
      </x:c>
      <x:c r="N1560" t="n">
        <x:f>养成消耗调参!$I$189</x:f>
        <x:v>0</x:v>
      </x:c>
      <x:c r="O1560" t="n">
        <x:f>养成消耗调参!$L$189</x:f>
        <x:v>38496</x:v>
      </x:c>
      <x:c r="P1560" t="n">
        <x:f>养成消耗调参!$O$189</x:f>
        <x:v>235200</x:v>
      </x:c>
      <x:c r="Q1560" t="n">
        <x:f>养成消耗调参!$P$189</x:f>
        <x:v>640</x:v>
      </x:c>
      <x:c r="R1560">
        <x:f>I1560/英雄升级调参!$M$107-1</x:f>
        <x:v>-0.0010323317163156709</x:v>
      </x:c>
    </x:row>
    <x:row r="1561">
      <x:c r="A1561" t="n">
        <x:f>英雄升级调参!$B$27</x:f>
        <x:v>310011</x:v>
      </x:c>
      <x:c r="B1561" t="str">
        <x:f>英雄升级调参!$C$27</x:f>
        <x:v>鳄不恶</x:v>
      </x:c>
      <x:c r="C1561" t="str">
        <x:f>英雄升级调参!$D$27</x:f>
        <x:v>生存者</x:v>
      </x:c>
      <x:c r="D1561" t="s">
        <x:v>25</x:v>
      </x:c>
      <x:c r="E1561">
        <x:v>43</x:v>
      </x:c>
      <x:c r="F1561" t="n">
        <x:f>英雄升级调参!$C$108</x:f>
        <x:v>9</x:v>
      </x:c>
      <x:c r="G1561">
        <x:f t="shared" si="146"/>
        <x:v>7527</x:v>
      </x:c>
      <x:c r="H1561">
        <x:f t="shared" si="147"/>
        <x:v>83338</x:v>
      </x:c>
      <x:c r="I1561">
        <x:f t="shared" si="145"/>
        <x:v>627285126</x:v>
      </x:c>
      <x:c r="J1561">
        <x:f>ROUND(英雄升级调参!$D$108*英雄升级调参!$J$11*英雄升级调参!$E$27,0)</x:f>
        <x:v>214</x:v>
      </x:c>
      <x:c r="K1561">
        <x:f>ROUND(英雄升级调参!$D$108*英雄升级调参!$C$11*英雄升级调参!$J$11*英雄升级调参!$G$27,0)</x:f>
        <x:v>2368</x:v>
      </x:c>
      <x:c r="L1561" t="n">
        <x:f>养成消耗调参!$E$190</x:f>
        <x:v>1920</x:v>
      </x:c>
      <x:c r="M1561" t="n">
        <x:f>养成消耗调参!$H$190</x:f>
        <x:v>13200</x:v>
      </x:c>
      <x:c r="N1561" t="n">
        <x:f>养成消耗调参!$I$190</x:f>
        <x:v>0</x:v>
      </x:c>
      <x:c r="O1561" t="n">
        <x:f>养成消耗调参!$L$190</x:f>
        <x:v>40416</x:v>
      </x:c>
      <x:c r="P1561" t="n">
        <x:f>养成消耗调参!$O$190</x:f>
        <x:v>248400</x:v>
      </x:c>
      <x:c r="Q1561" t="n">
        <x:f>养成消耗调参!$P$190</x:f>
        <x:v>640</x:v>
      </x:c>
      <x:c r="R1561">
        <x:f>I1561/英雄升级调参!$M$108-1</x:f>
        <x:v>-0.0009749110710419728</x:v>
      </x:c>
    </x:row>
    <x:row r="1562">
      <x:c r="A1562" t="n">
        <x:f>英雄升级调参!$B$27</x:f>
        <x:v>310011</x:v>
      </x:c>
      <x:c r="B1562" t="str">
        <x:f>英雄升级调参!$C$27</x:f>
        <x:v>鳄不恶</x:v>
      </x:c>
      <x:c r="C1562" t="str">
        <x:f>英雄升级调参!$D$27</x:f>
        <x:v>生存者</x:v>
      </x:c>
      <x:c r="D1562" t="s">
        <x:v>25</x:v>
      </x:c>
      <x:c r="E1562">
        <x:v>44</x:v>
      </x:c>
      <x:c r="F1562" t="n">
        <x:f>英雄升级调参!$C$109</x:f>
        <x:v>9</x:v>
      </x:c>
      <x:c r="G1562">
        <x:f t="shared" si="146"/>
        <x:v>7741</x:v>
      </x:c>
      <x:c r="H1562">
        <x:f t="shared" si="147"/>
        <x:v>85706</x:v>
      </x:c>
      <x:c r="I1562">
        <x:f t="shared" si="145"/>
        <x:v>663450146</x:v>
      </x:c>
      <x:c r="J1562">
        <x:f>ROUND(英雄升级调参!$D$109*英雄升级调参!$J$11*英雄升级调参!$E$27,0)</x:f>
        <x:v>214</x:v>
      </x:c>
      <x:c r="K1562">
        <x:f>ROUND(英雄升级调参!$D$109*英雄升级调参!$C$11*英雄升级调参!$J$11*英雄升级调参!$G$27,0)</x:f>
        <x:v>2368</x:v>
      </x:c>
      <x:c r="L1562" t="n">
        <x:f>养成消耗调参!$E$191</x:f>
        <x:v>2016</x:v>
      </x:c>
      <x:c r="M1562" t="n">
        <x:f>养成消耗调参!$H$191</x:f>
        <x:v>13200</x:v>
      </x:c>
      <x:c r="N1562" t="n">
        <x:f>养成消耗调参!$I$191</x:f>
        <x:v>0</x:v>
      </x:c>
      <x:c r="O1562" t="n">
        <x:f>养成消耗调参!$L$191</x:f>
        <x:v>42432</x:v>
      </x:c>
      <x:c r="P1562" t="n">
        <x:f>养成消耗调参!$O$191</x:f>
        <x:v>261600</x:v>
      </x:c>
      <x:c r="Q1562" t="n">
        <x:f>养成消耗调参!$P$191</x:f>
        <x:v>640</x:v>
      </x:c>
      <x:c r="R1562">
        <x:f>I1562/英雄升级调参!$M$109-1</x:f>
        <x:v>-0.0009206586763226277</x:v>
      </x:c>
    </x:row>
    <x:row r="1563">
      <x:c r="A1563" t="n">
        <x:f>英雄升级调参!$B$27</x:f>
        <x:v>310011</x:v>
      </x:c>
      <x:c r="B1563" t="str">
        <x:f>英雄升级调参!$C$27</x:f>
        <x:v>鳄不恶</x:v>
      </x:c>
      <x:c r="C1563" t="str">
        <x:f>英雄升级调参!$D$27</x:f>
        <x:v>生存者</x:v>
      </x:c>
      <x:c r="D1563" t="s">
        <x:v>25</x:v>
      </x:c>
      <x:c r="E1563">
        <x:v>45</x:v>
      </x:c>
      <x:c r="F1563" t="n">
        <x:f>英雄升级调参!$C$110</x:f>
        <x:v>9</x:v>
      </x:c>
      <x:c r="G1563">
        <x:f t="shared" si="146"/>
        <x:v>8383</x:v>
      </x:c>
      <x:c r="H1563">
        <x:f t="shared" si="147"/>
        <x:v>92810</x:v>
      </x:c>
      <x:c r="I1563">
        <x:f t="shared" si="145"/>
        <x:v>778026230</x:v>
      </x:c>
      <x:c r="J1563">
        <x:f>ROUND(英雄升级调参!$D$110*英雄升级调参!$J$11*英雄升级调参!$E$27,0)*3</x:f>
        <x:v>642</x:v>
      </x:c>
      <x:c r="K1563">
        <x:f>ROUND(英雄升级调参!$D$110*英雄升级调参!$C$11*英雄升级调参!$J$11*英雄升级调参!$G$27,0)*3</x:f>
        <x:v>7104</x:v>
      </x:c>
      <x:c r="L1563" t="n">
        <x:f>养成消耗调参!$E$192</x:f>
        <x:v>2016</x:v>
      </x:c>
      <x:c r="M1563" t="n">
        <x:f>养成消耗调参!$H$192</x:f>
        <x:v>13200</x:v>
      </x:c>
      <x:c r="N1563" t="n">
        <x:f>养成消耗调参!$I$192</x:f>
        <x:v>170</x:v>
      </x:c>
      <x:c r="O1563" t="n">
        <x:f>养成消耗调参!$L$192</x:f>
        <x:v>44448</x:v>
      </x:c>
      <x:c r="P1563" t="n">
        <x:f>养成消耗调参!$O$192</x:f>
        <x:v>274800</x:v>
      </x:c>
      <x:c r="Q1563" t="n">
        <x:f>养成消耗调参!$P$192</x:f>
        <x:v>810</x:v>
      </x:c>
      <x:c r="R1563">
        <x:f>I1563/英雄升级调参!$M$110-1</x:f>
        <x:v>-0.0007744892508343426</x:v>
      </x:c>
    </x:row>
    <x:row r="1564">
      <x:c r="A1564" t="n">
        <x:f>英雄升级调参!$B$27</x:f>
        <x:v>310011</x:v>
      </x:c>
      <x:c r="B1564" t="str">
        <x:f>英雄升级调参!$C$27</x:f>
        <x:v>鳄不恶</x:v>
      </x:c>
      <x:c r="C1564" t="str">
        <x:f>英雄升级调参!$D$27</x:f>
        <x:v>生存者</x:v>
      </x:c>
      <x:c r="D1564" t="s">
        <x:v>25</x:v>
      </x:c>
      <x:c r="E1564">
        <x:v>46</x:v>
      </x:c>
      <x:c r="F1564" t="n">
        <x:f>英雄升级调参!$C$111</x:f>
        <x:v>10</x:v>
      </x:c>
      <x:c r="G1564">
        <x:f t="shared" si="146"/>
        <x:v>8618</x:v>
      </x:c>
      <x:c r="H1564">
        <x:f t="shared" si="147"/>
        <x:v>95415</x:v>
      </x:c>
      <x:c r="I1564">
        <x:f t="shared" si="145"/>
        <x:v>822286470</x:v>
      </x:c>
      <x:c r="J1564">
        <x:f>ROUND(英雄升级调参!$D$111*英雄升级调参!$J$11*英雄升级调参!$E$27,0)</x:f>
        <x:v>235</x:v>
      </x:c>
      <x:c r="K1564">
        <x:f>ROUND(英雄升级调参!$D$111*英雄升级调参!$C$11*英雄升级调参!$J$11*英雄升级调参!$G$27,0)</x:f>
        <x:v>2605</x:v>
      </x:c>
      <x:c r="L1564" t="n">
        <x:f>养成消耗调参!$E$193</x:f>
        <x:v>2112</x:v>
      </x:c>
      <x:c r="M1564" t="n">
        <x:f>养成消耗调参!$H$193</x:f>
        <x:v>13200</x:v>
      </x:c>
      <x:c r="N1564" t="n">
        <x:f>养成消耗调参!$I$193</x:f>
        <x:v>0</x:v>
      </x:c>
      <x:c r="O1564" t="n">
        <x:f>养成消耗调参!$L$193</x:f>
        <x:v>46560</x:v>
      </x:c>
      <x:c r="P1564" t="n">
        <x:f>养成消耗调参!$O$193</x:f>
        <x:v>288000</x:v>
      </x:c>
      <x:c r="Q1564" t="n">
        <x:f>养成消耗调参!$P$193</x:f>
        <x:v>810</x:v>
      </x:c>
      <x:c r="R1564">
        <x:f>I1564/英雄升级调参!$M$111-1</x:f>
        <x:v>-0.0008256538388637935</x:v>
      </x:c>
    </x:row>
    <x:row r="1565">
      <x:c r="A1565" t="n">
        <x:f>英雄升级调参!$B$27</x:f>
        <x:v>310011</x:v>
      </x:c>
      <x:c r="B1565" t="str">
        <x:f>英雄升级调参!$C$27</x:f>
        <x:v>鳄不恶</x:v>
      </x:c>
      <x:c r="C1565" t="str">
        <x:f>英雄升级调参!$D$27</x:f>
        <x:v>生存者</x:v>
      </x:c>
      <x:c r="D1565" t="s">
        <x:v>25</x:v>
      </x:c>
      <x:c r="E1565">
        <x:v>47</x:v>
      </x:c>
      <x:c r="F1565" t="n">
        <x:f>英雄升级调参!$C$112</x:f>
        <x:v>10</x:v>
      </x:c>
      <x:c r="G1565">
        <x:f t="shared" si="146"/>
        <x:v>8853</x:v>
      </x:c>
      <x:c r="H1565">
        <x:f t="shared" si="147"/>
        <x:v>98020</x:v>
      </x:c>
      <x:c r="I1565">
        <x:f t="shared" si="145"/>
        <x:v>867771060</x:v>
      </x:c>
      <x:c r="J1565">
        <x:f>ROUND(英雄升级调参!$D$112*英雄升级调参!$J$11*英雄升级调参!$E$27,0)</x:f>
        <x:v>235</x:v>
      </x:c>
      <x:c r="K1565">
        <x:f>ROUND(英雄升级调参!$D$112*英雄升级调参!$C$11*英雄升级调参!$J$11*英雄升级调参!$G$27,0)</x:f>
        <x:v>2605</x:v>
      </x:c>
      <x:c r="L1565" t="n">
        <x:f>养成消耗调参!$E$194</x:f>
        <x:v>2112</x:v>
      </x:c>
      <x:c r="M1565" t="n">
        <x:f>养成消耗调参!$H$194</x:f>
        <x:v>15000</x:v>
      </x:c>
      <x:c r="N1565" t="n">
        <x:f>养成消耗调参!$I$194</x:f>
        <x:v>0</x:v>
      </x:c>
      <x:c r="O1565" t="n">
        <x:f>养成消耗调参!$L$194</x:f>
        <x:v>48672</x:v>
      </x:c>
      <x:c r="P1565" t="n">
        <x:f>养成消耗调参!$O$194</x:f>
        <x:v>303000</x:v>
      </x:c>
      <x:c r="Q1565" t="n">
        <x:f>养成消耗调参!$P$194</x:f>
        <x:v>810</x:v>
      </x:c>
      <x:c r="R1565">
        <x:f>I1565/英雄升级调参!$M$112-1</x:f>
        <x:v>-0.0008740973716701017</x:v>
      </x:c>
    </x:row>
    <x:row r="1566">
      <x:c r="A1566" t="n">
        <x:f>英雄升级调参!$B$27</x:f>
        <x:v>310011</x:v>
      </x:c>
      <x:c r="B1566" t="str">
        <x:f>英雄升级调参!$C$27</x:f>
        <x:v>鳄不恶</x:v>
      </x:c>
      <x:c r="C1566" t="str">
        <x:f>英雄升级调参!$D$27</x:f>
        <x:v>生存者</x:v>
      </x:c>
      <x:c r="D1566" t="s">
        <x:v>25</x:v>
      </x:c>
      <x:c r="E1566">
        <x:v>48</x:v>
      </x:c>
      <x:c r="F1566" t="n">
        <x:f>英雄升级调参!$C$113</x:f>
        <x:v>10</x:v>
      </x:c>
      <x:c r="G1566">
        <x:f t="shared" si="146"/>
        <x:v>9088</x:v>
      </x:c>
      <x:c r="H1566">
        <x:f t="shared" si="147"/>
        <x:v>100625</x:v>
      </x:c>
      <x:c r="I1566">
        <x:f t="shared" si="145"/>
        <x:v>914480000</x:v>
      </x:c>
      <x:c r="J1566">
        <x:f>ROUND(英雄升级调参!$D$113*英雄升级调参!$J$11*英雄升级调参!$E$27,0)</x:f>
        <x:v>235</x:v>
      </x:c>
      <x:c r="K1566">
        <x:f>ROUND(英雄升级调参!$D$113*英雄升级调参!$C$11*英雄升级调参!$J$11*英雄升级调参!$G$27,0)</x:f>
        <x:v>2605</x:v>
      </x:c>
      <x:c r="L1566" t="n">
        <x:f>养成消耗调参!$E$195</x:f>
        <x:v>2208</x:v>
      </x:c>
      <x:c r="M1566" t="n">
        <x:f>养成消耗调参!$H$195</x:f>
        <x:v>15000</x:v>
      </x:c>
      <x:c r="N1566" t="n">
        <x:f>养成消耗调参!$I$195</x:f>
        <x:v>0</x:v>
      </x:c>
      <x:c r="O1566" t="n">
        <x:f>养成消耗调参!$L$195</x:f>
        <x:v>50880</x:v>
      </x:c>
      <x:c r="P1566" t="n">
        <x:f>养成消耗调参!$O$195</x:f>
        <x:v>318000</x:v>
      </x:c>
      <x:c r="Q1566" t="n">
        <x:f>养成消耗调参!$P$195</x:f>
        <x:v>810</x:v>
      </x:c>
      <x:c r="R1566">
        <x:f>I1566/英雄升级调参!$M$113-1</x:f>
        <x:v>-0.0009200312949935174</x:v>
      </x:c>
    </x:row>
    <x:row r="1567">
      <x:c r="A1567" t="n">
        <x:f>英雄升级调参!$B$27</x:f>
        <x:v>310011</x:v>
      </x:c>
      <x:c r="B1567" t="str">
        <x:f>英雄升级调参!$C$27</x:f>
        <x:v>鳄不恶</x:v>
      </x:c>
      <x:c r="C1567" t="str">
        <x:f>英雄升级调参!$D$27</x:f>
        <x:v>生存者</x:v>
      </x:c>
      <x:c r="D1567" t="s">
        <x:v>25</x:v>
      </x:c>
      <x:c r="E1567">
        <x:v>49</x:v>
      </x:c>
      <x:c r="F1567" t="n">
        <x:f>英雄升级调参!$C$114</x:f>
        <x:v>10</x:v>
      </x:c>
      <x:c r="G1567">
        <x:f t="shared" si="146"/>
        <x:v>9323</x:v>
      </x:c>
      <x:c r="H1567">
        <x:f t="shared" si="147"/>
        <x:v>103230</x:v>
      </x:c>
      <x:c r="I1567">
        <x:f t="shared" si="145"/>
        <x:v>962413290</x:v>
      </x:c>
      <x:c r="J1567">
        <x:f>ROUND(英雄升级调参!$D$114*英雄升级调参!$J$11*英雄升级调参!$E$27,0)</x:f>
        <x:v>235</x:v>
      </x:c>
      <x:c r="K1567">
        <x:f>ROUND(英雄升级调参!$D$114*英雄升级调参!$C$11*英雄升级调参!$J$11*英雄升级调参!$G$27,0)</x:f>
        <x:v>2605</x:v>
      </x:c>
      <x:c r="L1567" t="n">
        <x:f>养成消耗调参!$E$196</x:f>
        <x:v>2208</x:v>
      </x:c>
      <x:c r="M1567" t="n">
        <x:f>养成消耗调参!$H$196</x:f>
        <x:v>15000</x:v>
      </x:c>
      <x:c r="N1567" t="n">
        <x:f>养成消耗调参!$I$196</x:f>
        <x:v>0</x:v>
      </x:c>
      <x:c r="O1567" t="n">
        <x:f>养成消耗调参!$L$196</x:f>
        <x:v>53088</x:v>
      </x:c>
      <x:c r="P1567" t="n">
        <x:f>养成消耗调参!$O$196</x:f>
        <x:v>333000</x:v>
      </x:c>
      <x:c r="Q1567" t="n">
        <x:f>养成消耗调参!$P$196</x:f>
        <x:v>810</x:v>
      </x:c>
      <x:c r="R1567">
        <x:f>I1567/英雄升级调参!$M$114-1</x:f>
        <x:v>-0.0009636456998883824</x:v>
      </x:c>
    </x:row>
    <x:row r="1568">
      <x:c r="A1568" t="n">
        <x:f>英雄升级调参!$B$27</x:f>
        <x:v>310011</x:v>
      </x:c>
      <x:c r="B1568" t="str">
        <x:f>英雄升级调参!$C$27</x:f>
        <x:v>鳄不恶</x:v>
      </x:c>
      <x:c r="C1568" t="str">
        <x:f>英雄升级调参!$D$27</x:f>
        <x:v>生存者</x:v>
      </x:c>
      <x:c r="D1568" t="s">
        <x:v>25</x:v>
      </x:c>
      <x:c r="E1568">
        <x:v>50</x:v>
      </x:c>
      <x:c r="F1568" t="n">
        <x:f>英雄升级调参!$C$115</x:f>
        <x:v>10</x:v>
      </x:c>
      <x:c r="G1568">
        <x:f t="shared" si="146"/>
        <x:v>10028</x:v>
      </x:c>
      <x:c r="H1568">
        <x:f t="shared" si="147"/>
        <x:v>111045</x:v>
      </x:c>
      <x:c r="I1568">
        <x:f t="shared" si="145"/>
        <x:v>1113559260</x:v>
      </x:c>
      <x:c r="J1568">
        <x:f>ROUND(英雄升级调参!$D$115*英雄升级调参!$J$11*英雄升级调参!$E$27,0)*3</x:f>
        <x:v>705</x:v>
      </x:c>
      <x:c r="K1568">
        <x:f>ROUND(英雄升级调参!$D$115*英雄升级调参!$C$11*英雄升级调参!$J$11*英雄升级调参!$G$27,0)*3</x:f>
        <x:v>7815</x:v>
      </x:c>
      <x:c r="L1568" t="n">
        <x:f>养成消耗调参!$E$197</x:f>
        <x:v>2304</x:v>
      </x:c>
      <x:c r="M1568" t="n">
        <x:f>养成消耗调参!$H$197</x:f>
        <x:v>15000</x:v>
      </x:c>
      <x:c r="N1568" t="n">
        <x:f>养成消耗调参!$I$197</x:f>
        <x:v>190</x:v>
      </x:c>
      <x:c r="O1568" t="n">
        <x:f>养成消耗调参!$L$197</x:f>
        <x:v>55392</x:v>
      </x:c>
      <x:c r="P1568" t="n">
        <x:f>养成消耗调参!$O$197</x:f>
        <x:v>348000</x:v>
      </x:c>
      <x:c r="Q1568" t="n">
        <x:f>养成消耗调参!$P$197</x:f>
        <x:v>1000</x:v>
      </x:c>
      <x:c r="R1568">
        <x:f>I1568/英雄升级调参!$M$115-1</x:f>
        <x:v>-0.001082205021088467</x:v>
      </x:c>
    </x:row>
  </x:sheetData>
  <x:mergeCells>
    <x:mergeCell ref="A2:L2"/>
    <x:mergeCell ref="A4:L4"/>
    <x:mergeCell ref="A5:L5"/>
    <x:mergeCell ref="A6:L6"/>
    <x:mergeCell ref="A65:L65"/>
  </x:mergeCells>
  <x:conditionalFormatting sqref="R13:R1512">
    <x:cfRule type="cellIs" dxfId="4" priority="1" operator="notBetween">
      <x:formula>-0.01</x:formula>
      <x:formula>0.01</x:formula>
    </x:cfRule>
  </x:conditionalFormatting>
  <x:dataValidations count="1">
    <x:dataValidation type="whole" operator="greaterThanOrEqual" sqref="S18:U66 AD134:AF143">
      <x:formula1>1</x:formula1>
    </x:dataValidation>
  </x:dataValidations>
  <x:pageMargins left="0.7" right="0.7" top="0.75" bottom="0.75" header="0.3" footer="0.3"/>
  <x:drawing xmlns:r="http://schemas.openxmlformats.org/officeDocument/2006/relationships" r:id="Ra78639c3142b44cb"/>
  <x:tableParts count="1">
    <x:tablePart xmlns:r="http://schemas.openxmlformats.org/officeDocument/2006/relationships" r:id="R5e652b70e1a04e43"/>
  </x:tableParts>
</x:worksheet>
</file>

<file path=xl/worksheets/sheet2.xml><?xml version="1.0" encoding="utf-8"?>
<x:worksheet xmlns:x="http://schemas.openxmlformats.org/spreadsheetml/2006/main">
  <x:sheetPr>
    <x:tabColor rgb="FF304967"/>
  </x:sheetPr>
  <x:sheetViews>
    <x:sheetView showGridLines="0" workbookViewId="0">
      <x:pane xSplit="5" ySplit="12" topLeftCell="F13" activePane="bottomRight" state="frozen"/>
    </x:sheetView>
  </x:sheetViews>
  <x:sheetFormatPr defaultRowHeight="15"/>
  <x:cols>
    <x:col min="1" max="2" width="21" customWidth="1"/>
    <x:col min="3" max="11" width="13" customWidth="1"/>
    <x:col min="12" max="15" width="17" customWidth="1"/>
    <x:col min="16" max="16" width="50" customWidth="1"/>
    <x:col min="17" max="20" width="13" customWidth="1"/>
    <x:col min="22" max="22" width="21" customWidth="1"/>
    <x:col min="23" max="26" width="15" customWidth="1"/>
    <x:col min="27" max="27" width="44" customWidth="1"/>
    <x:col min="28" max="29" width="18" customWidth="1"/>
    <x:col min="30" max="30" width="16" customWidth="1"/>
    <x:col min="31" max="31" width="16" customWidth="1"/>
    <x:col min="32" max="32" width="26" customWidth="1"/>
    <x:col min="33" max="33" width="15" customWidth="1"/>
  </x:cols>
  <x:sheetData>
    <x:row r="1" ht="21.950000762939453" customHeight="1">
      <x:c r="A1" s="6"/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  <x:c r="AG1" s="6"/>
    </x:row>
    <x:row r="2" ht="21.950000762939453" customHeight="1">
      <x:c r="A2" s="2" t="s">
        <x:v>53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</x:row>
    <x:row r="3" ht="21.950000762939453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</x:row>
    <x:row r="4" ht="27" customHeight="1">
      <x:c r="A4" s="2" t="inlineStr">
        <x:is>
          <x:t>以同级标准蓝卡的1倍普攻校准：普通3～4次、精英15次、BOSS30次击杀。同步英雄分段线性与突破成长。</x:t>
        </x:is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6"/>
      <x:c r="N4" s="6"/>
      <x:c r="O4" s="6"/>
      <x:c r="P4" s="6"/>
      <x:c r="Q4" s="6"/>
      <x:c r="R4" s="6"/>
      <x:c r="S4" s="6"/>
      <x:c r="T4" s="6"/>
      <x:c r="V4" s="6" t="s">
        <x:v>54</x:v>
      </x:c>
      <x:c r="W4" s="111">
        <x:v>4</x:v>
      </x:c>
      <x:c r="X4" s="6"/>
      <x:c r="Y4" s="6"/>
      <x:c r="Z4" s="6"/>
      <x:c r="AA4" s="6"/>
      <x:c r="AB4" s="6"/>
      <x:c r="AC4" s="6"/>
      <x:c r="AD4" s="6"/>
      <x:c r="AE4" s="6"/>
      <x:c r="AF4" s="6"/>
      <x:c r="AG4" s="6"/>
    </x:row>
    <x:row r="5" ht="27" customHeight="1">
      <x:c r="A5" s="2" t="inlineStr">
        <x:is>
          <x:t xml:space="preserve">主要攻击有效命中致死目标：普通10次、精英7.5次、BOSS5次；按实际伤害倍率反算攻击力。</x:t>
        </x:is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6"/>
      <x:c r="N5" s="6"/>
      <x:c r="O5" s="6"/>
      <x:c r="P5" s="6"/>
      <x:c r="Q5" s="6"/>
      <x:c r="R5" s="6"/>
      <x:c r="S5" s="6"/>
      <x:c r="T5" s="6"/>
      <x:c r="V5" s="109" t="s">
        <x:v>55</x:v>
      </x:c>
      <x:c r="W5" s="111">
        <x:v>7.4999999999999997E-2</x:v>
      </x:c>
      <x:c r="X5" s="6"/>
      <x:c r="Y5" s="6"/>
      <x:c r="Z5" s="6"/>
      <x:c r="AA5" s="6"/>
      <x:c r="AB5" s="6"/>
      <x:c r="AC5" s="6"/>
      <x:c r="AD5" s="6"/>
      <x:c r="AE5" s="6"/>
      <x:c r="AF5" s="6"/>
      <x:c r="AG5" s="6"/>
    </x:row>
    <x:row r="6" ht="27" customHeight="1">
      <x:c r="A6" s="2" t="inlineStr">
        <x:is>
          <x:t xml:space="preserve">黄色参数：AB为主角击杀怪物的普攻次数，AC为主要伤害倍率，AD为怪物命中致死目标。</x:t>
        </x:is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6"/>
      <x:c r="N6" s="6"/>
      <x:c r="O6" s="6"/>
      <x:c r="P6" s="6"/>
      <x:c r="Q6" s="6"/>
      <x:c r="R6" s="6"/>
      <x:c r="S6" s="6"/>
      <x:c r="T6" s="6"/>
      <x:c r="V6" s="6" t="s">
        <x:v>56</x:v>
      </x:c>
      <x:c r="W6" s="9">
        <x:v>999999</x:v>
      </x:c>
      <x:c r="X6" s="6"/>
      <x:c r="Y6" s="6"/>
      <x:c r="Z6" s="6"/>
      <x:c r="AA6" s="6"/>
      <x:c r="AB6" s="6"/>
      <x:c r="AC6" s="6"/>
      <x:c r="AD6" s="6"/>
      <x:c r="AE6" s="6"/>
      <x:c r="AF6" s="6"/>
      <x:c r="AG6" s="6"/>
    </x:row>
    <x:row r="7" ht="21.950000762939453" customHeight="1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  <x:c r="V7" s="6"/>
      <x:c r="W7" s="6"/>
      <x:c r="X7" s="6"/>
      <x:c r="Y7" s="6"/>
      <x:c r="Z7" s="6"/>
      <x:c r="AA7" s="6"/>
      <x:c r="AB7" s="6"/>
      <x:c r="AC7" s="6"/>
      <x:c r="AD7" s="6"/>
      <x:c r="AE7" s="6"/>
      <x:c r="AF7" s="6"/>
      <x:c r="AG7" s="6"/>
    </x:row>
    <x:row r="8" ht="32.099998474121094" customHeight="1">
      <x:c r="A8" s="8" t="s">
        <x:v>57</x:v>
      </x:c>
      <x:c r="B8" s="8" t="s">
        <x:v>11</x:v>
      </x:c>
      <x:c r="C8" s="8" t="s">
        <x:v>10</x:v>
      </x:c>
      <x:c r="D8" s="8" t="s">
        <x:v>58</x:v>
      </x:c>
      <x:c r="E8" s="8" t="s">
        <x:v>59</x:v>
      </x:c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  <x:c r="Q8" s="6"/>
      <x:c r="R8" s="6"/>
      <x:c r="S8" s="6"/>
      <x:c r="T8" s="6"/>
      <x:c r="V8" s="6"/>
      <x:c r="W8" s="6"/>
      <x:c r="X8" s="6"/>
      <x:c r="Y8" s="6"/>
      <x:c r="Z8" s="6"/>
      <x:c r="AA8" s="6"/>
      <x:c r="AB8" s="6"/>
      <x:c r="AC8" s="6"/>
      <x:c r="AD8" s="6"/>
      <x:c r="AE8" s="6"/>
      <x:c r="AF8" s="6"/>
      <x:c r="AG8" s="6"/>
    </x:row>
    <x:row r="9" ht="32.099998474121094" customHeight="1">
      <x:c r="A9" s="6" t="s">
        <x:v>60</x:v>
      </x:c>
      <x:c r="B9" s="6" t="n">
        <x:f>F13</x:f>
        <x:v>240</x:v>
      </x:c>
      <x:c r="C9" s="6" t="n">
        <x:f>G13</x:f>
        <x:v>60</x:v>
      </x:c>
      <x:c r="D9" s="6" t="n">
        <x:f>L13</x:f>
        <x:v>4</x:v>
      </x:c>
      <x:c r="E9" s="6" t="n">
        <x:f>M13</x:f>
        <x:v>10</x:v>
      </x:c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V9" s="8" t="s">
        <x:v>61</x:v>
      </x:c>
      <x:c r="W9" s="8" t="s">
        <x:v>62</x:v>
      </x:c>
      <x:c r="X9" s="110" t="s">
        <x:v>63</x:v>
      </x:c>
      <x:c r="Y9" s="8" t="s">
        <x:v>64</x:v>
      </x:c>
      <x:c r="Z9" s="8" t="s">
        <x:v>65</x:v>
      </x:c>
      <x:c r="AA9" s="8" t="s">
        <x:v>66</x:v>
      </x:c>
      <x:c r="AB9" s="115" t="s">
        <x:v>67</x:v>
      </x:c>
      <x:c r="AC9" s="115" t="inlineStr">
        <x:is>
          <x:t xml:space="preserve">主要伤害倍率</x:t>
        </x:is>
      </x:c>
      <x:c r="AD9" s="115" t="inlineStr">
        <x:is>
          <x:t xml:space="preserve">命中致死目标</x:t>
        </x:is>
      </x:c>
      <x:c r="AE9" s="115" t="inlineStr">
        <x:is>
          <x:t xml:space="preserve">参考伤害ID</x:t>
        </x:is>
      </x:c>
      <x:c r="AF9" s="115" t="inlineStr">
        <x:is>
          <x:t xml:space="preserve">主要攻击</x:t>
        </x:is>
      </x:c>
      <x:c r="AG9" s="6"/>
    </x:row>
    <x:row r="10" ht="21.950000762939453" customHeight="1">
      <x:c r="A10" s="6" t="s">
        <x:v>68</x:v>
      </x:c>
      <x:c r="B10" s="6" t="n">
        <x:f>F63</x:f>
        <x:v>180</x:v>
      </x:c>
      <x:c r="C10" s="6" t="n">
        <x:f>G63</x:f>
        <x:v>60</x:v>
      </x:c>
      <x:c r="D10" s="6" t="n">
        <x:f>L63</x:f>
        <x:v>3</x:v>
      </x:c>
      <x:c r="E10" s="6" t="n">
        <x:f>M63</x:f>
        <x:v>10</x:v>
      </x:c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V10" s="6" t="s">
        <x:v>69</x:v>
      </x:c>
      <x:c r="W10" s="6" t="s">
        <x:v>60</x:v>
      </x:c>
      <x:c r="X10" s="6" t="s">
        <x:v>70</x:v>
      </x:c>
      <x:c r="Y10" s="112" t="n">
        <x:f>AB10/$W$4</x:f>
        <x:v>1</x:v>
      </x:c>
      <x:c r="Z10" s="10" t="n">
        <x:f>英雄升级调参!$C$11/$W$4/$W$5/$AD$10/$AC$10</x:f>
        <x:v>3.3333333333333335</x:v>
      </x:c>
      <x:c r="AA10" s="109" t="inlineStr">
        <x:is>
          <x:t xml:space="preserve">普通：4次标准普攻击杀；10次主要攻击致死</x:t>
        </x:is>
      </x:c>
      <x:c r="AB10" s="116">
        <x:v>4</x:v>
      </x:c>
      <x:c r="AC10" s="117">
        <x:v>1</x:v>
      </x:c>
      <x:c r="AD10" s="117">
        <x:v>10</x:v>
      </x:c>
      <x:c r="AE10" s="6"/>
      <x:c r="AF10" s="6" t="inlineStr">
        <x:is>
          <x:t xml:space="preserve">标准命中</x:t>
        </x:is>
      </x:c>
      <x:c r="AG10" s="6"/>
    </x:row>
    <x:row r="11" ht="21.950000762939453" customHeight="1">
      <x:c r="A11" s="6" t="s">
        <x:v>71</x:v>
      </x:c>
      <x:c r="B11" s="6" t="n">
        <x:f>F113</x:f>
        <x:v>900</x:v>
      </x:c>
      <x:c r="C11" s="6" t="n">
        <x:f>G113</x:f>
        <x:v>80</x:v>
      </x:c>
      <x:c r="D11" s="6" t="n">
        <x:f>L113</x:f>
        <x:v>15</x:v>
      </x:c>
      <x:c r="E11" s="6" t="n">
        <x:f>M113</x:f>
        <x:v>8</x:v>
      </x:c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V11" s="6" t="s">
        <x:v>72</x:v>
      </x:c>
      <x:c r="W11" s="6" t="s">
        <x:v>68</x:v>
      </x:c>
      <x:c r="X11" s="6" t="s">
        <x:v>70</x:v>
      </x:c>
      <x:c r="Y11" s="112" t="n">
        <x:f>AB11/$W$4</x:f>
        <x:v>0.75</x:v>
      </x:c>
      <x:c r="Z11" s="10" t="n">
        <x:f>英雄升级调参!$C$11/$W$4/$W$5/$AD$11/$AC$11</x:f>
        <x:v>3.3333333333333335</x:v>
      </x:c>
      <x:c r="AA11" s="109" t="inlineStr">
        <x:is>
          <x:t xml:space="preserve">普通：3次标准普攻击杀；10次主要攻击致死</x:t>
        </x:is>
      </x:c>
      <x:c r="AB11" s="116">
        <x:v>3</x:v>
      </x:c>
      <x:c r="AC11" s="117">
        <x:v>1</x:v>
      </x:c>
      <x:c r="AD11" s="117">
        <x:v>10</x:v>
      </x:c>
      <x:c r="AE11" s="6"/>
      <x:c r="AF11" s="6" t="inlineStr">
        <x:is>
          <x:t xml:space="preserve">标准命中</x:t>
        </x:is>
      </x:c>
      <x:c r="AG11" s="6"/>
    </x:row>
    <x:row r="12" ht="32.099998474121094" customHeight="1">
      <x:c r="A12" s="8" t="s">
        <x:v>61</x:v>
      </x:c>
      <x:c r="B12" s="8" t="s">
        <x:v>62</x:v>
      </x:c>
      <x:c r="C12" s="8" t="s">
        <x:v>73</x:v>
      </x:c>
      <x:c r="D12" s="8" t="s">
        <x:v>9</x:v>
      </x:c>
      <x:c r="E12" s="8" t="s">
        <x:v>74</x:v>
      </x:c>
      <x:c r="F12" s="8" t="s">
        <x:v>11</x:v>
      </x:c>
      <x:c r="G12" s="8" t="s">
        <x:v>10</x:v>
      </x:c>
      <x:c r="H12" s="8" t="s">
        <x:v>64</x:v>
      </x:c>
      <x:c r="I12" s="8" t="s">
        <x:v>65</x:v>
      </x:c>
      <x:c r="J12" s="8" t="s">
        <x:v>75</x:v>
      </x:c>
      <x:c r="K12" s="8" t="s">
        <x:v>76</x:v>
      </x:c>
      <x:c r="L12" s="8" t="s">
        <x:v>58</x:v>
      </x:c>
      <x:c r="M12" s="8" t="s">
        <x:v>59</x:v>
      </x:c>
      <x:c r="N12" s="8" t="s">
        <x:v>77</x:v>
      </x:c>
      <x:c r="O12" s="8" t="s">
        <x:v>78</x:v>
      </x:c>
      <x:c r="P12" s="8" t="s">
        <x:v>66</x:v>
      </x:c>
      <x:c r="Q12" s="6"/>
      <x:c r="R12" s="6"/>
      <x:c r="S12" s="6"/>
      <x:c r="T12" s="6"/>
      <x:c r="V12" s="6" t="s">
        <x:v>79</x:v>
      </x:c>
      <x:c r="W12" s="6" t="s">
        <x:v>71</x:v>
      </x:c>
      <x:c r="X12" s="6" t="s">
        <x:v>70</x:v>
      </x:c>
      <x:c r="Y12" s="112" t="n">
        <x:f>AB12/$W$4</x:f>
        <x:v>3.75</x:v>
      </x:c>
      <x:c r="Z12" s="10" t="n">
        <x:f>英雄升级调参!$C$11/$W$4/$W$5/$AD$12/$AC$12</x:f>
        <x:v>4.444444444444445</x:v>
      </x:c>
      <x:c r="AA12" s="109" t="inlineStr">
        <x:is>
          <x:t xml:space="preserve">精英：15次标准普攻击杀；7.5次主要攻击致死</x:t>
        </x:is>
      </x:c>
      <x:c r="AB12" s="116">
        <x:v>15</x:v>
      </x:c>
      <x:c r="AC12" s="117">
        <x:v>1</x:v>
      </x:c>
      <x:c r="AD12" s="117">
        <x:v>7.5</x:v>
      </x:c>
      <x:c r="AE12" s="6"/>
      <x:c r="AF12" s="6" t="inlineStr">
        <x:is>
          <x:t xml:space="preserve">标准命中</x:t>
        </x:is>
      </x:c>
      <x:c r="AG12" s="6"/>
    </x:row>
    <x:row r="13" ht="21.950000762939453" customHeight="1">
      <x:c r="A13" s="14" t="str">
        <x:f>$V$10</x:f>
        <x:v>MODEL_BASE</x:v>
      </x:c>
      <x:c r="B13" s="14" t="str">
        <x:f>$W$10</x:f>
        <x:v>模型·标准小怪</x:v>
      </x:c>
      <x:c r="C13" s="6" t="str">
        <x:f>$X$10</x:f>
        <x:v>稻草人模型</x:v>
      </x:c>
      <x:c r="D13" s="6">
        <x:v>1</x:v>
      </x:c>
      <x:c r="E13" s="6">
        <x:v>10</x:v>
      </x:c>
      <x:c r="F13" s="12" t="n">
        <x:f>ROUND(J13*$W$4*H13,0)</x:f>
        <x:v>240</x:v>
      </x:c>
      <x:c r="G13" s="12" t="n">
        <x:f>ROUND(J13*$W$4*$W$5*I13,0)</x:f>
        <x:v>60</x:v>
      </x:c>
      <x:c r="H13" s="11" t="n">
        <x:f>$Y$10</x:f>
        <x:v>1</x:v>
      </x:c>
      <x:c r="I13" s="11" t="n">
        <x:f>$Z$10</x:f>
        <x:v>3.3333333333333335</x:v>
      </x:c>
      <x:c r="J13" s="12" t="n">
        <x:f>英雄升级调参!$E$66</x:f>
        <x:v>60</x:v>
      </x:c>
      <x:c r="K13" s="12" t="n">
        <x:f>英雄升级调参!$F$66</x:f>
        <x:v>600</x:v>
      </x:c>
      <x:c r="L13" s="6" t="n">
        <x:f>ROUNDUP(F13/J13,0)</x:f>
        <x:v>4</x:v>
      </x:c>
      <x:c r="M13" s="6" t="n">
        <x:f>IF(G13=0,"无伤害",ROUNDUP(K13/MAX(1,ROUND(G13*$AC$10,0)),0))</x:f>
        <x:v>10</x:v>
      </x:c>
      <x:c r="N13" s="6">
        <x:f>ROUNDUP(F13/英雄升级调参!$H$66,0)</x:f>
        <x:v>2</x:v>
      </x:c>
      <x:c r="O13" s="6">
        <x:f>ROUNDUP(F13/英雄升级调参!$K$66,0)</x:f>
        <x:v>1</x:v>
      </x:c>
      <x:c r="P13" s="6" t="str">
        <x:f>$AA$10</x:f>
        <x:v>普通：4次标准普攻击杀；10次主要攻击致死</x:v>
      </x:c>
      <x:c r="Q13" s="6"/>
      <x:c r="R13" s="6"/>
      <x:c r="S13" s="6"/>
      <x:c r="T13" s="6"/>
      <x:c r="V13" s="6" t="s">
        <x:v>80</x:v>
      </x:c>
      <x:c r="W13" s="6" t="s">
        <x:v>81</x:v>
      </x:c>
      <x:c r="X13" s="6" t="s">
        <x:v>70</x:v>
      </x:c>
      <x:c r="Y13" s="112" t="n">
        <x:f>AB13/$W$4</x:f>
        <x:v>7.5</x:v>
      </x:c>
      <x:c r="Z13" s="10" t="n">
        <x:f>英雄升级调参!$C$11/$W$4/$W$5/$AD$13/$AC$13</x:f>
        <x:v>6.666666666666667</x:v>
      </x:c>
      <x:c r="AA13" s="109" t="inlineStr">
        <x:is>
          <x:t xml:space="preserve">BOSS：30次标准普攻击杀；5次主要攻击致死</x:t>
        </x:is>
      </x:c>
      <x:c r="AB13" s="116">
        <x:v>30</x:v>
      </x:c>
      <x:c r="AC13" s="117">
        <x:v>1</x:v>
      </x:c>
      <x:c r="AD13" s="117">
        <x:v>5</x:v>
      </x:c>
      <x:c r="AE13" s="6"/>
      <x:c r="AF13" s="6" t="inlineStr">
        <x:is>
          <x:t xml:space="preserve">标准命中</x:t>
        </x:is>
      </x:c>
      <x:c r="AG13" s="6"/>
    </x:row>
    <x:row r="14" ht="21.950000762939453" customHeight="1">
      <x:c r="A14" s="14" t="str">
        <x:f>$V$10</x:f>
        <x:v>MODEL_BASE</x:v>
      </x:c>
      <x:c r="B14" s="14" t="str">
        <x:f>$W$10</x:f>
        <x:v>模型·标准小怪</x:v>
      </x:c>
      <x:c r="C14" s="6" t="str">
        <x:f>$X$10</x:f>
        <x:v>稻草人模型</x:v>
      </x:c>
      <x:c r="D14" s="6">
        <x:v>2</x:v>
      </x:c>
      <x:c r="E14" s="6">
        <x:v>10</x:v>
      </x:c>
      <x:c r="F14" s="12">
        <x:f>ROUND(J14*$W$4*H14,0)</x:f>
        <x:v>312</x:v>
      </x:c>
      <x:c r="G14" s="12">
        <x:f>ROUND(J14*$W$4*$W$5*I14,0)</x:f>
        <x:v>78</x:v>
      </x:c>
      <x:c r="H14" s="11" t="n">
        <x:f>$Y$10</x:f>
        <x:v>1</x:v>
      </x:c>
      <x:c r="I14" s="11" t="n">
        <x:f>$Z$10</x:f>
        <x:v>3.3333333333333335</x:v>
      </x:c>
      <x:c r="J14" s="12">
        <x:f>英雄升级调参!$E$67</x:f>
        <x:v>78</x:v>
      </x:c>
      <x:c r="K14" s="12">
        <x:f>英雄升级调参!$F$67</x:f>
        <x:v>780</x:v>
      </x:c>
      <x:c r="L14" s="6" t="n">
        <x:f>ROUNDUP(F14/J14,0)</x:f>
        <x:v>4</x:v>
      </x:c>
      <x:c r="M14" s="6" t="n">
        <x:f>IF(G14=0,"无伤害",ROUNDUP(K14/MAX(1,ROUND(G14*$AC$10,0)),0))</x:f>
        <x:v>10</x:v>
      </x:c>
      <x:c r="N14" s="6">
        <x:f>ROUNDUP(F14/英雄升级调参!$H$67,0)</x:f>
        <x:v>2</x:v>
      </x:c>
      <x:c r="O14" s="6">
        <x:f>ROUNDUP(F14/英雄升级调参!$K$67,0)</x:f>
        <x:v>1</x:v>
      </x:c>
      <x:c r="P14" s="6" t="str">
        <x:f>$AA$10</x:f>
        <x:v>普通：4次标准普攻击杀；10次主要攻击致死</x:v>
      </x:c>
      <x:c r="Q14" s="6"/>
      <x:c r="R14" s="6"/>
      <x:c r="S14" s="6"/>
      <x:c r="T14" s="6"/>
      <x:c r="V14" s="6">
        <x:v>60001</x:v>
      </x:c>
      <x:c r="W14" s="6" t="s">
        <x:v>82</x:v>
      </x:c>
      <x:c r="X14" s="109" t="s">
        <x:v>83</x:v>
      </x:c>
      <x:c r="Y14" s="112" t="n">
        <x:f>AB14/$W$4</x:f>
        <x:v>1</x:v>
      </x:c>
      <x:c r="Z14" s="10" t="n">
        <x:f>英雄升级调参!$C$11/$W$4/$W$5/$AD$14/$AC$14</x:f>
        <x:v>3.3333333333333335</x:v>
      </x:c>
      <x:c r="AA14" s="109" t="inlineStr">
        <x:is>
          <x:t xml:space="preserve">普通：4次标准普攻击杀；10次主要攻击致死</x:t>
        </x:is>
      </x:c>
      <x:c r="AB14" s="116">
        <x:v>4</x:v>
      </x:c>
      <x:c r="AC14" s="117">
        <x:v>1</x:v>
      </x:c>
      <x:c r="AD14" s="117">
        <x:v>10</x:v>
      </x:c>
      <x:c r="AE14" s="6">
        <x:v>1017</x:v>
      </x:c>
      <x:c r="AF14" s="6" t="inlineStr">
        <x:is>
          <x:t xml:space="preserve">近身攻击</x:t>
        </x:is>
      </x:c>
      <x:c r="AG14" s="6"/>
    </x:row>
    <x:row r="15" ht="21.950000762939453" customHeight="1">
      <x:c r="A15" s="14" t="str">
        <x:f>$V$10</x:f>
        <x:v>MODEL_BASE</x:v>
      </x:c>
      <x:c r="B15" s="14" t="str">
        <x:f>$W$10</x:f>
        <x:v>模型·标准小怪</x:v>
      </x:c>
      <x:c r="C15" s="6" t="str">
        <x:f>$X$10</x:f>
        <x:v>稻草人模型</x:v>
      </x:c>
      <x:c r="D15" s="6">
        <x:v>3</x:v>
      </x:c>
      <x:c r="E15" s="6">
        <x:v>10</x:v>
      </x:c>
      <x:c r="F15" s="12">
        <x:f>ROUND(J15*$W$4*H15,0)</x:f>
        <x:v>384</x:v>
      </x:c>
      <x:c r="G15" s="12">
        <x:f>ROUND(J15*$W$4*$W$5*I15,0)</x:f>
        <x:v>96</x:v>
      </x:c>
      <x:c r="H15" s="11" t="n">
        <x:f>$Y$10</x:f>
        <x:v>1</x:v>
      </x:c>
      <x:c r="I15" s="11" t="n">
        <x:f>$Z$10</x:f>
        <x:v>3.3333333333333335</x:v>
      </x:c>
      <x:c r="J15" s="12">
        <x:f>英雄升级调参!$E$68</x:f>
        <x:v>96</x:v>
      </x:c>
      <x:c r="K15" s="12">
        <x:f>英雄升级调参!$F$68</x:f>
        <x:v>960</x:v>
      </x:c>
      <x:c r="L15" s="6" t="n">
        <x:f>ROUNDUP(F15/J15,0)</x:f>
        <x:v>4</x:v>
      </x:c>
      <x:c r="M15" s="6" t="n">
        <x:f>IF(G15=0,"无伤害",ROUNDUP(K15/MAX(1,ROUND(G15*$AC$10,0)),0))</x:f>
        <x:v>10</x:v>
      </x:c>
      <x:c r="N15" s="6">
        <x:f>ROUNDUP(F15/英雄升级调参!$H$68,0)</x:f>
        <x:v>2</x:v>
      </x:c>
      <x:c r="O15" s="6">
        <x:f>ROUNDUP(F15/英雄升级调参!$K$68,0)</x:f>
        <x:v>1</x:v>
      </x:c>
      <x:c r="P15" s="6" t="str">
        <x:f>$AA$10</x:f>
        <x:v>普通：4次标准普攻击杀；10次主要攻击致死</x:v>
      </x:c>
      <x:c r="Q15" s="6"/>
      <x:c r="R15" s="6"/>
      <x:c r="S15" s="6"/>
      <x:c r="T15" s="6"/>
      <x:c r="V15" s="6">
        <x:v>60002</x:v>
      </x:c>
      <x:c r="W15" s="6" t="s">
        <x:v>84</x:v>
      </x:c>
      <x:c r="X15" s="109" t="s">
        <x:v>83</x:v>
      </x:c>
      <x:c r="Y15" s="112" t="n">
        <x:f>AB15/$W$4</x:f>
        <x:v>1</x:v>
      </x:c>
      <x:c r="Z15" s="10" t="n">
        <x:f>英雄升级调参!$C$11/$W$4/$W$5/$AD$15/$AC$15</x:f>
        <x:v>3.3333333333333335</x:v>
      </x:c>
      <x:c r="AA15" s="109" t="inlineStr">
        <x:is>
          <x:t xml:space="preserve">普通：4次标准普攻击杀；10次主要攻击致死</x:t>
        </x:is>
      </x:c>
      <x:c r="AB15" s="116">
        <x:v>4</x:v>
      </x:c>
      <x:c r="AC15" s="117">
        <x:v>1</x:v>
      </x:c>
      <x:c r="AD15" s="117">
        <x:v>10</x:v>
      </x:c>
      <x:c r="AE15" s="6">
        <x:v>1017</x:v>
      </x:c>
      <x:c r="AF15" s="6" t="inlineStr">
        <x:is>
          <x:t xml:space="preserve">近身攻击</x:t>
        </x:is>
      </x:c>
      <x:c r="AG15" s="6"/>
    </x:row>
    <x:row r="16" ht="21.950000762939453" customHeight="1">
      <x:c r="A16" s="14" t="str">
        <x:f>$V$10</x:f>
        <x:v>MODEL_BASE</x:v>
      </x:c>
      <x:c r="B16" s="14" t="str">
        <x:f>$W$10</x:f>
        <x:v>模型·标准小怪</x:v>
      </x:c>
      <x:c r="C16" s="6" t="str">
        <x:f>$X$10</x:f>
        <x:v>稻草人模型</x:v>
      </x:c>
      <x:c r="D16" s="6">
        <x:v>4</x:v>
      </x:c>
      <x:c r="E16" s="6">
        <x:v>10</x:v>
      </x:c>
      <x:c r="F16" s="12">
        <x:f>ROUND(J16*$W$4*H16,0)</x:f>
        <x:v>456</x:v>
      </x:c>
      <x:c r="G16" s="12">
        <x:f>ROUND(J16*$W$4*$W$5*I16,0)</x:f>
        <x:v>114</x:v>
      </x:c>
      <x:c r="H16" s="11" t="n">
        <x:f>$Y$10</x:f>
        <x:v>1</x:v>
      </x:c>
      <x:c r="I16" s="11" t="n">
        <x:f>$Z$10</x:f>
        <x:v>3.3333333333333335</x:v>
      </x:c>
      <x:c r="J16" s="12">
        <x:f>英雄升级调参!$E$69</x:f>
        <x:v>114</x:v>
      </x:c>
      <x:c r="K16" s="12">
        <x:f>英雄升级调参!$F$69</x:f>
        <x:v>1140</x:v>
      </x:c>
      <x:c r="L16" s="6" t="n">
        <x:f>ROUNDUP(F16/J16,0)</x:f>
        <x:v>4</x:v>
      </x:c>
      <x:c r="M16" s="6" t="n">
        <x:f>IF(G16=0,"无伤害",ROUNDUP(K16/MAX(1,ROUND(G16*$AC$10,0)),0))</x:f>
        <x:v>10</x:v>
      </x:c>
      <x:c r="N16" s="6">
        <x:f>ROUNDUP(F16/英雄升级调参!$H$69,0)</x:f>
        <x:v>2</x:v>
      </x:c>
      <x:c r="O16" s="6">
        <x:f>ROUNDUP(F16/英雄升级调参!$K$69,0)</x:f>
        <x:v>1</x:v>
      </x:c>
      <x:c r="P16" s="6" t="str">
        <x:f>$AA$10</x:f>
        <x:v>普通：4次标准普攻击杀；10次主要攻击致死</x:v>
      </x:c>
      <x:c r="Q16" s="6"/>
      <x:c r="R16" s="6"/>
      <x:c r="S16" s="6"/>
      <x:c r="T16" s="6"/>
      <x:c r="V16" s="6">
        <x:v>60003</x:v>
      </x:c>
      <x:c r="W16" s="6" t="s">
        <x:v>85</x:v>
      </x:c>
      <x:c r="X16" s="109" t="s">
        <x:v>83</x:v>
      </x:c>
      <x:c r="Y16" s="112" t="n">
        <x:f>AB16/$W$4</x:f>
        <x:v>1</x:v>
      </x:c>
      <x:c r="Z16" s="10">
        <x:v>0.8</x:v>
      </x:c>
      <x:c r="AA16" s="109" t="s">
        <x:v>86</x:v>
      </x:c>
      <x:c r="AB16" s="116">
        <x:v>4</x:v>
      </x:c>
      <x:c r="AC16" s="117" t="s">
        <x:v>87</x:v>
      </x:c>
      <x:c r="AD16" s="117" t="inlineStr">
        <x:is>
          <x:t xml:space="preserve">不参与</x:t>
        </x:is>
      </x:c>
      <x:c r="AE16" s="6"/>
      <x:c r="AF16" s="6" t="inlineStr">
        <x:is>
          <x:t xml:space="preserve">不参与战斗平衡</x:t>
        </x:is>
      </x:c>
      <x:c r="AG16" s="6"/>
    </x:row>
    <x:row r="17" ht="21.950000762939453" customHeight="1">
      <x:c r="A17" s="14" t="str">
        <x:f>$V$10</x:f>
        <x:v>MODEL_BASE</x:v>
      </x:c>
      <x:c r="B17" s="14" t="str">
        <x:f>$W$10</x:f>
        <x:v>模型·标准小怪</x:v>
      </x:c>
      <x:c r="C17" s="6" t="str">
        <x:f>$X$10</x:f>
        <x:v>稻草人模型</x:v>
      </x:c>
      <x:c r="D17" s="6">
        <x:v>5</x:v>
      </x:c>
      <x:c r="E17" s="6">
        <x:v>10</x:v>
      </x:c>
      <x:c r="F17" s="12">
        <x:f>ROUND(J17*$W$4*H17,0)</x:f>
        <x:v>672</x:v>
      </x:c>
      <x:c r="G17" s="12">
        <x:f>ROUND(J17*$W$4*$W$5*I17,0)</x:f>
        <x:v>168</x:v>
      </x:c>
      <x:c r="H17" s="11" t="n">
        <x:f>$Y$10</x:f>
        <x:v>1</x:v>
      </x:c>
      <x:c r="I17" s="11" t="n">
        <x:f>$Z$10</x:f>
        <x:v>3.3333333333333335</x:v>
      </x:c>
      <x:c r="J17" s="12">
        <x:f>英雄升级调参!$E$70</x:f>
        <x:v>168</x:v>
      </x:c>
      <x:c r="K17" s="12">
        <x:f>英雄升级调参!$F$70</x:f>
        <x:v>1680</x:v>
      </x:c>
      <x:c r="L17" s="6" t="n">
        <x:f>ROUNDUP(F17/J17,0)</x:f>
        <x:v>4</x:v>
      </x:c>
      <x:c r="M17" s="6" t="n">
        <x:f>IF(G17=0,"无伤害",ROUNDUP(K17/MAX(1,ROUND(G17*$AC$10,0)),0))</x:f>
        <x:v>10</x:v>
      </x:c>
      <x:c r="N17" s="6">
        <x:f>ROUNDUP(F17/英雄升级调参!$H$70,0)</x:f>
        <x:v>2</x:v>
      </x:c>
      <x:c r="O17" s="6" t="n">
        <x:f>ROUNDUP(F17/英雄升级调参!$K$70,0)</x:f>
        <x:v>2</x:v>
      </x:c>
      <x:c r="P17" s="6" t="str">
        <x:f>$AA$10</x:f>
        <x:v>普通：4次标准普攻击杀；10次主要攻击致死</x:v>
      </x:c>
      <x:c r="Q17" s="6"/>
      <x:c r="R17" s="6"/>
      <x:c r="S17" s="6"/>
      <x:c r="T17" s="6"/>
      <x:c r="V17" s="6">
        <x:v>60004</x:v>
      </x:c>
      <x:c r="W17" s="6" t="s">
        <x:v>88</x:v>
      </x:c>
      <x:c r="X17" s="109" t="s">
        <x:v>89</x:v>
      </x:c>
      <x:c r="Y17" s="10">
        <x:v>0</x:v>
      </x:c>
      <x:c r="Z17" s="10">
        <x:v>0</x:v>
      </x:c>
      <x:c r="AA17" s="6" t="s">
        <x:v>90</x:v>
      </x:c>
      <x:c r="AB17" s="116" t="s">
        <x:v>91</x:v>
      </x:c>
      <x:c r="AC17" s="117" t="s">
        <x:v>87</x:v>
      </x:c>
      <x:c r="AD17" s="117" t="inlineStr">
        <x:is>
          <x:t xml:space="preserve">不参与</x:t>
        </x:is>
      </x:c>
      <x:c r="AE17" s="6"/>
      <x:c r="AF17" s="6" t="inlineStr">
        <x:is>
          <x:t xml:space="preserve">不参与战斗平衡</x:t>
        </x:is>
      </x:c>
      <x:c r="AG17" s="6"/>
    </x:row>
    <x:row r="18" ht="21.950000762939453" customHeight="1">
      <x:c r="A18" s="14" t="str">
        <x:f>$V$10</x:f>
        <x:v>MODEL_BASE</x:v>
      </x:c>
      <x:c r="B18" s="14" t="str">
        <x:f>$W$10</x:f>
        <x:v>模型·标准小怪</x:v>
      </x:c>
      <x:c r="C18" s="6" t="str">
        <x:f>$X$10</x:f>
        <x:v>稻草人模型</x:v>
      </x:c>
      <x:c r="D18" s="6">
        <x:v>6</x:v>
      </x:c>
      <x:c r="E18" s="6">
        <x:v>10</x:v>
      </x:c>
      <x:c r="F18" s="12">
        <x:f>ROUND(J18*$W$4*H18,0)</x:f>
        <x:v>780</x:v>
      </x:c>
      <x:c r="G18" s="12">
        <x:f>ROUND(J18*$W$4*$W$5*I18,0)</x:f>
        <x:v>195</x:v>
      </x:c>
      <x:c r="H18" s="11" t="n">
        <x:f>$Y$10</x:f>
        <x:v>1</x:v>
      </x:c>
      <x:c r="I18" s="11" t="n">
        <x:f>$Z$10</x:f>
        <x:v>3.3333333333333335</x:v>
      </x:c>
      <x:c r="J18" s="12">
        <x:f>英雄升级调参!$E$71</x:f>
        <x:v>195</x:v>
      </x:c>
      <x:c r="K18" s="12">
        <x:f>英雄升级调参!$F$71</x:f>
        <x:v>1950</x:v>
      </x:c>
      <x:c r="L18" s="6" t="n">
        <x:f>ROUNDUP(F18/J18,0)</x:f>
        <x:v>4</x:v>
      </x:c>
      <x:c r="M18" s="6" t="n">
        <x:f>IF(G18=0,"无伤害",ROUNDUP(K18/MAX(1,ROUND(G18*$AC$10,0)),0))</x:f>
        <x:v>10</x:v>
      </x:c>
      <x:c r="N18" s="6">
        <x:f>ROUNDUP(F18/英雄升级调参!$H$71,0)</x:f>
        <x:v>2</x:v>
      </x:c>
      <x:c r="O18" s="6" t="n">
        <x:f>ROUNDUP(F18/英雄升级调参!$K$71,0)</x:f>
        <x:v>2</x:v>
      </x:c>
      <x:c r="P18" s="6" t="str">
        <x:f>$AA$10</x:f>
        <x:v>普通：4次标准普攻击杀；10次主要攻击致死</x:v>
      </x:c>
      <x:c r="Q18" s="6"/>
      <x:c r="R18" s="6"/>
      <x:c r="S18" s="6"/>
      <x:c r="T18" s="6"/>
      <x:c r="V18" s="6">
        <x:v>60005</x:v>
      </x:c>
      <x:c r="W18" s="6" t="s">
        <x:v>92</x:v>
      </x:c>
      <x:c r="X18" s="109" t="s">
        <x:v>93</x:v>
      </x:c>
      <x:c r="Y18" s="112" t="n">
        <x:f>AB18/$W$4</x:f>
        <x:v>0.75</x:v>
      </x:c>
      <x:c r="Z18" s="10" t="n">
        <x:f>英雄升级调参!$C$11/$W$4/$W$5/$AD$18/$AC$18</x:f>
        <x:v>3.3333333333333335</x:v>
      </x:c>
      <x:c r="AA18" s="109" t="inlineStr">
        <x:is>
          <x:t xml:space="preserve">普通：3次标准普攻击杀；10次主要攻击致死</x:t>
        </x:is>
      </x:c>
      <x:c r="AB18" s="116">
        <x:v>3</x:v>
      </x:c>
      <x:c r="AC18" s="117">
        <x:v>1</x:v>
      </x:c>
      <x:c r="AD18" s="117">
        <x:v>10</x:v>
      </x:c>
      <x:c r="AE18" s="6">
        <x:v>1021</x:v>
      </x:c>
      <x:c r="AF18" s="6" t="inlineStr">
        <x:is>
          <x:t xml:space="preserve">刺击</x:t>
        </x:is>
      </x:c>
      <x:c r="AG18" s="6"/>
    </x:row>
    <x:row r="19" ht="21.950000762939453" customHeight="1">
      <x:c r="A19" s="14" t="str">
        <x:f>$V$10</x:f>
        <x:v>MODEL_BASE</x:v>
      </x:c>
      <x:c r="B19" s="14" t="str">
        <x:f>$W$10</x:f>
        <x:v>模型·标准小怪</x:v>
      </x:c>
      <x:c r="C19" s="6" t="str">
        <x:f>$X$10</x:f>
        <x:v>稻草人模型</x:v>
      </x:c>
      <x:c r="D19" s="6">
        <x:v>7</x:v>
      </x:c>
      <x:c r="E19" s="6">
        <x:v>10</x:v>
      </x:c>
      <x:c r="F19" s="12">
        <x:f>ROUND(J19*$W$4*H19,0)</x:f>
        <x:v>888</x:v>
      </x:c>
      <x:c r="G19" s="12">
        <x:f>ROUND(J19*$W$4*$W$5*I19,0)</x:f>
        <x:v>222</x:v>
      </x:c>
      <x:c r="H19" s="11" t="n">
        <x:f>$Y$10</x:f>
        <x:v>1</x:v>
      </x:c>
      <x:c r="I19" s="11" t="n">
        <x:f>$Z$10</x:f>
        <x:v>3.3333333333333335</x:v>
      </x:c>
      <x:c r="J19" s="12">
        <x:f>英雄升级调参!$E$72</x:f>
        <x:v>222</x:v>
      </x:c>
      <x:c r="K19" s="12">
        <x:f>英雄升级调参!$F$72</x:f>
        <x:v>2220</x:v>
      </x:c>
      <x:c r="L19" s="6" t="n">
        <x:f>ROUNDUP(F19/J19,0)</x:f>
        <x:v>4</x:v>
      </x:c>
      <x:c r="M19" s="6" t="n">
        <x:f>IF(G19=0,"无伤害",ROUNDUP(K19/MAX(1,ROUND(G19*$AC$10,0)),0))</x:f>
        <x:v>10</x:v>
      </x:c>
      <x:c r="N19" s="6" t="n">
        <x:f>ROUNDUP(F19/英雄升级调参!$H$72,0)</x:f>
        <x:v>3</x:v>
      </x:c>
      <x:c r="O19" s="6" t="n">
        <x:f>ROUNDUP(F19/英雄升级调参!$K$72,0)</x:f>
        <x:v>2</x:v>
      </x:c>
      <x:c r="P19" s="6" t="str">
        <x:f>$AA$10</x:f>
        <x:v>普通：4次标准普攻击杀；10次主要攻击致死</x:v>
      </x:c>
      <x:c r="Q19" s="6"/>
      <x:c r="R19" s="6"/>
      <x:c r="S19" s="6"/>
      <x:c r="T19" s="6"/>
      <x:c r="V19" s="6">
        <x:v>60006</x:v>
      </x:c>
      <x:c r="W19" s="6" t="s">
        <x:v>94</x:v>
      </x:c>
      <x:c r="X19" s="109" t="s">
        <x:v>95</x:v>
      </x:c>
      <x:c r="Y19" s="112" t="n">
        <x:f>AB19/$W$4</x:f>
        <x:v>0.75</x:v>
      </x:c>
      <x:c r="Z19" s="10" t="n">
        <x:f>英雄升级调参!$C$11/$W$4/$W$5/$AD$19/$AC$19</x:f>
        <x:v>3.3333333333333335</x:v>
      </x:c>
      <x:c r="AA19" s="109" t="inlineStr">
        <x:is>
          <x:t xml:space="preserve">普通：3次标准普攻击杀；10次主要攻击致死</x:t>
        </x:is>
      </x:c>
      <x:c r="AB19" s="116">
        <x:v>3</x:v>
      </x:c>
      <x:c r="AC19" s="117">
        <x:v>1</x:v>
      </x:c>
      <x:c r="AD19" s="117">
        <x:v>10</x:v>
      </x:c>
      <x:c r="AE19" s="6">
        <x:v>2008</x:v>
      </x:c>
      <x:c r="AF19" s="6" t="inlineStr">
        <x:is>
          <x:t xml:space="preserve">发射子弹</x:t>
        </x:is>
      </x:c>
      <x:c r="AG19" s="6"/>
    </x:row>
    <x:row r="20" ht="21.950000762939453" customHeight="1">
      <x:c r="A20" s="14" t="str">
        <x:f>$V$10</x:f>
        <x:v>MODEL_BASE</x:v>
      </x:c>
      <x:c r="B20" s="14" t="str">
        <x:f>$W$10</x:f>
        <x:v>模型·标准小怪</x:v>
      </x:c>
      <x:c r="C20" s="6" t="str">
        <x:f>$X$10</x:f>
        <x:v>稻草人模型</x:v>
      </x:c>
      <x:c r="D20" s="6">
        <x:v>8</x:v>
      </x:c>
      <x:c r="E20" s="6">
        <x:v>10</x:v>
      </x:c>
      <x:c r="F20" s="12">
        <x:f>ROUND(J20*$W$4*H20,0)</x:f>
        <x:v>996</x:v>
      </x:c>
      <x:c r="G20" s="12">
        <x:f>ROUND(J20*$W$4*$W$5*I20,0)</x:f>
        <x:v>249</x:v>
      </x:c>
      <x:c r="H20" s="11" t="n">
        <x:f>$Y$10</x:f>
        <x:v>1</x:v>
      </x:c>
      <x:c r="I20" s="11" t="n">
        <x:f>$Z$10</x:f>
        <x:v>3.3333333333333335</x:v>
      </x:c>
      <x:c r="J20" s="12">
        <x:f>英雄升级调参!$E$73</x:f>
        <x:v>249</x:v>
      </x:c>
      <x:c r="K20" s="12">
        <x:f>英雄升级调参!$F$73</x:f>
        <x:v>2490</x:v>
      </x:c>
      <x:c r="L20" s="6" t="n">
        <x:f>ROUNDUP(F20/J20,0)</x:f>
        <x:v>4</x:v>
      </x:c>
      <x:c r="M20" s="6" t="n">
        <x:f>IF(G20=0,"无伤害",ROUNDUP(K20/MAX(1,ROUND(G20*$AC$10,0)),0))</x:f>
        <x:v>10</x:v>
      </x:c>
      <x:c r="N20" s="6" t="n">
        <x:f>ROUNDUP(F20/英雄升级调参!$H$73,0)</x:f>
        <x:v>3</x:v>
      </x:c>
      <x:c r="O20" s="6" t="n">
        <x:f>ROUNDUP(F20/英雄升级调参!$K$73,0)</x:f>
        <x:v>2</x:v>
      </x:c>
      <x:c r="P20" s="6" t="str">
        <x:f>$AA$10</x:f>
        <x:v>普通：4次标准普攻击杀；10次主要攻击致死</x:v>
      </x:c>
      <x:c r="Q20" s="6"/>
      <x:c r="R20" s="6"/>
      <x:c r="S20" s="6"/>
      <x:c r="T20" s="6"/>
      <x:c r="V20" s="6">
        <x:v>60007</x:v>
      </x:c>
      <x:c r="W20" s="6" t="s">
        <x:v>96</x:v>
      </x:c>
      <x:c r="X20" s="109" t="s">
        <x:v>83</x:v>
      </x:c>
      <x:c r="Y20" s="112" t="n">
        <x:f>AB20/$W$4</x:f>
        <x:v>1</x:v>
      </x:c>
      <x:c r="Z20" s="10" t="n">
        <x:f>英雄升级调参!$C$11/$W$4/$W$5/$AD$20/$AC$20</x:f>
        <x:v>3.3333333333333335</x:v>
      </x:c>
      <x:c r="AA20" s="109" t="inlineStr">
        <x:is>
          <x:t xml:space="preserve">普通：4次标准普攻击杀；10次主要攻击致死</x:t>
        </x:is>
      </x:c>
      <x:c r="AB20" s="116">
        <x:v>4</x:v>
      </x:c>
      <x:c r="AC20" s="117">
        <x:v>1</x:v>
      </x:c>
      <x:c r="AD20" s="117">
        <x:v>10</x:v>
      </x:c>
      <x:c r="AE20" s="6">
        <x:v>1017</x:v>
      </x:c>
      <x:c r="AF20" s="6" t="inlineStr">
        <x:is>
          <x:t xml:space="preserve">碰撞攻击</x:t>
        </x:is>
      </x:c>
      <x:c r="AG20" s="6"/>
    </x:row>
    <x:row r="21" ht="21.950000762939453" customHeight="1">
      <x:c r="A21" s="14" t="str">
        <x:f>$V$10</x:f>
        <x:v>MODEL_BASE</x:v>
      </x:c>
      <x:c r="B21" s="14" t="str">
        <x:f>$W$10</x:f>
        <x:v>模型·标准小怪</x:v>
      </x:c>
      <x:c r="C21" s="6" t="str">
        <x:f>$X$10</x:f>
        <x:v>稻草人模型</x:v>
      </x:c>
      <x:c r="D21" s="6">
        <x:v>9</x:v>
      </x:c>
      <x:c r="E21" s="6">
        <x:v>10</x:v>
      </x:c>
      <x:c r="F21" s="12">
        <x:f>ROUND(J21*$W$4*H21,0)</x:f>
        <x:v>1104</x:v>
      </x:c>
      <x:c r="G21" s="12">
        <x:f>ROUND(J21*$W$4*$W$5*I21,0)</x:f>
        <x:v>276</x:v>
      </x:c>
      <x:c r="H21" s="11" t="n">
        <x:f>$Y$10</x:f>
        <x:v>1</x:v>
      </x:c>
      <x:c r="I21" s="11" t="n">
        <x:f>$Z$10</x:f>
        <x:v>3.3333333333333335</x:v>
      </x:c>
      <x:c r="J21" s="12">
        <x:f>英雄升级调参!$E$74</x:f>
        <x:v>276</x:v>
      </x:c>
      <x:c r="K21" s="12">
        <x:f>英雄升级调参!$F$74</x:f>
        <x:v>2760</x:v>
      </x:c>
      <x:c r="L21" s="6" t="n">
        <x:f>ROUNDUP(F21/J21,0)</x:f>
        <x:v>4</x:v>
      </x:c>
      <x:c r="M21" s="6" t="n">
        <x:f>IF(G21=0,"无伤害",ROUNDUP(K21/MAX(1,ROUND(G21*$AC$10,0)),0))</x:f>
        <x:v>10</x:v>
      </x:c>
      <x:c r="N21" s="6" t="n">
        <x:f>ROUNDUP(F21/英雄升级调参!$H$74,0)</x:f>
        <x:v>3</x:v>
      </x:c>
      <x:c r="O21" s="6" t="n">
        <x:f>ROUNDUP(F21/英雄升级调参!$K$74,0)</x:f>
        <x:v>2</x:v>
      </x:c>
      <x:c r="P21" s="6" t="str">
        <x:f>$AA$10</x:f>
        <x:v>普通：4次标准普攻击杀；10次主要攻击致死</x:v>
      </x:c>
      <x:c r="Q21" s="6"/>
      <x:c r="R21" s="6"/>
      <x:c r="S21" s="6"/>
      <x:c r="T21" s="6"/>
      <x:c r="V21" s="6">
        <x:v>60008</x:v>
      </x:c>
      <x:c r="W21" s="6" t="s">
        <x:v>97</x:v>
      </x:c>
      <x:c r="X21" s="109" t="s">
        <x:v>98</x:v>
      </x:c>
      <x:c r="Y21" s="112" t="n">
        <x:f>AB21/$W$4</x:f>
        <x:v>1</x:v>
      </x:c>
      <x:c r="Z21" s="10" t="n">
        <x:f>英雄升级调参!$C$11/$W$4/$W$5/$AD$21/$AC$21</x:f>
        <x:v>3.3333333333333335</x:v>
      </x:c>
      <x:c r="AA21" s="109" t="inlineStr">
        <x:is>
          <x:t xml:space="preserve">普通：4次标准普攻击杀；10次主要攻击致死</x:t>
        </x:is>
      </x:c>
      <x:c r="AB21" s="116">
        <x:v>4</x:v>
      </x:c>
      <x:c r="AC21" s="117">
        <x:v>1</x:v>
      </x:c>
      <x:c r="AD21" s="117">
        <x:v>10</x:v>
      </x:c>
      <x:c r="AE21" s="6">
        <x:v>1017</x:v>
      </x:c>
      <x:c r="AF21" s="6" t="inlineStr">
        <x:is>
          <x:t xml:space="preserve">普通咬击</x:t>
        </x:is>
      </x:c>
      <x:c r="AG21" s="6"/>
    </x:row>
    <x:row r="22" ht="21.950000762939453" customHeight="1">
      <x:c r="A22" s="14" t="str">
        <x:f>$V$10</x:f>
        <x:v>MODEL_BASE</x:v>
      </x:c>
      <x:c r="B22" s="14" t="str">
        <x:f>$W$10</x:f>
        <x:v>模型·标准小怪</x:v>
      </x:c>
      <x:c r="C22" s="6" t="str">
        <x:f>$X$10</x:f>
        <x:v>稻草人模型</x:v>
      </x:c>
      <x:c r="D22" s="6">
        <x:v>10</x:v>
      </x:c>
      <x:c r="E22" s="6">
        <x:v>10</x:v>
      </x:c>
      <x:c r="F22" s="12">
        <x:f>ROUND(J22*$W$4*H22,0)</x:f>
        <x:v>1428</x:v>
      </x:c>
      <x:c r="G22" s="12">
        <x:f>ROUND(J22*$W$4*$W$5*I22,0)</x:f>
        <x:v>357</x:v>
      </x:c>
      <x:c r="H22" s="11" t="n">
        <x:f>$Y$10</x:f>
        <x:v>1</x:v>
      </x:c>
      <x:c r="I22" s="11" t="n">
        <x:f>$Z$10</x:f>
        <x:v>3.3333333333333335</x:v>
      </x:c>
      <x:c r="J22" s="12">
        <x:f>英雄升级调参!$E$75</x:f>
        <x:v>357</x:v>
      </x:c>
      <x:c r="K22" s="12">
        <x:f>英雄升级调参!$F$75</x:f>
        <x:v>3570</x:v>
      </x:c>
      <x:c r="L22" s="6" t="n">
        <x:f>ROUNDUP(F22/J22,0)</x:f>
        <x:v>4</x:v>
      </x:c>
      <x:c r="M22" s="6" t="n">
        <x:f>IF(G22=0,"无伤害",ROUNDUP(K22/MAX(1,ROUND(G22*$AC$10,0)),0))</x:f>
        <x:v>10</x:v>
      </x:c>
      <x:c r="N22" s="6" t="n">
        <x:f>ROUNDUP(F22/英雄升级调参!$H$75,0)</x:f>
        <x:v>3</x:v>
      </x:c>
      <x:c r="O22" s="6" t="n">
        <x:f>ROUNDUP(F22/英雄升级调参!$K$75,0)</x:f>
        <x:v>2</x:v>
      </x:c>
      <x:c r="P22" s="6" t="str">
        <x:f>$AA$10</x:f>
        <x:v>普通：4次标准普攻击杀；10次主要攻击致死</x:v>
      </x:c>
      <x:c r="Q22" s="6"/>
      <x:c r="R22" s="6"/>
      <x:c r="S22" s="6"/>
      <x:c r="T22" s="6"/>
      <x:c r="V22" s="6">
        <x:v>60009</x:v>
      </x:c>
      <x:c r="W22" s="6" t="s">
        <x:v>99</x:v>
      </x:c>
      <x:c r="X22" s="109" t="inlineStr">
        <x:is>
          <x:t xml:space="preserve">精英</x:t>
        </x:is>
      </x:c>
      <x:c r="Y22" s="112" t="n">
        <x:f>AB22/$W$4</x:f>
        <x:v>3.75</x:v>
      </x:c>
      <x:c r="Z22" s="112" t="n">
        <x:f>英雄升级调参!$C$11/$W$4/$W$5/$AD$22/$AC$22</x:f>
        <x:v>22.22222222222222</x:v>
      </x:c>
      <x:c r="AA22" s="109" t="inlineStr">
        <x:is>
          <x:t xml:space="preserve">精英：15次标准普攻击杀；7.5次主要攻击致死</x:t>
        </x:is>
      </x:c>
      <x:c r="AB22" s="116">
        <x:v>15</x:v>
      </x:c>
      <x:c r="AC22" s="117">
        <x:v>0.2</x:v>
      </x:c>
      <x:c r="AD22" s="117">
        <x:v>7.5</x:v>
      </x:c>
      <x:c r="AE22" s="6">
        <x:v>1004</x:v>
      </x:c>
      <x:c r="AF22" s="6" t="inlineStr">
        <x:is>
          <x:t xml:space="preserve">滚动接触</x:t>
        </x:is>
      </x:c>
      <x:c r="AG22" s="6"/>
    </x:row>
    <x:row r="23" ht="21.950000762939453" customHeight="1">
      <x:c r="A23" s="14" t="str">
        <x:f>$V$10</x:f>
        <x:v>MODEL_BASE</x:v>
      </x:c>
      <x:c r="B23" s="14" t="str">
        <x:f>$W$10</x:f>
        <x:v>模型·标准小怪</x:v>
      </x:c>
      <x:c r="C23" s="6" t="str">
        <x:f>$X$10</x:f>
        <x:v>稻草人模型</x:v>
      </x:c>
      <x:c r="D23" s="6">
        <x:v>11</x:v>
      </x:c>
      <x:c r="E23" s="6">
        <x:v>10</x:v>
      </x:c>
      <x:c r="F23" s="12">
        <x:f>ROUND(J23*$W$4*H23,0)</x:f>
        <x:v>1572</x:v>
      </x:c>
      <x:c r="G23" s="12">
        <x:f>ROUND(J23*$W$4*$W$5*I23,0)</x:f>
        <x:v>393</x:v>
      </x:c>
      <x:c r="H23" s="11" t="n">
        <x:f>$Y$10</x:f>
        <x:v>1</x:v>
      </x:c>
      <x:c r="I23" s="11" t="n">
        <x:f>$Z$10</x:f>
        <x:v>3.3333333333333335</x:v>
      </x:c>
      <x:c r="J23" s="12">
        <x:f>英雄升级调参!$E$76</x:f>
        <x:v>393</x:v>
      </x:c>
      <x:c r="K23" s="12">
        <x:f>英雄升级调参!$F$76</x:f>
        <x:v>3930</x:v>
      </x:c>
      <x:c r="L23" s="6" t="n">
        <x:f>ROUNDUP(F23/J23,0)</x:f>
        <x:v>4</x:v>
      </x:c>
      <x:c r="M23" s="6" t="n">
        <x:f>IF(G23=0,"无伤害",ROUNDUP(K23/MAX(1,ROUND(G23*$AC$10,0)),0))</x:f>
        <x:v>10</x:v>
      </x:c>
      <x:c r="N23" s="6" t="n">
        <x:f>ROUNDUP(F23/英雄升级调参!$H$76,0)</x:f>
        <x:v>3</x:v>
      </x:c>
      <x:c r="O23" s="6" t="n">
        <x:f>ROUNDUP(F23/英雄升级调参!$K$76,0)</x:f>
        <x:v>2</x:v>
      </x:c>
      <x:c r="P23" s="6" t="str">
        <x:f>$AA$10</x:f>
        <x:v>普通：4次标准普攻击杀；10次主要攻击致死</x:v>
      </x:c>
      <x:c r="Q23" s="6"/>
      <x:c r="R23" s="6"/>
      <x:c r="S23" s="6"/>
      <x:c r="T23" s="6"/>
      <x:c r="V23" s="6">
        <x:v>60010</x:v>
      </x:c>
      <x:c r="W23" s="6" t="s">
        <x:v>100</x:v>
      </x:c>
      <x:c r="X23" s="109" t="inlineStr">
        <x:is>
          <x:t xml:space="preserve">精英</x:t>
        </x:is>
      </x:c>
      <x:c r="Y23" s="112" t="n">
        <x:f>AB23/$W$4</x:f>
        <x:v>3.75</x:v>
      </x:c>
      <x:c r="Z23" s="112" t="n">
        <x:f>英雄升级调参!$C$11/$W$4/$W$5/$AD$23/$AC$23</x:f>
        <x:v>4.444444444444445</x:v>
      </x:c>
      <x:c r="AA23" s="109" t="inlineStr">
        <x:is>
          <x:t xml:space="preserve">精英：15次标准普攻击杀；7.5次主要攻击致死</x:t>
        </x:is>
      </x:c>
      <x:c r="AB23" s="116">
        <x:v>15</x:v>
      </x:c>
      <x:c r="AC23" s="117">
        <x:v>1</x:v>
      </x:c>
      <x:c r="AD23" s="117">
        <x:v>7.5</x:v>
      </x:c>
      <x:c r="AE23" s="6">
        <x:v>1005</x:v>
      </x:c>
      <x:c r="AF23" s="6" t="inlineStr">
        <x:is>
          <x:t xml:space="preserve">双刀单次命中</x:t>
        </x:is>
      </x:c>
      <x:c r="AG23" s="6"/>
    </x:row>
    <x:row r="24" ht="21.950000762939453" customHeight="1">
      <x:c r="A24" s="14" t="str">
        <x:f>$V$10</x:f>
        <x:v>MODEL_BASE</x:v>
      </x:c>
      <x:c r="B24" s="14" t="str">
        <x:f>$W$10</x:f>
        <x:v>模型·标准小怪</x:v>
      </x:c>
      <x:c r="C24" s="6" t="str">
        <x:f>$X$10</x:f>
        <x:v>稻草人模型</x:v>
      </x:c>
      <x:c r="D24" s="6">
        <x:v>12</x:v>
      </x:c>
      <x:c r="E24" s="6">
        <x:v>10</x:v>
      </x:c>
      <x:c r="F24" s="12">
        <x:f>ROUND(J24*$W$4*H24,0)</x:f>
        <x:v>1716</x:v>
      </x:c>
      <x:c r="G24" s="12">
        <x:f>ROUND(J24*$W$4*$W$5*I24,0)</x:f>
        <x:v>429</x:v>
      </x:c>
      <x:c r="H24" s="11" t="n">
        <x:f>$Y$10</x:f>
        <x:v>1</x:v>
      </x:c>
      <x:c r="I24" s="11" t="n">
        <x:f>$Z$10</x:f>
        <x:v>3.3333333333333335</x:v>
      </x:c>
      <x:c r="J24" s="12">
        <x:f>英雄升级调参!$E$77</x:f>
        <x:v>429</x:v>
      </x:c>
      <x:c r="K24" s="12">
        <x:f>英雄升级调参!$F$77</x:f>
        <x:v>4290</x:v>
      </x:c>
      <x:c r="L24" s="6" t="n">
        <x:f>ROUNDUP(F24/J24,0)</x:f>
        <x:v>4</x:v>
      </x:c>
      <x:c r="M24" s="6" t="n">
        <x:f>IF(G24=0,"无伤害",ROUNDUP(K24/MAX(1,ROUND(G24*$AC$10,0)),0))</x:f>
        <x:v>10</x:v>
      </x:c>
      <x:c r="N24" s="6" t="n">
        <x:f>ROUNDUP(F24/英雄升级调参!$H$77,0)</x:f>
        <x:v>3</x:v>
      </x:c>
      <x:c r="O24" s="6" t="n">
        <x:f>ROUNDUP(F24/英雄升级调参!$K$77,0)</x:f>
        <x:v>2</x:v>
      </x:c>
      <x:c r="P24" s="6" t="str">
        <x:f>$AA$10</x:f>
        <x:v>普通：4次标准普攻击杀；10次主要攻击致死</x:v>
      </x:c>
      <x:c r="Q24" s="6"/>
      <x:c r="R24" s="6"/>
      <x:c r="S24" s="6"/>
      <x:c r="T24" s="6"/>
      <x:c r="V24" s="6">
        <x:v>60011</x:v>
      </x:c>
      <x:c r="W24" s="6" t="s">
        <x:v>101</x:v>
      </x:c>
      <x:c r="X24" s="109" t="inlineStr">
        <x:is>
          <x:t xml:space="preserve">精英</x:t>
        </x:is>
      </x:c>
      <x:c r="Y24" s="112" t="n">
        <x:f>AB24/$W$4</x:f>
        <x:v>3.75</x:v>
      </x:c>
      <x:c r="Z24" s="10" t="n">
        <x:f>英雄升级调参!$C$11/$W$4/$W$5/$AD$24/$AC$24</x:f>
        <x:v>4.444444444444445</x:v>
      </x:c>
      <x:c r="AA24" s="109" t="inlineStr">
        <x:is>
          <x:t xml:space="preserve">精英：15次标准普攻击杀；7.5次主要攻击致死</x:t>
        </x:is>
      </x:c>
      <x:c r="AB24" s="116">
        <x:v>15</x:v>
      </x:c>
      <x:c r="AC24" s="117">
        <x:v>1</x:v>
      </x:c>
      <x:c r="AD24" s="117">
        <x:v>7.5</x:v>
      </x:c>
      <x:c r="AE24" s="6">
        <x:v>2009</x:v>
      </x:c>
      <x:c r="AF24" s="6" t="inlineStr">
        <x:is>
          <x:t xml:space="preserve">发射子弹</x:t>
        </x:is>
      </x:c>
      <x:c r="AG24" s="6"/>
    </x:row>
    <x:row r="25" ht="21.950000762939453" customHeight="1">
      <x:c r="A25" s="14" t="str">
        <x:f>$V$10</x:f>
        <x:v>MODEL_BASE</x:v>
      </x:c>
      <x:c r="B25" s="14" t="str">
        <x:f>$W$10</x:f>
        <x:v>模型·标准小怪</x:v>
      </x:c>
      <x:c r="C25" s="6" t="str">
        <x:f>$X$10</x:f>
        <x:v>稻草人模型</x:v>
      </x:c>
      <x:c r="D25" s="6">
        <x:v>13</x:v>
      </x:c>
      <x:c r="E25" s="6">
        <x:v>10</x:v>
      </x:c>
      <x:c r="F25" s="12">
        <x:f>ROUND(J25*$W$4*H25,0)</x:f>
        <x:v>1860</x:v>
      </x:c>
      <x:c r="G25" s="12">
        <x:f>ROUND(J25*$W$4*$W$5*I25,0)</x:f>
        <x:v>465</x:v>
      </x:c>
      <x:c r="H25" s="11" t="n">
        <x:f>$Y$10</x:f>
        <x:v>1</x:v>
      </x:c>
      <x:c r="I25" s="11" t="n">
        <x:f>$Z$10</x:f>
        <x:v>3.3333333333333335</x:v>
      </x:c>
      <x:c r="J25" s="12">
        <x:f>英雄升级调参!$E$78</x:f>
        <x:v>465</x:v>
      </x:c>
      <x:c r="K25" s="12">
        <x:f>英雄升级调参!$F$78</x:f>
        <x:v>4650</x:v>
      </x:c>
      <x:c r="L25" s="6" t="n">
        <x:f>ROUNDUP(F25/J25,0)</x:f>
        <x:v>4</x:v>
      </x:c>
      <x:c r="M25" s="6" t="n">
        <x:f>IF(G25=0,"无伤害",ROUNDUP(K25/MAX(1,ROUND(G25*$AC$10,0)),0))</x:f>
        <x:v>10</x:v>
      </x:c>
      <x:c r="N25" s="6" t="n">
        <x:f>ROUNDUP(F25/英雄升级调参!$H$78,0)</x:f>
        <x:v>3</x:v>
      </x:c>
      <x:c r="O25" s="6" t="n">
        <x:f>ROUNDUP(F25/英雄升级调参!$K$78,0)</x:f>
        <x:v>2</x:v>
      </x:c>
      <x:c r="P25" s="6" t="str">
        <x:f>$AA$10</x:f>
        <x:v>普通：4次标准普攻击杀；10次主要攻击致死</x:v>
      </x:c>
      <x:c r="Q25" s="6"/>
      <x:c r="R25" s="6"/>
      <x:c r="S25" s="6"/>
      <x:c r="T25" s="6"/>
      <x:c r="V25" s="6">
        <x:v>60012</x:v>
      </x:c>
      <x:c r="W25" s="6" t="s">
        <x:v>102</x:v>
      </x:c>
      <x:c r="X25" s="109" t="s">
        <x:v>98</x:v>
      </x:c>
      <x:c r="Y25" s="112" t="n">
        <x:f>AB25/$W$4</x:f>
        <x:v>1</x:v>
      </x:c>
      <x:c r="Z25" s="10" t="n">
        <x:f>英雄升级调参!$C$11/$W$4/$W$5/$AD$25/$AC$25</x:f>
        <x:v>1.1111111111111112</x:v>
      </x:c>
      <x:c r="AA25" s="109" t="inlineStr">
        <x:is>
          <x:t xml:space="preserve">普通：4次标准普攻击杀；10次主要攻击致死</x:t>
        </x:is>
      </x:c>
      <x:c r="AB25" s="116">
        <x:v>4</x:v>
      </x:c>
      <x:c r="AC25" s="117">
        <x:v>3</x:v>
      </x:c>
      <x:c r="AD25" s="117">
        <x:v>10</x:v>
      </x:c>
      <x:c r="AE25" s="6">
        <x:v>1009</x:v>
      </x:c>
      <x:c r="AF25" s="6" t="inlineStr">
        <x:is>
          <x:t xml:space="preserve">自爆</x:t>
        </x:is>
      </x:c>
      <x:c r="AG25" s="6"/>
    </x:row>
    <x:row r="26" ht="21.950000762939453" customHeight="1">
      <x:c r="A26" s="14" t="str">
        <x:f>$V$10</x:f>
        <x:v>MODEL_BASE</x:v>
      </x:c>
      <x:c r="B26" s="14" t="str">
        <x:f>$W$10</x:f>
        <x:v>模型·标准小怪</x:v>
      </x:c>
      <x:c r="C26" s="6" t="str">
        <x:f>$X$10</x:f>
        <x:v>稻草人模型</x:v>
      </x:c>
      <x:c r="D26" s="6">
        <x:v>14</x:v>
      </x:c>
      <x:c r="E26" s="6">
        <x:v>10</x:v>
      </x:c>
      <x:c r="F26" s="12">
        <x:f>ROUND(J26*$W$4*H26,0)</x:f>
        <x:v>2004</x:v>
      </x:c>
      <x:c r="G26" s="12">
        <x:f>ROUND(J26*$W$4*$W$5*I26,0)</x:f>
        <x:v>501</x:v>
      </x:c>
      <x:c r="H26" s="11" t="n">
        <x:f>$Y$10</x:f>
        <x:v>1</x:v>
      </x:c>
      <x:c r="I26" s="11" t="n">
        <x:f>$Z$10</x:f>
        <x:v>3.3333333333333335</x:v>
      </x:c>
      <x:c r="J26" s="12">
        <x:f>英雄升级调参!$E$79</x:f>
        <x:v>501</x:v>
      </x:c>
      <x:c r="K26" s="12">
        <x:f>英雄升级调参!$F$79</x:f>
        <x:v>5010</x:v>
      </x:c>
      <x:c r="L26" s="6" t="n">
        <x:f>ROUNDUP(F26/J26,0)</x:f>
        <x:v>4</x:v>
      </x:c>
      <x:c r="M26" s="6" t="n">
        <x:f>IF(G26=0,"无伤害",ROUNDUP(K26/MAX(1,ROUND(G26*$AC$10,0)),0))</x:f>
        <x:v>10</x:v>
      </x:c>
      <x:c r="N26" s="6" t="n">
        <x:f>ROUNDUP(F26/英雄升级调参!$H$79,0)</x:f>
        <x:v>3</x:v>
      </x:c>
      <x:c r="O26" s="6" t="n">
        <x:f>ROUNDUP(F26/英雄升级调参!$K$79,0)</x:f>
        <x:v>2</x:v>
      </x:c>
      <x:c r="P26" s="6" t="str">
        <x:f>$AA$10</x:f>
        <x:v>普通：4次标准普攻击杀；10次主要攻击致死</x:v>
      </x:c>
      <x:c r="Q26" s="6"/>
      <x:c r="R26" s="6"/>
      <x:c r="S26" s="6"/>
      <x:c r="T26" s="6"/>
      <x:c r="V26" s="6">
        <x:v>60013</x:v>
      </x:c>
      <x:c r="W26" s="6" t="s">
        <x:v>103</x:v>
      </x:c>
      <x:c r="X26" s="109" t="s">
        <x:v>95</x:v>
      </x:c>
      <x:c r="Y26" s="112" t="n">
        <x:f>AB26/$W$4</x:f>
        <x:v>0.75</x:v>
      </x:c>
      <x:c r="Z26" s="10" t="n">
        <x:f>英雄升级调参!$C$11/$W$4/$W$5/$AD$26/$AC$26</x:f>
        <x:v>3.3333333333333335</x:v>
      </x:c>
      <x:c r="AA26" s="109" t="inlineStr">
        <x:is>
          <x:t xml:space="preserve">普通：3次标准普攻击杀；10次主要攻击致死</x:t>
        </x:is>
      </x:c>
      <x:c r="AB26" s="116">
        <x:v>3</x:v>
      </x:c>
      <x:c r="AC26" s="117">
        <x:v>1</x:v>
      </x:c>
      <x:c r="AD26" s="117">
        <x:v>10</x:v>
      </x:c>
      <x:c r="AE26" s="6">
        <x:v>2010</x:v>
      </x:c>
      <x:c r="AF26" s="6" t="inlineStr">
        <x:is>
          <x:t xml:space="preserve">发射炮弹</x:t>
        </x:is>
      </x:c>
      <x:c r="AG26" s="6"/>
    </x:row>
    <x:row r="27" ht="21.950000762939453" customHeight="1">
      <x:c r="A27" s="14" t="str">
        <x:f>$V$10</x:f>
        <x:v>MODEL_BASE</x:v>
      </x:c>
      <x:c r="B27" s="14" t="str">
        <x:f>$W$10</x:f>
        <x:v>模型·标准小怪</x:v>
      </x:c>
      <x:c r="C27" s="6" t="str">
        <x:f>$X$10</x:f>
        <x:v>稻草人模型</x:v>
      </x:c>
      <x:c r="D27" s="6">
        <x:v>15</x:v>
      </x:c>
      <x:c r="E27" s="6">
        <x:v>10</x:v>
      </x:c>
      <x:c r="F27" s="12">
        <x:f>ROUND(J27*$W$4*H27,0)</x:f>
        <x:v>2436</x:v>
      </x:c>
      <x:c r="G27" s="12">
        <x:f>ROUND(J27*$W$4*$W$5*I27,0)</x:f>
        <x:v>609</x:v>
      </x:c>
      <x:c r="H27" s="11" t="n">
        <x:f>$Y$10</x:f>
        <x:v>1</x:v>
      </x:c>
      <x:c r="I27" s="11" t="n">
        <x:f>$Z$10</x:f>
        <x:v>3.3333333333333335</x:v>
      </x:c>
      <x:c r="J27" s="12">
        <x:f>英雄升级调参!$E$80</x:f>
        <x:v>609</x:v>
      </x:c>
      <x:c r="K27" s="12">
        <x:f>英雄升级调参!$F$80</x:f>
        <x:v>6090</x:v>
      </x:c>
      <x:c r="L27" s="6" t="n">
        <x:f>ROUNDUP(F27/J27,0)</x:f>
        <x:v>4</x:v>
      </x:c>
      <x:c r="M27" s="6" t="n">
        <x:f>IF(G27=0,"无伤害",ROUNDUP(K27/MAX(1,ROUND(G27*$AC$10,0)),0))</x:f>
        <x:v>10</x:v>
      </x:c>
      <x:c r="N27" s="6" t="n">
        <x:f>ROUNDUP(F27/英雄升级调参!$H$80,0)</x:f>
        <x:v>3</x:v>
      </x:c>
      <x:c r="O27" s="6" t="n">
        <x:f>ROUNDUP(F27/英雄升级调参!$K$80,0)</x:f>
        <x:v>2</x:v>
      </x:c>
      <x:c r="P27" s="6" t="str">
        <x:f>$AA$10</x:f>
        <x:v>普通：4次标准普攻击杀；10次主要攻击致死</x:v>
      </x:c>
      <x:c r="Q27" s="6"/>
      <x:c r="R27" s="6"/>
      <x:c r="S27" s="6"/>
      <x:c r="T27" s="6"/>
      <x:c r="V27" s="6">
        <x:v>60014</x:v>
      </x:c>
      <x:c r="W27" s="6" t="s">
        <x:v>104</x:v>
      </x:c>
      <x:c r="X27" s="109" t="s">
        <x:v>105</x:v>
      </x:c>
      <x:c r="Y27" s="112" t="s">
        <x:v>91</x:v>
      </x:c>
      <x:c r="Z27" s="112" t="s">
        <x:v>91</x:v>
      </x:c>
      <x:c r="AA27" s="109" t="s">
        <x:v>106</x:v>
      </x:c>
      <x:c r="AB27" s="116" t="s">
        <x:v>91</x:v>
      </x:c>
      <x:c r="AC27" s="117" t="s">
        <x:v>91</x:v>
      </x:c>
      <x:c r="AD27" s="117" t="inlineStr">
        <x:is>
          <x:t xml:space="preserve">不参与</x:t>
        </x:is>
      </x:c>
      <x:c r="AE27" s="6"/>
      <x:c r="AF27" s="6" t="inlineStr">
        <x:is>
          <x:t xml:space="preserve">不参与战斗平衡</x:t>
        </x:is>
      </x:c>
      <x:c r="AG27" s="6"/>
    </x:row>
    <x:row r="28" ht="21.950000762939453" customHeight="1">
      <x:c r="A28" s="14" t="str">
        <x:f>$V$10</x:f>
        <x:v>MODEL_BASE</x:v>
      </x:c>
      <x:c r="B28" s="14" t="str">
        <x:f>$W$10</x:f>
        <x:v>模型·标准小怪</x:v>
      </x:c>
      <x:c r="C28" s="6" t="str">
        <x:f>$X$10</x:f>
        <x:v>稻草人模型</x:v>
      </x:c>
      <x:c r="D28" s="6">
        <x:v>16</x:v>
      </x:c>
      <x:c r="E28" s="6">
        <x:v>10</x:v>
      </x:c>
      <x:c r="F28" s="12">
        <x:f>ROUND(J28*$W$4*H28,0)</x:f>
        <x:v>2616</x:v>
      </x:c>
      <x:c r="G28" s="12">
        <x:f>ROUND(J28*$W$4*$W$5*I28,0)</x:f>
        <x:v>654</x:v>
      </x:c>
      <x:c r="H28" s="11" t="n">
        <x:f>$Y$10</x:f>
        <x:v>1</x:v>
      </x:c>
      <x:c r="I28" s="11" t="n">
        <x:f>$Z$10</x:f>
        <x:v>3.3333333333333335</x:v>
      </x:c>
      <x:c r="J28" s="12">
        <x:f>英雄升级调参!$E$81</x:f>
        <x:v>654</x:v>
      </x:c>
      <x:c r="K28" s="12">
        <x:f>英雄升级调参!$F$81</x:f>
        <x:v>6540</x:v>
      </x:c>
      <x:c r="L28" s="6" t="n">
        <x:f>ROUNDUP(F28/J28,0)</x:f>
        <x:v>4</x:v>
      </x:c>
      <x:c r="M28" s="6" t="n">
        <x:f>IF(G28=0,"无伤害",ROUNDUP(K28/MAX(1,ROUND(G28*$AC$10,0)),0))</x:f>
        <x:v>10</x:v>
      </x:c>
      <x:c r="N28" s="6" t="n">
        <x:f>ROUNDUP(F28/英雄升级调参!$H$81,0)</x:f>
        <x:v>3</x:v>
      </x:c>
      <x:c r="O28" s="6" t="n">
        <x:f>ROUNDUP(F28/英雄升级调参!$K$81,0)</x:f>
        <x:v>2</x:v>
      </x:c>
      <x:c r="P28" s="6" t="str">
        <x:f>$AA$10</x:f>
        <x:v>普通：4次标准普攻击杀；10次主要攻击致死</x:v>
      </x:c>
      <x:c r="Q28" s="6"/>
      <x:c r="R28" s="6"/>
      <x:c r="S28" s="6"/>
      <x:c r="T28" s="6"/>
      <x:c r="V28" s="6">
        <x:v>60015</x:v>
      </x:c>
      <x:c r="W28" s="6" t="s">
        <x:v>107</x:v>
      </x:c>
      <x:c r="X28" s="109" t="inlineStr">
        <x:is>
          <x:t xml:space="preserve">精英</x:t>
        </x:is>
      </x:c>
      <x:c r="Y28" s="112" t="n">
        <x:f>AB28/$W$4</x:f>
        <x:v>3.75</x:v>
      </x:c>
      <x:c r="Z28" s="112" t="n">
        <x:f>英雄升级调参!$C$11/$W$4/$W$5/$AD$28/$AC$28</x:f>
        <x:v>4.444444444444445</x:v>
      </x:c>
      <x:c r="AA28" s="109" t="inlineStr">
        <x:is>
          <x:t xml:space="preserve">精英：15次标准普攻击杀；7.5次主要攻击致死</x:t>
        </x:is>
      </x:c>
      <x:c r="AB28" s="116">
        <x:v>15</x:v>
      </x:c>
      <x:c r="AC28" s="117">
        <x:v>1</x:v>
      </x:c>
      <x:c r="AD28" s="117">
        <x:v>7.5</x:v>
      </x:c>
      <x:c r="AE28" s="6">
        <x:v>1010</x:v>
      </x:c>
      <x:c r="AF28" s="6" t="inlineStr">
        <x:is>
          <x:t xml:space="preserve">砸击</x:t>
        </x:is>
      </x:c>
      <x:c r="AG28" s="6"/>
    </x:row>
    <x:row r="29" ht="21.950000762939453" customHeight="1">
      <x:c r="A29" s="14" t="str">
        <x:f>$V$10</x:f>
        <x:v>MODEL_BASE</x:v>
      </x:c>
      <x:c r="B29" s="14" t="str">
        <x:f>$W$10</x:f>
        <x:v>模型·标准小怪</x:v>
      </x:c>
      <x:c r="C29" s="6" t="str">
        <x:f>$X$10</x:f>
        <x:v>稻草人模型</x:v>
      </x:c>
      <x:c r="D29" s="6">
        <x:v>17</x:v>
      </x:c>
      <x:c r="E29" s="6">
        <x:v>10</x:v>
      </x:c>
      <x:c r="F29" s="12">
        <x:f>ROUND(J29*$W$4*H29,0)</x:f>
        <x:v>2796</x:v>
      </x:c>
      <x:c r="G29" s="12">
        <x:f>ROUND(J29*$W$4*$W$5*I29,0)</x:f>
        <x:v>699</x:v>
      </x:c>
      <x:c r="H29" s="11" t="n">
        <x:f>$Y$10</x:f>
        <x:v>1</x:v>
      </x:c>
      <x:c r="I29" s="11" t="n">
        <x:f>$Z$10</x:f>
        <x:v>3.3333333333333335</x:v>
      </x:c>
      <x:c r="J29" s="12">
        <x:f>英雄升级调参!$E$82</x:f>
        <x:v>699</x:v>
      </x:c>
      <x:c r="K29" s="12">
        <x:f>英雄升级调参!$F$82</x:f>
        <x:v>6990</x:v>
      </x:c>
      <x:c r="L29" s="6" t="n">
        <x:f>ROUNDUP(F29/J29,0)</x:f>
        <x:v>4</x:v>
      </x:c>
      <x:c r="M29" s="6" t="n">
        <x:f>IF(G29=0,"无伤害",ROUNDUP(K29/MAX(1,ROUND(G29*$AC$10,0)),0))</x:f>
        <x:v>10</x:v>
      </x:c>
      <x:c r="N29" s="6" t="n">
        <x:f>ROUNDUP(F29/英雄升级调参!$H$82,0)</x:f>
        <x:v>3</x:v>
      </x:c>
      <x:c r="O29" s="6" t="n">
        <x:f>ROUNDUP(F29/英雄升级调参!$K$82,0)</x:f>
        <x:v>2</x:v>
      </x:c>
      <x:c r="P29" s="6" t="str">
        <x:f>$AA$10</x:f>
        <x:v>普通：4次标准普攻击杀；10次主要攻击致死</x:v>
      </x:c>
      <x:c r="Q29" s="6"/>
      <x:c r="R29" s="6"/>
      <x:c r="S29" s="6"/>
      <x:c r="T29" s="6"/>
      <x:c r="V29" s="6">
        <x:v>60016</x:v>
      </x:c>
      <x:c r="W29" s="6" t="s">
        <x:v>108</x:v>
      </x:c>
      <x:c r="X29" s="109" t="inlineStr">
        <x:is>
          <x:t xml:space="preserve">精英</x:t>
        </x:is>
      </x:c>
      <x:c r="Y29" s="112" t="n">
        <x:f>AB29/$W$4</x:f>
        <x:v>3.75</x:v>
      </x:c>
      <x:c r="Z29" s="112" t="n">
        <x:f>英雄升级调参!$C$11/$W$4/$W$5/$AD$29/$AC$29</x:f>
        <x:v>4.444444444444445</x:v>
      </x:c>
      <x:c r="AA29" s="109" t="inlineStr">
        <x:is>
          <x:t xml:space="preserve">精英：15次标准普攻击杀；7.5次主要攻击致死</x:t>
        </x:is>
      </x:c>
      <x:c r="AB29" s="116">
        <x:v>15</x:v>
      </x:c>
      <x:c r="AC29" s="117">
        <x:v>1</x:v>
      </x:c>
      <x:c r="AD29" s="117">
        <x:v>7.5</x:v>
      </x:c>
      <x:c r="AE29" s="6">
        <x:v>1011</x:v>
      </x:c>
      <x:c r="AF29" s="6" t="inlineStr">
        <x:is>
          <x:t xml:space="preserve">攻击</x:t>
        </x:is>
      </x:c>
      <x:c r="AG29" s="6"/>
    </x:row>
    <x:row r="30" ht="21.950000762939453" customHeight="1">
      <x:c r="A30" s="14" t="str">
        <x:f>$V$10</x:f>
        <x:v>MODEL_BASE</x:v>
      </x:c>
      <x:c r="B30" s="14" t="str">
        <x:f>$W$10</x:f>
        <x:v>模型·标准小怪</x:v>
      </x:c>
      <x:c r="C30" s="6" t="str">
        <x:f>$X$10</x:f>
        <x:v>稻草人模型</x:v>
      </x:c>
      <x:c r="D30" s="6">
        <x:v>18</x:v>
      </x:c>
      <x:c r="E30" s="6">
        <x:v>10</x:v>
      </x:c>
      <x:c r="F30" s="12">
        <x:f>ROUND(J30*$W$4*H30,0)</x:f>
        <x:v>2976</x:v>
      </x:c>
      <x:c r="G30" s="12">
        <x:f>ROUND(J30*$W$4*$W$5*I30,0)</x:f>
        <x:v>744</x:v>
      </x:c>
      <x:c r="H30" s="11" t="n">
        <x:f>$Y$10</x:f>
        <x:v>1</x:v>
      </x:c>
      <x:c r="I30" s="11" t="n">
        <x:f>$Z$10</x:f>
        <x:v>3.3333333333333335</x:v>
      </x:c>
      <x:c r="J30" s="12">
        <x:f>英雄升级调参!$E$83</x:f>
        <x:v>744</x:v>
      </x:c>
      <x:c r="K30" s="12">
        <x:f>英雄升级调参!$F$83</x:f>
        <x:v>7440</x:v>
      </x:c>
      <x:c r="L30" s="6" t="n">
        <x:f>ROUNDUP(F30/J30,0)</x:f>
        <x:v>4</x:v>
      </x:c>
      <x:c r="M30" s="6" t="n">
        <x:f>IF(G30=0,"无伤害",ROUNDUP(K30/MAX(1,ROUND(G30*$AC$10,0)),0))</x:f>
        <x:v>10</x:v>
      </x:c>
      <x:c r="N30" s="6" t="n">
        <x:f>ROUNDUP(F30/英雄升级调参!$H$83,0)</x:f>
        <x:v>3</x:v>
      </x:c>
      <x:c r="O30" s="6" t="n">
        <x:f>ROUNDUP(F30/英雄升级调参!$K$83,0)</x:f>
        <x:v>2</x:v>
      </x:c>
      <x:c r="P30" s="6" t="str">
        <x:f>$AA$10</x:f>
        <x:v>普通：4次标准普攻击杀；10次主要攻击致死</x:v>
      </x:c>
      <x:c r="Q30" s="6"/>
      <x:c r="R30" s="6"/>
      <x:c r="S30" s="6"/>
      <x:c r="T30" s="6"/>
      <x:c r="V30" s="6">
        <x:v>60017</x:v>
      </x:c>
      <x:c r="W30" s="6" t="s">
        <x:v>109</x:v>
      </x:c>
      <x:c r="X30" s="109" t="inlineStr">
        <x:is>
          <x:t xml:space="preserve">精英</x:t>
        </x:is>
      </x:c>
      <x:c r="Y30" s="112" t="n">
        <x:f>AB30/$W$4</x:f>
        <x:v>3.75</x:v>
      </x:c>
      <x:c r="Z30" s="112" t="n">
        <x:f>英雄升级调参!$C$11/$W$4/$W$5/$AD$30/$AC$30</x:f>
        <x:v>2.9629629629629632</x:v>
      </x:c>
      <x:c r="AA30" s="109" t="inlineStr">
        <x:is>
          <x:t xml:space="preserve">精英：15次标准普攻击杀；7.5次主要攻击致死</x:t>
        </x:is>
      </x:c>
      <x:c r="AB30" s="116">
        <x:v>15</x:v>
      </x:c>
      <x:c r="AC30" s="117">
        <x:v>1.5</x:v>
      </x:c>
      <x:c r="AD30" s="117">
        <x:v>7.5</x:v>
      </x:c>
      <x:c r="AE30" s="6">
        <x:v>1012</x:v>
      </x:c>
      <x:c r="AF30" s="6" t="inlineStr">
        <x:is>
          <x:t xml:space="preserve">跳跃咬击</x:t>
        </x:is>
      </x:c>
      <x:c r="AG30" s="6"/>
    </x:row>
    <x:row r="31" ht="21.950000762939453" customHeight="1">
      <x:c r="A31" s="14" t="str">
        <x:f>$V$10</x:f>
        <x:v>MODEL_BASE</x:v>
      </x:c>
      <x:c r="B31" s="14" t="str">
        <x:f>$W$10</x:f>
        <x:v>模型·标准小怪</x:v>
      </x:c>
      <x:c r="C31" s="6" t="str">
        <x:f>$X$10</x:f>
        <x:v>稻草人模型</x:v>
      </x:c>
      <x:c r="D31" s="6">
        <x:v>19</x:v>
      </x:c>
      <x:c r="E31" s="6">
        <x:v>10</x:v>
      </x:c>
      <x:c r="F31" s="12">
        <x:f>ROUND(J31*$W$4*H31,0)</x:f>
        <x:v>3156</x:v>
      </x:c>
      <x:c r="G31" s="12">
        <x:f>ROUND(J31*$W$4*$W$5*I31,0)</x:f>
        <x:v>789</x:v>
      </x:c>
      <x:c r="H31" s="11" t="n">
        <x:f>$Y$10</x:f>
        <x:v>1</x:v>
      </x:c>
      <x:c r="I31" s="11" t="n">
        <x:f>$Z$10</x:f>
        <x:v>3.3333333333333335</x:v>
      </x:c>
      <x:c r="J31" s="12">
        <x:f>英雄升级调参!$E$84</x:f>
        <x:v>789</x:v>
      </x:c>
      <x:c r="K31" s="12">
        <x:f>英雄升级调参!$F$84</x:f>
        <x:v>7890</x:v>
      </x:c>
      <x:c r="L31" s="6" t="n">
        <x:f>ROUNDUP(F31/J31,0)</x:f>
        <x:v>4</x:v>
      </x:c>
      <x:c r="M31" s="6" t="n">
        <x:f>IF(G31=0,"无伤害",ROUNDUP(K31/MAX(1,ROUND(G31*$AC$10,0)),0))</x:f>
        <x:v>10</x:v>
      </x:c>
      <x:c r="N31" s="6" t="n">
        <x:f>ROUNDUP(F31/英雄升级调参!$H$84,0)</x:f>
        <x:v>3</x:v>
      </x:c>
      <x:c r="O31" s="6" t="n">
        <x:f>ROUNDUP(F31/英雄升级调参!$K$84,0)</x:f>
        <x:v>2</x:v>
      </x:c>
      <x:c r="P31" s="6" t="str">
        <x:f>$AA$10</x:f>
        <x:v>普通：4次标准普攻击杀；10次主要攻击致死</x:v>
      </x:c>
      <x:c r="Q31" s="6"/>
      <x:c r="R31" s="6"/>
      <x:c r="S31" s="6"/>
      <x:c r="T31" s="6"/>
      <x:c r="V31" s="6">
        <x:v>60018</x:v>
      </x:c>
      <x:c r="W31" s="6" t="s">
        <x:v>110</x:v>
      </x:c>
      <x:c r="X31" s="109" t="s">
        <x:v>93</x:v>
      </x:c>
      <x:c r="Y31" s="112" t="n">
        <x:f>AB31/$W$4</x:f>
        <x:v>0.75</x:v>
      </x:c>
      <x:c r="Z31" s="10" t="n">
        <x:f>英雄升级调参!$C$11/$W$4/$W$5/$AD$31/$AC$31</x:f>
        <x:v>3.3333333333333335</x:v>
      </x:c>
      <x:c r="AA31" s="109" t="inlineStr">
        <x:is>
          <x:t xml:space="preserve">普通：3次标准普攻击杀；10次主要攻击致死</x:t>
        </x:is>
      </x:c>
      <x:c r="AB31" s="116">
        <x:v>3</x:v>
      </x:c>
      <x:c r="AC31" s="117">
        <x:v>1</x:v>
      </x:c>
      <x:c r="AD31" s="117">
        <x:v>10</x:v>
      </x:c>
      <x:c r="AE31" s="6">
        <x:v>1013</x:v>
      </x:c>
      <x:c r="AF31" s="6" t="inlineStr">
        <x:is>
          <x:t xml:space="preserve">攻击</x:t>
        </x:is>
      </x:c>
      <x:c r="AG31" s="6"/>
    </x:row>
    <x:row r="32" ht="21.950000762939453" customHeight="1">
      <x:c r="A32" s="14" t="str">
        <x:f>$V$10</x:f>
        <x:v>MODEL_BASE</x:v>
      </x:c>
      <x:c r="B32" s="14" t="str">
        <x:f>$W$10</x:f>
        <x:v>模型·标准小怪</x:v>
      </x:c>
      <x:c r="C32" s="6" t="str">
        <x:f>$X$10</x:f>
        <x:v>稻草人模型</x:v>
      </x:c>
      <x:c r="D32" s="6">
        <x:v>20</x:v>
      </x:c>
      <x:c r="E32" s="6">
        <x:v>10</x:v>
      </x:c>
      <x:c r="F32" s="12">
        <x:f>ROUND(J32*$W$4*H32,0)</x:f>
        <x:v>3696</x:v>
      </x:c>
      <x:c r="G32" s="12">
        <x:f>ROUND(J32*$W$4*$W$5*I32,0)</x:f>
        <x:v>924</x:v>
      </x:c>
      <x:c r="H32" s="11" t="n">
        <x:f>$Y$10</x:f>
        <x:v>1</x:v>
      </x:c>
      <x:c r="I32" s="11" t="n">
        <x:f>$Z$10</x:f>
        <x:v>3.3333333333333335</x:v>
      </x:c>
      <x:c r="J32" s="12">
        <x:f>英雄升级调参!$E$85</x:f>
        <x:v>924</x:v>
      </x:c>
      <x:c r="K32" s="12">
        <x:f>英雄升级调参!$F$85</x:f>
        <x:v>9240</x:v>
      </x:c>
      <x:c r="L32" s="6" t="n">
        <x:f>ROUNDUP(F32/J32,0)</x:f>
        <x:v>4</x:v>
      </x:c>
      <x:c r="M32" s="6" t="n">
        <x:f>IF(G32=0,"无伤害",ROUNDUP(K32/MAX(1,ROUND(G32*$AC$10,0)),0))</x:f>
        <x:v>10</x:v>
      </x:c>
      <x:c r="N32" s="6" t="n">
        <x:f>ROUNDUP(F32/英雄升级调参!$H$85,0)</x:f>
        <x:v>3</x:v>
      </x:c>
      <x:c r="O32" s="6" t="n">
        <x:f>ROUNDUP(F32/英雄升级调参!$K$85,0)</x:f>
        <x:v>2</x:v>
      </x:c>
      <x:c r="P32" s="6" t="str">
        <x:f>$AA$10</x:f>
        <x:v>普通：4次标准普攻击杀；10次主要攻击致死</x:v>
      </x:c>
      <x:c r="Q32" s="6"/>
      <x:c r="R32" s="6"/>
      <x:c r="S32" s="6"/>
      <x:c r="T32" s="6"/>
      <x:c r="V32" s="6">
        <x:v>60019</x:v>
      </x:c>
      <x:c r="W32" s="6" t="s">
        <x:v>111</x:v>
      </x:c>
      <x:c r="X32" s="109" t="inlineStr">
        <x:is>
          <x:t xml:space="preserve">精英</x:t>
        </x:is>
      </x:c>
      <x:c r="Y32" s="112" t="n">
        <x:f>AB32/$W$4</x:f>
        <x:v>3.75</x:v>
      </x:c>
      <x:c r="Z32" s="112" t="n">
        <x:f>英雄升级调参!$C$11/$W$4/$W$5/$AD$32/$AC$32</x:f>
        <x:v>2.9629629629629632</x:v>
      </x:c>
      <x:c r="AA32" s="109" t="inlineStr">
        <x:is>
          <x:t xml:space="preserve">精英：15次标准普攻击杀；7.5次主要攻击致死</x:t>
        </x:is>
      </x:c>
      <x:c r="AB32" s="116">
        <x:v>15</x:v>
      </x:c>
      <x:c r="AC32" s="117">
        <x:v>1.5</x:v>
      </x:c>
      <x:c r="AD32" s="117">
        <x:v>7.5</x:v>
      </x:c>
      <x:c r="AE32" s="6">
        <x:v>1015</x:v>
      </x:c>
      <x:c r="AF32" s="6" t="inlineStr">
        <x:is>
          <x:t xml:space="preserve">近身攻击</x:t>
        </x:is>
      </x:c>
      <x:c r="AG32" s="6"/>
    </x:row>
    <x:row r="33" ht="21.950000762939453" customHeight="1">
      <x:c r="A33" s="14" t="str">
        <x:f>$V$10</x:f>
        <x:v>MODEL_BASE</x:v>
      </x:c>
      <x:c r="B33" s="14" t="str">
        <x:f>$W$10</x:f>
        <x:v>模型·标准小怪</x:v>
      </x:c>
      <x:c r="C33" s="6" t="str">
        <x:f>$X$10</x:f>
        <x:v>稻草人模型</x:v>
      </x:c>
      <x:c r="D33" s="6">
        <x:v>21</x:v>
      </x:c>
      <x:c r="E33" s="6">
        <x:v>10</x:v>
      </x:c>
      <x:c r="F33" s="12">
        <x:f>ROUND(J33*$W$4*H33,0)</x:f>
        <x:v>3912</x:v>
      </x:c>
      <x:c r="G33" s="12">
        <x:f>ROUND(J33*$W$4*$W$5*I33,0)</x:f>
        <x:v>978</x:v>
      </x:c>
      <x:c r="H33" s="11" t="n">
        <x:f>$Y$10</x:f>
        <x:v>1</x:v>
      </x:c>
      <x:c r="I33" s="11" t="n">
        <x:f>$Z$10</x:f>
        <x:v>3.3333333333333335</x:v>
      </x:c>
      <x:c r="J33" s="12">
        <x:f>英雄升级调参!$E$86</x:f>
        <x:v>978</x:v>
      </x:c>
      <x:c r="K33" s="12">
        <x:f>英雄升级调参!$F$86</x:f>
        <x:v>9780</x:v>
      </x:c>
      <x:c r="L33" s="6" t="n">
        <x:f>ROUNDUP(F33/J33,0)</x:f>
        <x:v>4</x:v>
      </x:c>
      <x:c r="M33" s="6" t="n">
        <x:f>IF(G33=0,"无伤害",ROUNDUP(K33/MAX(1,ROUND(G33*$AC$10,0)),0))</x:f>
        <x:v>10</x:v>
      </x:c>
      <x:c r="N33" s="6" t="n">
        <x:f>ROUNDUP(F33/英雄升级调参!$H$86,0)</x:f>
        <x:v>3</x:v>
      </x:c>
      <x:c r="O33" s="6" t="n">
        <x:f>ROUNDUP(F33/英雄升级调参!$K$86,0)</x:f>
        <x:v>2</x:v>
      </x:c>
      <x:c r="P33" s="6" t="str">
        <x:f>$AA$10</x:f>
        <x:v>普通：4次标准普攻击杀；10次主要攻击致死</x:v>
      </x:c>
      <x:c r="Q33" s="6"/>
      <x:c r="R33" s="6"/>
      <x:c r="S33" s="6"/>
      <x:c r="T33" s="6"/>
      <x:c r="V33" s="6">
        <x:v>60020</x:v>
      </x:c>
      <x:c r="W33" s="6" t="s">
        <x:v>112</x:v>
      </x:c>
      <x:c r="X33" s="109" t="s">
        <x:v>83</x:v>
      </x:c>
      <x:c r="Y33" s="112" t="n">
        <x:f>AB33/$W$4</x:f>
        <x:v>1</x:v>
      </x:c>
      <x:c r="Z33" s="10" t="n">
        <x:f>英雄升级调参!$C$11/$W$4/$W$5/$AD$33/$AC$33</x:f>
        <x:v>3.3333333333333335</x:v>
      </x:c>
      <x:c r="AA33" s="109" t="inlineStr">
        <x:is>
          <x:t xml:space="preserve">普通：4次标准普攻击杀；10次主要攻击致死</x:t>
        </x:is>
      </x:c>
      <x:c r="AB33" s="116">
        <x:v>4</x:v>
      </x:c>
      <x:c r="AC33" s="117">
        <x:v>1</x:v>
      </x:c>
      <x:c r="AD33" s="117">
        <x:v>10</x:v>
      </x:c>
      <x:c r="AE33" s="6">
        <x:v>1016</x:v>
      </x:c>
      <x:c r="AF33" s="6" t="inlineStr">
        <x:is>
          <x:t xml:space="preserve">攻击</x:t>
        </x:is>
      </x:c>
      <x:c r="AG33" s="6"/>
    </x:row>
    <x:row r="34" ht="21.950000762939453" customHeight="1">
      <x:c r="A34" s="14" t="str">
        <x:f>$V$10</x:f>
        <x:v>MODEL_BASE</x:v>
      </x:c>
      <x:c r="B34" s="14" t="str">
        <x:f>$W$10</x:f>
        <x:v>模型·标准小怪</x:v>
      </x:c>
      <x:c r="C34" s="6" t="str">
        <x:f>$X$10</x:f>
        <x:v>稻草人模型</x:v>
      </x:c>
      <x:c r="D34" s="6">
        <x:v>22</x:v>
      </x:c>
      <x:c r="E34" s="6">
        <x:v>10</x:v>
      </x:c>
      <x:c r="F34" s="12">
        <x:f>ROUND(J34*$W$4*H34,0)</x:f>
        <x:v>4128</x:v>
      </x:c>
      <x:c r="G34" s="12">
        <x:f>ROUND(J34*$W$4*$W$5*I34,0)</x:f>
        <x:v>1032</x:v>
      </x:c>
      <x:c r="H34" s="11" t="n">
        <x:f>$Y$10</x:f>
        <x:v>1</x:v>
      </x:c>
      <x:c r="I34" s="11" t="n">
        <x:f>$Z$10</x:f>
        <x:v>3.3333333333333335</x:v>
      </x:c>
      <x:c r="J34" s="12">
        <x:f>英雄升级调参!$E$87</x:f>
        <x:v>1032</x:v>
      </x:c>
      <x:c r="K34" s="12">
        <x:f>英雄升级调参!$F$87</x:f>
        <x:v>10320</x:v>
      </x:c>
      <x:c r="L34" s="6" t="n">
        <x:f>ROUNDUP(F34/J34,0)</x:f>
        <x:v>4</x:v>
      </x:c>
      <x:c r="M34" s="6" t="n">
        <x:f>IF(G34=0,"无伤害",ROUNDUP(K34/MAX(1,ROUND(G34*$AC$10,0)),0))</x:f>
        <x:v>10</x:v>
      </x:c>
      <x:c r="N34" s="6" t="n">
        <x:f>ROUNDUP(F34/英雄升级调参!$H$87,0)</x:f>
        <x:v>3</x:v>
      </x:c>
      <x:c r="O34" s="6" t="n">
        <x:f>ROUNDUP(F34/英雄升级调参!$K$87,0)</x:f>
        <x:v>2</x:v>
      </x:c>
      <x:c r="P34" s="6" t="str">
        <x:f>$AA$10</x:f>
        <x:v>普通：4次标准普攻击杀；10次主要攻击致死</x:v>
      </x:c>
      <x:c r="Q34" s="6"/>
      <x:c r="R34" s="6"/>
      <x:c r="S34" s="6"/>
      <x:c r="T34" s="6"/>
      <x:c r="V34" s="6">
        <x:v>60021</x:v>
      </x:c>
      <x:c r="W34" s="6" t="s">
        <x:v>113</x:v>
      </x:c>
      <x:c r="X34" s="109" t="s">
        <x:v>98</x:v>
      </x:c>
      <x:c r="Y34" s="112" t="n">
        <x:f>AB34/$W$4</x:f>
        <x:v>1</x:v>
      </x:c>
      <x:c r="Z34" s="10" t="n">
        <x:f>英雄升级调参!$C$11/$W$4/$W$5/$AD$34/$AC$34</x:f>
        <x:v>3.3333333333333335</x:v>
      </x:c>
      <x:c r="AA34" s="109" t="inlineStr">
        <x:is>
          <x:t xml:space="preserve">普通：4次标准普攻击杀；10次主要攻击致死</x:t>
        </x:is>
      </x:c>
      <x:c r="AB34" s="116">
        <x:v>4</x:v>
      </x:c>
      <x:c r="AC34" s="117">
        <x:v>1</x:v>
      </x:c>
      <x:c r="AD34" s="117">
        <x:v>10</x:v>
      </x:c>
      <x:c r="AE34" s="6">
        <x:v>2011</x:v>
      </x:c>
      <x:c r="AF34" s="6" t="inlineStr">
        <x:is>
          <x:t xml:space="preserve">单发雪球</x:t>
        </x:is>
      </x:c>
      <x:c r="AG34" s="6"/>
    </x:row>
    <x:row r="35" ht="21.950000762939453" customHeight="1">
      <x:c r="A35" s="14" t="str">
        <x:f>$V$10</x:f>
        <x:v>MODEL_BASE</x:v>
      </x:c>
      <x:c r="B35" s="14" t="str">
        <x:f>$W$10</x:f>
        <x:v>模型·标准小怪</x:v>
      </x:c>
      <x:c r="C35" s="6" t="str">
        <x:f>$X$10</x:f>
        <x:v>稻草人模型</x:v>
      </x:c>
      <x:c r="D35" s="6">
        <x:v>23</x:v>
      </x:c>
      <x:c r="E35" s="6">
        <x:v>10</x:v>
      </x:c>
      <x:c r="F35" s="12">
        <x:f>ROUND(J35*$W$4*H35,0)</x:f>
        <x:v>4344</x:v>
      </x:c>
      <x:c r="G35" s="12">
        <x:f>ROUND(J35*$W$4*$W$5*I35,0)</x:f>
        <x:v>1086</x:v>
      </x:c>
      <x:c r="H35" s="11" t="n">
        <x:f>$Y$10</x:f>
        <x:v>1</x:v>
      </x:c>
      <x:c r="I35" s="11" t="n">
        <x:f>$Z$10</x:f>
        <x:v>3.3333333333333335</x:v>
      </x:c>
      <x:c r="J35" s="12">
        <x:f>英雄升级调参!$E$88</x:f>
        <x:v>1086</x:v>
      </x:c>
      <x:c r="K35" s="12">
        <x:f>英雄升级调参!$F$88</x:f>
        <x:v>10860</x:v>
      </x:c>
      <x:c r="L35" s="6" t="n">
        <x:f>ROUNDUP(F35/J35,0)</x:f>
        <x:v>4</x:v>
      </x:c>
      <x:c r="M35" s="6" t="n">
        <x:f>IF(G35=0,"无伤害",ROUNDUP(K35/MAX(1,ROUND(G35*$AC$10,0)),0))</x:f>
        <x:v>10</x:v>
      </x:c>
      <x:c r="N35" s="6" t="n">
        <x:f>ROUNDUP(F35/英雄升级调参!$H$88,0)</x:f>
        <x:v>3</x:v>
      </x:c>
      <x:c r="O35" s="6" t="n">
        <x:f>ROUNDUP(F35/英雄升级调参!$K$88,0)</x:f>
        <x:v>2</x:v>
      </x:c>
      <x:c r="P35" s="6" t="str">
        <x:f>$AA$10</x:f>
        <x:v>普通：4次标准普攻击杀；10次主要攻击致死</x:v>
      </x:c>
      <x:c r="Q35" s="6"/>
      <x:c r="R35" s="6"/>
      <x:c r="S35" s="6"/>
      <x:c r="T35" s="6"/>
      <x:c r="V35" s="6">
        <x:v>60022</x:v>
      </x:c>
      <x:c r="W35" s="6" t="s">
        <x:v>114</x:v>
      </x:c>
      <x:c r="X35" s="109" t="s">
        <x:v>115</x:v>
      </x:c>
      <x:c r="Y35" s="112" t="n">
        <x:f>AB35/$W$4</x:f>
        <x:v>7.5</x:v>
      </x:c>
      <x:c r="Z35" s="10" t="n">
        <x:f>英雄升级调参!$C$11/$W$4/$W$5/$AD$35/$AC$35</x:f>
        <x:v>4.444444444444445</x:v>
      </x:c>
      <x:c r="AA35" s="109" t="inlineStr">
        <x:is>
          <x:t xml:space="preserve">BOSS：30次标准普攻击杀；5次主要攻击致死</x:t>
        </x:is>
      </x:c>
      <x:c r="AB35" s="116">
        <x:v>30</x:v>
      </x:c>
      <x:c r="AC35" s="117">
        <x:v>1.5</x:v>
      </x:c>
      <x:c r="AD35" s="117">
        <x:v>5</x:v>
      </x:c>
      <x:c r="AE35" s="6">
        <x:v>1018</x:v>
      </x:c>
      <x:c r="AF35" s="6" t="inlineStr">
        <x:is>
          <x:t xml:space="preserve">落地砸击</x:t>
        </x:is>
      </x:c>
      <x:c r="AG35" s="6"/>
    </x:row>
    <x:row r="36" ht="21.950000762939453" customHeight="1">
      <x:c r="A36" s="14" t="str">
        <x:f>$V$10</x:f>
        <x:v>MODEL_BASE</x:v>
      </x:c>
      <x:c r="B36" s="14" t="str">
        <x:f>$W$10</x:f>
        <x:v>模型·标准小怪</x:v>
      </x:c>
      <x:c r="C36" s="6" t="str">
        <x:f>$X$10</x:f>
        <x:v>稻草人模型</x:v>
      </x:c>
      <x:c r="D36" s="6">
        <x:v>24</x:v>
      </x:c>
      <x:c r="E36" s="6">
        <x:v>10</x:v>
      </x:c>
      <x:c r="F36" s="12">
        <x:f>ROUND(J36*$W$4*H36,0)</x:f>
        <x:v>4560</x:v>
      </x:c>
      <x:c r="G36" s="12">
        <x:f>ROUND(J36*$W$4*$W$5*I36,0)</x:f>
        <x:v>1140</x:v>
      </x:c>
      <x:c r="H36" s="11" t="n">
        <x:f>$Y$10</x:f>
        <x:v>1</x:v>
      </x:c>
      <x:c r="I36" s="11" t="n">
        <x:f>$Z$10</x:f>
        <x:v>3.3333333333333335</x:v>
      </x:c>
      <x:c r="J36" s="12">
        <x:f>英雄升级调参!$E$89</x:f>
        <x:v>1140</x:v>
      </x:c>
      <x:c r="K36" s="12">
        <x:f>英雄升级调参!$F$89</x:f>
        <x:v>11400</x:v>
      </x:c>
      <x:c r="L36" s="6" t="n">
        <x:f>ROUNDUP(F36/J36,0)</x:f>
        <x:v>4</x:v>
      </x:c>
      <x:c r="M36" s="6" t="n">
        <x:f>IF(G36=0,"无伤害",ROUNDUP(K36/MAX(1,ROUND(G36*$AC$10,0)),0))</x:f>
        <x:v>10</x:v>
      </x:c>
      <x:c r="N36" s="6" t="n">
        <x:f>ROUNDUP(F36/英雄升级调参!$H$89,0)</x:f>
        <x:v>3</x:v>
      </x:c>
      <x:c r="O36" s="6" t="n">
        <x:f>ROUNDUP(F36/英雄升级调参!$K$89,0)</x:f>
        <x:v>2</x:v>
      </x:c>
      <x:c r="P36" s="6" t="str">
        <x:f>$AA$10</x:f>
        <x:v>普通：4次标准普攻击杀；10次主要攻击致死</x:v>
      </x:c>
      <x:c r="Q36" s="6"/>
      <x:c r="R36" s="6"/>
      <x:c r="S36" s="6"/>
      <x:c r="T36" s="6"/>
      <x:c r="V36" s="6">
        <x:v>60023</x:v>
      </x:c>
      <x:c r="W36" s="6" t="s">
        <x:v>116</x:v>
      </x:c>
      <x:c r="X36" s="109" t="s">
        <x:v>116</x:v>
      </x:c>
      <x:c r="Y36" s="112" t="n">
        <x:f>AB36/$W$4</x:f>
        <x:v>0.25</x:v>
      </x:c>
      <x:c r="Z36" s="10">
        <x:v>0</x:v>
      </x:c>
      <x:c r="AA36" s="109" t="s">
        <x:v>117</x:v>
      </x:c>
      <x:c r="AB36" s="116">
        <x:v>1</x:v>
      </x:c>
      <x:c r="AC36" s="117" t="s">
        <x:v>87</x:v>
      </x:c>
      <x:c r="AD36" s="117" t="inlineStr">
        <x:is>
          <x:t xml:space="preserve">不参与</x:t>
        </x:is>
      </x:c>
      <x:c r="AE36" s="6"/>
      <x:c r="AF36" s="6" t="inlineStr">
        <x:is>
          <x:t xml:space="preserve">不参与战斗平衡</x:t>
        </x:is>
      </x:c>
      <x:c r="AG36" s="6"/>
    </x:row>
    <x:row r="37" ht="21.950000762939453" customHeight="1">
      <x:c r="A37" s="14" t="str">
        <x:f>$V$10</x:f>
        <x:v>MODEL_BASE</x:v>
      </x:c>
      <x:c r="B37" s="14" t="str">
        <x:f>$W$10</x:f>
        <x:v>模型·标准小怪</x:v>
      </x:c>
      <x:c r="C37" s="6" t="str">
        <x:f>$X$10</x:f>
        <x:v>稻草人模型</x:v>
      </x:c>
      <x:c r="D37" s="6">
        <x:v>25</x:v>
      </x:c>
      <x:c r="E37" s="6">
        <x:v>10</x:v>
      </x:c>
      <x:c r="F37" s="12">
        <x:f>ROUND(J37*$W$4*H37,0)</x:f>
        <x:v>5208</x:v>
      </x:c>
      <x:c r="G37" s="12">
        <x:f>ROUND(J37*$W$4*$W$5*I37,0)</x:f>
        <x:v>1302</x:v>
      </x:c>
      <x:c r="H37" s="11" t="n">
        <x:f>$Y$10</x:f>
        <x:v>1</x:v>
      </x:c>
      <x:c r="I37" s="11" t="n">
        <x:f>$Z$10</x:f>
        <x:v>3.3333333333333335</x:v>
      </x:c>
      <x:c r="J37" s="12">
        <x:f>英雄升级调参!$E$90</x:f>
        <x:v>1302</x:v>
      </x:c>
      <x:c r="K37" s="12">
        <x:f>英雄升级调参!$F$90</x:f>
        <x:v>13020</x:v>
      </x:c>
      <x:c r="L37" s="6" t="n">
        <x:f>ROUNDUP(F37/J37,0)</x:f>
        <x:v>4</x:v>
      </x:c>
      <x:c r="M37" s="6" t="n">
        <x:f>IF(G37=0,"无伤害",ROUNDUP(K37/MAX(1,ROUND(G37*$AC$10,0)),0))</x:f>
        <x:v>10</x:v>
      </x:c>
      <x:c r="N37" s="6" t="n">
        <x:f>ROUNDUP(F37/英雄升级调参!$H$90,0)</x:f>
        <x:v>3</x:v>
      </x:c>
      <x:c r="O37" s="6" t="n">
        <x:f>ROUNDUP(F37/英雄升级调参!$K$90,0)</x:f>
        <x:v>2</x:v>
      </x:c>
      <x:c r="P37" s="6" t="str">
        <x:f>$AA$10</x:f>
        <x:v>普通：4次标准普攻击杀；10次主要攻击致死</x:v>
      </x:c>
      <x:c r="Q37" s="6"/>
      <x:c r="R37" s="6"/>
      <x:c r="S37" s="6"/>
      <x:c r="T37" s="6"/>
      <x:c r="V37" s="6">
        <x:v>60024</x:v>
      </x:c>
      <x:c r="W37" s="6" t="s">
        <x:v>118</x:v>
      </x:c>
      <x:c r="X37" s="109" t="s">
        <x:v>115</x:v>
      </x:c>
      <x:c r="Y37" s="112" t="n">
        <x:f>AB37/$W$4</x:f>
        <x:v>7.5</x:v>
      </x:c>
      <x:c r="Z37" s="10" t="n">
        <x:f>英雄升级调参!$C$11/$W$4/$W$5/$AD$37/$AC$37</x:f>
        <x:v>33.333333333333336</x:v>
      </x:c>
      <x:c r="AA37" s="109" t="inlineStr">
        <x:is>
          <x:t xml:space="preserve">BOSS：30次标准普攻击杀；5次主要攻击致死</x:t>
        </x:is>
      </x:c>
      <x:c r="AB37" s="116">
        <x:v>30</x:v>
      </x:c>
      <x:c r="AC37" s="117">
        <x:v>0.2</x:v>
      </x:c>
      <x:c r="AD37" s="117">
        <x:v>5</x:v>
      </x:c>
      <x:c r="AE37" s="6">
        <x:v>1020</x:v>
      </x:c>
      <x:c r="AF37" s="6" t="inlineStr">
        <x:is>
          <x:t xml:space="preserve">滚动接触</x:t>
        </x:is>
      </x:c>
      <x:c r="AG37" s="6"/>
    </x:row>
    <x:row r="38" ht="21.950000762939453" customHeight="1">
      <x:c r="A38" s="14" t="str">
        <x:f>$V$10</x:f>
        <x:v>MODEL_BASE</x:v>
      </x:c>
      <x:c r="B38" s="14" t="str">
        <x:f>$W$10</x:f>
        <x:v>模型·标准小怪</x:v>
      </x:c>
      <x:c r="C38" s="6" t="str">
        <x:f>$X$10</x:f>
        <x:v>稻草人模型</x:v>
      </x:c>
      <x:c r="D38" s="6">
        <x:v>26</x:v>
      </x:c>
      <x:c r="E38" s="6">
        <x:v>10</x:v>
      </x:c>
      <x:c r="F38" s="12">
        <x:f>ROUND(J38*$W$4*H38,0)</x:f>
        <x:v>5460</x:v>
      </x:c>
      <x:c r="G38" s="12">
        <x:f>ROUND(J38*$W$4*$W$5*I38,0)</x:f>
        <x:v>1365</x:v>
      </x:c>
      <x:c r="H38" s="11" t="n">
        <x:f>$Y$10</x:f>
        <x:v>1</x:v>
      </x:c>
      <x:c r="I38" s="11" t="n">
        <x:f>$Z$10</x:f>
        <x:v>3.3333333333333335</x:v>
      </x:c>
      <x:c r="J38" s="12">
        <x:f>英雄升级调参!$E$91</x:f>
        <x:v>1365</x:v>
      </x:c>
      <x:c r="K38" s="12">
        <x:f>英雄升级调参!$F$91</x:f>
        <x:v>13650</x:v>
      </x:c>
      <x:c r="L38" s="6" t="n">
        <x:f>ROUNDUP(F38/J38,0)</x:f>
        <x:v>4</x:v>
      </x:c>
      <x:c r="M38" s="6" t="n">
        <x:f>IF(G38=0,"无伤害",ROUNDUP(K38/MAX(1,ROUND(G38*$AC$10,0)),0))</x:f>
        <x:v>10</x:v>
      </x:c>
      <x:c r="N38" s="6" t="n">
        <x:f>ROUNDUP(F38/英雄升级调参!$H$91,0)</x:f>
        <x:v>3</x:v>
      </x:c>
      <x:c r="O38" s="6" t="n">
        <x:f>ROUNDUP(F38/英雄升级调参!$K$91,0)</x:f>
        <x:v>2</x:v>
      </x:c>
      <x:c r="P38" s="6" t="str">
        <x:f>$AA$10</x:f>
        <x:v>普通：4次标准普攻击杀；10次主要攻击致死</x:v>
      </x:c>
      <x:c r="Q38" s="6"/>
      <x:c r="R38" s="6"/>
      <x:c r="S38" s="6"/>
      <x:c r="T38" s="6"/>
      <x:c r="V38" s="6">
        <x:v>60025</x:v>
      </x:c>
      <x:c r="W38" s="6" t="s">
        <x:v>119</x:v>
      </x:c>
      <x:c r="X38" s="109" t="s">
        <x:v>95</x:v>
      </x:c>
      <x:c r="Y38" s="112" t="n">
        <x:f>AB38/$W$4</x:f>
        <x:v>0.75</x:v>
      </x:c>
      <x:c r="Z38" s="10" t="n">
        <x:f>英雄升级调参!$C$11/$W$4/$W$5/$AD$38/$AC$38</x:f>
        <x:v>3.3333333333333335</x:v>
      </x:c>
      <x:c r="AA38" s="109" t="inlineStr">
        <x:is>
          <x:t xml:space="preserve">普通：3次标准普攻击杀；10次主要攻击致死</x:t>
        </x:is>
      </x:c>
      <x:c r="AB38" s="116">
        <x:v>3</x:v>
      </x:c>
      <x:c r="AC38" s="117">
        <x:v>1</x:v>
      </x:c>
      <x:c r="AD38" s="117">
        <x:v>10</x:v>
      </x:c>
      <x:c r="AE38" s="6">
        <x:v>2013</x:v>
      </x:c>
      <x:c r="AF38" s="6" t="inlineStr">
        <x:is>
          <x:t xml:space="preserve">单发豌豆</x:t>
        </x:is>
      </x:c>
      <x:c r="AG38" s="6"/>
    </x:row>
    <x:row r="39" ht="21.950000762939453" customHeight="1">
      <x:c r="A39" s="14" t="str">
        <x:f>$V$10</x:f>
        <x:v>MODEL_BASE</x:v>
      </x:c>
      <x:c r="B39" s="14" t="str">
        <x:f>$W$10</x:f>
        <x:v>模型·标准小怪</x:v>
      </x:c>
      <x:c r="C39" s="6" t="str">
        <x:f>$X$10</x:f>
        <x:v>稻草人模型</x:v>
      </x:c>
      <x:c r="D39" s="6">
        <x:v>27</x:v>
      </x:c>
      <x:c r="E39" s="6">
        <x:v>10</x:v>
      </x:c>
      <x:c r="F39" s="12">
        <x:f>ROUND(J39*$W$4*H39,0)</x:f>
        <x:v>5712</x:v>
      </x:c>
      <x:c r="G39" s="12">
        <x:f>ROUND(J39*$W$4*$W$5*I39,0)</x:f>
        <x:v>1428</x:v>
      </x:c>
      <x:c r="H39" s="11" t="n">
        <x:f>$Y$10</x:f>
        <x:v>1</x:v>
      </x:c>
      <x:c r="I39" s="11" t="n">
        <x:f>$Z$10</x:f>
        <x:v>3.3333333333333335</x:v>
      </x:c>
      <x:c r="J39" s="12">
        <x:f>英雄升级调参!$E$92</x:f>
        <x:v>1428</x:v>
      </x:c>
      <x:c r="K39" s="12">
        <x:f>英雄升级调参!$F$92</x:f>
        <x:v>14280</x:v>
      </x:c>
      <x:c r="L39" s="6" t="n">
        <x:f>ROUNDUP(F39/J39,0)</x:f>
        <x:v>4</x:v>
      </x:c>
      <x:c r="M39" s="6" t="n">
        <x:f>IF(G39=0,"无伤害",ROUNDUP(K39/MAX(1,ROUND(G39*$AC$10,0)),0))</x:f>
        <x:v>10</x:v>
      </x:c>
      <x:c r="N39" s="6" t="n">
        <x:f>ROUNDUP(F39/英雄升级调参!$H$92,0)</x:f>
        <x:v>3</x:v>
      </x:c>
      <x:c r="O39" s="6" t="n">
        <x:f>ROUNDUP(F39/英雄升级调参!$K$92,0)</x:f>
        <x:v>2</x:v>
      </x:c>
      <x:c r="P39" s="6" t="str">
        <x:f>$AA$10</x:f>
        <x:v>普通：4次标准普攻击杀；10次主要攻击致死</x:v>
      </x:c>
      <x:c r="Q39" s="6"/>
      <x:c r="R39" s="6"/>
      <x:c r="S39" s="6"/>
      <x:c r="T39" s="6"/>
      <x:c r="V39" s="6">
        <x:v>60026</x:v>
      </x:c>
      <x:c r="W39" s="6" t="inlineStr">
        <x:is>
          <x:t xml:space="preserve">雪怪BOSS</x:t>
        </x:is>
      </x:c>
      <x:c r="X39" s="109" t="inlineStr">
        <x:is>
          <x:t xml:space="preserve">BOSS</x:t>
        </x:is>
      </x:c>
      <x:c r="Y39" s="112" t="n">
        <x:f>AB39/$W$4</x:f>
        <x:v>7.5</x:v>
      </x:c>
      <x:c r="Z39" s="10" t="n">
        <x:f>英雄升级调参!$C$11/$W$4/$W$5/$AD$39/$AC$39</x:f>
        <x:v>6.666666666666667</x:v>
      </x:c>
      <x:c r="AA39" s="109" t="inlineStr">
        <x:is>
          <x:t xml:space="preserve">BOSS：30次标准普攻击杀；5次主要攻击致死</x:t>
        </x:is>
      </x:c>
      <x:c r="AB39" s="116">
        <x:v>30</x:v>
      </x:c>
      <x:c r="AC39" s="117">
        <x:v>1</x:v>
      </x:c>
      <x:c r="AD39" s="117">
        <x:v>5</x:v>
      </x:c>
      <x:c r="AE39" s="6">
        <x:v>1010</x:v>
      </x:c>
      <x:c r="AF39" s="6" t="inlineStr">
        <x:is>
          <x:t xml:space="preserve">砸击单次命中</x:t>
        </x:is>
      </x:c>
      <x:c r="AG39" s="6"/>
    </x:row>
    <x:row r="40" ht="21.950000762939453" customHeight="1">
      <x:c r="A40" s="14" t="str">
        <x:f>$V$10</x:f>
        <x:v>MODEL_BASE</x:v>
      </x:c>
      <x:c r="B40" s="14" t="str">
        <x:f>$W$10</x:f>
        <x:v>模型·标准小怪</x:v>
      </x:c>
      <x:c r="C40" s="6" t="str">
        <x:f>$X$10</x:f>
        <x:v>稻草人模型</x:v>
      </x:c>
      <x:c r="D40" s="6">
        <x:v>28</x:v>
      </x:c>
      <x:c r="E40" s="6">
        <x:v>10</x:v>
      </x:c>
      <x:c r="F40" s="12">
        <x:f>ROUND(J40*$W$4*H40,0)</x:f>
        <x:v>5964</x:v>
      </x:c>
      <x:c r="G40" s="12">
        <x:f>ROUND(J40*$W$4*$W$5*I40,0)</x:f>
        <x:v>1491</x:v>
      </x:c>
      <x:c r="H40" s="11" t="n">
        <x:f>$Y$10</x:f>
        <x:v>1</x:v>
      </x:c>
      <x:c r="I40" s="11" t="n">
        <x:f>$Z$10</x:f>
        <x:v>3.3333333333333335</x:v>
      </x:c>
      <x:c r="J40" s="12">
        <x:f>英雄升级调参!$E$93</x:f>
        <x:v>1491</x:v>
      </x:c>
      <x:c r="K40" s="12">
        <x:f>英雄升级调参!$F$93</x:f>
        <x:v>14910</x:v>
      </x:c>
      <x:c r="L40" s="6" t="n">
        <x:f>ROUNDUP(F40/J40,0)</x:f>
        <x:v>4</x:v>
      </x:c>
      <x:c r="M40" s="6" t="n">
        <x:f>IF(G40=0,"无伤害",ROUNDUP(K40/MAX(1,ROUND(G40*$AC$10,0)),0))</x:f>
        <x:v>10</x:v>
      </x:c>
      <x:c r="N40" s="6" t="n">
        <x:f>ROUNDUP(F40/英雄升级调参!$H$93,0)</x:f>
        <x:v>3</x:v>
      </x:c>
      <x:c r="O40" s="6" t="n">
        <x:f>ROUNDUP(F40/英雄升级调参!$K$93,0)</x:f>
        <x:v>2</x:v>
      </x:c>
      <x:c r="P40" s="6" t="str">
        <x:f>$AA$10</x:f>
        <x:v>普通：4次标准普攻击杀；10次主要攻击致死</x:v>
      </x:c>
      <x:c r="Q40" s="6"/>
      <x:c r="R40" s="6"/>
      <x:c r="S40" s="6"/>
      <x:c r="T40" s="6"/>
      <x:c r="V40" s="6"/>
      <x:c r="W40" s="6"/>
      <x:c r="X40" s="6"/>
      <x:c r="Y40" s="6"/>
      <x:c r="Z40" s="6"/>
      <x:c r="AA40" s="6"/>
      <x:c r="AB40" s="6"/>
      <x:c r="AC40" s="6"/>
      <x:c r="AD40" s="6"/>
      <x:c r="AE40" s="6"/>
      <x:c r="AF40" s="6"/>
      <x:c r="AG40" s="6"/>
    </x:row>
    <x:row r="41" ht="21.950000762939453" customHeight="1">
      <x:c r="A41" s="14" t="str">
        <x:f>$V$10</x:f>
        <x:v>MODEL_BASE</x:v>
      </x:c>
      <x:c r="B41" s="14" t="str">
        <x:f>$W$10</x:f>
        <x:v>模型·标准小怪</x:v>
      </x:c>
      <x:c r="C41" s="6" t="str">
        <x:f>$X$10</x:f>
        <x:v>稻草人模型</x:v>
      </x:c>
      <x:c r="D41" s="6">
        <x:v>29</x:v>
      </x:c>
      <x:c r="E41" s="6">
        <x:v>10</x:v>
      </x:c>
      <x:c r="F41" s="12">
        <x:f>ROUND(J41*$W$4*H41,0)</x:f>
        <x:v>6216</x:v>
      </x:c>
      <x:c r="G41" s="12">
        <x:f>ROUND(J41*$W$4*$W$5*I41,0)</x:f>
        <x:v>1554</x:v>
      </x:c>
      <x:c r="H41" s="11" t="n">
        <x:f>$Y$10</x:f>
        <x:v>1</x:v>
      </x:c>
      <x:c r="I41" s="11" t="n">
        <x:f>$Z$10</x:f>
        <x:v>3.3333333333333335</x:v>
      </x:c>
      <x:c r="J41" s="12">
        <x:f>英雄升级调参!$E$94</x:f>
        <x:v>1554</x:v>
      </x:c>
      <x:c r="K41" s="12">
        <x:f>英雄升级调参!$F$94</x:f>
        <x:v>15540</x:v>
      </x:c>
      <x:c r="L41" s="6" t="n">
        <x:f>ROUNDUP(F41/J41,0)</x:f>
        <x:v>4</x:v>
      </x:c>
      <x:c r="M41" s="6" t="n">
        <x:f>IF(G41=0,"无伤害",ROUNDUP(K41/MAX(1,ROUND(G41*$AC$10,0)),0))</x:f>
        <x:v>10</x:v>
      </x:c>
      <x:c r="N41" s="6" t="n">
        <x:f>ROUNDUP(F41/英雄升级调参!$H$94,0)</x:f>
        <x:v>3</x:v>
      </x:c>
      <x:c r="O41" s="6" t="n">
        <x:f>ROUNDUP(F41/英雄升级调参!$K$94,0)</x:f>
        <x:v>2</x:v>
      </x:c>
      <x:c r="P41" s="6" t="str">
        <x:f>$AA$10</x:f>
        <x:v>普通：4次标准普攻击杀；10次主要攻击致死</x:v>
      </x:c>
      <x:c r="Q41" s="6"/>
      <x:c r="R41" s="6"/>
      <x:c r="S41" s="6"/>
      <x:c r="T41" s="6"/>
      <x:c r="V41" s="6"/>
      <x:c r="W41" s="6"/>
      <x:c r="X41" s="6"/>
      <x:c r="Y41" s="6"/>
      <x:c r="Z41" s="6"/>
      <x:c r="AA41" s="6"/>
      <x:c r="AB41" s="6"/>
      <x:c r="AC41" s="6"/>
      <x:c r="AD41" s="6"/>
      <x:c r="AE41" s="6"/>
      <x:c r="AF41" s="6"/>
      <x:c r="AG41" s="6"/>
    </x:row>
    <x:row r="42" ht="21.950000762939453" customHeight="1">
      <x:c r="A42" s="14" t="str">
        <x:f>$V$10</x:f>
        <x:v>MODEL_BASE</x:v>
      </x:c>
      <x:c r="B42" s="14" t="str">
        <x:f>$W$10</x:f>
        <x:v>模型·标准小怪</x:v>
      </x:c>
      <x:c r="C42" s="6" t="str">
        <x:f>$X$10</x:f>
        <x:v>稻草人模型</x:v>
      </x:c>
      <x:c r="D42" s="6">
        <x:v>30</x:v>
      </x:c>
      <x:c r="E42" s="6">
        <x:v>10</x:v>
      </x:c>
      <x:c r="F42" s="12">
        <x:f>ROUND(J42*$W$4*H42,0)</x:f>
        <x:v>6972</x:v>
      </x:c>
      <x:c r="G42" s="12">
        <x:f>ROUND(J42*$W$4*$W$5*I42,0)</x:f>
        <x:v>1743</x:v>
      </x:c>
      <x:c r="H42" s="11" t="n">
        <x:f>$Y$10</x:f>
        <x:v>1</x:v>
      </x:c>
      <x:c r="I42" s="11" t="n">
        <x:f>$Z$10</x:f>
        <x:v>3.3333333333333335</x:v>
      </x:c>
      <x:c r="J42" s="12">
        <x:f>英雄升级调参!$E$95</x:f>
        <x:v>1743</x:v>
      </x:c>
      <x:c r="K42" s="12">
        <x:f>英雄升级调参!$F$95</x:f>
        <x:v>17430</x:v>
      </x:c>
      <x:c r="L42" s="6" t="n">
        <x:f>ROUNDUP(F42/J42,0)</x:f>
        <x:v>4</x:v>
      </x:c>
      <x:c r="M42" s="6" t="n">
        <x:f>IF(G42=0,"无伤害",ROUNDUP(K42/MAX(1,ROUND(G42*$AC$10,0)),0))</x:f>
        <x:v>10</x:v>
      </x:c>
      <x:c r="N42" s="6" t="n">
        <x:f>ROUNDUP(F42/英雄升级调参!$H$95,0)</x:f>
        <x:v>3</x:v>
      </x:c>
      <x:c r="O42" s="6" t="n">
        <x:f>ROUNDUP(F42/英雄升级调参!$K$95,0)</x:f>
        <x:v>2</x:v>
      </x:c>
      <x:c r="P42" s="6" t="str">
        <x:f>$AA$10</x:f>
        <x:v>普通：4次标准普攻击杀；10次主要攻击致死</x:v>
      </x:c>
      <x:c r="Q42" s="6"/>
      <x:c r="R42" s="6"/>
      <x:c r="S42" s="6"/>
      <x:c r="T42" s="6"/>
      <x:c r="V42" s="6" t="s">
        <x:v>120</x:v>
      </x:c>
      <x:c r="W42" s="6"/>
      <x:c r="X42" s="6"/>
      <x:c r="Y42" s="6"/>
      <x:c r="Z42" s="6"/>
      <x:c r="AA42" s="6"/>
      <x:c r="AB42" s="6"/>
      <x:c r="AC42" s="6"/>
      <x:c r="AD42" s="6"/>
      <x:c r="AE42" s="6"/>
      <x:c r="AF42" s="6"/>
      <x:c r="AG42" s="6"/>
    </x:row>
    <x:row r="43" ht="21.950000762939453" customHeight="1">
      <x:c r="A43" s="14" t="str">
        <x:f>$V$10</x:f>
        <x:v>MODEL_BASE</x:v>
      </x:c>
      <x:c r="B43" s="14" t="str">
        <x:f>$W$10</x:f>
        <x:v>模型·标准小怪</x:v>
      </x:c>
      <x:c r="C43" s="6" t="str">
        <x:f>$X$10</x:f>
        <x:v>稻草人模型</x:v>
      </x:c>
      <x:c r="D43" s="6">
        <x:v>31</x:v>
      </x:c>
      <x:c r="E43" s="6">
        <x:v>10</x:v>
      </x:c>
      <x:c r="F43" s="12">
        <x:f>ROUND(J43*$W$4*H43,0)</x:f>
        <x:v>7260</x:v>
      </x:c>
      <x:c r="G43" s="12">
        <x:f>ROUND(J43*$W$4*$W$5*I43,0)</x:f>
        <x:v>1815</x:v>
      </x:c>
      <x:c r="H43" s="11" t="n">
        <x:f>$Y$10</x:f>
        <x:v>1</x:v>
      </x:c>
      <x:c r="I43" s="11" t="n">
        <x:f>$Z$10</x:f>
        <x:v>3.3333333333333335</x:v>
      </x:c>
      <x:c r="J43" s="12">
        <x:f>英雄升级调参!$E$96</x:f>
        <x:v>1815</x:v>
      </x:c>
      <x:c r="K43" s="12">
        <x:f>英雄升级调参!$F$96</x:f>
        <x:v>18150</x:v>
      </x:c>
      <x:c r="L43" s="6" t="n">
        <x:f>ROUNDUP(F43/J43,0)</x:f>
        <x:v>4</x:v>
      </x:c>
      <x:c r="M43" s="6" t="n">
        <x:f>IF(G43=0,"无伤害",ROUNDUP(K43/MAX(1,ROUND(G43*$AC$10,0)),0))</x:f>
        <x:v>10</x:v>
      </x:c>
      <x:c r="N43" s="6" t="n">
        <x:f>ROUNDUP(F43/英雄升级调参!$H$96,0)</x:f>
        <x:v>3</x:v>
      </x:c>
      <x:c r="O43" s="6" t="n">
        <x:f>ROUNDUP(F43/英雄升级调参!$K$96,0)</x:f>
        <x:v>2</x:v>
      </x:c>
      <x:c r="P43" s="6" t="str">
        <x:f>$AA$10</x:f>
        <x:v>普通：4次标准普攻击杀；10次主要攻击致死</x:v>
      </x:c>
      <x:c r="Q43" s="6"/>
      <x:c r="R43" s="6"/>
      <x:c r="S43" s="6"/>
      <x:c r="T43" s="6"/>
      <x:c r="V43" s="6" t="inlineStr">
        <x:is>
          <x:t xml:space="preserve">承伤次数按主要攻击实际扣血向上取整；强化攻击、其他技能、多段命中及武器加成另行计算。</x:t>
        </x:is>
      </x:c>
      <x:c r="W43" s="6"/>
      <x:c r="X43" s="6"/>
      <x:c r="Y43" s="6"/>
      <x:c r="Z43" s="6"/>
      <x:c r="AA43" s="6"/>
      <x:c r="AB43" s="6"/>
      <x:c r="AC43" s="6"/>
      <x:c r="AD43" s="6"/>
      <x:c r="AE43" s="6"/>
      <x:c r="AF43" s="6"/>
      <x:c r="AG43" s="6"/>
    </x:row>
    <x:row r="44" ht="21.950000762939453" customHeight="1">
      <x:c r="A44" s="14" t="str">
        <x:f>$V$10</x:f>
        <x:v>MODEL_BASE</x:v>
      </x:c>
      <x:c r="B44" s="14" t="str">
        <x:f>$W$10</x:f>
        <x:v>模型·标准小怪</x:v>
      </x:c>
      <x:c r="C44" s="6" t="str">
        <x:f>$X$10</x:f>
        <x:v>稻草人模型</x:v>
      </x:c>
      <x:c r="D44" s="6">
        <x:v>32</x:v>
      </x:c>
      <x:c r="E44" s="6">
        <x:v>10</x:v>
      </x:c>
      <x:c r="F44" s="12">
        <x:f>ROUND(J44*$W$4*H44,0)</x:f>
        <x:v>7548</x:v>
      </x:c>
      <x:c r="G44" s="12">
        <x:f>ROUND(J44*$W$4*$W$5*I44,0)</x:f>
        <x:v>1887</x:v>
      </x:c>
      <x:c r="H44" s="11" t="n">
        <x:f>$Y$10</x:f>
        <x:v>1</x:v>
      </x:c>
      <x:c r="I44" s="11" t="n">
        <x:f>$Z$10</x:f>
        <x:v>3.3333333333333335</x:v>
      </x:c>
      <x:c r="J44" s="12">
        <x:f>英雄升级调参!$E$97</x:f>
        <x:v>1887</x:v>
      </x:c>
      <x:c r="K44" s="12">
        <x:f>英雄升级调参!$F$97</x:f>
        <x:v>18870</x:v>
      </x:c>
      <x:c r="L44" s="6" t="n">
        <x:f>ROUNDUP(F44/J44,0)</x:f>
        <x:v>4</x:v>
      </x:c>
      <x:c r="M44" s="6" t="n">
        <x:f>IF(G44=0,"无伤害",ROUNDUP(K44/MAX(1,ROUND(G44*$AC$10,0)),0))</x:f>
        <x:v>10</x:v>
      </x:c>
      <x:c r="N44" s="6" t="n">
        <x:f>ROUNDUP(F44/英雄升级调参!$H$97,0)</x:f>
        <x:v>3</x:v>
      </x:c>
      <x:c r="O44" s="6" t="n">
        <x:f>ROUNDUP(F44/英雄升级调参!$K$97,0)</x:f>
        <x:v>2</x:v>
      </x:c>
      <x:c r="P44" s="6" t="str">
        <x:f>$AA$10</x:f>
        <x:v>普通：4次标准普攻击杀；10次主要攻击致死</x:v>
      </x:c>
      <x:c r="Q44" s="6"/>
      <x:c r="R44" s="6"/>
      <x:c r="S44" s="6"/>
      <x:c r="T44" s="6"/>
      <x:c r="V44" s="6"/>
      <x:c r="W44" s="6"/>
      <x:c r="X44" s="6"/>
      <x:c r="Y44" s="6"/>
      <x:c r="Z44" s="6"/>
      <x:c r="AA44" s="6"/>
      <x:c r="AB44" s="6"/>
      <x:c r="AC44" s="6"/>
      <x:c r="AD44" s="6"/>
      <x:c r="AE44" s="6"/>
      <x:c r="AF44" s="6"/>
      <x:c r="AG44" s="6"/>
    </x:row>
    <x:row r="45" ht="21.950000762939453" customHeight="1">
      <x:c r="A45" s="14" t="str">
        <x:f>$V$10</x:f>
        <x:v>MODEL_BASE</x:v>
      </x:c>
      <x:c r="B45" s="14" t="str">
        <x:f>$W$10</x:f>
        <x:v>模型·标准小怪</x:v>
      </x:c>
      <x:c r="C45" s="6" t="str">
        <x:f>$X$10</x:f>
        <x:v>稻草人模型</x:v>
      </x:c>
      <x:c r="D45" s="6">
        <x:v>33</x:v>
      </x:c>
      <x:c r="E45" s="6">
        <x:v>10</x:v>
      </x:c>
      <x:c r="F45" s="12">
        <x:f>ROUND(J45*$W$4*H45,0)</x:f>
        <x:v>7836</x:v>
      </x:c>
      <x:c r="G45" s="12">
        <x:f>ROUND(J45*$W$4*$W$5*I45,0)</x:f>
        <x:v>1959</x:v>
      </x:c>
      <x:c r="H45" s="11" t="n">
        <x:f>$Y$10</x:f>
        <x:v>1</x:v>
      </x:c>
      <x:c r="I45" s="11" t="n">
        <x:f>$Z$10</x:f>
        <x:v>3.3333333333333335</x:v>
      </x:c>
      <x:c r="J45" s="12">
        <x:f>英雄升级调参!$E$98</x:f>
        <x:v>1959</x:v>
      </x:c>
      <x:c r="K45" s="12">
        <x:f>英雄升级调参!$F$98</x:f>
        <x:v>19590</x:v>
      </x:c>
      <x:c r="L45" s="6" t="n">
        <x:f>ROUNDUP(F45/J45,0)</x:f>
        <x:v>4</x:v>
      </x:c>
      <x:c r="M45" s="6" t="n">
        <x:f>IF(G45=0,"无伤害",ROUNDUP(K45/MAX(1,ROUND(G45*$AC$10,0)),0))</x:f>
        <x:v>10</x:v>
      </x:c>
      <x:c r="N45" s="6" t="n">
        <x:f>ROUNDUP(F45/英雄升级调参!$H$98,0)</x:f>
        <x:v>3</x:v>
      </x:c>
      <x:c r="O45" s="6" t="n">
        <x:f>ROUNDUP(F45/英雄升级调参!$K$98,0)</x:f>
        <x:v>2</x:v>
      </x:c>
      <x:c r="P45" s="6" t="str">
        <x:f>$AA$10</x:f>
        <x:v>普通：4次标准普攻击杀；10次主要攻击致死</x:v>
      </x:c>
      <x:c r="Q45" s="6"/>
      <x:c r="R45" s="6"/>
      <x:c r="S45" s="6"/>
      <x:c r="T45" s="6"/>
      <x:c r="V45" s="6"/>
      <x:c r="W45" s="6"/>
      <x:c r="X45" s="6"/>
      <x:c r="Y45" s="6"/>
      <x:c r="Z45" s="6"/>
      <x:c r="AA45" s="6"/>
      <x:c r="AB45" s="6"/>
      <x:c r="AC45" s="6"/>
      <x:c r="AD45" s="6"/>
      <x:c r="AE45" s="6"/>
      <x:c r="AF45" s="6"/>
      <x:c r="AG45" s="6"/>
    </x:row>
    <x:row r="46" ht="21.950000762939453" customHeight="1">
      <x:c r="A46" s="14" t="str">
        <x:f>$V$10</x:f>
        <x:v>MODEL_BASE</x:v>
      </x:c>
      <x:c r="B46" s="14" t="str">
        <x:f>$W$10</x:f>
        <x:v>模型·标准小怪</x:v>
      </x:c>
      <x:c r="C46" s="6" t="str">
        <x:f>$X$10</x:f>
        <x:v>稻草人模型</x:v>
      </x:c>
      <x:c r="D46" s="6">
        <x:v>34</x:v>
      </x:c>
      <x:c r="E46" s="6">
        <x:v>10</x:v>
      </x:c>
      <x:c r="F46" s="12">
        <x:f>ROUND(J46*$W$4*H46,0)</x:f>
        <x:v>8124</x:v>
      </x:c>
      <x:c r="G46" s="12">
        <x:f>ROUND(J46*$W$4*$W$5*I46,0)</x:f>
        <x:v>2031</x:v>
      </x:c>
      <x:c r="H46" s="11" t="n">
        <x:f>$Y$10</x:f>
        <x:v>1</x:v>
      </x:c>
      <x:c r="I46" s="11" t="n">
        <x:f>$Z$10</x:f>
        <x:v>3.3333333333333335</x:v>
      </x:c>
      <x:c r="J46" s="12">
        <x:f>英雄升级调参!$E$99</x:f>
        <x:v>2031</x:v>
      </x:c>
      <x:c r="K46" s="12">
        <x:f>英雄升级调参!$F$99</x:f>
        <x:v>20310</x:v>
      </x:c>
      <x:c r="L46" s="6" t="n">
        <x:f>ROUNDUP(F46/J46,0)</x:f>
        <x:v>4</x:v>
      </x:c>
      <x:c r="M46" s="6" t="n">
        <x:f>IF(G46=0,"无伤害",ROUNDUP(K46/MAX(1,ROUND(G46*$AC$10,0)),0))</x:f>
        <x:v>10</x:v>
      </x:c>
      <x:c r="N46" s="6" t="n">
        <x:f>ROUNDUP(F46/英雄升级调参!$H$99,0)</x:f>
        <x:v>3</x:v>
      </x:c>
      <x:c r="O46" s="6" t="n">
        <x:f>ROUNDUP(F46/英雄升级调参!$K$99,0)</x:f>
        <x:v>2</x:v>
      </x:c>
      <x:c r="P46" s="6" t="str">
        <x:f>$AA$10</x:f>
        <x:v>普通：4次标准普攻击杀；10次主要攻击致死</x:v>
      </x:c>
      <x:c r="Q46" s="6"/>
      <x:c r="R46" s="6"/>
      <x:c r="S46" s="6"/>
      <x:c r="T46" s="6"/>
      <x:c r="V46" s="6"/>
      <x:c r="W46" s="6"/>
      <x:c r="X46" s="6"/>
      <x:c r="Y46" s="6"/>
      <x:c r="Z46" s="6"/>
      <x:c r="AA46" s="6"/>
      <x:c r="AB46" s="6"/>
      <x:c r="AC46" s="6"/>
      <x:c r="AD46" s="6"/>
      <x:c r="AE46" s="6"/>
      <x:c r="AF46" s="6"/>
      <x:c r="AG46" s="6"/>
    </x:row>
    <x:row r="47" ht="21.950000762939453" customHeight="1">
      <x:c r="A47" s="14" t="str">
        <x:f>$V$10</x:f>
        <x:v>MODEL_BASE</x:v>
      </x:c>
      <x:c r="B47" s="14" t="str">
        <x:f>$W$10</x:f>
        <x:v>模型·标准小怪</x:v>
      </x:c>
      <x:c r="C47" s="6" t="str">
        <x:f>$X$10</x:f>
        <x:v>稻草人模型</x:v>
      </x:c>
      <x:c r="D47" s="6">
        <x:v>35</x:v>
      </x:c>
      <x:c r="E47" s="6">
        <x:v>10</x:v>
      </x:c>
      <x:c r="F47" s="12">
        <x:f>ROUND(J47*$W$4*H47,0)</x:f>
        <x:v>8988</x:v>
      </x:c>
      <x:c r="G47" s="12">
        <x:f>ROUND(J47*$W$4*$W$5*I47,0)</x:f>
        <x:v>2247</x:v>
      </x:c>
      <x:c r="H47" s="11" t="n">
        <x:f>$Y$10</x:f>
        <x:v>1</x:v>
      </x:c>
      <x:c r="I47" s="11" t="n">
        <x:f>$Z$10</x:f>
        <x:v>3.3333333333333335</x:v>
      </x:c>
      <x:c r="J47" s="12">
        <x:f>英雄升级调参!$E$100</x:f>
        <x:v>2247</x:v>
      </x:c>
      <x:c r="K47" s="12">
        <x:f>英雄升级调参!$F$100</x:f>
        <x:v>22470</x:v>
      </x:c>
      <x:c r="L47" s="6" t="n">
        <x:f>ROUNDUP(F47/J47,0)</x:f>
        <x:v>4</x:v>
      </x:c>
      <x:c r="M47" s="6" t="n">
        <x:f>IF(G47=0,"无伤害",ROUNDUP(K47/MAX(1,ROUND(G47*$AC$10,0)),0))</x:f>
        <x:v>10</x:v>
      </x:c>
      <x:c r="N47" s="6" t="n">
        <x:f>ROUNDUP(F47/英雄升级调参!$H$100,0)</x:f>
        <x:v>3</x:v>
      </x:c>
      <x:c r="O47" s="6" t="n">
        <x:f>ROUNDUP(F47/英雄升级调参!$K$100,0)</x:f>
        <x:v>2</x:v>
      </x:c>
      <x:c r="P47" s="6" t="str">
        <x:f>$AA$10</x:f>
        <x:v>普通：4次标准普攻击杀；10次主要攻击致死</x:v>
      </x:c>
      <x:c r="Q47" s="6"/>
      <x:c r="R47" s="6"/>
      <x:c r="S47" s="6"/>
      <x:c r="T47" s="6"/>
      <x:c r="V47" s="6"/>
      <x:c r="W47" s="6"/>
      <x:c r="X47" s="6"/>
      <x:c r="Y47" s="6"/>
      <x:c r="Z47" s="6"/>
      <x:c r="AA47" s="6"/>
      <x:c r="AB47" s="6"/>
      <x:c r="AC47" s="6"/>
      <x:c r="AD47" s="6"/>
      <x:c r="AE47" s="6"/>
      <x:c r="AF47" s="6"/>
      <x:c r="AG47" s="6"/>
    </x:row>
    <x:row r="48" ht="21.950000762939453" customHeight="1">
      <x:c r="A48" s="14" t="str">
        <x:f>$V$10</x:f>
        <x:v>MODEL_BASE</x:v>
      </x:c>
      <x:c r="B48" s="14" t="str">
        <x:f>$W$10</x:f>
        <x:v>模型·标准小怪</x:v>
      </x:c>
      <x:c r="C48" s="6" t="str">
        <x:f>$X$10</x:f>
        <x:v>稻草人模型</x:v>
      </x:c>
      <x:c r="D48" s="6">
        <x:v>36</x:v>
      </x:c>
      <x:c r="E48" s="6">
        <x:v>10</x:v>
      </x:c>
      <x:c r="F48" s="12">
        <x:f>ROUND(J48*$W$4*H48,0)</x:f>
        <x:v>9312</x:v>
      </x:c>
      <x:c r="G48" s="12">
        <x:f>ROUND(J48*$W$4*$W$5*I48,0)</x:f>
        <x:v>2328</x:v>
      </x:c>
      <x:c r="H48" s="11" t="n">
        <x:f>$Y$10</x:f>
        <x:v>1</x:v>
      </x:c>
      <x:c r="I48" s="11" t="n">
        <x:f>$Z$10</x:f>
        <x:v>3.3333333333333335</x:v>
      </x:c>
      <x:c r="J48" s="12">
        <x:f>英雄升级调参!$E$101</x:f>
        <x:v>2328</x:v>
      </x:c>
      <x:c r="K48" s="12">
        <x:f>英雄升级调参!$F$101</x:f>
        <x:v>23280</x:v>
      </x:c>
      <x:c r="L48" s="6" t="n">
        <x:f>ROUNDUP(F48/J48,0)</x:f>
        <x:v>4</x:v>
      </x:c>
      <x:c r="M48" s="6" t="n">
        <x:f>IF(G48=0,"无伤害",ROUNDUP(K48/MAX(1,ROUND(G48*$AC$10,0)),0))</x:f>
        <x:v>10</x:v>
      </x:c>
      <x:c r="N48" s="6" t="n">
        <x:f>ROUNDUP(F48/英雄升级调参!$H$101,0)</x:f>
        <x:v>3</x:v>
      </x:c>
      <x:c r="O48" s="6" t="n">
        <x:f>ROUNDUP(F48/英雄升级调参!$K$101,0)</x:f>
        <x:v>2</x:v>
      </x:c>
      <x:c r="P48" s="6" t="str">
        <x:f>$AA$10</x:f>
        <x:v>普通：4次标准普攻击杀；10次主要攻击致死</x:v>
      </x:c>
      <x:c r="Q48" s="6"/>
      <x:c r="R48" s="6"/>
      <x:c r="S48" s="6"/>
      <x:c r="T48" s="6"/>
      <x:c r="V48" s="6"/>
      <x:c r="W48" s="6"/>
      <x:c r="X48" s="6"/>
      <x:c r="Y48" s="6"/>
      <x:c r="Z48" s="6"/>
      <x:c r="AA48" s="6"/>
      <x:c r="AB48" s="6"/>
      <x:c r="AC48" s="6"/>
      <x:c r="AD48" s="6"/>
      <x:c r="AE48" s="6"/>
      <x:c r="AF48" s="6"/>
      <x:c r="AG48" s="6"/>
    </x:row>
    <x:row r="49" ht="21.950000762939453" customHeight="1">
      <x:c r="A49" s="14" t="str">
        <x:f>$V$10</x:f>
        <x:v>MODEL_BASE</x:v>
      </x:c>
      <x:c r="B49" s="14" t="str">
        <x:f>$W$10</x:f>
        <x:v>模型·标准小怪</x:v>
      </x:c>
      <x:c r="C49" s="6" t="str">
        <x:f>$X$10</x:f>
        <x:v>稻草人模型</x:v>
      </x:c>
      <x:c r="D49" s="6">
        <x:v>37</x:v>
      </x:c>
      <x:c r="E49" s="6">
        <x:v>10</x:v>
      </x:c>
      <x:c r="F49" s="12">
        <x:f>ROUND(J49*$W$4*H49,0)</x:f>
        <x:v>9636</x:v>
      </x:c>
      <x:c r="G49" s="12">
        <x:f>ROUND(J49*$W$4*$W$5*I49,0)</x:f>
        <x:v>2409</x:v>
      </x:c>
      <x:c r="H49" s="11" t="n">
        <x:f>$Y$10</x:f>
        <x:v>1</x:v>
      </x:c>
      <x:c r="I49" s="11" t="n">
        <x:f>$Z$10</x:f>
        <x:v>3.3333333333333335</x:v>
      </x:c>
      <x:c r="J49" s="12">
        <x:f>英雄升级调参!$E$102</x:f>
        <x:v>2409</x:v>
      </x:c>
      <x:c r="K49" s="12">
        <x:f>英雄升级调参!$F$102</x:f>
        <x:v>24090</x:v>
      </x:c>
      <x:c r="L49" s="6" t="n">
        <x:f>ROUNDUP(F49/J49,0)</x:f>
        <x:v>4</x:v>
      </x:c>
      <x:c r="M49" s="6" t="n">
        <x:f>IF(G49=0,"无伤害",ROUNDUP(K49/MAX(1,ROUND(G49*$AC$10,0)),0))</x:f>
        <x:v>10</x:v>
      </x:c>
      <x:c r="N49" s="6" t="n">
        <x:f>ROUNDUP(F49/英雄升级调参!$H$102,0)</x:f>
        <x:v>3</x:v>
      </x:c>
      <x:c r="O49" s="6" t="n">
        <x:f>ROUNDUP(F49/英雄升级调参!$K$102,0)</x:f>
        <x:v>2</x:v>
      </x:c>
      <x:c r="P49" s="6" t="str">
        <x:f>$AA$10</x:f>
        <x:v>普通：4次标准普攻击杀；10次主要攻击致死</x:v>
      </x:c>
      <x:c r="Q49" s="6"/>
      <x:c r="R49" s="6"/>
      <x:c r="S49" s="6"/>
      <x:c r="T49" s="6"/>
      <x:c r="V49" s="6"/>
      <x:c r="W49" s="6"/>
      <x:c r="X49" s="6"/>
      <x:c r="Y49" s="6"/>
      <x:c r="Z49" s="6"/>
      <x:c r="AA49" s="6"/>
      <x:c r="AB49" s="6"/>
      <x:c r="AC49" s="6"/>
      <x:c r="AD49" s="6"/>
      <x:c r="AE49" s="6"/>
      <x:c r="AF49" s="6"/>
      <x:c r="AG49" s="6"/>
    </x:row>
    <x:row r="50" ht="21.950000762939453" customHeight="1">
      <x:c r="A50" s="14" t="str">
        <x:f>$V$10</x:f>
        <x:v>MODEL_BASE</x:v>
      </x:c>
      <x:c r="B50" s="14" t="str">
        <x:f>$W$10</x:f>
        <x:v>模型·标准小怪</x:v>
      </x:c>
      <x:c r="C50" s="6" t="str">
        <x:f>$X$10</x:f>
        <x:v>稻草人模型</x:v>
      </x:c>
      <x:c r="D50" s="6">
        <x:v>38</x:v>
      </x:c>
      <x:c r="E50" s="6">
        <x:v>10</x:v>
      </x:c>
      <x:c r="F50" s="12">
        <x:f>ROUND(J50*$W$4*H50,0)</x:f>
        <x:v>9960</x:v>
      </x:c>
      <x:c r="G50" s="12">
        <x:f>ROUND(J50*$W$4*$W$5*I50,0)</x:f>
        <x:v>2490</x:v>
      </x:c>
      <x:c r="H50" s="11" t="n">
        <x:f>$Y$10</x:f>
        <x:v>1</x:v>
      </x:c>
      <x:c r="I50" s="11" t="n">
        <x:f>$Z$10</x:f>
        <x:v>3.3333333333333335</x:v>
      </x:c>
      <x:c r="J50" s="12">
        <x:f>英雄升级调参!$E$103</x:f>
        <x:v>2490</x:v>
      </x:c>
      <x:c r="K50" s="12">
        <x:f>英雄升级调参!$F$103</x:f>
        <x:v>24900</x:v>
      </x:c>
      <x:c r="L50" s="6" t="n">
        <x:f>ROUNDUP(F50/J50,0)</x:f>
        <x:v>4</x:v>
      </x:c>
      <x:c r="M50" s="6" t="n">
        <x:f>IF(G50=0,"无伤害",ROUNDUP(K50/MAX(1,ROUND(G50*$AC$10,0)),0))</x:f>
        <x:v>10</x:v>
      </x:c>
      <x:c r="N50" s="6" t="n">
        <x:f>ROUNDUP(F50/英雄升级调参!$H$103,0)</x:f>
        <x:v>3</x:v>
      </x:c>
      <x:c r="O50" s="6" t="n">
        <x:f>ROUNDUP(F50/英雄升级调参!$K$103,0)</x:f>
        <x:v>2</x:v>
      </x:c>
      <x:c r="P50" s="6" t="str">
        <x:f>$AA$10</x:f>
        <x:v>普通：4次标准普攻击杀；10次主要攻击致死</x:v>
      </x:c>
      <x:c r="Q50" s="6"/>
      <x:c r="R50" s="6"/>
      <x:c r="S50" s="6"/>
      <x:c r="T50" s="6"/>
      <x:c r="V50" s="6"/>
      <x:c r="W50" s="6"/>
      <x:c r="X50" s="6"/>
      <x:c r="Y50" s="6"/>
      <x:c r="Z50" s="6"/>
      <x:c r="AA50" s="6"/>
      <x:c r="AB50" s="6"/>
      <x:c r="AC50" s="6"/>
      <x:c r="AD50" s="6"/>
      <x:c r="AE50" s="6"/>
      <x:c r="AF50" s="6"/>
      <x:c r="AG50" s="6"/>
    </x:row>
    <x:row r="51" ht="21.950000762939453" customHeight="1">
      <x:c r="A51" s="14" t="str">
        <x:f>$V$10</x:f>
        <x:v>MODEL_BASE</x:v>
      </x:c>
      <x:c r="B51" s="14" t="str">
        <x:f>$W$10</x:f>
        <x:v>模型·标准小怪</x:v>
      </x:c>
      <x:c r="C51" s="6" t="str">
        <x:f>$X$10</x:f>
        <x:v>稻草人模型</x:v>
      </x:c>
      <x:c r="D51" s="6">
        <x:v>39</x:v>
      </x:c>
      <x:c r="E51" s="6">
        <x:v>10</x:v>
      </x:c>
      <x:c r="F51" s="12">
        <x:f>ROUND(J51*$W$4*H51,0)</x:f>
        <x:v>10284</x:v>
      </x:c>
      <x:c r="G51" s="12">
        <x:f>ROUND(J51*$W$4*$W$5*I51,0)</x:f>
        <x:v>2571</x:v>
      </x:c>
      <x:c r="H51" s="11" t="n">
        <x:f>$Y$10</x:f>
        <x:v>1</x:v>
      </x:c>
      <x:c r="I51" s="11" t="n">
        <x:f>$Z$10</x:f>
        <x:v>3.3333333333333335</x:v>
      </x:c>
      <x:c r="J51" s="12">
        <x:f>英雄升级调参!$E$104</x:f>
        <x:v>2571</x:v>
      </x:c>
      <x:c r="K51" s="12">
        <x:f>英雄升级调参!$F$104</x:f>
        <x:v>25710</x:v>
      </x:c>
      <x:c r="L51" s="6" t="n">
        <x:f>ROUNDUP(F51/J51,0)</x:f>
        <x:v>4</x:v>
      </x:c>
      <x:c r="M51" s="6" t="n">
        <x:f>IF(G51=0,"无伤害",ROUNDUP(K51/MAX(1,ROUND(G51*$AC$10,0)),0))</x:f>
        <x:v>10</x:v>
      </x:c>
      <x:c r="N51" s="6" t="n">
        <x:f>ROUNDUP(F51/英雄升级调参!$H$104,0)</x:f>
        <x:v>3</x:v>
      </x:c>
      <x:c r="O51" s="6" t="n">
        <x:f>ROUNDUP(F51/英雄升级调参!$K$104,0)</x:f>
        <x:v>2</x:v>
      </x:c>
      <x:c r="P51" s="6" t="str">
        <x:f>$AA$10</x:f>
        <x:v>普通：4次标准普攻击杀；10次主要攻击致死</x:v>
      </x:c>
      <x:c r="Q51" s="6"/>
      <x:c r="R51" s="6"/>
      <x:c r="S51" s="6"/>
      <x:c r="T51" s="6"/>
      <x:c r="V51" s="6"/>
      <x:c r="W51" s="6"/>
      <x:c r="X51" s="6"/>
      <x:c r="Y51" s="6"/>
      <x:c r="Z51" s="6"/>
      <x:c r="AA51" s="6"/>
      <x:c r="AB51" s="6"/>
      <x:c r="AC51" s="6"/>
      <x:c r="AD51" s="6"/>
      <x:c r="AE51" s="6"/>
      <x:c r="AF51" s="6"/>
      <x:c r="AG51" s="6"/>
    </x:row>
    <x:row r="52" ht="21.950000762939453" customHeight="1">
      <x:c r="A52" s="14" t="str">
        <x:f>$V$10</x:f>
        <x:v>MODEL_BASE</x:v>
      </x:c>
      <x:c r="B52" s="14" t="str">
        <x:f>$W$10</x:f>
        <x:v>模型·标准小怪</x:v>
      </x:c>
      <x:c r="C52" s="6" t="str">
        <x:f>$X$10</x:f>
        <x:v>稻草人模型</x:v>
      </x:c>
      <x:c r="D52" s="6">
        <x:v>40</x:v>
      </x:c>
      <x:c r="E52" s="6">
        <x:v>10</x:v>
      </x:c>
      <x:c r="F52" s="12">
        <x:f>ROUND(J52*$W$4*H52,0)</x:f>
        <x:v>11256</x:v>
      </x:c>
      <x:c r="G52" s="12">
        <x:f>ROUND(J52*$W$4*$W$5*I52,0)</x:f>
        <x:v>2814</x:v>
      </x:c>
      <x:c r="H52" s="11" t="n">
        <x:f>$Y$10</x:f>
        <x:v>1</x:v>
      </x:c>
      <x:c r="I52" s="11" t="n">
        <x:f>$Z$10</x:f>
        <x:v>3.3333333333333335</x:v>
      </x:c>
      <x:c r="J52" s="12">
        <x:f>英雄升级调参!$E$105</x:f>
        <x:v>2814</x:v>
      </x:c>
      <x:c r="K52" s="12">
        <x:f>英雄升级调参!$F$105</x:f>
        <x:v>28140</x:v>
      </x:c>
      <x:c r="L52" s="6" t="n">
        <x:f>ROUNDUP(F52/J52,0)</x:f>
        <x:v>4</x:v>
      </x:c>
      <x:c r="M52" s="6" t="n">
        <x:f>IF(G52=0,"无伤害",ROUNDUP(K52/MAX(1,ROUND(G52*$AC$10,0)),0))</x:f>
        <x:v>10</x:v>
      </x:c>
      <x:c r="N52" s="6" t="n">
        <x:f>ROUNDUP(F52/英雄升级调参!$H$105,0)</x:f>
        <x:v>3</x:v>
      </x:c>
      <x:c r="O52" s="6" t="n">
        <x:f>ROUNDUP(F52/英雄升级调参!$K$105,0)</x:f>
        <x:v>2</x:v>
      </x:c>
      <x:c r="P52" s="6" t="str">
        <x:f>$AA$10</x:f>
        <x:v>普通：4次标准普攻击杀；10次主要攻击致死</x:v>
      </x:c>
      <x:c r="Q52" s="6"/>
      <x:c r="R52" s="6"/>
      <x:c r="S52" s="6"/>
      <x:c r="T52" s="6"/>
      <x:c r="V52" s="6"/>
      <x:c r="W52" s="6"/>
      <x:c r="X52" s="6"/>
      <x:c r="Y52" s="6"/>
      <x:c r="Z52" s="6"/>
      <x:c r="AA52" s="6"/>
      <x:c r="AB52" s="6"/>
      <x:c r="AC52" s="6"/>
      <x:c r="AD52" s="6"/>
      <x:c r="AE52" s="6"/>
      <x:c r="AF52" s="6"/>
      <x:c r="AG52" s="6"/>
    </x:row>
    <x:row r="53" ht="21.950000762939453" customHeight="1">
      <x:c r="A53" s="14" t="str">
        <x:f>$V$10</x:f>
        <x:v>MODEL_BASE</x:v>
      </x:c>
      <x:c r="B53" s="14" t="str">
        <x:f>$W$10</x:f>
        <x:v>模型·标准小怪</x:v>
      </x:c>
      <x:c r="C53" s="6" t="str">
        <x:f>$X$10</x:f>
        <x:v>稻草人模型</x:v>
      </x:c>
      <x:c r="D53" s="6">
        <x:v>41</x:v>
      </x:c>
      <x:c r="E53" s="6">
        <x:v>10</x:v>
      </x:c>
      <x:c r="F53" s="12">
        <x:f>ROUND(J53*$W$4*H53,0)</x:f>
        <x:v>11616</x:v>
      </x:c>
      <x:c r="G53" s="12">
        <x:f>ROUND(J53*$W$4*$W$5*I53,0)</x:f>
        <x:v>2904</x:v>
      </x:c>
      <x:c r="H53" s="11" t="n">
        <x:f>$Y$10</x:f>
        <x:v>1</x:v>
      </x:c>
      <x:c r="I53" s="11" t="n">
        <x:f>$Z$10</x:f>
        <x:v>3.3333333333333335</x:v>
      </x:c>
      <x:c r="J53" s="12">
        <x:f>英雄升级调参!$E$106</x:f>
        <x:v>2904</x:v>
      </x:c>
      <x:c r="K53" s="12">
        <x:f>英雄升级调参!$F$106</x:f>
        <x:v>29040</x:v>
      </x:c>
      <x:c r="L53" s="6" t="n">
        <x:f>ROUNDUP(F53/J53,0)</x:f>
        <x:v>4</x:v>
      </x:c>
      <x:c r="M53" s="6" t="n">
        <x:f>IF(G53=0,"无伤害",ROUNDUP(K53/MAX(1,ROUND(G53*$AC$10,0)),0))</x:f>
        <x:v>10</x:v>
      </x:c>
      <x:c r="N53" s="6" t="n">
        <x:f>ROUNDUP(F53/英雄升级调参!$H$106,0)</x:f>
        <x:v>3</x:v>
      </x:c>
      <x:c r="O53" s="6" t="n">
        <x:f>ROUNDUP(F53/英雄升级调参!$K$106,0)</x:f>
        <x:v>2</x:v>
      </x:c>
      <x:c r="P53" s="6" t="str">
        <x:f>$AA$10</x:f>
        <x:v>普通：4次标准普攻击杀；10次主要攻击致死</x:v>
      </x:c>
      <x:c r="Q53" s="6"/>
      <x:c r="R53" s="6"/>
      <x:c r="S53" s="6"/>
      <x:c r="T53" s="6"/>
      <x:c r="V53" s="6"/>
      <x:c r="W53" s="6"/>
      <x:c r="X53" s="6"/>
      <x:c r="Y53" s="6"/>
      <x:c r="Z53" s="6"/>
      <x:c r="AA53" s="6"/>
      <x:c r="AB53" s="6"/>
      <x:c r="AC53" s="6"/>
      <x:c r="AD53" s="6"/>
      <x:c r="AE53" s="6"/>
      <x:c r="AF53" s="6"/>
      <x:c r="AG53" s="6"/>
    </x:row>
    <x:row r="54" ht="21.950000762939453" customHeight="1">
      <x:c r="A54" s="14" t="str">
        <x:f>$V$10</x:f>
        <x:v>MODEL_BASE</x:v>
      </x:c>
      <x:c r="B54" s="14" t="str">
        <x:f>$W$10</x:f>
        <x:v>模型·标准小怪</x:v>
      </x:c>
      <x:c r="C54" s="6" t="str">
        <x:f>$X$10</x:f>
        <x:v>稻草人模型</x:v>
      </x:c>
      <x:c r="D54" s="6">
        <x:v>42</x:v>
      </x:c>
      <x:c r="E54" s="6">
        <x:v>10</x:v>
      </x:c>
      <x:c r="F54" s="12">
        <x:f>ROUND(J54*$W$4*H54,0)</x:f>
        <x:v>11976</x:v>
      </x:c>
      <x:c r="G54" s="12">
        <x:f>ROUND(J54*$W$4*$W$5*I54,0)</x:f>
        <x:v>2994</x:v>
      </x:c>
      <x:c r="H54" s="11" t="n">
        <x:f>$Y$10</x:f>
        <x:v>1</x:v>
      </x:c>
      <x:c r="I54" s="11" t="n">
        <x:f>$Z$10</x:f>
        <x:v>3.3333333333333335</x:v>
      </x:c>
      <x:c r="J54" s="12">
        <x:f>英雄升级调参!$E$107</x:f>
        <x:v>2994</x:v>
      </x:c>
      <x:c r="K54" s="12">
        <x:f>英雄升级调参!$F$107</x:f>
        <x:v>29940</x:v>
      </x:c>
      <x:c r="L54" s="6" t="n">
        <x:f>ROUNDUP(F54/J54,0)</x:f>
        <x:v>4</x:v>
      </x:c>
      <x:c r="M54" s="6" t="n">
        <x:f>IF(G54=0,"无伤害",ROUNDUP(K54/MAX(1,ROUND(G54*$AC$10,0)),0))</x:f>
        <x:v>10</x:v>
      </x:c>
      <x:c r="N54" s="6" t="n">
        <x:f>ROUNDUP(F54/英雄升级调参!$H$107,0)</x:f>
        <x:v>3</x:v>
      </x:c>
      <x:c r="O54" s="6" t="n">
        <x:f>ROUNDUP(F54/英雄升级调参!$K$107,0)</x:f>
        <x:v>2</x:v>
      </x:c>
      <x:c r="P54" s="6" t="str">
        <x:f>$AA$10</x:f>
        <x:v>普通：4次标准普攻击杀；10次主要攻击致死</x:v>
      </x:c>
      <x:c r="Q54" s="6"/>
      <x:c r="R54" s="6"/>
      <x:c r="S54" s="6"/>
      <x:c r="T54" s="6"/>
      <x:c r="V54" s="6"/>
      <x:c r="W54" s="6"/>
      <x:c r="X54" s="6"/>
      <x:c r="Y54" s="6"/>
      <x:c r="Z54" s="6"/>
      <x:c r="AA54" s="6"/>
      <x:c r="AB54" s="6"/>
      <x:c r="AC54" s="6"/>
      <x:c r="AD54" s="6"/>
      <x:c r="AE54" s="6"/>
      <x:c r="AF54" s="6"/>
      <x:c r="AG54" s="6"/>
    </x:row>
    <x:row r="55" ht="21.950000762939453" customHeight="1">
      <x:c r="A55" s="14" t="str">
        <x:f>$V$10</x:f>
        <x:v>MODEL_BASE</x:v>
      </x:c>
      <x:c r="B55" s="14" t="str">
        <x:f>$W$10</x:f>
        <x:v>模型·标准小怪</x:v>
      </x:c>
      <x:c r="C55" s="6" t="str">
        <x:f>$X$10</x:f>
        <x:v>稻草人模型</x:v>
      </x:c>
      <x:c r="D55" s="6">
        <x:v>43</x:v>
      </x:c>
      <x:c r="E55" s="6">
        <x:v>10</x:v>
      </x:c>
      <x:c r="F55" s="12">
        <x:f>ROUND(J55*$W$4*H55,0)</x:f>
        <x:v>12336</x:v>
      </x:c>
      <x:c r="G55" s="12">
        <x:f>ROUND(J55*$W$4*$W$5*I55,0)</x:f>
        <x:v>3084</x:v>
      </x:c>
      <x:c r="H55" s="11" t="n">
        <x:f>$Y$10</x:f>
        <x:v>1</x:v>
      </x:c>
      <x:c r="I55" s="11" t="n">
        <x:f>$Z$10</x:f>
        <x:v>3.3333333333333335</x:v>
      </x:c>
      <x:c r="J55" s="12">
        <x:f>英雄升级调参!$E$108</x:f>
        <x:v>3084</x:v>
      </x:c>
      <x:c r="K55" s="12">
        <x:f>英雄升级调参!$F$108</x:f>
        <x:v>30840</x:v>
      </x:c>
      <x:c r="L55" s="6" t="n">
        <x:f>ROUNDUP(F55/J55,0)</x:f>
        <x:v>4</x:v>
      </x:c>
      <x:c r="M55" s="6" t="n">
        <x:f>IF(G55=0,"无伤害",ROUNDUP(K55/MAX(1,ROUND(G55*$AC$10,0)),0))</x:f>
        <x:v>10</x:v>
      </x:c>
      <x:c r="N55" s="6" t="n">
        <x:f>ROUNDUP(F55/英雄升级调参!$H$108,0)</x:f>
        <x:v>3</x:v>
      </x:c>
      <x:c r="O55" s="6" t="n">
        <x:f>ROUNDUP(F55/英雄升级调参!$K$108,0)</x:f>
        <x:v>2</x:v>
      </x:c>
      <x:c r="P55" s="6" t="str">
        <x:f>$AA$10</x:f>
        <x:v>普通：4次标准普攻击杀；10次主要攻击致死</x:v>
      </x:c>
      <x:c r="Q55" s="6"/>
      <x:c r="R55" s="6"/>
      <x:c r="S55" s="6"/>
      <x:c r="T55" s="6"/>
      <x:c r="V55" s="6"/>
      <x:c r="W55" s="6"/>
      <x:c r="X55" s="6"/>
      <x:c r="Y55" s="6"/>
      <x:c r="Z55" s="6"/>
      <x:c r="AA55" s="6"/>
      <x:c r="AB55" s="6"/>
      <x:c r="AC55" s="6"/>
      <x:c r="AD55" s="6"/>
      <x:c r="AE55" s="6"/>
      <x:c r="AF55" s="6"/>
      <x:c r="AG55" s="6"/>
    </x:row>
    <x:row r="56" ht="21.950000762939453" customHeight="1">
      <x:c r="A56" s="14" t="str">
        <x:f>$V$10</x:f>
        <x:v>MODEL_BASE</x:v>
      </x:c>
      <x:c r="B56" s="14" t="str">
        <x:f>$W$10</x:f>
        <x:v>模型·标准小怪</x:v>
      </x:c>
      <x:c r="C56" s="6" t="str">
        <x:f>$X$10</x:f>
        <x:v>稻草人模型</x:v>
      </x:c>
      <x:c r="D56" s="6">
        <x:v>44</x:v>
      </x:c>
      <x:c r="E56" s="6">
        <x:v>10</x:v>
      </x:c>
      <x:c r="F56" s="12">
        <x:f>ROUND(J56*$W$4*H56,0)</x:f>
        <x:v>12696</x:v>
      </x:c>
      <x:c r="G56" s="12">
        <x:f>ROUND(J56*$W$4*$W$5*I56,0)</x:f>
        <x:v>3174</x:v>
      </x:c>
      <x:c r="H56" s="11" t="n">
        <x:f>$Y$10</x:f>
        <x:v>1</x:v>
      </x:c>
      <x:c r="I56" s="11" t="n">
        <x:f>$Z$10</x:f>
        <x:v>3.3333333333333335</x:v>
      </x:c>
      <x:c r="J56" s="12">
        <x:f>英雄升级调参!$E$109</x:f>
        <x:v>3174</x:v>
      </x:c>
      <x:c r="K56" s="12">
        <x:f>英雄升级调参!$F$109</x:f>
        <x:v>31740</x:v>
      </x:c>
      <x:c r="L56" s="6" t="n">
        <x:f>ROUNDUP(F56/J56,0)</x:f>
        <x:v>4</x:v>
      </x:c>
      <x:c r="M56" s="6" t="n">
        <x:f>IF(G56=0,"无伤害",ROUNDUP(K56/MAX(1,ROUND(G56*$AC$10,0)),0))</x:f>
        <x:v>10</x:v>
      </x:c>
      <x:c r="N56" s="6" t="n">
        <x:f>ROUNDUP(F56/英雄升级调参!$H$109,0)</x:f>
        <x:v>3</x:v>
      </x:c>
      <x:c r="O56" s="6" t="n">
        <x:f>ROUNDUP(F56/英雄升级调参!$K$109,0)</x:f>
        <x:v>2</x:v>
      </x:c>
      <x:c r="P56" s="6" t="str">
        <x:f>$AA$10</x:f>
        <x:v>普通：4次标准普攻击杀；10次主要攻击致死</x:v>
      </x:c>
      <x:c r="Q56" s="6"/>
      <x:c r="R56" s="6"/>
      <x:c r="S56" s="6"/>
      <x:c r="T56" s="6"/>
      <x:c r="V56" s="6"/>
      <x:c r="W56" s="6"/>
      <x:c r="X56" s="6"/>
      <x:c r="Y56" s="6"/>
      <x:c r="Z56" s="6"/>
      <x:c r="AA56" s="6"/>
      <x:c r="AB56" s="6"/>
      <x:c r="AC56" s="6"/>
      <x:c r="AD56" s="6"/>
      <x:c r="AE56" s="6"/>
      <x:c r="AF56" s="6"/>
      <x:c r="AG56" s="6"/>
    </x:row>
    <x:row r="57" ht="21.950000762939453" customHeight="1">
      <x:c r="A57" s="14" t="str">
        <x:f>$V$10</x:f>
        <x:v>MODEL_BASE</x:v>
      </x:c>
      <x:c r="B57" s="14" t="str">
        <x:f>$W$10</x:f>
        <x:v>模型·标准小怪</x:v>
      </x:c>
      <x:c r="C57" s="6" t="str">
        <x:f>$X$10</x:f>
        <x:v>稻草人模型</x:v>
      </x:c>
      <x:c r="D57" s="6">
        <x:v>45</x:v>
      </x:c>
      <x:c r="E57" s="6">
        <x:v>10</x:v>
      </x:c>
      <x:c r="F57" s="12">
        <x:f>ROUND(J57*$W$4*H57,0)</x:f>
        <x:v>13776</x:v>
      </x:c>
      <x:c r="G57" s="12">
        <x:f>ROUND(J57*$W$4*$W$5*I57,0)</x:f>
        <x:v>3444</x:v>
      </x:c>
      <x:c r="H57" s="11" t="n">
        <x:f>$Y$10</x:f>
        <x:v>1</x:v>
      </x:c>
      <x:c r="I57" s="11" t="n">
        <x:f>$Z$10</x:f>
        <x:v>3.3333333333333335</x:v>
      </x:c>
      <x:c r="J57" s="12">
        <x:f>英雄升级调参!$E$110</x:f>
        <x:v>3444</x:v>
      </x:c>
      <x:c r="K57" s="12">
        <x:f>英雄升级调参!$F$110</x:f>
        <x:v>34440</x:v>
      </x:c>
      <x:c r="L57" s="6" t="n">
        <x:f>ROUNDUP(F57/J57,0)</x:f>
        <x:v>4</x:v>
      </x:c>
      <x:c r="M57" s="6" t="n">
        <x:f>IF(G57=0,"无伤害",ROUNDUP(K57/MAX(1,ROUND(G57*$AC$10,0)),0))</x:f>
        <x:v>10</x:v>
      </x:c>
      <x:c r="N57" s="6" t="n">
        <x:f>ROUNDUP(F57/英雄升级调参!$H$110,0)</x:f>
        <x:v>3</x:v>
      </x:c>
      <x:c r="O57" s="6" t="n">
        <x:f>ROUNDUP(F57/英雄升级调参!$K$110,0)</x:f>
        <x:v>2</x:v>
      </x:c>
      <x:c r="P57" s="6" t="str">
        <x:f>$AA$10</x:f>
        <x:v>普通：4次标准普攻击杀；10次主要攻击致死</x:v>
      </x:c>
      <x:c r="Q57" s="6"/>
      <x:c r="R57" s="6"/>
      <x:c r="S57" s="6"/>
      <x:c r="T57" s="6"/>
      <x:c r="V57" s="6"/>
      <x:c r="W57" s="6"/>
      <x:c r="X57" s="6"/>
      <x:c r="Y57" s="6"/>
      <x:c r="Z57" s="6"/>
      <x:c r="AA57" s="6"/>
      <x:c r="AB57" s="6"/>
      <x:c r="AC57" s="6"/>
      <x:c r="AD57" s="6"/>
      <x:c r="AE57" s="6"/>
      <x:c r="AF57" s="6"/>
      <x:c r="AG57" s="6"/>
    </x:row>
    <x:row r="58" ht="21.950000762939453" customHeight="1">
      <x:c r="A58" s="14" t="str">
        <x:f>$V$10</x:f>
        <x:v>MODEL_BASE</x:v>
      </x:c>
      <x:c r="B58" s="14" t="str">
        <x:f>$W$10</x:f>
        <x:v>模型·标准小怪</x:v>
      </x:c>
      <x:c r="C58" s="6" t="str">
        <x:f>$X$10</x:f>
        <x:v>稻草人模型</x:v>
      </x:c>
      <x:c r="D58" s="6">
        <x:v>46</x:v>
      </x:c>
      <x:c r="E58" s="6">
        <x:v>10</x:v>
      </x:c>
      <x:c r="F58" s="12">
        <x:f>ROUND(J58*$W$4*H58,0)</x:f>
        <x:v>14172</x:v>
      </x:c>
      <x:c r="G58" s="12">
        <x:f>ROUND(J58*$W$4*$W$5*I58,0)</x:f>
        <x:v>3543</x:v>
      </x:c>
      <x:c r="H58" s="11" t="n">
        <x:f>$Y$10</x:f>
        <x:v>1</x:v>
      </x:c>
      <x:c r="I58" s="11" t="n">
        <x:f>$Z$10</x:f>
        <x:v>3.3333333333333335</x:v>
      </x:c>
      <x:c r="J58" s="12">
        <x:f>英雄升级调参!$E$111</x:f>
        <x:v>3543</x:v>
      </x:c>
      <x:c r="K58" s="12">
        <x:f>英雄升级调参!$F$111</x:f>
        <x:v>35430</x:v>
      </x:c>
      <x:c r="L58" s="6" t="n">
        <x:f>ROUNDUP(F58/J58,0)</x:f>
        <x:v>4</x:v>
      </x:c>
      <x:c r="M58" s="6" t="n">
        <x:f>IF(G58=0,"无伤害",ROUNDUP(K58/MAX(1,ROUND(G58*$AC$10,0)),0))</x:f>
        <x:v>10</x:v>
      </x:c>
      <x:c r="N58" s="6" t="n">
        <x:f>ROUNDUP(F58/英雄升级调参!$H$111,0)</x:f>
        <x:v>3</x:v>
      </x:c>
      <x:c r="O58" s="6" t="n">
        <x:f>ROUNDUP(F58/英雄升级调参!$K$111,0)</x:f>
        <x:v>2</x:v>
      </x:c>
      <x:c r="P58" s="6" t="str">
        <x:f>$AA$10</x:f>
        <x:v>普通：4次标准普攻击杀；10次主要攻击致死</x:v>
      </x:c>
      <x:c r="Q58" s="6"/>
      <x:c r="R58" s="6"/>
      <x:c r="S58" s="6"/>
      <x:c r="T58" s="6"/>
      <x:c r="V58" s="6"/>
      <x:c r="W58" s="6"/>
      <x:c r="X58" s="6"/>
      <x:c r="Y58" s="6"/>
      <x:c r="Z58" s="6"/>
      <x:c r="AA58" s="6"/>
      <x:c r="AB58" s="6"/>
      <x:c r="AC58" s="6"/>
      <x:c r="AD58" s="6"/>
      <x:c r="AE58" s="6"/>
      <x:c r="AF58" s="6"/>
      <x:c r="AG58" s="6"/>
    </x:row>
    <x:row r="59" ht="21.950000762939453" customHeight="1">
      <x:c r="A59" s="14" t="str">
        <x:f>$V$10</x:f>
        <x:v>MODEL_BASE</x:v>
      </x:c>
      <x:c r="B59" s="14" t="str">
        <x:f>$W$10</x:f>
        <x:v>模型·标准小怪</x:v>
      </x:c>
      <x:c r="C59" s="6" t="str">
        <x:f>$X$10</x:f>
        <x:v>稻草人模型</x:v>
      </x:c>
      <x:c r="D59" s="6">
        <x:v>47</x:v>
      </x:c>
      <x:c r="E59" s="6">
        <x:v>10</x:v>
      </x:c>
      <x:c r="F59" s="12">
        <x:f>ROUND(J59*$W$4*H59,0)</x:f>
        <x:v>14568</x:v>
      </x:c>
      <x:c r="G59" s="12">
        <x:f>ROUND(J59*$W$4*$W$5*I59,0)</x:f>
        <x:v>3642</x:v>
      </x:c>
      <x:c r="H59" s="11" t="n">
        <x:f>$Y$10</x:f>
        <x:v>1</x:v>
      </x:c>
      <x:c r="I59" s="11" t="n">
        <x:f>$Z$10</x:f>
        <x:v>3.3333333333333335</x:v>
      </x:c>
      <x:c r="J59" s="12">
        <x:f>英雄升级调参!$E$112</x:f>
        <x:v>3642</x:v>
      </x:c>
      <x:c r="K59" s="12">
        <x:f>英雄升级调参!$F$112</x:f>
        <x:v>36420</x:v>
      </x:c>
      <x:c r="L59" s="6" t="n">
        <x:f>ROUNDUP(F59/J59,0)</x:f>
        <x:v>4</x:v>
      </x:c>
      <x:c r="M59" s="6" t="n">
        <x:f>IF(G59=0,"无伤害",ROUNDUP(K59/MAX(1,ROUND(G59*$AC$10,0)),0))</x:f>
        <x:v>10</x:v>
      </x:c>
      <x:c r="N59" s="6" t="n">
        <x:f>ROUNDUP(F59/英雄升级调参!$H$112,0)</x:f>
        <x:v>3</x:v>
      </x:c>
      <x:c r="O59" s="6" t="n">
        <x:f>ROUNDUP(F59/英雄升级调参!$K$112,0)</x:f>
        <x:v>2</x:v>
      </x:c>
      <x:c r="P59" s="6" t="str">
        <x:f>$AA$10</x:f>
        <x:v>普通：4次标准普攻击杀；10次主要攻击致死</x:v>
      </x:c>
      <x:c r="Q59" s="6"/>
      <x:c r="R59" s="6"/>
      <x:c r="S59" s="6"/>
      <x:c r="T59" s="6"/>
      <x:c r="V59" s="6"/>
      <x:c r="W59" s="6"/>
      <x:c r="X59" s="6"/>
      <x:c r="Y59" s="6"/>
      <x:c r="Z59" s="6"/>
      <x:c r="AA59" s="6"/>
      <x:c r="AB59" s="6"/>
      <x:c r="AC59" s="6"/>
      <x:c r="AD59" s="6"/>
      <x:c r="AE59" s="6"/>
      <x:c r="AF59" s="6"/>
      <x:c r="AG59" s="6"/>
    </x:row>
    <x:row r="60" ht="21.950000762939453" customHeight="1">
      <x:c r="A60" s="14" t="str">
        <x:f>$V$10</x:f>
        <x:v>MODEL_BASE</x:v>
      </x:c>
      <x:c r="B60" s="14" t="str">
        <x:f>$W$10</x:f>
        <x:v>模型·标准小怪</x:v>
      </x:c>
      <x:c r="C60" s="6" t="str">
        <x:f>$X$10</x:f>
        <x:v>稻草人模型</x:v>
      </x:c>
      <x:c r="D60" s="6">
        <x:v>48</x:v>
      </x:c>
      <x:c r="E60" s="6">
        <x:v>10</x:v>
      </x:c>
      <x:c r="F60" s="12">
        <x:f>ROUND(J60*$W$4*H60,0)</x:f>
        <x:v>14964</x:v>
      </x:c>
      <x:c r="G60" s="12">
        <x:f>ROUND(J60*$W$4*$W$5*I60,0)</x:f>
        <x:v>3741</x:v>
      </x:c>
      <x:c r="H60" s="11" t="n">
        <x:f>$Y$10</x:f>
        <x:v>1</x:v>
      </x:c>
      <x:c r="I60" s="11" t="n">
        <x:f>$Z$10</x:f>
        <x:v>3.3333333333333335</x:v>
      </x:c>
      <x:c r="J60" s="12">
        <x:f>英雄升级调参!$E$113</x:f>
        <x:v>3741</x:v>
      </x:c>
      <x:c r="K60" s="12">
        <x:f>英雄升级调参!$F$113</x:f>
        <x:v>37410</x:v>
      </x:c>
      <x:c r="L60" s="6" t="n">
        <x:f>ROUNDUP(F60/J60,0)</x:f>
        <x:v>4</x:v>
      </x:c>
      <x:c r="M60" s="6" t="n">
        <x:f>IF(G60=0,"无伤害",ROUNDUP(K60/MAX(1,ROUND(G60*$AC$10,0)),0))</x:f>
        <x:v>10</x:v>
      </x:c>
      <x:c r="N60" s="6" t="n">
        <x:f>ROUNDUP(F60/英雄升级调参!$H$113,0)</x:f>
        <x:v>3</x:v>
      </x:c>
      <x:c r="O60" s="6" t="n">
        <x:f>ROUNDUP(F60/英雄升级调参!$K$113,0)</x:f>
        <x:v>2</x:v>
      </x:c>
      <x:c r="P60" s="6" t="str">
        <x:f>$AA$10</x:f>
        <x:v>普通：4次标准普攻击杀；10次主要攻击致死</x:v>
      </x:c>
      <x:c r="Q60" s="6"/>
      <x:c r="R60" s="6"/>
      <x:c r="S60" s="6"/>
      <x:c r="T60" s="6"/>
      <x:c r="V60" s="6"/>
      <x:c r="W60" s="6"/>
      <x:c r="X60" s="6"/>
      <x:c r="Y60" s="6"/>
      <x:c r="Z60" s="6"/>
      <x:c r="AA60" s="6"/>
      <x:c r="AB60" s="6"/>
      <x:c r="AC60" s="6"/>
      <x:c r="AD60" s="6"/>
      <x:c r="AE60" s="6"/>
      <x:c r="AF60" s="6"/>
      <x:c r="AG60" s="6"/>
    </x:row>
    <x:row r="61" ht="21.950000762939453" customHeight="1">
      <x:c r="A61" s="14" t="str">
        <x:f>$V$10</x:f>
        <x:v>MODEL_BASE</x:v>
      </x:c>
      <x:c r="B61" s="14" t="str">
        <x:f>$W$10</x:f>
        <x:v>模型·标准小怪</x:v>
      </x:c>
      <x:c r="C61" s="6" t="str">
        <x:f>$X$10</x:f>
        <x:v>稻草人模型</x:v>
      </x:c>
      <x:c r="D61" s="6">
        <x:v>49</x:v>
      </x:c>
      <x:c r="E61" s="6">
        <x:v>10</x:v>
      </x:c>
      <x:c r="F61" s="12">
        <x:f>ROUND(J61*$W$4*H61,0)</x:f>
        <x:v>15360</x:v>
      </x:c>
      <x:c r="G61" s="12">
        <x:f>ROUND(J61*$W$4*$W$5*I61,0)</x:f>
        <x:v>3840</x:v>
      </x:c>
      <x:c r="H61" s="11" t="n">
        <x:f>$Y$10</x:f>
        <x:v>1</x:v>
      </x:c>
      <x:c r="I61" s="11" t="n">
        <x:f>$Z$10</x:f>
        <x:v>3.3333333333333335</x:v>
      </x:c>
      <x:c r="J61" s="12">
        <x:f>英雄升级调参!$E$114</x:f>
        <x:v>3840</x:v>
      </x:c>
      <x:c r="K61" s="12">
        <x:f>英雄升级调参!$F$114</x:f>
        <x:v>38400</x:v>
      </x:c>
      <x:c r="L61" s="6" t="n">
        <x:f>ROUNDUP(F61/J61,0)</x:f>
        <x:v>4</x:v>
      </x:c>
      <x:c r="M61" s="6" t="n">
        <x:f>IF(G61=0,"无伤害",ROUNDUP(K61/MAX(1,ROUND(G61*$AC$10,0)),0))</x:f>
        <x:v>10</x:v>
      </x:c>
      <x:c r="N61" s="6" t="n">
        <x:f>ROUNDUP(F61/英雄升级调参!$H$114,0)</x:f>
        <x:v>3</x:v>
      </x:c>
      <x:c r="O61" s="6" t="n">
        <x:f>ROUNDUP(F61/英雄升级调参!$K$114,0)</x:f>
        <x:v>2</x:v>
      </x:c>
      <x:c r="P61" s="6" t="str">
        <x:f>$AA$10</x:f>
        <x:v>普通：4次标准普攻击杀；10次主要攻击致死</x:v>
      </x:c>
      <x:c r="Q61" s="6"/>
      <x:c r="R61" s="6"/>
      <x:c r="S61" s="6"/>
      <x:c r="T61" s="6"/>
      <x:c r="V61" s="6"/>
      <x:c r="W61" s="6"/>
      <x:c r="X61" s="6"/>
      <x:c r="Y61" s="6"/>
      <x:c r="Z61" s="6"/>
      <x:c r="AA61" s="6"/>
      <x:c r="AB61" s="6"/>
      <x:c r="AC61" s="6"/>
      <x:c r="AD61" s="6"/>
      <x:c r="AE61" s="6"/>
      <x:c r="AF61" s="6"/>
      <x:c r="AG61" s="6"/>
    </x:row>
    <x:row r="62" ht="21.950000762939453" customHeight="1">
      <x:c r="A62" s="14" t="str">
        <x:f>$V$10</x:f>
        <x:v>MODEL_BASE</x:v>
      </x:c>
      <x:c r="B62" s="14" t="str">
        <x:f>$W$10</x:f>
        <x:v>模型·标准小怪</x:v>
      </x:c>
      <x:c r="C62" s="6" t="str">
        <x:f>$X$10</x:f>
        <x:v>稻草人模型</x:v>
      </x:c>
      <x:c r="D62" s="6">
        <x:v>50</x:v>
      </x:c>
      <x:c r="E62" s="6">
        <x:v>10</x:v>
      </x:c>
      <x:c r="F62" s="12">
        <x:f>ROUND(J62*$W$4*H62,0)</x:f>
        <x:v>16548</x:v>
      </x:c>
      <x:c r="G62" s="12">
        <x:f>ROUND(J62*$W$4*$W$5*I62,0)</x:f>
        <x:v>4137</x:v>
      </x:c>
      <x:c r="H62" s="11" t="n">
        <x:f>$Y$10</x:f>
        <x:v>1</x:v>
      </x:c>
      <x:c r="I62" s="11" t="n">
        <x:f>$Z$10</x:f>
        <x:v>3.3333333333333335</x:v>
      </x:c>
      <x:c r="J62" s="12">
        <x:f>英雄升级调参!$E$115</x:f>
        <x:v>4137</x:v>
      </x:c>
      <x:c r="K62" s="12">
        <x:f>英雄升级调参!$F$115</x:f>
        <x:v>41370</x:v>
      </x:c>
      <x:c r="L62" s="6" t="n">
        <x:f>ROUNDUP(F62/J62,0)</x:f>
        <x:v>4</x:v>
      </x:c>
      <x:c r="M62" s="6" t="n">
        <x:f>IF(G62=0,"无伤害",ROUNDUP(K62/MAX(1,ROUND(G62*$AC$10,0)),0))</x:f>
        <x:v>10</x:v>
      </x:c>
      <x:c r="N62" s="6" t="n">
        <x:f>ROUNDUP(F62/英雄升级调参!$H$115,0)</x:f>
        <x:v>3</x:v>
      </x:c>
      <x:c r="O62" s="6" t="n">
        <x:f>ROUNDUP(F62/英雄升级调参!$K$115,0)</x:f>
        <x:v>2</x:v>
      </x:c>
      <x:c r="P62" s="6" t="str">
        <x:f>$AA$10</x:f>
        <x:v>普通：4次标准普攻击杀；10次主要攻击致死</x:v>
      </x:c>
      <x:c r="Q62" s="6"/>
      <x:c r="R62" s="6"/>
      <x:c r="S62" s="6"/>
      <x:c r="T62" s="6"/>
      <x:c r="V62" s="6"/>
      <x:c r="W62" s="6"/>
      <x:c r="X62" s="6"/>
      <x:c r="Y62" s="6"/>
      <x:c r="Z62" s="6"/>
      <x:c r="AA62" s="6"/>
      <x:c r="AB62" s="6"/>
      <x:c r="AC62" s="6"/>
      <x:c r="AD62" s="6"/>
      <x:c r="AE62" s="6"/>
      <x:c r="AF62" s="6"/>
      <x:c r="AG62" s="6"/>
    </x:row>
    <x:row r="63" ht="21.950000762939453" customHeight="1">
      <x:c r="A63" s="14" t="str">
        <x:f>$V$11</x:f>
        <x:v>MODEL_AIR</x:v>
      </x:c>
      <x:c r="B63" s="14" t="str">
        <x:f>$W$11</x:f>
        <x:v>模型·飞行小怪</x:v>
      </x:c>
      <x:c r="C63" s="6" t="str">
        <x:f>$X$11</x:f>
        <x:v>稻草人模型</x:v>
      </x:c>
      <x:c r="D63" s="6">
        <x:v>1</x:v>
      </x:c>
      <x:c r="E63" s="6">
        <x:v>11</x:v>
      </x:c>
      <x:c r="F63" s="12" t="n">
        <x:f>ROUND(J63*$W$4*H63,0)</x:f>
        <x:v>180</x:v>
      </x:c>
      <x:c r="G63" s="12" t="n">
        <x:f>ROUND(J63*$W$4*$W$5*I63,0)</x:f>
        <x:v>60</x:v>
      </x:c>
      <x:c r="H63" s="11" t="n">
        <x:f>$Y$11</x:f>
        <x:v>0.75</x:v>
      </x:c>
      <x:c r="I63" s="11" t="n">
        <x:f>$Z$11</x:f>
        <x:v>3.3333333333333335</x:v>
      </x:c>
      <x:c r="J63" s="12" t="n">
        <x:f>英雄升级调参!$E$66</x:f>
        <x:v>60</x:v>
      </x:c>
      <x:c r="K63" s="12" t="n">
        <x:f>英雄升级调参!$F$66</x:f>
        <x:v>600</x:v>
      </x:c>
      <x:c r="L63" s="6" t="n">
        <x:f>ROUNDUP(F63/J63,0)</x:f>
        <x:v>3</x:v>
      </x:c>
      <x:c r="M63" s="6" t="n">
        <x:f>IF(G63=0,"无伤害",ROUNDUP(K63/MAX(1,ROUND(G63*$AC$11,0)),0))</x:f>
        <x:v>10</x:v>
      </x:c>
      <x:c r="N63" s="6">
        <x:f>ROUNDUP(F63/英雄升级调参!$H$66,0)</x:f>
        <x:v>1</x:v>
      </x:c>
      <x:c r="O63" s="6">
        <x:f>ROUNDUP(F63/英雄升级调参!$K$66,0)</x:f>
        <x:v>1</x:v>
      </x:c>
      <x:c r="P63" s="6" t="str">
        <x:f>$AA$11</x:f>
        <x:v>普通：3次标准普攻击杀；10次主要攻击致死</x:v>
      </x:c>
      <x:c r="Q63" s="6"/>
      <x:c r="R63" s="6"/>
      <x:c r="S63" s="6"/>
      <x:c r="T63" s="6"/>
      <x:c r="V63" s="6"/>
      <x:c r="W63" s="6"/>
      <x:c r="X63" s="6"/>
      <x:c r="Y63" s="6"/>
      <x:c r="Z63" s="6"/>
      <x:c r="AA63" s="6"/>
      <x:c r="AB63" s="6"/>
      <x:c r="AC63" s="6"/>
      <x:c r="AD63" s="6"/>
      <x:c r="AE63" s="6"/>
      <x:c r="AF63" s="6"/>
      <x:c r="AG63" s="6"/>
    </x:row>
    <x:row r="64" ht="21.950000762939453" customHeight="1">
      <x:c r="A64" s="14" t="str">
        <x:f>$V$11</x:f>
        <x:v>MODEL_AIR</x:v>
      </x:c>
      <x:c r="B64" s="14" t="str">
        <x:f>$W$11</x:f>
        <x:v>模型·飞行小怪</x:v>
      </x:c>
      <x:c r="C64" s="6" t="str">
        <x:f>$X$11</x:f>
        <x:v>稻草人模型</x:v>
      </x:c>
      <x:c r="D64" s="6">
        <x:v>2</x:v>
      </x:c>
      <x:c r="E64" s="6">
        <x:v>11</x:v>
      </x:c>
      <x:c r="F64" s="12">
        <x:f>ROUND(J64*$W$4*H64,0)</x:f>
        <x:v>234</x:v>
      </x:c>
      <x:c r="G64" s="12">
        <x:f>ROUND(J64*$W$4*$W$5*I64,0)</x:f>
        <x:v>78</x:v>
      </x:c>
      <x:c r="H64" s="11" t="n">
        <x:f>$Y$11</x:f>
        <x:v>0.75</x:v>
      </x:c>
      <x:c r="I64" s="11" t="n">
        <x:f>$Z$11</x:f>
        <x:v>3.3333333333333335</x:v>
      </x:c>
      <x:c r="J64" s="12">
        <x:f>英雄升级调参!$E$67</x:f>
        <x:v>78</x:v>
      </x:c>
      <x:c r="K64" s="12">
        <x:f>英雄升级调参!$F$67</x:f>
        <x:v>780</x:v>
      </x:c>
      <x:c r="L64" s="6" t="n">
        <x:f>ROUNDUP(F64/J64,0)</x:f>
        <x:v>3</x:v>
      </x:c>
      <x:c r="M64" s="6" t="n">
        <x:f>IF(G64=0,"无伤害",ROUNDUP(K64/MAX(1,ROUND(G64*$AC$11,0)),0))</x:f>
        <x:v>10</x:v>
      </x:c>
      <x:c r="N64" s="6" t="n">
        <x:f>ROUNDUP(F64/英雄升级调参!$H$67,0)</x:f>
        <x:v>2</x:v>
      </x:c>
      <x:c r="O64" s="6">
        <x:f>ROUNDUP(F64/英雄升级调参!$K$67,0)</x:f>
        <x:v>1</x:v>
      </x:c>
      <x:c r="P64" s="6" t="str">
        <x:f>$AA$11</x:f>
        <x:v>普通：3次标准普攻击杀；10次主要攻击致死</x:v>
      </x:c>
      <x:c r="Q64" s="6"/>
      <x:c r="R64" s="6"/>
      <x:c r="S64" s="6"/>
      <x:c r="T64" s="6"/>
      <x:c r="V64" s="6"/>
      <x:c r="W64" s="6"/>
      <x:c r="X64" s="6"/>
      <x:c r="Y64" s="6"/>
      <x:c r="Z64" s="6"/>
      <x:c r="AA64" s="6"/>
      <x:c r="AB64" s="6"/>
      <x:c r="AC64" s="6"/>
      <x:c r="AD64" s="6"/>
      <x:c r="AE64" s="6"/>
      <x:c r="AF64" s="6"/>
      <x:c r="AG64" s="6"/>
    </x:row>
    <x:row r="65" ht="21.950000762939453" customHeight="1">
      <x:c r="A65" s="14" t="str">
        <x:f>$V$11</x:f>
        <x:v>MODEL_AIR</x:v>
      </x:c>
      <x:c r="B65" s="14" t="str">
        <x:f>$W$11</x:f>
        <x:v>模型·飞行小怪</x:v>
      </x:c>
      <x:c r="C65" s="6" t="str">
        <x:f>$X$11</x:f>
        <x:v>稻草人模型</x:v>
      </x:c>
      <x:c r="D65" s="6">
        <x:v>3</x:v>
      </x:c>
      <x:c r="E65" s="6">
        <x:v>11</x:v>
      </x:c>
      <x:c r="F65" s="12">
        <x:f>ROUND(J65*$W$4*H65,0)</x:f>
        <x:v>288</x:v>
      </x:c>
      <x:c r="G65" s="12">
        <x:f>ROUND(J65*$W$4*$W$5*I65,0)</x:f>
        <x:v>96</x:v>
      </x:c>
      <x:c r="H65" s="11" t="n">
        <x:f>$Y$11</x:f>
        <x:v>0.75</x:v>
      </x:c>
      <x:c r="I65" s="11" t="n">
        <x:f>$Z$11</x:f>
        <x:v>3.3333333333333335</x:v>
      </x:c>
      <x:c r="J65" s="12">
        <x:f>英雄升级调参!$E$68</x:f>
        <x:v>96</x:v>
      </x:c>
      <x:c r="K65" s="12">
        <x:f>英雄升级调参!$F$68</x:f>
        <x:v>960</x:v>
      </x:c>
      <x:c r="L65" s="6" t="n">
        <x:f>ROUNDUP(F65/J65,0)</x:f>
        <x:v>3</x:v>
      </x:c>
      <x:c r="M65" s="6" t="n">
        <x:f>IF(G65=0,"无伤害",ROUNDUP(K65/MAX(1,ROUND(G65*$AC$11,0)),0))</x:f>
        <x:v>10</x:v>
      </x:c>
      <x:c r="N65" s="6" t="n">
        <x:f>ROUNDUP(F65/英雄升级调参!$H$68,0)</x:f>
        <x:v>2</x:v>
      </x:c>
      <x:c r="O65" s="6">
        <x:f>ROUNDUP(F65/英雄升级调参!$K$68,0)</x:f>
        <x:v>1</x:v>
      </x:c>
      <x:c r="P65" s="6" t="str">
        <x:f>$AA$11</x:f>
        <x:v>普通：3次标准普攻击杀；10次主要攻击致死</x:v>
      </x:c>
      <x:c r="Q65" s="6"/>
      <x:c r="R65" s="6"/>
      <x:c r="S65" s="6"/>
      <x:c r="T65" s="6"/>
      <x:c r="V65" s="6"/>
      <x:c r="W65" s="6"/>
      <x:c r="X65" s="6"/>
      <x:c r="Y65" s="6"/>
      <x:c r="Z65" s="6"/>
      <x:c r="AA65" s="6"/>
      <x:c r="AB65" s="6"/>
      <x:c r="AC65" s="6"/>
      <x:c r="AD65" s="6"/>
      <x:c r="AE65" s="6"/>
      <x:c r="AF65" s="6"/>
      <x:c r="AG65" s="6"/>
    </x:row>
    <x:row r="66" ht="21.950000762939453" customHeight="1">
      <x:c r="A66" s="14" t="str">
        <x:f>$V$11</x:f>
        <x:v>MODEL_AIR</x:v>
      </x:c>
      <x:c r="B66" s="14" t="str">
        <x:f>$W$11</x:f>
        <x:v>模型·飞行小怪</x:v>
      </x:c>
      <x:c r="C66" s="6" t="str">
        <x:f>$X$11</x:f>
        <x:v>稻草人模型</x:v>
      </x:c>
      <x:c r="D66" s="6">
        <x:v>4</x:v>
      </x:c>
      <x:c r="E66" s="6">
        <x:v>11</x:v>
      </x:c>
      <x:c r="F66" s="12">
        <x:f>ROUND(J66*$W$4*H66,0)</x:f>
        <x:v>342</x:v>
      </x:c>
      <x:c r="G66" s="12">
        <x:f>ROUND(J66*$W$4*$W$5*I66,0)</x:f>
        <x:v>114</x:v>
      </x:c>
      <x:c r="H66" s="11" t="n">
        <x:f>$Y$11</x:f>
        <x:v>0.75</x:v>
      </x:c>
      <x:c r="I66" s="11" t="n">
        <x:f>$Z$11</x:f>
        <x:v>3.3333333333333335</x:v>
      </x:c>
      <x:c r="J66" s="12">
        <x:f>英雄升级调参!$E$69</x:f>
        <x:v>114</x:v>
      </x:c>
      <x:c r="K66" s="12">
        <x:f>英雄升级调参!$F$69</x:f>
        <x:v>1140</x:v>
      </x:c>
      <x:c r="L66" s="6" t="n">
        <x:f>ROUNDUP(F66/J66,0)</x:f>
        <x:v>3</x:v>
      </x:c>
      <x:c r="M66" s="6" t="n">
        <x:f>IF(G66=0,"无伤害",ROUNDUP(K66/MAX(1,ROUND(G66*$AC$11,0)),0))</x:f>
        <x:v>10</x:v>
      </x:c>
      <x:c r="N66" s="6" t="n">
        <x:f>ROUNDUP(F66/英雄升级调参!$H$69,0)</x:f>
        <x:v>2</x:v>
      </x:c>
      <x:c r="O66" s="6">
        <x:f>ROUNDUP(F66/英雄升级调参!$K$69,0)</x:f>
        <x:v>1</x:v>
      </x:c>
      <x:c r="P66" s="6" t="str">
        <x:f>$AA$11</x:f>
        <x:v>普通：3次标准普攻击杀；10次主要攻击致死</x:v>
      </x:c>
      <x:c r="Q66" s="6"/>
      <x:c r="R66" s="6"/>
      <x:c r="S66" s="6"/>
      <x:c r="T66" s="6"/>
      <x:c r="V66" s="6"/>
      <x:c r="W66" s="6"/>
      <x:c r="X66" s="6"/>
      <x:c r="Y66" s="6"/>
      <x:c r="Z66" s="6"/>
      <x:c r="AA66" s="6"/>
      <x:c r="AB66" s="6"/>
      <x:c r="AC66" s="6"/>
      <x:c r="AD66" s="6"/>
      <x:c r="AE66" s="6"/>
      <x:c r="AF66" s="6"/>
      <x:c r="AG66" s="6"/>
    </x:row>
    <x:row r="67" ht="21.950000762939453" customHeight="1">
      <x:c r="A67" s="14" t="str">
        <x:f>$V$11</x:f>
        <x:v>MODEL_AIR</x:v>
      </x:c>
      <x:c r="B67" s="14" t="str">
        <x:f>$W$11</x:f>
        <x:v>模型·飞行小怪</x:v>
      </x:c>
      <x:c r="C67" s="6" t="str">
        <x:f>$X$11</x:f>
        <x:v>稻草人模型</x:v>
      </x:c>
      <x:c r="D67" s="6">
        <x:v>5</x:v>
      </x:c>
      <x:c r="E67" s="6">
        <x:v>11</x:v>
      </x:c>
      <x:c r="F67" s="12">
        <x:f>ROUND(J67*$W$4*H67,0)</x:f>
        <x:v>504</x:v>
      </x:c>
      <x:c r="G67" s="12">
        <x:f>ROUND(J67*$W$4*$W$5*I67,0)</x:f>
        <x:v>168</x:v>
      </x:c>
      <x:c r="H67" s="11" t="n">
        <x:f>$Y$11</x:f>
        <x:v>0.75</x:v>
      </x:c>
      <x:c r="I67" s="11" t="n">
        <x:f>$Z$11</x:f>
        <x:v>3.3333333333333335</x:v>
      </x:c>
      <x:c r="J67" s="12">
        <x:f>英雄升级调参!$E$70</x:f>
        <x:v>168</x:v>
      </x:c>
      <x:c r="K67" s="12">
        <x:f>英雄升级调参!$F$70</x:f>
        <x:v>1680</x:v>
      </x:c>
      <x:c r="L67" s="6" t="n">
        <x:f>ROUNDUP(F67/J67,0)</x:f>
        <x:v>3</x:v>
      </x:c>
      <x:c r="M67" s="6" t="n">
        <x:f>IF(G67=0,"无伤害",ROUNDUP(K67/MAX(1,ROUND(G67*$AC$11,0)),0))</x:f>
        <x:v>10</x:v>
      </x:c>
      <x:c r="N67" s="6" t="n">
        <x:f>ROUNDUP(F67/英雄升级调参!$H$70,0)</x:f>
        <x:v>2</x:v>
      </x:c>
      <x:c r="O67" s="6">
        <x:f>ROUNDUP(F67/英雄升级调参!$K$70,0)</x:f>
        <x:v>1</x:v>
      </x:c>
      <x:c r="P67" s="6" t="str">
        <x:f>$AA$11</x:f>
        <x:v>普通：3次标准普攻击杀；10次主要攻击致死</x:v>
      </x:c>
      <x:c r="Q67" s="6"/>
      <x:c r="R67" s="6"/>
      <x:c r="S67" s="6"/>
      <x:c r="T67" s="6"/>
      <x:c r="V67" s="6"/>
      <x:c r="W67" s="6"/>
      <x:c r="X67" s="6"/>
      <x:c r="Y67" s="6"/>
      <x:c r="Z67" s="6"/>
      <x:c r="AA67" s="6"/>
      <x:c r="AB67" s="6"/>
      <x:c r="AC67" s="6"/>
      <x:c r="AD67" s="6"/>
      <x:c r="AE67" s="6"/>
      <x:c r="AF67" s="6"/>
      <x:c r="AG67" s="6"/>
    </x:row>
    <x:row r="68" ht="21.950000762939453" customHeight="1">
      <x:c r="A68" s="14" t="str">
        <x:f>$V$11</x:f>
        <x:v>MODEL_AIR</x:v>
      </x:c>
      <x:c r="B68" s="14" t="str">
        <x:f>$W$11</x:f>
        <x:v>模型·飞行小怪</x:v>
      </x:c>
      <x:c r="C68" s="6" t="str">
        <x:f>$X$11</x:f>
        <x:v>稻草人模型</x:v>
      </x:c>
      <x:c r="D68" s="6">
        <x:v>6</x:v>
      </x:c>
      <x:c r="E68" s="6">
        <x:v>11</x:v>
      </x:c>
      <x:c r="F68" s="12">
        <x:f>ROUND(J68*$W$4*H68,0)</x:f>
        <x:v>585</x:v>
      </x:c>
      <x:c r="G68" s="12">
        <x:f>ROUND(J68*$W$4*$W$5*I68,0)</x:f>
        <x:v>195</x:v>
      </x:c>
      <x:c r="H68" s="11" t="n">
        <x:f>$Y$11</x:f>
        <x:v>0.75</x:v>
      </x:c>
      <x:c r="I68" s="11" t="n">
        <x:f>$Z$11</x:f>
        <x:v>3.3333333333333335</x:v>
      </x:c>
      <x:c r="J68" s="12">
        <x:f>英雄升级调参!$E$71</x:f>
        <x:v>195</x:v>
      </x:c>
      <x:c r="K68" s="12">
        <x:f>英雄升级调参!$F$71</x:f>
        <x:v>1950</x:v>
      </x:c>
      <x:c r="L68" s="6" t="n">
        <x:f>ROUNDUP(F68/J68,0)</x:f>
        <x:v>3</x:v>
      </x:c>
      <x:c r="M68" s="6" t="n">
        <x:f>IF(G68=0,"无伤害",ROUNDUP(K68/MAX(1,ROUND(G68*$AC$11,0)),0))</x:f>
        <x:v>10</x:v>
      </x:c>
      <x:c r="N68" s="6" t="n">
        <x:f>ROUNDUP(F68/英雄升级调参!$H$71,0)</x:f>
        <x:v>2</x:v>
      </x:c>
      <x:c r="O68" s="6">
        <x:f>ROUNDUP(F68/英雄升级调参!$K$71,0)</x:f>
        <x:v>1</x:v>
      </x:c>
      <x:c r="P68" s="6" t="str">
        <x:f>$AA$11</x:f>
        <x:v>普通：3次标准普攻击杀；10次主要攻击致死</x:v>
      </x:c>
      <x:c r="Q68" s="6"/>
      <x:c r="R68" s="6"/>
      <x:c r="S68" s="6"/>
      <x:c r="T68" s="6"/>
      <x:c r="V68" s="6"/>
      <x:c r="W68" s="6"/>
      <x:c r="X68" s="6"/>
      <x:c r="Y68" s="6"/>
      <x:c r="Z68" s="6"/>
      <x:c r="AA68" s="6"/>
      <x:c r="AB68" s="6"/>
      <x:c r="AC68" s="6"/>
      <x:c r="AD68" s="6"/>
      <x:c r="AE68" s="6"/>
      <x:c r="AF68" s="6"/>
      <x:c r="AG68" s="6"/>
    </x:row>
    <x:row r="69" ht="21.950000762939453" customHeight="1">
      <x:c r="A69" s="14" t="str">
        <x:f>$V$11</x:f>
        <x:v>MODEL_AIR</x:v>
      </x:c>
      <x:c r="B69" s="14" t="str">
        <x:f>$W$11</x:f>
        <x:v>模型·飞行小怪</x:v>
      </x:c>
      <x:c r="C69" s="6" t="str">
        <x:f>$X$11</x:f>
        <x:v>稻草人模型</x:v>
      </x:c>
      <x:c r="D69" s="6">
        <x:v>7</x:v>
      </x:c>
      <x:c r="E69" s="6">
        <x:v>11</x:v>
      </x:c>
      <x:c r="F69" s="12">
        <x:f>ROUND(J69*$W$4*H69,0)</x:f>
        <x:v>666</x:v>
      </x:c>
      <x:c r="G69" s="12">
        <x:f>ROUND(J69*$W$4*$W$5*I69,0)</x:f>
        <x:v>222</x:v>
      </x:c>
      <x:c r="H69" s="11" t="n">
        <x:f>$Y$11</x:f>
        <x:v>0.75</x:v>
      </x:c>
      <x:c r="I69" s="11" t="n">
        <x:f>$Z$11</x:f>
        <x:v>3.3333333333333335</x:v>
      </x:c>
      <x:c r="J69" s="12">
        <x:f>英雄升级调参!$E$72</x:f>
        <x:v>222</x:v>
      </x:c>
      <x:c r="K69" s="12">
        <x:f>英雄升级调参!$F$72</x:f>
        <x:v>2220</x:v>
      </x:c>
      <x:c r="L69" s="6" t="n">
        <x:f>ROUNDUP(F69/J69,0)</x:f>
        <x:v>3</x:v>
      </x:c>
      <x:c r="M69" s="6" t="n">
        <x:f>IF(G69=0,"无伤害",ROUNDUP(K69/MAX(1,ROUND(G69*$AC$11,0)),0))</x:f>
        <x:v>10</x:v>
      </x:c>
      <x:c r="N69" s="6" t="n">
        <x:f>ROUNDUP(F69/英雄升级调参!$H$72,0)</x:f>
        <x:v>2</x:v>
      </x:c>
      <x:c r="O69" s="6">
        <x:f>ROUNDUP(F69/英雄升级调参!$K$72,0)</x:f>
        <x:v>1</x:v>
      </x:c>
      <x:c r="P69" s="6" t="str">
        <x:f>$AA$11</x:f>
        <x:v>普通：3次标准普攻击杀；10次主要攻击致死</x:v>
      </x:c>
      <x:c r="Q69" s="6"/>
      <x:c r="R69" s="6"/>
      <x:c r="S69" s="6"/>
      <x:c r="T69" s="6"/>
      <x:c r="V69" s="6"/>
      <x:c r="W69" s="6"/>
      <x:c r="X69" s="6"/>
      <x:c r="Y69" s="6"/>
      <x:c r="Z69" s="6"/>
      <x:c r="AA69" s="6"/>
      <x:c r="AB69" s="6"/>
      <x:c r="AC69" s="6"/>
      <x:c r="AD69" s="6"/>
      <x:c r="AE69" s="6"/>
      <x:c r="AF69" s="6"/>
      <x:c r="AG69" s="6"/>
    </x:row>
    <x:row r="70" ht="21.950000762939453" customHeight="1">
      <x:c r="A70" s="14" t="str">
        <x:f>$V$11</x:f>
        <x:v>MODEL_AIR</x:v>
      </x:c>
      <x:c r="B70" s="14" t="str">
        <x:f>$W$11</x:f>
        <x:v>模型·飞行小怪</x:v>
      </x:c>
      <x:c r="C70" s="6" t="str">
        <x:f>$X$11</x:f>
        <x:v>稻草人模型</x:v>
      </x:c>
      <x:c r="D70" s="6">
        <x:v>8</x:v>
      </x:c>
      <x:c r="E70" s="6">
        <x:v>11</x:v>
      </x:c>
      <x:c r="F70" s="12">
        <x:f>ROUND(J70*$W$4*H70,0)</x:f>
        <x:v>747</x:v>
      </x:c>
      <x:c r="G70" s="12">
        <x:f>ROUND(J70*$W$4*$W$5*I70,0)</x:f>
        <x:v>249</x:v>
      </x:c>
      <x:c r="H70" s="11" t="n">
        <x:f>$Y$11</x:f>
        <x:v>0.75</x:v>
      </x:c>
      <x:c r="I70" s="11" t="n">
        <x:f>$Z$11</x:f>
        <x:v>3.3333333333333335</x:v>
      </x:c>
      <x:c r="J70" s="12">
        <x:f>英雄升级调参!$E$73</x:f>
        <x:v>249</x:v>
      </x:c>
      <x:c r="K70" s="12">
        <x:f>英雄升级调参!$F$73</x:f>
        <x:v>2490</x:v>
      </x:c>
      <x:c r="L70" s="6" t="n">
        <x:f>ROUNDUP(F70/J70,0)</x:f>
        <x:v>3</x:v>
      </x:c>
      <x:c r="M70" s="6" t="n">
        <x:f>IF(G70=0,"无伤害",ROUNDUP(K70/MAX(1,ROUND(G70*$AC$11,0)),0))</x:f>
        <x:v>10</x:v>
      </x:c>
      <x:c r="N70" s="6" t="n">
        <x:f>ROUNDUP(F70/英雄升级调参!$H$73,0)</x:f>
        <x:v>2</x:v>
      </x:c>
      <x:c r="O70" s="6">
        <x:f>ROUNDUP(F70/英雄升级调参!$K$73,0)</x:f>
        <x:v>1</x:v>
      </x:c>
      <x:c r="P70" s="6" t="str">
        <x:f>$AA$11</x:f>
        <x:v>普通：3次标准普攻击杀；10次主要攻击致死</x:v>
      </x:c>
      <x:c r="Q70" s="6"/>
      <x:c r="R70" s="6"/>
      <x:c r="S70" s="6"/>
      <x:c r="T70" s="6"/>
      <x:c r="V70" s="6"/>
      <x:c r="W70" s="6"/>
      <x:c r="X70" s="6"/>
      <x:c r="Y70" s="6"/>
      <x:c r="Z70" s="6"/>
      <x:c r="AA70" s="6"/>
      <x:c r="AB70" s="6"/>
      <x:c r="AC70" s="6"/>
      <x:c r="AD70" s="6"/>
      <x:c r="AE70" s="6"/>
      <x:c r="AF70" s="6"/>
      <x:c r="AG70" s="6"/>
    </x:row>
    <x:row r="71" ht="21.950000762939453" customHeight="1">
      <x:c r="A71" s="14" t="str">
        <x:f>$V$11</x:f>
        <x:v>MODEL_AIR</x:v>
      </x:c>
      <x:c r="B71" s="14" t="str">
        <x:f>$W$11</x:f>
        <x:v>模型·飞行小怪</x:v>
      </x:c>
      <x:c r="C71" s="6" t="str">
        <x:f>$X$11</x:f>
        <x:v>稻草人模型</x:v>
      </x:c>
      <x:c r="D71" s="6">
        <x:v>9</x:v>
      </x:c>
      <x:c r="E71" s="6">
        <x:v>11</x:v>
      </x:c>
      <x:c r="F71" s="12">
        <x:f>ROUND(J71*$W$4*H71,0)</x:f>
        <x:v>828</x:v>
      </x:c>
      <x:c r="G71" s="12">
        <x:f>ROUND(J71*$W$4*$W$5*I71,0)</x:f>
        <x:v>276</x:v>
      </x:c>
      <x:c r="H71" s="11" t="n">
        <x:f>$Y$11</x:f>
        <x:v>0.75</x:v>
      </x:c>
      <x:c r="I71" s="11" t="n">
        <x:f>$Z$11</x:f>
        <x:v>3.3333333333333335</x:v>
      </x:c>
      <x:c r="J71" s="12">
        <x:f>英雄升级调参!$E$74</x:f>
        <x:v>276</x:v>
      </x:c>
      <x:c r="K71" s="12">
        <x:f>英雄升级调参!$F$74</x:f>
        <x:v>2760</x:v>
      </x:c>
      <x:c r="L71" s="6" t="n">
        <x:f>ROUNDUP(F71/J71,0)</x:f>
        <x:v>3</x:v>
      </x:c>
      <x:c r="M71" s="6" t="n">
        <x:f>IF(G71=0,"无伤害",ROUNDUP(K71/MAX(1,ROUND(G71*$AC$11,0)),0))</x:f>
        <x:v>10</x:v>
      </x:c>
      <x:c r="N71" s="6" t="n">
        <x:f>ROUNDUP(F71/英雄升级调参!$H$74,0)</x:f>
        <x:v>2</x:v>
      </x:c>
      <x:c r="O71" s="6">
        <x:f>ROUNDUP(F71/英雄升级调参!$K$74,0)</x:f>
        <x:v>1</x:v>
      </x:c>
      <x:c r="P71" s="6" t="str">
        <x:f>$AA$11</x:f>
        <x:v>普通：3次标准普攻击杀；10次主要攻击致死</x:v>
      </x:c>
      <x:c r="Q71" s="6"/>
      <x:c r="R71" s="6"/>
      <x:c r="S71" s="6"/>
      <x:c r="T71" s="6"/>
      <x:c r="V71" s="6"/>
      <x:c r="W71" s="6"/>
      <x:c r="X71" s="6"/>
      <x:c r="Y71" s="6"/>
      <x:c r="Z71" s="6"/>
      <x:c r="AA71" s="6"/>
      <x:c r="AB71" s="6"/>
      <x:c r="AC71" s="6"/>
      <x:c r="AD71" s="6"/>
      <x:c r="AE71" s="6"/>
      <x:c r="AF71" s="6"/>
      <x:c r="AG71" s="6"/>
    </x:row>
    <x:row r="72" ht="21.950000762939453" customHeight="1">
      <x:c r="A72" s="14" t="str">
        <x:f>$V$11</x:f>
        <x:v>MODEL_AIR</x:v>
      </x:c>
      <x:c r="B72" s="14" t="str">
        <x:f>$W$11</x:f>
        <x:v>模型·飞行小怪</x:v>
      </x:c>
      <x:c r="C72" s="6" t="str">
        <x:f>$X$11</x:f>
        <x:v>稻草人模型</x:v>
      </x:c>
      <x:c r="D72" s="6">
        <x:v>10</x:v>
      </x:c>
      <x:c r="E72" s="6">
        <x:v>11</x:v>
      </x:c>
      <x:c r="F72" s="12">
        <x:f>ROUND(J72*$W$4*H72,0)</x:f>
        <x:v>1071</x:v>
      </x:c>
      <x:c r="G72" s="12">
        <x:f>ROUND(J72*$W$4*$W$5*I72,0)</x:f>
        <x:v>357</x:v>
      </x:c>
      <x:c r="H72" s="11" t="n">
        <x:f>$Y$11</x:f>
        <x:v>0.75</x:v>
      </x:c>
      <x:c r="I72" s="11" t="n">
        <x:f>$Z$11</x:f>
        <x:v>3.3333333333333335</x:v>
      </x:c>
      <x:c r="J72" s="12">
        <x:f>英雄升级调参!$E$75</x:f>
        <x:v>357</x:v>
      </x:c>
      <x:c r="K72" s="12">
        <x:f>英雄升级调参!$F$75</x:f>
        <x:v>3570</x:v>
      </x:c>
      <x:c r="L72" s="6" t="n">
        <x:f>ROUNDUP(F72/J72,0)</x:f>
        <x:v>3</x:v>
      </x:c>
      <x:c r="M72" s="6" t="n">
        <x:f>IF(G72=0,"无伤害",ROUNDUP(K72/MAX(1,ROUND(G72*$AC$11,0)),0))</x:f>
        <x:v>10</x:v>
      </x:c>
      <x:c r="N72" s="6" t="n">
        <x:f>ROUNDUP(F72/英雄升级调参!$H$75,0)</x:f>
        <x:v>2</x:v>
      </x:c>
      <x:c r="O72" s="6">
        <x:f>ROUNDUP(F72/英雄升级调参!$K$75,0)</x:f>
        <x:v>1</x:v>
      </x:c>
      <x:c r="P72" s="6" t="str">
        <x:f>$AA$11</x:f>
        <x:v>普通：3次标准普攻击杀；10次主要攻击致死</x:v>
      </x:c>
      <x:c r="Q72" s="6"/>
      <x:c r="R72" s="6"/>
      <x:c r="S72" s="6"/>
      <x:c r="T72" s="6"/>
      <x:c r="V72" s="6"/>
      <x:c r="W72" s="6"/>
      <x:c r="X72" s="6"/>
      <x:c r="Y72" s="6"/>
      <x:c r="Z72" s="6"/>
      <x:c r="AA72" s="6"/>
      <x:c r="AB72" s="6"/>
      <x:c r="AC72" s="6"/>
      <x:c r="AD72" s="6"/>
      <x:c r="AE72" s="6"/>
      <x:c r="AF72" s="6"/>
      <x:c r="AG72" s="6"/>
    </x:row>
    <x:row r="73" ht="21.950000762939453" customHeight="1">
      <x:c r="A73" s="14" t="str">
        <x:f>$V$11</x:f>
        <x:v>MODEL_AIR</x:v>
      </x:c>
      <x:c r="B73" s="14" t="str">
        <x:f>$W$11</x:f>
        <x:v>模型·飞行小怪</x:v>
      </x:c>
      <x:c r="C73" s="6" t="str">
        <x:f>$X$11</x:f>
        <x:v>稻草人模型</x:v>
      </x:c>
      <x:c r="D73" s="6">
        <x:v>11</x:v>
      </x:c>
      <x:c r="E73" s="6">
        <x:v>11</x:v>
      </x:c>
      <x:c r="F73" s="12">
        <x:f>ROUND(J73*$W$4*H73,0)</x:f>
        <x:v>1179</x:v>
      </x:c>
      <x:c r="G73" s="12">
        <x:f>ROUND(J73*$W$4*$W$5*I73,0)</x:f>
        <x:v>393</x:v>
      </x:c>
      <x:c r="H73" s="11" t="n">
        <x:f>$Y$11</x:f>
        <x:v>0.75</x:v>
      </x:c>
      <x:c r="I73" s="11" t="n">
        <x:f>$Z$11</x:f>
        <x:v>3.3333333333333335</x:v>
      </x:c>
      <x:c r="J73" s="12">
        <x:f>英雄升级调参!$E$76</x:f>
        <x:v>393</x:v>
      </x:c>
      <x:c r="K73" s="12">
        <x:f>英雄升级调参!$F$76</x:f>
        <x:v>3930</x:v>
      </x:c>
      <x:c r="L73" s="6" t="n">
        <x:f>ROUNDUP(F73/J73,0)</x:f>
        <x:v>3</x:v>
      </x:c>
      <x:c r="M73" s="6" t="n">
        <x:f>IF(G73=0,"无伤害",ROUNDUP(K73/MAX(1,ROUND(G73*$AC$11,0)),0))</x:f>
        <x:v>10</x:v>
      </x:c>
      <x:c r="N73" s="6" t="n">
        <x:f>ROUNDUP(F73/英雄升级调参!$H$76,0)</x:f>
        <x:v>2</x:v>
      </x:c>
      <x:c r="O73" s="6">
        <x:f>ROUNDUP(F73/英雄升级调参!$K$76,0)</x:f>
        <x:v>1</x:v>
      </x:c>
      <x:c r="P73" s="6" t="str">
        <x:f>$AA$11</x:f>
        <x:v>普通：3次标准普攻击杀；10次主要攻击致死</x:v>
      </x:c>
      <x:c r="Q73" s="6"/>
      <x:c r="R73" s="6"/>
      <x:c r="S73" s="6"/>
      <x:c r="T73" s="6"/>
      <x:c r="V73" s="6"/>
      <x:c r="W73" s="6"/>
      <x:c r="X73" s="6"/>
      <x:c r="Y73" s="6"/>
      <x:c r="Z73" s="6"/>
      <x:c r="AA73" s="6"/>
      <x:c r="AB73" s="6"/>
      <x:c r="AC73" s="6"/>
      <x:c r="AD73" s="6"/>
      <x:c r="AE73" s="6"/>
      <x:c r="AF73" s="6"/>
      <x:c r="AG73" s="6"/>
    </x:row>
    <x:row r="74" ht="21.950000762939453" customHeight="1">
      <x:c r="A74" s="14" t="str">
        <x:f>$V$11</x:f>
        <x:v>MODEL_AIR</x:v>
      </x:c>
      <x:c r="B74" s="14" t="str">
        <x:f>$W$11</x:f>
        <x:v>模型·飞行小怪</x:v>
      </x:c>
      <x:c r="C74" s="6" t="str">
        <x:f>$X$11</x:f>
        <x:v>稻草人模型</x:v>
      </x:c>
      <x:c r="D74" s="6">
        <x:v>12</x:v>
      </x:c>
      <x:c r="E74" s="6">
        <x:v>11</x:v>
      </x:c>
      <x:c r="F74" s="12">
        <x:f>ROUND(J74*$W$4*H74,0)</x:f>
        <x:v>1287</x:v>
      </x:c>
      <x:c r="G74" s="12">
        <x:f>ROUND(J74*$W$4*$W$5*I74,0)</x:f>
        <x:v>429</x:v>
      </x:c>
      <x:c r="H74" s="11" t="n">
        <x:f>$Y$11</x:f>
        <x:v>0.75</x:v>
      </x:c>
      <x:c r="I74" s="11" t="n">
        <x:f>$Z$11</x:f>
        <x:v>3.3333333333333335</x:v>
      </x:c>
      <x:c r="J74" s="12">
        <x:f>英雄升级调参!$E$77</x:f>
        <x:v>429</x:v>
      </x:c>
      <x:c r="K74" s="12">
        <x:f>英雄升级调参!$F$77</x:f>
        <x:v>4290</x:v>
      </x:c>
      <x:c r="L74" s="6" t="n">
        <x:f>ROUNDUP(F74/J74,0)</x:f>
        <x:v>3</x:v>
      </x:c>
      <x:c r="M74" s="6" t="n">
        <x:f>IF(G74=0,"无伤害",ROUNDUP(K74/MAX(1,ROUND(G74*$AC$11,0)),0))</x:f>
        <x:v>10</x:v>
      </x:c>
      <x:c r="N74" s="6" t="n">
        <x:f>ROUNDUP(F74/英雄升级调参!$H$77,0)</x:f>
        <x:v>2</x:v>
      </x:c>
      <x:c r="O74" s="6" t="n">
        <x:f>ROUNDUP(F74/英雄升级调参!$K$77,0)</x:f>
        <x:v>2</x:v>
      </x:c>
      <x:c r="P74" s="6" t="str">
        <x:f>$AA$11</x:f>
        <x:v>普通：3次标准普攻击杀；10次主要攻击致死</x:v>
      </x:c>
      <x:c r="Q74" s="6"/>
      <x:c r="R74" s="6"/>
      <x:c r="S74" s="6"/>
      <x:c r="T74" s="6"/>
      <x:c r="V74" s="6"/>
      <x:c r="W74" s="6"/>
      <x:c r="X74" s="6"/>
      <x:c r="Y74" s="6"/>
      <x:c r="Z74" s="6"/>
      <x:c r="AA74" s="6"/>
      <x:c r="AB74" s="6"/>
      <x:c r="AC74" s="6"/>
      <x:c r="AD74" s="6"/>
      <x:c r="AE74" s="6"/>
      <x:c r="AF74" s="6"/>
      <x:c r="AG74" s="6"/>
    </x:row>
    <x:row r="75" ht="21.950000762939453" customHeight="1">
      <x:c r="A75" s="14" t="str">
        <x:f>$V$11</x:f>
        <x:v>MODEL_AIR</x:v>
      </x:c>
      <x:c r="B75" s="14" t="str">
        <x:f>$W$11</x:f>
        <x:v>模型·飞行小怪</x:v>
      </x:c>
      <x:c r="C75" s="6" t="str">
        <x:f>$X$11</x:f>
        <x:v>稻草人模型</x:v>
      </x:c>
      <x:c r="D75" s="6">
        <x:v>13</x:v>
      </x:c>
      <x:c r="E75" s="6">
        <x:v>11</x:v>
      </x:c>
      <x:c r="F75" s="12">
        <x:f>ROUND(J75*$W$4*H75,0)</x:f>
        <x:v>1395</x:v>
      </x:c>
      <x:c r="G75" s="12">
        <x:f>ROUND(J75*$W$4*$W$5*I75,0)</x:f>
        <x:v>465</x:v>
      </x:c>
      <x:c r="H75" s="11" t="n">
        <x:f>$Y$11</x:f>
        <x:v>0.75</x:v>
      </x:c>
      <x:c r="I75" s="11" t="n">
        <x:f>$Z$11</x:f>
        <x:v>3.3333333333333335</x:v>
      </x:c>
      <x:c r="J75" s="12">
        <x:f>英雄升级调参!$E$78</x:f>
        <x:v>465</x:v>
      </x:c>
      <x:c r="K75" s="12">
        <x:f>英雄升级调参!$F$78</x:f>
        <x:v>4650</x:v>
      </x:c>
      <x:c r="L75" s="6" t="n">
        <x:f>ROUNDUP(F75/J75,0)</x:f>
        <x:v>3</x:v>
      </x:c>
      <x:c r="M75" s="6" t="n">
        <x:f>IF(G75=0,"无伤害",ROUNDUP(K75/MAX(1,ROUND(G75*$AC$11,0)),0))</x:f>
        <x:v>10</x:v>
      </x:c>
      <x:c r="N75" s="6" t="n">
        <x:f>ROUNDUP(F75/英雄升级调参!$H$78,0)</x:f>
        <x:v>2</x:v>
      </x:c>
      <x:c r="O75" s="6" t="n">
        <x:f>ROUNDUP(F75/英雄升级调参!$K$78,0)</x:f>
        <x:v>2</x:v>
      </x:c>
      <x:c r="P75" s="6" t="str">
        <x:f>$AA$11</x:f>
        <x:v>普通：3次标准普攻击杀；10次主要攻击致死</x:v>
      </x:c>
      <x:c r="Q75" s="6"/>
      <x:c r="R75" s="6"/>
      <x:c r="S75" s="6"/>
      <x:c r="T75" s="6"/>
      <x:c r="V75" s="6"/>
      <x:c r="W75" s="6"/>
      <x:c r="X75" s="6"/>
      <x:c r="Y75" s="6"/>
      <x:c r="Z75" s="6"/>
      <x:c r="AA75" s="6"/>
      <x:c r="AB75" s="6"/>
      <x:c r="AC75" s="6"/>
      <x:c r="AD75" s="6"/>
      <x:c r="AE75" s="6"/>
      <x:c r="AF75" s="6"/>
      <x:c r="AG75" s="6"/>
    </x:row>
    <x:row r="76" ht="21.950000762939453" customHeight="1">
      <x:c r="A76" s="14" t="str">
        <x:f>$V$11</x:f>
        <x:v>MODEL_AIR</x:v>
      </x:c>
      <x:c r="B76" s="14" t="str">
        <x:f>$W$11</x:f>
        <x:v>模型·飞行小怪</x:v>
      </x:c>
      <x:c r="C76" s="6" t="str">
        <x:f>$X$11</x:f>
        <x:v>稻草人模型</x:v>
      </x:c>
      <x:c r="D76" s="6">
        <x:v>14</x:v>
      </x:c>
      <x:c r="E76" s="6">
        <x:v>11</x:v>
      </x:c>
      <x:c r="F76" s="12">
        <x:f>ROUND(J76*$W$4*H76,0)</x:f>
        <x:v>1503</x:v>
      </x:c>
      <x:c r="G76" s="12">
        <x:f>ROUND(J76*$W$4*$W$5*I76,0)</x:f>
        <x:v>501</x:v>
      </x:c>
      <x:c r="H76" s="11" t="n">
        <x:f>$Y$11</x:f>
        <x:v>0.75</x:v>
      </x:c>
      <x:c r="I76" s="11" t="n">
        <x:f>$Z$11</x:f>
        <x:v>3.3333333333333335</x:v>
      </x:c>
      <x:c r="J76" s="12">
        <x:f>英雄升级调参!$E$79</x:f>
        <x:v>501</x:v>
      </x:c>
      <x:c r="K76" s="12">
        <x:f>英雄升级调参!$F$79</x:f>
        <x:v>5010</x:v>
      </x:c>
      <x:c r="L76" s="6" t="n">
        <x:f>ROUNDUP(F76/J76,0)</x:f>
        <x:v>3</x:v>
      </x:c>
      <x:c r="M76" s="6" t="n">
        <x:f>IF(G76=0,"无伤害",ROUNDUP(K76/MAX(1,ROUND(G76*$AC$11,0)),0))</x:f>
        <x:v>10</x:v>
      </x:c>
      <x:c r="N76" s="6" t="n">
        <x:f>ROUNDUP(F76/英雄升级调参!$H$79,0)</x:f>
        <x:v>2</x:v>
      </x:c>
      <x:c r="O76" s="6" t="n">
        <x:f>ROUNDUP(F76/英雄升级调参!$K$79,0)</x:f>
        <x:v>2</x:v>
      </x:c>
      <x:c r="P76" s="6" t="str">
        <x:f>$AA$11</x:f>
        <x:v>普通：3次标准普攻击杀；10次主要攻击致死</x:v>
      </x:c>
      <x:c r="Q76" s="6"/>
      <x:c r="R76" s="6"/>
      <x:c r="S76" s="6"/>
      <x:c r="T76" s="6"/>
      <x:c r="V76" s="6"/>
      <x:c r="W76" s="6"/>
      <x:c r="X76" s="6"/>
      <x:c r="Y76" s="6"/>
      <x:c r="Z76" s="6"/>
      <x:c r="AA76" s="6"/>
      <x:c r="AB76" s="6"/>
      <x:c r="AC76" s="6"/>
      <x:c r="AD76" s="6"/>
      <x:c r="AE76" s="6"/>
      <x:c r="AF76" s="6"/>
      <x:c r="AG76" s="6"/>
    </x:row>
    <x:row r="77" ht="21.950000762939453" customHeight="1">
      <x:c r="A77" s="14" t="str">
        <x:f>$V$11</x:f>
        <x:v>MODEL_AIR</x:v>
      </x:c>
      <x:c r="B77" s="14" t="str">
        <x:f>$W$11</x:f>
        <x:v>模型·飞行小怪</x:v>
      </x:c>
      <x:c r="C77" s="6" t="str">
        <x:f>$X$11</x:f>
        <x:v>稻草人模型</x:v>
      </x:c>
      <x:c r="D77" s="6">
        <x:v>15</x:v>
      </x:c>
      <x:c r="E77" s="6">
        <x:v>11</x:v>
      </x:c>
      <x:c r="F77" s="12">
        <x:f>ROUND(J77*$W$4*H77,0)</x:f>
        <x:v>1827</x:v>
      </x:c>
      <x:c r="G77" s="12">
        <x:f>ROUND(J77*$W$4*$W$5*I77,0)</x:f>
        <x:v>609</x:v>
      </x:c>
      <x:c r="H77" s="11" t="n">
        <x:f>$Y$11</x:f>
        <x:v>0.75</x:v>
      </x:c>
      <x:c r="I77" s="11" t="n">
        <x:f>$Z$11</x:f>
        <x:v>3.3333333333333335</x:v>
      </x:c>
      <x:c r="J77" s="12">
        <x:f>英雄升级调参!$E$80</x:f>
        <x:v>609</x:v>
      </x:c>
      <x:c r="K77" s="12">
        <x:f>英雄升级调参!$F$80</x:f>
        <x:v>6090</x:v>
      </x:c>
      <x:c r="L77" s="6" t="n">
        <x:f>ROUNDUP(F77/J77,0)</x:f>
        <x:v>3</x:v>
      </x:c>
      <x:c r="M77" s="6" t="n">
        <x:f>IF(G77=0,"无伤害",ROUNDUP(K77/MAX(1,ROUND(G77*$AC$11,0)),0))</x:f>
        <x:v>10</x:v>
      </x:c>
      <x:c r="N77" s="6" t="n">
        <x:f>ROUNDUP(F77/英雄升级调参!$H$80,0)</x:f>
        <x:v>2</x:v>
      </x:c>
      <x:c r="O77" s="6" t="n">
        <x:f>ROUNDUP(F77/英雄升级调参!$K$80,0)</x:f>
        <x:v>2</x:v>
      </x:c>
      <x:c r="P77" s="6" t="str">
        <x:f>$AA$11</x:f>
        <x:v>普通：3次标准普攻击杀；10次主要攻击致死</x:v>
      </x:c>
      <x:c r="Q77" s="6"/>
      <x:c r="R77" s="6"/>
      <x:c r="S77" s="6"/>
      <x:c r="T77" s="6"/>
      <x:c r="V77" s="6"/>
      <x:c r="W77" s="6"/>
      <x:c r="X77" s="6"/>
      <x:c r="Y77" s="6"/>
      <x:c r="Z77" s="6"/>
      <x:c r="AA77" s="6"/>
      <x:c r="AB77" s="6"/>
      <x:c r="AC77" s="6"/>
      <x:c r="AD77" s="6"/>
      <x:c r="AE77" s="6"/>
      <x:c r="AF77" s="6"/>
      <x:c r="AG77" s="6"/>
    </x:row>
    <x:row r="78" ht="21.950000762939453" customHeight="1">
      <x:c r="A78" s="14" t="str">
        <x:f>$V$11</x:f>
        <x:v>MODEL_AIR</x:v>
      </x:c>
      <x:c r="B78" s="14" t="str">
        <x:f>$W$11</x:f>
        <x:v>模型·飞行小怪</x:v>
      </x:c>
      <x:c r="C78" s="6" t="str">
        <x:f>$X$11</x:f>
        <x:v>稻草人模型</x:v>
      </x:c>
      <x:c r="D78" s="6">
        <x:v>16</x:v>
      </x:c>
      <x:c r="E78" s="6">
        <x:v>11</x:v>
      </x:c>
      <x:c r="F78" s="12">
        <x:f>ROUND(J78*$W$4*H78,0)</x:f>
        <x:v>1962</x:v>
      </x:c>
      <x:c r="G78" s="12">
        <x:f>ROUND(J78*$W$4*$W$5*I78,0)</x:f>
        <x:v>654</x:v>
      </x:c>
      <x:c r="H78" s="11" t="n">
        <x:f>$Y$11</x:f>
        <x:v>0.75</x:v>
      </x:c>
      <x:c r="I78" s="11" t="n">
        <x:f>$Z$11</x:f>
        <x:v>3.3333333333333335</x:v>
      </x:c>
      <x:c r="J78" s="12">
        <x:f>英雄升级调参!$E$81</x:f>
        <x:v>654</x:v>
      </x:c>
      <x:c r="K78" s="12">
        <x:f>英雄升级调参!$F$81</x:f>
        <x:v>6540</x:v>
      </x:c>
      <x:c r="L78" s="6" t="n">
        <x:f>ROUNDUP(F78/J78,0)</x:f>
        <x:v>3</x:v>
      </x:c>
      <x:c r="M78" s="6" t="n">
        <x:f>IF(G78=0,"无伤害",ROUNDUP(K78/MAX(1,ROUND(G78*$AC$11,0)),0))</x:f>
        <x:v>10</x:v>
      </x:c>
      <x:c r="N78" s="6" t="n">
        <x:f>ROUNDUP(F78/英雄升级调参!$H$81,0)</x:f>
        <x:v>2</x:v>
      </x:c>
      <x:c r="O78" s="6" t="n">
        <x:f>ROUNDUP(F78/英雄升级调参!$K$81,0)</x:f>
        <x:v>2</x:v>
      </x:c>
      <x:c r="P78" s="6" t="str">
        <x:f>$AA$11</x:f>
        <x:v>普通：3次标准普攻击杀；10次主要攻击致死</x:v>
      </x:c>
      <x:c r="Q78" s="6"/>
      <x:c r="R78" s="6"/>
      <x:c r="S78" s="6"/>
      <x:c r="T78" s="6"/>
      <x:c r="V78" s="6"/>
      <x:c r="W78" s="6"/>
      <x:c r="X78" s="6"/>
      <x:c r="Y78" s="6"/>
      <x:c r="Z78" s="6"/>
      <x:c r="AA78" s="6"/>
      <x:c r="AB78" s="6"/>
      <x:c r="AC78" s="6"/>
      <x:c r="AD78" s="6"/>
      <x:c r="AE78" s="6"/>
      <x:c r="AF78" s="6"/>
      <x:c r="AG78" s="6"/>
    </x:row>
    <x:row r="79" ht="21.950000762939453" customHeight="1">
      <x:c r="A79" s="14" t="str">
        <x:f>$V$11</x:f>
        <x:v>MODEL_AIR</x:v>
      </x:c>
      <x:c r="B79" s="14" t="str">
        <x:f>$W$11</x:f>
        <x:v>模型·飞行小怪</x:v>
      </x:c>
      <x:c r="C79" s="6" t="str">
        <x:f>$X$11</x:f>
        <x:v>稻草人模型</x:v>
      </x:c>
      <x:c r="D79" s="6">
        <x:v>17</x:v>
      </x:c>
      <x:c r="E79" s="6">
        <x:v>11</x:v>
      </x:c>
      <x:c r="F79" s="12">
        <x:f>ROUND(J79*$W$4*H79,0)</x:f>
        <x:v>2097</x:v>
      </x:c>
      <x:c r="G79" s="12">
        <x:f>ROUND(J79*$W$4*$W$5*I79,0)</x:f>
        <x:v>699</x:v>
      </x:c>
      <x:c r="H79" s="11" t="n">
        <x:f>$Y$11</x:f>
        <x:v>0.75</x:v>
      </x:c>
      <x:c r="I79" s="11" t="n">
        <x:f>$Z$11</x:f>
        <x:v>3.3333333333333335</x:v>
      </x:c>
      <x:c r="J79" s="12">
        <x:f>英雄升级调参!$E$82</x:f>
        <x:v>699</x:v>
      </x:c>
      <x:c r="K79" s="12">
        <x:f>英雄升级调参!$F$82</x:f>
        <x:v>6990</x:v>
      </x:c>
      <x:c r="L79" s="6" t="n">
        <x:f>ROUNDUP(F79/J79,0)</x:f>
        <x:v>3</x:v>
      </x:c>
      <x:c r="M79" s="6" t="n">
        <x:f>IF(G79=0,"无伤害",ROUNDUP(K79/MAX(1,ROUND(G79*$AC$11,0)),0))</x:f>
        <x:v>10</x:v>
      </x:c>
      <x:c r="N79" s="6" t="n">
        <x:f>ROUNDUP(F79/英雄升级调参!$H$82,0)</x:f>
        <x:v>2</x:v>
      </x:c>
      <x:c r="O79" s="6" t="n">
        <x:f>ROUNDUP(F79/英雄升级调参!$K$82,0)</x:f>
        <x:v>2</x:v>
      </x:c>
      <x:c r="P79" s="6" t="str">
        <x:f>$AA$11</x:f>
        <x:v>普通：3次标准普攻击杀；10次主要攻击致死</x:v>
      </x:c>
      <x:c r="Q79" s="6"/>
      <x:c r="R79" s="6"/>
      <x:c r="S79" s="6"/>
      <x:c r="T79" s="6"/>
      <x:c r="V79" s="6"/>
      <x:c r="W79" s="6"/>
      <x:c r="X79" s="6"/>
      <x:c r="Y79" s="6"/>
      <x:c r="Z79" s="6"/>
      <x:c r="AA79" s="6"/>
      <x:c r="AB79" s="6"/>
      <x:c r="AC79" s="6"/>
      <x:c r="AD79" s="6"/>
      <x:c r="AE79" s="6"/>
      <x:c r="AF79" s="6"/>
      <x:c r="AG79" s="6"/>
    </x:row>
    <x:row r="80" ht="21.950000762939453" customHeight="1">
      <x:c r="A80" s="14" t="str">
        <x:f>$V$11</x:f>
        <x:v>MODEL_AIR</x:v>
      </x:c>
      <x:c r="B80" s="14" t="str">
        <x:f>$W$11</x:f>
        <x:v>模型·飞行小怪</x:v>
      </x:c>
      <x:c r="C80" s="6" t="str">
        <x:f>$X$11</x:f>
        <x:v>稻草人模型</x:v>
      </x:c>
      <x:c r="D80" s="6">
        <x:v>18</x:v>
      </x:c>
      <x:c r="E80" s="6">
        <x:v>11</x:v>
      </x:c>
      <x:c r="F80" s="12">
        <x:f>ROUND(J80*$W$4*H80,0)</x:f>
        <x:v>2232</x:v>
      </x:c>
      <x:c r="G80" s="12">
        <x:f>ROUND(J80*$W$4*$W$5*I80,0)</x:f>
        <x:v>744</x:v>
      </x:c>
      <x:c r="H80" s="11" t="n">
        <x:f>$Y$11</x:f>
        <x:v>0.75</x:v>
      </x:c>
      <x:c r="I80" s="11" t="n">
        <x:f>$Z$11</x:f>
        <x:v>3.3333333333333335</x:v>
      </x:c>
      <x:c r="J80" s="12">
        <x:f>英雄升级调参!$E$83</x:f>
        <x:v>744</x:v>
      </x:c>
      <x:c r="K80" s="12">
        <x:f>英雄升级调参!$F$83</x:f>
        <x:v>7440</x:v>
      </x:c>
      <x:c r="L80" s="6" t="n">
        <x:f>ROUNDUP(F80/J80,0)</x:f>
        <x:v>3</x:v>
      </x:c>
      <x:c r="M80" s="6" t="n">
        <x:f>IF(G80=0,"无伤害",ROUNDUP(K80/MAX(1,ROUND(G80*$AC$11,0)),0))</x:f>
        <x:v>10</x:v>
      </x:c>
      <x:c r="N80" s="6" t="n">
        <x:f>ROUNDUP(F80/英雄升级调参!$H$83,0)</x:f>
        <x:v>2</x:v>
      </x:c>
      <x:c r="O80" s="6" t="n">
        <x:f>ROUNDUP(F80/英雄升级调参!$K$83,0)</x:f>
        <x:v>2</x:v>
      </x:c>
      <x:c r="P80" s="6" t="str">
        <x:f>$AA$11</x:f>
        <x:v>普通：3次标准普攻击杀；10次主要攻击致死</x:v>
      </x:c>
      <x:c r="Q80" s="6"/>
      <x:c r="R80" s="6"/>
      <x:c r="S80" s="6"/>
      <x:c r="T80" s="6"/>
      <x:c r="V80" s="6"/>
      <x:c r="W80" s="6"/>
      <x:c r="X80" s="6"/>
      <x:c r="Y80" s="6"/>
      <x:c r="Z80" s="6"/>
      <x:c r="AA80" s="6"/>
      <x:c r="AB80" s="6"/>
      <x:c r="AC80" s="6"/>
      <x:c r="AD80" s="6"/>
      <x:c r="AE80" s="6"/>
      <x:c r="AF80" s="6"/>
      <x:c r="AG80" s="6"/>
    </x:row>
    <x:row r="81" ht="21.950000762939453" customHeight="1">
      <x:c r="A81" s="14" t="str">
        <x:f>$V$11</x:f>
        <x:v>MODEL_AIR</x:v>
      </x:c>
      <x:c r="B81" s="14" t="str">
        <x:f>$W$11</x:f>
        <x:v>模型·飞行小怪</x:v>
      </x:c>
      <x:c r="C81" s="6" t="str">
        <x:f>$X$11</x:f>
        <x:v>稻草人模型</x:v>
      </x:c>
      <x:c r="D81" s="6">
        <x:v>19</x:v>
      </x:c>
      <x:c r="E81" s="6">
        <x:v>11</x:v>
      </x:c>
      <x:c r="F81" s="12">
        <x:f>ROUND(J81*$W$4*H81,0)</x:f>
        <x:v>2367</x:v>
      </x:c>
      <x:c r="G81" s="12">
        <x:f>ROUND(J81*$W$4*$W$5*I81,0)</x:f>
        <x:v>789</x:v>
      </x:c>
      <x:c r="H81" s="11" t="n">
        <x:f>$Y$11</x:f>
        <x:v>0.75</x:v>
      </x:c>
      <x:c r="I81" s="11" t="n">
        <x:f>$Z$11</x:f>
        <x:v>3.3333333333333335</x:v>
      </x:c>
      <x:c r="J81" s="12">
        <x:f>英雄升级调参!$E$84</x:f>
        <x:v>789</x:v>
      </x:c>
      <x:c r="K81" s="12">
        <x:f>英雄升级调参!$F$84</x:f>
        <x:v>7890</x:v>
      </x:c>
      <x:c r="L81" s="6" t="n">
        <x:f>ROUNDUP(F81/J81,0)</x:f>
        <x:v>3</x:v>
      </x:c>
      <x:c r="M81" s="6" t="n">
        <x:f>IF(G81=0,"无伤害",ROUNDUP(K81/MAX(1,ROUND(G81*$AC$11,0)),0))</x:f>
        <x:v>10</x:v>
      </x:c>
      <x:c r="N81" s="6" t="n">
        <x:f>ROUNDUP(F81/英雄升级调参!$H$84,0)</x:f>
        <x:v>2</x:v>
      </x:c>
      <x:c r="O81" s="6" t="n">
        <x:f>ROUNDUP(F81/英雄升级调参!$K$84,0)</x:f>
        <x:v>2</x:v>
      </x:c>
      <x:c r="P81" s="6" t="str">
        <x:f>$AA$11</x:f>
        <x:v>普通：3次标准普攻击杀；10次主要攻击致死</x:v>
      </x:c>
      <x:c r="Q81" s="6"/>
      <x:c r="R81" s="6"/>
      <x:c r="S81" s="6"/>
      <x:c r="T81" s="6"/>
      <x:c r="V81" s="6"/>
      <x:c r="W81" s="6"/>
      <x:c r="X81" s="6"/>
      <x:c r="Y81" s="6"/>
      <x:c r="Z81" s="6"/>
      <x:c r="AA81" s="6"/>
      <x:c r="AB81" s="6"/>
      <x:c r="AC81" s="6"/>
      <x:c r="AD81" s="6"/>
      <x:c r="AE81" s="6"/>
      <x:c r="AF81" s="6"/>
      <x:c r="AG81" s="6"/>
    </x:row>
    <x:row r="82" ht="21.950000762939453" customHeight="1">
      <x:c r="A82" s="14" t="str">
        <x:f>$V$11</x:f>
        <x:v>MODEL_AIR</x:v>
      </x:c>
      <x:c r="B82" s="14" t="str">
        <x:f>$W$11</x:f>
        <x:v>模型·飞行小怪</x:v>
      </x:c>
      <x:c r="C82" s="6" t="str">
        <x:f>$X$11</x:f>
        <x:v>稻草人模型</x:v>
      </x:c>
      <x:c r="D82" s="6">
        <x:v>20</x:v>
      </x:c>
      <x:c r="E82" s="6">
        <x:v>11</x:v>
      </x:c>
      <x:c r="F82" s="12">
        <x:f>ROUND(J82*$W$4*H82,0)</x:f>
        <x:v>2772</x:v>
      </x:c>
      <x:c r="G82" s="12">
        <x:f>ROUND(J82*$W$4*$W$5*I82,0)</x:f>
        <x:v>924</x:v>
      </x:c>
      <x:c r="H82" s="11" t="n">
        <x:f>$Y$11</x:f>
        <x:v>0.75</x:v>
      </x:c>
      <x:c r="I82" s="11" t="n">
        <x:f>$Z$11</x:f>
        <x:v>3.3333333333333335</x:v>
      </x:c>
      <x:c r="J82" s="12">
        <x:f>英雄升级调参!$E$85</x:f>
        <x:v>924</x:v>
      </x:c>
      <x:c r="K82" s="12">
        <x:f>英雄升级调参!$F$85</x:f>
        <x:v>9240</x:v>
      </x:c>
      <x:c r="L82" s="6" t="n">
        <x:f>ROUNDUP(F82/J82,0)</x:f>
        <x:v>3</x:v>
      </x:c>
      <x:c r="M82" s="6" t="n">
        <x:f>IF(G82=0,"无伤害",ROUNDUP(K82/MAX(1,ROUND(G82*$AC$11,0)),0))</x:f>
        <x:v>10</x:v>
      </x:c>
      <x:c r="N82" s="6" t="n">
        <x:f>ROUNDUP(F82/英雄升级调参!$H$85,0)</x:f>
        <x:v>2</x:v>
      </x:c>
      <x:c r="O82" s="6" t="n">
        <x:f>ROUNDUP(F82/英雄升级调参!$K$85,0)</x:f>
        <x:v>2</x:v>
      </x:c>
      <x:c r="P82" s="6" t="str">
        <x:f>$AA$11</x:f>
        <x:v>普通：3次标准普攻击杀；10次主要攻击致死</x:v>
      </x:c>
      <x:c r="Q82" s="6"/>
      <x:c r="R82" s="6"/>
      <x:c r="S82" s="6"/>
      <x:c r="T82" s="6"/>
      <x:c r="V82" s="6"/>
      <x:c r="W82" s="6"/>
      <x:c r="X82" s="6"/>
      <x:c r="Y82" s="6"/>
      <x:c r="Z82" s="6"/>
      <x:c r="AA82" s="6"/>
      <x:c r="AB82" s="6"/>
      <x:c r="AC82" s="6"/>
      <x:c r="AD82" s="6"/>
      <x:c r="AE82" s="6"/>
      <x:c r="AF82" s="6"/>
      <x:c r="AG82" s="6"/>
    </x:row>
    <x:row r="83" ht="21.950000762939453" customHeight="1">
      <x:c r="A83" s="14" t="str">
        <x:f>$V$11</x:f>
        <x:v>MODEL_AIR</x:v>
      </x:c>
      <x:c r="B83" s="14" t="str">
        <x:f>$W$11</x:f>
        <x:v>模型·飞行小怪</x:v>
      </x:c>
      <x:c r="C83" s="6" t="str">
        <x:f>$X$11</x:f>
        <x:v>稻草人模型</x:v>
      </x:c>
      <x:c r="D83" s="6">
        <x:v>21</x:v>
      </x:c>
      <x:c r="E83" s="6">
        <x:v>11</x:v>
      </x:c>
      <x:c r="F83" s="12">
        <x:f>ROUND(J83*$W$4*H83,0)</x:f>
        <x:v>2934</x:v>
      </x:c>
      <x:c r="G83" s="12">
        <x:f>ROUND(J83*$W$4*$W$5*I83,0)</x:f>
        <x:v>978</x:v>
      </x:c>
      <x:c r="H83" s="11" t="n">
        <x:f>$Y$11</x:f>
        <x:v>0.75</x:v>
      </x:c>
      <x:c r="I83" s="11" t="n">
        <x:f>$Z$11</x:f>
        <x:v>3.3333333333333335</x:v>
      </x:c>
      <x:c r="J83" s="12">
        <x:f>英雄升级调参!$E$86</x:f>
        <x:v>978</x:v>
      </x:c>
      <x:c r="K83" s="12">
        <x:f>英雄升级调参!$F$86</x:f>
        <x:v>9780</x:v>
      </x:c>
      <x:c r="L83" s="6" t="n">
        <x:f>ROUNDUP(F83/J83,0)</x:f>
        <x:v>3</x:v>
      </x:c>
      <x:c r="M83" s="6" t="n">
        <x:f>IF(G83=0,"无伤害",ROUNDUP(K83/MAX(1,ROUND(G83*$AC$11,0)),0))</x:f>
        <x:v>10</x:v>
      </x:c>
      <x:c r="N83" s="6" t="n">
        <x:f>ROUNDUP(F83/英雄升级调参!$H$86,0)</x:f>
        <x:v>2</x:v>
      </x:c>
      <x:c r="O83" s="6" t="n">
        <x:f>ROUNDUP(F83/英雄升级调参!$K$86,0)</x:f>
        <x:v>2</x:v>
      </x:c>
      <x:c r="P83" s="6" t="str">
        <x:f>$AA$11</x:f>
        <x:v>普通：3次标准普攻击杀；10次主要攻击致死</x:v>
      </x:c>
      <x:c r="Q83" s="6"/>
      <x:c r="R83" s="6"/>
      <x:c r="S83" s="6"/>
      <x:c r="T83" s="6"/>
      <x:c r="V83" s="6"/>
      <x:c r="W83" s="6"/>
      <x:c r="X83" s="6"/>
      <x:c r="Y83" s="6"/>
      <x:c r="Z83" s="6"/>
      <x:c r="AA83" s="6"/>
      <x:c r="AB83" s="6"/>
      <x:c r="AC83" s="6"/>
      <x:c r="AD83" s="6"/>
      <x:c r="AE83" s="6"/>
      <x:c r="AF83" s="6"/>
      <x:c r="AG83" s="6"/>
    </x:row>
    <x:row r="84" ht="21.950000762939453" customHeight="1">
      <x:c r="A84" s="14" t="str">
        <x:f>$V$11</x:f>
        <x:v>MODEL_AIR</x:v>
      </x:c>
      <x:c r="B84" s="14" t="str">
        <x:f>$W$11</x:f>
        <x:v>模型·飞行小怪</x:v>
      </x:c>
      <x:c r="C84" s="6" t="str">
        <x:f>$X$11</x:f>
        <x:v>稻草人模型</x:v>
      </x:c>
      <x:c r="D84" s="6">
        <x:v>22</x:v>
      </x:c>
      <x:c r="E84" s="6">
        <x:v>11</x:v>
      </x:c>
      <x:c r="F84" s="12">
        <x:f>ROUND(J84*$W$4*H84,0)</x:f>
        <x:v>3096</x:v>
      </x:c>
      <x:c r="G84" s="12">
        <x:f>ROUND(J84*$W$4*$W$5*I84,0)</x:f>
        <x:v>1032</x:v>
      </x:c>
      <x:c r="H84" s="11" t="n">
        <x:f>$Y$11</x:f>
        <x:v>0.75</x:v>
      </x:c>
      <x:c r="I84" s="11" t="n">
        <x:f>$Z$11</x:f>
        <x:v>3.3333333333333335</x:v>
      </x:c>
      <x:c r="J84" s="12">
        <x:f>英雄升级调参!$E$87</x:f>
        <x:v>1032</x:v>
      </x:c>
      <x:c r="K84" s="12">
        <x:f>英雄升级调参!$F$87</x:f>
        <x:v>10320</x:v>
      </x:c>
      <x:c r="L84" s="6" t="n">
        <x:f>ROUNDUP(F84/J84,0)</x:f>
        <x:v>3</x:v>
      </x:c>
      <x:c r="M84" s="6" t="n">
        <x:f>IF(G84=0,"无伤害",ROUNDUP(K84/MAX(1,ROUND(G84*$AC$11,0)),0))</x:f>
        <x:v>10</x:v>
      </x:c>
      <x:c r="N84" s="6" t="n">
        <x:f>ROUNDUP(F84/英雄升级调参!$H$87,0)</x:f>
        <x:v>2</x:v>
      </x:c>
      <x:c r="O84" s="6" t="n">
        <x:f>ROUNDUP(F84/英雄升级调参!$K$87,0)</x:f>
        <x:v>2</x:v>
      </x:c>
      <x:c r="P84" s="6" t="str">
        <x:f>$AA$11</x:f>
        <x:v>普通：3次标准普攻击杀；10次主要攻击致死</x:v>
      </x:c>
      <x:c r="Q84" s="6"/>
      <x:c r="R84" s="6"/>
      <x:c r="S84" s="6"/>
      <x:c r="T84" s="6"/>
      <x:c r="V84" s="6"/>
      <x:c r="W84" s="6"/>
      <x:c r="X84" s="6"/>
      <x:c r="Y84" s="6"/>
      <x:c r="Z84" s="6"/>
      <x:c r="AA84" s="6"/>
      <x:c r="AB84" s="6"/>
      <x:c r="AC84" s="6"/>
      <x:c r="AD84" s="6"/>
      <x:c r="AE84" s="6"/>
      <x:c r="AF84" s="6"/>
      <x:c r="AG84" s="6"/>
    </x:row>
    <x:row r="85" ht="21.950000762939453" customHeight="1">
      <x:c r="A85" s="14" t="str">
        <x:f>$V$11</x:f>
        <x:v>MODEL_AIR</x:v>
      </x:c>
      <x:c r="B85" s="14" t="str">
        <x:f>$W$11</x:f>
        <x:v>模型·飞行小怪</x:v>
      </x:c>
      <x:c r="C85" s="6" t="str">
        <x:f>$X$11</x:f>
        <x:v>稻草人模型</x:v>
      </x:c>
      <x:c r="D85" s="6">
        <x:v>23</x:v>
      </x:c>
      <x:c r="E85" s="6">
        <x:v>11</x:v>
      </x:c>
      <x:c r="F85" s="12">
        <x:f>ROUND(J85*$W$4*H85,0)</x:f>
        <x:v>3258</x:v>
      </x:c>
      <x:c r="G85" s="12">
        <x:f>ROUND(J85*$W$4*$W$5*I85,0)</x:f>
        <x:v>1086</x:v>
      </x:c>
      <x:c r="H85" s="11" t="n">
        <x:f>$Y$11</x:f>
        <x:v>0.75</x:v>
      </x:c>
      <x:c r="I85" s="11" t="n">
        <x:f>$Z$11</x:f>
        <x:v>3.3333333333333335</x:v>
      </x:c>
      <x:c r="J85" s="12">
        <x:f>英雄升级调参!$E$88</x:f>
        <x:v>1086</x:v>
      </x:c>
      <x:c r="K85" s="12">
        <x:f>英雄升级调参!$F$88</x:f>
        <x:v>10860</x:v>
      </x:c>
      <x:c r="L85" s="6" t="n">
        <x:f>ROUNDUP(F85/J85,0)</x:f>
        <x:v>3</x:v>
      </x:c>
      <x:c r="M85" s="6" t="n">
        <x:f>IF(G85=0,"无伤害",ROUNDUP(K85/MAX(1,ROUND(G85*$AC$11,0)),0))</x:f>
        <x:v>10</x:v>
      </x:c>
      <x:c r="N85" s="6" t="n">
        <x:f>ROUNDUP(F85/英雄升级调参!$H$88,0)</x:f>
        <x:v>2</x:v>
      </x:c>
      <x:c r="O85" s="6" t="n">
        <x:f>ROUNDUP(F85/英雄升级调参!$K$88,0)</x:f>
        <x:v>2</x:v>
      </x:c>
      <x:c r="P85" s="6" t="str">
        <x:f>$AA$11</x:f>
        <x:v>普通：3次标准普攻击杀；10次主要攻击致死</x:v>
      </x:c>
      <x:c r="Q85" s="6"/>
      <x:c r="R85" s="6"/>
      <x:c r="S85" s="6"/>
      <x:c r="T85" s="6"/>
      <x:c r="V85" s="6"/>
      <x:c r="W85" s="6"/>
      <x:c r="X85" s="6"/>
      <x:c r="Y85" s="6"/>
      <x:c r="Z85" s="6"/>
      <x:c r="AA85" s="6"/>
      <x:c r="AB85" s="6"/>
      <x:c r="AC85" s="6"/>
      <x:c r="AD85" s="6"/>
      <x:c r="AE85" s="6"/>
      <x:c r="AF85" s="6"/>
      <x:c r="AG85" s="6"/>
    </x:row>
    <x:row r="86" ht="21.950000762939453" customHeight="1">
      <x:c r="A86" s="14" t="str">
        <x:f>$V$11</x:f>
        <x:v>MODEL_AIR</x:v>
      </x:c>
      <x:c r="B86" s="14" t="str">
        <x:f>$W$11</x:f>
        <x:v>模型·飞行小怪</x:v>
      </x:c>
      <x:c r="C86" s="6" t="str">
        <x:f>$X$11</x:f>
        <x:v>稻草人模型</x:v>
      </x:c>
      <x:c r="D86" s="6">
        <x:v>24</x:v>
      </x:c>
      <x:c r="E86" s="6">
        <x:v>11</x:v>
      </x:c>
      <x:c r="F86" s="12">
        <x:f>ROUND(J86*$W$4*H86,0)</x:f>
        <x:v>3420</x:v>
      </x:c>
      <x:c r="G86" s="12">
        <x:f>ROUND(J86*$W$4*$W$5*I86,0)</x:f>
        <x:v>1140</x:v>
      </x:c>
      <x:c r="H86" s="11" t="n">
        <x:f>$Y$11</x:f>
        <x:v>0.75</x:v>
      </x:c>
      <x:c r="I86" s="11" t="n">
        <x:f>$Z$11</x:f>
        <x:v>3.3333333333333335</x:v>
      </x:c>
      <x:c r="J86" s="12">
        <x:f>英雄升级调参!$E$89</x:f>
        <x:v>1140</x:v>
      </x:c>
      <x:c r="K86" s="12">
        <x:f>英雄升级调参!$F$89</x:f>
        <x:v>11400</x:v>
      </x:c>
      <x:c r="L86" s="6" t="n">
        <x:f>ROUNDUP(F86/J86,0)</x:f>
        <x:v>3</x:v>
      </x:c>
      <x:c r="M86" s="6" t="n">
        <x:f>IF(G86=0,"无伤害",ROUNDUP(K86/MAX(1,ROUND(G86*$AC$11,0)),0))</x:f>
        <x:v>10</x:v>
      </x:c>
      <x:c r="N86" s="6" t="n">
        <x:f>ROUNDUP(F86/英雄升级调参!$H$89,0)</x:f>
        <x:v>2</x:v>
      </x:c>
      <x:c r="O86" s="6" t="n">
        <x:f>ROUNDUP(F86/英雄升级调参!$K$89,0)</x:f>
        <x:v>2</x:v>
      </x:c>
      <x:c r="P86" s="6" t="str">
        <x:f>$AA$11</x:f>
        <x:v>普通：3次标准普攻击杀；10次主要攻击致死</x:v>
      </x:c>
      <x:c r="Q86" s="6"/>
      <x:c r="R86" s="6"/>
      <x:c r="S86" s="6"/>
      <x:c r="T86" s="6"/>
      <x:c r="V86" s="6"/>
      <x:c r="W86" s="6"/>
      <x:c r="X86" s="6"/>
      <x:c r="Y86" s="6"/>
      <x:c r="Z86" s="6"/>
      <x:c r="AA86" s="6"/>
      <x:c r="AB86" s="6"/>
      <x:c r="AC86" s="6"/>
      <x:c r="AD86" s="6"/>
      <x:c r="AE86" s="6"/>
      <x:c r="AF86" s="6"/>
      <x:c r="AG86" s="6"/>
    </x:row>
    <x:row r="87" ht="21.950000762939453" customHeight="1">
      <x:c r="A87" s="14" t="str">
        <x:f>$V$11</x:f>
        <x:v>MODEL_AIR</x:v>
      </x:c>
      <x:c r="B87" s="14" t="str">
        <x:f>$W$11</x:f>
        <x:v>模型·飞行小怪</x:v>
      </x:c>
      <x:c r="C87" s="6" t="str">
        <x:f>$X$11</x:f>
        <x:v>稻草人模型</x:v>
      </x:c>
      <x:c r="D87" s="6">
        <x:v>25</x:v>
      </x:c>
      <x:c r="E87" s="6">
        <x:v>11</x:v>
      </x:c>
      <x:c r="F87" s="12">
        <x:f>ROUND(J87*$W$4*H87,0)</x:f>
        <x:v>3906</x:v>
      </x:c>
      <x:c r="G87" s="12">
        <x:f>ROUND(J87*$W$4*$W$5*I87,0)</x:f>
        <x:v>1302</x:v>
      </x:c>
      <x:c r="H87" s="11" t="n">
        <x:f>$Y$11</x:f>
        <x:v>0.75</x:v>
      </x:c>
      <x:c r="I87" s="11" t="n">
        <x:f>$Z$11</x:f>
        <x:v>3.3333333333333335</x:v>
      </x:c>
      <x:c r="J87" s="12">
        <x:f>英雄升级调参!$E$90</x:f>
        <x:v>1302</x:v>
      </x:c>
      <x:c r="K87" s="12">
        <x:f>英雄升级调参!$F$90</x:f>
        <x:v>13020</x:v>
      </x:c>
      <x:c r="L87" s="6" t="n">
        <x:f>ROUNDUP(F87/J87,0)</x:f>
        <x:v>3</x:v>
      </x:c>
      <x:c r="M87" s="6" t="n">
        <x:f>IF(G87=0,"无伤害",ROUNDUP(K87/MAX(1,ROUND(G87*$AC$11,0)),0))</x:f>
        <x:v>10</x:v>
      </x:c>
      <x:c r="N87" s="6" t="n">
        <x:f>ROUNDUP(F87/英雄升级调参!$H$90,0)</x:f>
        <x:v>2</x:v>
      </x:c>
      <x:c r="O87" s="6" t="n">
        <x:f>ROUNDUP(F87/英雄升级调参!$K$90,0)</x:f>
        <x:v>2</x:v>
      </x:c>
      <x:c r="P87" s="6" t="str">
        <x:f>$AA$11</x:f>
        <x:v>普通：3次标准普攻击杀；10次主要攻击致死</x:v>
      </x:c>
      <x:c r="Q87" s="6"/>
      <x:c r="R87" s="6"/>
      <x:c r="S87" s="6"/>
      <x:c r="T87" s="6"/>
      <x:c r="V87" s="6"/>
      <x:c r="W87" s="6"/>
      <x:c r="X87" s="6"/>
      <x:c r="Y87" s="6"/>
      <x:c r="Z87" s="6"/>
      <x:c r="AA87" s="6"/>
      <x:c r="AB87" s="6"/>
      <x:c r="AC87" s="6"/>
      <x:c r="AD87" s="6"/>
      <x:c r="AE87" s="6"/>
      <x:c r="AF87" s="6"/>
      <x:c r="AG87" s="6"/>
    </x:row>
    <x:row r="88" ht="21.950000762939453" customHeight="1">
      <x:c r="A88" s="14" t="str">
        <x:f>$V$11</x:f>
        <x:v>MODEL_AIR</x:v>
      </x:c>
      <x:c r="B88" s="14" t="str">
        <x:f>$W$11</x:f>
        <x:v>模型·飞行小怪</x:v>
      </x:c>
      <x:c r="C88" s="6" t="str">
        <x:f>$X$11</x:f>
        <x:v>稻草人模型</x:v>
      </x:c>
      <x:c r="D88" s="6">
        <x:v>26</x:v>
      </x:c>
      <x:c r="E88" s="6">
        <x:v>11</x:v>
      </x:c>
      <x:c r="F88" s="12">
        <x:f>ROUND(J88*$W$4*H88,0)</x:f>
        <x:v>4095</x:v>
      </x:c>
      <x:c r="G88" s="12">
        <x:f>ROUND(J88*$W$4*$W$5*I88,0)</x:f>
        <x:v>1365</x:v>
      </x:c>
      <x:c r="H88" s="11" t="n">
        <x:f>$Y$11</x:f>
        <x:v>0.75</x:v>
      </x:c>
      <x:c r="I88" s="11" t="n">
        <x:f>$Z$11</x:f>
        <x:v>3.3333333333333335</x:v>
      </x:c>
      <x:c r="J88" s="12">
        <x:f>英雄升级调参!$E$91</x:f>
        <x:v>1365</x:v>
      </x:c>
      <x:c r="K88" s="12">
        <x:f>英雄升级调参!$F$91</x:f>
        <x:v>13650</x:v>
      </x:c>
      <x:c r="L88" s="6" t="n">
        <x:f>ROUNDUP(F88/J88,0)</x:f>
        <x:v>3</x:v>
      </x:c>
      <x:c r="M88" s="6" t="n">
        <x:f>IF(G88=0,"无伤害",ROUNDUP(K88/MAX(1,ROUND(G88*$AC$11,0)),0))</x:f>
        <x:v>10</x:v>
      </x:c>
      <x:c r="N88" s="6" t="n">
        <x:f>ROUNDUP(F88/英雄升级调参!$H$91,0)</x:f>
        <x:v>2</x:v>
      </x:c>
      <x:c r="O88" s="6" t="n">
        <x:f>ROUNDUP(F88/英雄升级调参!$K$91,0)</x:f>
        <x:v>2</x:v>
      </x:c>
      <x:c r="P88" s="6" t="str">
        <x:f>$AA$11</x:f>
        <x:v>普通：3次标准普攻击杀；10次主要攻击致死</x:v>
      </x:c>
      <x:c r="Q88" s="6"/>
      <x:c r="R88" s="6"/>
      <x:c r="S88" s="6"/>
      <x:c r="T88" s="6"/>
      <x:c r="V88" s="6"/>
      <x:c r="W88" s="6"/>
      <x:c r="X88" s="6"/>
      <x:c r="Y88" s="6"/>
      <x:c r="Z88" s="6"/>
      <x:c r="AA88" s="6"/>
      <x:c r="AB88" s="6"/>
      <x:c r="AC88" s="6"/>
      <x:c r="AD88" s="6"/>
      <x:c r="AE88" s="6"/>
      <x:c r="AF88" s="6"/>
      <x:c r="AG88" s="6"/>
    </x:row>
    <x:row r="89" ht="21.950000762939453" customHeight="1">
      <x:c r="A89" s="14" t="str">
        <x:f>$V$11</x:f>
        <x:v>MODEL_AIR</x:v>
      </x:c>
      <x:c r="B89" s="14" t="str">
        <x:f>$W$11</x:f>
        <x:v>模型·飞行小怪</x:v>
      </x:c>
      <x:c r="C89" s="6" t="str">
        <x:f>$X$11</x:f>
        <x:v>稻草人模型</x:v>
      </x:c>
      <x:c r="D89" s="6">
        <x:v>27</x:v>
      </x:c>
      <x:c r="E89" s="6">
        <x:v>11</x:v>
      </x:c>
      <x:c r="F89" s="12">
        <x:f>ROUND(J89*$W$4*H89,0)</x:f>
        <x:v>4284</x:v>
      </x:c>
      <x:c r="G89" s="12">
        <x:f>ROUND(J89*$W$4*$W$5*I89,0)</x:f>
        <x:v>1428</x:v>
      </x:c>
      <x:c r="H89" s="11" t="n">
        <x:f>$Y$11</x:f>
        <x:v>0.75</x:v>
      </x:c>
      <x:c r="I89" s="11" t="n">
        <x:f>$Z$11</x:f>
        <x:v>3.3333333333333335</x:v>
      </x:c>
      <x:c r="J89" s="12">
        <x:f>英雄升级调参!$E$92</x:f>
        <x:v>1428</x:v>
      </x:c>
      <x:c r="K89" s="12">
        <x:f>英雄升级调参!$F$92</x:f>
        <x:v>14280</x:v>
      </x:c>
      <x:c r="L89" s="6" t="n">
        <x:f>ROUNDUP(F89/J89,0)</x:f>
        <x:v>3</x:v>
      </x:c>
      <x:c r="M89" s="6" t="n">
        <x:f>IF(G89=0,"无伤害",ROUNDUP(K89/MAX(1,ROUND(G89*$AC$11,0)),0))</x:f>
        <x:v>10</x:v>
      </x:c>
      <x:c r="N89" s="6" t="n">
        <x:f>ROUNDUP(F89/英雄升级调参!$H$92,0)</x:f>
        <x:v>2</x:v>
      </x:c>
      <x:c r="O89" s="6" t="n">
        <x:f>ROUNDUP(F89/英雄升级调参!$K$92,0)</x:f>
        <x:v>2</x:v>
      </x:c>
      <x:c r="P89" s="6" t="str">
        <x:f>$AA$11</x:f>
        <x:v>普通：3次标准普攻击杀；10次主要攻击致死</x:v>
      </x:c>
      <x:c r="Q89" s="6"/>
      <x:c r="R89" s="6"/>
      <x:c r="S89" s="6"/>
      <x:c r="T89" s="6"/>
      <x:c r="V89" s="6"/>
      <x:c r="W89" s="6"/>
      <x:c r="X89" s="6"/>
      <x:c r="Y89" s="6"/>
      <x:c r="Z89" s="6"/>
      <x:c r="AA89" s="6"/>
      <x:c r="AB89" s="6"/>
      <x:c r="AC89" s="6"/>
      <x:c r="AD89" s="6"/>
      <x:c r="AE89" s="6"/>
      <x:c r="AF89" s="6"/>
      <x:c r="AG89" s="6"/>
    </x:row>
    <x:row r="90" ht="21.950000762939453" customHeight="1">
      <x:c r="A90" s="14" t="str">
        <x:f>$V$11</x:f>
        <x:v>MODEL_AIR</x:v>
      </x:c>
      <x:c r="B90" s="14" t="str">
        <x:f>$W$11</x:f>
        <x:v>模型·飞行小怪</x:v>
      </x:c>
      <x:c r="C90" s="6" t="str">
        <x:f>$X$11</x:f>
        <x:v>稻草人模型</x:v>
      </x:c>
      <x:c r="D90" s="6">
        <x:v>28</x:v>
      </x:c>
      <x:c r="E90" s="6">
        <x:v>11</x:v>
      </x:c>
      <x:c r="F90" s="12">
        <x:f>ROUND(J90*$W$4*H90,0)</x:f>
        <x:v>4473</x:v>
      </x:c>
      <x:c r="G90" s="12">
        <x:f>ROUND(J90*$W$4*$W$5*I90,0)</x:f>
        <x:v>1491</x:v>
      </x:c>
      <x:c r="H90" s="11" t="n">
        <x:f>$Y$11</x:f>
        <x:v>0.75</x:v>
      </x:c>
      <x:c r="I90" s="11" t="n">
        <x:f>$Z$11</x:f>
        <x:v>3.3333333333333335</x:v>
      </x:c>
      <x:c r="J90" s="12">
        <x:f>英雄升级调参!$E$93</x:f>
        <x:v>1491</x:v>
      </x:c>
      <x:c r="K90" s="12">
        <x:f>英雄升级调参!$F$93</x:f>
        <x:v>14910</x:v>
      </x:c>
      <x:c r="L90" s="6" t="n">
        <x:f>ROUNDUP(F90/J90,0)</x:f>
        <x:v>3</x:v>
      </x:c>
      <x:c r="M90" s="6" t="n">
        <x:f>IF(G90=0,"无伤害",ROUNDUP(K90/MAX(1,ROUND(G90*$AC$11,0)),0))</x:f>
        <x:v>10</x:v>
      </x:c>
      <x:c r="N90" s="6" t="n">
        <x:f>ROUNDUP(F90/英雄升级调参!$H$93,0)</x:f>
        <x:v>2</x:v>
      </x:c>
      <x:c r="O90" s="6" t="n">
        <x:f>ROUNDUP(F90/英雄升级调参!$K$93,0)</x:f>
        <x:v>2</x:v>
      </x:c>
      <x:c r="P90" s="6" t="str">
        <x:f>$AA$11</x:f>
        <x:v>普通：3次标准普攻击杀；10次主要攻击致死</x:v>
      </x:c>
      <x:c r="Q90" s="6"/>
      <x:c r="R90" s="6"/>
      <x:c r="S90" s="6"/>
      <x:c r="T90" s="6"/>
      <x:c r="V90" s="6"/>
      <x:c r="W90" s="6"/>
      <x:c r="X90" s="6"/>
      <x:c r="Y90" s="6"/>
      <x:c r="Z90" s="6"/>
      <x:c r="AA90" s="6"/>
      <x:c r="AB90" s="6"/>
      <x:c r="AC90" s="6"/>
      <x:c r="AD90" s="6"/>
      <x:c r="AE90" s="6"/>
      <x:c r="AF90" s="6"/>
      <x:c r="AG90" s="6"/>
    </x:row>
    <x:row r="91" ht="21.950000762939453" customHeight="1">
      <x:c r="A91" s="14" t="str">
        <x:f>$V$11</x:f>
        <x:v>MODEL_AIR</x:v>
      </x:c>
      <x:c r="B91" s="14" t="str">
        <x:f>$W$11</x:f>
        <x:v>模型·飞行小怪</x:v>
      </x:c>
      <x:c r="C91" s="6" t="str">
        <x:f>$X$11</x:f>
        <x:v>稻草人模型</x:v>
      </x:c>
      <x:c r="D91" s="6">
        <x:v>29</x:v>
      </x:c>
      <x:c r="E91" s="6">
        <x:v>11</x:v>
      </x:c>
      <x:c r="F91" s="12">
        <x:f>ROUND(J91*$W$4*H91,0)</x:f>
        <x:v>4662</x:v>
      </x:c>
      <x:c r="G91" s="12">
        <x:f>ROUND(J91*$W$4*$W$5*I91,0)</x:f>
        <x:v>1554</x:v>
      </x:c>
      <x:c r="H91" s="11" t="n">
        <x:f>$Y$11</x:f>
        <x:v>0.75</x:v>
      </x:c>
      <x:c r="I91" s="11" t="n">
        <x:f>$Z$11</x:f>
        <x:v>3.3333333333333335</x:v>
      </x:c>
      <x:c r="J91" s="12">
        <x:f>英雄升级调参!$E$94</x:f>
        <x:v>1554</x:v>
      </x:c>
      <x:c r="K91" s="12">
        <x:f>英雄升级调参!$F$94</x:f>
        <x:v>15540</x:v>
      </x:c>
      <x:c r="L91" s="6" t="n">
        <x:f>ROUNDUP(F91/J91,0)</x:f>
        <x:v>3</x:v>
      </x:c>
      <x:c r="M91" s="6" t="n">
        <x:f>IF(G91=0,"无伤害",ROUNDUP(K91/MAX(1,ROUND(G91*$AC$11,0)),0))</x:f>
        <x:v>10</x:v>
      </x:c>
      <x:c r="N91" s="6" t="n">
        <x:f>ROUNDUP(F91/英雄升级调参!$H$94,0)</x:f>
        <x:v>2</x:v>
      </x:c>
      <x:c r="O91" s="6" t="n">
        <x:f>ROUNDUP(F91/英雄升级调参!$K$94,0)</x:f>
        <x:v>2</x:v>
      </x:c>
      <x:c r="P91" s="6" t="str">
        <x:f>$AA$11</x:f>
        <x:v>普通：3次标准普攻击杀；10次主要攻击致死</x:v>
      </x:c>
      <x:c r="Q91" s="6"/>
      <x:c r="R91" s="6"/>
      <x:c r="S91" s="6"/>
      <x:c r="T91" s="6"/>
      <x:c r="V91" s="6"/>
      <x:c r="W91" s="6"/>
      <x:c r="X91" s="6"/>
      <x:c r="Y91" s="6"/>
      <x:c r="Z91" s="6"/>
      <x:c r="AA91" s="6"/>
      <x:c r="AB91" s="6"/>
      <x:c r="AC91" s="6"/>
      <x:c r="AD91" s="6"/>
      <x:c r="AE91" s="6"/>
      <x:c r="AF91" s="6"/>
      <x:c r="AG91" s="6"/>
    </x:row>
    <x:row r="92" ht="21.950000762939453" customHeight="1">
      <x:c r="A92" s="14" t="str">
        <x:f>$V$11</x:f>
        <x:v>MODEL_AIR</x:v>
      </x:c>
      <x:c r="B92" s="14" t="str">
        <x:f>$W$11</x:f>
        <x:v>模型·飞行小怪</x:v>
      </x:c>
      <x:c r="C92" s="6" t="str">
        <x:f>$X$11</x:f>
        <x:v>稻草人模型</x:v>
      </x:c>
      <x:c r="D92" s="6">
        <x:v>30</x:v>
      </x:c>
      <x:c r="E92" s="6">
        <x:v>11</x:v>
      </x:c>
      <x:c r="F92" s="12">
        <x:f>ROUND(J92*$W$4*H92,0)</x:f>
        <x:v>5229</x:v>
      </x:c>
      <x:c r="G92" s="12">
        <x:f>ROUND(J92*$W$4*$W$5*I92,0)</x:f>
        <x:v>1743</x:v>
      </x:c>
      <x:c r="H92" s="11" t="n">
        <x:f>$Y$11</x:f>
        <x:v>0.75</x:v>
      </x:c>
      <x:c r="I92" s="11" t="n">
        <x:f>$Z$11</x:f>
        <x:v>3.3333333333333335</x:v>
      </x:c>
      <x:c r="J92" s="12">
        <x:f>英雄升级调参!$E$95</x:f>
        <x:v>1743</x:v>
      </x:c>
      <x:c r="K92" s="12">
        <x:f>英雄升级调参!$F$95</x:f>
        <x:v>17430</x:v>
      </x:c>
      <x:c r="L92" s="6" t="n">
        <x:f>ROUNDUP(F92/J92,0)</x:f>
        <x:v>3</x:v>
      </x:c>
      <x:c r="M92" s="6" t="n">
        <x:f>IF(G92=0,"无伤害",ROUNDUP(K92/MAX(1,ROUND(G92*$AC$11,0)),0))</x:f>
        <x:v>10</x:v>
      </x:c>
      <x:c r="N92" s="6" t="n">
        <x:f>ROUNDUP(F92/英雄升级调参!$H$95,0)</x:f>
        <x:v>2</x:v>
      </x:c>
      <x:c r="O92" s="6" t="n">
        <x:f>ROUNDUP(F92/英雄升级调参!$K$95,0)</x:f>
        <x:v>2</x:v>
      </x:c>
      <x:c r="P92" s="6" t="str">
        <x:f>$AA$11</x:f>
        <x:v>普通：3次标准普攻击杀；10次主要攻击致死</x:v>
      </x:c>
      <x:c r="Q92" s="6"/>
      <x:c r="R92" s="6"/>
      <x:c r="S92" s="6"/>
      <x:c r="T92" s="6"/>
      <x:c r="V92" s="6"/>
      <x:c r="W92" s="6"/>
      <x:c r="X92" s="6"/>
      <x:c r="Y92" s="6"/>
      <x:c r="Z92" s="6"/>
      <x:c r="AA92" s="6"/>
      <x:c r="AB92" s="6"/>
      <x:c r="AC92" s="6"/>
      <x:c r="AD92" s="6"/>
      <x:c r="AE92" s="6"/>
      <x:c r="AF92" s="6"/>
      <x:c r="AG92" s="6"/>
    </x:row>
    <x:row r="93" ht="21.950000762939453" customHeight="1">
      <x:c r="A93" s="14" t="str">
        <x:f>$V$11</x:f>
        <x:v>MODEL_AIR</x:v>
      </x:c>
      <x:c r="B93" s="14" t="str">
        <x:f>$W$11</x:f>
        <x:v>模型·飞行小怪</x:v>
      </x:c>
      <x:c r="C93" s="6" t="str">
        <x:f>$X$11</x:f>
        <x:v>稻草人模型</x:v>
      </x:c>
      <x:c r="D93" s="6">
        <x:v>31</x:v>
      </x:c>
      <x:c r="E93" s="6">
        <x:v>11</x:v>
      </x:c>
      <x:c r="F93" s="12">
        <x:f>ROUND(J93*$W$4*H93,0)</x:f>
        <x:v>5445</x:v>
      </x:c>
      <x:c r="G93" s="12">
        <x:f>ROUND(J93*$W$4*$W$5*I93,0)</x:f>
        <x:v>1815</x:v>
      </x:c>
      <x:c r="H93" s="11" t="n">
        <x:f>$Y$11</x:f>
        <x:v>0.75</x:v>
      </x:c>
      <x:c r="I93" s="11" t="n">
        <x:f>$Z$11</x:f>
        <x:v>3.3333333333333335</x:v>
      </x:c>
      <x:c r="J93" s="12">
        <x:f>英雄升级调参!$E$96</x:f>
        <x:v>1815</x:v>
      </x:c>
      <x:c r="K93" s="12">
        <x:f>英雄升级调参!$F$96</x:f>
        <x:v>18150</x:v>
      </x:c>
      <x:c r="L93" s="6" t="n">
        <x:f>ROUNDUP(F93/J93,0)</x:f>
        <x:v>3</x:v>
      </x:c>
      <x:c r="M93" s="6" t="n">
        <x:f>IF(G93=0,"无伤害",ROUNDUP(K93/MAX(1,ROUND(G93*$AC$11,0)),0))</x:f>
        <x:v>10</x:v>
      </x:c>
      <x:c r="N93" s="6" t="n">
        <x:f>ROUNDUP(F93/英雄升级调参!$H$96,0)</x:f>
        <x:v>2</x:v>
      </x:c>
      <x:c r="O93" s="6" t="n">
        <x:f>ROUNDUP(F93/英雄升级调参!$K$96,0)</x:f>
        <x:v>2</x:v>
      </x:c>
      <x:c r="P93" s="6" t="str">
        <x:f>$AA$11</x:f>
        <x:v>普通：3次标准普攻击杀；10次主要攻击致死</x:v>
      </x:c>
      <x:c r="Q93" s="6"/>
      <x:c r="R93" s="6"/>
      <x:c r="S93" s="6"/>
      <x:c r="T93" s="6"/>
      <x:c r="V93" s="6"/>
      <x:c r="W93" s="6"/>
      <x:c r="X93" s="6"/>
      <x:c r="Y93" s="6"/>
      <x:c r="Z93" s="6"/>
      <x:c r="AA93" s="6"/>
      <x:c r="AB93" s="6"/>
      <x:c r="AC93" s="6"/>
      <x:c r="AD93" s="6"/>
      <x:c r="AE93" s="6"/>
      <x:c r="AF93" s="6"/>
      <x:c r="AG93" s="6"/>
    </x:row>
    <x:row r="94" ht="21.950000762939453" customHeight="1">
      <x:c r="A94" s="14" t="str">
        <x:f>$V$11</x:f>
        <x:v>MODEL_AIR</x:v>
      </x:c>
      <x:c r="B94" s="14" t="str">
        <x:f>$W$11</x:f>
        <x:v>模型·飞行小怪</x:v>
      </x:c>
      <x:c r="C94" s="6" t="str">
        <x:f>$X$11</x:f>
        <x:v>稻草人模型</x:v>
      </x:c>
      <x:c r="D94" s="6">
        <x:v>32</x:v>
      </x:c>
      <x:c r="E94" s="6">
        <x:v>11</x:v>
      </x:c>
      <x:c r="F94" s="12">
        <x:f>ROUND(J94*$W$4*H94,0)</x:f>
        <x:v>5661</x:v>
      </x:c>
      <x:c r="G94" s="12">
        <x:f>ROUND(J94*$W$4*$W$5*I94,0)</x:f>
        <x:v>1887</x:v>
      </x:c>
      <x:c r="H94" s="11" t="n">
        <x:f>$Y$11</x:f>
        <x:v>0.75</x:v>
      </x:c>
      <x:c r="I94" s="11" t="n">
        <x:f>$Z$11</x:f>
        <x:v>3.3333333333333335</x:v>
      </x:c>
      <x:c r="J94" s="12">
        <x:f>英雄升级调参!$E$97</x:f>
        <x:v>1887</x:v>
      </x:c>
      <x:c r="K94" s="12">
        <x:f>英雄升级调参!$F$97</x:f>
        <x:v>18870</x:v>
      </x:c>
      <x:c r="L94" s="6" t="n">
        <x:f>ROUNDUP(F94/J94,0)</x:f>
        <x:v>3</x:v>
      </x:c>
      <x:c r="M94" s="6" t="n">
        <x:f>IF(G94=0,"无伤害",ROUNDUP(K94/MAX(1,ROUND(G94*$AC$11,0)),0))</x:f>
        <x:v>10</x:v>
      </x:c>
      <x:c r="N94" s="6" t="n">
        <x:f>ROUNDUP(F94/英雄升级调参!$H$97,0)</x:f>
        <x:v>2</x:v>
      </x:c>
      <x:c r="O94" s="6" t="n">
        <x:f>ROUNDUP(F94/英雄升级调参!$K$97,0)</x:f>
        <x:v>2</x:v>
      </x:c>
      <x:c r="P94" s="6" t="str">
        <x:f>$AA$11</x:f>
        <x:v>普通：3次标准普攻击杀；10次主要攻击致死</x:v>
      </x:c>
      <x:c r="Q94" s="6"/>
      <x:c r="R94" s="6"/>
      <x:c r="S94" s="6"/>
      <x:c r="T94" s="6"/>
      <x:c r="V94" s="6"/>
      <x:c r="W94" s="6"/>
      <x:c r="X94" s="6"/>
      <x:c r="Y94" s="6"/>
      <x:c r="Z94" s="6"/>
      <x:c r="AA94" s="6"/>
      <x:c r="AB94" s="6"/>
      <x:c r="AC94" s="6"/>
      <x:c r="AD94" s="6"/>
      <x:c r="AE94" s="6"/>
      <x:c r="AF94" s="6"/>
      <x:c r="AG94" s="6"/>
    </x:row>
    <x:row r="95" ht="21.950000762939453" customHeight="1">
      <x:c r="A95" s="14" t="str">
        <x:f>$V$11</x:f>
        <x:v>MODEL_AIR</x:v>
      </x:c>
      <x:c r="B95" s="14" t="str">
        <x:f>$W$11</x:f>
        <x:v>模型·飞行小怪</x:v>
      </x:c>
      <x:c r="C95" s="6" t="str">
        <x:f>$X$11</x:f>
        <x:v>稻草人模型</x:v>
      </x:c>
      <x:c r="D95" s="6">
        <x:v>33</x:v>
      </x:c>
      <x:c r="E95" s="6">
        <x:v>11</x:v>
      </x:c>
      <x:c r="F95" s="12">
        <x:f>ROUND(J95*$W$4*H95,0)</x:f>
        <x:v>5877</x:v>
      </x:c>
      <x:c r="G95" s="12">
        <x:f>ROUND(J95*$W$4*$W$5*I95,0)</x:f>
        <x:v>1959</x:v>
      </x:c>
      <x:c r="H95" s="11" t="n">
        <x:f>$Y$11</x:f>
        <x:v>0.75</x:v>
      </x:c>
      <x:c r="I95" s="11" t="n">
        <x:f>$Z$11</x:f>
        <x:v>3.3333333333333335</x:v>
      </x:c>
      <x:c r="J95" s="12">
        <x:f>英雄升级调参!$E$98</x:f>
        <x:v>1959</x:v>
      </x:c>
      <x:c r="K95" s="12">
        <x:f>英雄升级调参!$F$98</x:f>
        <x:v>19590</x:v>
      </x:c>
      <x:c r="L95" s="6" t="n">
        <x:f>ROUNDUP(F95/J95,0)</x:f>
        <x:v>3</x:v>
      </x:c>
      <x:c r="M95" s="6" t="n">
        <x:f>IF(G95=0,"无伤害",ROUNDUP(K95/MAX(1,ROUND(G95*$AC$11,0)),0))</x:f>
        <x:v>10</x:v>
      </x:c>
      <x:c r="N95" s="6" t="n">
        <x:f>ROUNDUP(F95/英雄升级调参!$H$98,0)</x:f>
        <x:v>2</x:v>
      </x:c>
      <x:c r="O95" s="6" t="n">
        <x:f>ROUNDUP(F95/英雄升级调参!$K$98,0)</x:f>
        <x:v>2</x:v>
      </x:c>
      <x:c r="P95" s="6" t="str">
        <x:f>$AA$11</x:f>
        <x:v>普通：3次标准普攻击杀；10次主要攻击致死</x:v>
      </x:c>
      <x:c r="Q95" s="6"/>
      <x:c r="R95" s="6"/>
      <x:c r="S95" s="6"/>
      <x:c r="T95" s="6"/>
      <x:c r="V95" s="6"/>
      <x:c r="W95" s="6"/>
      <x:c r="X95" s="6"/>
      <x:c r="Y95" s="6"/>
      <x:c r="Z95" s="6"/>
      <x:c r="AA95" s="6"/>
      <x:c r="AB95" s="6"/>
      <x:c r="AC95" s="6"/>
      <x:c r="AD95" s="6"/>
      <x:c r="AE95" s="6"/>
      <x:c r="AF95" s="6"/>
      <x:c r="AG95" s="6"/>
    </x:row>
    <x:row r="96" ht="21.950000762939453" customHeight="1">
      <x:c r="A96" s="14" t="str">
        <x:f>$V$11</x:f>
        <x:v>MODEL_AIR</x:v>
      </x:c>
      <x:c r="B96" s="14" t="str">
        <x:f>$W$11</x:f>
        <x:v>模型·飞行小怪</x:v>
      </x:c>
      <x:c r="C96" s="6" t="str">
        <x:f>$X$11</x:f>
        <x:v>稻草人模型</x:v>
      </x:c>
      <x:c r="D96" s="6">
        <x:v>34</x:v>
      </x:c>
      <x:c r="E96" s="6">
        <x:v>11</x:v>
      </x:c>
      <x:c r="F96" s="12">
        <x:f>ROUND(J96*$W$4*H96,0)</x:f>
        <x:v>6093</x:v>
      </x:c>
      <x:c r="G96" s="12">
        <x:f>ROUND(J96*$W$4*$W$5*I96,0)</x:f>
        <x:v>2031</x:v>
      </x:c>
      <x:c r="H96" s="11" t="n">
        <x:f>$Y$11</x:f>
        <x:v>0.75</x:v>
      </x:c>
      <x:c r="I96" s="11" t="n">
        <x:f>$Z$11</x:f>
        <x:v>3.3333333333333335</x:v>
      </x:c>
      <x:c r="J96" s="12">
        <x:f>英雄升级调参!$E$99</x:f>
        <x:v>2031</x:v>
      </x:c>
      <x:c r="K96" s="12">
        <x:f>英雄升级调参!$F$99</x:f>
        <x:v>20310</x:v>
      </x:c>
      <x:c r="L96" s="6" t="n">
        <x:f>ROUNDUP(F96/J96,0)</x:f>
        <x:v>3</x:v>
      </x:c>
      <x:c r="M96" s="6" t="n">
        <x:f>IF(G96=0,"无伤害",ROUNDUP(K96/MAX(1,ROUND(G96*$AC$11,0)),0))</x:f>
        <x:v>10</x:v>
      </x:c>
      <x:c r="N96" s="6" t="n">
        <x:f>ROUNDUP(F96/英雄升级调参!$H$99,0)</x:f>
        <x:v>2</x:v>
      </x:c>
      <x:c r="O96" s="6" t="n">
        <x:f>ROUNDUP(F96/英雄升级调参!$K$99,0)</x:f>
        <x:v>2</x:v>
      </x:c>
      <x:c r="P96" s="6" t="str">
        <x:f>$AA$11</x:f>
        <x:v>普通：3次标准普攻击杀；10次主要攻击致死</x:v>
      </x:c>
      <x:c r="Q96" s="6"/>
      <x:c r="R96" s="6"/>
      <x:c r="S96" s="6"/>
      <x:c r="T96" s="6"/>
      <x:c r="V96" s="6"/>
      <x:c r="W96" s="6"/>
      <x:c r="X96" s="6"/>
      <x:c r="Y96" s="6"/>
      <x:c r="Z96" s="6"/>
      <x:c r="AA96" s="6"/>
      <x:c r="AB96" s="6"/>
      <x:c r="AC96" s="6"/>
      <x:c r="AD96" s="6"/>
      <x:c r="AE96" s="6"/>
      <x:c r="AF96" s="6"/>
      <x:c r="AG96" s="6"/>
    </x:row>
    <x:row r="97" ht="21.950000762939453" customHeight="1">
      <x:c r="A97" s="14" t="str">
        <x:f>$V$11</x:f>
        <x:v>MODEL_AIR</x:v>
      </x:c>
      <x:c r="B97" s="14" t="str">
        <x:f>$W$11</x:f>
        <x:v>模型·飞行小怪</x:v>
      </x:c>
      <x:c r="C97" s="6" t="str">
        <x:f>$X$11</x:f>
        <x:v>稻草人模型</x:v>
      </x:c>
      <x:c r="D97" s="6">
        <x:v>35</x:v>
      </x:c>
      <x:c r="E97" s="6">
        <x:v>11</x:v>
      </x:c>
      <x:c r="F97" s="12">
        <x:f>ROUND(J97*$W$4*H97,0)</x:f>
        <x:v>6741</x:v>
      </x:c>
      <x:c r="G97" s="12">
        <x:f>ROUND(J97*$W$4*$W$5*I97,0)</x:f>
        <x:v>2247</x:v>
      </x:c>
      <x:c r="H97" s="11" t="n">
        <x:f>$Y$11</x:f>
        <x:v>0.75</x:v>
      </x:c>
      <x:c r="I97" s="11" t="n">
        <x:f>$Z$11</x:f>
        <x:v>3.3333333333333335</x:v>
      </x:c>
      <x:c r="J97" s="12">
        <x:f>英雄升级调参!$E$100</x:f>
        <x:v>2247</x:v>
      </x:c>
      <x:c r="K97" s="12">
        <x:f>英雄升级调参!$F$100</x:f>
        <x:v>22470</x:v>
      </x:c>
      <x:c r="L97" s="6" t="n">
        <x:f>ROUNDUP(F97/J97,0)</x:f>
        <x:v>3</x:v>
      </x:c>
      <x:c r="M97" s="6" t="n">
        <x:f>IF(G97=0,"无伤害",ROUNDUP(K97/MAX(1,ROUND(G97*$AC$11,0)),0))</x:f>
        <x:v>10</x:v>
      </x:c>
      <x:c r="N97" s="6" t="n">
        <x:f>ROUNDUP(F97/英雄升级调参!$H$100,0)</x:f>
        <x:v>2</x:v>
      </x:c>
      <x:c r="O97" s="6" t="n">
        <x:f>ROUNDUP(F97/英雄升级调参!$K$100,0)</x:f>
        <x:v>2</x:v>
      </x:c>
      <x:c r="P97" s="6" t="str">
        <x:f>$AA$11</x:f>
        <x:v>普通：3次标准普攻击杀；10次主要攻击致死</x:v>
      </x:c>
      <x:c r="Q97" s="6"/>
      <x:c r="R97" s="6"/>
      <x:c r="S97" s="6"/>
      <x:c r="T97" s="6"/>
      <x:c r="V97" s="6"/>
      <x:c r="W97" s="6"/>
      <x:c r="X97" s="6"/>
      <x:c r="Y97" s="6"/>
      <x:c r="Z97" s="6"/>
      <x:c r="AA97" s="6"/>
      <x:c r="AB97" s="6"/>
      <x:c r="AC97" s="6"/>
      <x:c r="AD97" s="6"/>
      <x:c r="AE97" s="6"/>
      <x:c r="AF97" s="6"/>
      <x:c r="AG97" s="6"/>
    </x:row>
    <x:row r="98" ht="21.950000762939453" customHeight="1">
      <x:c r="A98" s="14" t="str">
        <x:f>$V$11</x:f>
        <x:v>MODEL_AIR</x:v>
      </x:c>
      <x:c r="B98" s="14" t="str">
        <x:f>$W$11</x:f>
        <x:v>模型·飞行小怪</x:v>
      </x:c>
      <x:c r="C98" s="6" t="str">
        <x:f>$X$11</x:f>
        <x:v>稻草人模型</x:v>
      </x:c>
      <x:c r="D98" s="6">
        <x:v>36</x:v>
      </x:c>
      <x:c r="E98" s="6">
        <x:v>11</x:v>
      </x:c>
      <x:c r="F98" s="12">
        <x:f>ROUND(J98*$W$4*H98,0)</x:f>
        <x:v>6984</x:v>
      </x:c>
      <x:c r="G98" s="12">
        <x:f>ROUND(J98*$W$4*$W$5*I98,0)</x:f>
        <x:v>2328</x:v>
      </x:c>
      <x:c r="H98" s="11" t="n">
        <x:f>$Y$11</x:f>
        <x:v>0.75</x:v>
      </x:c>
      <x:c r="I98" s="11" t="n">
        <x:f>$Z$11</x:f>
        <x:v>3.3333333333333335</x:v>
      </x:c>
      <x:c r="J98" s="12">
        <x:f>英雄升级调参!$E$101</x:f>
        <x:v>2328</x:v>
      </x:c>
      <x:c r="K98" s="12">
        <x:f>英雄升级调参!$F$101</x:f>
        <x:v>23280</x:v>
      </x:c>
      <x:c r="L98" s="6" t="n">
        <x:f>ROUNDUP(F98/J98,0)</x:f>
        <x:v>3</x:v>
      </x:c>
      <x:c r="M98" s="6" t="n">
        <x:f>IF(G98=0,"无伤害",ROUNDUP(K98/MAX(1,ROUND(G98*$AC$11,0)),0))</x:f>
        <x:v>10</x:v>
      </x:c>
      <x:c r="N98" s="6" t="n">
        <x:f>ROUNDUP(F98/英雄升级调参!$H$101,0)</x:f>
        <x:v>2</x:v>
      </x:c>
      <x:c r="O98" s="6" t="n">
        <x:f>ROUNDUP(F98/英雄升级调参!$K$101,0)</x:f>
        <x:v>2</x:v>
      </x:c>
      <x:c r="P98" s="6" t="str">
        <x:f>$AA$11</x:f>
        <x:v>普通：3次标准普攻击杀；10次主要攻击致死</x:v>
      </x:c>
      <x:c r="Q98" s="6"/>
      <x:c r="R98" s="6"/>
      <x:c r="S98" s="6"/>
      <x:c r="T98" s="6"/>
      <x:c r="V98" s="6"/>
      <x:c r="W98" s="6"/>
      <x:c r="X98" s="6"/>
      <x:c r="Y98" s="6"/>
      <x:c r="Z98" s="6"/>
      <x:c r="AA98" s="6"/>
      <x:c r="AB98" s="6"/>
      <x:c r="AC98" s="6"/>
      <x:c r="AD98" s="6"/>
      <x:c r="AE98" s="6"/>
      <x:c r="AF98" s="6"/>
      <x:c r="AG98" s="6"/>
    </x:row>
    <x:row r="99" ht="21.950000762939453" customHeight="1">
      <x:c r="A99" s="14" t="str">
        <x:f>$V$11</x:f>
        <x:v>MODEL_AIR</x:v>
      </x:c>
      <x:c r="B99" s="14" t="str">
        <x:f>$W$11</x:f>
        <x:v>模型·飞行小怪</x:v>
      </x:c>
      <x:c r="C99" s="6" t="str">
        <x:f>$X$11</x:f>
        <x:v>稻草人模型</x:v>
      </x:c>
      <x:c r="D99" s="6">
        <x:v>37</x:v>
      </x:c>
      <x:c r="E99" s="6">
        <x:v>11</x:v>
      </x:c>
      <x:c r="F99" s="12">
        <x:f>ROUND(J99*$W$4*H99,0)</x:f>
        <x:v>7227</x:v>
      </x:c>
      <x:c r="G99" s="12">
        <x:f>ROUND(J99*$W$4*$W$5*I99,0)</x:f>
        <x:v>2409</x:v>
      </x:c>
      <x:c r="H99" s="11" t="n">
        <x:f>$Y$11</x:f>
        <x:v>0.75</x:v>
      </x:c>
      <x:c r="I99" s="11" t="n">
        <x:f>$Z$11</x:f>
        <x:v>3.3333333333333335</x:v>
      </x:c>
      <x:c r="J99" s="12">
        <x:f>英雄升级调参!$E$102</x:f>
        <x:v>2409</x:v>
      </x:c>
      <x:c r="K99" s="12">
        <x:f>英雄升级调参!$F$102</x:f>
        <x:v>24090</x:v>
      </x:c>
      <x:c r="L99" s="6" t="n">
        <x:f>ROUNDUP(F99/J99,0)</x:f>
        <x:v>3</x:v>
      </x:c>
      <x:c r="M99" s="6" t="n">
        <x:f>IF(G99=0,"无伤害",ROUNDUP(K99/MAX(1,ROUND(G99*$AC$11,0)),0))</x:f>
        <x:v>10</x:v>
      </x:c>
      <x:c r="N99" s="6" t="n">
        <x:f>ROUNDUP(F99/英雄升级调参!$H$102,0)</x:f>
        <x:v>2</x:v>
      </x:c>
      <x:c r="O99" s="6" t="n">
        <x:f>ROUNDUP(F99/英雄升级调参!$K$102,0)</x:f>
        <x:v>2</x:v>
      </x:c>
      <x:c r="P99" s="6" t="str">
        <x:f>$AA$11</x:f>
        <x:v>普通：3次标准普攻击杀；10次主要攻击致死</x:v>
      </x:c>
      <x:c r="Q99" s="6"/>
      <x:c r="R99" s="6"/>
      <x:c r="S99" s="6"/>
      <x:c r="T99" s="6"/>
      <x:c r="V99" s="6"/>
      <x:c r="W99" s="6"/>
      <x:c r="X99" s="6"/>
      <x:c r="Y99" s="6"/>
      <x:c r="Z99" s="6"/>
      <x:c r="AA99" s="6"/>
      <x:c r="AB99" s="6"/>
      <x:c r="AC99" s="6"/>
      <x:c r="AD99" s="6"/>
      <x:c r="AE99" s="6"/>
      <x:c r="AF99" s="6"/>
      <x:c r="AG99" s="6"/>
    </x:row>
    <x:row r="100" ht="21.950000762939453" customHeight="1">
      <x:c r="A100" s="14" t="str">
        <x:f>$V$11</x:f>
        <x:v>MODEL_AIR</x:v>
      </x:c>
      <x:c r="B100" s="14" t="str">
        <x:f>$W$11</x:f>
        <x:v>模型·飞行小怪</x:v>
      </x:c>
      <x:c r="C100" s="6" t="str">
        <x:f>$X$11</x:f>
        <x:v>稻草人模型</x:v>
      </x:c>
      <x:c r="D100" s="6">
        <x:v>38</x:v>
      </x:c>
      <x:c r="E100" s="6">
        <x:v>11</x:v>
      </x:c>
      <x:c r="F100" s="12">
        <x:f>ROUND(J100*$W$4*H100,0)</x:f>
        <x:v>7470</x:v>
      </x:c>
      <x:c r="G100" s="12">
        <x:f>ROUND(J100*$W$4*$W$5*I100,0)</x:f>
        <x:v>2490</x:v>
      </x:c>
      <x:c r="H100" s="11" t="n">
        <x:f>$Y$11</x:f>
        <x:v>0.75</x:v>
      </x:c>
      <x:c r="I100" s="11" t="n">
        <x:f>$Z$11</x:f>
        <x:v>3.3333333333333335</x:v>
      </x:c>
      <x:c r="J100" s="12">
        <x:f>英雄升级调参!$E$103</x:f>
        <x:v>2490</x:v>
      </x:c>
      <x:c r="K100" s="12">
        <x:f>英雄升级调参!$F$103</x:f>
        <x:v>24900</x:v>
      </x:c>
      <x:c r="L100" s="6" t="n">
        <x:f>ROUNDUP(F100/J100,0)</x:f>
        <x:v>3</x:v>
      </x:c>
      <x:c r="M100" s="6" t="n">
        <x:f>IF(G100=0,"无伤害",ROUNDUP(K100/MAX(1,ROUND(G100*$AC$11,0)),0))</x:f>
        <x:v>10</x:v>
      </x:c>
      <x:c r="N100" s="6" t="n">
        <x:f>ROUNDUP(F100/英雄升级调参!$H$103,0)</x:f>
        <x:v>2</x:v>
      </x:c>
      <x:c r="O100" s="6" t="n">
        <x:f>ROUNDUP(F100/英雄升级调参!$K$103,0)</x:f>
        <x:v>2</x:v>
      </x:c>
      <x:c r="P100" s="6" t="str">
        <x:f>$AA$11</x:f>
        <x:v>普通：3次标准普攻击杀；10次主要攻击致死</x:v>
      </x:c>
      <x:c r="Q100" s="6"/>
      <x:c r="R100" s="6"/>
      <x:c r="S100" s="6"/>
      <x:c r="T100" s="6"/>
      <x:c r="V100" s="6"/>
      <x:c r="W100" s="6"/>
      <x:c r="X100" s="6"/>
      <x:c r="Y100" s="6"/>
      <x:c r="Z100" s="6"/>
      <x:c r="AA100" s="6"/>
      <x:c r="AB100" s="6"/>
      <x:c r="AC100" s="6"/>
      <x:c r="AD100" s="6"/>
      <x:c r="AE100" s="6"/>
      <x:c r="AF100" s="6"/>
      <x:c r="AG100" s="6"/>
    </x:row>
    <x:row r="101" ht="21" customHeight="1">
      <x:c r="A101" s="14" t="str">
        <x:f>$V$11</x:f>
        <x:v>MODEL_AIR</x:v>
      </x:c>
      <x:c r="B101" s="14" t="str">
        <x:f>$W$11</x:f>
        <x:v>模型·飞行小怪</x:v>
      </x:c>
      <x:c r="C101" s="6" t="str">
        <x:f>$X$11</x:f>
        <x:v>稻草人模型</x:v>
      </x:c>
      <x:c r="D101" s="6">
        <x:v>39</x:v>
      </x:c>
      <x:c r="E101" s="6">
        <x:v>11</x:v>
      </x:c>
      <x:c r="F101" s="12">
        <x:f>ROUND(J101*$W$4*H101,0)</x:f>
        <x:v>7713</x:v>
      </x:c>
      <x:c r="G101" s="12">
        <x:f>ROUND(J101*$W$4*$W$5*I101,0)</x:f>
        <x:v>2571</x:v>
      </x:c>
      <x:c r="H101" s="11" t="n">
        <x:f>$Y$11</x:f>
        <x:v>0.75</x:v>
      </x:c>
      <x:c r="I101" s="11" t="n">
        <x:f>$Z$11</x:f>
        <x:v>3.3333333333333335</x:v>
      </x:c>
      <x:c r="J101" s="12">
        <x:f>英雄升级调参!$E$104</x:f>
        <x:v>2571</x:v>
      </x:c>
      <x:c r="K101" s="12">
        <x:f>英雄升级调参!$F$104</x:f>
        <x:v>25710</x:v>
      </x:c>
      <x:c r="L101" s="6" t="n">
        <x:f>ROUNDUP(F101/J101,0)</x:f>
        <x:v>3</x:v>
      </x:c>
      <x:c r="M101" s="6" t="n">
        <x:f>IF(G101=0,"无伤害",ROUNDUP(K101/MAX(1,ROUND(G101*$AC$11,0)),0))</x:f>
        <x:v>10</x:v>
      </x:c>
      <x:c r="N101" s="6" t="n">
        <x:f>ROUNDUP(F101/英雄升级调参!$H$104,0)</x:f>
        <x:v>2</x:v>
      </x:c>
      <x:c r="O101" s="6" t="n">
        <x:f>ROUNDUP(F101/英雄升级调参!$K$104,0)</x:f>
        <x:v>2</x:v>
      </x:c>
      <x:c r="P101" s="6" t="str">
        <x:f>$AA$11</x:f>
        <x:v>普通：3次标准普攻击杀；10次主要攻击致死</x:v>
      </x:c>
      <x:c r="Q101" s="6"/>
      <x:c r="R101" s="6"/>
      <x:c r="S101" s="6"/>
      <x:c r="T101" s="6"/>
    </x:row>
    <x:row r="102" ht="21" customHeight="1">
      <x:c r="A102" s="14" t="str">
        <x:f>$V$11</x:f>
        <x:v>MODEL_AIR</x:v>
      </x:c>
      <x:c r="B102" s="14" t="str">
        <x:f>$W$11</x:f>
        <x:v>模型·飞行小怪</x:v>
      </x:c>
      <x:c r="C102" s="6" t="str">
        <x:f>$X$11</x:f>
        <x:v>稻草人模型</x:v>
      </x:c>
      <x:c r="D102" s="6">
        <x:v>40</x:v>
      </x:c>
      <x:c r="E102" s="6">
        <x:v>11</x:v>
      </x:c>
      <x:c r="F102" s="12">
        <x:f>ROUND(J102*$W$4*H102,0)</x:f>
        <x:v>8442</x:v>
      </x:c>
      <x:c r="G102" s="12">
        <x:f>ROUND(J102*$W$4*$W$5*I102,0)</x:f>
        <x:v>2814</x:v>
      </x:c>
      <x:c r="H102" s="11" t="n">
        <x:f>$Y$11</x:f>
        <x:v>0.75</x:v>
      </x:c>
      <x:c r="I102" s="11" t="n">
        <x:f>$Z$11</x:f>
        <x:v>3.3333333333333335</x:v>
      </x:c>
      <x:c r="J102" s="12">
        <x:f>英雄升级调参!$E$105</x:f>
        <x:v>2814</x:v>
      </x:c>
      <x:c r="K102" s="12">
        <x:f>英雄升级调参!$F$105</x:f>
        <x:v>28140</x:v>
      </x:c>
      <x:c r="L102" s="6" t="n">
        <x:f>ROUNDUP(F102/J102,0)</x:f>
        <x:v>3</x:v>
      </x:c>
      <x:c r="M102" s="6" t="n">
        <x:f>IF(G102=0,"无伤害",ROUNDUP(K102/MAX(1,ROUND(G102*$AC$11,0)),0))</x:f>
        <x:v>10</x:v>
      </x:c>
      <x:c r="N102" s="6" t="n">
        <x:f>ROUNDUP(F102/英雄升级调参!$H$105,0)</x:f>
        <x:v>2</x:v>
      </x:c>
      <x:c r="O102" s="6" t="n">
        <x:f>ROUNDUP(F102/英雄升级调参!$K$105,0)</x:f>
        <x:v>2</x:v>
      </x:c>
      <x:c r="P102" s="6" t="str">
        <x:f>$AA$11</x:f>
        <x:v>普通：3次标准普攻击杀；10次主要攻击致死</x:v>
      </x:c>
      <x:c r="Q102" s="6"/>
      <x:c r="R102" s="6"/>
      <x:c r="S102" s="6"/>
      <x:c r="T102" s="6"/>
    </x:row>
    <x:row r="103" ht="21" customHeight="1">
      <x:c r="A103" s="14" t="str">
        <x:f>$V$11</x:f>
        <x:v>MODEL_AIR</x:v>
      </x:c>
      <x:c r="B103" s="14" t="str">
        <x:f>$W$11</x:f>
        <x:v>模型·飞行小怪</x:v>
      </x:c>
      <x:c r="C103" s="6" t="str">
        <x:f>$X$11</x:f>
        <x:v>稻草人模型</x:v>
      </x:c>
      <x:c r="D103" s="6">
        <x:v>41</x:v>
      </x:c>
      <x:c r="E103" s="6">
        <x:v>11</x:v>
      </x:c>
      <x:c r="F103" s="12">
        <x:f>ROUND(J103*$W$4*H103,0)</x:f>
        <x:v>8712</x:v>
      </x:c>
      <x:c r="G103" s="12">
        <x:f>ROUND(J103*$W$4*$W$5*I103,0)</x:f>
        <x:v>2904</x:v>
      </x:c>
      <x:c r="H103" s="11" t="n">
        <x:f>$Y$11</x:f>
        <x:v>0.75</x:v>
      </x:c>
      <x:c r="I103" s="11" t="n">
        <x:f>$Z$11</x:f>
        <x:v>3.3333333333333335</x:v>
      </x:c>
      <x:c r="J103" s="12">
        <x:f>英雄升级调参!$E$106</x:f>
        <x:v>2904</x:v>
      </x:c>
      <x:c r="K103" s="12">
        <x:f>英雄升级调参!$F$106</x:f>
        <x:v>29040</x:v>
      </x:c>
      <x:c r="L103" s="6" t="n">
        <x:f>ROUNDUP(F103/J103,0)</x:f>
        <x:v>3</x:v>
      </x:c>
      <x:c r="M103" s="6" t="n">
        <x:f>IF(G103=0,"无伤害",ROUNDUP(K103/MAX(1,ROUND(G103*$AC$11,0)),0))</x:f>
        <x:v>10</x:v>
      </x:c>
      <x:c r="N103" s="6" t="n">
        <x:f>ROUNDUP(F103/英雄升级调参!$H$106,0)</x:f>
        <x:v>2</x:v>
      </x:c>
      <x:c r="O103" s="6" t="n">
        <x:f>ROUNDUP(F103/英雄升级调参!$K$106,0)</x:f>
        <x:v>2</x:v>
      </x:c>
      <x:c r="P103" s="6" t="str">
        <x:f>$AA$11</x:f>
        <x:v>普通：3次标准普攻击杀；10次主要攻击致死</x:v>
      </x:c>
      <x:c r="Q103" s="6"/>
      <x:c r="R103" s="6"/>
      <x:c r="S103" s="6"/>
      <x:c r="T103" s="6"/>
    </x:row>
    <x:row r="104" ht="21" customHeight="1">
      <x:c r="A104" s="14" t="str">
        <x:f>$V$11</x:f>
        <x:v>MODEL_AIR</x:v>
      </x:c>
      <x:c r="B104" s="14" t="str">
        <x:f>$W$11</x:f>
        <x:v>模型·飞行小怪</x:v>
      </x:c>
      <x:c r="C104" s="6" t="str">
        <x:f>$X$11</x:f>
        <x:v>稻草人模型</x:v>
      </x:c>
      <x:c r="D104" s="6">
        <x:v>42</x:v>
      </x:c>
      <x:c r="E104" s="6">
        <x:v>11</x:v>
      </x:c>
      <x:c r="F104" s="12">
        <x:f>ROUND(J104*$W$4*H104,0)</x:f>
        <x:v>8982</x:v>
      </x:c>
      <x:c r="G104" s="12">
        <x:f>ROUND(J104*$W$4*$W$5*I104,0)</x:f>
        <x:v>2994</x:v>
      </x:c>
      <x:c r="H104" s="11" t="n">
        <x:f>$Y$11</x:f>
        <x:v>0.75</x:v>
      </x:c>
      <x:c r="I104" s="11" t="n">
        <x:f>$Z$11</x:f>
        <x:v>3.3333333333333335</x:v>
      </x:c>
      <x:c r="J104" s="12">
        <x:f>英雄升级调参!$E$107</x:f>
        <x:v>2994</x:v>
      </x:c>
      <x:c r="K104" s="12">
        <x:f>英雄升级调参!$F$107</x:f>
        <x:v>29940</x:v>
      </x:c>
      <x:c r="L104" s="6" t="n">
        <x:f>ROUNDUP(F104/J104,0)</x:f>
        <x:v>3</x:v>
      </x:c>
      <x:c r="M104" s="6" t="n">
        <x:f>IF(G104=0,"无伤害",ROUNDUP(K104/MAX(1,ROUND(G104*$AC$11,0)),0))</x:f>
        <x:v>10</x:v>
      </x:c>
      <x:c r="N104" s="6" t="n">
        <x:f>ROUNDUP(F104/英雄升级调参!$H$107,0)</x:f>
        <x:v>2</x:v>
      </x:c>
      <x:c r="O104" s="6" t="n">
        <x:f>ROUNDUP(F104/英雄升级调参!$K$107,0)</x:f>
        <x:v>2</x:v>
      </x:c>
      <x:c r="P104" s="6" t="str">
        <x:f>$AA$11</x:f>
        <x:v>普通：3次标准普攻击杀；10次主要攻击致死</x:v>
      </x:c>
      <x:c r="Q104" s="6"/>
      <x:c r="R104" s="6"/>
      <x:c r="S104" s="6"/>
      <x:c r="T104" s="6"/>
    </x:row>
    <x:row r="105" ht="21" customHeight="1">
      <x:c r="A105" s="14" t="str">
        <x:f>$V$11</x:f>
        <x:v>MODEL_AIR</x:v>
      </x:c>
      <x:c r="B105" s="14" t="str">
        <x:f>$W$11</x:f>
        <x:v>模型·飞行小怪</x:v>
      </x:c>
      <x:c r="C105" s="6" t="str">
        <x:f>$X$11</x:f>
        <x:v>稻草人模型</x:v>
      </x:c>
      <x:c r="D105" s="6">
        <x:v>43</x:v>
      </x:c>
      <x:c r="E105" s="6">
        <x:v>11</x:v>
      </x:c>
      <x:c r="F105" s="12">
        <x:f>ROUND(J105*$W$4*H105,0)</x:f>
        <x:v>9252</x:v>
      </x:c>
      <x:c r="G105" s="12">
        <x:f>ROUND(J105*$W$4*$W$5*I105,0)</x:f>
        <x:v>3084</x:v>
      </x:c>
      <x:c r="H105" s="11" t="n">
        <x:f>$Y$11</x:f>
        <x:v>0.75</x:v>
      </x:c>
      <x:c r="I105" s="11" t="n">
        <x:f>$Z$11</x:f>
        <x:v>3.3333333333333335</x:v>
      </x:c>
      <x:c r="J105" s="12">
        <x:f>英雄升级调参!$E$108</x:f>
        <x:v>3084</x:v>
      </x:c>
      <x:c r="K105" s="12">
        <x:f>英雄升级调参!$F$108</x:f>
        <x:v>30840</x:v>
      </x:c>
      <x:c r="L105" s="6" t="n">
        <x:f>ROUNDUP(F105/J105,0)</x:f>
        <x:v>3</x:v>
      </x:c>
      <x:c r="M105" s="6" t="n">
        <x:f>IF(G105=0,"无伤害",ROUNDUP(K105/MAX(1,ROUND(G105*$AC$11,0)),0))</x:f>
        <x:v>10</x:v>
      </x:c>
      <x:c r="N105" s="6" t="n">
        <x:f>ROUNDUP(F105/英雄升级调参!$H$108,0)</x:f>
        <x:v>2</x:v>
      </x:c>
      <x:c r="O105" s="6" t="n">
        <x:f>ROUNDUP(F105/英雄升级调参!$K$108,0)</x:f>
        <x:v>2</x:v>
      </x:c>
      <x:c r="P105" s="6" t="str">
        <x:f>$AA$11</x:f>
        <x:v>普通：3次标准普攻击杀；10次主要攻击致死</x:v>
      </x:c>
      <x:c r="Q105" s="6"/>
      <x:c r="R105" s="6"/>
      <x:c r="S105" s="6"/>
      <x:c r="T105" s="6"/>
    </x:row>
    <x:row r="106" ht="21" customHeight="1">
      <x:c r="A106" s="14" t="str">
        <x:f>$V$11</x:f>
        <x:v>MODEL_AIR</x:v>
      </x:c>
      <x:c r="B106" s="14" t="str">
        <x:f>$W$11</x:f>
        <x:v>模型·飞行小怪</x:v>
      </x:c>
      <x:c r="C106" s="6" t="str">
        <x:f>$X$11</x:f>
        <x:v>稻草人模型</x:v>
      </x:c>
      <x:c r="D106" s="6">
        <x:v>44</x:v>
      </x:c>
      <x:c r="E106" s="6">
        <x:v>11</x:v>
      </x:c>
      <x:c r="F106" s="12">
        <x:f>ROUND(J106*$W$4*H106,0)</x:f>
        <x:v>9522</x:v>
      </x:c>
      <x:c r="G106" s="12">
        <x:f>ROUND(J106*$W$4*$W$5*I106,0)</x:f>
        <x:v>3174</x:v>
      </x:c>
      <x:c r="H106" s="11" t="n">
        <x:f>$Y$11</x:f>
        <x:v>0.75</x:v>
      </x:c>
      <x:c r="I106" s="11" t="n">
        <x:f>$Z$11</x:f>
        <x:v>3.3333333333333335</x:v>
      </x:c>
      <x:c r="J106" s="12">
        <x:f>英雄升级调参!$E$109</x:f>
        <x:v>3174</x:v>
      </x:c>
      <x:c r="K106" s="12">
        <x:f>英雄升级调参!$F$109</x:f>
        <x:v>31740</x:v>
      </x:c>
      <x:c r="L106" s="6" t="n">
        <x:f>ROUNDUP(F106/J106,0)</x:f>
        <x:v>3</x:v>
      </x:c>
      <x:c r="M106" s="6" t="n">
        <x:f>IF(G106=0,"无伤害",ROUNDUP(K106/MAX(1,ROUND(G106*$AC$11,0)),0))</x:f>
        <x:v>10</x:v>
      </x:c>
      <x:c r="N106" s="6" t="n">
        <x:f>ROUNDUP(F106/英雄升级调参!$H$109,0)</x:f>
        <x:v>2</x:v>
      </x:c>
      <x:c r="O106" s="6" t="n">
        <x:f>ROUNDUP(F106/英雄升级调参!$K$109,0)</x:f>
        <x:v>2</x:v>
      </x:c>
      <x:c r="P106" s="6" t="str">
        <x:f>$AA$11</x:f>
        <x:v>普通：3次标准普攻击杀；10次主要攻击致死</x:v>
      </x:c>
      <x:c r="Q106" s="6"/>
      <x:c r="R106" s="6"/>
      <x:c r="S106" s="6"/>
      <x:c r="T106" s="6"/>
    </x:row>
    <x:row r="107" ht="21" customHeight="1">
      <x:c r="A107" s="14" t="str">
        <x:f>$V$11</x:f>
        <x:v>MODEL_AIR</x:v>
      </x:c>
      <x:c r="B107" s="14" t="str">
        <x:f>$W$11</x:f>
        <x:v>模型·飞行小怪</x:v>
      </x:c>
      <x:c r="C107" s="6" t="str">
        <x:f>$X$11</x:f>
        <x:v>稻草人模型</x:v>
      </x:c>
      <x:c r="D107" s="6">
        <x:v>45</x:v>
      </x:c>
      <x:c r="E107" s="6">
        <x:v>11</x:v>
      </x:c>
      <x:c r="F107" s="12">
        <x:f>ROUND(J107*$W$4*H107,0)</x:f>
        <x:v>10332</x:v>
      </x:c>
      <x:c r="G107" s="12">
        <x:f>ROUND(J107*$W$4*$W$5*I107,0)</x:f>
        <x:v>3444</x:v>
      </x:c>
      <x:c r="H107" s="11" t="n">
        <x:f>$Y$11</x:f>
        <x:v>0.75</x:v>
      </x:c>
      <x:c r="I107" s="11" t="n">
        <x:f>$Z$11</x:f>
        <x:v>3.3333333333333335</x:v>
      </x:c>
      <x:c r="J107" s="12">
        <x:f>英雄升级调参!$E$110</x:f>
        <x:v>3444</x:v>
      </x:c>
      <x:c r="K107" s="12">
        <x:f>英雄升级调参!$F$110</x:f>
        <x:v>34440</x:v>
      </x:c>
      <x:c r="L107" s="6" t="n">
        <x:f>ROUNDUP(F107/J107,0)</x:f>
        <x:v>3</x:v>
      </x:c>
      <x:c r="M107" s="6" t="n">
        <x:f>IF(G107=0,"无伤害",ROUNDUP(K107/MAX(1,ROUND(G107*$AC$11,0)),0))</x:f>
        <x:v>10</x:v>
      </x:c>
      <x:c r="N107" s="6" t="n">
        <x:f>ROUNDUP(F107/英雄升级调参!$H$110,0)</x:f>
        <x:v>2</x:v>
      </x:c>
      <x:c r="O107" s="6" t="n">
        <x:f>ROUNDUP(F107/英雄升级调参!$K$110,0)</x:f>
        <x:v>2</x:v>
      </x:c>
      <x:c r="P107" s="6" t="str">
        <x:f>$AA$11</x:f>
        <x:v>普通：3次标准普攻击杀；10次主要攻击致死</x:v>
      </x:c>
      <x:c r="Q107" s="6"/>
      <x:c r="R107" s="6"/>
      <x:c r="S107" s="6"/>
      <x:c r="T107" s="6"/>
    </x:row>
    <x:row r="108" ht="21" customHeight="1">
      <x:c r="A108" s="14" t="str">
        <x:f>$V$11</x:f>
        <x:v>MODEL_AIR</x:v>
      </x:c>
      <x:c r="B108" s="14" t="str">
        <x:f>$W$11</x:f>
        <x:v>模型·飞行小怪</x:v>
      </x:c>
      <x:c r="C108" s="6" t="str">
        <x:f>$X$11</x:f>
        <x:v>稻草人模型</x:v>
      </x:c>
      <x:c r="D108" s="6">
        <x:v>46</x:v>
      </x:c>
      <x:c r="E108" s="6">
        <x:v>11</x:v>
      </x:c>
      <x:c r="F108" s="12">
        <x:f>ROUND(J108*$W$4*H108,0)</x:f>
        <x:v>10629</x:v>
      </x:c>
      <x:c r="G108" s="12">
        <x:f>ROUND(J108*$W$4*$W$5*I108,0)</x:f>
        <x:v>3543</x:v>
      </x:c>
      <x:c r="H108" s="11" t="n">
        <x:f>$Y$11</x:f>
        <x:v>0.75</x:v>
      </x:c>
      <x:c r="I108" s="11" t="n">
        <x:f>$Z$11</x:f>
        <x:v>3.3333333333333335</x:v>
      </x:c>
      <x:c r="J108" s="12">
        <x:f>英雄升级调参!$E$111</x:f>
        <x:v>3543</x:v>
      </x:c>
      <x:c r="K108" s="12">
        <x:f>英雄升级调参!$F$111</x:f>
        <x:v>35430</x:v>
      </x:c>
      <x:c r="L108" s="6" t="n">
        <x:f>ROUNDUP(F108/J108,0)</x:f>
        <x:v>3</x:v>
      </x:c>
      <x:c r="M108" s="6" t="n">
        <x:f>IF(G108=0,"无伤害",ROUNDUP(K108/MAX(1,ROUND(G108*$AC$11,0)),0))</x:f>
        <x:v>10</x:v>
      </x:c>
      <x:c r="N108" s="6" t="n">
        <x:f>ROUNDUP(F108/英雄升级调参!$H$111,0)</x:f>
        <x:v>2</x:v>
      </x:c>
      <x:c r="O108" s="6" t="n">
        <x:f>ROUNDUP(F108/英雄升级调参!$K$111,0)</x:f>
        <x:v>2</x:v>
      </x:c>
      <x:c r="P108" s="6" t="str">
        <x:f>$AA$11</x:f>
        <x:v>普通：3次标准普攻击杀；10次主要攻击致死</x:v>
      </x:c>
      <x:c r="Q108" s="6"/>
      <x:c r="R108" s="6"/>
      <x:c r="S108" s="6"/>
      <x:c r="T108" s="6"/>
    </x:row>
    <x:row r="109" ht="21" customHeight="1">
      <x:c r="A109" s="14" t="str">
        <x:f>$V$11</x:f>
        <x:v>MODEL_AIR</x:v>
      </x:c>
      <x:c r="B109" s="14" t="str">
        <x:f>$W$11</x:f>
        <x:v>模型·飞行小怪</x:v>
      </x:c>
      <x:c r="C109" s="6" t="str">
        <x:f>$X$11</x:f>
        <x:v>稻草人模型</x:v>
      </x:c>
      <x:c r="D109" s="6">
        <x:v>47</x:v>
      </x:c>
      <x:c r="E109" s="6">
        <x:v>11</x:v>
      </x:c>
      <x:c r="F109" s="12">
        <x:f>ROUND(J109*$W$4*H109,0)</x:f>
        <x:v>10926</x:v>
      </x:c>
      <x:c r="G109" s="12">
        <x:f>ROUND(J109*$W$4*$W$5*I109,0)</x:f>
        <x:v>3642</x:v>
      </x:c>
      <x:c r="H109" s="11" t="n">
        <x:f>$Y$11</x:f>
        <x:v>0.75</x:v>
      </x:c>
      <x:c r="I109" s="11" t="n">
        <x:f>$Z$11</x:f>
        <x:v>3.3333333333333335</x:v>
      </x:c>
      <x:c r="J109" s="12">
        <x:f>英雄升级调参!$E$112</x:f>
        <x:v>3642</x:v>
      </x:c>
      <x:c r="K109" s="12">
        <x:f>英雄升级调参!$F$112</x:f>
        <x:v>36420</x:v>
      </x:c>
      <x:c r="L109" s="6" t="n">
        <x:f>ROUNDUP(F109/J109,0)</x:f>
        <x:v>3</x:v>
      </x:c>
      <x:c r="M109" s="6" t="n">
        <x:f>IF(G109=0,"无伤害",ROUNDUP(K109/MAX(1,ROUND(G109*$AC$11,0)),0))</x:f>
        <x:v>10</x:v>
      </x:c>
      <x:c r="N109" s="6" t="n">
        <x:f>ROUNDUP(F109/英雄升级调参!$H$112,0)</x:f>
        <x:v>2</x:v>
      </x:c>
      <x:c r="O109" s="6" t="n">
        <x:f>ROUNDUP(F109/英雄升级调参!$K$112,0)</x:f>
        <x:v>2</x:v>
      </x:c>
      <x:c r="P109" s="6" t="str">
        <x:f>$AA$11</x:f>
        <x:v>普通：3次标准普攻击杀；10次主要攻击致死</x:v>
      </x:c>
      <x:c r="Q109" s="6"/>
      <x:c r="R109" s="6"/>
      <x:c r="S109" s="6"/>
      <x:c r="T109" s="6"/>
    </x:row>
    <x:row r="110" ht="21" customHeight="1">
      <x:c r="A110" s="14" t="str">
        <x:f>$V$11</x:f>
        <x:v>MODEL_AIR</x:v>
      </x:c>
      <x:c r="B110" s="14" t="str">
        <x:f>$W$11</x:f>
        <x:v>模型·飞行小怪</x:v>
      </x:c>
      <x:c r="C110" s="6" t="str">
        <x:f>$X$11</x:f>
        <x:v>稻草人模型</x:v>
      </x:c>
      <x:c r="D110" s="6">
        <x:v>48</x:v>
      </x:c>
      <x:c r="E110" s="6">
        <x:v>11</x:v>
      </x:c>
      <x:c r="F110" s="12">
        <x:f>ROUND(J110*$W$4*H110,0)</x:f>
        <x:v>11223</x:v>
      </x:c>
      <x:c r="G110" s="12">
        <x:f>ROUND(J110*$W$4*$W$5*I110,0)</x:f>
        <x:v>3741</x:v>
      </x:c>
      <x:c r="H110" s="11" t="n">
        <x:f>$Y$11</x:f>
        <x:v>0.75</x:v>
      </x:c>
      <x:c r="I110" s="11" t="n">
        <x:f>$Z$11</x:f>
        <x:v>3.3333333333333335</x:v>
      </x:c>
      <x:c r="J110" s="12">
        <x:f>英雄升级调参!$E$113</x:f>
        <x:v>3741</x:v>
      </x:c>
      <x:c r="K110" s="12">
        <x:f>英雄升级调参!$F$113</x:f>
        <x:v>37410</x:v>
      </x:c>
      <x:c r="L110" s="6" t="n">
        <x:f>ROUNDUP(F110/J110,0)</x:f>
        <x:v>3</x:v>
      </x:c>
      <x:c r="M110" s="6" t="n">
        <x:f>IF(G110=0,"无伤害",ROUNDUP(K110/MAX(1,ROUND(G110*$AC$11,0)),0))</x:f>
        <x:v>10</x:v>
      </x:c>
      <x:c r="N110" s="6" t="n">
        <x:f>ROUNDUP(F110/英雄升级调参!$H$113,0)</x:f>
        <x:v>2</x:v>
      </x:c>
      <x:c r="O110" s="6" t="n">
        <x:f>ROUNDUP(F110/英雄升级调参!$K$113,0)</x:f>
        <x:v>2</x:v>
      </x:c>
      <x:c r="P110" s="6" t="str">
        <x:f>$AA$11</x:f>
        <x:v>普通：3次标准普攻击杀；10次主要攻击致死</x:v>
      </x:c>
      <x:c r="Q110" s="6"/>
      <x:c r="R110" s="6"/>
      <x:c r="S110" s="6"/>
      <x:c r="T110" s="6"/>
    </x:row>
    <x:row r="111" ht="21" customHeight="1">
      <x:c r="A111" s="14" t="str">
        <x:f>$V$11</x:f>
        <x:v>MODEL_AIR</x:v>
      </x:c>
      <x:c r="B111" s="14" t="str">
        <x:f>$W$11</x:f>
        <x:v>模型·飞行小怪</x:v>
      </x:c>
      <x:c r="C111" s="6" t="str">
        <x:f>$X$11</x:f>
        <x:v>稻草人模型</x:v>
      </x:c>
      <x:c r="D111" s="6">
        <x:v>49</x:v>
      </x:c>
      <x:c r="E111" s="6">
        <x:v>11</x:v>
      </x:c>
      <x:c r="F111" s="12">
        <x:f>ROUND(J111*$W$4*H111,0)</x:f>
        <x:v>11520</x:v>
      </x:c>
      <x:c r="G111" s="12">
        <x:f>ROUND(J111*$W$4*$W$5*I111,0)</x:f>
        <x:v>3840</x:v>
      </x:c>
      <x:c r="H111" s="11" t="n">
        <x:f>$Y$11</x:f>
        <x:v>0.75</x:v>
      </x:c>
      <x:c r="I111" s="11" t="n">
        <x:f>$Z$11</x:f>
        <x:v>3.3333333333333335</x:v>
      </x:c>
      <x:c r="J111" s="12">
        <x:f>英雄升级调参!$E$114</x:f>
        <x:v>3840</x:v>
      </x:c>
      <x:c r="K111" s="12">
        <x:f>英雄升级调参!$F$114</x:f>
        <x:v>38400</x:v>
      </x:c>
      <x:c r="L111" s="6" t="n">
        <x:f>ROUNDUP(F111/J111,0)</x:f>
        <x:v>3</x:v>
      </x:c>
      <x:c r="M111" s="6" t="n">
        <x:f>IF(G111=0,"无伤害",ROUNDUP(K111/MAX(1,ROUND(G111*$AC$11,0)),0))</x:f>
        <x:v>10</x:v>
      </x:c>
      <x:c r="N111" s="6" t="n">
        <x:f>ROUNDUP(F111/英雄升级调参!$H$114,0)</x:f>
        <x:v>2</x:v>
      </x:c>
      <x:c r="O111" s="6" t="n">
        <x:f>ROUNDUP(F111/英雄升级调参!$K$114,0)</x:f>
        <x:v>2</x:v>
      </x:c>
      <x:c r="P111" s="6" t="str">
        <x:f>$AA$11</x:f>
        <x:v>普通：3次标准普攻击杀；10次主要攻击致死</x:v>
      </x:c>
      <x:c r="Q111" s="6"/>
      <x:c r="R111" s="6"/>
      <x:c r="S111" s="6"/>
      <x:c r="T111" s="6"/>
    </x:row>
    <x:row r="112" ht="21" customHeight="1">
      <x:c r="A112" s="14" t="str">
        <x:f>$V$11</x:f>
        <x:v>MODEL_AIR</x:v>
      </x:c>
      <x:c r="B112" s="14" t="str">
        <x:f>$W$11</x:f>
        <x:v>模型·飞行小怪</x:v>
      </x:c>
      <x:c r="C112" s="6" t="str">
        <x:f>$X$11</x:f>
        <x:v>稻草人模型</x:v>
      </x:c>
      <x:c r="D112" s="6">
        <x:v>50</x:v>
      </x:c>
      <x:c r="E112" s="6">
        <x:v>11</x:v>
      </x:c>
      <x:c r="F112" s="12">
        <x:f>ROUND(J112*$W$4*H112,0)</x:f>
        <x:v>12411</x:v>
      </x:c>
      <x:c r="G112" s="12">
        <x:f>ROUND(J112*$W$4*$W$5*I112,0)</x:f>
        <x:v>4137</x:v>
      </x:c>
      <x:c r="H112" s="11" t="n">
        <x:f>$Y$11</x:f>
        <x:v>0.75</x:v>
      </x:c>
      <x:c r="I112" s="11" t="n">
        <x:f>$Z$11</x:f>
        <x:v>3.3333333333333335</x:v>
      </x:c>
      <x:c r="J112" s="12">
        <x:f>英雄升级调参!$E$115</x:f>
        <x:v>4137</x:v>
      </x:c>
      <x:c r="K112" s="12">
        <x:f>英雄升级调参!$F$115</x:f>
        <x:v>41370</x:v>
      </x:c>
      <x:c r="L112" s="6" t="n">
        <x:f>ROUNDUP(F112/J112,0)</x:f>
        <x:v>3</x:v>
      </x:c>
      <x:c r="M112" s="6" t="n">
        <x:f>IF(G112=0,"无伤害",ROUNDUP(K112/MAX(1,ROUND(G112*$AC$11,0)),0))</x:f>
        <x:v>10</x:v>
      </x:c>
      <x:c r="N112" s="6" t="n">
        <x:f>ROUNDUP(F112/英雄升级调参!$H$115,0)</x:f>
        <x:v>2</x:v>
      </x:c>
      <x:c r="O112" s="6" t="n">
        <x:f>ROUNDUP(F112/英雄升级调参!$K$115,0)</x:f>
        <x:v>2</x:v>
      </x:c>
      <x:c r="P112" s="6" t="str">
        <x:f>$AA$11</x:f>
        <x:v>普通：3次标准普攻击杀；10次主要攻击致死</x:v>
      </x:c>
      <x:c r="Q112" s="6"/>
      <x:c r="R112" s="6"/>
      <x:c r="S112" s="6"/>
      <x:c r="T112" s="6"/>
    </x:row>
    <x:row r="113" ht="21" customHeight="1">
      <x:c r="A113" s="14" t="str">
        <x:f>$V$12</x:f>
        <x:v>MODEL_ELITE</x:v>
      </x:c>
      <x:c r="B113" s="14" t="str">
        <x:f>$W$12</x:f>
        <x:v>模型·精英</x:v>
      </x:c>
      <x:c r="C113" s="6" t="str">
        <x:f>$X$12</x:f>
        <x:v>稻草人模型</x:v>
      </x:c>
      <x:c r="D113" s="6">
        <x:v>1</x:v>
      </x:c>
      <x:c r="E113" s="6">
        <x:v>12</x:v>
      </x:c>
      <x:c r="F113" s="12" t="n">
        <x:f>ROUND(J113*$W$4*H113,0)</x:f>
        <x:v>900</x:v>
      </x:c>
      <x:c r="G113" s="12" t="n">
        <x:f>ROUND(J113*$W$4*$W$5*I113,0)</x:f>
        <x:v>80</x:v>
      </x:c>
      <x:c r="H113" s="11" t="n">
        <x:f>$Y$12</x:f>
        <x:v>3.75</x:v>
      </x:c>
      <x:c r="I113" s="11" t="n">
        <x:f>$Z$12</x:f>
        <x:v>4.444444444444445</x:v>
      </x:c>
      <x:c r="J113" s="12" t="n">
        <x:f>英雄升级调参!$E$66</x:f>
        <x:v>60</x:v>
      </x:c>
      <x:c r="K113" s="12" t="n">
        <x:f>英雄升级调参!$F$66</x:f>
        <x:v>600</x:v>
      </x:c>
      <x:c r="L113" s="6" t="n">
        <x:f>ROUNDUP(F113/J113,0)</x:f>
        <x:v>15</x:v>
      </x:c>
      <x:c r="M113" s="6" t="n">
        <x:f>IF(G113=0,"无伤害",ROUNDUP(K113/MAX(1,ROUND(G113*$AC$12,0)),0))</x:f>
        <x:v>8</x:v>
      </x:c>
      <x:c r="N113" s="6">
        <x:f>ROUNDUP(F113/英雄升级调参!$H$66,0)</x:f>
        <x:v>5</x:v>
      </x:c>
      <x:c r="O113" s="6">
        <x:f>ROUNDUP(F113/英雄升级调参!$K$66,0)</x:f>
        <x:v>3</x:v>
      </x:c>
      <x:c r="P113" s="6" t="str">
        <x:f>$AA$12</x:f>
        <x:v>精英：15次标准普攻击杀；7.5次主要攻击致死</x:v>
      </x:c>
      <x:c r="Q113" s="6"/>
      <x:c r="R113" s="6"/>
      <x:c r="S113" s="6"/>
      <x:c r="T113" s="6"/>
    </x:row>
    <x:row r="114" ht="21" customHeight="1">
      <x:c r="A114" s="14" t="str">
        <x:f>$V$12</x:f>
        <x:v>MODEL_ELITE</x:v>
      </x:c>
      <x:c r="B114" s="14" t="str">
        <x:f>$W$12</x:f>
        <x:v>模型·精英</x:v>
      </x:c>
      <x:c r="C114" s="6" t="str">
        <x:f>$X$12</x:f>
        <x:v>稻草人模型</x:v>
      </x:c>
      <x:c r="D114" s="6">
        <x:v>2</x:v>
      </x:c>
      <x:c r="E114" s="6">
        <x:v>12</x:v>
      </x:c>
      <x:c r="F114" s="12">
        <x:f>ROUND(J114*$W$4*H114,0)</x:f>
        <x:v>1170</x:v>
      </x:c>
      <x:c r="G114" s="12">
        <x:f>ROUND(J114*$W$4*$W$5*I114,0)</x:f>
        <x:v>104</x:v>
      </x:c>
      <x:c r="H114" s="11" t="n">
        <x:f>$Y$12</x:f>
        <x:v>3.75</x:v>
      </x:c>
      <x:c r="I114" s="11" t="n">
        <x:f>$Z$12</x:f>
        <x:v>4.444444444444445</x:v>
      </x:c>
      <x:c r="J114" s="12">
        <x:f>英雄升级调参!$E$67</x:f>
        <x:v>78</x:v>
      </x:c>
      <x:c r="K114" s="12">
        <x:f>英雄升级调参!$F$67</x:f>
        <x:v>780</x:v>
      </x:c>
      <x:c r="L114" s="6" t="n">
        <x:f>ROUNDUP(F114/J114,0)</x:f>
        <x:v>15</x:v>
      </x:c>
      <x:c r="M114" s="6" t="n">
        <x:f>IF(G114=0,"无伤害",ROUNDUP(K114/MAX(1,ROUND(G114*$AC$12,0)),0))</x:f>
        <x:v>8</x:v>
      </x:c>
      <x:c r="N114" s="6">
        <x:f>ROUNDUP(F114/英雄升级调参!$H$67,0)</x:f>
        <x:v>6</x:v>
      </x:c>
      <x:c r="O114" s="6">
        <x:f>ROUNDUP(F114/英雄升级调参!$K$67,0)</x:f>
        <x:v>3</x:v>
      </x:c>
      <x:c r="P114" s="6" t="str">
        <x:f>$AA$12</x:f>
        <x:v>精英：15次标准普攻击杀；7.5次主要攻击致死</x:v>
      </x:c>
      <x:c r="Q114" s="6"/>
      <x:c r="R114" s="6"/>
      <x:c r="S114" s="6"/>
      <x:c r="T114" s="6"/>
    </x:row>
    <x:row r="115" ht="21" customHeight="1">
      <x:c r="A115" s="14" t="str">
        <x:f>$V$12</x:f>
        <x:v>MODEL_ELITE</x:v>
      </x:c>
      <x:c r="B115" s="14" t="str">
        <x:f>$W$12</x:f>
        <x:v>模型·精英</x:v>
      </x:c>
      <x:c r="C115" s="6" t="str">
        <x:f>$X$12</x:f>
        <x:v>稻草人模型</x:v>
      </x:c>
      <x:c r="D115" s="6">
        <x:v>3</x:v>
      </x:c>
      <x:c r="E115" s="6">
        <x:v>12</x:v>
      </x:c>
      <x:c r="F115" s="12">
        <x:f>ROUND(J115*$W$4*H115,0)</x:f>
        <x:v>1440</x:v>
      </x:c>
      <x:c r="G115" s="12">
        <x:f>ROUND(J115*$W$4*$W$5*I115,0)</x:f>
        <x:v>128</x:v>
      </x:c>
      <x:c r="H115" s="11" t="n">
        <x:f>$Y$12</x:f>
        <x:v>3.75</x:v>
      </x:c>
      <x:c r="I115" s="11" t="n">
        <x:f>$Z$12</x:f>
        <x:v>4.444444444444445</x:v>
      </x:c>
      <x:c r="J115" s="12">
        <x:f>英雄升级调参!$E$68</x:f>
        <x:v>96</x:v>
      </x:c>
      <x:c r="K115" s="12">
        <x:f>英雄升级调参!$F$68</x:f>
        <x:v>960</x:v>
      </x:c>
      <x:c r="L115" s="6" t="n">
        <x:f>ROUNDUP(F115/J115,0)</x:f>
        <x:v>15</x:v>
      </x:c>
      <x:c r="M115" s="6" t="n">
        <x:f>IF(G115=0,"无伤害",ROUNDUP(K115/MAX(1,ROUND(G115*$AC$12,0)),0))</x:f>
        <x:v>8</x:v>
      </x:c>
      <x:c r="N115" s="6">
        <x:f>ROUNDUP(F115/英雄升级调参!$H$68,0)</x:f>
        <x:v>6</x:v>
      </x:c>
      <x:c r="O115" s="6">
        <x:f>ROUNDUP(F115/英雄升级调参!$K$68,0)</x:f>
        <x:v>4</x:v>
      </x:c>
      <x:c r="P115" s="6" t="str">
        <x:f>$AA$12</x:f>
        <x:v>精英：15次标准普攻击杀；7.5次主要攻击致死</x:v>
      </x:c>
      <x:c r="Q115" s="6"/>
      <x:c r="R115" s="6"/>
      <x:c r="S115" s="6"/>
      <x:c r="T115" s="6"/>
    </x:row>
    <x:row r="116" ht="21" customHeight="1">
      <x:c r="A116" s="14" t="str">
        <x:f>$V$12</x:f>
        <x:v>MODEL_ELITE</x:v>
      </x:c>
      <x:c r="B116" s="14" t="str">
        <x:f>$W$12</x:f>
        <x:v>模型·精英</x:v>
      </x:c>
      <x:c r="C116" s="6" t="str">
        <x:f>$X$12</x:f>
        <x:v>稻草人模型</x:v>
      </x:c>
      <x:c r="D116" s="6">
        <x:v>4</x:v>
      </x:c>
      <x:c r="E116" s="6">
        <x:v>12</x:v>
      </x:c>
      <x:c r="F116" s="12">
        <x:f>ROUND(J116*$W$4*H116,0)</x:f>
        <x:v>1710</x:v>
      </x:c>
      <x:c r="G116" s="12">
        <x:f>ROUND(J116*$W$4*$W$5*I116,0)</x:f>
        <x:v>152</x:v>
      </x:c>
      <x:c r="H116" s="11" t="n">
        <x:f>$Y$12</x:f>
        <x:v>3.75</x:v>
      </x:c>
      <x:c r="I116" s="11" t="n">
        <x:f>$Z$12</x:f>
        <x:v>4.444444444444445</x:v>
      </x:c>
      <x:c r="J116" s="12">
        <x:f>英雄升级调参!$E$69</x:f>
        <x:v>114</x:v>
      </x:c>
      <x:c r="K116" s="12">
        <x:f>英雄升级调参!$F$69</x:f>
        <x:v>1140</x:v>
      </x:c>
      <x:c r="L116" s="6" t="n">
        <x:f>ROUNDUP(F116/J116,0)</x:f>
        <x:v>15</x:v>
      </x:c>
      <x:c r="M116" s="6" t="n">
        <x:f>IF(G116=0,"无伤害",ROUNDUP(K116/MAX(1,ROUND(G116*$AC$12,0)),0))</x:f>
        <x:v>8</x:v>
      </x:c>
      <x:c r="N116" s="6">
        <x:f>ROUNDUP(F116/英雄升级调参!$H$69,0)</x:f>
        <x:v>7</x:v>
      </x:c>
      <x:c r="O116" s="6">
        <x:f>ROUNDUP(F116/英雄升级调参!$K$69,0)</x:f>
        <x:v>4</x:v>
      </x:c>
      <x:c r="P116" s="6" t="str">
        <x:f>$AA$12</x:f>
        <x:v>精英：15次标准普攻击杀；7.5次主要攻击致死</x:v>
      </x:c>
      <x:c r="Q116" s="6"/>
      <x:c r="R116" s="6"/>
      <x:c r="S116" s="6"/>
      <x:c r="T116" s="6"/>
    </x:row>
    <x:row r="117" ht="21" customHeight="1">
      <x:c r="A117" s="14" t="str">
        <x:f>$V$12</x:f>
        <x:v>MODEL_ELITE</x:v>
      </x:c>
      <x:c r="B117" s="14" t="str">
        <x:f>$W$12</x:f>
        <x:v>模型·精英</x:v>
      </x:c>
      <x:c r="C117" s="6" t="str">
        <x:f>$X$12</x:f>
        <x:v>稻草人模型</x:v>
      </x:c>
      <x:c r="D117" s="6">
        <x:v>5</x:v>
      </x:c>
      <x:c r="E117" s="6">
        <x:v>12</x:v>
      </x:c>
      <x:c r="F117" s="12">
        <x:f>ROUND(J117*$W$4*H117,0)</x:f>
        <x:v>2520</x:v>
      </x:c>
      <x:c r="G117" s="12">
        <x:f>ROUND(J117*$W$4*$W$5*I117,0)</x:f>
        <x:v>224</x:v>
      </x:c>
      <x:c r="H117" s="11" t="n">
        <x:f>$Y$12</x:f>
        <x:v>3.75</x:v>
      </x:c>
      <x:c r="I117" s="11" t="n">
        <x:f>$Z$12</x:f>
        <x:v>4.444444444444445</x:v>
      </x:c>
      <x:c r="J117" s="12">
        <x:f>英雄升级调参!$E$70</x:f>
        <x:v>168</x:v>
      </x:c>
      <x:c r="K117" s="12">
        <x:f>英雄升级调参!$F$70</x:f>
        <x:v>1680</x:v>
      </x:c>
      <x:c r="L117" s="6" t="n">
        <x:f>ROUNDUP(F117/J117,0)</x:f>
        <x:v>15</x:v>
      </x:c>
      <x:c r="M117" s="6" t="n">
        <x:f>IF(G117=0,"无伤害",ROUNDUP(K117/MAX(1,ROUND(G117*$AC$12,0)),0))</x:f>
        <x:v>8</x:v>
      </x:c>
      <x:c r="N117" s="6">
        <x:f>ROUNDUP(F117/英雄升级调参!$H$70,0)</x:f>
        <x:v>8</x:v>
      </x:c>
      <x:c r="O117" s="6">
        <x:f>ROUNDUP(F117/英雄升级调参!$K$70,0)</x:f>
        <x:v>5</x:v>
      </x:c>
      <x:c r="P117" s="6" t="str">
        <x:f>$AA$12</x:f>
        <x:v>精英：15次标准普攻击杀；7.5次主要攻击致死</x:v>
      </x:c>
      <x:c r="Q117" s="6"/>
      <x:c r="R117" s="6"/>
      <x:c r="S117" s="6"/>
      <x:c r="T117" s="6"/>
    </x:row>
    <x:row r="118" ht="21" customHeight="1">
      <x:c r="A118" s="14" t="str">
        <x:f>$V$12</x:f>
        <x:v>MODEL_ELITE</x:v>
      </x:c>
      <x:c r="B118" s="14" t="str">
        <x:f>$W$12</x:f>
        <x:v>模型·精英</x:v>
      </x:c>
      <x:c r="C118" s="6" t="str">
        <x:f>$X$12</x:f>
        <x:v>稻草人模型</x:v>
      </x:c>
      <x:c r="D118" s="6">
        <x:v>6</x:v>
      </x:c>
      <x:c r="E118" s="6">
        <x:v>12</x:v>
      </x:c>
      <x:c r="F118" s="12">
        <x:f>ROUND(J118*$W$4*H118,0)</x:f>
        <x:v>2925</x:v>
      </x:c>
      <x:c r="G118" s="12">
        <x:f>ROUND(J118*$W$4*$W$5*I118,0)</x:f>
        <x:v>260</x:v>
      </x:c>
      <x:c r="H118" s="11" t="n">
        <x:f>$Y$12</x:f>
        <x:v>3.75</x:v>
      </x:c>
      <x:c r="I118" s="11" t="n">
        <x:f>$Z$12</x:f>
        <x:v>4.444444444444445</x:v>
      </x:c>
      <x:c r="J118" s="12">
        <x:f>英雄升级调参!$E$71</x:f>
        <x:v>195</x:v>
      </x:c>
      <x:c r="K118" s="12">
        <x:f>英雄升级调参!$F$71</x:f>
        <x:v>1950</x:v>
      </x:c>
      <x:c r="L118" s="6" t="n">
        <x:f>ROUNDUP(F118/J118,0)</x:f>
        <x:v>15</x:v>
      </x:c>
      <x:c r="M118" s="6" t="n">
        <x:f>IF(G118=0,"无伤害",ROUNDUP(K118/MAX(1,ROUND(G118*$AC$12,0)),0))</x:f>
        <x:v>8</x:v>
      </x:c>
      <x:c r="N118" s="6">
        <x:f>ROUNDUP(F118/英雄升级调参!$H$71,0)</x:f>
        <x:v>8</x:v>
      </x:c>
      <x:c r="O118" s="6">
        <x:f>ROUNDUP(F118/英雄升级调参!$K$71,0)</x:f>
        <x:v>5</x:v>
      </x:c>
      <x:c r="P118" s="6" t="str">
        <x:f>$AA$12</x:f>
        <x:v>精英：15次标准普攻击杀；7.5次主要攻击致死</x:v>
      </x:c>
      <x:c r="Q118" s="6"/>
      <x:c r="R118" s="6"/>
      <x:c r="S118" s="6"/>
      <x:c r="T118" s="6"/>
    </x:row>
    <x:row r="119" ht="21" customHeight="1">
      <x:c r="A119" s="14" t="str">
        <x:f>$V$12</x:f>
        <x:v>MODEL_ELITE</x:v>
      </x:c>
      <x:c r="B119" s="14" t="str">
        <x:f>$W$12</x:f>
        <x:v>模型·精英</x:v>
      </x:c>
      <x:c r="C119" s="6" t="str">
        <x:f>$X$12</x:f>
        <x:v>稻草人模型</x:v>
      </x:c>
      <x:c r="D119" s="6">
        <x:v>7</x:v>
      </x:c>
      <x:c r="E119" s="6">
        <x:v>12</x:v>
      </x:c>
      <x:c r="F119" s="12">
        <x:f>ROUND(J119*$W$4*H119,0)</x:f>
        <x:v>3330</x:v>
      </x:c>
      <x:c r="G119" s="12">
        <x:f>ROUND(J119*$W$4*$W$5*I119,0)</x:f>
        <x:v>296</x:v>
      </x:c>
      <x:c r="H119" s="11" t="n">
        <x:f>$Y$12</x:f>
        <x:v>3.75</x:v>
      </x:c>
      <x:c r="I119" s="11" t="n">
        <x:f>$Z$12</x:f>
        <x:v>4.444444444444445</x:v>
      </x:c>
      <x:c r="J119" s="12">
        <x:f>英雄升级调参!$E$72</x:f>
        <x:v>222</x:v>
      </x:c>
      <x:c r="K119" s="12">
        <x:f>英雄升级调参!$F$72</x:f>
        <x:v>2220</x:v>
      </x:c>
      <x:c r="L119" s="6" t="n">
        <x:f>ROUNDUP(F119/J119,0)</x:f>
        <x:v>15</x:v>
      </x:c>
      <x:c r="M119" s="6" t="n">
        <x:f>IF(G119=0,"无伤害",ROUNDUP(K119/MAX(1,ROUND(G119*$AC$12,0)),0))</x:f>
        <x:v>8</x:v>
      </x:c>
      <x:c r="N119" s="6">
        <x:f>ROUNDUP(F119/英雄升级调参!$H$72,0)</x:f>
        <x:v>8</x:v>
      </x:c>
      <x:c r="O119" s="6">
        <x:f>ROUNDUP(F119/英雄升级调参!$K$72,0)</x:f>
        <x:v>5</x:v>
      </x:c>
      <x:c r="P119" s="6" t="str">
        <x:f>$AA$12</x:f>
        <x:v>精英：15次标准普攻击杀；7.5次主要攻击致死</x:v>
      </x:c>
      <x:c r="Q119" s="6"/>
      <x:c r="R119" s="6"/>
      <x:c r="S119" s="6"/>
      <x:c r="T119" s="6"/>
    </x:row>
    <x:row r="120" ht="21" customHeight="1">
      <x:c r="A120" s="14" t="str">
        <x:f>$V$12</x:f>
        <x:v>MODEL_ELITE</x:v>
      </x:c>
      <x:c r="B120" s="14" t="str">
        <x:f>$W$12</x:f>
        <x:v>模型·精英</x:v>
      </x:c>
      <x:c r="C120" s="6" t="str">
        <x:f>$X$12</x:f>
        <x:v>稻草人模型</x:v>
      </x:c>
      <x:c r="D120" s="6">
        <x:v>8</x:v>
      </x:c>
      <x:c r="E120" s="6">
        <x:v>12</x:v>
      </x:c>
      <x:c r="F120" s="12">
        <x:f>ROUND(J120*$W$4*H120,0)</x:f>
        <x:v>3735</x:v>
      </x:c>
      <x:c r="G120" s="12">
        <x:f>ROUND(J120*$W$4*$W$5*I120,0)</x:f>
        <x:v>332</x:v>
      </x:c>
      <x:c r="H120" s="11" t="n">
        <x:f>$Y$12</x:f>
        <x:v>3.75</x:v>
      </x:c>
      <x:c r="I120" s="11" t="n">
        <x:f>$Z$12</x:f>
        <x:v>4.444444444444445</x:v>
      </x:c>
      <x:c r="J120" s="12">
        <x:f>英雄升级调参!$E$73</x:f>
        <x:v>249</x:v>
      </x:c>
      <x:c r="K120" s="12">
        <x:f>英雄升级调参!$F$73</x:f>
        <x:v>2490</x:v>
      </x:c>
      <x:c r="L120" s="6" t="n">
        <x:f>ROUNDUP(F120/J120,0)</x:f>
        <x:v>15</x:v>
      </x:c>
      <x:c r="M120" s="6" t="n">
        <x:f>IF(G120=0,"无伤害",ROUNDUP(K120/MAX(1,ROUND(G120*$AC$12,0)),0))</x:f>
        <x:v>8</x:v>
      </x:c>
      <x:c r="N120" s="6">
        <x:f>ROUNDUP(F120/英雄升级调参!$H$73,0)</x:f>
        <x:v>8</x:v>
      </x:c>
      <x:c r="O120" s="6">
        <x:f>ROUNDUP(F120/英雄升级调参!$K$73,0)</x:f>
        <x:v>5</x:v>
      </x:c>
      <x:c r="P120" s="6" t="str">
        <x:f>$AA$12</x:f>
        <x:v>精英：15次标准普攻击杀；7.5次主要攻击致死</x:v>
      </x:c>
      <x:c r="Q120" s="6"/>
      <x:c r="R120" s="6"/>
      <x:c r="S120" s="6"/>
      <x:c r="T120" s="6"/>
    </x:row>
    <x:row r="121" ht="21" customHeight="1">
      <x:c r="A121" s="14" t="str">
        <x:f>$V$12</x:f>
        <x:v>MODEL_ELITE</x:v>
      </x:c>
      <x:c r="B121" s="14" t="str">
        <x:f>$W$12</x:f>
        <x:v>模型·精英</x:v>
      </x:c>
      <x:c r="C121" s="6" t="str">
        <x:f>$X$12</x:f>
        <x:v>稻草人模型</x:v>
      </x:c>
      <x:c r="D121" s="6">
        <x:v>9</x:v>
      </x:c>
      <x:c r="E121" s="6">
        <x:v>12</x:v>
      </x:c>
      <x:c r="F121" s="12">
        <x:f>ROUND(J121*$W$4*H121,0)</x:f>
        <x:v>4140</x:v>
      </x:c>
      <x:c r="G121" s="12">
        <x:f>ROUND(J121*$W$4*$W$5*I121,0)</x:f>
        <x:v>368</x:v>
      </x:c>
      <x:c r="H121" s="11" t="n">
        <x:f>$Y$12</x:f>
        <x:v>3.75</x:v>
      </x:c>
      <x:c r="I121" s="11" t="n">
        <x:f>$Z$12</x:f>
        <x:v>4.444444444444445</x:v>
      </x:c>
      <x:c r="J121" s="12">
        <x:f>英雄升级调参!$E$74</x:f>
        <x:v>276</x:v>
      </x:c>
      <x:c r="K121" s="12">
        <x:f>英雄升级调参!$F$74</x:f>
        <x:v>2760</x:v>
      </x:c>
      <x:c r="L121" s="6" t="n">
        <x:f>ROUNDUP(F121/J121,0)</x:f>
        <x:v>15</x:v>
      </x:c>
      <x:c r="M121" s="6" t="n">
        <x:f>IF(G121=0,"无伤害",ROUNDUP(K121/MAX(1,ROUND(G121*$AC$12,0)),0))</x:f>
        <x:v>8</x:v>
      </x:c>
      <x:c r="N121" s="6">
        <x:f>ROUNDUP(F121/英雄升级调参!$H$74,0)</x:f>
        <x:v>8</x:v>
      </x:c>
      <x:c r="O121" s="6">
        <x:f>ROUNDUP(F121/英雄升级调参!$K$74,0)</x:f>
        <x:v>5</x:v>
      </x:c>
      <x:c r="P121" s="6" t="str">
        <x:f>$AA$12</x:f>
        <x:v>精英：15次标准普攻击杀；7.5次主要攻击致死</x:v>
      </x:c>
      <x:c r="Q121" s="6"/>
      <x:c r="R121" s="6"/>
      <x:c r="S121" s="6"/>
      <x:c r="T121" s="6"/>
    </x:row>
    <x:row r="122" ht="21" customHeight="1">
      <x:c r="A122" s="14" t="str">
        <x:f>$V$12</x:f>
        <x:v>MODEL_ELITE</x:v>
      </x:c>
      <x:c r="B122" s="14" t="str">
        <x:f>$W$12</x:f>
        <x:v>模型·精英</x:v>
      </x:c>
      <x:c r="C122" s="6" t="str">
        <x:f>$X$12</x:f>
        <x:v>稻草人模型</x:v>
      </x:c>
      <x:c r="D122" s="6">
        <x:v>10</x:v>
      </x:c>
      <x:c r="E122" s="6">
        <x:v>12</x:v>
      </x:c>
      <x:c r="F122" s="12">
        <x:f>ROUND(J122*$W$4*H122,0)</x:f>
        <x:v>5355</x:v>
      </x:c>
      <x:c r="G122" s="12">
        <x:f>ROUND(J122*$W$4*$W$5*I122,0)</x:f>
        <x:v>476</x:v>
      </x:c>
      <x:c r="H122" s="11" t="n">
        <x:f>$Y$12</x:f>
        <x:v>3.75</x:v>
      </x:c>
      <x:c r="I122" s="11" t="n">
        <x:f>$Z$12</x:f>
        <x:v>4.444444444444445</x:v>
      </x:c>
      <x:c r="J122" s="12">
        <x:f>英雄升级调参!$E$75</x:f>
        <x:v>357</x:v>
      </x:c>
      <x:c r="K122" s="12">
        <x:f>英雄升级调参!$F$75</x:f>
        <x:v>3570</x:v>
      </x:c>
      <x:c r="L122" s="6" t="n">
        <x:f>ROUNDUP(F122/J122,0)</x:f>
        <x:v>15</x:v>
      </x:c>
      <x:c r="M122" s="6" t="n">
        <x:f>IF(G122=0,"无伤害",ROUNDUP(K122/MAX(1,ROUND(G122*$AC$12,0)),0))</x:f>
        <x:v>8</x:v>
      </x:c>
      <x:c r="N122" s="6">
        <x:f>ROUNDUP(F122/英雄升级调参!$H$75,0)</x:f>
        <x:v>9</x:v>
      </x:c>
      <x:c r="O122" s="6">
        <x:f>ROUNDUP(F122/英雄升级调参!$K$75,0)</x:f>
        <x:v>5</x:v>
      </x:c>
      <x:c r="P122" s="6" t="str">
        <x:f>$AA$12</x:f>
        <x:v>精英：15次标准普攻击杀；7.5次主要攻击致死</x:v>
      </x:c>
      <x:c r="Q122" s="6"/>
      <x:c r="R122" s="6"/>
      <x:c r="S122" s="6"/>
      <x:c r="T122" s="6"/>
    </x:row>
    <x:row r="123" ht="21" customHeight="1">
      <x:c r="A123" s="14" t="str">
        <x:f>$V$12</x:f>
        <x:v>MODEL_ELITE</x:v>
      </x:c>
      <x:c r="B123" s="14" t="str">
        <x:f>$W$12</x:f>
        <x:v>模型·精英</x:v>
      </x:c>
      <x:c r="C123" s="6" t="str">
        <x:f>$X$12</x:f>
        <x:v>稻草人模型</x:v>
      </x:c>
      <x:c r="D123" s="6">
        <x:v>11</x:v>
      </x:c>
      <x:c r="E123" s="6">
        <x:v>12</x:v>
      </x:c>
      <x:c r="F123" s="12">
        <x:f>ROUND(J123*$W$4*H123,0)</x:f>
        <x:v>5895</x:v>
      </x:c>
      <x:c r="G123" s="12">
        <x:f>ROUND(J123*$W$4*$W$5*I123,0)</x:f>
        <x:v>524</x:v>
      </x:c>
      <x:c r="H123" s="11" t="n">
        <x:f>$Y$12</x:f>
        <x:v>3.75</x:v>
      </x:c>
      <x:c r="I123" s="11" t="n">
        <x:f>$Z$12</x:f>
        <x:v>4.444444444444445</x:v>
      </x:c>
      <x:c r="J123" s="12">
        <x:f>英雄升级调参!$E$76</x:f>
        <x:v>393</x:v>
      </x:c>
      <x:c r="K123" s="12">
        <x:f>英雄升级调参!$F$76</x:f>
        <x:v>3930</x:v>
      </x:c>
      <x:c r="L123" s="6" t="n">
        <x:f>ROUNDUP(F123/J123,0)</x:f>
        <x:v>15</x:v>
      </x:c>
      <x:c r="M123" s="6" t="n">
        <x:f>IF(G123=0,"无伤害",ROUNDUP(K123/MAX(1,ROUND(G123*$AC$12,0)),0))</x:f>
        <x:v>8</x:v>
      </x:c>
      <x:c r="N123" s="6">
        <x:f>ROUNDUP(F123/英雄升级调参!$H$76,0)</x:f>
        <x:v>9</x:v>
      </x:c>
      <x:c r="O123" s="6">
        <x:f>ROUNDUP(F123/英雄升级调参!$K$76,0)</x:f>
        <x:v>5</x:v>
      </x:c>
      <x:c r="P123" s="6" t="str">
        <x:f>$AA$12</x:f>
        <x:v>精英：15次标准普攻击杀；7.5次主要攻击致死</x:v>
      </x:c>
      <x:c r="Q123" s="6"/>
      <x:c r="R123" s="6"/>
      <x:c r="S123" s="6"/>
      <x:c r="T123" s="6"/>
    </x:row>
    <x:row r="124" ht="21" customHeight="1">
      <x:c r="A124" s="14" t="str">
        <x:f>$V$12</x:f>
        <x:v>MODEL_ELITE</x:v>
      </x:c>
      <x:c r="B124" s="14" t="str">
        <x:f>$W$12</x:f>
        <x:v>模型·精英</x:v>
      </x:c>
      <x:c r="C124" s="6" t="str">
        <x:f>$X$12</x:f>
        <x:v>稻草人模型</x:v>
      </x:c>
      <x:c r="D124" s="6">
        <x:v>12</x:v>
      </x:c>
      <x:c r="E124" s="6">
        <x:v>12</x:v>
      </x:c>
      <x:c r="F124" s="12">
        <x:f>ROUND(J124*$W$4*H124,0)</x:f>
        <x:v>6435</x:v>
      </x:c>
      <x:c r="G124" s="12">
        <x:f>ROUND(J124*$W$4*$W$5*I124,0)</x:f>
        <x:v>572</x:v>
      </x:c>
      <x:c r="H124" s="11" t="n">
        <x:f>$Y$12</x:f>
        <x:v>3.75</x:v>
      </x:c>
      <x:c r="I124" s="11" t="n">
        <x:f>$Z$12</x:f>
        <x:v>4.444444444444445</x:v>
      </x:c>
      <x:c r="J124" s="12">
        <x:f>英雄升级调参!$E$77</x:f>
        <x:v>429</x:v>
      </x:c>
      <x:c r="K124" s="12">
        <x:f>英雄升级调参!$F$77</x:f>
        <x:v>4290</x:v>
      </x:c>
      <x:c r="L124" s="6" t="n">
        <x:f>ROUNDUP(F124/J124,0)</x:f>
        <x:v>15</x:v>
      </x:c>
      <x:c r="M124" s="6" t="n">
        <x:f>IF(G124=0,"无伤害",ROUNDUP(K124/MAX(1,ROUND(G124*$AC$12,0)),0))</x:f>
        <x:v>8</x:v>
      </x:c>
      <x:c r="N124" s="6">
        <x:f>ROUNDUP(F124/英雄升级调参!$H$77,0)</x:f>
        <x:v>9</x:v>
      </x:c>
      <x:c r="O124" s="6">
        <x:f>ROUNDUP(F124/英雄升级调参!$K$77,0)</x:f>
        <x:v>6</x:v>
      </x:c>
      <x:c r="P124" s="6" t="str">
        <x:f>$AA$12</x:f>
        <x:v>精英：15次标准普攻击杀；7.5次主要攻击致死</x:v>
      </x:c>
      <x:c r="Q124" s="6"/>
      <x:c r="R124" s="6"/>
      <x:c r="S124" s="6"/>
      <x:c r="T124" s="6"/>
    </x:row>
    <x:row r="125" ht="21" customHeight="1">
      <x:c r="A125" s="14" t="str">
        <x:f>$V$12</x:f>
        <x:v>MODEL_ELITE</x:v>
      </x:c>
      <x:c r="B125" s="14" t="str">
        <x:f>$W$12</x:f>
        <x:v>模型·精英</x:v>
      </x:c>
      <x:c r="C125" s="6" t="str">
        <x:f>$X$12</x:f>
        <x:v>稻草人模型</x:v>
      </x:c>
      <x:c r="D125" s="6">
        <x:v>13</x:v>
      </x:c>
      <x:c r="E125" s="6">
        <x:v>12</x:v>
      </x:c>
      <x:c r="F125" s="12">
        <x:f>ROUND(J125*$W$4*H125,0)</x:f>
        <x:v>6975</x:v>
      </x:c>
      <x:c r="G125" s="12">
        <x:f>ROUND(J125*$W$4*$W$5*I125,0)</x:f>
        <x:v>620</x:v>
      </x:c>
      <x:c r="H125" s="11" t="n">
        <x:f>$Y$12</x:f>
        <x:v>3.75</x:v>
      </x:c>
      <x:c r="I125" s="11" t="n">
        <x:f>$Z$12</x:f>
        <x:v>4.444444444444445</x:v>
      </x:c>
      <x:c r="J125" s="12">
        <x:f>英雄升级调参!$E$78</x:f>
        <x:v>465</x:v>
      </x:c>
      <x:c r="K125" s="12">
        <x:f>英雄升级调参!$F$78</x:f>
        <x:v>4650</x:v>
      </x:c>
      <x:c r="L125" s="6" t="n">
        <x:f>ROUNDUP(F125/J125,0)</x:f>
        <x:v>15</x:v>
      </x:c>
      <x:c r="M125" s="6" t="n">
        <x:f>IF(G125=0,"无伤害",ROUNDUP(K125/MAX(1,ROUND(G125*$AC$12,0)),0))</x:f>
        <x:v>8</x:v>
      </x:c>
      <x:c r="N125" s="6">
        <x:f>ROUNDUP(F125/英雄升级调参!$H$78,0)</x:f>
        <x:v>9</x:v>
      </x:c>
      <x:c r="O125" s="6">
        <x:f>ROUNDUP(F125/英雄升级调参!$K$78,0)</x:f>
        <x:v>6</x:v>
      </x:c>
      <x:c r="P125" s="6" t="str">
        <x:f>$AA$12</x:f>
        <x:v>精英：15次标准普攻击杀；7.5次主要攻击致死</x:v>
      </x:c>
      <x:c r="Q125" s="6"/>
      <x:c r="R125" s="6"/>
      <x:c r="S125" s="6"/>
      <x:c r="T125" s="6"/>
    </x:row>
    <x:row r="126" ht="21" customHeight="1">
      <x:c r="A126" s="14" t="str">
        <x:f>$V$12</x:f>
        <x:v>MODEL_ELITE</x:v>
      </x:c>
      <x:c r="B126" s="14" t="str">
        <x:f>$W$12</x:f>
        <x:v>模型·精英</x:v>
      </x:c>
      <x:c r="C126" s="6" t="str">
        <x:f>$X$12</x:f>
        <x:v>稻草人模型</x:v>
      </x:c>
      <x:c r="D126" s="6">
        <x:v>14</x:v>
      </x:c>
      <x:c r="E126" s="6">
        <x:v>12</x:v>
      </x:c>
      <x:c r="F126" s="12">
        <x:f>ROUND(J126*$W$4*H126,0)</x:f>
        <x:v>7515</x:v>
      </x:c>
      <x:c r="G126" s="12">
        <x:f>ROUND(J126*$W$4*$W$5*I126,0)</x:f>
        <x:v>668</x:v>
      </x:c>
      <x:c r="H126" s="11" t="n">
        <x:f>$Y$12</x:f>
        <x:v>3.75</x:v>
      </x:c>
      <x:c r="I126" s="11" t="n">
        <x:f>$Z$12</x:f>
        <x:v>4.444444444444445</x:v>
      </x:c>
      <x:c r="J126" s="12">
        <x:f>英雄升级调参!$E$79</x:f>
        <x:v>501</x:v>
      </x:c>
      <x:c r="K126" s="12">
        <x:f>英雄升级调参!$F$79</x:f>
        <x:v>5010</x:v>
      </x:c>
      <x:c r="L126" s="6" t="n">
        <x:f>ROUNDUP(F126/J126,0)</x:f>
        <x:v>15</x:v>
      </x:c>
      <x:c r="M126" s="6" t="n">
        <x:f>IF(G126=0,"无伤害",ROUNDUP(K126/MAX(1,ROUND(G126*$AC$12,0)),0))</x:f>
        <x:v>8</x:v>
      </x:c>
      <x:c r="N126" s="6">
        <x:f>ROUNDUP(F126/英雄升级调参!$H$79,0)</x:f>
        <x:v>9</x:v>
      </x:c>
      <x:c r="O126" s="6">
        <x:f>ROUNDUP(F126/英雄升级调参!$K$79,0)</x:f>
        <x:v>6</x:v>
      </x:c>
      <x:c r="P126" s="6" t="str">
        <x:f>$AA$12</x:f>
        <x:v>精英：15次标准普攻击杀；7.5次主要攻击致死</x:v>
      </x:c>
      <x:c r="Q126" s="6"/>
      <x:c r="R126" s="6"/>
      <x:c r="S126" s="6"/>
      <x:c r="T126" s="6"/>
    </x:row>
    <x:row r="127" ht="21" customHeight="1">
      <x:c r="A127" s="14" t="str">
        <x:f>$V$12</x:f>
        <x:v>MODEL_ELITE</x:v>
      </x:c>
      <x:c r="B127" s="14" t="str">
        <x:f>$W$12</x:f>
        <x:v>模型·精英</x:v>
      </x:c>
      <x:c r="C127" s="6" t="str">
        <x:f>$X$12</x:f>
        <x:v>稻草人模型</x:v>
      </x:c>
      <x:c r="D127" s="6">
        <x:v>15</x:v>
      </x:c>
      <x:c r="E127" s="6">
        <x:v>12</x:v>
      </x:c>
      <x:c r="F127" s="12">
        <x:f>ROUND(J127*$W$4*H127,0)</x:f>
        <x:v>9135</x:v>
      </x:c>
      <x:c r="G127" s="12">
        <x:f>ROUND(J127*$W$4*$W$5*I127,0)</x:f>
        <x:v>812</x:v>
      </x:c>
      <x:c r="H127" s="11" t="n">
        <x:f>$Y$12</x:f>
        <x:v>3.75</x:v>
      </x:c>
      <x:c r="I127" s="11" t="n">
        <x:f>$Z$12</x:f>
        <x:v>4.444444444444445</x:v>
      </x:c>
      <x:c r="J127" s="12">
        <x:f>英雄升级调参!$E$80</x:f>
        <x:v>609</x:v>
      </x:c>
      <x:c r="K127" s="12">
        <x:f>英雄升级调参!$F$80</x:f>
        <x:v>6090</x:v>
      </x:c>
      <x:c r="L127" s="6" t="n">
        <x:f>ROUNDUP(F127/J127,0)</x:f>
        <x:v>15</x:v>
      </x:c>
      <x:c r="M127" s="6" t="n">
        <x:f>IF(G127=0,"无伤害",ROUNDUP(K127/MAX(1,ROUND(G127*$AC$12,0)),0))</x:f>
        <x:v>8</x:v>
      </x:c>
      <x:c r="N127" s="6">
        <x:f>ROUNDUP(F127/英雄升级调参!$H$80,0)</x:f>
        <x:v>9</x:v>
      </x:c>
      <x:c r="O127" s="6">
        <x:f>ROUNDUP(F127/英雄升级调参!$K$80,0)</x:f>
        <x:v>6</x:v>
      </x:c>
      <x:c r="P127" s="6" t="str">
        <x:f>$AA$12</x:f>
        <x:v>精英：15次标准普攻击杀；7.5次主要攻击致死</x:v>
      </x:c>
      <x:c r="Q127" s="6"/>
      <x:c r="R127" s="6"/>
      <x:c r="S127" s="6"/>
      <x:c r="T127" s="6"/>
    </x:row>
    <x:row r="128" ht="21" customHeight="1">
      <x:c r="A128" s="14" t="str">
        <x:f>$V$12</x:f>
        <x:v>MODEL_ELITE</x:v>
      </x:c>
      <x:c r="B128" s="14" t="str">
        <x:f>$W$12</x:f>
        <x:v>模型·精英</x:v>
      </x:c>
      <x:c r="C128" s="6" t="str">
        <x:f>$X$12</x:f>
        <x:v>稻草人模型</x:v>
      </x:c>
      <x:c r="D128" s="6">
        <x:v>16</x:v>
      </x:c>
      <x:c r="E128" s="6">
        <x:v>12</x:v>
      </x:c>
      <x:c r="F128" s="12">
        <x:f>ROUND(J128*$W$4*H128,0)</x:f>
        <x:v>9810</x:v>
      </x:c>
      <x:c r="G128" s="12">
        <x:f>ROUND(J128*$W$4*$W$5*I128,0)</x:f>
        <x:v>872</x:v>
      </x:c>
      <x:c r="H128" s="11" t="n">
        <x:f>$Y$12</x:f>
        <x:v>3.75</x:v>
      </x:c>
      <x:c r="I128" s="11" t="n">
        <x:f>$Z$12</x:f>
        <x:v>4.444444444444445</x:v>
      </x:c>
      <x:c r="J128" s="12">
        <x:f>英雄升级调参!$E$81</x:f>
        <x:v>654</x:v>
      </x:c>
      <x:c r="K128" s="12">
        <x:f>英雄升级调参!$F$81</x:f>
        <x:v>6540</x:v>
      </x:c>
      <x:c r="L128" s="6" t="n">
        <x:f>ROUNDUP(F128/J128,0)</x:f>
        <x:v>15</x:v>
      </x:c>
      <x:c r="M128" s="6" t="n">
        <x:f>IF(G128=0,"无伤害",ROUNDUP(K128/MAX(1,ROUND(G128*$AC$12,0)),0))</x:f>
        <x:v>8</x:v>
      </x:c>
      <x:c r="N128" s="6">
        <x:f>ROUNDUP(F128/英雄升级调参!$H$81,0)</x:f>
        <x:v>9</x:v>
      </x:c>
      <x:c r="O128" s="6">
        <x:f>ROUNDUP(F128/英雄升级调参!$K$81,0)</x:f>
        <x:v>6</x:v>
      </x:c>
      <x:c r="P128" s="6" t="str">
        <x:f>$AA$12</x:f>
        <x:v>精英：15次标准普攻击杀；7.5次主要攻击致死</x:v>
      </x:c>
      <x:c r="Q128" s="6"/>
      <x:c r="R128" s="6"/>
      <x:c r="S128" s="6"/>
      <x:c r="T128" s="6"/>
    </x:row>
    <x:row r="129" ht="21" customHeight="1">
      <x:c r="A129" s="14" t="str">
        <x:f>$V$12</x:f>
        <x:v>MODEL_ELITE</x:v>
      </x:c>
      <x:c r="B129" s="14" t="str">
        <x:f>$W$12</x:f>
        <x:v>模型·精英</x:v>
      </x:c>
      <x:c r="C129" s="6" t="str">
        <x:f>$X$12</x:f>
        <x:v>稻草人模型</x:v>
      </x:c>
      <x:c r="D129" s="6">
        <x:v>17</x:v>
      </x:c>
      <x:c r="E129" s="6">
        <x:v>12</x:v>
      </x:c>
      <x:c r="F129" s="12">
        <x:f>ROUND(J129*$W$4*H129,0)</x:f>
        <x:v>10485</x:v>
      </x:c>
      <x:c r="G129" s="12">
        <x:f>ROUND(J129*$W$4*$W$5*I129,0)</x:f>
        <x:v>932</x:v>
      </x:c>
      <x:c r="H129" s="11" t="n">
        <x:f>$Y$12</x:f>
        <x:v>3.75</x:v>
      </x:c>
      <x:c r="I129" s="11" t="n">
        <x:f>$Z$12</x:f>
        <x:v>4.444444444444445</x:v>
      </x:c>
      <x:c r="J129" s="12">
        <x:f>英雄升级调参!$E$82</x:f>
        <x:v>699</x:v>
      </x:c>
      <x:c r="K129" s="12">
        <x:f>英雄升级调参!$F$82</x:f>
        <x:v>6990</x:v>
      </x:c>
      <x:c r="L129" s="6" t="n">
        <x:f>ROUNDUP(F129/J129,0)</x:f>
        <x:v>15</x:v>
      </x:c>
      <x:c r="M129" s="6" t="n">
        <x:f>IF(G129=0,"无伤害",ROUNDUP(K129/MAX(1,ROUND(G129*$AC$12,0)),0))</x:f>
        <x:v>8</x:v>
      </x:c>
      <x:c r="N129" s="6" t="n">
        <x:f>ROUNDUP(F129/英雄升级调参!$H$82,0)</x:f>
        <x:v>10</x:v>
      </x:c>
      <x:c r="O129" s="6">
        <x:f>ROUNDUP(F129/英雄升级调参!$K$82,0)</x:f>
        <x:v>6</x:v>
      </x:c>
      <x:c r="P129" s="6" t="str">
        <x:f>$AA$12</x:f>
        <x:v>精英：15次标准普攻击杀；7.5次主要攻击致死</x:v>
      </x:c>
      <x:c r="Q129" s="6"/>
      <x:c r="R129" s="6"/>
      <x:c r="S129" s="6"/>
      <x:c r="T129" s="6"/>
    </x:row>
    <x:row r="130" ht="21" customHeight="1">
      <x:c r="A130" s="14" t="str">
        <x:f>$V$12</x:f>
        <x:v>MODEL_ELITE</x:v>
      </x:c>
      <x:c r="B130" s="14" t="str">
        <x:f>$W$12</x:f>
        <x:v>模型·精英</x:v>
      </x:c>
      <x:c r="C130" s="6" t="str">
        <x:f>$X$12</x:f>
        <x:v>稻草人模型</x:v>
      </x:c>
      <x:c r="D130" s="6">
        <x:v>18</x:v>
      </x:c>
      <x:c r="E130" s="6">
        <x:v>12</x:v>
      </x:c>
      <x:c r="F130" s="12">
        <x:f>ROUND(J130*$W$4*H130,0)</x:f>
        <x:v>11160</x:v>
      </x:c>
      <x:c r="G130" s="12">
        <x:f>ROUND(J130*$W$4*$W$5*I130,0)</x:f>
        <x:v>992</x:v>
      </x:c>
      <x:c r="H130" s="11" t="n">
        <x:f>$Y$12</x:f>
        <x:v>3.75</x:v>
      </x:c>
      <x:c r="I130" s="11" t="n">
        <x:f>$Z$12</x:f>
        <x:v>4.444444444444445</x:v>
      </x:c>
      <x:c r="J130" s="12">
        <x:f>英雄升级调参!$E$83</x:f>
        <x:v>744</x:v>
      </x:c>
      <x:c r="K130" s="12">
        <x:f>英雄升级调参!$F$83</x:f>
        <x:v>7440</x:v>
      </x:c>
      <x:c r="L130" s="6" t="n">
        <x:f>ROUNDUP(F130/J130,0)</x:f>
        <x:v>15</x:v>
      </x:c>
      <x:c r="M130" s="6" t="n">
        <x:f>IF(G130=0,"无伤害",ROUNDUP(K130/MAX(1,ROUND(G130*$AC$12,0)),0))</x:f>
        <x:v>8</x:v>
      </x:c>
      <x:c r="N130" s="6" t="n">
        <x:f>ROUNDUP(F130/英雄升级调参!$H$83,0)</x:f>
        <x:v>10</x:v>
      </x:c>
      <x:c r="O130" s="6">
        <x:f>ROUNDUP(F130/英雄升级调参!$K$83,0)</x:f>
        <x:v>6</x:v>
      </x:c>
      <x:c r="P130" s="6" t="str">
        <x:f>$AA$12</x:f>
        <x:v>精英：15次标准普攻击杀；7.5次主要攻击致死</x:v>
      </x:c>
      <x:c r="Q130" s="6"/>
      <x:c r="R130" s="6"/>
      <x:c r="S130" s="6"/>
      <x:c r="T130" s="6"/>
    </x:row>
    <x:row r="131" ht="21" customHeight="1">
      <x:c r="A131" s="14" t="str">
        <x:f>$V$12</x:f>
        <x:v>MODEL_ELITE</x:v>
      </x:c>
      <x:c r="B131" s="14" t="str">
        <x:f>$W$12</x:f>
        <x:v>模型·精英</x:v>
      </x:c>
      <x:c r="C131" s="6" t="str">
        <x:f>$X$12</x:f>
        <x:v>稻草人模型</x:v>
      </x:c>
      <x:c r="D131" s="6">
        <x:v>19</x:v>
      </x:c>
      <x:c r="E131" s="6">
        <x:v>12</x:v>
      </x:c>
      <x:c r="F131" s="12">
        <x:f>ROUND(J131*$W$4*H131,0)</x:f>
        <x:v>11835</x:v>
      </x:c>
      <x:c r="G131" s="12">
        <x:f>ROUND(J131*$W$4*$W$5*I131,0)</x:f>
        <x:v>1052</x:v>
      </x:c>
      <x:c r="H131" s="11" t="n">
        <x:f>$Y$12</x:f>
        <x:v>3.75</x:v>
      </x:c>
      <x:c r="I131" s="11" t="n">
        <x:f>$Z$12</x:f>
        <x:v>4.444444444444445</x:v>
      </x:c>
      <x:c r="J131" s="12">
        <x:f>英雄升级调参!$E$84</x:f>
        <x:v>789</x:v>
      </x:c>
      <x:c r="K131" s="12">
        <x:f>英雄升级调参!$F$84</x:f>
        <x:v>7890</x:v>
      </x:c>
      <x:c r="L131" s="6" t="n">
        <x:f>ROUNDUP(F131/J131,0)</x:f>
        <x:v>15</x:v>
      </x:c>
      <x:c r="M131" s="6" t="n">
        <x:f>IF(G131=0,"无伤害",ROUNDUP(K131/MAX(1,ROUND(G131*$AC$12,0)),0))</x:f>
        <x:v>8</x:v>
      </x:c>
      <x:c r="N131" s="6" t="n">
        <x:f>ROUNDUP(F131/英雄升级调参!$H$84,0)</x:f>
        <x:v>10</x:v>
      </x:c>
      <x:c r="O131" s="6">
        <x:f>ROUNDUP(F131/英雄升级调参!$K$84,0)</x:f>
        <x:v>6</x:v>
      </x:c>
      <x:c r="P131" s="6" t="str">
        <x:f>$AA$12</x:f>
        <x:v>精英：15次标准普攻击杀；7.5次主要攻击致死</x:v>
      </x:c>
      <x:c r="Q131" s="6"/>
      <x:c r="R131" s="6"/>
      <x:c r="S131" s="6"/>
      <x:c r="T131" s="6"/>
    </x:row>
    <x:row r="132" ht="21" customHeight="1">
      <x:c r="A132" s="14" t="str">
        <x:f>$V$12</x:f>
        <x:v>MODEL_ELITE</x:v>
      </x:c>
      <x:c r="B132" s="14" t="str">
        <x:f>$W$12</x:f>
        <x:v>模型·精英</x:v>
      </x:c>
      <x:c r="C132" s="6" t="str">
        <x:f>$X$12</x:f>
        <x:v>稻草人模型</x:v>
      </x:c>
      <x:c r="D132" s="6">
        <x:v>20</x:v>
      </x:c>
      <x:c r="E132" s="6">
        <x:v>12</x:v>
      </x:c>
      <x:c r="F132" s="12">
        <x:f>ROUND(J132*$W$4*H132,0)</x:f>
        <x:v>13860</x:v>
      </x:c>
      <x:c r="G132" s="12">
        <x:f>ROUND(J132*$W$4*$W$5*I132,0)</x:f>
        <x:v>1232</x:v>
      </x:c>
      <x:c r="H132" s="11" t="n">
        <x:f>$Y$12</x:f>
        <x:v>3.75</x:v>
      </x:c>
      <x:c r="I132" s="11" t="n">
        <x:f>$Z$12</x:f>
        <x:v>4.444444444444445</x:v>
      </x:c>
      <x:c r="J132" s="12">
        <x:f>英雄升级调参!$E$85</x:f>
        <x:v>924</x:v>
      </x:c>
      <x:c r="K132" s="12">
        <x:f>英雄升级调参!$F$85</x:f>
        <x:v>9240</x:v>
      </x:c>
      <x:c r="L132" s="6" t="n">
        <x:f>ROUNDUP(F132/J132,0)</x:f>
        <x:v>15</x:v>
      </x:c>
      <x:c r="M132" s="6" t="n">
        <x:f>IF(G132=0,"无伤害",ROUNDUP(K132/MAX(1,ROUND(G132*$AC$12,0)),0))</x:f>
        <x:v>8</x:v>
      </x:c>
      <x:c r="N132" s="6" t="n">
        <x:f>ROUNDUP(F132/英雄升级调参!$H$85,0)</x:f>
        <x:v>10</x:v>
      </x:c>
      <x:c r="O132" s="6">
        <x:f>ROUNDUP(F132/英雄升级调参!$K$85,0)</x:f>
        <x:v>6</x:v>
      </x:c>
      <x:c r="P132" s="6" t="str">
        <x:f>$AA$12</x:f>
        <x:v>精英：15次标准普攻击杀；7.5次主要攻击致死</x:v>
      </x:c>
      <x:c r="Q132" s="6"/>
      <x:c r="R132" s="6"/>
      <x:c r="S132" s="6"/>
      <x:c r="T132" s="6"/>
    </x:row>
    <x:row r="133" ht="21" customHeight="1">
      <x:c r="A133" s="14" t="str">
        <x:f>$V$12</x:f>
        <x:v>MODEL_ELITE</x:v>
      </x:c>
      <x:c r="B133" s="14" t="str">
        <x:f>$W$12</x:f>
        <x:v>模型·精英</x:v>
      </x:c>
      <x:c r="C133" s="6" t="str">
        <x:f>$X$12</x:f>
        <x:v>稻草人模型</x:v>
      </x:c>
      <x:c r="D133" s="6">
        <x:v>21</x:v>
      </x:c>
      <x:c r="E133" s="6">
        <x:v>12</x:v>
      </x:c>
      <x:c r="F133" s="12">
        <x:f>ROUND(J133*$W$4*H133,0)</x:f>
        <x:v>14670</x:v>
      </x:c>
      <x:c r="G133" s="12">
        <x:f>ROUND(J133*$W$4*$W$5*I133,0)</x:f>
        <x:v>1304</x:v>
      </x:c>
      <x:c r="H133" s="11" t="n">
        <x:f>$Y$12</x:f>
        <x:v>3.75</x:v>
      </x:c>
      <x:c r="I133" s="11" t="n">
        <x:f>$Z$12</x:f>
        <x:v>4.444444444444445</x:v>
      </x:c>
      <x:c r="J133" s="12">
        <x:f>英雄升级调参!$E$86</x:f>
        <x:v>978</x:v>
      </x:c>
      <x:c r="K133" s="12">
        <x:f>英雄升级调参!$F$86</x:f>
        <x:v>9780</x:v>
      </x:c>
      <x:c r="L133" s="6" t="n">
        <x:f>ROUNDUP(F133/J133,0)</x:f>
        <x:v>15</x:v>
      </x:c>
      <x:c r="M133" s="6" t="n">
        <x:f>IF(G133=0,"无伤害",ROUNDUP(K133/MAX(1,ROUND(G133*$AC$12,0)),0))</x:f>
        <x:v>8</x:v>
      </x:c>
      <x:c r="N133" s="6" t="n">
        <x:f>ROUNDUP(F133/英雄升级调参!$H$86,0)</x:f>
        <x:v>10</x:v>
      </x:c>
      <x:c r="O133" s="6">
        <x:f>ROUNDUP(F133/英雄升级调参!$K$86,0)</x:f>
        <x:v>6</x:v>
      </x:c>
      <x:c r="P133" s="6" t="str">
        <x:f>$AA$12</x:f>
        <x:v>精英：15次标准普攻击杀；7.5次主要攻击致死</x:v>
      </x:c>
      <x:c r="Q133" s="6"/>
      <x:c r="R133" s="6"/>
      <x:c r="S133" s="6"/>
      <x:c r="T133" s="6"/>
    </x:row>
    <x:row r="134" ht="21" customHeight="1">
      <x:c r="A134" s="14" t="str">
        <x:f>$V$12</x:f>
        <x:v>MODEL_ELITE</x:v>
      </x:c>
      <x:c r="B134" s="14" t="str">
        <x:f>$W$12</x:f>
        <x:v>模型·精英</x:v>
      </x:c>
      <x:c r="C134" s="6" t="str">
        <x:f>$X$12</x:f>
        <x:v>稻草人模型</x:v>
      </x:c>
      <x:c r="D134" s="6">
        <x:v>22</x:v>
      </x:c>
      <x:c r="E134" s="6">
        <x:v>12</x:v>
      </x:c>
      <x:c r="F134" s="12">
        <x:f>ROUND(J134*$W$4*H134,0)</x:f>
        <x:v>15480</x:v>
      </x:c>
      <x:c r="G134" s="12">
        <x:f>ROUND(J134*$W$4*$W$5*I134,0)</x:f>
        <x:v>1376</x:v>
      </x:c>
      <x:c r="H134" s="11" t="n">
        <x:f>$Y$12</x:f>
        <x:v>3.75</x:v>
      </x:c>
      <x:c r="I134" s="11" t="n">
        <x:f>$Z$12</x:f>
        <x:v>4.444444444444445</x:v>
      </x:c>
      <x:c r="J134" s="12">
        <x:f>英雄升级调参!$E$87</x:f>
        <x:v>1032</x:v>
      </x:c>
      <x:c r="K134" s="12">
        <x:f>英雄升级调参!$F$87</x:f>
        <x:v>10320</x:v>
      </x:c>
      <x:c r="L134" s="6" t="n">
        <x:f>ROUNDUP(F134/J134,0)</x:f>
        <x:v>15</x:v>
      </x:c>
      <x:c r="M134" s="6" t="n">
        <x:f>IF(G134=0,"无伤害",ROUNDUP(K134/MAX(1,ROUND(G134*$AC$12,0)),0))</x:f>
        <x:v>8</x:v>
      </x:c>
      <x:c r="N134" s="6" t="n">
        <x:f>ROUNDUP(F134/英雄升级调参!$H$87,0)</x:f>
        <x:v>10</x:v>
      </x:c>
      <x:c r="O134" s="6">
        <x:f>ROUNDUP(F134/英雄升级调参!$K$87,0)</x:f>
        <x:v>6</x:v>
      </x:c>
      <x:c r="P134" s="6" t="str">
        <x:f>$AA$12</x:f>
        <x:v>精英：15次标准普攻击杀；7.5次主要攻击致死</x:v>
      </x:c>
      <x:c r="Q134" s="6"/>
      <x:c r="R134" s="6"/>
      <x:c r="S134" s="6"/>
      <x:c r="T134" s="6"/>
    </x:row>
    <x:row r="135" ht="21" customHeight="1">
      <x:c r="A135" s="14" t="str">
        <x:f>$V$12</x:f>
        <x:v>MODEL_ELITE</x:v>
      </x:c>
      <x:c r="B135" s="14" t="str">
        <x:f>$W$12</x:f>
        <x:v>模型·精英</x:v>
      </x:c>
      <x:c r="C135" s="6" t="str">
        <x:f>$X$12</x:f>
        <x:v>稻草人模型</x:v>
      </x:c>
      <x:c r="D135" s="6">
        <x:v>23</x:v>
      </x:c>
      <x:c r="E135" s="6">
        <x:v>12</x:v>
      </x:c>
      <x:c r="F135" s="12">
        <x:f>ROUND(J135*$W$4*H135,0)</x:f>
        <x:v>16290</x:v>
      </x:c>
      <x:c r="G135" s="12">
        <x:f>ROUND(J135*$W$4*$W$5*I135,0)</x:f>
        <x:v>1448</x:v>
      </x:c>
      <x:c r="H135" s="11" t="n">
        <x:f>$Y$12</x:f>
        <x:v>3.75</x:v>
      </x:c>
      <x:c r="I135" s="11" t="n">
        <x:f>$Z$12</x:f>
        <x:v>4.444444444444445</x:v>
      </x:c>
      <x:c r="J135" s="12">
        <x:f>英雄升级调参!$E$88</x:f>
        <x:v>1086</x:v>
      </x:c>
      <x:c r="K135" s="12">
        <x:f>英雄升级调参!$F$88</x:f>
        <x:v>10860</x:v>
      </x:c>
      <x:c r="L135" s="6" t="n">
        <x:f>ROUNDUP(F135/J135,0)</x:f>
        <x:v>15</x:v>
      </x:c>
      <x:c r="M135" s="6" t="n">
        <x:f>IF(G135=0,"无伤害",ROUNDUP(K135/MAX(1,ROUND(G135*$AC$12,0)),0))</x:f>
        <x:v>8</x:v>
      </x:c>
      <x:c r="N135" s="6" t="n">
        <x:f>ROUNDUP(F135/英雄升级调参!$H$88,0)</x:f>
        <x:v>10</x:v>
      </x:c>
      <x:c r="O135" s="6">
        <x:f>ROUNDUP(F135/英雄升级调参!$K$88,0)</x:f>
        <x:v>6</x:v>
      </x:c>
      <x:c r="P135" s="6" t="str">
        <x:f>$AA$12</x:f>
        <x:v>精英：15次标准普攻击杀；7.5次主要攻击致死</x:v>
      </x:c>
      <x:c r="Q135" s="6"/>
      <x:c r="R135" s="6"/>
      <x:c r="S135" s="6"/>
      <x:c r="T135" s="6"/>
    </x:row>
    <x:row r="136" ht="21" customHeight="1">
      <x:c r="A136" s="14" t="str">
        <x:f>$V$12</x:f>
        <x:v>MODEL_ELITE</x:v>
      </x:c>
      <x:c r="B136" s="14" t="str">
        <x:f>$W$12</x:f>
        <x:v>模型·精英</x:v>
      </x:c>
      <x:c r="C136" s="6" t="str">
        <x:f>$X$12</x:f>
        <x:v>稻草人模型</x:v>
      </x:c>
      <x:c r="D136" s="6">
        <x:v>24</x:v>
      </x:c>
      <x:c r="E136" s="6">
        <x:v>12</x:v>
      </x:c>
      <x:c r="F136" s="12">
        <x:f>ROUND(J136*$W$4*H136,0)</x:f>
        <x:v>17100</x:v>
      </x:c>
      <x:c r="G136" s="12">
        <x:f>ROUND(J136*$W$4*$W$5*I136,0)</x:f>
        <x:v>1520</x:v>
      </x:c>
      <x:c r="H136" s="11" t="n">
        <x:f>$Y$12</x:f>
        <x:v>3.75</x:v>
      </x:c>
      <x:c r="I136" s="11" t="n">
        <x:f>$Z$12</x:f>
        <x:v>4.444444444444445</x:v>
      </x:c>
      <x:c r="J136" s="12">
        <x:f>英雄升级调参!$E$89</x:f>
        <x:v>1140</x:v>
      </x:c>
      <x:c r="K136" s="12">
        <x:f>英雄升级调参!$F$89</x:f>
        <x:v>11400</x:v>
      </x:c>
      <x:c r="L136" s="6" t="n">
        <x:f>ROUNDUP(F136/J136,0)</x:f>
        <x:v>15</x:v>
      </x:c>
      <x:c r="M136" s="6" t="n">
        <x:f>IF(G136=0,"无伤害",ROUNDUP(K136/MAX(1,ROUND(G136*$AC$12,0)),0))</x:f>
        <x:v>8</x:v>
      </x:c>
      <x:c r="N136" s="6" t="n">
        <x:f>ROUNDUP(F136/英雄升级调参!$H$89,0)</x:f>
        <x:v>10</x:v>
      </x:c>
      <x:c r="O136" s="6">
        <x:f>ROUNDUP(F136/英雄升级调参!$K$89,0)</x:f>
        <x:v>6</x:v>
      </x:c>
      <x:c r="P136" s="6" t="str">
        <x:f>$AA$12</x:f>
        <x:v>精英：15次标准普攻击杀；7.5次主要攻击致死</x:v>
      </x:c>
      <x:c r="Q136" s="6"/>
      <x:c r="R136" s="6"/>
      <x:c r="S136" s="6"/>
      <x:c r="T136" s="6"/>
    </x:row>
    <x:row r="137" ht="21" customHeight="1">
      <x:c r="A137" s="14" t="str">
        <x:f>$V$12</x:f>
        <x:v>MODEL_ELITE</x:v>
      </x:c>
      <x:c r="B137" s="14" t="str">
        <x:f>$W$12</x:f>
        <x:v>模型·精英</x:v>
      </x:c>
      <x:c r="C137" s="6" t="str">
        <x:f>$X$12</x:f>
        <x:v>稻草人模型</x:v>
      </x:c>
      <x:c r="D137" s="6">
        <x:v>25</x:v>
      </x:c>
      <x:c r="E137" s="6">
        <x:v>12</x:v>
      </x:c>
      <x:c r="F137" s="12">
        <x:f>ROUND(J137*$W$4*H137,0)</x:f>
        <x:v>19530</x:v>
      </x:c>
      <x:c r="G137" s="12">
        <x:f>ROUND(J137*$W$4*$W$5*I137,0)</x:f>
        <x:v>1736</x:v>
      </x:c>
      <x:c r="H137" s="11" t="n">
        <x:f>$Y$12</x:f>
        <x:v>3.75</x:v>
      </x:c>
      <x:c r="I137" s="11" t="n">
        <x:f>$Z$12</x:f>
        <x:v>4.444444444444445</x:v>
      </x:c>
      <x:c r="J137" s="12">
        <x:f>英雄升级调参!$E$90</x:f>
        <x:v>1302</x:v>
      </x:c>
      <x:c r="K137" s="12">
        <x:f>英雄升级调参!$F$90</x:f>
        <x:v>13020</x:v>
      </x:c>
      <x:c r="L137" s="6" t="n">
        <x:f>ROUNDUP(F137/J137,0)</x:f>
        <x:v>15</x:v>
      </x:c>
      <x:c r="M137" s="6" t="n">
        <x:f>IF(G137=0,"无伤害",ROUNDUP(K137/MAX(1,ROUND(G137*$AC$12,0)),0))</x:f>
        <x:v>8</x:v>
      </x:c>
      <x:c r="N137" s="6" t="n">
        <x:f>ROUNDUP(F137/英雄升级调参!$H$90,0)</x:f>
        <x:v>10</x:v>
      </x:c>
      <x:c r="O137" s="6">
        <x:f>ROUNDUP(F137/英雄升级调参!$K$90,0)</x:f>
        <x:v>6</x:v>
      </x:c>
      <x:c r="P137" s="6" t="str">
        <x:f>$AA$12</x:f>
        <x:v>精英：15次标准普攻击杀；7.5次主要攻击致死</x:v>
      </x:c>
      <x:c r="Q137" s="6"/>
      <x:c r="R137" s="6"/>
      <x:c r="S137" s="6"/>
      <x:c r="T137" s="6"/>
    </x:row>
    <x:row r="138" ht="21" customHeight="1">
      <x:c r="A138" s="14" t="str">
        <x:f>$V$12</x:f>
        <x:v>MODEL_ELITE</x:v>
      </x:c>
      <x:c r="B138" s="14" t="str">
        <x:f>$W$12</x:f>
        <x:v>模型·精英</x:v>
      </x:c>
      <x:c r="C138" s="6" t="str">
        <x:f>$X$12</x:f>
        <x:v>稻草人模型</x:v>
      </x:c>
      <x:c r="D138" s="6">
        <x:v>26</x:v>
      </x:c>
      <x:c r="E138" s="6">
        <x:v>12</x:v>
      </x:c>
      <x:c r="F138" s="12">
        <x:f>ROUND(J138*$W$4*H138,0)</x:f>
        <x:v>20475</x:v>
      </x:c>
      <x:c r="G138" s="12">
        <x:f>ROUND(J138*$W$4*$W$5*I138,0)</x:f>
        <x:v>1820</x:v>
      </x:c>
      <x:c r="H138" s="11" t="n">
        <x:f>$Y$12</x:f>
        <x:v>3.75</x:v>
      </x:c>
      <x:c r="I138" s="11" t="n">
        <x:f>$Z$12</x:f>
        <x:v>4.444444444444445</x:v>
      </x:c>
      <x:c r="J138" s="12">
        <x:f>英雄升级调参!$E$91</x:f>
        <x:v>1365</x:v>
      </x:c>
      <x:c r="K138" s="12">
        <x:f>英雄升级调参!$F$91</x:f>
        <x:v>13650</x:v>
      </x:c>
      <x:c r="L138" s="6" t="n">
        <x:f>ROUNDUP(F138/J138,0)</x:f>
        <x:v>15</x:v>
      </x:c>
      <x:c r="M138" s="6" t="n">
        <x:f>IF(G138=0,"无伤害",ROUNDUP(K138/MAX(1,ROUND(G138*$AC$12,0)),0))</x:f>
        <x:v>8</x:v>
      </x:c>
      <x:c r="N138" s="6" t="n">
        <x:f>ROUNDUP(F138/英雄升级调参!$H$91,0)</x:f>
        <x:v>10</x:v>
      </x:c>
      <x:c r="O138" s="6">
        <x:f>ROUNDUP(F138/英雄升级调参!$K$91,0)</x:f>
        <x:v>6</x:v>
      </x:c>
      <x:c r="P138" s="6" t="str">
        <x:f>$AA$12</x:f>
        <x:v>精英：15次标准普攻击杀；7.5次主要攻击致死</x:v>
      </x:c>
      <x:c r="Q138" s="6"/>
      <x:c r="R138" s="6"/>
      <x:c r="S138" s="6"/>
      <x:c r="T138" s="6"/>
    </x:row>
    <x:row r="139" ht="21" customHeight="1">
      <x:c r="A139" s="14" t="str">
        <x:f>$V$12</x:f>
        <x:v>MODEL_ELITE</x:v>
      </x:c>
      <x:c r="B139" s="14" t="str">
        <x:f>$W$12</x:f>
        <x:v>模型·精英</x:v>
      </x:c>
      <x:c r="C139" s="6" t="str">
        <x:f>$X$12</x:f>
        <x:v>稻草人模型</x:v>
      </x:c>
      <x:c r="D139" s="6">
        <x:v>27</x:v>
      </x:c>
      <x:c r="E139" s="6">
        <x:v>12</x:v>
      </x:c>
      <x:c r="F139" s="12">
        <x:f>ROUND(J139*$W$4*H139,0)</x:f>
        <x:v>21420</x:v>
      </x:c>
      <x:c r="G139" s="12">
        <x:f>ROUND(J139*$W$4*$W$5*I139,0)</x:f>
        <x:v>1904</x:v>
      </x:c>
      <x:c r="H139" s="11" t="n">
        <x:f>$Y$12</x:f>
        <x:v>3.75</x:v>
      </x:c>
      <x:c r="I139" s="11" t="n">
        <x:f>$Z$12</x:f>
        <x:v>4.444444444444445</x:v>
      </x:c>
      <x:c r="J139" s="12">
        <x:f>英雄升级调参!$E$92</x:f>
        <x:v>1428</x:v>
      </x:c>
      <x:c r="K139" s="12">
        <x:f>英雄升级调参!$F$92</x:f>
        <x:v>14280</x:v>
      </x:c>
      <x:c r="L139" s="6" t="n">
        <x:f>ROUNDUP(F139/J139,0)</x:f>
        <x:v>15</x:v>
      </x:c>
      <x:c r="M139" s="6" t="n">
        <x:f>IF(G139=0,"无伤害",ROUNDUP(K139/MAX(1,ROUND(G139*$AC$12,0)),0))</x:f>
        <x:v>8</x:v>
      </x:c>
      <x:c r="N139" s="6" t="n">
        <x:f>ROUNDUP(F139/英雄升级调参!$H$92,0)</x:f>
        <x:v>10</x:v>
      </x:c>
      <x:c r="O139" s="6">
        <x:f>ROUNDUP(F139/英雄升级调参!$K$92,0)</x:f>
        <x:v>6</x:v>
      </x:c>
      <x:c r="P139" s="6" t="str">
        <x:f>$AA$12</x:f>
        <x:v>精英：15次标准普攻击杀；7.5次主要攻击致死</x:v>
      </x:c>
      <x:c r="Q139" s="6"/>
      <x:c r="R139" s="6"/>
      <x:c r="S139" s="6"/>
      <x:c r="T139" s="6"/>
    </x:row>
    <x:row r="140" ht="21" customHeight="1">
      <x:c r="A140" s="14" t="str">
        <x:f>$V$12</x:f>
        <x:v>MODEL_ELITE</x:v>
      </x:c>
      <x:c r="B140" s="14" t="str">
        <x:f>$W$12</x:f>
        <x:v>模型·精英</x:v>
      </x:c>
      <x:c r="C140" s="6" t="str">
        <x:f>$X$12</x:f>
        <x:v>稻草人模型</x:v>
      </x:c>
      <x:c r="D140" s="6">
        <x:v>28</x:v>
      </x:c>
      <x:c r="E140" s="6">
        <x:v>12</x:v>
      </x:c>
      <x:c r="F140" s="12">
        <x:f>ROUND(J140*$W$4*H140,0)</x:f>
        <x:v>22365</x:v>
      </x:c>
      <x:c r="G140" s="12">
        <x:f>ROUND(J140*$W$4*$W$5*I140,0)</x:f>
        <x:v>1988</x:v>
      </x:c>
      <x:c r="H140" s="11" t="n">
        <x:f>$Y$12</x:f>
        <x:v>3.75</x:v>
      </x:c>
      <x:c r="I140" s="11" t="n">
        <x:f>$Z$12</x:f>
        <x:v>4.444444444444445</x:v>
      </x:c>
      <x:c r="J140" s="12">
        <x:f>英雄升级调参!$E$93</x:f>
        <x:v>1491</x:v>
      </x:c>
      <x:c r="K140" s="12">
        <x:f>英雄升级调参!$F$93</x:f>
        <x:v>14910</x:v>
      </x:c>
      <x:c r="L140" s="6" t="n">
        <x:f>ROUNDUP(F140/J140,0)</x:f>
        <x:v>15</x:v>
      </x:c>
      <x:c r="M140" s="6" t="n">
        <x:f>IF(G140=0,"无伤害",ROUNDUP(K140/MAX(1,ROUND(G140*$AC$12,0)),0))</x:f>
        <x:v>8</x:v>
      </x:c>
      <x:c r="N140" s="6" t="n">
        <x:f>ROUNDUP(F140/英雄升级调参!$H$93,0)</x:f>
        <x:v>10</x:v>
      </x:c>
      <x:c r="O140" s="6">
        <x:f>ROUNDUP(F140/英雄升级调参!$K$93,0)</x:f>
        <x:v>6</x:v>
      </x:c>
      <x:c r="P140" s="6" t="str">
        <x:f>$AA$12</x:f>
        <x:v>精英：15次标准普攻击杀；7.5次主要攻击致死</x:v>
      </x:c>
      <x:c r="Q140" s="6"/>
      <x:c r="R140" s="6"/>
      <x:c r="S140" s="6"/>
      <x:c r="T140" s="6"/>
    </x:row>
    <x:row r="141" ht="21" customHeight="1">
      <x:c r="A141" s="14" t="str">
        <x:f>$V$12</x:f>
        <x:v>MODEL_ELITE</x:v>
      </x:c>
      <x:c r="B141" s="14" t="str">
        <x:f>$W$12</x:f>
        <x:v>模型·精英</x:v>
      </x:c>
      <x:c r="C141" s="6" t="str">
        <x:f>$X$12</x:f>
        <x:v>稻草人模型</x:v>
      </x:c>
      <x:c r="D141" s="6">
        <x:v>29</x:v>
      </x:c>
      <x:c r="E141" s="6">
        <x:v>12</x:v>
      </x:c>
      <x:c r="F141" s="12">
        <x:f>ROUND(J141*$W$4*H141,0)</x:f>
        <x:v>23310</x:v>
      </x:c>
      <x:c r="G141" s="12">
        <x:f>ROUND(J141*$W$4*$W$5*I141,0)</x:f>
        <x:v>2072</x:v>
      </x:c>
      <x:c r="H141" s="11" t="n">
        <x:f>$Y$12</x:f>
        <x:v>3.75</x:v>
      </x:c>
      <x:c r="I141" s="11" t="n">
        <x:f>$Z$12</x:f>
        <x:v>4.444444444444445</x:v>
      </x:c>
      <x:c r="J141" s="12">
        <x:f>英雄升级调参!$E$94</x:f>
        <x:v>1554</x:v>
      </x:c>
      <x:c r="K141" s="12">
        <x:f>英雄升级调参!$F$94</x:f>
        <x:v>15540</x:v>
      </x:c>
      <x:c r="L141" s="6" t="n">
        <x:f>ROUNDUP(F141/J141,0)</x:f>
        <x:v>15</x:v>
      </x:c>
      <x:c r="M141" s="6" t="n">
        <x:f>IF(G141=0,"无伤害",ROUNDUP(K141/MAX(1,ROUND(G141*$AC$12,0)),0))</x:f>
        <x:v>8</x:v>
      </x:c>
      <x:c r="N141" s="6" t="n">
        <x:f>ROUNDUP(F141/英雄升级调参!$H$94,0)</x:f>
        <x:v>10</x:v>
      </x:c>
      <x:c r="O141" s="6">
        <x:f>ROUNDUP(F141/英雄升级调参!$K$94,0)</x:f>
        <x:v>6</x:v>
      </x:c>
      <x:c r="P141" s="6" t="str">
        <x:f>$AA$12</x:f>
        <x:v>精英：15次标准普攻击杀；7.5次主要攻击致死</x:v>
      </x:c>
      <x:c r="Q141" s="6"/>
      <x:c r="R141" s="6"/>
      <x:c r="S141" s="6"/>
      <x:c r="T141" s="6"/>
    </x:row>
    <x:row r="142" ht="21" customHeight="1">
      <x:c r="A142" s="14" t="str">
        <x:f>$V$12</x:f>
        <x:v>MODEL_ELITE</x:v>
      </x:c>
      <x:c r="B142" s="14" t="str">
        <x:f>$W$12</x:f>
        <x:v>模型·精英</x:v>
      </x:c>
      <x:c r="C142" s="6" t="str">
        <x:f>$X$12</x:f>
        <x:v>稻草人模型</x:v>
      </x:c>
      <x:c r="D142" s="6">
        <x:v>30</x:v>
      </x:c>
      <x:c r="E142" s="6">
        <x:v>12</x:v>
      </x:c>
      <x:c r="F142" s="12">
        <x:f>ROUND(J142*$W$4*H142,0)</x:f>
        <x:v>26145</x:v>
      </x:c>
      <x:c r="G142" s="12">
        <x:f>ROUND(J142*$W$4*$W$5*I142,0)</x:f>
        <x:v>2324</x:v>
      </x:c>
      <x:c r="H142" s="11" t="n">
        <x:f>$Y$12</x:f>
        <x:v>3.75</x:v>
      </x:c>
      <x:c r="I142" s="11" t="n">
        <x:f>$Z$12</x:f>
        <x:v>4.444444444444445</x:v>
      </x:c>
      <x:c r="J142" s="12">
        <x:f>英雄升级调参!$E$95</x:f>
        <x:v>1743</x:v>
      </x:c>
      <x:c r="K142" s="12">
        <x:f>英雄升级调参!$F$95</x:f>
        <x:v>17430</x:v>
      </x:c>
      <x:c r="L142" s="6" t="n">
        <x:f>ROUNDUP(F142/J142,0)</x:f>
        <x:v>15</x:v>
      </x:c>
      <x:c r="M142" s="6" t="n">
        <x:f>IF(G142=0,"无伤害",ROUNDUP(K142/MAX(1,ROUND(G142*$AC$12,0)),0))</x:f>
        <x:v>8</x:v>
      </x:c>
      <x:c r="N142" s="6" t="n">
        <x:f>ROUNDUP(F142/英雄升级调参!$H$95,0)</x:f>
        <x:v>10</x:v>
      </x:c>
      <x:c r="O142" s="6">
        <x:f>ROUNDUP(F142/英雄升级调参!$K$95,0)</x:f>
        <x:v>6</x:v>
      </x:c>
      <x:c r="P142" s="6" t="str">
        <x:f>$AA$12</x:f>
        <x:v>精英：15次标准普攻击杀；7.5次主要攻击致死</x:v>
      </x:c>
      <x:c r="Q142" s="6"/>
      <x:c r="R142" s="6"/>
      <x:c r="S142" s="6"/>
      <x:c r="T142" s="6"/>
    </x:row>
    <x:row r="143" ht="21" customHeight="1">
      <x:c r="A143" s="14" t="str">
        <x:f>$V$12</x:f>
        <x:v>MODEL_ELITE</x:v>
      </x:c>
      <x:c r="B143" s="14" t="str">
        <x:f>$W$12</x:f>
        <x:v>模型·精英</x:v>
      </x:c>
      <x:c r="C143" s="6" t="str">
        <x:f>$X$12</x:f>
        <x:v>稻草人模型</x:v>
      </x:c>
      <x:c r="D143" s="6">
        <x:v>31</x:v>
      </x:c>
      <x:c r="E143" s="6">
        <x:v>12</x:v>
      </x:c>
      <x:c r="F143" s="12">
        <x:f>ROUND(J143*$W$4*H143,0)</x:f>
        <x:v>27225</x:v>
      </x:c>
      <x:c r="G143" s="12">
        <x:f>ROUND(J143*$W$4*$W$5*I143,0)</x:f>
        <x:v>2420</x:v>
      </x:c>
      <x:c r="H143" s="11" t="n">
        <x:f>$Y$12</x:f>
        <x:v>3.75</x:v>
      </x:c>
      <x:c r="I143" s="11" t="n">
        <x:f>$Z$12</x:f>
        <x:v>4.444444444444445</x:v>
      </x:c>
      <x:c r="J143" s="12">
        <x:f>英雄升级调参!$E$96</x:f>
        <x:v>1815</x:v>
      </x:c>
      <x:c r="K143" s="12">
        <x:f>英雄升级调参!$F$96</x:f>
        <x:v>18150</x:v>
      </x:c>
      <x:c r="L143" s="6" t="n">
        <x:f>ROUNDUP(F143/J143,0)</x:f>
        <x:v>15</x:v>
      </x:c>
      <x:c r="M143" s="6" t="n">
        <x:f>IF(G143=0,"无伤害",ROUNDUP(K143/MAX(1,ROUND(G143*$AC$12,0)),0))</x:f>
        <x:v>8</x:v>
      </x:c>
      <x:c r="N143" s="6" t="n">
        <x:f>ROUNDUP(F143/英雄升级调参!$H$96,0)</x:f>
        <x:v>10</x:v>
      </x:c>
      <x:c r="O143" s="6">
        <x:f>ROUNDUP(F143/英雄升级调参!$K$96,0)</x:f>
        <x:v>6</x:v>
      </x:c>
      <x:c r="P143" s="6" t="str">
        <x:f>$AA$12</x:f>
        <x:v>精英：15次标准普攻击杀；7.5次主要攻击致死</x:v>
      </x:c>
      <x:c r="Q143" s="6"/>
      <x:c r="R143" s="6"/>
      <x:c r="S143" s="6"/>
      <x:c r="T143" s="6"/>
    </x:row>
    <x:row r="144" ht="21" customHeight="1">
      <x:c r="A144" s="14" t="str">
        <x:f>$V$12</x:f>
        <x:v>MODEL_ELITE</x:v>
      </x:c>
      <x:c r="B144" s="14" t="str">
        <x:f>$W$12</x:f>
        <x:v>模型·精英</x:v>
      </x:c>
      <x:c r="C144" s="6" t="str">
        <x:f>$X$12</x:f>
        <x:v>稻草人模型</x:v>
      </x:c>
      <x:c r="D144" s="6">
        <x:v>32</x:v>
      </x:c>
      <x:c r="E144" s="6">
        <x:v>12</x:v>
      </x:c>
      <x:c r="F144" s="12">
        <x:f>ROUND(J144*$W$4*H144,0)</x:f>
        <x:v>28305</x:v>
      </x:c>
      <x:c r="G144" s="12">
        <x:f>ROUND(J144*$W$4*$W$5*I144,0)</x:f>
        <x:v>2516</x:v>
      </x:c>
      <x:c r="H144" s="11" t="n">
        <x:f>$Y$12</x:f>
        <x:v>3.75</x:v>
      </x:c>
      <x:c r="I144" s="11" t="n">
        <x:f>$Z$12</x:f>
        <x:v>4.444444444444445</x:v>
      </x:c>
      <x:c r="J144" s="12">
        <x:f>英雄升级调参!$E$97</x:f>
        <x:v>1887</x:v>
      </x:c>
      <x:c r="K144" s="12">
        <x:f>英雄升级调参!$F$97</x:f>
        <x:v>18870</x:v>
      </x:c>
      <x:c r="L144" s="6" t="n">
        <x:f>ROUNDUP(F144/J144,0)</x:f>
        <x:v>15</x:v>
      </x:c>
      <x:c r="M144" s="6" t="n">
        <x:f>IF(G144=0,"无伤害",ROUNDUP(K144/MAX(1,ROUND(G144*$AC$12,0)),0))</x:f>
        <x:v>8</x:v>
      </x:c>
      <x:c r="N144" s="6" t="n">
        <x:f>ROUNDUP(F144/英雄升级调参!$H$97,0)</x:f>
        <x:v>10</x:v>
      </x:c>
      <x:c r="O144" s="6">
        <x:f>ROUNDUP(F144/英雄升级调参!$K$97,0)</x:f>
        <x:v>6</x:v>
      </x:c>
      <x:c r="P144" s="6" t="str">
        <x:f>$AA$12</x:f>
        <x:v>精英：15次标准普攻击杀；7.5次主要攻击致死</x:v>
      </x:c>
      <x:c r="Q144" s="6"/>
      <x:c r="R144" s="6"/>
      <x:c r="S144" s="6"/>
      <x:c r="T144" s="6"/>
    </x:row>
    <x:row r="145" ht="21" customHeight="1">
      <x:c r="A145" s="14" t="str">
        <x:f>$V$12</x:f>
        <x:v>MODEL_ELITE</x:v>
      </x:c>
      <x:c r="B145" s="14" t="str">
        <x:f>$W$12</x:f>
        <x:v>模型·精英</x:v>
      </x:c>
      <x:c r="C145" s="6" t="str">
        <x:f>$X$12</x:f>
        <x:v>稻草人模型</x:v>
      </x:c>
      <x:c r="D145" s="6">
        <x:v>33</x:v>
      </x:c>
      <x:c r="E145" s="6">
        <x:v>12</x:v>
      </x:c>
      <x:c r="F145" s="12">
        <x:f>ROUND(J145*$W$4*H145,0)</x:f>
        <x:v>29385</x:v>
      </x:c>
      <x:c r="G145" s="12">
        <x:f>ROUND(J145*$W$4*$W$5*I145,0)</x:f>
        <x:v>2612</x:v>
      </x:c>
      <x:c r="H145" s="11" t="n">
        <x:f>$Y$12</x:f>
        <x:v>3.75</x:v>
      </x:c>
      <x:c r="I145" s="11" t="n">
        <x:f>$Z$12</x:f>
        <x:v>4.444444444444445</x:v>
      </x:c>
      <x:c r="J145" s="12">
        <x:f>英雄升级调参!$E$98</x:f>
        <x:v>1959</x:v>
      </x:c>
      <x:c r="K145" s="12">
        <x:f>英雄升级调参!$F$98</x:f>
        <x:v>19590</x:v>
      </x:c>
      <x:c r="L145" s="6" t="n">
        <x:f>ROUNDUP(F145/J145,0)</x:f>
        <x:v>15</x:v>
      </x:c>
      <x:c r="M145" s="6" t="n">
        <x:f>IF(G145=0,"无伤害",ROUNDUP(K145/MAX(1,ROUND(G145*$AC$12,0)),0))</x:f>
        <x:v>8</x:v>
      </x:c>
      <x:c r="N145" s="6" t="n">
        <x:f>ROUNDUP(F145/英雄升级调参!$H$98,0)</x:f>
        <x:v>10</x:v>
      </x:c>
      <x:c r="O145" s="6">
        <x:f>ROUNDUP(F145/英雄升级调参!$K$98,0)</x:f>
        <x:v>6</x:v>
      </x:c>
      <x:c r="P145" s="6" t="str">
        <x:f>$AA$12</x:f>
        <x:v>精英：15次标准普攻击杀；7.5次主要攻击致死</x:v>
      </x:c>
      <x:c r="Q145" s="6"/>
      <x:c r="R145" s="6"/>
      <x:c r="S145" s="6"/>
      <x:c r="T145" s="6"/>
    </x:row>
    <x:row r="146" ht="21" customHeight="1">
      <x:c r="A146" s="14" t="str">
        <x:f>$V$12</x:f>
        <x:v>MODEL_ELITE</x:v>
      </x:c>
      <x:c r="B146" s="14" t="str">
        <x:f>$W$12</x:f>
        <x:v>模型·精英</x:v>
      </x:c>
      <x:c r="C146" s="6" t="str">
        <x:f>$X$12</x:f>
        <x:v>稻草人模型</x:v>
      </x:c>
      <x:c r="D146" s="6">
        <x:v>34</x:v>
      </x:c>
      <x:c r="E146" s="6">
        <x:v>12</x:v>
      </x:c>
      <x:c r="F146" s="12">
        <x:f>ROUND(J146*$W$4*H146,0)</x:f>
        <x:v>30465</x:v>
      </x:c>
      <x:c r="G146" s="12">
        <x:f>ROUND(J146*$W$4*$W$5*I146,0)</x:f>
        <x:v>2708</x:v>
      </x:c>
      <x:c r="H146" s="11" t="n">
        <x:f>$Y$12</x:f>
        <x:v>3.75</x:v>
      </x:c>
      <x:c r="I146" s="11" t="n">
        <x:f>$Z$12</x:f>
        <x:v>4.444444444444445</x:v>
      </x:c>
      <x:c r="J146" s="12">
        <x:f>英雄升级调参!$E$99</x:f>
        <x:v>2031</x:v>
      </x:c>
      <x:c r="K146" s="12">
        <x:f>英雄升级调参!$F$99</x:f>
        <x:v>20310</x:v>
      </x:c>
      <x:c r="L146" s="6" t="n">
        <x:f>ROUNDUP(F146/J146,0)</x:f>
        <x:v>15</x:v>
      </x:c>
      <x:c r="M146" s="6" t="n">
        <x:f>IF(G146=0,"无伤害",ROUNDUP(K146/MAX(1,ROUND(G146*$AC$12,0)),0))</x:f>
        <x:v>8</x:v>
      </x:c>
      <x:c r="N146" s="6" t="n">
        <x:f>ROUNDUP(F146/英雄升级调参!$H$99,0)</x:f>
        <x:v>10</x:v>
      </x:c>
      <x:c r="O146" s="6">
        <x:f>ROUNDUP(F146/英雄升级调参!$K$99,0)</x:f>
        <x:v>6</x:v>
      </x:c>
      <x:c r="P146" s="6" t="str">
        <x:f>$AA$12</x:f>
        <x:v>精英：15次标准普攻击杀；7.5次主要攻击致死</x:v>
      </x:c>
      <x:c r="Q146" s="6"/>
      <x:c r="R146" s="6"/>
      <x:c r="S146" s="6"/>
      <x:c r="T146" s="6"/>
    </x:row>
    <x:row r="147" ht="21" customHeight="1">
      <x:c r="A147" s="14" t="str">
        <x:f>$V$12</x:f>
        <x:v>MODEL_ELITE</x:v>
      </x:c>
      <x:c r="B147" s="14" t="str">
        <x:f>$W$12</x:f>
        <x:v>模型·精英</x:v>
      </x:c>
      <x:c r="C147" s="6" t="str">
        <x:f>$X$12</x:f>
        <x:v>稻草人模型</x:v>
      </x:c>
      <x:c r="D147" s="6">
        <x:v>35</x:v>
      </x:c>
      <x:c r="E147" s="6">
        <x:v>12</x:v>
      </x:c>
      <x:c r="F147" s="12">
        <x:f>ROUND(J147*$W$4*H147,0)</x:f>
        <x:v>33705</x:v>
      </x:c>
      <x:c r="G147" s="12">
        <x:f>ROUND(J147*$W$4*$W$5*I147,0)</x:f>
        <x:v>2996</x:v>
      </x:c>
      <x:c r="H147" s="11" t="n">
        <x:f>$Y$12</x:f>
        <x:v>3.75</x:v>
      </x:c>
      <x:c r="I147" s="11" t="n">
        <x:f>$Z$12</x:f>
        <x:v>4.444444444444445</x:v>
      </x:c>
      <x:c r="J147" s="12">
        <x:f>英雄升级调参!$E$100</x:f>
        <x:v>2247</x:v>
      </x:c>
      <x:c r="K147" s="12">
        <x:f>英雄升级调参!$F$100</x:f>
        <x:v>22470</x:v>
      </x:c>
      <x:c r="L147" s="6" t="n">
        <x:f>ROUNDUP(F147/J147,0)</x:f>
        <x:v>15</x:v>
      </x:c>
      <x:c r="M147" s="6" t="n">
        <x:f>IF(G147=0,"无伤害",ROUNDUP(K147/MAX(1,ROUND(G147*$AC$12,0)),0))</x:f>
        <x:v>8</x:v>
      </x:c>
      <x:c r="N147" s="6" t="n">
        <x:f>ROUNDUP(F147/英雄升级调参!$H$100,0)</x:f>
        <x:v>10</x:v>
      </x:c>
      <x:c r="O147" s="6">
        <x:f>ROUNDUP(F147/英雄升级调参!$K$100,0)</x:f>
        <x:v>6</x:v>
      </x:c>
      <x:c r="P147" s="6" t="str">
        <x:f>$AA$12</x:f>
        <x:v>精英：15次标准普攻击杀；7.5次主要攻击致死</x:v>
      </x:c>
      <x:c r="Q147" s="6"/>
      <x:c r="R147" s="6"/>
      <x:c r="S147" s="6"/>
      <x:c r="T147" s="6"/>
    </x:row>
    <x:row r="148" ht="21" customHeight="1">
      <x:c r="A148" s="14" t="str">
        <x:f>$V$12</x:f>
        <x:v>MODEL_ELITE</x:v>
      </x:c>
      <x:c r="B148" s="14" t="str">
        <x:f>$W$12</x:f>
        <x:v>模型·精英</x:v>
      </x:c>
      <x:c r="C148" s="6" t="str">
        <x:f>$X$12</x:f>
        <x:v>稻草人模型</x:v>
      </x:c>
      <x:c r="D148" s="6">
        <x:v>36</x:v>
      </x:c>
      <x:c r="E148" s="6">
        <x:v>12</x:v>
      </x:c>
      <x:c r="F148" s="12">
        <x:f>ROUND(J148*$W$4*H148,0)</x:f>
        <x:v>34920</x:v>
      </x:c>
      <x:c r="G148" s="12">
        <x:f>ROUND(J148*$W$4*$W$5*I148,0)</x:f>
        <x:v>3104</x:v>
      </x:c>
      <x:c r="H148" s="11" t="n">
        <x:f>$Y$12</x:f>
        <x:v>3.75</x:v>
      </x:c>
      <x:c r="I148" s="11" t="n">
        <x:f>$Z$12</x:f>
        <x:v>4.444444444444445</x:v>
      </x:c>
      <x:c r="J148" s="12">
        <x:f>英雄升级调参!$E$101</x:f>
        <x:v>2328</x:v>
      </x:c>
      <x:c r="K148" s="12">
        <x:f>英雄升级调参!$F$101</x:f>
        <x:v>23280</x:v>
      </x:c>
      <x:c r="L148" s="6" t="n">
        <x:f>ROUNDUP(F148/J148,0)</x:f>
        <x:v>15</x:v>
      </x:c>
      <x:c r="M148" s="6" t="n">
        <x:f>IF(G148=0,"无伤害",ROUNDUP(K148/MAX(1,ROUND(G148*$AC$12,0)),0))</x:f>
        <x:v>8</x:v>
      </x:c>
      <x:c r="N148" s="6" t="n">
        <x:f>ROUNDUP(F148/英雄升级调参!$H$101,0)</x:f>
        <x:v>10</x:v>
      </x:c>
      <x:c r="O148" s="6">
        <x:f>ROUNDUP(F148/英雄升级调参!$K$101,0)</x:f>
        <x:v>6</x:v>
      </x:c>
      <x:c r="P148" s="6" t="str">
        <x:f>$AA$12</x:f>
        <x:v>精英：15次标准普攻击杀；7.5次主要攻击致死</x:v>
      </x:c>
      <x:c r="Q148" s="6"/>
      <x:c r="R148" s="6"/>
      <x:c r="S148" s="6"/>
      <x:c r="T148" s="6"/>
    </x:row>
    <x:row r="149" ht="21" customHeight="1">
      <x:c r="A149" s="14" t="str">
        <x:f>$V$12</x:f>
        <x:v>MODEL_ELITE</x:v>
      </x:c>
      <x:c r="B149" s="14" t="str">
        <x:f>$W$12</x:f>
        <x:v>模型·精英</x:v>
      </x:c>
      <x:c r="C149" s="6" t="str">
        <x:f>$X$12</x:f>
        <x:v>稻草人模型</x:v>
      </x:c>
      <x:c r="D149" s="6">
        <x:v>37</x:v>
      </x:c>
      <x:c r="E149" s="6">
        <x:v>12</x:v>
      </x:c>
      <x:c r="F149" s="12">
        <x:f>ROUND(J149*$W$4*H149,0)</x:f>
        <x:v>36135</x:v>
      </x:c>
      <x:c r="G149" s="12">
        <x:f>ROUND(J149*$W$4*$W$5*I149,0)</x:f>
        <x:v>3212</x:v>
      </x:c>
      <x:c r="H149" s="11" t="n">
        <x:f>$Y$12</x:f>
        <x:v>3.75</x:v>
      </x:c>
      <x:c r="I149" s="11" t="n">
        <x:f>$Z$12</x:f>
        <x:v>4.444444444444445</x:v>
      </x:c>
      <x:c r="J149" s="12">
        <x:f>英雄升级调参!$E$102</x:f>
        <x:v>2409</x:v>
      </x:c>
      <x:c r="K149" s="12">
        <x:f>英雄升级调参!$F$102</x:f>
        <x:v>24090</x:v>
      </x:c>
      <x:c r="L149" s="6" t="n">
        <x:f>ROUNDUP(F149/J149,0)</x:f>
        <x:v>15</x:v>
      </x:c>
      <x:c r="M149" s="6" t="n">
        <x:f>IF(G149=0,"无伤害",ROUNDUP(K149/MAX(1,ROUND(G149*$AC$12,0)),0))</x:f>
        <x:v>8</x:v>
      </x:c>
      <x:c r="N149" s="6" t="n">
        <x:f>ROUNDUP(F149/英雄升级调参!$H$102,0)</x:f>
        <x:v>10</x:v>
      </x:c>
      <x:c r="O149" s="6">
        <x:f>ROUNDUP(F149/英雄升级调参!$K$102,0)</x:f>
        <x:v>6</x:v>
      </x:c>
      <x:c r="P149" s="6" t="str">
        <x:f>$AA$12</x:f>
        <x:v>精英：15次标准普攻击杀；7.5次主要攻击致死</x:v>
      </x:c>
      <x:c r="Q149" s="6"/>
      <x:c r="R149" s="6"/>
      <x:c r="S149" s="6"/>
      <x:c r="T149" s="6"/>
    </x:row>
    <x:row r="150" ht="21" customHeight="1">
      <x:c r="A150" s="14" t="str">
        <x:f>$V$12</x:f>
        <x:v>MODEL_ELITE</x:v>
      </x:c>
      <x:c r="B150" s="14" t="str">
        <x:f>$W$12</x:f>
        <x:v>模型·精英</x:v>
      </x:c>
      <x:c r="C150" s="6" t="str">
        <x:f>$X$12</x:f>
        <x:v>稻草人模型</x:v>
      </x:c>
      <x:c r="D150" s="6">
        <x:v>38</x:v>
      </x:c>
      <x:c r="E150" s="6">
        <x:v>12</x:v>
      </x:c>
      <x:c r="F150" s="12">
        <x:f>ROUND(J150*$W$4*H150,0)</x:f>
        <x:v>37350</x:v>
      </x:c>
      <x:c r="G150" s="12">
        <x:f>ROUND(J150*$W$4*$W$5*I150,0)</x:f>
        <x:v>3320</x:v>
      </x:c>
      <x:c r="H150" s="11" t="n">
        <x:f>$Y$12</x:f>
        <x:v>3.75</x:v>
      </x:c>
      <x:c r="I150" s="11" t="n">
        <x:f>$Z$12</x:f>
        <x:v>4.444444444444445</x:v>
      </x:c>
      <x:c r="J150" s="12">
        <x:f>英雄升级调参!$E$103</x:f>
        <x:v>2490</x:v>
      </x:c>
      <x:c r="K150" s="12">
        <x:f>英雄升级调参!$F$103</x:f>
        <x:v>24900</x:v>
      </x:c>
      <x:c r="L150" s="6" t="n">
        <x:f>ROUNDUP(F150/J150,0)</x:f>
        <x:v>15</x:v>
      </x:c>
      <x:c r="M150" s="6" t="n">
        <x:f>IF(G150=0,"无伤害",ROUNDUP(K150/MAX(1,ROUND(G150*$AC$12,0)),0))</x:f>
        <x:v>8</x:v>
      </x:c>
      <x:c r="N150" s="6" t="n">
        <x:f>ROUNDUP(F150/英雄升级调参!$H$103,0)</x:f>
        <x:v>10</x:v>
      </x:c>
      <x:c r="O150" s="6">
        <x:f>ROUNDUP(F150/英雄升级调参!$K$103,0)</x:f>
        <x:v>6</x:v>
      </x:c>
      <x:c r="P150" s="6" t="str">
        <x:f>$AA$12</x:f>
        <x:v>精英：15次标准普攻击杀；7.5次主要攻击致死</x:v>
      </x:c>
      <x:c r="Q150" s="6"/>
      <x:c r="R150" s="6"/>
      <x:c r="S150" s="6"/>
      <x:c r="T150" s="6"/>
    </x:row>
    <x:row r="151" ht="21" customHeight="1">
      <x:c r="A151" s="14" t="str">
        <x:f>$V$12</x:f>
        <x:v>MODEL_ELITE</x:v>
      </x:c>
      <x:c r="B151" s="14" t="str">
        <x:f>$W$12</x:f>
        <x:v>模型·精英</x:v>
      </x:c>
      <x:c r="C151" s="6" t="str">
        <x:f>$X$12</x:f>
        <x:v>稻草人模型</x:v>
      </x:c>
      <x:c r="D151" s="6">
        <x:v>39</x:v>
      </x:c>
      <x:c r="E151" s="6">
        <x:v>12</x:v>
      </x:c>
      <x:c r="F151" s="12">
        <x:f>ROUND(J151*$W$4*H151,0)</x:f>
        <x:v>38565</x:v>
      </x:c>
      <x:c r="G151" s="12">
        <x:f>ROUND(J151*$W$4*$W$5*I151,0)</x:f>
        <x:v>3428</x:v>
      </x:c>
      <x:c r="H151" s="11" t="n">
        <x:f>$Y$12</x:f>
        <x:v>3.75</x:v>
      </x:c>
      <x:c r="I151" s="11" t="n">
        <x:f>$Z$12</x:f>
        <x:v>4.444444444444445</x:v>
      </x:c>
      <x:c r="J151" s="12">
        <x:f>英雄升级调参!$E$104</x:f>
        <x:v>2571</x:v>
      </x:c>
      <x:c r="K151" s="12">
        <x:f>英雄升级调参!$F$104</x:f>
        <x:v>25710</x:v>
      </x:c>
      <x:c r="L151" s="6" t="n">
        <x:f>ROUNDUP(F151/J151,0)</x:f>
        <x:v>15</x:v>
      </x:c>
      <x:c r="M151" s="6" t="n">
        <x:f>IF(G151=0,"无伤害",ROUNDUP(K151/MAX(1,ROUND(G151*$AC$12,0)),0))</x:f>
        <x:v>8</x:v>
      </x:c>
      <x:c r="N151" s="6" t="n">
        <x:f>ROUNDUP(F151/英雄升级调参!$H$104,0)</x:f>
        <x:v>10</x:v>
      </x:c>
      <x:c r="O151" s="6">
        <x:f>ROUNDUP(F151/英雄升级调参!$K$104,0)</x:f>
        <x:v>6</x:v>
      </x:c>
      <x:c r="P151" s="6" t="str">
        <x:f>$AA$12</x:f>
        <x:v>精英：15次标准普攻击杀；7.5次主要攻击致死</x:v>
      </x:c>
      <x:c r="Q151" s="6"/>
      <x:c r="R151" s="6"/>
      <x:c r="S151" s="6"/>
      <x:c r="T151" s="6"/>
    </x:row>
    <x:row r="152" ht="21" customHeight="1">
      <x:c r="A152" s="14" t="str">
        <x:f>$V$12</x:f>
        <x:v>MODEL_ELITE</x:v>
      </x:c>
      <x:c r="B152" s="14" t="str">
        <x:f>$W$12</x:f>
        <x:v>模型·精英</x:v>
      </x:c>
      <x:c r="C152" s="6" t="str">
        <x:f>$X$12</x:f>
        <x:v>稻草人模型</x:v>
      </x:c>
      <x:c r="D152" s="6">
        <x:v>40</x:v>
      </x:c>
      <x:c r="E152" s="6">
        <x:v>12</x:v>
      </x:c>
      <x:c r="F152" s="12">
        <x:f>ROUND(J152*$W$4*H152,0)</x:f>
        <x:v>42210</x:v>
      </x:c>
      <x:c r="G152" s="12">
        <x:f>ROUND(J152*$W$4*$W$5*I152,0)</x:f>
        <x:v>3752</x:v>
      </x:c>
      <x:c r="H152" s="11" t="n">
        <x:f>$Y$12</x:f>
        <x:v>3.75</x:v>
      </x:c>
      <x:c r="I152" s="11" t="n">
        <x:f>$Z$12</x:f>
        <x:v>4.444444444444445</x:v>
      </x:c>
      <x:c r="J152" s="12">
        <x:f>英雄升级调参!$E$105</x:f>
        <x:v>2814</x:v>
      </x:c>
      <x:c r="K152" s="12">
        <x:f>英雄升级调参!$F$105</x:f>
        <x:v>28140</x:v>
      </x:c>
      <x:c r="L152" s="6" t="n">
        <x:f>ROUNDUP(F152/J152,0)</x:f>
        <x:v>15</x:v>
      </x:c>
      <x:c r="M152" s="6" t="n">
        <x:f>IF(G152=0,"无伤害",ROUNDUP(K152/MAX(1,ROUND(G152*$AC$12,0)),0))</x:f>
        <x:v>8</x:v>
      </x:c>
      <x:c r="N152" s="6" t="n">
        <x:f>ROUNDUP(F152/英雄升级调参!$H$105,0)</x:f>
        <x:v>10</x:v>
      </x:c>
      <x:c r="O152" s="6">
        <x:f>ROUNDUP(F152/英雄升级调参!$K$105,0)</x:f>
        <x:v>6</x:v>
      </x:c>
      <x:c r="P152" s="6" t="str">
        <x:f>$AA$12</x:f>
        <x:v>精英：15次标准普攻击杀；7.5次主要攻击致死</x:v>
      </x:c>
      <x:c r="Q152" s="6"/>
      <x:c r="R152" s="6"/>
      <x:c r="S152" s="6"/>
      <x:c r="T152" s="6"/>
    </x:row>
    <x:row r="153" ht="21" customHeight="1">
      <x:c r="A153" s="14" t="str">
        <x:f>$V$12</x:f>
        <x:v>MODEL_ELITE</x:v>
      </x:c>
      <x:c r="B153" s="14" t="str">
        <x:f>$W$12</x:f>
        <x:v>模型·精英</x:v>
      </x:c>
      <x:c r="C153" s="6" t="str">
        <x:f>$X$12</x:f>
        <x:v>稻草人模型</x:v>
      </x:c>
      <x:c r="D153" s="6">
        <x:v>41</x:v>
      </x:c>
      <x:c r="E153" s="6">
        <x:v>12</x:v>
      </x:c>
      <x:c r="F153" s="12">
        <x:f>ROUND(J153*$W$4*H153,0)</x:f>
        <x:v>43560</x:v>
      </x:c>
      <x:c r="G153" s="12">
        <x:f>ROUND(J153*$W$4*$W$5*I153,0)</x:f>
        <x:v>3872</x:v>
      </x:c>
      <x:c r="H153" s="11" t="n">
        <x:f>$Y$12</x:f>
        <x:v>3.75</x:v>
      </x:c>
      <x:c r="I153" s="11" t="n">
        <x:f>$Z$12</x:f>
        <x:v>4.444444444444445</x:v>
      </x:c>
      <x:c r="J153" s="12">
        <x:f>英雄升级调参!$E$106</x:f>
        <x:v>2904</x:v>
      </x:c>
      <x:c r="K153" s="12">
        <x:f>英雄升级调参!$F$106</x:f>
        <x:v>29040</x:v>
      </x:c>
      <x:c r="L153" s="6" t="n">
        <x:f>ROUNDUP(F153/J153,0)</x:f>
        <x:v>15</x:v>
      </x:c>
      <x:c r="M153" s="6" t="n">
        <x:f>IF(G153=0,"无伤害",ROUNDUP(K153/MAX(1,ROUND(G153*$AC$12,0)),0))</x:f>
        <x:v>8</x:v>
      </x:c>
      <x:c r="N153" s="6" t="n">
        <x:f>ROUNDUP(F153/英雄升级调参!$H$106,0)</x:f>
        <x:v>10</x:v>
      </x:c>
      <x:c r="O153" s="6">
        <x:f>ROUNDUP(F153/英雄升级调参!$K$106,0)</x:f>
        <x:v>6</x:v>
      </x:c>
      <x:c r="P153" s="6" t="str">
        <x:f>$AA$12</x:f>
        <x:v>精英：15次标准普攻击杀；7.5次主要攻击致死</x:v>
      </x:c>
      <x:c r="Q153" s="6"/>
      <x:c r="R153" s="6"/>
      <x:c r="S153" s="6"/>
      <x:c r="T153" s="6"/>
    </x:row>
    <x:row r="154" ht="21" customHeight="1">
      <x:c r="A154" s="14" t="str">
        <x:f>$V$12</x:f>
        <x:v>MODEL_ELITE</x:v>
      </x:c>
      <x:c r="B154" s="14" t="str">
        <x:f>$W$12</x:f>
        <x:v>模型·精英</x:v>
      </x:c>
      <x:c r="C154" s="6" t="str">
        <x:f>$X$12</x:f>
        <x:v>稻草人模型</x:v>
      </x:c>
      <x:c r="D154" s="6">
        <x:v>42</x:v>
      </x:c>
      <x:c r="E154" s="6">
        <x:v>12</x:v>
      </x:c>
      <x:c r="F154" s="12">
        <x:f>ROUND(J154*$W$4*H154,0)</x:f>
        <x:v>44910</x:v>
      </x:c>
      <x:c r="G154" s="12">
        <x:f>ROUND(J154*$W$4*$W$5*I154,0)</x:f>
        <x:v>3992</x:v>
      </x:c>
      <x:c r="H154" s="11" t="n">
        <x:f>$Y$12</x:f>
        <x:v>3.75</x:v>
      </x:c>
      <x:c r="I154" s="11" t="n">
        <x:f>$Z$12</x:f>
        <x:v>4.444444444444445</x:v>
      </x:c>
      <x:c r="J154" s="12">
        <x:f>英雄升级调参!$E$107</x:f>
        <x:v>2994</x:v>
      </x:c>
      <x:c r="K154" s="12">
        <x:f>英雄升级调参!$F$107</x:f>
        <x:v>29940</x:v>
      </x:c>
      <x:c r="L154" s="6" t="n">
        <x:f>ROUNDUP(F154/J154,0)</x:f>
        <x:v>15</x:v>
      </x:c>
      <x:c r="M154" s="6" t="n">
        <x:f>IF(G154=0,"无伤害",ROUNDUP(K154/MAX(1,ROUND(G154*$AC$12,0)),0))</x:f>
        <x:v>8</x:v>
      </x:c>
      <x:c r="N154" s="6" t="n">
        <x:f>ROUNDUP(F154/英雄升级调参!$H$107,0)</x:f>
        <x:v>10</x:v>
      </x:c>
      <x:c r="O154" s="6">
        <x:f>ROUNDUP(F154/英雄升级调参!$K$107,0)</x:f>
        <x:v>6</x:v>
      </x:c>
      <x:c r="P154" s="6" t="str">
        <x:f>$AA$12</x:f>
        <x:v>精英：15次标准普攻击杀；7.5次主要攻击致死</x:v>
      </x:c>
      <x:c r="Q154" s="6"/>
      <x:c r="R154" s="6"/>
      <x:c r="S154" s="6"/>
      <x:c r="T154" s="6"/>
    </x:row>
    <x:row r="155" ht="21" customHeight="1">
      <x:c r="A155" s="14" t="str">
        <x:f>$V$12</x:f>
        <x:v>MODEL_ELITE</x:v>
      </x:c>
      <x:c r="B155" s="14" t="str">
        <x:f>$W$12</x:f>
        <x:v>模型·精英</x:v>
      </x:c>
      <x:c r="C155" s="6" t="str">
        <x:f>$X$12</x:f>
        <x:v>稻草人模型</x:v>
      </x:c>
      <x:c r="D155" s="6">
        <x:v>43</x:v>
      </x:c>
      <x:c r="E155" s="6">
        <x:v>12</x:v>
      </x:c>
      <x:c r="F155" s="12">
        <x:f>ROUND(J155*$W$4*H155,0)</x:f>
        <x:v>46260</x:v>
      </x:c>
      <x:c r="G155" s="12">
        <x:f>ROUND(J155*$W$4*$W$5*I155,0)</x:f>
        <x:v>4112</x:v>
      </x:c>
      <x:c r="H155" s="11" t="n">
        <x:f>$Y$12</x:f>
        <x:v>3.75</x:v>
      </x:c>
      <x:c r="I155" s="11" t="n">
        <x:f>$Z$12</x:f>
        <x:v>4.444444444444445</x:v>
      </x:c>
      <x:c r="J155" s="12">
        <x:f>英雄升级调参!$E$108</x:f>
        <x:v>3084</x:v>
      </x:c>
      <x:c r="K155" s="12">
        <x:f>英雄升级调参!$F$108</x:f>
        <x:v>30840</x:v>
      </x:c>
      <x:c r="L155" s="6" t="n">
        <x:f>ROUNDUP(F155/J155,0)</x:f>
        <x:v>15</x:v>
      </x:c>
      <x:c r="M155" s="6" t="n">
        <x:f>IF(G155=0,"无伤害",ROUNDUP(K155/MAX(1,ROUND(G155*$AC$12,0)),0))</x:f>
        <x:v>8</x:v>
      </x:c>
      <x:c r="N155" s="6" t="n">
        <x:f>ROUNDUP(F155/英雄升级调参!$H$108,0)</x:f>
        <x:v>10</x:v>
      </x:c>
      <x:c r="O155" s="6">
        <x:f>ROUNDUP(F155/英雄升级调参!$K$108,0)</x:f>
        <x:v>6</x:v>
      </x:c>
      <x:c r="P155" s="6" t="str">
        <x:f>$AA$12</x:f>
        <x:v>精英：15次标准普攻击杀；7.5次主要攻击致死</x:v>
      </x:c>
      <x:c r="Q155" s="6"/>
      <x:c r="R155" s="6"/>
      <x:c r="S155" s="6"/>
      <x:c r="T155" s="6"/>
    </x:row>
    <x:row r="156" ht="21" customHeight="1">
      <x:c r="A156" s="14" t="str">
        <x:f>$V$12</x:f>
        <x:v>MODEL_ELITE</x:v>
      </x:c>
      <x:c r="B156" s="14" t="str">
        <x:f>$W$12</x:f>
        <x:v>模型·精英</x:v>
      </x:c>
      <x:c r="C156" s="6" t="str">
        <x:f>$X$12</x:f>
        <x:v>稻草人模型</x:v>
      </x:c>
      <x:c r="D156" s="6">
        <x:v>44</x:v>
      </x:c>
      <x:c r="E156" s="6">
        <x:v>12</x:v>
      </x:c>
      <x:c r="F156" s="12">
        <x:f>ROUND(J156*$W$4*H156,0)</x:f>
        <x:v>47610</x:v>
      </x:c>
      <x:c r="G156" s="12">
        <x:f>ROUND(J156*$W$4*$W$5*I156,0)</x:f>
        <x:v>4232</x:v>
      </x:c>
      <x:c r="H156" s="11" t="n">
        <x:f>$Y$12</x:f>
        <x:v>3.75</x:v>
      </x:c>
      <x:c r="I156" s="11" t="n">
        <x:f>$Z$12</x:f>
        <x:v>4.444444444444445</x:v>
      </x:c>
      <x:c r="J156" s="12">
        <x:f>英雄升级调参!$E$109</x:f>
        <x:v>3174</x:v>
      </x:c>
      <x:c r="K156" s="12">
        <x:f>英雄升级调参!$F$109</x:f>
        <x:v>31740</x:v>
      </x:c>
      <x:c r="L156" s="6" t="n">
        <x:f>ROUNDUP(F156/J156,0)</x:f>
        <x:v>15</x:v>
      </x:c>
      <x:c r="M156" s="6" t="n">
        <x:f>IF(G156=0,"无伤害",ROUNDUP(K156/MAX(1,ROUND(G156*$AC$12,0)),0))</x:f>
        <x:v>8</x:v>
      </x:c>
      <x:c r="N156" s="6" t="n">
        <x:f>ROUNDUP(F156/英雄升级调参!$H$109,0)</x:f>
        <x:v>10</x:v>
      </x:c>
      <x:c r="O156" s="6">
        <x:f>ROUNDUP(F156/英雄升级调参!$K$109,0)</x:f>
        <x:v>6</x:v>
      </x:c>
      <x:c r="P156" s="6" t="str">
        <x:f>$AA$12</x:f>
        <x:v>精英：15次标准普攻击杀；7.5次主要攻击致死</x:v>
      </x:c>
      <x:c r="Q156" s="6"/>
      <x:c r="R156" s="6"/>
      <x:c r="S156" s="6"/>
      <x:c r="T156" s="6"/>
    </x:row>
    <x:row r="157" ht="21" customHeight="1">
      <x:c r="A157" s="14" t="str">
        <x:f>$V$12</x:f>
        <x:v>MODEL_ELITE</x:v>
      </x:c>
      <x:c r="B157" s="14" t="str">
        <x:f>$W$12</x:f>
        <x:v>模型·精英</x:v>
      </x:c>
      <x:c r="C157" s="6" t="str">
        <x:f>$X$12</x:f>
        <x:v>稻草人模型</x:v>
      </x:c>
      <x:c r="D157" s="6">
        <x:v>45</x:v>
      </x:c>
      <x:c r="E157" s="6">
        <x:v>12</x:v>
      </x:c>
      <x:c r="F157" s="12">
        <x:f>ROUND(J157*$W$4*H157,0)</x:f>
        <x:v>51660</x:v>
      </x:c>
      <x:c r="G157" s="12">
        <x:f>ROUND(J157*$W$4*$W$5*I157,0)</x:f>
        <x:v>4592</x:v>
      </x:c>
      <x:c r="H157" s="11" t="n">
        <x:f>$Y$12</x:f>
        <x:v>3.75</x:v>
      </x:c>
      <x:c r="I157" s="11" t="n">
        <x:f>$Z$12</x:f>
        <x:v>4.444444444444445</x:v>
      </x:c>
      <x:c r="J157" s="12">
        <x:f>英雄升级调参!$E$110</x:f>
        <x:v>3444</x:v>
      </x:c>
      <x:c r="K157" s="12">
        <x:f>英雄升级调参!$F$110</x:f>
        <x:v>34440</x:v>
      </x:c>
      <x:c r="L157" s="6" t="n">
        <x:f>ROUNDUP(F157/J157,0)</x:f>
        <x:v>15</x:v>
      </x:c>
      <x:c r="M157" s="6" t="n">
        <x:f>IF(G157=0,"无伤害",ROUNDUP(K157/MAX(1,ROUND(G157*$AC$12,0)),0))</x:f>
        <x:v>8</x:v>
      </x:c>
      <x:c r="N157" s="6" t="n">
        <x:f>ROUNDUP(F157/英雄升级调参!$H$110,0)</x:f>
        <x:v>10</x:v>
      </x:c>
      <x:c r="O157" s="6">
        <x:f>ROUNDUP(F157/英雄升级调参!$K$110,0)</x:f>
        <x:v>6</x:v>
      </x:c>
      <x:c r="P157" s="6" t="str">
        <x:f>$AA$12</x:f>
        <x:v>精英：15次标准普攻击杀；7.5次主要攻击致死</x:v>
      </x:c>
      <x:c r="Q157" s="6"/>
      <x:c r="R157" s="6"/>
      <x:c r="S157" s="6"/>
      <x:c r="T157" s="6"/>
    </x:row>
    <x:row r="158" ht="21" customHeight="1">
      <x:c r="A158" s="14" t="str">
        <x:f>$V$12</x:f>
        <x:v>MODEL_ELITE</x:v>
      </x:c>
      <x:c r="B158" s="14" t="str">
        <x:f>$W$12</x:f>
        <x:v>模型·精英</x:v>
      </x:c>
      <x:c r="C158" s="6" t="str">
        <x:f>$X$12</x:f>
        <x:v>稻草人模型</x:v>
      </x:c>
      <x:c r="D158" s="6">
        <x:v>46</x:v>
      </x:c>
      <x:c r="E158" s="6">
        <x:v>12</x:v>
      </x:c>
      <x:c r="F158" s="12">
        <x:f>ROUND(J158*$W$4*H158,0)</x:f>
        <x:v>53145</x:v>
      </x:c>
      <x:c r="G158" s="12">
        <x:f>ROUND(J158*$W$4*$W$5*I158,0)</x:f>
        <x:v>4724</x:v>
      </x:c>
      <x:c r="H158" s="11" t="n">
        <x:f>$Y$12</x:f>
        <x:v>3.75</x:v>
      </x:c>
      <x:c r="I158" s="11" t="n">
        <x:f>$Z$12</x:f>
        <x:v>4.444444444444445</x:v>
      </x:c>
      <x:c r="J158" s="12">
        <x:f>英雄升级调参!$E$111</x:f>
        <x:v>3543</x:v>
      </x:c>
      <x:c r="K158" s="12">
        <x:f>英雄升级调参!$F$111</x:f>
        <x:v>35430</x:v>
      </x:c>
      <x:c r="L158" s="6" t="n">
        <x:f>ROUNDUP(F158/J158,0)</x:f>
        <x:v>15</x:v>
      </x:c>
      <x:c r="M158" s="6" t="n">
        <x:f>IF(G158=0,"无伤害",ROUNDUP(K158/MAX(1,ROUND(G158*$AC$12,0)),0))</x:f>
        <x:v>8</x:v>
      </x:c>
      <x:c r="N158" s="6" t="n">
        <x:f>ROUNDUP(F158/英雄升级调参!$H$111,0)</x:f>
        <x:v>10</x:v>
      </x:c>
      <x:c r="O158" s="6">
        <x:f>ROUNDUP(F158/英雄升级调参!$K$111,0)</x:f>
        <x:v>6</x:v>
      </x:c>
      <x:c r="P158" s="6" t="str">
        <x:f>$AA$12</x:f>
        <x:v>精英：15次标准普攻击杀；7.5次主要攻击致死</x:v>
      </x:c>
      <x:c r="Q158" s="6"/>
      <x:c r="R158" s="6"/>
      <x:c r="S158" s="6"/>
      <x:c r="T158" s="6"/>
    </x:row>
    <x:row r="159" ht="21" customHeight="1">
      <x:c r="A159" s="14" t="str">
        <x:f>$V$12</x:f>
        <x:v>MODEL_ELITE</x:v>
      </x:c>
      <x:c r="B159" s="14" t="str">
        <x:f>$W$12</x:f>
        <x:v>模型·精英</x:v>
      </x:c>
      <x:c r="C159" s="6" t="str">
        <x:f>$X$12</x:f>
        <x:v>稻草人模型</x:v>
      </x:c>
      <x:c r="D159" s="6">
        <x:v>47</x:v>
      </x:c>
      <x:c r="E159" s="6">
        <x:v>12</x:v>
      </x:c>
      <x:c r="F159" s="12">
        <x:f>ROUND(J159*$W$4*H159,0)</x:f>
        <x:v>54630</x:v>
      </x:c>
      <x:c r="G159" s="12">
        <x:f>ROUND(J159*$W$4*$W$5*I159,0)</x:f>
        <x:v>4856</x:v>
      </x:c>
      <x:c r="H159" s="11" t="n">
        <x:f>$Y$12</x:f>
        <x:v>3.75</x:v>
      </x:c>
      <x:c r="I159" s="11" t="n">
        <x:f>$Z$12</x:f>
        <x:v>4.444444444444445</x:v>
      </x:c>
      <x:c r="J159" s="12">
        <x:f>英雄升级调参!$E$112</x:f>
        <x:v>3642</x:v>
      </x:c>
      <x:c r="K159" s="12">
        <x:f>英雄升级调参!$F$112</x:f>
        <x:v>36420</x:v>
      </x:c>
      <x:c r="L159" s="6" t="n">
        <x:f>ROUNDUP(F159/J159,0)</x:f>
        <x:v>15</x:v>
      </x:c>
      <x:c r="M159" s="6" t="n">
        <x:f>IF(G159=0,"无伤害",ROUNDUP(K159/MAX(1,ROUND(G159*$AC$12,0)),0))</x:f>
        <x:v>8</x:v>
      </x:c>
      <x:c r="N159" s="6" t="n">
        <x:f>ROUNDUP(F159/英雄升级调参!$H$112,0)</x:f>
        <x:v>10</x:v>
      </x:c>
      <x:c r="O159" s="6">
        <x:f>ROUNDUP(F159/英雄升级调参!$K$112,0)</x:f>
        <x:v>6</x:v>
      </x:c>
      <x:c r="P159" s="6" t="str">
        <x:f>$AA$12</x:f>
        <x:v>精英：15次标准普攻击杀；7.5次主要攻击致死</x:v>
      </x:c>
      <x:c r="Q159" s="6"/>
      <x:c r="R159" s="6"/>
      <x:c r="S159" s="6"/>
      <x:c r="T159" s="6"/>
    </x:row>
    <x:row r="160" ht="21" customHeight="1">
      <x:c r="A160" s="14" t="str">
        <x:f>$V$12</x:f>
        <x:v>MODEL_ELITE</x:v>
      </x:c>
      <x:c r="B160" s="14" t="str">
        <x:f>$W$12</x:f>
        <x:v>模型·精英</x:v>
      </x:c>
      <x:c r="C160" s="6" t="str">
        <x:f>$X$12</x:f>
        <x:v>稻草人模型</x:v>
      </x:c>
      <x:c r="D160" s="6">
        <x:v>48</x:v>
      </x:c>
      <x:c r="E160" s="6">
        <x:v>12</x:v>
      </x:c>
      <x:c r="F160" s="12">
        <x:f>ROUND(J160*$W$4*H160,0)</x:f>
        <x:v>56115</x:v>
      </x:c>
      <x:c r="G160" s="12">
        <x:f>ROUND(J160*$W$4*$W$5*I160,0)</x:f>
        <x:v>4988</x:v>
      </x:c>
      <x:c r="H160" s="11" t="n">
        <x:f>$Y$12</x:f>
        <x:v>3.75</x:v>
      </x:c>
      <x:c r="I160" s="11" t="n">
        <x:f>$Z$12</x:f>
        <x:v>4.444444444444445</x:v>
      </x:c>
      <x:c r="J160" s="12">
        <x:f>英雄升级调参!$E$113</x:f>
        <x:v>3741</x:v>
      </x:c>
      <x:c r="K160" s="12">
        <x:f>英雄升级调参!$F$113</x:f>
        <x:v>37410</x:v>
      </x:c>
      <x:c r="L160" s="6" t="n">
        <x:f>ROUNDUP(F160/J160,0)</x:f>
        <x:v>15</x:v>
      </x:c>
      <x:c r="M160" s="6" t="n">
        <x:f>IF(G160=0,"无伤害",ROUNDUP(K160/MAX(1,ROUND(G160*$AC$12,0)),0))</x:f>
        <x:v>8</x:v>
      </x:c>
      <x:c r="N160" s="6" t="n">
        <x:f>ROUNDUP(F160/英雄升级调参!$H$113,0)</x:f>
        <x:v>10</x:v>
      </x:c>
      <x:c r="O160" s="6">
        <x:f>ROUNDUP(F160/英雄升级调参!$K$113,0)</x:f>
        <x:v>6</x:v>
      </x:c>
      <x:c r="P160" s="6" t="str">
        <x:f>$AA$12</x:f>
        <x:v>精英：15次标准普攻击杀；7.5次主要攻击致死</x:v>
      </x:c>
      <x:c r="Q160" s="6"/>
      <x:c r="R160" s="6"/>
      <x:c r="S160" s="6"/>
      <x:c r="T160" s="6"/>
    </x:row>
    <x:row r="161" ht="21" customHeight="1">
      <x:c r="A161" s="14" t="str">
        <x:f>$V$12</x:f>
        <x:v>MODEL_ELITE</x:v>
      </x:c>
      <x:c r="B161" s="14" t="str">
        <x:f>$W$12</x:f>
        <x:v>模型·精英</x:v>
      </x:c>
      <x:c r="C161" s="6" t="str">
        <x:f>$X$12</x:f>
        <x:v>稻草人模型</x:v>
      </x:c>
      <x:c r="D161" s="6">
        <x:v>49</x:v>
      </x:c>
      <x:c r="E161" s="6">
        <x:v>12</x:v>
      </x:c>
      <x:c r="F161" s="12">
        <x:f>ROUND(J161*$W$4*H161,0)</x:f>
        <x:v>57600</x:v>
      </x:c>
      <x:c r="G161" s="12">
        <x:f>ROUND(J161*$W$4*$W$5*I161,0)</x:f>
        <x:v>5120</x:v>
      </x:c>
      <x:c r="H161" s="11" t="n">
        <x:f>$Y$12</x:f>
        <x:v>3.75</x:v>
      </x:c>
      <x:c r="I161" s="11" t="n">
        <x:f>$Z$12</x:f>
        <x:v>4.444444444444445</x:v>
      </x:c>
      <x:c r="J161" s="12">
        <x:f>英雄升级调参!$E$114</x:f>
        <x:v>3840</x:v>
      </x:c>
      <x:c r="K161" s="12">
        <x:f>英雄升级调参!$F$114</x:f>
        <x:v>38400</x:v>
      </x:c>
      <x:c r="L161" s="6" t="n">
        <x:f>ROUNDUP(F161/J161,0)</x:f>
        <x:v>15</x:v>
      </x:c>
      <x:c r="M161" s="6" t="n">
        <x:f>IF(G161=0,"无伤害",ROUNDUP(K161/MAX(1,ROUND(G161*$AC$12,0)),0))</x:f>
        <x:v>8</x:v>
      </x:c>
      <x:c r="N161" s="6" t="n">
        <x:f>ROUNDUP(F161/英雄升级调参!$H$114,0)</x:f>
        <x:v>10</x:v>
      </x:c>
      <x:c r="O161" s="6">
        <x:f>ROUNDUP(F161/英雄升级调参!$K$114,0)</x:f>
        <x:v>6</x:v>
      </x:c>
      <x:c r="P161" s="6" t="str">
        <x:f>$AA$12</x:f>
        <x:v>精英：15次标准普攻击杀；7.5次主要攻击致死</x:v>
      </x:c>
      <x:c r="Q161" s="6"/>
      <x:c r="R161" s="6"/>
      <x:c r="S161" s="6"/>
      <x:c r="T161" s="6"/>
    </x:row>
    <x:row r="162" ht="21" customHeight="1">
      <x:c r="A162" s="14" t="str">
        <x:f>$V$12</x:f>
        <x:v>MODEL_ELITE</x:v>
      </x:c>
      <x:c r="B162" s="14" t="str">
        <x:f>$W$12</x:f>
        <x:v>模型·精英</x:v>
      </x:c>
      <x:c r="C162" s="6" t="str">
        <x:f>$X$12</x:f>
        <x:v>稻草人模型</x:v>
      </x:c>
      <x:c r="D162" s="6">
        <x:v>50</x:v>
      </x:c>
      <x:c r="E162" s="6">
        <x:v>12</x:v>
      </x:c>
      <x:c r="F162" s="12">
        <x:f>ROUND(J162*$W$4*H162,0)</x:f>
        <x:v>62055</x:v>
      </x:c>
      <x:c r="G162" s="12">
        <x:f>ROUND(J162*$W$4*$W$5*I162,0)</x:f>
        <x:v>5516</x:v>
      </x:c>
      <x:c r="H162" s="11" t="n">
        <x:f>$Y$12</x:f>
        <x:v>3.75</x:v>
      </x:c>
      <x:c r="I162" s="11" t="n">
        <x:f>$Z$12</x:f>
        <x:v>4.444444444444445</x:v>
      </x:c>
      <x:c r="J162" s="12">
        <x:f>英雄升级调参!$E$115</x:f>
        <x:v>4137</x:v>
      </x:c>
      <x:c r="K162" s="12">
        <x:f>英雄升级调参!$F$115</x:f>
        <x:v>41370</x:v>
      </x:c>
      <x:c r="L162" s="6" t="n">
        <x:f>ROUNDUP(F162/J162,0)</x:f>
        <x:v>15</x:v>
      </x:c>
      <x:c r="M162" s="6" t="n">
        <x:f>IF(G162=0,"无伤害",ROUNDUP(K162/MAX(1,ROUND(G162*$AC$12,0)),0))</x:f>
        <x:v>8</x:v>
      </x:c>
      <x:c r="N162" s="6" t="n">
        <x:f>ROUNDUP(F162/英雄升级调参!$H$115,0)</x:f>
        <x:v>10</x:v>
      </x:c>
      <x:c r="O162" s="6">
        <x:f>ROUNDUP(F162/英雄升级调参!$K$115,0)</x:f>
        <x:v>6</x:v>
      </x:c>
      <x:c r="P162" s="6" t="str">
        <x:f>$AA$12</x:f>
        <x:v>精英：15次标准普攻击杀；7.5次主要攻击致死</x:v>
      </x:c>
      <x:c r="Q162" s="6"/>
      <x:c r="R162" s="6"/>
      <x:c r="S162" s="6"/>
      <x:c r="T162" s="6"/>
    </x:row>
    <x:row r="163" ht="21" customHeight="1">
      <x:c r="A163" s="14" t="str">
        <x:f>$V$13</x:f>
        <x:v>MODEL_BOSS</x:v>
      </x:c>
      <x:c r="B163" s="14" t="str">
        <x:f>$W$13</x:f>
        <x:v>模型·BOSS</x:v>
      </x:c>
      <x:c r="C163" s="6" t="str">
        <x:f>$X$13</x:f>
        <x:v>稻草人模型</x:v>
      </x:c>
      <x:c r="D163" s="6">
        <x:v>1</x:v>
      </x:c>
      <x:c r="E163" s="6">
        <x:v>13</x:v>
      </x:c>
      <x:c r="F163" s="12" t="n">
        <x:f>ROUND(J163*$W$4*H163,0)</x:f>
        <x:v>1800</x:v>
      </x:c>
      <x:c r="G163" s="12" t="n">
        <x:f>ROUND(J163*$W$4*$W$5*I163,0)</x:f>
        <x:v>120</x:v>
      </x:c>
      <x:c r="H163" s="11" t="n">
        <x:f>$Y$13</x:f>
        <x:v>7.5</x:v>
      </x:c>
      <x:c r="I163" s="11" t="n">
        <x:f>$Z$13</x:f>
        <x:v>6.666666666666667</x:v>
      </x:c>
      <x:c r="J163" s="12" t="n">
        <x:f>英雄升级调参!$E$66</x:f>
        <x:v>60</x:v>
      </x:c>
      <x:c r="K163" s="12" t="n">
        <x:f>英雄升级调参!$F$66</x:f>
        <x:v>600</x:v>
      </x:c>
      <x:c r="L163" s="6" t="n">
        <x:f>ROUNDUP(F163/J163,0)</x:f>
        <x:v>30</x:v>
      </x:c>
      <x:c r="M163" s="6" t="n">
        <x:f>IF(G163=0,"无伤害",ROUNDUP(K163/MAX(1,ROUND(G163*$AC$13,0)),0))</x:f>
        <x:v>5</x:v>
      </x:c>
      <x:c r="N163" s="6">
        <x:f>ROUNDUP(F163/英雄升级调参!$H$66,0)</x:f>
        <x:v>10</x:v>
      </x:c>
      <x:c r="O163" s="6">
        <x:f>ROUNDUP(F163/英雄升级调参!$K$66,0)</x:f>
        <x:v>6</x:v>
      </x:c>
      <x:c r="P163" s="6" t="str">
        <x:f>$AA$13</x:f>
        <x:v>BOSS：30次标准普攻击杀；5次主要攻击致死</x:v>
      </x:c>
      <x:c r="Q163" s="6"/>
      <x:c r="R163" s="6"/>
      <x:c r="S163" s="6"/>
      <x:c r="T163" s="6"/>
    </x:row>
    <x:row r="164" ht="21" customHeight="1">
      <x:c r="A164" s="14" t="str">
        <x:f>$V$13</x:f>
        <x:v>MODEL_BOSS</x:v>
      </x:c>
      <x:c r="B164" s="14" t="str">
        <x:f>$W$13</x:f>
        <x:v>模型·BOSS</x:v>
      </x:c>
      <x:c r="C164" s="6" t="str">
        <x:f>$X$13</x:f>
        <x:v>稻草人模型</x:v>
      </x:c>
      <x:c r="D164" s="6">
        <x:v>2</x:v>
      </x:c>
      <x:c r="E164" s="6">
        <x:v>13</x:v>
      </x:c>
      <x:c r="F164" s="12">
        <x:f>ROUND(J164*$W$4*H164,0)</x:f>
        <x:v>2340</x:v>
      </x:c>
      <x:c r="G164" s="12">
        <x:f>ROUND(J164*$W$4*$W$5*I164,0)</x:f>
        <x:v>156</x:v>
      </x:c>
      <x:c r="H164" s="11" t="n">
        <x:f>$Y$13</x:f>
        <x:v>7.5</x:v>
      </x:c>
      <x:c r="I164" s="11" t="n">
        <x:f>$Z$13</x:f>
        <x:v>6.666666666666667</x:v>
      </x:c>
      <x:c r="J164" s="12">
        <x:f>英雄升级调参!$E$67</x:f>
        <x:v>78</x:v>
      </x:c>
      <x:c r="K164" s="12">
        <x:f>英雄升级调参!$F$67</x:f>
        <x:v>780</x:v>
      </x:c>
      <x:c r="L164" s="6" t="n">
        <x:f>ROUNDUP(F164/J164,0)</x:f>
        <x:v>30</x:v>
      </x:c>
      <x:c r="M164" s="6" t="n">
        <x:f>IF(G164=0,"无伤害",ROUNDUP(K164/MAX(1,ROUND(G164*$AC$13,0)),0))</x:f>
        <x:v>5</x:v>
      </x:c>
      <x:c r="N164" s="6">
        <x:f>ROUNDUP(F164/英雄升级调参!$H$67,0)</x:f>
        <x:v>11</x:v>
      </x:c>
      <x:c r="O164" s="6">
        <x:f>ROUNDUP(F164/英雄升级调参!$K$67,0)</x:f>
        <x:v>6</x:v>
      </x:c>
      <x:c r="P164" s="6" t="str">
        <x:f>$AA$13</x:f>
        <x:v>BOSS：30次标准普攻击杀；5次主要攻击致死</x:v>
      </x:c>
      <x:c r="Q164" s="6"/>
      <x:c r="R164" s="6"/>
      <x:c r="S164" s="6"/>
      <x:c r="T164" s="6"/>
    </x:row>
    <x:row r="165" ht="21" customHeight="1">
      <x:c r="A165" s="14" t="str">
        <x:f>$V$13</x:f>
        <x:v>MODEL_BOSS</x:v>
      </x:c>
      <x:c r="B165" s="14" t="str">
        <x:f>$W$13</x:f>
        <x:v>模型·BOSS</x:v>
      </x:c>
      <x:c r="C165" s="6" t="str">
        <x:f>$X$13</x:f>
        <x:v>稻草人模型</x:v>
      </x:c>
      <x:c r="D165" s="6">
        <x:v>3</x:v>
      </x:c>
      <x:c r="E165" s="6">
        <x:v>13</x:v>
      </x:c>
      <x:c r="F165" s="12">
        <x:f>ROUND(J165*$W$4*H165,0)</x:f>
        <x:v>2880</x:v>
      </x:c>
      <x:c r="G165" s="12">
        <x:f>ROUND(J165*$W$4*$W$5*I165,0)</x:f>
        <x:v>192</x:v>
      </x:c>
      <x:c r="H165" s="11" t="n">
        <x:f>$Y$13</x:f>
        <x:v>7.5</x:v>
      </x:c>
      <x:c r="I165" s="11" t="n">
        <x:f>$Z$13</x:f>
        <x:v>6.666666666666667</x:v>
      </x:c>
      <x:c r="J165" s="12">
        <x:f>英雄升级调参!$E$68</x:f>
        <x:v>96</x:v>
      </x:c>
      <x:c r="K165" s="12">
        <x:f>英雄升级调参!$F$68</x:f>
        <x:v>960</x:v>
      </x:c>
      <x:c r="L165" s="6" t="n">
        <x:f>ROUNDUP(F165/J165,0)</x:f>
        <x:v>30</x:v>
      </x:c>
      <x:c r="M165" s="6" t="n">
        <x:f>IF(G165=0,"无伤害",ROUNDUP(K165/MAX(1,ROUND(G165*$AC$13,0)),0))</x:f>
        <x:v>5</x:v>
      </x:c>
      <x:c r="N165" s="6">
        <x:f>ROUNDUP(F165/英雄升级调参!$H$68,0)</x:f>
        <x:v>12</x:v>
      </x:c>
      <x:c r="O165" s="6">
        <x:f>ROUNDUP(F165/英雄升级调参!$K$68,0)</x:f>
        <x:v>7</x:v>
      </x:c>
      <x:c r="P165" s="6" t="str">
        <x:f>$AA$13</x:f>
        <x:v>BOSS：30次标准普攻击杀；5次主要攻击致死</x:v>
      </x:c>
      <x:c r="Q165" s="6"/>
      <x:c r="R165" s="6"/>
      <x:c r="S165" s="6"/>
      <x:c r="T165" s="6"/>
    </x:row>
    <x:row r="166" ht="21" customHeight="1">
      <x:c r="A166" s="14" t="str">
        <x:f>$V$13</x:f>
        <x:v>MODEL_BOSS</x:v>
      </x:c>
      <x:c r="B166" s="14" t="str">
        <x:f>$W$13</x:f>
        <x:v>模型·BOSS</x:v>
      </x:c>
      <x:c r="C166" s="6" t="str">
        <x:f>$X$13</x:f>
        <x:v>稻草人模型</x:v>
      </x:c>
      <x:c r="D166" s="6">
        <x:v>4</x:v>
      </x:c>
      <x:c r="E166" s="6">
        <x:v>13</x:v>
      </x:c>
      <x:c r="F166" s="12">
        <x:f>ROUND(J166*$W$4*H166,0)</x:f>
        <x:v>3420</x:v>
      </x:c>
      <x:c r="G166" s="12">
        <x:f>ROUND(J166*$W$4*$W$5*I166,0)</x:f>
        <x:v>228</x:v>
      </x:c>
      <x:c r="H166" s="11" t="n">
        <x:f>$Y$13</x:f>
        <x:v>7.5</x:v>
      </x:c>
      <x:c r="I166" s="11" t="n">
        <x:f>$Z$13</x:f>
        <x:v>6.666666666666667</x:v>
      </x:c>
      <x:c r="J166" s="12">
        <x:f>英雄升级调参!$E$69</x:f>
        <x:v>114</x:v>
      </x:c>
      <x:c r="K166" s="12">
        <x:f>英雄升级调参!$F$69</x:f>
        <x:v>1140</x:v>
      </x:c>
      <x:c r="L166" s="6" t="n">
        <x:f>ROUNDUP(F166/J166,0)</x:f>
        <x:v>30</x:v>
      </x:c>
      <x:c r="M166" s="6" t="n">
        <x:f>IF(G166=0,"无伤害",ROUNDUP(K166/MAX(1,ROUND(G166*$AC$13,0)),0))</x:f>
        <x:v>5</x:v>
      </x:c>
      <x:c r="N166" s="6">
        <x:f>ROUNDUP(F166/英雄升级调参!$H$69,0)</x:f>
        <x:v>13</x:v>
      </x:c>
      <x:c r="O166" s="6">
        <x:f>ROUNDUP(F166/英雄升级调参!$K$69,0)</x:f>
        <x:v>7</x:v>
      </x:c>
      <x:c r="P166" s="6" t="str">
        <x:f>$AA$13</x:f>
        <x:v>BOSS：30次标准普攻击杀；5次主要攻击致死</x:v>
      </x:c>
      <x:c r="Q166" s="6"/>
      <x:c r="R166" s="6"/>
      <x:c r="S166" s="6"/>
      <x:c r="T166" s="6"/>
    </x:row>
    <x:row r="167" ht="21" customHeight="1">
      <x:c r="A167" s="14" t="str">
        <x:f>$V$13</x:f>
        <x:v>MODEL_BOSS</x:v>
      </x:c>
      <x:c r="B167" s="14" t="str">
        <x:f>$W$13</x:f>
        <x:v>模型·BOSS</x:v>
      </x:c>
      <x:c r="C167" s="6" t="str">
        <x:f>$X$13</x:f>
        <x:v>稻草人模型</x:v>
      </x:c>
      <x:c r="D167" s="6">
        <x:v>5</x:v>
      </x:c>
      <x:c r="E167" s="6">
        <x:v>13</x:v>
      </x:c>
      <x:c r="F167" s="12">
        <x:f>ROUND(J167*$W$4*H167,0)</x:f>
        <x:v>5040</x:v>
      </x:c>
      <x:c r="G167" s="12">
        <x:f>ROUND(J167*$W$4*$W$5*I167,0)</x:f>
        <x:v>336</x:v>
      </x:c>
      <x:c r="H167" s="11" t="n">
        <x:f>$Y$13</x:f>
        <x:v>7.5</x:v>
      </x:c>
      <x:c r="I167" s="11" t="n">
        <x:f>$Z$13</x:f>
        <x:v>6.666666666666667</x:v>
      </x:c>
      <x:c r="J167" s="12">
        <x:f>英雄升级调参!$E$70</x:f>
        <x:v>168</x:v>
      </x:c>
      <x:c r="K167" s="12">
        <x:f>英雄升级调参!$F$70</x:f>
        <x:v>1680</x:v>
      </x:c>
      <x:c r="L167" s="6" t="n">
        <x:f>ROUNDUP(F167/J167,0)</x:f>
        <x:v>30</x:v>
      </x:c>
      <x:c r="M167" s="6" t="n">
        <x:f>IF(G167=0,"无伤害",ROUNDUP(K167/MAX(1,ROUND(G167*$AC$13,0)),0))</x:f>
        <x:v>5</x:v>
      </x:c>
      <x:c r="N167" s="6">
        <x:f>ROUNDUP(F167/英雄升级调参!$H$70,0)</x:f>
        <x:v>15</x:v>
      </x:c>
      <x:c r="O167" s="6">
        <x:f>ROUNDUP(F167/英雄升级调参!$K$70,0)</x:f>
        <x:v>9</x:v>
      </x:c>
      <x:c r="P167" s="6" t="str">
        <x:f>$AA$13</x:f>
        <x:v>BOSS：30次标准普攻击杀；5次主要攻击致死</x:v>
      </x:c>
      <x:c r="Q167" s="6"/>
      <x:c r="R167" s="6"/>
      <x:c r="S167" s="6"/>
      <x:c r="T167" s="6"/>
    </x:row>
    <x:row r="168" ht="21" customHeight="1">
      <x:c r="A168" s="14" t="str">
        <x:f>$V$13</x:f>
        <x:v>MODEL_BOSS</x:v>
      </x:c>
      <x:c r="B168" s="14" t="str">
        <x:f>$W$13</x:f>
        <x:v>模型·BOSS</x:v>
      </x:c>
      <x:c r="C168" s="6" t="str">
        <x:f>$X$13</x:f>
        <x:v>稻草人模型</x:v>
      </x:c>
      <x:c r="D168" s="6">
        <x:v>6</x:v>
      </x:c>
      <x:c r="E168" s="6">
        <x:v>13</x:v>
      </x:c>
      <x:c r="F168" s="12">
        <x:f>ROUND(J168*$W$4*H168,0)</x:f>
        <x:v>5850</x:v>
      </x:c>
      <x:c r="G168" s="12">
        <x:f>ROUND(J168*$W$4*$W$5*I168,0)</x:f>
        <x:v>390</x:v>
      </x:c>
      <x:c r="H168" s="11" t="n">
        <x:f>$Y$13</x:f>
        <x:v>7.5</x:v>
      </x:c>
      <x:c r="I168" s="11" t="n">
        <x:f>$Z$13</x:f>
        <x:v>6.666666666666667</x:v>
      </x:c>
      <x:c r="J168" s="12">
        <x:f>英雄升级调参!$E$71</x:f>
        <x:v>195</x:v>
      </x:c>
      <x:c r="K168" s="12">
        <x:f>英雄升级调参!$F$71</x:f>
        <x:v>1950</x:v>
      </x:c>
      <x:c r="L168" s="6" t="n">
        <x:f>ROUNDUP(F168/J168,0)</x:f>
        <x:v>30</x:v>
      </x:c>
      <x:c r="M168" s="6" t="n">
        <x:f>IF(G168=0,"无伤害",ROUNDUP(K168/MAX(1,ROUND(G168*$AC$13,0)),0))</x:f>
        <x:v>5</x:v>
      </x:c>
      <x:c r="N168" s="6">
        <x:f>ROUNDUP(F168/英雄升级调参!$H$71,0)</x:f>
        <x:v>15</x:v>
      </x:c>
      <x:c r="O168" s="6">
        <x:f>ROUNDUP(F168/英雄升级调参!$K$71,0)</x:f>
        <x:v>9</x:v>
      </x:c>
      <x:c r="P168" s="6" t="str">
        <x:f>$AA$13</x:f>
        <x:v>BOSS：30次标准普攻击杀；5次主要攻击致死</x:v>
      </x:c>
      <x:c r="Q168" s="6"/>
      <x:c r="R168" s="6"/>
      <x:c r="S168" s="6"/>
      <x:c r="T168" s="6"/>
    </x:row>
    <x:row r="169" ht="21" customHeight="1">
      <x:c r="A169" s="14" t="str">
        <x:f>$V$13</x:f>
        <x:v>MODEL_BOSS</x:v>
      </x:c>
      <x:c r="B169" s="14" t="str">
        <x:f>$W$13</x:f>
        <x:v>模型·BOSS</x:v>
      </x:c>
      <x:c r="C169" s="6" t="str">
        <x:f>$X$13</x:f>
        <x:v>稻草人模型</x:v>
      </x:c>
      <x:c r="D169" s="6">
        <x:v>7</x:v>
      </x:c>
      <x:c r="E169" s="6">
        <x:v>13</x:v>
      </x:c>
      <x:c r="F169" s="12">
        <x:f>ROUND(J169*$W$4*H169,0)</x:f>
        <x:v>6660</x:v>
      </x:c>
      <x:c r="G169" s="12">
        <x:f>ROUND(J169*$W$4*$W$5*I169,0)</x:f>
        <x:v>444</x:v>
      </x:c>
      <x:c r="H169" s="11" t="n">
        <x:f>$Y$13</x:f>
        <x:v>7.5</x:v>
      </x:c>
      <x:c r="I169" s="11" t="n">
        <x:f>$Z$13</x:f>
        <x:v>6.666666666666667</x:v>
      </x:c>
      <x:c r="J169" s="12">
        <x:f>英雄升级调参!$E$72</x:f>
        <x:v>222</x:v>
      </x:c>
      <x:c r="K169" s="12">
        <x:f>英雄升级调参!$F$72</x:f>
        <x:v>2220</x:v>
      </x:c>
      <x:c r="L169" s="6" t="n">
        <x:f>ROUNDUP(F169/J169,0)</x:f>
        <x:v>30</x:v>
      </x:c>
      <x:c r="M169" s="6" t="n">
        <x:f>IF(G169=0,"无伤害",ROUNDUP(K169/MAX(1,ROUND(G169*$AC$13,0)),0))</x:f>
        <x:v>5</x:v>
      </x:c>
      <x:c r="N169" s="6">
        <x:f>ROUNDUP(F169/英雄升级调参!$H$72,0)</x:f>
        <x:v>16</x:v>
      </x:c>
      <x:c r="O169" s="6">
        <x:f>ROUNDUP(F169/英雄升级调参!$K$72,0)</x:f>
        <x:v>9</x:v>
      </x:c>
      <x:c r="P169" s="6" t="str">
        <x:f>$AA$13</x:f>
        <x:v>BOSS：30次标准普攻击杀；5次主要攻击致死</x:v>
      </x:c>
      <x:c r="Q169" s="6"/>
      <x:c r="R169" s="6"/>
      <x:c r="S169" s="6"/>
      <x:c r="T169" s="6"/>
    </x:row>
    <x:row r="170" ht="21" customHeight="1">
      <x:c r="A170" s="14" t="str">
        <x:f>$V$13</x:f>
        <x:v>MODEL_BOSS</x:v>
      </x:c>
      <x:c r="B170" s="14" t="str">
        <x:f>$W$13</x:f>
        <x:v>模型·BOSS</x:v>
      </x:c>
      <x:c r="C170" s="6" t="str">
        <x:f>$X$13</x:f>
        <x:v>稻草人模型</x:v>
      </x:c>
      <x:c r="D170" s="6">
        <x:v>8</x:v>
      </x:c>
      <x:c r="E170" s="6">
        <x:v>13</x:v>
      </x:c>
      <x:c r="F170" s="12">
        <x:f>ROUND(J170*$W$4*H170,0)</x:f>
        <x:v>7470</x:v>
      </x:c>
      <x:c r="G170" s="12">
        <x:f>ROUND(J170*$W$4*$W$5*I170,0)</x:f>
        <x:v>498</x:v>
      </x:c>
      <x:c r="H170" s="11" t="n">
        <x:f>$Y$13</x:f>
        <x:v>7.5</x:v>
      </x:c>
      <x:c r="I170" s="11" t="n">
        <x:f>$Z$13</x:f>
        <x:v>6.666666666666667</x:v>
      </x:c>
      <x:c r="J170" s="12">
        <x:f>英雄升级调参!$E$73</x:f>
        <x:v>249</x:v>
      </x:c>
      <x:c r="K170" s="12">
        <x:f>英雄升级调参!$F$73</x:f>
        <x:v>2490</x:v>
      </x:c>
      <x:c r="L170" s="6" t="n">
        <x:f>ROUNDUP(F170/J170,0)</x:f>
        <x:v>30</x:v>
      </x:c>
      <x:c r="M170" s="6" t="n">
        <x:f>IF(G170=0,"无伤害",ROUNDUP(K170/MAX(1,ROUND(G170*$AC$13,0)),0))</x:f>
        <x:v>5</x:v>
      </x:c>
      <x:c r="N170" s="6">
        <x:f>ROUNDUP(F170/英雄升级调参!$H$73,0)</x:f>
        <x:v>16</x:v>
      </x:c>
      <x:c r="O170" s="6">
        <x:f>ROUNDUP(F170/英雄升级调参!$K$73,0)</x:f>
        <x:v>9</x:v>
      </x:c>
      <x:c r="P170" s="6" t="str">
        <x:f>$AA$13</x:f>
        <x:v>BOSS：30次标准普攻击杀；5次主要攻击致死</x:v>
      </x:c>
      <x:c r="Q170" s="6"/>
      <x:c r="R170" s="6"/>
      <x:c r="S170" s="6"/>
      <x:c r="T170" s="6"/>
    </x:row>
    <x:row r="171" ht="21" customHeight="1">
      <x:c r="A171" s="14" t="str">
        <x:f>$V$13</x:f>
        <x:v>MODEL_BOSS</x:v>
      </x:c>
      <x:c r="B171" s="14" t="str">
        <x:f>$W$13</x:f>
        <x:v>模型·BOSS</x:v>
      </x:c>
      <x:c r="C171" s="6" t="str">
        <x:f>$X$13</x:f>
        <x:v>稻草人模型</x:v>
      </x:c>
      <x:c r="D171" s="6">
        <x:v>9</x:v>
      </x:c>
      <x:c r="E171" s="6">
        <x:v>13</x:v>
      </x:c>
      <x:c r="F171" s="12">
        <x:f>ROUND(J171*$W$4*H171,0)</x:f>
        <x:v>8280</x:v>
      </x:c>
      <x:c r="G171" s="12">
        <x:f>ROUND(J171*$W$4*$W$5*I171,0)</x:f>
        <x:v>552</x:v>
      </x:c>
      <x:c r="H171" s="11" t="n">
        <x:f>$Y$13</x:f>
        <x:v>7.5</x:v>
      </x:c>
      <x:c r="I171" s="11" t="n">
        <x:f>$Z$13</x:f>
        <x:v>6.666666666666667</x:v>
      </x:c>
      <x:c r="J171" s="12">
        <x:f>英雄升级调参!$E$74</x:f>
        <x:v>276</x:v>
      </x:c>
      <x:c r="K171" s="12">
        <x:f>英雄升级调参!$F$74</x:f>
        <x:v>2760</x:v>
      </x:c>
      <x:c r="L171" s="6" t="n">
        <x:f>ROUNDUP(F171/J171,0)</x:f>
        <x:v>30</x:v>
      </x:c>
      <x:c r="M171" s="6" t="n">
        <x:f>IF(G171=0,"无伤害",ROUNDUP(K171/MAX(1,ROUND(G171*$AC$13,0)),0))</x:f>
        <x:v>5</x:v>
      </x:c>
      <x:c r="N171" s="6">
        <x:f>ROUNDUP(F171/英雄升级调参!$H$74,0)</x:f>
        <x:v>16</x:v>
      </x:c>
      <x:c r="O171" s="6">
        <x:f>ROUNDUP(F171/英雄升级调参!$K$74,0)</x:f>
        <x:v>10</x:v>
      </x:c>
      <x:c r="P171" s="6" t="str">
        <x:f>$AA$13</x:f>
        <x:v>BOSS：30次标准普攻击杀；5次主要攻击致死</x:v>
      </x:c>
      <x:c r="Q171" s="6"/>
      <x:c r="R171" s="6"/>
      <x:c r="S171" s="6"/>
      <x:c r="T171" s="6"/>
    </x:row>
    <x:row r="172" ht="21" customHeight="1">
      <x:c r="A172" s="14" t="str">
        <x:f>$V$13</x:f>
        <x:v>MODEL_BOSS</x:v>
      </x:c>
      <x:c r="B172" s="14" t="str">
        <x:f>$W$13</x:f>
        <x:v>模型·BOSS</x:v>
      </x:c>
      <x:c r="C172" s="6" t="str">
        <x:f>$X$13</x:f>
        <x:v>稻草人模型</x:v>
      </x:c>
      <x:c r="D172" s="6">
        <x:v>10</x:v>
      </x:c>
      <x:c r="E172" s="6">
        <x:v>13</x:v>
      </x:c>
      <x:c r="F172" s="12">
        <x:f>ROUND(J172*$W$4*H172,0)</x:f>
        <x:v>10710</x:v>
      </x:c>
      <x:c r="G172" s="12">
        <x:f>ROUND(J172*$W$4*$W$5*I172,0)</x:f>
        <x:v>714</x:v>
      </x:c>
      <x:c r="H172" s="11" t="n">
        <x:f>$Y$13</x:f>
        <x:v>7.5</x:v>
      </x:c>
      <x:c r="I172" s="11" t="n">
        <x:f>$Z$13</x:f>
        <x:v>6.666666666666667</x:v>
      </x:c>
      <x:c r="J172" s="12">
        <x:f>英雄升级调参!$E$75</x:f>
        <x:v>357</x:v>
      </x:c>
      <x:c r="K172" s="12">
        <x:f>英雄升级调参!$F$75</x:f>
        <x:v>3570</x:v>
      </x:c>
      <x:c r="L172" s="6" t="n">
        <x:f>ROUNDUP(F172/J172,0)</x:f>
        <x:v>30</x:v>
      </x:c>
      <x:c r="M172" s="6" t="n">
        <x:f>IF(G172=0,"无伤害",ROUNDUP(K172/MAX(1,ROUND(G172*$AC$13,0)),0))</x:f>
        <x:v>5</x:v>
      </x:c>
      <x:c r="N172" s="6">
        <x:f>ROUNDUP(F172/英雄升级调参!$H$75,0)</x:f>
        <x:v>17</x:v>
      </x:c>
      <x:c r="O172" s="6">
        <x:f>ROUNDUP(F172/英雄升级调参!$K$75,0)</x:f>
        <x:v>10</x:v>
      </x:c>
      <x:c r="P172" s="6" t="str">
        <x:f>$AA$13</x:f>
        <x:v>BOSS：30次标准普攻击杀；5次主要攻击致死</x:v>
      </x:c>
      <x:c r="Q172" s="6"/>
      <x:c r="R172" s="6"/>
      <x:c r="S172" s="6"/>
      <x:c r="T172" s="6"/>
    </x:row>
    <x:row r="173" ht="21" customHeight="1">
      <x:c r="A173" s="14" t="str">
        <x:f>$V$13</x:f>
        <x:v>MODEL_BOSS</x:v>
      </x:c>
      <x:c r="B173" s="14" t="str">
        <x:f>$W$13</x:f>
        <x:v>模型·BOSS</x:v>
      </x:c>
      <x:c r="C173" s="6" t="str">
        <x:f>$X$13</x:f>
        <x:v>稻草人模型</x:v>
      </x:c>
      <x:c r="D173" s="6">
        <x:v>11</x:v>
      </x:c>
      <x:c r="E173" s="6">
        <x:v>13</x:v>
      </x:c>
      <x:c r="F173" s="12">
        <x:f>ROUND(J173*$W$4*H173,0)</x:f>
        <x:v>11790</x:v>
      </x:c>
      <x:c r="G173" s="12">
        <x:f>ROUND(J173*$W$4*$W$5*I173,0)</x:f>
        <x:v>786</x:v>
      </x:c>
      <x:c r="H173" s="11" t="n">
        <x:f>$Y$13</x:f>
        <x:v>7.5</x:v>
      </x:c>
      <x:c r="I173" s="11" t="n">
        <x:f>$Z$13</x:f>
        <x:v>6.666666666666667</x:v>
      </x:c>
      <x:c r="J173" s="12">
        <x:f>英雄升级调参!$E$76</x:f>
        <x:v>393</x:v>
      </x:c>
      <x:c r="K173" s="12">
        <x:f>英雄升级调参!$F$76</x:f>
        <x:v>3930</x:v>
      </x:c>
      <x:c r="L173" s="6" t="n">
        <x:f>ROUNDUP(F173/J173,0)</x:f>
        <x:v>30</x:v>
      </x:c>
      <x:c r="M173" s="6" t="n">
        <x:f>IF(G173=0,"无伤害",ROUNDUP(K173/MAX(1,ROUND(G173*$AC$13,0)),0))</x:f>
        <x:v>5</x:v>
      </x:c>
      <x:c r="N173" s="6">
        <x:f>ROUNDUP(F173/英雄升级调参!$H$76,0)</x:f>
        <x:v>17</x:v>
      </x:c>
      <x:c r="O173" s="6">
        <x:f>ROUNDUP(F173/英雄升级调参!$K$76,0)</x:f>
        <x:v>10</x:v>
      </x:c>
      <x:c r="P173" s="6" t="str">
        <x:f>$AA$13</x:f>
        <x:v>BOSS：30次标准普攻击杀；5次主要攻击致死</x:v>
      </x:c>
      <x:c r="Q173" s="6"/>
      <x:c r="R173" s="6"/>
      <x:c r="S173" s="6"/>
      <x:c r="T173" s="6"/>
    </x:row>
    <x:row r="174" ht="21" customHeight="1">
      <x:c r="A174" s="14" t="str">
        <x:f>$V$13</x:f>
        <x:v>MODEL_BOSS</x:v>
      </x:c>
      <x:c r="B174" s="14" t="str">
        <x:f>$W$13</x:f>
        <x:v>模型·BOSS</x:v>
      </x:c>
      <x:c r="C174" s="6" t="str">
        <x:f>$X$13</x:f>
        <x:v>稻草人模型</x:v>
      </x:c>
      <x:c r="D174" s="6">
        <x:v>12</x:v>
      </x:c>
      <x:c r="E174" s="6">
        <x:v>13</x:v>
      </x:c>
      <x:c r="F174" s="12">
        <x:f>ROUND(J174*$W$4*H174,0)</x:f>
        <x:v>12870</x:v>
      </x:c>
      <x:c r="G174" s="12">
        <x:f>ROUND(J174*$W$4*$W$5*I174,0)</x:f>
        <x:v>858</x:v>
      </x:c>
      <x:c r="H174" s="11" t="n">
        <x:f>$Y$13</x:f>
        <x:v>7.5</x:v>
      </x:c>
      <x:c r="I174" s="11" t="n">
        <x:f>$Z$13</x:f>
        <x:v>6.666666666666667</x:v>
      </x:c>
      <x:c r="J174" s="12">
        <x:f>英雄升级调参!$E$77</x:f>
        <x:v>429</x:v>
      </x:c>
      <x:c r="K174" s="12">
        <x:f>英雄升级调参!$F$77</x:f>
        <x:v>4290</x:v>
      </x:c>
      <x:c r="L174" s="6" t="n">
        <x:f>ROUNDUP(F174/J174,0)</x:f>
        <x:v>30</x:v>
      </x:c>
      <x:c r="M174" s="6" t="n">
        <x:f>IF(G174=0,"无伤害",ROUNDUP(K174/MAX(1,ROUND(G174*$AC$13,0)),0))</x:f>
        <x:v>5</x:v>
      </x:c>
      <x:c r="N174" s="6">
        <x:f>ROUNDUP(F174/英雄升级调参!$H$77,0)</x:f>
        <x:v>18</x:v>
      </x:c>
      <x:c r="O174" s="6">
        <x:f>ROUNDUP(F174/英雄升级调参!$K$77,0)</x:f>
        <x:v>11</x:v>
      </x:c>
      <x:c r="P174" s="6" t="str">
        <x:f>$AA$13</x:f>
        <x:v>BOSS：30次标准普攻击杀；5次主要攻击致死</x:v>
      </x:c>
      <x:c r="Q174" s="6"/>
      <x:c r="R174" s="6"/>
      <x:c r="S174" s="6"/>
      <x:c r="T174" s="6"/>
    </x:row>
    <x:row r="175" ht="21" customHeight="1">
      <x:c r="A175" s="14" t="str">
        <x:f>$V$13</x:f>
        <x:v>MODEL_BOSS</x:v>
      </x:c>
      <x:c r="B175" s="14" t="str">
        <x:f>$W$13</x:f>
        <x:v>模型·BOSS</x:v>
      </x:c>
      <x:c r="C175" s="6" t="str">
        <x:f>$X$13</x:f>
        <x:v>稻草人模型</x:v>
      </x:c>
      <x:c r="D175" s="6">
        <x:v>13</x:v>
      </x:c>
      <x:c r="E175" s="6">
        <x:v>13</x:v>
      </x:c>
      <x:c r="F175" s="12">
        <x:f>ROUND(J175*$W$4*H175,0)</x:f>
        <x:v>13950</x:v>
      </x:c>
      <x:c r="G175" s="12">
        <x:f>ROUND(J175*$W$4*$W$5*I175,0)</x:f>
        <x:v>930</x:v>
      </x:c>
      <x:c r="H175" s="11" t="n">
        <x:f>$Y$13</x:f>
        <x:v>7.5</x:v>
      </x:c>
      <x:c r="I175" s="11" t="n">
        <x:f>$Z$13</x:f>
        <x:v>6.666666666666667</x:v>
      </x:c>
      <x:c r="J175" s="12">
        <x:f>英雄升级调参!$E$78</x:f>
        <x:v>465</x:v>
      </x:c>
      <x:c r="K175" s="12">
        <x:f>英雄升级调参!$F$78</x:f>
        <x:v>4650</x:v>
      </x:c>
      <x:c r="L175" s="6" t="n">
        <x:f>ROUNDUP(F175/J175,0)</x:f>
        <x:v>30</x:v>
      </x:c>
      <x:c r="M175" s="6" t="n">
        <x:f>IF(G175=0,"无伤害",ROUNDUP(K175/MAX(1,ROUND(G175*$AC$13,0)),0))</x:f>
        <x:v>5</x:v>
      </x:c>
      <x:c r="N175" s="6">
        <x:f>ROUNDUP(F175/英雄升级调参!$H$78,0)</x:f>
        <x:v>18</x:v>
      </x:c>
      <x:c r="O175" s="6">
        <x:f>ROUNDUP(F175/英雄升级调参!$K$78,0)</x:f>
        <x:v>11</x:v>
      </x:c>
      <x:c r="P175" s="6" t="str">
        <x:f>$AA$13</x:f>
        <x:v>BOSS：30次标准普攻击杀；5次主要攻击致死</x:v>
      </x:c>
      <x:c r="Q175" s="6"/>
      <x:c r="R175" s="6"/>
      <x:c r="S175" s="6"/>
      <x:c r="T175" s="6"/>
    </x:row>
    <x:row r="176" ht="21" customHeight="1">
      <x:c r="A176" s="14" t="str">
        <x:f>$V$13</x:f>
        <x:v>MODEL_BOSS</x:v>
      </x:c>
      <x:c r="B176" s="14" t="str">
        <x:f>$W$13</x:f>
        <x:v>模型·BOSS</x:v>
      </x:c>
      <x:c r="C176" s="6" t="str">
        <x:f>$X$13</x:f>
        <x:v>稻草人模型</x:v>
      </x:c>
      <x:c r="D176" s="6">
        <x:v>14</x:v>
      </x:c>
      <x:c r="E176" s="6">
        <x:v>13</x:v>
      </x:c>
      <x:c r="F176" s="12">
        <x:f>ROUND(J176*$W$4*H176,0)</x:f>
        <x:v>15030</x:v>
      </x:c>
      <x:c r="G176" s="12">
        <x:f>ROUND(J176*$W$4*$W$5*I176,0)</x:f>
        <x:v>1002</x:v>
      </x:c>
      <x:c r="H176" s="11" t="n">
        <x:f>$Y$13</x:f>
        <x:v>7.5</x:v>
      </x:c>
      <x:c r="I176" s="11" t="n">
        <x:f>$Z$13</x:f>
        <x:v>6.666666666666667</x:v>
      </x:c>
      <x:c r="J176" s="12">
        <x:f>英雄升级调参!$E$79</x:f>
        <x:v>501</x:v>
      </x:c>
      <x:c r="K176" s="12">
        <x:f>英雄升级调参!$F$79</x:f>
        <x:v>5010</x:v>
      </x:c>
      <x:c r="L176" s="6" t="n">
        <x:f>ROUNDUP(F176/J176,0)</x:f>
        <x:v>30</x:v>
      </x:c>
      <x:c r="M176" s="6" t="n">
        <x:f>IF(G176=0,"无伤害",ROUNDUP(K176/MAX(1,ROUND(G176*$AC$13,0)),0))</x:f>
        <x:v>5</x:v>
      </x:c>
      <x:c r="N176" s="6">
        <x:f>ROUNDUP(F176/英雄升级调参!$H$79,0)</x:f>
        <x:v>18</x:v>
      </x:c>
      <x:c r="O176" s="6">
        <x:f>ROUNDUP(F176/英雄升级调参!$K$79,0)</x:f>
        <x:v>11</x:v>
      </x:c>
      <x:c r="P176" s="6" t="str">
        <x:f>$AA$13</x:f>
        <x:v>BOSS：30次标准普攻击杀；5次主要攻击致死</x:v>
      </x:c>
      <x:c r="Q176" s="6"/>
      <x:c r="R176" s="6"/>
      <x:c r="S176" s="6"/>
      <x:c r="T176" s="6"/>
    </x:row>
    <x:row r="177" ht="21" customHeight="1">
      <x:c r="A177" s="14" t="str">
        <x:f>$V$13</x:f>
        <x:v>MODEL_BOSS</x:v>
      </x:c>
      <x:c r="B177" s="14" t="str">
        <x:f>$W$13</x:f>
        <x:v>模型·BOSS</x:v>
      </x:c>
      <x:c r="C177" s="6" t="str">
        <x:f>$X$13</x:f>
        <x:v>稻草人模型</x:v>
      </x:c>
      <x:c r="D177" s="6">
        <x:v>15</x:v>
      </x:c>
      <x:c r="E177" s="6">
        <x:v>13</x:v>
      </x:c>
      <x:c r="F177" s="12">
        <x:f>ROUND(J177*$W$4*H177,0)</x:f>
        <x:v>18270</x:v>
      </x:c>
      <x:c r="G177" s="12">
        <x:f>ROUND(J177*$W$4*$W$5*I177,0)</x:f>
        <x:v>1218</x:v>
      </x:c>
      <x:c r="H177" s="11" t="n">
        <x:f>$Y$13</x:f>
        <x:v>7.5</x:v>
      </x:c>
      <x:c r="I177" s="11" t="n">
        <x:f>$Z$13</x:f>
        <x:v>6.666666666666667</x:v>
      </x:c>
      <x:c r="J177" s="12">
        <x:f>英雄升级调参!$E$80</x:f>
        <x:v>609</x:v>
      </x:c>
      <x:c r="K177" s="12">
        <x:f>英雄升级调参!$F$80</x:f>
        <x:v>6090</x:v>
      </x:c>
      <x:c r="L177" s="6" t="n">
        <x:f>ROUNDUP(F177/J177,0)</x:f>
        <x:v>30</x:v>
      </x:c>
      <x:c r="M177" s="6" t="n">
        <x:f>IF(G177=0,"无伤害",ROUNDUP(K177/MAX(1,ROUND(G177*$AC$13,0)),0))</x:f>
        <x:v>5</x:v>
      </x:c>
      <x:c r="N177" s="6">
        <x:f>ROUNDUP(F177/英雄升级调参!$H$80,0)</x:f>
        <x:v>18</x:v>
      </x:c>
      <x:c r="O177" s="6">
        <x:f>ROUNDUP(F177/英雄升级调参!$K$80,0)</x:f>
        <x:v>11</x:v>
      </x:c>
      <x:c r="P177" s="6" t="str">
        <x:f>$AA$13</x:f>
        <x:v>BOSS：30次标准普攻击杀；5次主要攻击致死</x:v>
      </x:c>
      <x:c r="Q177" s="6"/>
      <x:c r="R177" s="6"/>
      <x:c r="S177" s="6"/>
      <x:c r="T177" s="6"/>
    </x:row>
    <x:row r="178" ht="21" customHeight="1">
      <x:c r="A178" s="14" t="str">
        <x:f>$V$13</x:f>
        <x:v>MODEL_BOSS</x:v>
      </x:c>
      <x:c r="B178" s="14" t="str">
        <x:f>$W$13</x:f>
        <x:v>模型·BOSS</x:v>
      </x:c>
      <x:c r="C178" s="6" t="str">
        <x:f>$X$13</x:f>
        <x:v>稻草人模型</x:v>
      </x:c>
      <x:c r="D178" s="6">
        <x:v>16</x:v>
      </x:c>
      <x:c r="E178" s="6">
        <x:v>13</x:v>
      </x:c>
      <x:c r="F178" s="12">
        <x:f>ROUND(J178*$W$4*H178,0)</x:f>
        <x:v>19620</x:v>
      </x:c>
      <x:c r="G178" s="12">
        <x:f>ROUND(J178*$W$4*$W$5*I178,0)</x:f>
        <x:v>1308</x:v>
      </x:c>
      <x:c r="H178" s="11" t="n">
        <x:f>$Y$13</x:f>
        <x:v>7.5</x:v>
      </x:c>
      <x:c r="I178" s="11" t="n">
        <x:f>$Z$13</x:f>
        <x:v>6.666666666666667</x:v>
      </x:c>
      <x:c r="J178" s="12">
        <x:f>英雄升级调参!$E$81</x:f>
        <x:v>654</x:v>
      </x:c>
      <x:c r="K178" s="12">
        <x:f>英雄升级调参!$F$81</x:f>
        <x:v>6540</x:v>
      </x:c>
      <x:c r="L178" s="6" t="n">
        <x:f>ROUNDUP(F178/J178,0)</x:f>
        <x:v>30</x:v>
      </x:c>
      <x:c r="M178" s="6" t="n">
        <x:f>IF(G178=0,"无伤害",ROUNDUP(K178/MAX(1,ROUND(G178*$AC$13,0)),0))</x:f>
        <x:v>5</x:v>
      </x:c>
      <x:c r="N178" s="6">
        <x:f>ROUNDUP(F178/英雄升级调参!$H$81,0)</x:f>
        <x:v>18</x:v>
      </x:c>
      <x:c r="O178" s="6">
        <x:f>ROUNDUP(F178/英雄升级调参!$K$81,0)</x:f>
        <x:v>11</x:v>
      </x:c>
      <x:c r="P178" s="6" t="str">
        <x:f>$AA$13</x:f>
        <x:v>BOSS：30次标准普攻击杀；5次主要攻击致死</x:v>
      </x:c>
      <x:c r="Q178" s="6"/>
      <x:c r="R178" s="6"/>
      <x:c r="S178" s="6"/>
      <x:c r="T178" s="6"/>
    </x:row>
    <x:row r="179" ht="21" customHeight="1">
      <x:c r="A179" s="14" t="str">
        <x:f>$V$13</x:f>
        <x:v>MODEL_BOSS</x:v>
      </x:c>
      <x:c r="B179" s="14" t="str">
        <x:f>$W$13</x:f>
        <x:v>模型·BOSS</x:v>
      </x:c>
      <x:c r="C179" s="6" t="str">
        <x:f>$X$13</x:f>
        <x:v>稻草人模型</x:v>
      </x:c>
      <x:c r="D179" s="6">
        <x:v>17</x:v>
      </x:c>
      <x:c r="E179" s="6">
        <x:v>13</x:v>
      </x:c>
      <x:c r="F179" s="12">
        <x:f>ROUND(J179*$W$4*H179,0)</x:f>
        <x:v>20970</x:v>
      </x:c>
      <x:c r="G179" s="12">
        <x:f>ROUND(J179*$W$4*$W$5*I179,0)</x:f>
        <x:v>1398</x:v>
      </x:c>
      <x:c r="H179" s="11" t="n">
        <x:f>$Y$13</x:f>
        <x:v>7.5</x:v>
      </x:c>
      <x:c r="I179" s="11" t="n">
        <x:f>$Z$13</x:f>
        <x:v>6.666666666666667</x:v>
      </x:c>
      <x:c r="J179" s="12">
        <x:f>英雄升级调参!$E$82</x:f>
        <x:v>699</x:v>
      </x:c>
      <x:c r="K179" s="12">
        <x:f>英雄升级调参!$F$82</x:f>
        <x:v>6990</x:v>
      </x:c>
      <x:c r="L179" s="6" t="n">
        <x:f>ROUNDUP(F179/J179,0)</x:f>
        <x:v>30</x:v>
      </x:c>
      <x:c r="M179" s="6" t="n">
        <x:f>IF(G179=0,"无伤害",ROUNDUP(K179/MAX(1,ROUND(G179*$AC$13,0)),0))</x:f>
        <x:v>5</x:v>
      </x:c>
      <x:c r="N179" s="6">
        <x:f>ROUNDUP(F179/英雄升级调参!$H$82,0)</x:f>
        <x:v>19</x:v>
      </x:c>
      <x:c r="O179" s="6">
        <x:f>ROUNDUP(F179/英雄升级调参!$K$82,0)</x:f>
        <x:v>11</x:v>
      </x:c>
      <x:c r="P179" s="6" t="str">
        <x:f>$AA$13</x:f>
        <x:v>BOSS：30次标准普攻击杀；5次主要攻击致死</x:v>
      </x:c>
      <x:c r="Q179" s="6"/>
      <x:c r="R179" s="6"/>
      <x:c r="S179" s="6"/>
      <x:c r="T179" s="6"/>
    </x:row>
    <x:row r="180" ht="21" customHeight="1">
      <x:c r="A180" s="14" t="str">
        <x:f>$V$13</x:f>
        <x:v>MODEL_BOSS</x:v>
      </x:c>
      <x:c r="B180" s="14" t="str">
        <x:f>$W$13</x:f>
        <x:v>模型·BOSS</x:v>
      </x:c>
      <x:c r="C180" s="6" t="str">
        <x:f>$X$13</x:f>
        <x:v>稻草人模型</x:v>
      </x:c>
      <x:c r="D180" s="6">
        <x:v>18</x:v>
      </x:c>
      <x:c r="E180" s="6">
        <x:v>13</x:v>
      </x:c>
      <x:c r="F180" s="12">
        <x:f>ROUND(J180*$W$4*H180,0)</x:f>
        <x:v>22320</x:v>
      </x:c>
      <x:c r="G180" s="12">
        <x:f>ROUND(J180*$W$4*$W$5*I180,0)</x:f>
        <x:v>1488</x:v>
      </x:c>
      <x:c r="H180" s="11" t="n">
        <x:f>$Y$13</x:f>
        <x:v>7.5</x:v>
      </x:c>
      <x:c r="I180" s="11" t="n">
        <x:f>$Z$13</x:f>
        <x:v>6.666666666666667</x:v>
      </x:c>
      <x:c r="J180" s="12">
        <x:f>英雄升级调参!$E$83</x:f>
        <x:v>744</x:v>
      </x:c>
      <x:c r="K180" s="12">
        <x:f>英雄升级调参!$F$83</x:f>
        <x:v>7440</x:v>
      </x:c>
      <x:c r="L180" s="6" t="n">
        <x:f>ROUNDUP(F180/J180,0)</x:f>
        <x:v>30</x:v>
      </x:c>
      <x:c r="M180" s="6" t="n">
        <x:f>IF(G180=0,"无伤害",ROUNDUP(K180/MAX(1,ROUND(G180*$AC$13,0)),0))</x:f>
        <x:v>5</x:v>
      </x:c>
      <x:c r="N180" s="6">
        <x:f>ROUNDUP(F180/英雄升级调参!$H$83,0)</x:f>
        <x:v>19</x:v>
      </x:c>
      <x:c r="O180" s="6">
        <x:f>ROUNDUP(F180/英雄升级调参!$K$83,0)</x:f>
        <x:v>11</x:v>
      </x:c>
      <x:c r="P180" s="6" t="str">
        <x:f>$AA$13</x:f>
        <x:v>BOSS：30次标准普攻击杀；5次主要攻击致死</x:v>
      </x:c>
      <x:c r="Q180" s="6"/>
      <x:c r="R180" s="6"/>
      <x:c r="S180" s="6"/>
      <x:c r="T180" s="6"/>
    </x:row>
    <x:row r="181" ht="21" customHeight="1">
      <x:c r="A181" s="14" t="str">
        <x:f>$V$13</x:f>
        <x:v>MODEL_BOSS</x:v>
      </x:c>
      <x:c r="B181" s="14" t="str">
        <x:f>$W$13</x:f>
        <x:v>模型·BOSS</x:v>
      </x:c>
      <x:c r="C181" s="6" t="str">
        <x:f>$X$13</x:f>
        <x:v>稻草人模型</x:v>
      </x:c>
      <x:c r="D181" s="6">
        <x:v>19</x:v>
      </x:c>
      <x:c r="E181" s="6">
        <x:v>13</x:v>
      </x:c>
      <x:c r="F181" s="12">
        <x:f>ROUND(J181*$W$4*H181,0)</x:f>
        <x:v>23670</x:v>
      </x:c>
      <x:c r="G181" s="12">
        <x:f>ROUND(J181*$W$4*$W$5*I181,0)</x:f>
        <x:v>1578</x:v>
      </x:c>
      <x:c r="H181" s="11" t="n">
        <x:f>$Y$13</x:f>
        <x:v>7.5</x:v>
      </x:c>
      <x:c r="I181" s="11" t="n">
        <x:f>$Z$13</x:f>
        <x:v>6.666666666666667</x:v>
      </x:c>
      <x:c r="J181" s="12">
        <x:f>英雄升级调参!$E$84</x:f>
        <x:v>789</x:v>
      </x:c>
      <x:c r="K181" s="12">
        <x:f>英雄升级调参!$F$84</x:f>
        <x:v>7890</x:v>
      </x:c>
      <x:c r="L181" s="6" t="n">
        <x:f>ROUNDUP(F181/J181,0)</x:f>
        <x:v>30</x:v>
      </x:c>
      <x:c r="M181" s="6" t="n">
        <x:f>IF(G181=0,"无伤害",ROUNDUP(K181/MAX(1,ROUND(G181*$AC$13,0)),0))</x:f>
        <x:v>5</x:v>
      </x:c>
      <x:c r="N181" s="6">
        <x:f>ROUNDUP(F181/英雄升级调参!$H$84,0)</x:f>
        <x:v>19</x:v>
      </x:c>
      <x:c r="O181" s="6">
        <x:f>ROUNDUP(F181/英雄升级调参!$K$84,0)</x:f>
        <x:v>11</x:v>
      </x:c>
      <x:c r="P181" s="6" t="str">
        <x:f>$AA$13</x:f>
        <x:v>BOSS：30次标准普攻击杀；5次主要攻击致死</x:v>
      </x:c>
      <x:c r="Q181" s="6"/>
      <x:c r="R181" s="6"/>
      <x:c r="S181" s="6"/>
      <x:c r="T181" s="6"/>
    </x:row>
    <x:row r="182" ht="21" customHeight="1">
      <x:c r="A182" s="14" t="str">
        <x:f>$V$13</x:f>
        <x:v>MODEL_BOSS</x:v>
      </x:c>
      <x:c r="B182" s="14" t="str">
        <x:f>$W$13</x:f>
        <x:v>模型·BOSS</x:v>
      </x:c>
      <x:c r="C182" s="6" t="str">
        <x:f>$X$13</x:f>
        <x:v>稻草人模型</x:v>
      </x:c>
      <x:c r="D182" s="6">
        <x:v>20</x:v>
      </x:c>
      <x:c r="E182" s="6">
        <x:v>13</x:v>
      </x:c>
      <x:c r="F182" s="12">
        <x:f>ROUND(J182*$W$4*H182,0)</x:f>
        <x:v>27720</x:v>
      </x:c>
      <x:c r="G182" s="12">
        <x:f>ROUND(J182*$W$4*$W$5*I182,0)</x:f>
        <x:v>1848</x:v>
      </x:c>
      <x:c r="H182" s="11" t="n">
        <x:f>$Y$13</x:f>
        <x:v>7.5</x:v>
      </x:c>
      <x:c r="I182" s="11" t="n">
        <x:f>$Z$13</x:f>
        <x:v>6.666666666666667</x:v>
      </x:c>
      <x:c r="J182" s="12">
        <x:f>英雄升级调参!$E$85</x:f>
        <x:v>924</x:v>
      </x:c>
      <x:c r="K182" s="12">
        <x:f>英雄升级调参!$F$85</x:f>
        <x:v>9240</x:v>
      </x:c>
      <x:c r="L182" s="6" t="n">
        <x:f>ROUNDUP(F182/J182,0)</x:f>
        <x:v>30</x:v>
      </x:c>
      <x:c r="M182" s="6" t="n">
        <x:f>IF(G182=0,"无伤害",ROUNDUP(K182/MAX(1,ROUND(G182*$AC$13,0)),0))</x:f>
        <x:v>5</x:v>
      </x:c>
      <x:c r="N182" s="6">
        <x:f>ROUNDUP(F182/英雄升级调参!$H$85,0)</x:f>
        <x:v>19</x:v>
      </x:c>
      <x:c r="O182" s="6">
        <x:f>ROUNDUP(F182/英雄升级调参!$K$85,0)</x:f>
        <x:v>11</x:v>
      </x:c>
      <x:c r="P182" s="6" t="str">
        <x:f>$AA$13</x:f>
        <x:v>BOSS：30次标准普攻击杀；5次主要攻击致死</x:v>
      </x:c>
      <x:c r="Q182" s="6"/>
      <x:c r="R182" s="6"/>
      <x:c r="S182" s="6"/>
      <x:c r="T182" s="6"/>
    </x:row>
    <x:row r="183" ht="21" customHeight="1">
      <x:c r="A183" s="14" t="str">
        <x:f>$V$13</x:f>
        <x:v>MODEL_BOSS</x:v>
      </x:c>
      <x:c r="B183" s="14" t="str">
        <x:f>$W$13</x:f>
        <x:v>模型·BOSS</x:v>
      </x:c>
      <x:c r="C183" s="6" t="str">
        <x:f>$X$13</x:f>
        <x:v>稻草人模型</x:v>
      </x:c>
      <x:c r="D183" s="6">
        <x:v>21</x:v>
      </x:c>
      <x:c r="E183" s="6">
        <x:v>13</x:v>
      </x:c>
      <x:c r="F183" s="12">
        <x:f>ROUND(J183*$W$4*H183,0)</x:f>
        <x:v>29340</x:v>
      </x:c>
      <x:c r="G183" s="12">
        <x:f>ROUND(J183*$W$4*$W$5*I183,0)</x:f>
        <x:v>1956</x:v>
      </x:c>
      <x:c r="H183" s="11" t="n">
        <x:f>$Y$13</x:f>
        <x:v>7.5</x:v>
      </x:c>
      <x:c r="I183" s="11" t="n">
        <x:f>$Z$13</x:f>
        <x:v>6.666666666666667</x:v>
      </x:c>
      <x:c r="J183" s="12">
        <x:f>英雄升级调参!$E$86</x:f>
        <x:v>978</x:v>
      </x:c>
      <x:c r="K183" s="12">
        <x:f>英雄升级调参!$F$86</x:f>
        <x:v>9780</x:v>
      </x:c>
      <x:c r="L183" s="6" t="n">
        <x:f>ROUNDUP(F183/J183,0)</x:f>
        <x:v>30</x:v>
      </x:c>
      <x:c r="M183" s="6" t="n">
        <x:f>IF(G183=0,"无伤害",ROUNDUP(K183/MAX(1,ROUND(G183*$AC$13,0)),0))</x:f>
        <x:v>5</x:v>
      </x:c>
      <x:c r="N183" s="6">
        <x:f>ROUNDUP(F183/英雄升级调参!$H$86,0)</x:f>
        <x:v>19</x:v>
      </x:c>
      <x:c r="O183" s="6">
        <x:f>ROUNDUP(F183/英雄升级调参!$K$86,0)</x:f>
        <x:v>12</x:v>
      </x:c>
      <x:c r="P183" s="6" t="str">
        <x:f>$AA$13</x:f>
        <x:v>BOSS：30次标准普攻击杀；5次主要攻击致死</x:v>
      </x:c>
      <x:c r="Q183" s="6"/>
      <x:c r="R183" s="6"/>
      <x:c r="S183" s="6"/>
      <x:c r="T183" s="6"/>
    </x:row>
    <x:row r="184" ht="21" customHeight="1">
      <x:c r="A184" s="14" t="str">
        <x:f>$V$13</x:f>
        <x:v>MODEL_BOSS</x:v>
      </x:c>
      <x:c r="B184" s="14" t="str">
        <x:f>$W$13</x:f>
        <x:v>模型·BOSS</x:v>
      </x:c>
      <x:c r="C184" s="6" t="str">
        <x:f>$X$13</x:f>
        <x:v>稻草人模型</x:v>
      </x:c>
      <x:c r="D184" s="6">
        <x:v>22</x:v>
      </x:c>
      <x:c r="E184" s="6">
        <x:v>13</x:v>
      </x:c>
      <x:c r="F184" s="12">
        <x:f>ROUND(J184*$W$4*H184,0)</x:f>
        <x:v>30960</x:v>
      </x:c>
      <x:c r="G184" s="12">
        <x:f>ROUND(J184*$W$4*$W$5*I184,0)</x:f>
        <x:v>2064</x:v>
      </x:c>
      <x:c r="H184" s="11" t="n">
        <x:f>$Y$13</x:f>
        <x:v>7.5</x:v>
      </x:c>
      <x:c r="I184" s="11" t="n">
        <x:f>$Z$13</x:f>
        <x:v>6.666666666666667</x:v>
      </x:c>
      <x:c r="J184" s="12">
        <x:f>英雄升级调参!$E$87</x:f>
        <x:v>1032</x:v>
      </x:c>
      <x:c r="K184" s="12">
        <x:f>英雄升级调参!$F$87</x:f>
        <x:v>10320</x:v>
      </x:c>
      <x:c r="L184" s="6" t="n">
        <x:f>ROUNDUP(F184/J184,0)</x:f>
        <x:v>30</x:v>
      </x:c>
      <x:c r="M184" s="6" t="n">
        <x:f>IF(G184=0,"无伤害",ROUNDUP(K184/MAX(1,ROUND(G184*$AC$13,0)),0))</x:f>
        <x:v>5</x:v>
      </x:c>
      <x:c r="N184" s="6">
        <x:f>ROUNDUP(F184/英雄升级调参!$H$87,0)</x:f>
        <x:v>19</x:v>
      </x:c>
      <x:c r="O184" s="6">
        <x:f>ROUNDUP(F184/英雄升级调参!$K$87,0)</x:f>
        <x:v>12</x:v>
      </x:c>
      <x:c r="P184" s="6" t="str">
        <x:f>$AA$13</x:f>
        <x:v>BOSS：30次标准普攻击杀；5次主要攻击致死</x:v>
      </x:c>
      <x:c r="Q184" s="6"/>
      <x:c r="R184" s="6"/>
      <x:c r="S184" s="6"/>
      <x:c r="T184" s="6"/>
    </x:row>
    <x:row r="185" ht="21" customHeight="1">
      <x:c r="A185" s="14" t="str">
        <x:f>$V$13</x:f>
        <x:v>MODEL_BOSS</x:v>
      </x:c>
      <x:c r="B185" s="14" t="str">
        <x:f>$W$13</x:f>
        <x:v>模型·BOSS</x:v>
      </x:c>
      <x:c r="C185" s="6" t="str">
        <x:f>$X$13</x:f>
        <x:v>稻草人模型</x:v>
      </x:c>
      <x:c r="D185" s="6">
        <x:v>23</x:v>
      </x:c>
      <x:c r="E185" s="6">
        <x:v>13</x:v>
      </x:c>
      <x:c r="F185" s="12">
        <x:f>ROUND(J185*$W$4*H185,0)</x:f>
        <x:v>32580</x:v>
      </x:c>
      <x:c r="G185" s="12">
        <x:f>ROUND(J185*$W$4*$W$5*I185,0)</x:f>
        <x:v>2172</x:v>
      </x:c>
      <x:c r="H185" s="11" t="n">
        <x:f>$Y$13</x:f>
        <x:v>7.5</x:v>
      </x:c>
      <x:c r="I185" s="11" t="n">
        <x:f>$Z$13</x:f>
        <x:v>6.666666666666667</x:v>
      </x:c>
      <x:c r="J185" s="12">
        <x:f>英雄升级调参!$E$88</x:f>
        <x:v>1086</x:v>
      </x:c>
      <x:c r="K185" s="12">
        <x:f>英雄升级调参!$F$88</x:f>
        <x:v>10860</x:v>
      </x:c>
      <x:c r="L185" s="6" t="n">
        <x:f>ROUNDUP(F185/J185,0)</x:f>
        <x:v>30</x:v>
      </x:c>
      <x:c r="M185" s="6" t="n">
        <x:f>IF(G185=0,"无伤害",ROUNDUP(K185/MAX(1,ROUND(G185*$AC$13,0)),0))</x:f>
        <x:v>5</x:v>
      </x:c>
      <x:c r="N185" s="6">
        <x:f>ROUNDUP(F185/英雄升级调参!$H$88,0)</x:f>
        <x:v>19</x:v>
      </x:c>
      <x:c r="O185" s="6">
        <x:f>ROUNDUP(F185/英雄升级调参!$K$88,0)</x:f>
        <x:v>12</x:v>
      </x:c>
      <x:c r="P185" s="6" t="str">
        <x:f>$AA$13</x:f>
        <x:v>BOSS：30次标准普攻击杀；5次主要攻击致死</x:v>
      </x:c>
      <x:c r="Q185" s="6"/>
      <x:c r="R185" s="6"/>
      <x:c r="S185" s="6"/>
      <x:c r="T185" s="6"/>
    </x:row>
    <x:row r="186" ht="21" customHeight="1">
      <x:c r="A186" s="14" t="str">
        <x:f>$V$13</x:f>
        <x:v>MODEL_BOSS</x:v>
      </x:c>
      <x:c r="B186" s="14" t="str">
        <x:f>$W$13</x:f>
        <x:v>模型·BOSS</x:v>
      </x:c>
      <x:c r="C186" s="6" t="str">
        <x:f>$X$13</x:f>
        <x:v>稻草人模型</x:v>
      </x:c>
      <x:c r="D186" s="6">
        <x:v>24</x:v>
      </x:c>
      <x:c r="E186" s="6">
        <x:v>13</x:v>
      </x:c>
      <x:c r="F186" s="12">
        <x:f>ROUND(J186*$W$4*H186,0)</x:f>
        <x:v>34200</x:v>
      </x:c>
      <x:c r="G186" s="12">
        <x:f>ROUND(J186*$W$4*$W$5*I186,0)</x:f>
        <x:v>2280</x:v>
      </x:c>
      <x:c r="H186" s="11" t="n">
        <x:f>$Y$13</x:f>
        <x:v>7.5</x:v>
      </x:c>
      <x:c r="I186" s="11" t="n">
        <x:f>$Z$13</x:f>
        <x:v>6.666666666666667</x:v>
      </x:c>
      <x:c r="J186" s="12">
        <x:f>英雄升级调参!$E$89</x:f>
        <x:v>1140</x:v>
      </x:c>
      <x:c r="K186" s="12">
        <x:f>英雄升级调参!$F$89</x:f>
        <x:v>11400</x:v>
      </x:c>
      <x:c r="L186" s="6" t="n">
        <x:f>ROUNDUP(F186/J186,0)</x:f>
        <x:v>30</x:v>
      </x:c>
      <x:c r="M186" s="6" t="n">
        <x:f>IF(G186=0,"无伤害",ROUNDUP(K186/MAX(1,ROUND(G186*$AC$13,0)),0))</x:f>
        <x:v>5</x:v>
      </x:c>
      <x:c r="N186" s="6">
        <x:f>ROUNDUP(F186/英雄升级调参!$H$89,0)</x:f>
        <x:v>19</x:v>
      </x:c>
      <x:c r="O186" s="6">
        <x:f>ROUNDUP(F186/英雄升级调参!$K$89,0)</x:f>
        <x:v>12</x:v>
      </x:c>
      <x:c r="P186" s="6" t="str">
        <x:f>$AA$13</x:f>
        <x:v>BOSS：30次标准普攻击杀；5次主要攻击致死</x:v>
      </x:c>
      <x:c r="Q186" s="6"/>
      <x:c r="R186" s="6"/>
      <x:c r="S186" s="6"/>
      <x:c r="T186" s="6"/>
    </x:row>
    <x:row r="187" ht="21" customHeight="1">
      <x:c r="A187" s="14" t="str">
        <x:f>$V$13</x:f>
        <x:v>MODEL_BOSS</x:v>
      </x:c>
      <x:c r="B187" s="14" t="str">
        <x:f>$W$13</x:f>
        <x:v>模型·BOSS</x:v>
      </x:c>
      <x:c r="C187" s="6" t="str">
        <x:f>$X$13</x:f>
        <x:v>稻草人模型</x:v>
      </x:c>
      <x:c r="D187" s="6">
        <x:v>25</x:v>
      </x:c>
      <x:c r="E187" s="6">
        <x:v>13</x:v>
      </x:c>
      <x:c r="F187" s="12">
        <x:f>ROUND(J187*$W$4*H187,0)</x:f>
        <x:v>39060</x:v>
      </x:c>
      <x:c r="G187" s="12">
        <x:f>ROUND(J187*$W$4*$W$5*I187,0)</x:f>
        <x:v>2604</x:v>
      </x:c>
      <x:c r="H187" s="11" t="n">
        <x:f>$Y$13</x:f>
        <x:v>7.5</x:v>
      </x:c>
      <x:c r="I187" s="11" t="n">
        <x:f>$Z$13</x:f>
        <x:v>6.666666666666667</x:v>
      </x:c>
      <x:c r="J187" s="12">
        <x:f>英雄升级调参!$E$90</x:f>
        <x:v>1302</x:v>
      </x:c>
      <x:c r="K187" s="12">
        <x:f>英雄升级调参!$F$90</x:f>
        <x:v>13020</x:v>
      </x:c>
      <x:c r="L187" s="6" t="n">
        <x:f>ROUNDUP(F187/J187,0)</x:f>
        <x:v>30</x:v>
      </x:c>
      <x:c r="M187" s="6" t="n">
        <x:f>IF(G187=0,"无伤害",ROUNDUP(K187/MAX(1,ROUND(G187*$AC$13,0)),0))</x:f>
        <x:v>5</x:v>
      </x:c>
      <x:c r="N187" s="6">
        <x:f>ROUNDUP(F187/英雄升级调参!$H$90,0)</x:f>
        <x:v>19</x:v>
      </x:c>
      <x:c r="O187" s="6">
        <x:f>ROUNDUP(F187/英雄升级调参!$K$90,0)</x:f>
        <x:v>12</x:v>
      </x:c>
      <x:c r="P187" s="6" t="str">
        <x:f>$AA$13</x:f>
        <x:v>BOSS：30次标准普攻击杀；5次主要攻击致死</x:v>
      </x:c>
      <x:c r="Q187" s="6"/>
      <x:c r="R187" s="6"/>
      <x:c r="S187" s="6"/>
      <x:c r="T187" s="6"/>
    </x:row>
    <x:row r="188" ht="21" customHeight="1">
      <x:c r="A188" s="14" t="str">
        <x:f>$V$13</x:f>
        <x:v>MODEL_BOSS</x:v>
      </x:c>
      <x:c r="B188" s="14" t="str">
        <x:f>$W$13</x:f>
        <x:v>模型·BOSS</x:v>
      </x:c>
      <x:c r="C188" s="6" t="str">
        <x:f>$X$13</x:f>
        <x:v>稻草人模型</x:v>
      </x:c>
      <x:c r="D188" s="6">
        <x:v>26</x:v>
      </x:c>
      <x:c r="E188" s="6">
        <x:v>13</x:v>
      </x:c>
      <x:c r="F188" s="12">
        <x:f>ROUND(J188*$W$4*H188,0)</x:f>
        <x:v>40950</x:v>
      </x:c>
      <x:c r="G188" s="12">
        <x:f>ROUND(J188*$W$4*$W$5*I188,0)</x:f>
        <x:v>2730</x:v>
      </x:c>
      <x:c r="H188" s="11" t="n">
        <x:f>$Y$13</x:f>
        <x:v>7.5</x:v>
      </x:c>
      <x:c r="I188" s="11" t="n">
        <x:f>$Z$13</x:f>
        <x:v>6.666666666666667</x:v>
      </x:c>
      <x:c r="J188" s="12">
        <x:f>英雄升级调参!$E$91</x:f>
        <x:v>1365</x:v>
      </x:c>
      <x:c r="K188" s="12">
        <x:f>英雄升级调参!$F$91</x:f>
        <x:v>13650</x:v>
      </x:c>
      <x:c r="L188" s="6" t="n">
        <x:f>ROUNDUP(F188/J188,0)</x:f>
        <x:v>30</x:v>
      </x:c>
      <x:c r="M188" s="6" t="n">
        <x:f>IF(G188=0,"无伤害",ROUNDUP(K188/MAX(1,ROUND(G188*$AC$13,0)),0))</x:f>
        <x:v>5</x:v>
      </x:c>
      <x:c r="N188" s="6">
        <x:f>ROUNDUP(F188/英雄升级调参!$H$91,0)</x:f>
        <x:v>19</x:v>
      </x:c>
      <x:c r="O188" s="6">
        <x:f>ROUNDUP(F188/英雄升级调参!$K$91,0)</x:f>
        <x:v>12</x:v>
      </x:c>
      <x:c r="P188" s="6" t="str">
        <x:f>$AA$13</x:f>
        <x:v>BOSS：30次标准普攻击杀；5次主要攻击致死</x:v>
      </x:c>
      <x:c r="Q188" s="6"/>
      <x:c r="R188" s="6"/>
      <x:c r="S188" s="6"/>
      <x:c r="T188" s="6"/>
    </x:row>
    <x:row r="189" ht="21" customHeight="1">
      <x:c r="A189" s="14" t="str">
        <x:f>$V$13</x:f>
        <x:v>MODEL_BOSS</x:v>
      </x:c>
      <x:c r="B189" s="14" t="str">
        <x:f>$W$13</x:f>
        <x:v>模型·BOSS</x:v>
      </x:c>
      <x:c r="C189" s="6" t="str">
        <x:f>$X$13</x:f>
        <x:v>稻草人模型</x:v>
      </x:c>
      <x:c r="D189" s="6">
        <x:v>27</x:v>
      </x:c>
      <x:c r="E189" s="6">
        <x:v>13</x:v>
      </x:c>
      <x:c r="F189" s="12">
        <x:f>ROUND(J189*$W$4*H189,0)</x:f>
        <x:v>42840</x:v>
      </x:c>
      <x:c r="G189" s="12">
        <x:f>ROUND(J189*$W$4*$W$5*I189,0)</x:f>
        <x:v>2856</x:v>
      </x:c>
      <x:c r="H189" s="11" t="n">
        <x:f>$Y$13</x:f>
        <x:v>7.5</x:v>
      </x:c>
      <x:c r="I189" s="11" t="n">
        <x:f>$Z$13</x:f>
        <x:v>6.666666666666667</x:v>
      </x:c>
      <x:c r="J189" s="12">
        <x:f>英雄升级调参!$E$92</x:f>
        <x:v>1428</x:v>
      </x:c>
      <x:c r="K189" s="12">
        <x:f>英雄升级调参!$F$92</x:f>
        <x:v>14280</x:v>
      </x:c>
      <x:c r="L189" s="6" t="n">
        <x:f>ROUNDUP(F189/J189,0)</x:f>
        <x:v>30</x:v>
      </x:c>
      <x:c r="M189" s="6" t="n">
        <x:f>IF(G189=0,"无伤害",ROUNDUP(K189/MAX(1,ROUND(G189*$AC$13,0)),0))</x:f>
        <x:v>5</x:v>
      </x:c>
      <x:c r="N189" s="6">
        <x:f>ROUNDUP(F189/英雄升级调参!$H$92,0)</x:f>
        <x:v>19</x:v>
      </x:c>
      <x:c r="O189" s="6">
        <x:f>ROUNDUP(F189/英雄升级调参!$K$92,0)</x:f>
        <x:v>12</x:v>
      </x:c>
      <x:c r="P189" s="6" t="str">
        <x:f>$AA$13</x:f>
        <x:v>BOSS：30次标准普攻击杀；5次主要攻击致死</x:v>
      </x:c>
      <x:c r="Q189" s="6"/>
      <x:c r="R189" s="6"/>
      <x:c r="S189" s="6"/>
      <x:c r="T189" s="6"/>
    </x:row>
    <x:row r="190" ht="21" customHeight="1">
      <x:c r="A190" s="14" t="str">
        <x:f>$V$13</x:f>
        <x:v>MODEL_BOSS</x:v>
      </x:c>
      <x:c r="B190" s="14" t="str">
        <x:f>$W$13</x:f>
        <x:v>模型·BOSS</x:v>
      </x:c>
      <x:c r="C190" s="6" t="str">
        <x:f>$X$13</x:f>
        <x:v>稻草人模型</x:v>
      </x:c>
      <x:c r="D190" s="6">
        <x:v>28</x:v>
      </x:c>
      <x:c r="E190" s="6">
        <x:v>13</x:v>
      </x:c>
      <x:c r="F190" s="12">
        <x:f>ROUND(J190*$W$4*H190,0)</x:f>
        <x:v>44730</x:v>
      </x:c>
      <x:c r="G190" s="12">
        <x:f>ROUND(J190*$W$4*$W$5*I190,0)</x:f>
        <x:v>2982</x:v>
      </x:c>
      <x:c r="H190" s="11" t="n">
        <x:f>$Y$13</x:f>
        <x:v>7.5</x:v>
      </x:c>
      <x:c r="I190" s="11" t="n">
        <x:f>$Z$13</x:f>
        <x:v>6.666666666666667</x:v>
      </x:c>
      <x:c r="J190" s="12">
        <x:f>英雄升级调参!$E$93</x:f>
        <x:v>1491</x:v>
      </x:c>
      <x:c r="K190" s="12">
        <x:f>英雄升级调参!$F$93</x:f>
        <x:v>14910</x:v>
      </x:c>
      <x:c r="L190" s="6" t="n">
        <x:f>ROUNDUP(F190/J190,0)</x:f>
        <x:v>30</x:v>
      </x:c>
      <x:c r="M190" s="6" t="n">
        <x:f>IF(G190=0,"无伤害",ROUNDUP(K190/MAX(1,ROUND(G190*$AC$13,0)),0))</x:f>
        <x:v>5</x:v>
      </x:c>
      <x:c r="N190" s="6" t="n">
        <x:f>ROUNDUP(F190/英雄升级调参!$H$93,0)</x:f>
        <x:v>20</x:v>
      </x:c>
      <x:c r="O190" s="6">
        <x:f>ROUNDUP(F190/英雄升级调参!$K$93,0)</x:f>
        <x:v>12</x:v>
      </x:c>
      <x:c r="P190" s="6" t="str">
        <x:f>$AA$13</x:f>
        <x:v>BOSS：30次标准普攻击杀；5次主要攻击致死</x:v>
      </x:c>
      <x:c r="Q190" s="6"/>
      <x:c r="R190" s="6"/>
      <x:c r="S190" s="6"/>
      <x:c r="T190" s="6"/>
    </x:row>
    <x:row r="191" ht="21" customHeight="1">
      <x:c r="A191" s="14" t="str">
        <x:f>$V$13</x:f>
        <x:v>MODEL_BOSS</x:v>
      </x:c>
      <x:c r="B191" s="14" t="str">
        <x:f>$W$13</x:f>
        <x:v>模型·BOSS</x:v>
      </x:c>
      <x:c r="C191" s="6" t="str">
        <x:f>$X$13</x:f>
        <x:v>稻草人模型</x:v>
      </x:c>
      <x:c r="D191" s="6">
        <x:v>29</x:v>
      </x:c>
      <x:c r="E191" s="6">
        <x:v>13</x:v>
      </x:c>
      <x:c r="F191" s="12">
        <x:f>ROUND(J191*$W$4*H191,0)</x:f>
        <x:v>46620</x:v>
      </x:c>
      <x:c r="G191" s="12">
        <x:f>ROUND(J191*$W$4*$W$5*I191,0)</x:f>
        <x:v>3108</x:v>
      </x:c>
      <x:c r="H191" s="11" t="n">
        <x:f>$Y$13</x:f>
        <x:v>7.5</x:v>
      </x:c>
      <x:c r="I191" s="11" t="n">
        <x:f>$Z$13</x:f>
        <x:v>6.666666666666667</x:v>
      </x:c>
      <x:c r="J191" s="12">
        <x:f>英雄升级调参!$E$94</x:f>
        <x:v>1554</x:v>
      </x:c>
      <x:c r="K191" s="12">
        <x:f>英雄升级调参!$F$94</x:f>
        <x:v>15540</x:v>
      </x:c>
      <x:c r="L191" s="6" t="n">
        <x:f>ROUNDUP(F191/J191,0)</x:f>
        <x:v>30</x:v>
      </x:c>
      <x:c r="M191" s="6" t="n">
        <x:f>IF(G191=0,"无伤害",ROUNDUP(K191/MAX(1,ROUND(G191*$AC$13,0)),0))</x:f>
        <x:v>5</x:v>
      </x:c>
      <x:c r="N191" s="6" t="n">
        <x:f>ROUNDUP(F191/英雄升级调参!$H$94,0)</x:f>
        <x:v>20</x:v>
      </x:c>
      <x:c r="O191" s="6">
        <x:f>ROUNDUP(F191/英雄升级调参!$K$94,0)</x:f>
        <x:v>12</x:v>
      </x:c>
      <x:c r="P191" s="6" t="str">
        <x:f>$AA$13</x:f>
        <x:v>BOSS：30次标准普攻击杀；5次主要攻击致死</x:v>
      </x:c>
      <x:c r="Q191" s="6"/>
      <x:c r="R191" s="6"/>
      <x:c r="S191" s="6"/>
      <x:c r="T191" s="6"/>
    </x:row>
    <x:row r="192" ht="21" customHeight="1">
      <x:c r="A192" s="14" t="str">
        <x:f>$V$13</x:f>
        <x:v>MODEL_BOSS</x:v>
      </x:c>
      <x:c r="B192" s="14" t="str">
        <x:f>$W$13</x:f>
        <x:v>模型·BOSS</x:v>
      </x:c>
      <x:c r="C192" s="6" t="str">
        <x:f>$X$13</x:f>
        <x:v>稻草人模型</x:v>
      </x:c>
      <x:c r="D192" s="6">
        <x:v>30</x:v>
      </x:c>
      <x:c r="E192" s="6">
        <x:v>13</x:v>
      </x:c>
      <x:c r="F192" s="12">
        <x:f>ROUND(J192*$W$4*H192,0)</x:f>
        <x:v>52290</x:v>
      </x:c>
      <x:c r="G192" s="12">
        <x:f>ROUND(J192*$W$4*$W$5*I192,0)</x:f>
        <x:v>3486</x:v>
      </x:c>
      <x:c r="H192" s="11" t="n">
        <x:f>$Y$13</x:f>
        <x:v>7.5</x:v>
      </x:c>
      <x:c r="I192" s="11" t="n">
        <x:f>$Z$13</x:f>
        <x:v>6.666666666666667</x:v>
      </x:c>
      <x:c r="J192" s="12">
        <x:f>英雄升级调参!$E$95</x:f>
        <x:v>1743</x:v>
      </x:c>
      <x:c r="K192" s="12">
        <x:f>英雄升级调参!$F$95</x:f>
        <x:v>17430</x:v>
      </x:c>
      <x:c r="L192" s="6" t="n">
        <x:f>ROUNDUP(F192/J192,0)</x:f>
        <x:v>30</x:v>
      </x:c>
      <x:c r="M192" s="6" t="n">
        <x:f>IF(G192=0,"无伤害",ROUNDUP(K192/MAX(1,ROUND(G192*$AC$13,0)),0))</x:f>
        <x:v>5</x:v>
      </x:c>
      <x:c r="N192" s="6" t="n">
        <x:f>ROUNDUP(F192/英雄升级调参!$H$95,0)</x:f>
        <x:v>20</x:v>
      </x:c>
      <x:c r="O192" s="6">
        <x:f>ROUNDUP(F192/英雄升级调参!$K$95,0)</x:f>
        <x:v>12</x:v>
      </x:c>
      <x:c r="P192" s="6" t="str">
        <x:f>$AA$13</x:f>
        <x:v>BOSS：30次标准普攻击杀；5次主要攻击致死</x:v>
      </x:c>
      <x:c r="Q192" s="6"/>
      <x:c r="R192" s="6"/>
      <x:c r="S192" s="6"/>
      <x:c r="T192" s="6"/>
    </x:row>
    <x:row r="193" ht="21" customHeight="1">
      <x:c r="A193" s="14" t="str">
        <x:f>$V$13</x:f>
        <x:v>MODEL_BOSS</x:v>
      </x:c>
      <x:c r="B193" s="14" t="str">
        <x:f>$W$13</x:f>
        <x:v>模型·BOSS</x:v>
      </x:c>
      <x:c r="C193" s="6" t="str">
        <x:f>$X$13</x:f>
        <x:v>稻草人模型</x:v>
      </x:c>
      <x:c r="D193" s="6">
        <x:v>31</x:v>
      </x:c>
      <x:c r="E193" s="6">
        <x:v>13</x:v>
      </x:c>
      <x:c r="F193" s="12">
        <x:f>ROUND(J193*$W$4*H193,0)</x:f>
        <x:v>54450</x:v>
      </x:c>
      <x:c r="G193" s="12">
        <x:f>ROUND(J193*$W$4*$W$5*I193,0)</x:f>
        <x:v>3630</x:v>
      </x:c>
      <x:c r="H193" s="11" t="n">
        <x:f>$Y$13</x:f>
        <x:v>7.5</x:v>
      </x:c>
      <x:c r="I193" s="11" t="n">
        <x:f>$Z$13</x:f>
        <x:v>6.666666666666667</x:v>
      </x:c>
      <x:c r="J193" s="12">
        <x:f>英雄升级调参!$E$96</x:f>
        <x:v>1815</x:v>
      </x:c>
      <x:c r="K193" s="12">
        <x:f>英雄升级调参!$F$96</x:f>
        <x:v>18150</x:v>
      </x:c>
      <x:c r="L193" s="6" t="n">
        <x:f>ROUNDUP(F193/J193,0)</x:f>
        <x:v>30</x:v>
      </x:c>
      <x:c r="M193" s="6" t="n">
        <x:f>IF(G193=0,"无伤害",ROUNDUP(K193/MAX(1,ROUND(G193*$AC$13,0)),0))</x:f>
        <x:v>5</x:v>
      </x:c>
      <x:c r="N193" s="6" t="n">
        <x:f>ROUNDUP(F193/英雄升级调参!$H$96,0)</x:f>
        <x:v>20</x:v>
      </x:c>
      <x:c r="O193" s="6">
        <x:f>ROUNDUP(F193/英雄升级调参!$K$96,0)</x:f>
        <x:v>12</x:v>
      </x:c>
      <x:c r="P193" s="6" t="str">
        <x:f>$AA$13</x:f>
        <x:v>BOSS：30次标准普攻击杀；5次主要攻击致死</x:v>
      </x:c>
      <x:c r="Q193" s="6"/>
      <x:c r="R193" s="6"/>
      <x:c r="S193" s="6"/>
      <x:c r="T193" s="6"/>
    </x:row>
    <x:row r="194" ht="21" customHeight="1">
      <x:c r="A194" s="14" t="str">
        <x:f>$V$13</x:f>
        <x:v>MODEL_BOSS</x:v>
      </x:c>
      <x:c r="B194" s="14" t="str">
        <x:f>$W$13</x:f>
        <x:v>模型·BOSS</x:v>
      </x:c>
      <x:c r="C194" s="6" t="str">
        <x:f>$X$13</x:f>
        <x:v>稻草人模型</x:v>
      </x:c>
      <x:c r="D194" s="6">
        <x:v>32</x:v>
      </x:c>
      <x:c r="E194" s="6">
        <x:v>13</x:v>
      </x:c>
      <x:c r="F194" s="12">
        <x:f>ROUND(J194*$W$4*H194,0)</x:f>
        <x:v>56610</x:v>
      </x:c>
      <x:c r="G194" s="12">
        <x:f>ROUND(J194*$W$4*$W$5*I194,0)</x:f>
        <x:v>3774</x:v>
      </x:c>
      <x:c r="H194" s="11" t="n">
        <x:f>$Y$13</x:f>
        <x:v>7.5</x:v>
      </x:c>
      <x:c r="I194" s="11" t="n">
        <x:f>$Z$13</x:f>
        <x:v>6.666666666666667</x:v>
      </x:c>
      <x:c r="J194" s="12">
        <x:f>英雄升级调参!$E$97</x:f>
        <x:v>1887</x:v>
      </x:c>
      <x:c r="K194" s="12">
        <x:f>英雄升级调参!$F$97</x:f>
        <x:v>18870</x:v>
      </x:c>
      <x:c r="L194" s="6" t="n">
        <x:f>ROUNDUP(F194/J194,0)</x:f>
        <x:v>30</x:v>
      </x:c>
      <x:c r="M194" s="6" t="n">
        <x:f>IF(G194=0,"无伤害",ROUNDUP(K194/MAX(1,ROUND(G194*$AC$13,0)),0))</x:f>
        <x:v>5</x:v>
      </x:c>
      <x:c r="N194" s="6" t="n">
        <x:f>ROUNDUP(F194/英雄升级调参!$H$97,0)</x:f>
        <x:v>20</x:v>
      </x:c>
      <x:c r="O194" s="6">
        <x:f>ROUNDUP(F194/英雄升级调参!$K$97,0)</x:f>
        <x:v>12</x:v>
      </x:c>
      <x:c r="P194" s="6" t="str">
        <x:f>$AA$13</x:f>
        <x:v>BOSS：30次标准普攻击杀；5次主要攻击致死</x:v>
      </x:c>
      <x:c r="Q194" s="6"/>
      <x:c r="R194" s="6"/>
      <x:c r="S194" s="6"/>
      <x:c r="T194" s="6"/>
    </x:row>
    <x:row r="195" ht="21" customHeight="1">
      <x:c r="A195" s="14" t="str">
        <x:f>$V$13</x:f>
        <x:v>MODEL_BOSS</x:v>
      </x:c>
      <x:c r="B195" s="14" t="str">
        <x:f>$W$13</x:f>
        <x:v>模型·BOSS</x:v>
      </x:c>
      <x:c r="C195" s="6" t="str">
        <x:f>$X$13</x:f>
        <x:v>稻草人模型</x:v>
      </x:c>
      <x:c r="D195" s="6">
        <x:v>33</x:v>
      </x:c>
      <x:c r="E195" s="6">
        <x:v>13</x:v>
      </x:c>
      <x:c r="F195" s="12">
        <x:f>ROUND(J195*$W$4*H195,0)</x:f>
        <x:v>58770</x:v>
      </x:c>
      <x:c r="G195" s="12">
        <x:f>ROUND(J195*$W$4*$W$5*I195,0)</x:f>
        <x:v>3918</x:v>
      </x:c>
      <x:c r="H195" s="11" t="n">
        <x:f>$Y$13</x:f>
        <x:v>7.5</x:v>
      </x:c>
      <x:c r="I195" s="11" t="n">
        <x:f>$Z$13</x:f>
        <x:v>6.666666666666667</x:v>
      </x:c>
      <x:c r="J195" s="12">
        <x:f>英雄升级调参!$E$98</x:f>
        <x:v>1959</x:v>
      </x:c>
      <x:c r="K195" s="12">
        <x:f>英雄升级调参!$F$98</x:f>
        <x:v>19590</x:v>
      </x:c>
      <x:c r="L195" s="6" t="n">
        <x:f>ROUNDUP(F195/J195,0)</x:f>
        <x:v>30</x:v>
      </x:c>
      <x:c r="M195" s="6" t="n">
        <x:f>IF(G195=0,"无伤害",ROUNDUP(K195/MAX(1,ROUND(G195*$AC$13,0)),0))</x:f>
        <x:v>5</x:v>
      </x:c>
      <x:c r="N195" s="6" t="n">
        <x:f>ROUNDUP(F195/英雄升级调参!$H$98,0)</x:f>
        <x:v>20</x:v>
      </x:c>
      <x:c r="O195" s="6">
        <x:f>ROUNDUP(F195/英雄升级调参!$K$98,0)</x:f>
        <x:v>12</x:v>
      </x:c>
      <x:c r="P195" s="6" t="str">
        <x:f>$AA$13</x:f>
        <x:v>BOSS：30次标准普攻击杀；5次主要攻击致死</x:v>
      </x:c>
      <x:c r="Q195" s="6"/>
      <x:c r="R195" s="6"/>
      <x:c r="S195" s="6"/>
      <x:c r="T195" s="6"/>
    </x:row>
    <x:row r="196" ht="21" customHeight="1">
      <x:c r="A196" s="14" t="str">
        <x:f>$V$13</x:f>
        <x:v>MODEL_BOSS</x:v>
      </x:c>
      <x:c r="B196" s="14" t="str">
        <x:f>$W$13</x:f>
        <x:v>模型·BOSS</x:v>
      </x:c>
      <x:c r="C196" s="6" t="str">
        <x:f>$X$13</x:f>
        <x:v>稻草人模型</x:v>
      </x:c>
      <x:c r="D196" s="6">
        <x:v>34</x:v>
      </x:c>
      <x:c r="E196" s="6">
        <x:v>13</x:v>
      </x:c>
      <x:c r="F196" s="12">
        <x:f>ROUND(J196*$W$4*H196,0)</x:f>
        <x:v>60930</x:v>
      </x:c>
      <x:c r="G196" s="12">
        <x:f>ROUND(J196*$W$4*$W$5*I196,0)</x:f>
        <x:v>4062</x:v>
      </x:c>
      <x:c r="H196" s="11" t="n">
        <x:f>$Y$13</x:f>
        <x:v>7.5</x:v>
      </x:c>
      <x:c r="I196" s="11" t="n">
        <x:f>$Z$13</x:f>
        <x:v>6.666666666666667</x:v>
      </x:c>
      <x:c r="J196" s="12">
        <x:f>英雄升级调参!$E$99</x:f>
        <x:v>2031</x:v>
      </x:c>
      <x:c r="K196" s="12">
        <x:f>英雄升级调参!$F$99</x:f>
        <x:v>20310</x:v>
      </x:c>
      <x:c r="L196" s="6" t="n">
        <x:f>ROUNDUP(F196/J196,0)</x:f>
        <x:v>30</x:v>
      </x:c>
      <x:c r="M196" s="6" t="n">
        <x:f>IF(G196=0,"无伤害",ROUNDUP(K196/MAX(1,ROUND(G196*$AC$13,0)),0))</x:f>
        <x:v>5</x:v>
      </x:c>
      <x:c r="N196" s="6" t="n">
        <x:f>ROUNDUP(F196/英雄升级调参!$H$99,0)</x:f>
        <x:v>20</x:v>
      </x:c>
      <x:c r="O196" s="6">
        <x:f>ROUNDUP(F196/英雄升级调参!$K$99,0)</x:f>
        <x:v>12</x:v>
      </x:c>
      <x:c r="P196" s="6" t="str">
        <x:f>$AA$13</x:f>
        <x:v>BOSS：30次标准普攻击杀；5次主要攻击致死</x:v>
      </x:c>
      <x:c r="Q196" s="6"/>
      <x:c r="R196" s="6"/>
      <x:c r="S196" s="6"/>
      <x:c r="T196" s="6"/>
    </x:row>
    <x:row r="197" ht="21" customHeight="1">
      <x:c r="A197" s="14" t="str">
        <x:f>$V$13</x:f>
        <x:v>MODEL_BOSS</x:v>
      </x:c>
      <x:c r="B197" s="14" t="str">
        <x:f>$W$13</x:f>
        <x:v>模型·BOSS</x:v>
      </x:c>
      <x:c r="C197" s="6" t="str">
        <x:f>$X$13</x:f>
        <x:v>稻草人模型</x:v>
      </x:c>
      <x:c r="D197" s="6">
        <x:v>35</x:v>
      </x:c>
      <x:c r="E197" s="6">
        <x:v>13</x:v>
      </x:c>
      <x:c r="F197" s="12">
        <x:f>ROUND(J197*$W$4*H197,0)</x:f>
        <x:v>67410</x:v>
      </x:c>
      <x:c r="G197" s="12">
        <x:f>ROUND(J197*$W$4*$W$5*I197,0)</x:f>
        <x:v>4494</x:v>
      </x:c>
      <x:c r="H197" s="11" t="n">
        <x:f>$Y$13</x:f>
        <x:v>7.5</x:v>
      </x:c>
      <x:c r="I197" s="11" t="n">
        <x:f>$Z$13</x:f>
        <x:v>6.666666666666667</x:v>
      </x:c>
      <x:c r="J197" s="12">
        <x:f>英雄升级调参!$E$100</x:f>
        <x:v>2247</x:v>
      </x:c>
      <x:c r="K197" s="12">
        <x:f>英雄升级调参!$F$100</x:f>
        <x:v>22470</x:v>
      </x:c>
      <x:c r="L197" s="6" t="n">
        <x:f>ROUNDUP(F197/J197,0)</x:f>
        <x:v>30</x:v>
      </x:c>
      <x:c r="M197" s="6" t="n">
        <x:f>IF(G197=0,"无伤害",ROUNDUP(K197/MAX(1,ROUND(G197*$AC$13,0)),0))</x:f>
        <x:v>5</x:v>
      </x:c>
      <x:c r="N197" s="6" t="n">
        <x:f>ROUNDUP(F197/英雄升级调参!$H$100,0)</x:f>
        <x:v>20</x:v>
      </x:c>
      <x:c r="O197" s="6">
        <x:f>ROUNDUP(F197/英雄升级调参!$K$100,0)</x:f>
        <x:v>12</x:v>
      </x:c>
      <x:c r="P197" s="6" t="str">
        <x:f>$AA$13</x:f>
        <x:v>BOSS：30次标准普攻击杀；5次主要攻击致死</x:v>
      </x:c>
      <x:c r="Q197" s="6"/>
      <x:c r="R197" s="6"/>
      <x:c r="S197" s="6"/>
      <x:c r="T197" s="6"/>
    </x:row>
    <x:row r="198" ht="21" customHeight="1">
      <x:c r="A198" s="14" t="str">
        <x:f>$V$13</x:f>
        <x:v>MODEL_BOSS</x:v>
      </x:c>
      <x:c r="B198" s="14" t="str">
        <x:f>$W$13</x:f>
        <x:v>模型·BOSS</x:v>
      </x:c>
      <x:c r="C198" s="6" t="str">
        <x:f>$X$13</x:f>
        <x:v>稻草人模型</x:v>
      </x:c>
      <x:c r="D198" s="6">
        <x:v>36</x:v>
      </x:c>
      <x:c r="E198" s="6">
        <x:v>13</x:v>
      </x:c>
      <x:c r="F198" s="12">
        <x:f>ROUND(J198*$W$4*H198,0)</x:f>
        <x:v>69840</x:v>
      </x:c>
      <x:c r="G198" s="12">
        <x:f>ROUND(J198*$W$4*$W$5*I198,0)</x:f>
        <x:v>4656</x:v>
      </x:c>
      <x:c r="H198" s="11" t="n">
        <x:f>$Y$13</x:f>
        <x:v>7.5</x:v>
      </x:c>
      <x:c r="I198" s="11" t="n">
        <x:f>$Z$13</x:f>
        <x:v>6.666666666666667</x:v>
      </x:c>
      <x:c r="J198" s="12">
        <x:f>英雄升级调参!$E$101</x:f>
        <x:v>2328</x:v>
      </x:c>
      <x:c r="K198" s="12">
        <x:f>英雄升级调参!$F$101</x:f>
        <x:v>23280</x:v>
      </x:c>
      <x:c r="L198" s="6" t="n">
        <x:f>ROUNDUP(F198/J198,0)</x:f>
        <x:v>30</x:v>
      </x:c>
      <x:c r="M198" s="6" t="n">
        <x:f>IF(G198=0,"无伤害",ROUNDUP(K198/MAX(1,ROUND(G198*$AC$13,0)),0))</x:f>
        <x:v>5</x:v>
      </x:c>
      <x:c r="N198" s="6" t="n">
        <x:f>ROUNDUP(F198/英雄升级调参!$H$101,0)</x:f>
        <x:v>20</x:v>
      </x:c>
      <x:c r="O198" s="6">
        <x:f>ROUNDUP(F198/英雄升级调参!$K$101,0)</x:f>
        <x:v>12</x:v>
      </x:c>
      <x:c r="P198" s="6" t="str">
        <x:f>$AA$13</x:f>
        <x:v>BOSS：30次标准普攻击杀；5次主要攻击致死</x:v>
      </x:c>
      <x:c r="Q198" s="6"/>
      <x:c r="R198" s="6"/>
      <x:c r="S198" s="6"/>
      <x:c r="T198" s="6"/>
    </x:row>
    <x:row r="199" ht="21" customHeight="1">
      <x:c r="A199" s="14" t="str">
        <x:f>$V$13</x:f>
        <x:v>MODEL_BOSS</x:v>
      </x:c>
      <x:c r="B199" s="14" t="str">
        <x:f>$W$13</x:f>
        <x:v>模型·BOSS</x:v>
      </x:c>
      <x:c r="C199" s="6" t="str">
        <x:f>$X$13</x:f>
        <x:v>稻草人模型</x:v>
      </x:c>
      <x:c r="D199" s="6">
        <x:v>37</x:v>
      </x:c>
      <x:c r="E199" s="6">
        <x:v>13</x:v>
      </x:c>
      <x:c r="F199" s="12">
        <x:f>ROUND(J199*$W$4*H199,0)</x:f>
        <x:v>72270</x:v>
      </x:c>
      <x:c r="G199" s="12">
        <x:f>ROUND(J199*$W$4*$W$5*I199,0)</x:f>
        <x:v>4818</x:v>
      </x:c>
      <x:c r="H199" s="11" t="n">
        <x:f>$Y$13</x:f>
        <x:v>7.5</x:v>
      </x:c>
      <x:c r="I199" s="11" t="n">
        <x:f>$Z$13</x:f>
        <x:v>6.666666666666667</x:v>
      </x:c>
      <x:c r="J199" s="12">
        <x:f>英雄升级调参!$E$102</x:f>
        <x:v>2409</x:v>
      </x:c>
      <x:c r="K199" s="12">
        <x:f>英雄升级调参!$F$102</x:f>
        <x:v>24090</x:v>
      </x:c>
      <x:c r="L199" s="6" t="n">
        <x:f>ROUNDUP(F199/J199,0)</x:f>
        <x:v>30</x:v>
      </x:c>
      <x:c r="M199" s="6" t="n">
        <x:f>IF(G199=0,"无伤害",ROUNDUP(K199/MAX(1,ROUND(G199*$AC$13,0)),0))</x:f>
        <x:v>5</x:v>
      </x:c>
      <x:c r="N199" s="6" t="n">
        <x:f>ROUNDUP(F199/英雄升级调参!$H$102,0)</x:f>
        <x:v>20</x:v>
      </x:c>
      <x:c r="O199" s="6">
        <x:f>ROUNDUP(F199/英雄升级调参!$K$102,0)</x:f>
        <x:v>12</x:v>
      </x:c>
      <x:c r="P199" s="6" t="str">
        <x:f>$AA$13</x:f>
        <x:v>BOSS：30次标准普攻击杀；5次主要攻击致死</x:v>
      </x:c>
      <x:c r="Q199" s="6"/>
      <x:c r="R199" s="6"/>
      <x:c r="S199" s="6"/>
      <x:c r="T199" s="6"/>
    </x:row>
    <x:row r="200" ht="21" customHeight="1">
      <x:c r="A200" s="14" t="str">
        <x:f>$V$13</x:f>
        <x:v>MODEL_BOSS</x:v>
      </x:c>
      <x:c r="B200" s="14" t="str">
        <x:f>$W$13</x:f>
        <x:v>模型·BOSS</x:v>
      </x:c>
      <x:c r="C200" s="6" t="str">
        <x:f>$X$13</x:f>
        <x:v>稻草人模型</x:v>
      </x:c>
      <x:c r="D200" s="6">
        <x:v>38</x:v>
      </x:c>
      <x:c r="E200" s="6">
        <x:v>13</x:v>
      </x:c>
      <x:c r="F200" s="12">
        <x:f>ROUND(J200*$W$4*H200,0)</x:f>
        <x:v>74700</x:v>
      </x:c>
      <x:c r="G200" s="12">
        <x:f>ROUND(J200*$W$4*$W$5*I200,0)</x:f>
        <x:v>4980</x:v>
      </x:c>
      <x:c r="H200" s="11" t="n">
        <x:f>$Y$13</x:f>
        <x:v>7.5</x:v>
      </x:c>
      <x:c r="I200" s="11" t="n">
        <x:f>$Z$13</x:f>
        <x:v>6.666666666666667</x:v>
      </x:c>
      <x:c r="J200" s="12">
        <x:f>英雄升级调参!$E$103</x:f>
        <x:v>2490</x:v>
      </x:c>
      <x:c r="K200" s="12">
        <x:f>英雄升级调参!$F$103</x:f>
        <x:v>24900</x:v>
      </x:c>
      <x:c r="L200" s="6" t="n">
        <x:f>ROUNDUP(F200/J200,0)</x:f>
        <x:v>30</x:v>
      </x:c>
      <x:c r="M200" s="6" t="n">
        <x:f>IF(G200=0,"无伤害",ROUNDUP(K200/MAX(1,ROUND(G200*$AC$13,0)),0))</x:f>
        <x:v>5</x:v>
      </x:c>
      <x:c r="N200" s="6" t="n">
        <x:f>ROUNDUP(F200/英雄升级调参!$H$103,0)</x:f>
        <x:v>20</x:v>
      </x:c>
      <x:c r="O200" s="6">
        <x:f>ROUNDUP(F200/英雄升级调参!$K$103,0)</x:f>
        <x:v>12</x:v>
      </x:c>
      <x:c r="P200" s="6" t="str">
        <x:f>$AA$13</x:f>
        <x:v>BOSS：30次标准普攻击杀；5次主要攻击致死</x:v>
      </x:c>
      <x:c r="Q200" s="6"/>
      <x:c r="R200" s="6"/>
      <x:c r="S200" s="6"/>
      <x:c r="T200" s="6"/>
    </x:row>
    <x:row r="201" ht="21" customHeight="1">
      <x:c r="A201" s="14" t="str">
        <x:f>$V$13</x:f>
        <x:v>MODEL_BOSS</x:v>
      </x:c>
      <x:c r="B201" s="14" t="str">
        <x:f>$W$13</x:f>
        <x:v>模型·BOSS</x:v>
      </x:c>
      <x:c r="C201" s="6" t="str">
        <x:f>$X$13</x:f>
        <x:v>稻草人模型</x:v>
      </x:c>
      <x:c r="D201" s="6">
        <x:v>39</x:v>
      </x:c>
      <x:c r="E201" s="6">
        <x:v>13</x:v>
      </x:c>
      <x:c r="F201" s="12">
        <x:f>ROUND(J201*$W$4*H201,0)</x:f>
        <x:v>77130</x:v>
      </x:c>
      <x:c r="G201" s="12">
        <x:f>ROUND(J201*$W$4*$W$5*I201,0)</x:f>
        <x:v>5142</x:v>
      </x:c>
      <x:c r="H201" s="11" t="n">
        <x:f>$Y$13</x:f>
        <x:v>7.5</x:v>
      </x:c>
      <x:c r="I201" s="11" t="n">
        <x:f>$Z$13</x:f>
        <x:v>6.666666666666667</x:v>
      </x:c>
      <x:c r="J201" s="12">
        <x:f>英雄升级调参!$E$104</x:f>
        <x:v>2571</x:v>
      </x:c>
      <x:c r="K201" s="12">
        <x:f>英雄升级调参!$F$104</x:f>
        <x:v>25710</x:v>
      </x:c>
      <x:c r="L201" s="6" t="n">
        <x:f>ROUNDUP(F201/J201,0)</x:f>
        <x:v>30</x:v>
      </x:c>
      <x:c r="M201" s="6" t="n">
        <x:f>IF(G201=0,"无伤害",ROUNDUP(K201/MAX(1,ROUND(G201*$AC$13,0)),0))</x:f>
        <x:v>5</x:v>
      </x:c>
      <x:c r="N201" s="6" t="n">
        <x:f>ROUNDUP(F201/英雄升级调参!$H$104,0)</x:f>
        <x:v>20</x:v>
      </x:c>
      <x:c r="O201" s="6">
        <x:f>ROUNDUP(F201/英雄升级调参!$K$104,0)</x:f>
        <x:v>12</x:v>
      </x:c>
      <x:c r="P201" s="6" t="str">
        <x:f>$AA$13</x:f>
        <x:v>BOSS：30次标准普攻击杀；5次主要攻击致死</x:v>
      </x:c>
      <x:c r="Q201" s="6"/>
      <x:c r="R201" s="6"/>
      <x:c r="S201" s="6"/>
      <x:c r="T201" s="6"/>
    </x:row>
    <x:row r="202" ht="21" customHeight="1">
      <x:c r="A202" s="14" t="str">
        <x:f>$V$13</x:f>
        <x:v>MODEL_BOSS</x:v>
      </x:c>
      <x:c r="B202" s="14" t="str">
        <x:f>$W$13</x:f>
        <x:v>模型·BOSS</x:v>
      </x:c>
      <x:c r="C202" s="6" t="str">
        <x:f>$X$13</x:f>
        <x:v>稻草人模型</x:v>
      </x:c>
      <x:c r="D202" s="6">
        <x:v>40</x:v>
      </x:c>
      <x:c r="E202" s="6">
        <x:v>13</x:v>
      </x:c>
      <x:c r="F202" s="12">
        <x:f>ROUND(J202*$W$4*H202,0)</x:f>
        <x:v>84420</x:v>
      </x:c>
      <x:c r="G202" s="12">
        <x:f>ROUND(J202*$W$4*$W$5*I202,0)</x:f>
        <x:v>5628</x:v>
      </x:c>
      <x:c r="H202" s="11" t="n">
        <x:f>$Y$13</x:f>
        <x:v>7.5</x:v>
      </x:c>
      <x:c r="I202" s="11" t="n">
        <x:f>$Z$13</x:f>
        <x:v>6.666666666666667</x:v>
      </x:c>
      <x:c r="J202" s="12">
        <x:f>英雄升级调参!$E$105</x:f>
        <x:v>2814</x:v>
      </x:c>
      <x:c r="K202" s="12">
        <x:f>英雄升级调参!$F$105</x:f>
        <x:v>28140</x:v>
      </x:c>
      <x:c r="L202" s="6" t="n">
        <x:f>ROUNDUP(F202/J202,0)</x:f>
        <x:v>30</x:v>
      </x:c>
      <x:c r="M202" s="6" t="n">
        <x:f>IF(G202=0,"无伤害",ROUNDUP(K202/MAX(1,ROUND(G202*$AC$13,0)),0))</x:f>
        <x:v>5</x:v>
      </x:c>
      <x:c r="N202" s="6" t="n">
        <x:f>ROUNDUP(F202/英雄升级调参!$H$105,0)</x:f>
        <x:v>20</x:v>
      </x:c>
      <x:c r="O202" s="6">
        <x:f>ROUNDUP(F202/英雄升级调参!$K$105,0)</x:f>
        <x:v>12</x:v>
      </x:c>
      <x:c r="P202" s="6" t="str">
        <x:f>$AA$13</x:f>
        <x:v>BOSS：30次标准普攻击杀；5次主要攻击致死</x:v>
      </x:c>
      <x:c r="Q202" s="6"/>
      <x:c r="R202" s="6"/>
      <x:c r="S202" s="6"/>
      <x:c r="T202" s="6"/>
    </x:row>
    <x:row r="203" ht="21" customHeight="1">
      <x:c r="A203" s="14" t="str">
        <x:f>$V$13</x:f>
        <x:v>MODEL_BOSS</x:v>
      </x:c>
      <x:c r="B203" s="14" t="str">
        <x:f>$W$13</x:f>
        <x:v>模型·BOSS</x:v>
      </x:c>
      <x:c r="C203" s="6" t="str">
        <x:f>$X$13</x:f>
        <x:v>稻草人模型</x:v>
      </x:c>
      <x:c r="D203" s="6">
        <x:v>41</x:v>
      </x:c>
      <x:c r="E203" s="6">
        <x:v>13</x:v>
      </x:c>
      <x:c r="F203" s="12">
        <x:f>ROUND(J203*$W$4*H203,0)</x:f>
        <x:v>87120</x:v>
      </x:c>
      <x:c r="G203" s="12">
        <x:f>ROUND(J203*$W$4*$W$5*I203,0)</x:f>
        <x:v>5808</x:v>
      </x:c>
      <x:c r="H203" s="11" t="n">
        <x:f>$Y$13</x:f>
        <x:v>7.5</x:v>
      </x:c>
      <x:c r="I203" s="11" t="n">
        <x:f>$Z$13</x:f>
        <x:v>6.666666666666667</x:v>
      </x:c>
      <x:c r="J203" s="12">
        <x:f>英雄升级调参!$E$106</x:f>
        <x:v>2904</x:v>
      </x:c>
      <x:c r="K203" s="12">
        <x:f>英雄升级调参!$F$106</x:f>
        <x:v>29040</x:v>
      </x:c>
      <x:c r="L203" s="6" t="n">
        <x:f>ROUNDUP(F203/J203,0)</x:f>
        <x:v>30</x:v>
      </x:c>
      <x:c r="M203" s="6" t="n">
        <x:f>IF(G203=0,"无伤害",ROUNDUP(K203/MAX(1,ROUND(G203*$AC$13,0)),0))</x:f>
        <x:v>5</x:v>
      </x:c>
      <x:c r="N203" s="6" t="n">
        <x:f>ROUNDUP(F203/英雄升级调参!$H$106,0)</x:f>
        <x:v>20</x:v>
      </x:c>
      <x:c r="O203" s="6">
        <x:f>ROUNDUP(F203/英雄升级调参!$K$106,0)</x:f>
        <x:v>12</x:v>
      </x:c>
      <x:c r="P203" s="6" t="str">
        <x:f>$AA$13</x:f>
        <x:v>BOSS：30次标准普攻击杀；5次主要攻击致死</x:v>
      </x:c>
      <x:c r="Q203" s="6"/>
      <x:c r="R203" s="6"/>
      <x:c r="S203" s="6"/>
      <x:c r="T203" s="6"/>
    </x:row>
    <x:row r="204" ht="21" customHeight="1">
      <x:c r="A204" s="14" t="str">
        <x:f>$V$13</x:f>
        <x:v>MODEL_BOSS</x:v>
      </x:c>
      <x:c r="B204" s="14" t="str">
        <x:f>$W$13</x:f>
        <x:v>模型·BOSS</x:v>
      </x:c>
      <x:c r="C204" s="6" t="str">
        <x:f>$X$13</x:f>
        <x:v>稻草人模型</x:v>
      </x:c>
      <x:c r="D204" s="6">
        <x:v>42</x:v>
      </x:c>
      <x:c r="E204" s="6">
        <x:v>13</x:v>
      </x:c>
      <x:c r="F204" s="12">
        <x:f>ROUND(J204*$W$4*H204,0)</x:f>
        <x:v>89820</x:v>
      </x:c>
      <x:c r="G204" s="12">
        <x:f>ROUND(J204*$W$4*$W$5*I204,0)</x:f>
        <x:v>5988</x:v>
      </x:c>
      <x:c r="H204" s="11" t="n">
        <x:f>$Y$13</x:f>
        <x:v>7.5</x:v>
      </x:c>
      <x:c r="I204" s="11" t="n">
        <x:f>$Z$13</x:f>
        <x:v>6.666666666666667</x:v>
      </x:c>
      <x:c r="J204" s="12">
        <x:f>英雄升级调参!$E$107</x:f>
        <x:v>2994</x:v>
      </x:c>
      <x:c r="K204" s="12">
        <x:f>英雄升级调参!$F$107</x:f>
        <x:v>29940</x:v>
      </x:c>
      <x:c r="L204" s="6" t="n">
        <x:f>ROUNDUP(F204/J204,0)</x:f>
        <x:v>30</x:v>
      </x:c>
      <x:c r="M204" s="6" t="n">
        <x:f>IF(G204=0,"无伤害",ROUNDUP(K204/MAX(1,ROUND(G204*$AC$13,0)),0))</x:f>
        <x:v>5</x:v>
      </x:c>
      <x:c r="N204" s="6" t="n">
        <x:f>ROUNDUP(F204/英雄升级调参!$H$107,0)</x:f>
        <x:v>20</x:v>
      </x:c>
      <x:c r="O204" s="6">
        <x:f>ROUNDUP(F204/英雄升级调参!$K$107,0)</x:f>
        <x:v>12</x:v>
      </x:c>
      <x:c r="P204" s="6" t="str">
        <x:f>$AA$13</x:f>
        <x:v>BOSS：30次标准普攻击杀；5次主要攻击致死</x:v>
      </x:c>
      <x:c r="Q204" s="6"/>
      <x:c r="R204" s="6"/>
      <x:c r="S204" s="6"/>
      <x:c r="T204" s="6"/>
    </x:row>
    <x:row r="205" ht="21" customHeight="1">
      <x:c r="A205" s="14" t="str">
        <x:f>$V$13</x:f>
        <x:v>MODEL_BOSS</x:v>
      </x:c>
      <x:c r="B205" s="14" t="str">
        <x:f>$W$13</x:f>
        <x:v>模型·BOSS</x:v>
      </x:c>
      <x:c r="C205" s="6" t="str">
        <x:f>$X$13</x:f>
        <x:v>稻草人模型</x:v>
      </x:c>
      <x:c r="D205" s="6">
        <x:v>43</x:v>
      </x:c>
      <x:c r="E205" s="6">
        <x:v>13</x:v>
      </x:c>
      <x:c r="F205" s="12">
        <x:f>ROUND(J205*$W$4*H205,0)</x:f>
        <x:v>92520</x:v>
      </x:c>
      <x:c r="G205" s="12">
        <x:f>ROUND(J205*$W$4*$W$5*I205,0)</x:f>
        <x:v>6168</x:v>
      </x:c>
      <x:c r="H205" s="11" t="n">
        <x:f>$Y$13</x:f>
        <x:v>7.5</x:v>
      </x:c>
      <x:c r="I205" s="11" t="n">
        <x:f>$Z$13</x:f>
        <x:v>6.666666666666667</x:v>
      </x:c>
      <x:c r="J205" s="12">
        <x:f>英雄升级调参!$E$108</x:f>
        <x:v>3084</x:v>
      </x:c>
      <x:c r="K205" s="12">
        <x:f>英雄升级调参!$F$108</x:f>
        <x:v>30840</x:v>
      </x:c>
      <x:c r="L205" s="6" t="n">
        <x:f>ROUNDUP(F205/J205,0)</x:f>
        <x:v>30</x:v>
      </x:c>
      <x:c r="M205" s="6" t="n">
        <x:f>IF(G205=0,"无伤害",ROUNDUP(K205/MAX(1,ROUND(G205*$AC$13,0)),0))</x:f>
        <x:v>5</x:v>
      </x:c>
      <x:c r="N205" s="6" t="n">
        <x:f>ROUNDUP(F205/英雄升级调参!$H$108,0)</x:f>
        <x:v>20</x:v>
      </x:c>
      <x:c r="O205" s="6">
        <x:f>ROUNDUP(F205/英雄升级调参!$K$108,0)</x:f>
        <x:v>12</x:v>
      </x:c>
      <x:c r="P205" s="6" t="str">
        <x:f>$AA$13</x:f>
        <x:v>BOSS：30次标准普攻击杀；5次主要攻击致死</x:v>
      </x:c>
      <x:c r="Q205" s="6"/>
      <x:c r="R205" s="6"/>
      <x:c r="S205" s="6"/>
      <x:c r="T205" s="6"/>
    </x:row>
    <x:row r="206" ht="21" customHeight="1">
      <x:c r="A206" s="14" t="str">
        <x:f>$V$13</x:f>
        <x:v>MODEL_BOSS</x:v>
      </x:c>
      <x:c r="B206" s="14" t="str">
        <x:f>$W$13</x:f>
        <x:v>模型·BOSS</x:v>
      </x:c>
      <x:c r="C206" s="6" t="str">
        <x:f>$X$13</x:f>
        <x:v>稻草人模型</x:v>
      </x:c>
      <x:c r="D206" s="6">
        <x:v>44</x:v>
      </x:c>
      <x:c r="E206" s="6">
        <x:v>13</x:v>
      </x:c>
      <x:c r="F206" s="12">
        <x:f>ROUND(J206*$W$4*H206,0)</x:f>
        <x:v>95220</x:v>
      </x:c>
      <x:c r="G206" s="12">
        <x:f>ROUND(J206*$W$4*$W$5*I206,0)</x:f>
        <x:v>6348</x:v>
      </x:c>
      <x:c r="H206" s="11" t="n">
        <x:f>$Y$13</x:f>
        <x:v>7.5</x:v>
      </x:c>
      <x:c r="I206" s="11" t="n">
        <x:f>$Z$13</x:f>
        <x:v>6.666666666666667</x:v>
      </x:c>
      <x:c r="J206" s="12">
        <x:f>英雄升级调参!$E$109</x:f>
        <x:v>3174</x:v>
      </x:c>
      <x:c r="K206" s="12">
        <x:f>英雄升级调参!$F$109</x:f>
        <x:v>31740</x:v>
      </x:c>
      <x:c r="L206" s="6" t="n">
        <x:f>ROUNDUP(F206/J206,0)</x:f>
        <x:v>30</x:v>
      </x:c>
      <x:c r="M206" s="6" t="n">
        <x:f>IF(G206=0,"无伤害",ROUNDUP(K206/MAX(1,ROUND(G206*$AC$13,0)),0))</x:f>
        <x:v>5</x:v>
      </x:c>
      <x:c r="N206" s="6" t="n">
        <x:f>ROUNDUP(F206/英雄升级调参!$H$109,0)</x:f>
        <x:v>20</x:v>
      </x:c>
      <x:c r="O206" s="6">
        <x:f>ROUNDUP(F206/英雄升级调参!$K$109,0)</x:f>
        <x:v>12</x:v>
      </x:c>
      <x:c r="P206" s="6" t="str">
        <x:f>$AA$13</x:f>
        <x:v>BOSS：30次标准普攻击杀；5次主要攻击致死</x:v>
      </x:c>
      <x:c r="Q206" s="6"/>
      <x:c r="R206" s="6"/>
      <x:c r="S206" s="6"/>
      <x:c r="T206" s="6"/>
    </x:row>
    <x:row r="207" ht="21" customHeight="1">
      <x:c r="A207" s="14" t="str">
        <x:f>$V$13</x:f>
        <x:v>MODEL_BOSS</x:v>
      </x:c>
      <x:c r="B207" s="14" t="str">
        <x:f>$W$13</x:f>
        <x:v>模型·BOSS</x:v>
      </x:c>
      <x:c r="C207" s="6" t="str">
        <x:f>$X$13</x:f>
        <x:v>稻草人模型</x:v>
      </x:c>
      <x:c r="D207" s="6">
        <x:v>45</x:v>
      </x:c>
      <x:c r="E207" s="6">
        <x:v>13</x:v>
      </x:c>
      <x:c r="F207" s="12">
        <x:f>ROUND(J207*$W$4*H207,0)</x:f>
        <x:v>103320</x:v>
      </x:c>
      <x:c r="G207" s="12">
        <x:f>ROUND(J207*$W$4*$W$5*I207,0)</x:f>
        <x:v>6888</x:v>
      </x:c>
      <x:c r="H207" s="11" t="n">
        <x:f>$Y$13</x:f>
        <x:v>7.5</x:v>
      </x:c>
      <x:c r="I207" s="11" t="n">
        <x:f>$Z$13</x:f>
        <x:v>6.666666666666667</x:v>
      </x:c>
      <x:c r="J207" s="12">
        <x:f>英雄升级调参!$E$110</x:f>
        <x:v>3444</x:v>
      </x:c>
      <x:c r="K207" s="12">
        <x:f>英雄升级调参!$F$110</x:f>
        <x:v>34440</x:v>
      </x:c>
      <x:c r="L207" s="6" t="n">
        <x:f>ROUNDUP(F207/J207,0)</x:f>
        <x:v>30</x:v>
      </x:c>
      <x:c r="M207" s="6" t="n">
        <x:f>IF(G207=0,"无伤害",ROUNDUP(K207/MAX(1,ROUND(G207*$AC$13,0)),0))</x:f>
        <x:v>5</x:v>
      </x:c>
      <x:c r="N207" s="6" t="n">
        <x:f>ROUNDUP(F207/英雄升级调参!$H$110,0)</x:f>
        <x:v>20</x:v>
      </x:c>
      <x:c r="O207" s="6">
        <x:f>ROUNDUP(F207/英雄升级调参!$K$110,0)</x:f>
        <x:v>12</x:v>
      </x:c>
      <x:c r="P207" s="6" t="str">
        <x:f>$AA$13</x:f>
        <x:v>BOSS：30次标准普攻击杀；5次主要攻击致死</x:v>
      </x:c>
      <x:c r="Q207" s="6"/>
      <x:c r="R207" s="6"/>
      <x:c r="S207" s="6"/>
      <x:c r="T207" s="6"/>
    </x:row>
    <x:row r="208" ht="21" customHeight="1">
      <x:c r="A208" s="14" t="str">
        <x:f>$V$13</x:f>
        <x:v>MODEL_BOSS</x:v>
      </x:c>
      <x:c r="B208" s="14" t="str">
        <x:f>$W$13</x:f>
        <x:v>模型·BOSS</x:v>
      </x:c>
      <x:c r="C208" s="6" t="str">
        <x:f>$X$13</x:f>
        <x:v>稻草人模型</x:v>
      </x:c>
      <x:c r="D208" s="6">
        <x:v>46</x:v>
      </x:c>
      <x:c r="E208" s="6">
        <x:v>13</x:v>
      </x:c>
      <x:c r="F208" s="12">
        <x:f>ROUND(J208*$W$4*H208,0)</x:f>
        <x:v>106290</x:v>
      </x:c>
      <x:c r="G208" s="12">
        <x:f>ROUND(J208*$W$4*$W$5*I208,0)</x:f>
        <x:v>7086</x:v>
      </x:c>
      <x:c r="H208" s="11" t="n">
        <x:f>$Y$13</x:f>
        <x:v>7.5</x:v>
      </x:c>
      <x:c r="I208" s="11" t="n">
        <x:f>$Z$13</x:f>
        <x:v>6.666666666666667</x:v>
      </x:c>
      <x:c r="J208" s="12">
        <x:f>英雄升级调参!$E$111</x:f>
        <x:v>3543</x:v>
      </x:c>
      <x:c r="K208" s="12">
        <x:f>英雄升级调参!$F$111</x:f>
        <x:v>35430</x:v>
      </x:c>
      <x:c r="L208" s="6" t="n">
        <x:f>ROUNDUP(F208/J208,0)</x:f>
        <x:v>30</x:v>
      </x:c>
      <x:c r="M208" s="6" t="n">
        <x:f>IF(G208=0,"无伤害",ROUNDUP(K208/MAX(1,ROUND(G208*$AC$13,0)),0))</x:f>
        <x:v>5</x:v>
      </x:c>
      <x:c r="N208" s="6" t="n">
        <x:f>ROUNDUP(F208/英雄升级调参!$H$111,0)</x:f>
        <x:v>20</x:v>
      </x:c>
      <x:c r="O208" s="6">
        <x:f>ROUNDUP(F208/英雄升级调参!$K$111,0)</x:f>
        <x:v>12</x:v>
      </x:c>
      <x:c r="P208" s="6" t="str">
        <x:f>$AA$13</x:f>
        <x:v>BOSS：30次标准普攻击杀；5次主要攻击致死</x:v>
      </x:c>
      <x:c r="Q208" s="6"/>
      <x:c r="R208" s="6"/>
      <x:c r="S208" s="6"/>
      <x:c r="T208" s="6"/>
    </x:row>
    <x:row r="209" ht="21" customHeight="1">
      <x:c r="A209" s="14" t="str">
        <x:f>$V$13</x:f>
        <x:v>MODEL_BOSS</x:v>
      </x:c>
      <x:c r="B209" s="14" t="str">
        <x:f>$W$13</x:f>
        <x:v>模型·BOSS</x:v>
      </x:c>
      <x:c r="C209" s="6" t="str">
        <x:f>$X$13</x:f>
        <x:v>稻草人模型</x:v>
      </x:c>
      <x:c r="D209" s="6">
        <x:v>47</x:v>
      </x:c>
      <x:c r="E209" s="6">
        <x:v>13</x:v>
      </x:c>
      <x:c r="F209" s="12">
        <x:f>ROUND(J209*$W$4*H209,0)</x:f>
        <x:v>109260</x:v>
      </x:c>
      <x:c r="G209" s="12">
        <x:f>ROUND(J209*$W$4*$W$5*I209,0)</x:f>
        <x:v>7284</x:v>
      </x:c>
      <x:c r="H209" s="11" t="n">
        <x:f>$Y$13</x:f>
        <x:v>7.5</x:v>
      </x:c>
      <x:c r="I209" s="11" t="n">
        <x:f>$Z$13</x:f>
        <x:v>6.666666666666667</x:v>
      </x:c>
      <x:c r="J209" s="12">
        <x:f>英雄升级调参!$E$112</x:f>
        <x:v>3642</x:v>
      </x:c>
      <x:c r="K209" s="12">
        <x:f>英雄升级调参!$F$112</x:f>
        <x:v>36420</x:v>
      </x:c>
      <x:c r="L209" s="6" t="n">
        <x:f>ROUNDUP(F209/J209,0)</x:f>
        <x:v>30</x:v>
      </x:c>
      <x:c r="M209" s="6" t="n">
        <x:f>IF(G209=0,"无伤害",ROUNDUP(K209/MAX(1,ROUND(G209*$AC$13,0)),0))</x:f>
        <x:v>5</x:v>
      </x:c>
      <x:c r="N209" s="6" t="n">
        <x:f>ROUNDUP(F209/英雄升级调参!$H$112,0)</x:f>
        <x:v>20</x:v>
      </x:c>
      <x:c r="O209" s="6">
        <x:f>ROUNDUP(F209/英雄升级调参!$K$112,0)</x:f>
        <x:v>12</x:v>
      </x:c>
      <x:c r="P209" s="6" t="str">
        <x:f>$AA$13</x:f>
        <x:v>BOSS：30次标准普攻击杀；5次主要攻击致死</x:v>
      </x:c>
      <x:c r="Q209" s="6"/>
      <x:c r="R209" s="6"/>
      <x:c r="S209" s="6"/>
      <x:c r="T209" s="6"/>
    </x:row>
    <x:row r="210" ht="21" customHeight="1">
      <x:c r="A210" s="14" t="str">
        <x:f>$V$13</x:f>
        <x:v>MODEL_BOSS</x:v>
      </x:c>
      <x:c r="B210" s="14" t="str">
        <x:f>$W$13</x:f>
        <x:v>模型·BOSS</x:v>
      </x:c>
      <x:c r="C210" s="6" t="str">
        <x:f>$X$13</x:f>
        <x:v>稻草人模型</x:v>
      </x:c>
      <x:c r="D210" s="6">
        <x:v>48</x:v>
      </x:c>
      <x:c r="E210" s="6">
        <x:v>13</x:v>
      </x:c>
      <x:c r="F210" s="12">
        <x:f>ROUND(J210*$W$4*H210,0)</x:f>
        <x:v>112230</x:v>
      </x:c>
      <x:c r="G210" s="12">
        <x:f>ROUND(J210*$W$4*$W$5*I210,0)</x:f>
        <x:v>7482</x:v>
      </x:c>
      <x:c r="H210" s="11" t="n">
        <x:f>$Y$13</x:f>
        <x:v>7.5</x:v>
      </x:c>
      <x:c r="I210" s="11" t="n">
        <x:f>$Z$13</x:f>
        <x:v>6.666666666666667</x:v>
      </x:c>
      <x:c r="J210" s="12">
        <x:f>英雄升级调参!$E$113</x:f>
        <x:v>3741</x:v>
      </x:c>
      <x:c r="K210" s="12">
        <x:f>英雄升级调参!$F$113</x:f>
        <x:v>37410</x:v>
      </x:c>
      <x:c r="L210" s="6" t="n">
        <x:f>ROUNDUP(F210/J210,0)</x:f>
        <x:v>30</x:v>
      </x:c>
      <x:c r="M210" s="6" t="n">
        <x:f>IF(G210=0,"无伤害",ROUNDUP(K210/MAX(1,ROUND(G210*$AC$13,0)),0))</x:f>
        <x:v>5</x:v>
      </x:c>
      <x:c r="N210" s="6" t="n">
        <x:f>ROUNDUP(F210/英雄升级调参!$H$113,0)</x:f>
        <x:v>20</x:v>
      </x:c>
      <x:c r="O210" s="6">
        <x:f>ROUNDUP(F210/英雄升级调参!$K$113,0)</x:f>
        <x:v>12</x:v>
      </x:c>
      <x:c r="P210" s="6" t="str">
        <x:f>$AA$13</x:f>
        <x:v>BOSS：30次标准普攻击杀；5次主要攻击致死</x:v>
      </x:c>
      <x:c r="Q210" s="6"/>
      <x:c r="R210" s="6"/>
      <x:c r="S210" s="6"/>
      <x:c r="T210" s="6"/>
    </x:row>
    <x:row r="211" ht="21" customHeight="1">
      <x:c r="A211" s="14" t="str">
        <x:f>$V$13</x:f>
        <x:v>MODEL_BOSS</x:v>
      </x:c>
      <x:c r="B211" s="14" t="str">
        <x:f>$W$13</x:f>
        <x:v>模型·BOSS</x:v>
      </x:c>
      <x:c r="C211" s="6" t="str">
        <x:f>$X$13</x:f>
        <x:v>稻草人模型</x:v>
      </x:c>
      <x:c r="D211" s="6">
        <x:v>49</x:v>
      </x:c>
      <x:c r="E211" s="6">
        <x:v>13</x:v>
      </x:c>
      <x:c r="F211" s="12">
        <x:f>ROUND(J211*$W$4*H211,0)</x:f>
        <x:v>115200</x:v>
      </x:c>
      <x:c r="G211" s="12">
        <x:f>ROUND(J211*$W$4*$W$5*I211,0)</x:f>
        <x:v>7680</x:v>
      </x:c>
      <x:c r="H211" s="11" t="n">
        <x:f>$Y$13</x:f>
        <x:v>7.5</x:v>
      </x:c>
      <x:c r="I211" s="11" t="n">
        <x:f>$Z$13</x:f>
        <x:v>6.666666666666667</x:v>
      </x:c>
      <x:c r="J211" s="12">
        <x:f>英雄升级调参!$E$114</x:f>
        <x:v>3840</x:v>
      </x:c>
      <x:c r="K211" s="12">
        <x:f>英雄升级调参!$F$114</x:f>
        <x:v>38400</x:v>
      </x:c>
      <x:c r="L211" s="6" t="n">
        <x:f>ROUNDUP(F211/J211,0)</x:f>
        <x:v>30</x:v>
      </x:c>
      <x:c r="M211" s="6" t="n">
        <x:f>IF(G211=0,"无伤害",ROUNDUP(K211/MAX(1,ROUND(G211*$AC$13,0)),0))</x:f>
        <x:v>5</x:v>
      </x:c>
      <x:c r="N211" s="6" t="n">
        <x:f>ROUNDUP(F211/英雄升级调参!$H$114,0)</x:f>
        <x:v>20</x:v>
      </x:c>
      <x:c r="O211" s="6">
        <x:f>ROUNDUP(F211/英雄升级调参!$K$114,0)</x:f>
        <x:v>12</x:v>
      </x:c>
      <x:c r="P211" s="6" t="str">
        <x:f>$AA$13</x:f>
        <x:v>BOSS：30次标准普攻击杀；5次主要攻击致死</x:v>
      </x:c>
      <x:c r="Q211" s="6"/>
      <x:c r="R211" s="6"/>
      <x:c r="S211" s="6"/>
      <x:c r="T211" s="6"/>
    </x:row>
    <x:row r="212" ht="21" customHeight="1">
      <x:c r="A212" s="14" t="str">
        <x:f>$V$13</x:f>
        <x:v>MODEL_BOSS</x:v>
      </x:c>
      <x:c r="B212" s="14" t="str">
        <x:f>$W$13</x:f>
        <x:v>模型·BOSS</x:v>
      </x:c>
      <x:c r="C212" s="6" t="str">
        <x:f>$X$13</x:f>
        <x:v>稻草人模型</x:v>
      </x:c>
      <x:c r="D212" s="6">
        <x:v>50</x:v>
      </x:c>
      <x:c r="E212" s="6">
        <x:v>13</x:v>
      </x:c>
      <x:c r="F212" s="12">
        <x:f>ROUND(J212*$W$4*H212,0)</x:f>
        <x:v>124110</x:v>
      </x:c>
      <x:c r="G212" s="12">
        <x:f>ROUND(J212*$W$4*$W$5*I212,0)</x:f>
        <x:v>8274</x:v>
      </x:c>
      <x:c r="H212" s="11" t="n">
        <x:f>$Y$13</x:f>
        <x:v>7.5</x:v>
      </x:c>
      <x:c r="I212" s="11" t="n">
        <x:f>$Z$13</x:f>
        <x:v>6.666666666666667</x:v>
      </x:c>
      <x:c r="J212" s="12">
        <x:f>英雄升级调参!$E$115</x:f>
        <x:v>4137</x:v>
      </x:c>
      <x:c r="K212" s="12">
        <x:f>英雄升级调参!$F$115</x:f>
        <x:v>41370</x:v>
      </x:c>
      <x:c r="L212" s="6" t="n">
        <x:f>ROUNDUP(F212/J212,0)</x:f>
        <x:v>30</x:v>
      </x:c>
      <x:c r="M212" s="6" t="n">
        <x:f>IF(G212=0,"无伤害",ROUNDUP(K212/MAX(1,ROUND(G212*$AC$13,0)),0))</x:f>
        <x:v>5</x:v>
      </x:c>
      <x:c r="N212" s="6" t="n">
        <x:f>ROUNDUP(F212/英雄升级调参!$H$115,0)</x:f>
        <x:v>20</x:v>
      </x:c>
      <x:c r="O212" s="6">
        <x:f>ROUNDUP(F212/英雄升级调参!$K$115,0)</x:f>
        <x:v>12</x:v>
      </x:c>
      <x:c r="P212" s="6" t="str">
        <x:f>$AA$13</x:f>
        <x:v>BOSS：30次标准普攻击杀；5次主要攻击致死</x:v>
      </x:c>
      <x:c r="Q212" s="6"/>
      <x:c r="R212" s="6"/>
      <x:c r="S212" s="6"/>
      <x:c r="T212" s="6"/>
    </x:row>
    <x:row r="213" ht="21" customHeight="1">
      <x:c r="A213" s="14" t="n">
        <x:f>$V$14</x:f>
        <x:v>60001</x:v>
      </x:c>
      <x:c r="B213" s="14" t="str">
        <x:f>$W$14</x:f>
        <x:v>苹果小子</x:v>
      </x:c>
      <x:c r="C213" s="6" t="str">
        <x:f>$X$14</x:f>
        <x:v>普通</x:v>
      </x:c>
      <x:c r="D213" s="6">
        <x:v>1</x:v>
      </x:c>
      <x:c r="E213" s="6">
        <x:v>14</x:v>
      </x:c>
      <x:c r="F213" s="12" t="n">
        <x:f>ROUND(J213*$W$4*H213,0)</x:f>
        <x:v>240</x:v>
      </x:c>
      <x:c r="G213" s="12" t="n">
        <x:f>ROUND(J213*$W$4*$W$5*I213,0)</x:f>
        <x:v>60</x:v>
      </x:c>
      <x:c r="H213" s="11" t="n">
        <x:f>$Y$14</x:f>
        <x:v>1</x:v>
      </x:c>
      <x:c r="I213" s="11" t="n">
        <x:f>$Z$14</x:f>
        <x:v>3.3333333333333335</x:v>
      </x:c>
      <x:c r="J213" s="12" t="n">
        <x:f>英雄升级调参!$E$66</x:f>
        <x:v>60</x:v>
      </x:c>
      <x:c r="K213" s="12" t="n">
        <x:f>英雄升级调参!$F$66</x:f>
        <x:v>600</x:v>
      </x:c>
      <x:c r="L213" s="6" t="n">
        <x:f>ROUNDUP(F213/J213,0)</x:f>
        <x:v>4</x:v>
      </x:c>
      <x:c r="M213" s="6" t="n">
        <x:f>IF(G213=0,"无伤害",ROUNDUP(K213/MAX(1,ROUND(G213*$AC$14,0)),0))</x:f>
        <x:v>10</x:v>
      </x:c>
      <x:c r="N213" s="6">
        <x:f>ROUNDUP(F213/英雄升级调参!$H$66,0)</x:f>
        <x:v>2</x:v>
      </x:c>
      <x:c r="O213" s="6">
        <x:f>ROUNDUP(F213/英雄升级调参!$K$66,0)</x:f>
        <x:v>1</x:v>
      </x:c>
      <x:c r="P213" s="6" t="str">
        <x:f>$AA$14</x:f>
        <x:v>普通：4次标准普攻击杀；10次主要攻击致死</x:v>
      </x:c>
      <x:c r="Q213" s="6"/>
      <x:c r="R213" s="6"/>
      <x:c r="S213" s="6"/>
      <x:c r="T213" s="6"/>
    </x:row>
    <x:row r="214" ht="21" customHeight="1">
      <x:c r="A214" s="14" t="n">
        <x:f>$V$14</x:f>
        <x:v>60001</x:v>
      </x:c>
      <x:c r="B214" s="14" t="str">
        <x:f>$W$14</x:f>
        <x:v>苹果小子</x:v>
      </x:c>
      <x:c r="C214" s="6" t="str">
        <x:f>$X$14</x:f>
        <x:v>普通</x:v>
      </x:c>
      <x:c r="D214" s="6">
        <x:v>2</x:v>
      </x:c>
      <x:c r="E214" s="6">
        <x:v>14</x:v>
      </x:c>
      <x:c r="F214" s="12">
        <x:f>ROUND(J214*$W$4*H214,0)</x:f>
        <x:v>312</x:v>
      </x:c>
      <x:c r="G214" s="12">
        <x:f>ROUND(J214*$W$4*$W$5*I214,0)</x:f>
        <x:v>78</x:v>
      </x:c>
      <x:c r="H214" s="11" t="n">
        <x:f>$Y$14</x:f>
        <x:v>1</x:v>
      </x:c>
      <x:c r="I214" s="11" t="n">
        <x:f>$Z$14</x:f>
        <x:v>3.3333333333333335</x:v>
      </x:c>
      <x:c r="J214" s="12">
        <x:f>英雄升级调参!$E$67</x:f>
        <x:v>78</x:v>
      </x:c>
      <x:c r="K214" s="12">
        <x:f>英雄升级调参!$F$67</x:f>
        <x:v>780</x:v>
      </x:c>
      <x:c r="L214" s="6" t="n">
        <x:f>ROUNDUP(F214/J214,0)</x:f>
        <x:v>4</x:v>
      </x:c>
      <x:c r="M214" s="6" t="n">
        <x:f>IF(G214=0,"无伤害",ROUNDUP(K214/MAX(1,ROUND(G214*$AC$14,0)),0))</x:f>
        <x:v>10</x:v>
      </x:c>
      <x:c r="N214" s="6">
        <x:f>ROUNDUP(F214/英雄升级调参!$H$67,0)</x:f>
        <x:v>2</x:v>
      </x:c>
      <x:c r="O214" s="6">
        <x:f>ROUNDUP(F214/英雄升级调参!$K$67,0)</x:f>
        <x:v>1</x:v>
      </x:c>
      <x:c r="P214" s="6" t="str">
        <x:f>$AA$14</x:f>
        <x:v>普通：4次标准普攻击杀；10次主要攻击致死</x:v>
      </x:c>
      <x:c r="Q214" s="6"/>
      <x:c r="R214" s="6"/>
      <x:c r="S214" s="6"/>
      <x:c r="T214" s="6"/>
    </x:row>
    <x:row r="215" ht="21" customHeight="1">
      <x:c r="A215" s="14" t="n">
        <x:f>$V$14</x:f>
        <x:v>60001</x:v>
      </x:c>
      <x:c r="B215" s="14" t="str">
        <x:f>$W$14</x:f>
        <x:v>苹果小子</x:v>
      </x:c>
      <x:c r="C215" s="6" t="str">
        <x:f>$X$14</x:f>
        <x:v>普通</x:v>
      </x:c>
      <x:c r="D215" s="6">
        <x:v>3</x:v>
      </x:c>
      <x:c r="E215" s="6">
        <x:v>14</x:v>
      </x:c>
      <x:c r="F215" s="12">
        <x:f>ROUND(J215*$W$4*H215,0)</x:f>
        <x:v>384</x:v>
      </x:c>
      <x:c r="G215" s="12">
        <x:f>ROUND(J215*$W$4*$W$5*I215,0)</x:f>
        <x:v>96</x:v>
      </x:c>
      <x:c r="H215" s="11" t="n">
        <x:f>$Y$14</x:f>
        <x:v>1</x:v>
      </x:c>
      <x:c r="I215" s="11" t="n">
        <x:f>$Z$14</x:f>
        <x:v>3.3333333333333335</x:v>
      </x:c>
      <x:c r="J215" s="12">
        <x:f>英雄升级调参!$E$68</x:f>
        <x:v>96</x:v>
      </x:c>
      <x:c r="K215" s="12">
        <x:f>英雄升级调参!$F$68</x:f>
        <x:v>960</x:v>
      </x:c>
      <x:c r="L215" s="6" t="n">
        <x:f>ROUNDUP(F215/J215,0)</x:f>
        <x:v>4</x:v>
      </x:c>
      <x:c r="M215" s="6" t="n">
        <x:f>IF(G215=0,"无伤害",ROUNDUP(K215/MAX(1,ROUND(G215*$AC$14,0)),0))</x:f>
        <x:v>10</x:v>
      </x:c>
      <x:c r="N215" s="6">
        <x:f>ROUNDUP(F215/英雄升级调参!$H$68,0)</x:f>
        <x:v>2</x:v>
      </x:c>
      <x:c r="O215" s="6">
        <x:f>ROUNDUP(F215/英雄升级调参!$K$68,0)</x:f>
        <x:v>1</x:v>
      </x:c>
      <x:c r="P215" s="6" t="str">
        <x:f>$AA$14</x:f>
        <x:v>普通：4次标准普攻击杀；10次主要攻击致死</x:v>
      </x:c>
      <x:c r="Q215" s="6"/>
      <x:c r="R215" s="6"/>
      <x:c r="S215" s="6"/>
      <x:c r="T215" s="6"/>
    </x:row>
    <x:row r="216" ht="21" customHeight="1">
      <x:c r="A216" s="14" t="n">
        <x:f>$V$14</x:f>
        <x:v>60001</x:v>
      </x:c>
      <x:c r="B216" s="14" t="str">
        <x:f>$W$14</x:f>
        <x:v>苹果小子</x:v>
      </x:c>
      <x:c r="C216" s="6" t="str">
        <x:f>$X$14</x:f>
        <x:v>普通</x:v>
      </x:c>
      <x:c r="D216" s="6">
        <x:v>4</x:v>
      </x:c>
      <x:c r="E216" s="6">
        <x:v>14</x:v>
      </x:c>
      <x:c r="F216" s="12">
        <x:f>ROUND(J216*$W$4*H216,0)</x:f>
        <x:v>456</x:v>
      </x:c>
      <x:c r="G216" s="12">
        <x:f>ROUND(J216*$W$4*$W$5*I216,0)</x:f>
        <x:v>114</x:v>
      </x:c>
      <x:c r="H216" s="11" t="n">
        <x:f>$Y$14</x:f>
        <x:v>1</x:v>
      </x:c>
      <x:c r="I216" s="11" t="n">
        <x:f>$Z$14</x:f>
        <x:v>3.3333333333333335</x:v>
      </x:c>
      <x:c r="J216" s="12">
        <x:f>英雄升级调参!$E$69</x:f>
        <x:v>114</x:v>
      </x:c>
      <x:c r="K216" s="12">
        <x:f>英雄升级调参!$F$69</x:f>
        <x:v>1140</x:v>
      </x:c>
      <x:c r="L216" s="6" t="n">
        <x:f>ROUNDUP(F216/J216,0)</x:f>
        <x:v>4</x:v>
      </x:c>
      <x:c r="M216" s="6" t="n">
        <x:f>IF(G216=0,"无伤害",ROUNDUP(K216/MAX(1,ROUND(G216*$AC$14,0)),0))</x:f>
        <x:v>10</x:v>
      </x:c>
      <x:c r="N216" s="6">
        <x:f>ROUNDUP(F216/英雄升级调参!$H$69,0)</x:f>
        <x:v>2</x:v>
      </x:c>
      <x:c r="O216" s="6">
        <x:f>ROUNDUP(F216/英雄升级调参!$K$69,0)</x:f>
        <x:v>1</x:v>
      </x:c>
      <x:c r="P216" s="6" t="str">
        <x:f>$AA$14</x:f>
        <x:v>普通：4次标准普攻击杀；10次主要攻击致死</x:v>
      </x:c>
      <x:c r="Q216" s="6"/>
      <x:c r="R216" s="6"/>
      <x:c r="S216" s="6"/>
      <x:c r="T216" s="6"/>
    </x:row>
    <x:row r="217" ht="21" customHeight="1">
      <x:c r="A217" s="14" t="n">
        <x:f>$V$14</x:f>
        <x:v>60001</x:v>
      </x:c>
      <x:c r="B217" s="14" t="str">
        <x:f>$W$14</x:f>
        <x:v>苹果小子</x:v>
      </x:c>
      <x:c r="C217" s="6" t="str">
        <x:f>$X$14</x:f>
        <x:v>普通</x:v>
      </x:c>
      <x:c r="D217" s="6">
        <x:v>5</x:v>
      </x:c>
      <x:c r="E217" s="6">
        <x:v>14</x:v>
      </x:c>
      <x:c r="F217" s="12">
        <x:f>ROUND(J217*$W$4*H217,0)</x:f>
        <x:v>672</x:v>
      </x:c>
      <x:c r="G217" s="12">
        <x:f>ROUND(J217*$W$4*$W$5*I217,0)</x:f>
        <x:v>168</x:v>
      </x:c>
      <x:c r="H217" s="11" t="n">
        <x:f>$Y$14</x:f>
        <x:v>1</x:v>
      </x:c>
      <x:c r="I217" s="11" t="n">
        <x:f>$Z$14</x:f>
        <x:v>3.3333333333333335</x:v>
      </x:c>
      <x:c r="J217" s="12">
        <x:f>英雄升级调参!$E$70</x:f>
        <x:v>168</x:v>
      </x:c>
      <x:c r="K217" s="12">
        <x:f>英雄升级调参!$F$70</x:f>
        <x:v>1680</x:v>
      </x:c>
      <x:c r="L217" s="6" t="n">
        <x:f>ROUNDUP(F217/J217,0)</x:f>
        <x:v>4</x:v>
      </x:c>
      <x:c r="M217" s="6" t="n">
        <x:f>IF(G217=0,"无伤害",ROUNDUP(K217/MAX(1,ROUND(G217*$AC$14,0)),0))</x:f>
        <x:v>10</x:v>
      </x:c>
      <x:c r="N217" s="6">
        <x:f>ROUNDUP(F217/英雄升级调参!$H$70,0)</x:f>
        <x:v>2</x:v>
      </x:c>
      <x:c r="O217" s="6" t="n">
        <x:f>ROUNDUP(F217/英雄升级调参!$K$70,0)</x:f>
        <x:v>2</x:v>
      </x:c>
      <x:c r="P217" s="6" t="str">
        <x:f>$AA$14</x:f>
        <x:v>普通：4次标准普攻击杀；10次主要攻击致死</x:v>
      </x:c>
      <x:c r="Q217" s="6"/>
      <x:c r="R217" s="6"/>
      <x:c r="S217" s="6"/>
      <x:c r="T217" s="6"/>
    </x:row>
    <x:row r="218" ht="21" customHeight="1">
      <x:c r="A218" s="14" t="n">
        <x:f>$V$14</x:f>
        <x:v>60001</x:v>
      </x:c>
      <x:c r="B218" s="14" t="str">
        <x:f>$W$14</x:f>
        <x:v>苹果小子</x:v>
      </x:c>
      <x:c r="C218" s="6" t="str">
        <x:f>$X$14</x:f>
        <x:v>普通</x:v>
      </x:c>
      <x:c r="D218" s="6">
        <x:v>6</x:v>
      </x:c>
      <x:c r="E218" s="6">
        <x:v>14</x:v>
      </x:c>
      <x:c r="F218" s="12">
        <x:f>ROUND(J218*$W$4*H218,0)</x:f>
        <x:v>780</x:v>
      </x:c>
      <x:c r="G218" s="12">
        <x:f>ROUND(J218*$W$4*$W$5*I218,0)</x:f>
        <x:v>195</x:v>
      </x:c>
      <x:c r="H218" s="11" t="n">
        <x:f>$Y$14</x:f>
        <x:v>1</x:v>
      </x:c>
      <x:c r="I218" s="11" t="n">
        <x:f>$Z$14</x:f>
        <x:v>3.3333333333333335</x:v>
      </x:c>
      <x:c r="J218" s="12">
        <x:f>英雄升级调参!$E$71</x:f>
        <x:v>195</x:v>
      </x:c>
      <x:c r="K218" s="12">
        <x:f>英雄升级调参!$F$71</x:f>
        <x:v>1950</x:v>
      </x:c>
      <x:c r="L218" s="6" t="n">
        <x:f>ROUNDUP(F218/J218,0)</x:f>
        <x:v>4</x:v>
      </x:c>
      <x:c r="M218" s="6" t="n">
        <x:f>IF(G218=0,"无伤害",ROUNDUP(K218/MAX(1,ROUND(G218*$AC$14,0)),0))</x:f>
        <x:v>10</x:v>
      </x:c>
      <x:c r="N218" s="6">
        <x:f>ROUNDUP(F218/英雄升级调参!$H$71,0)</x:f>
        <x:v>2</x:v>
      </x:c>
      <x:c r="O218" s="6" t="n">
        <x:f>ROUNDUP(F218/英雄升级调参!$K$71,0)</x:f>
        <x:v>2</x:v>
      </x:c>
      <x:c r="P218" s="6" t="str">
        <x:f>$AA$14</x:f>
        <x:v>普通：4次标准普攻击杀；10次主要攻击致死</x:v>
      </x:c>
      <x:c r="Q218" s="6"/>
      <x:c r="R218" s="6"/>
      <x:c r="S218" s="6"/>
      <x:c r="T218" s="6"/>
    </x:row>
    <x:row r="219" ht="21" customHeight="1">
      <x:c r="A219" s="14" t="n">
        <x:f>$V$14</x:f>
        <x:v>60001</x:v>
      </x:c>
      <x:c r="B219" s="14" t="str">
        <x:f>$W$14</x:f>
        <x:v>苹果小子</x:v>
      </x:c>
      <x:c r="C219" s="6" t="str">
        <x:f>$X$14</x:f>
        <x:v>普通</x:v>
      </x:c>
      <x:c r="D219" s="6">
        <x:v>7</x:v>
      </x:c>
      <x:c r="E219" s="6">
        <x:v>14</x:v>
      </x:c>
      <x:c r="F219" s="12">
        <x:f>ROUND(J219*$W$4*H219,0)</x:f>
        <x:v>888</x:v>
      </x:c>
      <x:c r="G219" s="12">
        <x:f>ROUND(J219*$W$4*$W$5*I219,0)</x:f>
        <x:v>222</x:v>
      </x:c>
      <x:c r="H219" s="11" t="n">
        <x:f>$Y$14</x:f>
        <x:v>1</x:v>
      </x:c>
      <x:c r="I219" s="11" t="n">
        <x:f>$Z$14</x:f>
        <x:v>3.3333333333333335</x:v>
      </x:c>
      <x:c r="J219" s="12">
        <x:f>英雄升级调参!$E$72</x:f>
        <x:v>222</x:v>
      </x:c>
      <x:c r="K219" s="12">
        <x:f>英雄升级调参!$F$72</x:f>
        <x:v>2220</x:v>
      </x:c>
      <x:c r="L219" s="6" t="n">
        <x:f>ROUNDUP(F219/J219,0)</x:f>
        <x:v>4</x:v>
      </x:c>
      <x:c r="M219" s="6" t="n">
        <x:f>IF(G219=0,"无伤害",ROUNDUP(K219/MAX(1,ROUND(G219*$AC$14,0)),0))</x:f>
        <x:v>10</x:v>
      </x:c>
      <x:c r="N219" s="6" t="n">
        <x:f>ROUNDUP(F219/英雄升级调参!$H$72,0)</x:f>
        <x:v>3</x:v>
      </x:c>
      <x:c r="O219" s="6" t="n">
        <x:f>ROUNDUP(F219/英雄升级调参!$K$72,0)</x:f>
        <x:v>2</x:v>
      </x:c>
      <x:c r="P219" s="6" t="str">
        <x:f>$AA$14</x:f>
        <x:v>普通：4次标准普攻击杀；10次主要攻击致死</x:v>
      </x:c>
      <x:c r="Q219" s="6"/>
      <x:c r="R219" s="6"/>
      <x:c r="S219" s="6"/>
      <x:c r="T219" s="6"/>
    </x:row>
    <x:row r="220" ht="21" customHeight="1">
      <x:c r="A220" s="14" t="n">
        <x:f>$V$14</x:f>
        <x:v>60001</x:v>
      </x:c>
      <x:c r="B220" s="14" t="str">
        <x:f>$W$14</x:f>
        <x:v>苹果小子</x:v>
      </x:c>
      <x:c r="C220" s="6" t="str">
        <x:f>$X$14</x:f>
        <x:v>普通</x:v>
      </x:c>
      <x:c r="D220" s="6">
        <x:v>8</x:v>
      </x:c>
      <x:c r="E220" s="6">
        <x:v>14</x:v>
      </x:c>
      <x:c r="F220" s="12">
        <x:f>ROUND(J220*$W$4*H220,0)</x:f>
        <x:v>996</x:v>
      </x:c>
      <x:c r="G220" s="12">
        <x:f>ROUND(J220*$W$4*$W$5*I220,0)</x:f>
        <x:v>249</x:v>
      </x:c>
      <x:c r="H220" s="11" t="n">
        <x:f>$Y$14</x:f>
        <x:v>1</x:v>
      </x:c>
      <x:c r="I220" s="11" t="n">
        <x:f>$Z$14</x:f>
        <x:v>3.3333333333333335</x:v>
      </x:c>
      <x:c r="J220" s="12">
        <x:f>英雄升级调参!$E$73</x:f>
        <x:v>249</x:v>
      </x:c>
      <x:c r="K220" s="12">
        <x:f>英雄升级调参!$F$73</x:f>
        <x:v>2490</x:v>
      </x:c>
      <x:c r="L220" s="6" t="n">
        <x:f>ROUNDUP(F220/J220,0)</x:f>
        <x:v>4</x:v>
      </x:c>
      <x:c r="M220" s="6" t="n">
        <x:f>IF(G220=0,"无伤害",ROUNDUP(K220/MAX(1,ROUND(G220*$AC$14,0)),0))</x:f>
        <x:v>10</x:v>
      </x:c>
      <x:c r="N220" s="6" t="n">
        <x:f>ROUNDUP(F220/英雄升级调参!$H$73,0)</x:f>
        <x:v>3</x:v>
      </x:c>
      <x:c r="O220" s="6" t="n">
        <x:f>ROUNDUP(F220/英雄升级调参!$K$73,0)</x:f>
        <x:v>2</x:v>
      </x:c>
      <x:c r="P220" s="6" t="str">
        <x:f>$AA$14</x:f>
        <x:v>普通：4次标准普攻击杀；10次主要攻击致死</x:v>
      </x:c>
      <x:c r="Q220" s="6"/>
      <x:c r="R220" s="6"/>
      <x:c r="S220" s="6"/>
      <x:c r="T220" s="6"/>
    </x:row>
    <x:row r="221" ht="21" customHeight="1">
      <x:c r="A221" s="14" t="n">
        <x:f>$V$14</x:f>
        <x:v>60001</x:v>
      </x:c>
      <x:c r="B221" s="14" t="str">
        <x:f>$W$14</x:f>
        <x:v>苹果小子</x:v>
      </x:c>
      <x:c r="C221" s="6" t="str">
        <x:f>$X$14</x:f>
        <x:v>普通</x:v>
      </x:c>
      <x:c r="D221" s="6">
        <x:v>9</x:v>
      </x:c>
      <x:c r="E221" s="6">
        <x:v>14</x:v>
      </x:c>
      <x:c r="F221" s="12">
        <x:f>ROUND(J221*$W$4*H221,0)</x:f>
        <x:v>1104</x:v>
      </x:c>
      <x:c r="G221" s="12">
        <x:f>ROUND(J221*$W$4*$W$5*I221,0)</x:f>
        <x:v>276</x:v>
      </x:c>
      <x:c r="H221" s="11" t="n">
        <x:f>$Y$14</x:f>
        <x:v>1</x:v>
      </x:c>
      <x:c r="I221" s="11" t="n">
        <x:f>$Z$14</x:f>
        <x:v>3.3333333333333335</x:v>
      </x:c>
      <x:c r="J221" s="12">
        <x:f>英雄升级调参!$E$74</x:f>
        <x:v>276</x:v>
      </x:c>
      <x:c r="K221" s="12">
        <x:f>英雄升级调参!$F$74</x:f>
        <x:v>2760</x:v>
      </x:c>
      <x:c r="L221" s="6" t="n">
        <x:f>ROUNDUP(F221/J221,0)</x:f>
        <x:v>4</x:v>
      </x:c>
      <x:c r="M221" s="6" t="n">
        <x:f>IF(G221=0,"无伤害",ROUNDUP(K221/MAX(1,ROUND(G221*$AC$14,0)),0))</x:f>
        <x:v>10</x:v>
      </x:c>
      <x:c r="N221" s="6" t="n">
        <x:f>ROUNDUP(F221/英雄升级调参!$H$74,0)</x:f>
        <x:v>3</x:v>
      </x:c>
      <x:c r="O221" s="6" t="n">
        <x:f>ROUNDUP(F221/英雄升级调参!$K$74,0)</x:f>
        <x:v>2</x:v>
      </x:c>
      <x:c r="P221" s="6" t="str">
        <x:f>$AA$14</x:f>
        <x:v>普通：4次标准普攻击杀；10次主要攻击致死</x:v>
      </x:c>
      <x:c r="Q221" s="6"/>
      <x:c r="R221" s="6"/>
      <x:c r="S221" s="6"/>
      <x:c r="T221" s="6"/>
    </x:row>
    <x:row r="222" ht="21" customHeight="1">
      <x:c r="A222" s="14" t="n">
        <x:f>$V$14</x:f>
        <x:v>60001</x:v>
      </x:c>
      <x:c r="B222" s="14" t="str">
        <x:f>$W$14</x:f>
        <x:v>苹果小子</x:v>
      </x:c>
      <x:c r="C222" s="6" t="str">
        <x:f>$X$14</x:f>
        <x:v>普通</x:v>
      </x:c>
      <x:c r="D222" s="6">
        <x:v>10</x:v>
      </x:c>
      <x:c r="E222" s="6">
        <x:v>14</x:v>
      </x:c>
      <x:c r="F222" s="12">
        <x:f>ROUND(J222*$W$4*H222,0)</x:f>
        <x:v>1428</x:v>
      </x:c>
      <x:c r="G222" s="12">
        <x:f>ROUND(J222*$W$4*$W$5*I222,0)</x:f>
        <x:v>357</x:v>
      </x:c>
      <x:c r="H222" s="11" t="n">
        <x:f>$Y$14</x:f>
        <x:v>1</x:v>
      </x:c>
      <x:c r="I222" s="11" t="n">
        <x:f>$Z$14</x:f>
        <x:v>3.3333333333333335</x:v>
      </x:c>
      <x:c r="J222" s="12">
        <x:f>英雄升级调参!$E$75</x:f>
        <x:v>357</x:v>
      </x:c>
      <x:c r="K222" s="12">
        <x:f>英雄升级调参!$F$75</x:f>
        <x:v>3570</x:v>
      </x:c>
      <x:c r="L222" s="6" t="n">
        <x:f>ROUNDUP(F222/J222,0)</x:f>
        <x:v>4</x:v>
      </x:c>
      <x:c r="M222" s="6" t="n">
        <x:f>IF(G222=0,"无伤害",ROUNDUP(K222/MAX(1,ROUND(G222*$AC$14,0)),0))</x:f>
        <x:v>10</x:v>
      </x:c>
      <x:c r="N222" s="6" t="n">
        <x:f>ROUNDUP(F222/英雄升级调参!$H$75,0)</x:f>
        <x:v>3</x:v>
      </x:c>
      <x:c r="O222" s="6" t="n">
        <x:f>ROUNDUP(F222/英雄升级调参!$K$75,0)</x:f>
        <x:v>2</x:v>
      </x:c>
      <x:c r="P222" s="6" t="str">
        <x:f>$AA$14</x:f>
        <x:v>普通：4次标准普攻击杀；10次主要攻击致死</x:v>
      </x:c>
      <x:c r="Q222" s="6"/>
      <x:c r="R222" s="6"/>
      <x:c r="S222" s="6"/>
      <x:c r="T222" s="6"/>
    </x:row>
    <x:row r="223" ht="21" customHeight="1">
      <x:c r="A223" s="14" t="n">
        <x:f>$V$14</x:f>
        <x:v>60001</x:v>
      </x:c>
      <x:c r="B223" s="14" t="str">
        <x:f>$W$14</x:f>
        <x:v>苹果小子</x:v>
      </x:c>
      <x:c r="C223" s="6" t="str">
        <x:f>$X$14</x:f>
        <x:v>普通</x:v>
      </x:c>
      <x:c r="D223" s="6">
        <x:v>11</x:v>
      </x:c>
      <x:c r="E223" s="6">
        <x:v>14</x:v>
      </x:c>
      <x:c r="F223" s="12">
        <x:f>ROUND(J223*$W$4*H223,0)</x:f>
        <x:v>1572</x:v>
      </x:c>
      <x:c r="G223" s="12">
        <x:f>ROUND(J223*$W$4*$W$5*I223,0)</x:f>
        <x:v>393</x:v>
      </x:c>
      <x:c r="H223" s="11" t="n">
        <x:f>$Y$14</x:f>
        <x:v>1</x:v>
      </x:c>
      <x:c r="I223" s="11" t="n">
        <x:f>$Z$14</x:f>
        <x:v>3.3333333333333335</x:v>
      </x:c>
      <x:c r="J223" s="12">
        <x:f>英雄升级调参!$E$76</x:f>
        <x:v>393</x:v>
      </x:c>
      <x:c r="K223" s="12">
        <x:f>英雄升级调参!$F$76</x:f>
        <x:v>3930</x:v>
      </x:c>
      <x:c r="L223" s="6" t="n">
        <x:f>ROUNDUP(F223/J223,0)</x:f>
        <x:v>4</x:v>
      </x:c>
      <x:c r="M223" s="6" t="n">
        <x:f>IF(G223=0,"无伤害",ROUNDUP(K223/MAX(1,ROUND(G223*$AC$14,0)),0))</x:f>
        <x:v>10</x:v>
      </x:c>
      <x:c r="N223" s="6" t="n">
        <x:f>ROUNDUP(F223/英雄升级调参!$H$76,0)</x:f>
        <x:v>3</x:v>
      </x:c>
      <x:c r="O223" s="6" t="n">
        <x:f>ROUNDUP(F223/英雄升级调参!$K$76,0)</x:f>
        <x:v>2</x:v>
      </x:c>
      <x:c r="P223" s="6" t="str">
        <x:f>$AA$14</x:f>
        <x:v>普通：4次标准普攻击杀；10次主要攻击致死</x:v>
      </x:c>
      <x:c r="Q223" s="6"/>
      <x:c r="R223" s="6"/>
      <x:c r="S223" s="6"/>
      <x:c r="T223" s="6"/>
    </x:row>
    <x:row r="224" ht="21" customHeight="1">
      <x:c r="A224" s="14" t="n">
        <x:f>$V$14</x:f>
        <x:v>60001</x:v>
      </x:c>
      <x:c r="B224" s="14" t="str">
        <x:f>$W$14</x:f>
        <x:v>苹果小子</x:v>
      </x:c>
      <x:c r="C224" s="6" t="str">
        <x:f>$X$14</x:f>
        <x:v>普通</x:v>
      </x:c>
      <x:c r="D224" s="6">
        <x:v>12</x:v>
      </x:c>
      <x:c r="E224" s="6">
        <x:v>14</x:v>
      </x:c>
      <x:c r="F224" s="12">
        <x:f>ROUND(J224*$W$4*H224,0)</x:f>
        <x:v>1716</x:v>
      </x:c>
      <x:c r="G224" s="12">
        <x:f>ROUND(J224*$W$4*$W$5*I224,0)</x:f>
        <x:v>429</x:v>
      </x:c>
      <x:c r="H224" s="11" t="n">
        <x:f>$Y$14</x:f>
        <x:v>1</x:v>
      </x:c>
      <x:c r="I224" s="11" t="n">
        <x:f>$Z$14</x:f>
        <x:v>3.3333333333333335</x:v>
      </x:c>
      <x:c r="J224" s="12">
        <x:f>英雄升级调参!$E$77</x:f>
        <x:v>429</x:v>
      </x:c>
      <x:c r="K224" s="12">
        <x:f>英雄升级调参!$F$77</x:f>
        <x:v>4290</x:v>
      </x:c>
      <x:c r="L224" s="6" t="n">
        <x:f>ROUNDUP(F224/J224,0)</x:f>
        <x:v>4</x:v>
      </x:c>
      <x:c r="M224" s="6" t="n">
        <x:f>IF(G224=0,"无伤害",ROUNDUP(K224/MAX(1,ROUND(G224*$AC$14,0)),0))</x:f>
        <x:v>10</x:v>
      </x:c>
      <x:c r="N224" s="6" t="n">
        <x:f>ROUNDUP(F224/英雄升级调参!$H$77,0)</x:f>
        <x:v>3</x:v>
      </x:c>
      <x:c r="O224" s="6" t="n">
        <x:f>ROUNDUP(F224/英雄升级调参!$K$77,0)</x:f>
        <x:v>2</x:v>
      </x:c>
      <x:c r="P224" s="6" t="str">
        <x:f>$AA$14</x:f>
        <x:v>普通：4次标准普攻击杀；10次主要攻击致死</x:v>
      </x:c>
      <x:c r="Q224" s="6"/>
      <x:c r="R224" s="6"/>
      <x:c r="S224" s="6"/>
      <x:c r="T224" s="6"/>
    </x:row>
    <x:row r="225" ht="21" customHeight="1">
      <x:c r="A225" s="14" t="n">
        <x:f>$V$14</x:f>
        <x:v>60001</x:v>
      </x:c>
      <x:c r="B225" s="14" t="str">
        <x:f>$W$14</x:f>
        <x:v>苹果小子</x:v>
      </x:c>
      <x:c r="C225" s="6" t="str">
        <x:f>$X$14</x:f>
        <x:v>普通</x:v>
      </x:c>
      <x:c r="D225" s="6">
        <x:v>13</x:v>
      </x:c>
      <x:c r="E225" s="6">
        <x:v>14</x:v>
      </x:c>
      <x:c r="F225" s="12">
        <x:f>ROUND(J225*$W$4*H225,0)</x:f>
        <x:v>1860</x:v>
      </x:c>
      <x:c r="G225" s="12">
        <x:f>ROUND(J225*$W$4*$W$5*I225,0)</x:f>
        <x:v>465</x:v>
      </x:c>
      <x:c r="H225" s="11" t="n">
        <x:f>$Y$14</x:f>
        <x:v>1</x:v>
      </x:c>
      <x:c r="I225" s="11" t="n">
        <x:f>$Z$14</x:f>
        <x:v>3.3333333333333335</x:v>
      </x:c>
      <x:c r="J225" s="12">
        <x:f>英雄升级调参!$E$78</x:f>
        <x:v>465</x:v>
      </x:c>
      <x:c r="K225" s="12">
        <x:f>英雄升级调参!$F$78</x:f>
        <x:v>4650</x:v>
      </x:c>
      <x:c r="L225" s="6" t="n">
        <x:f>ROUNDUP(F225/J225,0)</x:f>
        <x:v>4</x:v>
      </x:c>
      <x:c r="M225" s="6" t="n">
        <x:f>IF(G225=0,"无伤害",ROUNDUP(K225/MAX(1,ROUND(G225*$AC$14,0)),0))</x:f>
        <x:v>10</x:v>
      </x:c>
      <x:c r="N225" s="6" t="n">
        <x:f>ROUNDUP(F225/英雄升级调参!$H$78,0)</x:f>
        <x:v>3</x:v>
      </x:c>
      <x:c r="O225" s="6" t="n">
        <x:f>ROUNDUP(F225/英雄升级调参!$K$78,0)</x:f>
        <x:v>2</x:v>
      </x:c>
      <x:c r="P225" s="6" t="str">
        <x:f>$AA$14</x:f>
        <x:v>普通：4次标准普攻击杀；10次主要攻击致死</x:v>
      </x:c>
      <x:c r="Q225" s="6"/>
      <x:c r="R225" s="6"/>
      <x:c r="S225" s="6"/>
      <x:c r="T225" s="6"/>
    </x:row>
    <x:row r="226" ht="21" customHeight="1">
      <x:c r="A226" s="14" t="n">
        <x:f>$V$14</x:f>
        <x:v>60001</x:v>
      </x:c>
      <x:c r="B226" s="14" t="str">
        <x:f>$W$14</x:f>
        <x:v>苹果小子</x:v>
      </x:c>
      <x:c r="C226" s="6" t="str">
        <x:f>$X$14</x:f>
        <x:v>普通</x:v>
      </x:c>
      <x:c r="D226" s="6">
        <x:v>14</x:v>
      </x:c>
      <x:c r="E226" s="6">
        <x:v>14</x:v>
      </x:c>
      <x:c r="F226" s="12">
        <x:f>ROUND(J226*$W$4*H226,0)</x:f>
        <x:v>2004</x:v>
      </x:c>
      <x:c r="G226" s="12">
        <x:f>ROUND(J226*$W$4*$W$5*I226,0)</x:f>
        <x:v>501</x:v>
      </x:c>
      <x:c r="H226" s="11" t="n">
        <x:f>$Y$14</x:f>
        <x:v>1</x:v>
      </x:c>
      <x:c r="I226" s="11" t="n">
        <x:f>$Z$14</x:f>
        <x:v>3.3333333333333335</x:v>
      </x:c>
      <x:c r="J226" s="12">
        <x:f>英雄升级调参!$E$79</x:f>
        <x:v>501</x:v>
      </x:c>
      <x:c r="K226" s="12">
        <x:f>英雄升级调参!$F$79</x:f>
        <x:v>5010</x:v>
      </x:c>
      <x:c r="L226" s="6" t="n">
        <x:f>ROUNDUP(F226/J226,0)</x:f>
        <x:v>4</x:v>
      </x:c>
      <x:c r="M226" s="6" t="n">
        <x:f>IF(G226=0,"无伤害",ROUNDUP(K226/MAX(1,ROUND(G226*$AC$14,0)),0))</x:f>
        <x:v>10</x:v>
      </x:c>
      <x:c r="N226" s="6" t="n">
        <x:f>ROUNDUP(F226/英雄升级调参!$H$79,0)</x:f>
        <x:v>3</x:v>
      </x:c>
      <x:c r="O226" s="6" t="n">
        <x:f>ROUNDUP(F226/英雄升级调参!$K$79,0)</x:f>
        <x:v>2</x:v>
      </x:c>
      <x:c r="P226" s="6" t="str">
        <x:f>$AA$14</x:f>
        <x:v>普通：4次标准普攻击杀；10次主要攻击致死</x:v>
      </x:c>
      <x:c r="Q226" s="6"/>
      <x:c r="R226" s="6"/>
      <x:c r="S226" s="6"/>
      <x:c r="T226" s="6"/>
    </x:row>
    <x:row r="227" ht="21" customHeight="1">
      <x:c r="A227" s="14" t="n">
        <x:f>$V$14</x:f>
        <x:v>60001</x:v>
      </x:c>
      <x:c r="B227" s="14" t="str">
        <x:f>$W$14</x:f>
        <x:v>苹果小子</x:v>
      </x:c>
      <x:c r="C227" s="6" t="str">
        <x:f>$X$14</x:f>
        <x:v>普通</x:v>
      </x:c>
      <x:c r="D227" s="6">
        <x:v>15</x:v>
      </x:c>
      <x:c r="E227" s="6">
        <x:v>14</x:v>
      </x:c>
      <x:c r="F227" s="12">
        <x:f>ROUND(J227*$W$4*H227,0)</x:f>
        <x:v>2436</x:v>
      </x:c>
      <x:c r="G227" s="12">
        <x:f>ROUND(J227*$W$4*$W$5*I227,0)</x:f>
        <x:v>609</x:v>
      </x:c>
      <x:c r="H227" s="11" t="n">
        <x:f>$Y$14</x:f>
        <x:v>1</x:v>
      </x:c>
      <x:c r="I227" s="11" t="n">
        <x:f>$Z$14</x:f>
        <x:v>3.3333333333333335</x:v>
      </x:c>
      <x:c r="J227" s="12">
        <x:f>英雄升级调参!$E$80</x:f>
        <x:v>609</x:v>
      </x:c>
      <x:c r="K227" s="12">
        <x:f>英雄升级调参!$F$80</x:f>
        <x:v>6090</x:v>
      </x:c>
      <x:c r="L227" s="6" t="n">
        <x:f>ROUNDUP(F227/J227,0)</x:f>
        <x:v>4</x:v>
      </x:c>
      <x:c r="M227" s="6" t="n">
        <x:f>IF(G227=0,"无伤害",ROUNDUP(K227/MAX(1,ROUND(G227*$AC$14,0)),0))</x:f>
        <x:v>10</x:v>
      </x:c>
      <x:c r="N227" s="6" t="n">
        <x:f>ROUNDUP(F227/英雄升级调参!$H$80,0)</x:f>
        <x:v>3</x:v>
      </x:c>
      <x:c r="O227" s="6" t="n">
        <x:f>ROUNDUP(F227/英雄升级调参!$K$80,0)</x:f>
        <x:v>2</x:v>
      </x:c>
      <x:c r="P227" s="6" t="str">
        <x:f>$AA$14</x:f>
        <x:v>普通：4次标准普攻击杀；10次主要攻击致死</x:v>
      </x:c>
      <x:c r="Q227" s="6"/>
      <x:c r="R227" s="6"/>
      <x:c r="S227" s="6"/>
      <x:c r="T227" s="6"/>
    </x:row>
    <x:row r="228" ht="21" customHeight="1">
      <x:c r="A228" s="14" t="n">
        <x:f>$V$14</x:f>
        <x:v>60001</x:v>
      </x:c>
      <x:c r="B228" s="14" t="str">
        <x:f>$W$14</x:f>
        <x:v>苹果小子</x:v>
      </x:c>
      <x:c r="C228" s="6" t="str">
        <x:f>$X$14</x:f>
        <x:v>普通</x:v>
      </x:c>
      <x:c r="D228" s="6">
        <x:v>16</x:v>
      </x:c>
      <x:c r="E228" s="6">
        <x:v>14</x:v>
      </x:c>
      <x:c r="F228" s="12">
        <x:f>ROUND(J228*$W$4*H228,0)</x:f>
        <x:v>2616</x:v>
      </x:c>
      <x:c r="G228" s="12">
        <x:f>ROUND(J228*$W$4*$W$5*I228,0)</x:f>
        <x:v>654</x:v>
      </x:c>
      <x:c r="H228" s="11" t="n">
        <x:f>$Y$14</x:f>
        <x:v>1</x:v>
      </x:c>
      <x:c r="I228" s="11" t="n">
        <x:f>$Z$14</x:f>
        <x:v>3.3333333333333335</x:v>
      </x:c>
      <x:c r="J228" s="12">
        <x:f>英雄升级调参!$E$81</x:f>
        <x:v>654</x:v>
      </x:c>
      <x:c r="K228" s="12">
        <x:f>英雄升级调参!$F$81</x:f>
        <x:v>6540</x:v>
      </x:c>
      <x:c r="L228" s="6" t="n">
        <x:f>ROUNDUP(F228/J228,0)</x:f>
        <x:v>4</x:v>
      </x:c>
      <x:c r="M228" s="6" t="n">
        <x:f>IF(G228=0,"无伤害",ROUNDUP(K228/MAX(1,ROUND(G228*$AC$14,0)),0))</x:f>
        <x:v>10</x:v>
      </x:c>
      <x:c r="N228" s="6" t="n">
        <x:f>ROUNDUP(F228/英雄升级调参!$H$81,0)</x:f>
        <x:v>3</x:v>
      </x:c>
      <x:c r="O228" s="6" t="n">
        <x:f>ROUNDUP(F228/英雄升级调参!$K$81,0)</x:f>
        <x:v>2</x:v>
      </x:c>
      <x:c r="P228" s="6" t="str">
        <x:f>$AA$14</x:f>
        <x:v>普通：4次标准普攻击杀；10次主要攻击致死</x:v>
      </x:c>
      <x:c r="Q228" s="6"/>
      <x:c r="R228" s="6"/>
      <x:c r="S228" s="6"/>
      <x:c r="T228" s="6"/>
    </x:row>
    <x:row r="229" ht="21" customHeight="1">
      <x:c r="A229" s="14" t="n">
        <x:f>$V$14</x:f>
        <x:v>60001</x:v>
      </x:c>
      <x:c r="B229" s="14" t="str">
        <x:f>$W$14</x:f>
        <x:v>苹果小子</x:v>
      </x:c>
      <x:c r="C229" s="6" t="str">
        <x:f>$X$14</x:f>
        <x:v>普通</x:v>
      </x:c>
      <x:c r="D229" s="6">
        <x:v>17</x:v>
      </x:c>
      <x:c r="E229" s="6">
        <x:v>14</x:v>
      </x:c>
      <x:c r="F229" s="12">
        <x:f>ROUND(J229*$W$4*H229,0)</x:f>
        <x:v>2796</x:v>
      </x:c>
      <x:c r="G229" s="12">
        <x:f>ROUND(J229*$W$4*$W$5*I229,0)</x:f>
        <x:v>699</x:v>
      </x:c>
      <x:c r="H229" s="11" t="n">
        <x:f>$Y$14</x:f>
        <x:v>1</x:v>
      </x:c>
      <x:c r="I229" s="11" t="n">
        <x:f>$Z$14</x:f>
        <x:v>3.3333333333333335</x:v>
      </x:c>
      <x:c r="J229" s="12">
        <x:f>英雄升级调参!$E$82</x:f>
        <x:v>699</x:v>
      </x:c>
      <x:c r="K229" s="12">
        <x:f>英雄升级调参!$F$82</x:f>
        <x:v>6990</x:v>
      </x:c>
      <x:c r="L229" s="6" t="n">
        <x:f>ROUNDUP(F229/J229,0)</x:f>
        <x:v>4</x:v>
      </x:c>
      <x:c r="M229" s="6" t="n">
        <x:f>IF(G229=0,"无伤害",ROUNDUP(K229/MAX(1,ROUND(G229*$AC$14,0)),0))</x:f>
        <x:v>10</x:v>
      </x:c>
      <x:c r="N229" s="6" t="n">
        <x:f>ROUNDUP(F229/英雄升级调参!$H$82,0)</x:f>
        <x:v>3</x:v>
      </x:c>
      <x:c r="O229" s="6" t="n">
        <x:f>ROUNDUP(F229/英雄升级调参!$K$82,0)</x:f>
        <x:v>2</x:v>
      </x:c>
      <x:c r="P229" s="6" t="str">
        <x:f>$AA$14</x:f>
        <x:v>普通：4次标准普攻击杀；10次主要攻击致死</x:v>
      </x:c>
      <x:c r="Q229" s="6"/>
      <x:c r="R229" s="6"/>
      <x:c r="S229" s="6"/>
      <x:c r="T229" s="6"/>
    </x:row>
    <x:row r="230" ht="21" customHeight="1">
      <x:c r="A230" s="14" t="n">
        <x:f>$V$14</x:f>
        <x:v>60001</x:v>
      </x:c>
      <x:c r="B230" s="14" t="str">
        <x:f>$W$14</x:f>
        <x:v>苹果小子</x:v>
      </x:c>
      <x:c r="C230" s="6" t="str">
        <x:f>$X$14</x:f>
        <x:v>普通</x:v>
      </x:c>
      <x:c r="D230" s="6">
        <x:v>18</x:v>
      </x:c>
      <x:c r="E230" s="6">
        <x:v>14</x:v>
      </x:c>
      <x:c r="F230" s="12">
        <x:f>ROUND(J230*$W$4*H230,0)</x:f>
        <x:v>2976</x:v>
      </x:c>
      <x:c r="G230" s="12">
        <x:f>ROUND(J230*$W$4*$W$5*I230,0)</x:f>
        <x:v>744</x:v>
      </x:c>
      <x:c r="H230" s="11" t="n">
        <x:f>$Y$14</x:f>
        <x:v>1</x:v>
      </x:c>
      <x:c r="I230" s="11" t="n">
        <x:f>$Z$14</x:f>
        <x:v>3.3333333333333335</x:v>
      </x:c>
      <x:c r="J230" s="12">
        <x:f>英雄升级调参!$E$83</x:f>
        <x:v>744</x:v>
      </x:c>
      <x:c r="K230" s="12">
        <x:f>英雄升级调参!$F$83</x:f>
        <x:v>7440</x:v>
      </x:c>
      <x:c r="L230" s="6" t="n">
        <x:f>ROUNDUP(F230/J230,0)</x:f>
        <x:v>4</x:v>
      </x:c>
      <x:c r="M230" s="6" t="n">
        <x:f>IF(G230=0,"无伤害",ROUNDUP(K230/MAX(1,ROUND(G230*$AC$14,0)),0))</x:f>
        <x:v>10</x:v>
      </x:c>
      <x:c r="N230" s="6" t="n">
        <x:f>ROUNDUP(F230/英雄升级调参!$H$83,0)</x:f>
        <x:v>3</x:v>
      </x:c>
      <x:c r="O230" s="6" t="n">
        <x:f>ROUNDUP(F230/英雄升级调参!$K$83,0)</x:f>
        <x:v>2</x:v>
      </x:c>
      <x:c r="P230" s="6" t="str">
        <x:f>$AA$14</x:f>
        <x:v>普通：4次标准普攻击杀；10次主要攻击致死</x:v>
      </x:c>
      <x:c r="Q230" s="6"/>
      <x:c r="R230" s="6"/>
      <x:c r="S230" s="6"/>
      <x:c r="T230" s="6"/>
    </x:row>
    <x:row r="231" ht="21" customHeight="1">
      <x:c r="A231" s="14" t="n">
        <x:f>$V$14</x:f>
        <x:v>60001</x:v>
      </x:c>
      <x:c r="B231" s="14" t="str">
        <x:f>$W$14</x:f>
        <x:v>苹果小子</x:v>
      </x:c>
      <x:c r="C231" s="6" t="str">
        <x:f>$X$14</x:f>
        <x:v>普通</x:v>
      </x:c>
      <x:c r="D231" s="6">
        <x:v>19</x:v>
      </x:c>
      <x:c r="E231" s="6">
        <x:v>14</x:v>
      </x:c>
      <x:c r="F231" s="12">
        <x:f>ROUND(J231*$W$4*H231,0)</x:f>
        <x:v>3156</x:v>
      </x:c>
      <x:c r="G231" s="12">
        <x:f>ROUND(J231*$W$4*$W$5*I231,0)</x:f>
        <x:v>789</x:v>
      </x:c>
      <x:c r="H231" s="11" t="n">
        <x:f>$Y$14</x:f>
        <x:v>1</x:v>
      </x:c>
      <x:c r="I231" s="11" t="n">
        <x:f>$Z$14</x:f>
        <x:v>3.3333333333333335</x:v>
      </x:c>
      <x:c r="J231" s="12">
        <x:f>英雄升级调参!$E$84</x:f>
        <x:v>789</x:v>
      </x:c>
      <x:c r="K231" s="12">
        <x:f>英雄升级调参!$F$84</x:f>
        <x:v>7890</x:v>
      </x:c>
      <x:c r="L231" s="6" t="n">
        <x:f>ROUNDUP(F231/J231,0)</x:f>
        <x:v>4</x:v>
      </x:c>
      <x:c r="M231" s="6" t="n">
        <x:f>IF(G231=0,"无伤害",ROUNDUP(K231/MAX(1,ROUND(G231*$AC$14,0)),0))</x:f>
        <x:v>10</x:v>
      </x:c>
      <x:c r="N231" s="6" t="n">
        <x:f>ROUNDUP(F231/英雄升级调参!$H$84,0)</x:f>
        <x:v>3</x:v>
      </x:c>
      <x:c r="O231" s="6" t="n">
        <x:f>ROUNDUP(F231/英雄升级调参!$K$84,0)</x:f>
        <x:v>2</x:v>
      </x:c>
      <x:c r="P231" s="6" t="str">
        <x:f>$AA$14</x:f>
        <x:v>普通：4次标准普攻击杀；10次主要攻击致死</x:v>
      </x:c>
      <x:c r="Q231" s="6"/>
      <x:c r="R231" s="6"/>
      <x:c r="S231" s="6"/>
      <x:c r="T231" s="6"/>
    </x:row>
    <x:row r="232" ht="21" customHeight="1">
      <x:c r="A232" s="14" t="n">
        <x:f>$V$14</x:f>
        <x:v>60001</x:v>
      </x:c>
      <x:c r="B232" s="14" t="str">
        <x:f>$W$14</x:f>
        <x:v>苹果小子</x:v>
      </x:c>
      <x:c r="C232" s="6" t="str">
        <x:f>$X$14</x:f>
        <x:v>普通</x:v>
      </x:c>
      <x:c r="D232" s="6">
        <x:v>20</x:v>
      </x:c>
      <x:c r="E232" s="6">
        <x:v>14</x:v>
      </x:c>
      <x:c r="F232" s="12">
        <x:f>ROUND(J232*$W$4*H232,0)</x:f>
        <x:v>3696</x:v>
      </x:c>
      <x:c r="G232" s="12">
        <x:f>ROUND(J232*$W$4*$W$5*I232,0)</x:f>
        <x:v>924</x:v>
      </x:c>
      <x:c r="H232" s="11" t="n">
        <x:f>$Y$14</x:f>
        <x:v>1</x:v>
      </x:c>
      <x:c r="I232" s="11" t="n">
        <x:f>$Z$14</x:f>
        <x:v>3.3333333333333335</x:v>
      </x:c>
      <x:c r="J232" s="12">
        <x:f>英雄升级调参!$E$85</x:f>
        <x:v>924</x:v>
      </x:c>
      <x:c r="K232" s="12">
        <x:f>英雄升级调参!$F$85</x:f>
        <x:v>9240</x:v>
      </x:c>
      <x:c r="L232" s="6" t="n">
        <x:f>ROUNDUP(F232/J232,0)</x:f>
        <x:v>4</x:v>
      </x:c>
      <x:c r="M232" s="6" t="n">
        <x:f>IF(G232=0,"无伤害",ROUNDUP(K232/MAX(1,ROUND(G232*$AC$14,0)),0))</x:f>
        <x:v>10</x:v>
      </x:c>
      <x:c r="N232" s="6" t="n">
        <x:f>ROUNDUP(F232/英雄升级调参!$H$85,0)</x:f>
        <x:v>3</x:v>
      </x:c>
      <x:c r="O232" s="6" t="n">
        <x:f>ROUNDUP(F232/英雄升级调参!$K$85,0)</x:f>
        <x:v>2</x:v>
      </x:c>
      <x:c r="P232" s="6" t="str">
        <x:f>$AA$14</x:f>
        <x:v>普通：4次标准普攻击杀；10次主要攻击致死</x:v>
      </x:c>
      <x:c r="Q232" s="6"/>
      <x:c r="R232" s="6"/>
      <x:c r="S232" s="6"/>
      <x:c r="T232" s="6"/>
    </x:row>
    <x:row r="233" ht="21" customHeight="1">
      <x:c r="A233" s="14" t="n">
        <x:f>$V$14</x:f>
        <x:v>60001</x:v>
      </x:c>
      <x:c r="B233" s="14" t="str">
        <x:f>$W$14</x:f>
        <x:v>苹果小子</x:v>
      </x:c>
      <x:c r="C233" s="6" t="str">
        <x:f>$X$14</x:f>
        <x:v>普通</x:v>
      </x:c>
      <x:c r="D233" s="6">
        <x:v>21</x:v>
      </x:c>
      <x:c r="E233" s="6">
        <x:v>14</x:v>
      </x:c>
      <x:c r="F233" s="12">
        <x:f>ROUND(J233*$W$4*H233,0)</x:f>
        <x:v>3912</x:v>
      </x:c>
      <x:c r="G233" s="12">
        <x:f>ROUND(J233*$W$4*$W$5*I233,0)</x:f>
        <x:v>978</x:v>
      </x:c>
      <x:c r="H233" s="11" t="n">
        <x:f>$Y$14</x:f>
        <x:v>1</x:v>
      </x:c>
      <x:c r="I233" s="11" t="n">
        <x:f>$Z$14</x:f>
        <x:v>3.3333333333333335</x:v>
      </x:c>
      <x:c r="J233" s="12">
        <x:f>英雄升级调参!$E$86</x:f>
        <x:v>978</x:v>
      </x:c>
      <x:c r="K233" s="12">
        <x:f>英雄升级调参!$F$86</x:f>
        <x:v>9780</x:v>
      </x:c>
      <x:c r="L233" s="6" t="n">
        <x:f>ROUNDUP(F233/J233,0)</x:f>
        <x:v>4</x:v>
      </x:c>
      <x:c r="M233" s="6" t="n">
        <x:f>IF(G233=0,"无伤害",ROUNDUP(K233/MAX(1,ROUND(G233*$AC$14,0)),0))</x:f>
        <x:v>10</x:v>
      </x:c>
      <x:c r="N233" s="6" t="n">
        <x:f>ROUNDUP(F233/英雄升级调参!$H$86,0)</x:f>
        <x:v>3</x:v>
      </x:c>
      <x:c r="O233" s="6" t="n">
        <x:f>ROUNDUP(F233/英雄升级调参!$K$86,0)</x:f>
        <x:v>2</x:v>
      </x:c>
      <x:c r="P233" s="6" t="str">
        <x:f>$AA$14</x:f>
        <x:v>普通：4次标准普攻击杀；10次主要攻击致死</x:v>
      </x:c>
      <x:c r="Q233" s="6"/>
      <x:c r="R233" s="6"/>
      <x:c r="S233" s="6"/>
      <x:c r="T233" s="6"/>
    </x:row>
    <x:row r="234" ht="21" customHeight="1">
      <x:c r="A234" s="14" t="n">
        <x:f>$V$14</x:f>
        <x:v>60001</x:v>
      </x:c>
      <x:c r="B234" s="14" t="str">
        <x:f>$W$14</x:f>
        <x:v>苹果小子</x:v>
      </x:c>
      <x:c r="C234" s="6" t="str">
        <x:f>$X$14</x:f>
        <x:v>普通</x:v>
      </x:c>
      <x:c r="D234" s="6">
        <x:v>22</x:v>
      </x:c>
      <x:c r="E234" s="6">
        <x:v>14</x:v>
      </x:c>
      <x:c r="F234" s="12">
        <x:f>ROUND(J234*$W$4*H234,0)</x:f>
        <x:v>4128</x:v>
      </x:c>
      <x:c r="G234" s="12">
        <x:f>ROUND(J234*$W$4*$W$5*I234,0)</x:f>
        <x:v>1032</x:v>
      </x:c>
      <x:c r="H234" s="11" t="n">
        <x:f>$Y$14</x:f>
        <x:v>1</x:v>
      </x:c>
      <x:c r="I234" s="11" t="n">
        <x:f>$Z$14</x:f>
        <x:v>3.3333333333333335</x:v>
      </x:c>
      <x:c r="J234" s="12">
        <x:f>英雄升级调参!$E$87</x:f>
        <x:v>1032</x:v>
      </x:c>
      <x:c r="K234" s="12">
        <x:f>英雄升级调参!$F$87</x:f>
        <x:v>10320</x:v>
      </x:c>
      <x:c r="L234" s="6" t="n">
        <x:f>ROUNDUP(F234/J234,0)</x:f>
        <x:v>4</x:v>
      </x:c>
      <x:c r="M234" s="6" t="n">
        <x:f>IF(G234=0,"无伤害",ROUNDUP(K234/MAX(1,ROUND(G234*$AC$14,0)),0))</x:f>
        <x:v>10</x:v>
      </x:c>
      <x:c r="N234" s="6" t="n">
        <x:f>ROUNDUP(F234/英雄升级调参!$H$87,0)</x:f>
        <x:v>3</x:v>
      </x:c>
      <x:c r="O234" s="6" t="n">
        <x:f>ROUNDUP(F234/英雄升级调参!$K$87,0)</x:f>
        <x:v>2</x:v>
      </x:c>
      <x:c r="P234" s="6" t="str">
        <x:f>$AA$14</x:f>
        <x:v>普通：4次标准普攻击杀；10次主要攻击致死</x:v>
      </x:c>
      <x:c r="Q234" s="6"/>
      <x:c r="R234" s="6"/>
      <x:c r="S234" s="6"/>
      <x:c r="T234" s="6"/>
    </x:row>
    <x:row r="235" ht="21" customHeight="1">
      <x:c r="A235" s="14" t="n">
        <x:f>$V$14</x:f>
        <x:v>60001</x:v>
      </x:c>
      <x:c r="B235" s="14" t="str">
        <x:f>$W$14</x:f>
        <x:v>苹果小子</x:v>
      </x:c>
      <x:c r="C235" s="6" t="str">
        <x:f>$X$14</x:f>
        <x:v>普通</x:v>
      </x:c>
      <x:c r="D235" s="6">
        <x:v>23</x:v>
      </x:c>
      <x:c r="E235" s="6">
        <x:v>14</x:v>
      </x:c>
      <x:c r="F235" s="12">
        <x:f>ROUND(J235*$W$4*H235,0)</x:f>
        <x:v>4344</x:v>
      </x:c>
      <x:c r="G235" s="12">
        <x:f>ROUND(J235*$W$4*$W$5*I235,0)</x:f>
        <x:v>1086</x:v>
      </x:c>
      <x:c r="H235" s="11" t="n">
        <x:f>$Y$14</x:f>
        <x:v>1</x:v>
      </x:c>
      <x:c r="I235" s="11" t="n">
        <x:f>$Z$14</x:f>
        <x:v>3.3333333333333335</x:v>
      </x:c>
      <x:c r="J235" s="12">
        <x:f>英雄升级调参!$E$88</x:f>
        <x:v>1086</x:v>
      </x:c>
      <x:c r="K235" s="12">
        <x:f>英雄升级调参!$F$88</x:f>
        <x:v>10860</x:v>
      </x:c>
      <x:c r="L235" s="6" t="n">
        <x:f>ROUNDUP(F235/J235,0)</x:f>
        <x:v>4</x:v>
      </x:c>
      <x:c r="M235" s="6" t="n">
        <x:f>IF(G235=0,"无伤害",ROUNDUP(K235/MAX(1,ROUND(G235*$AC$14,0)),0))</x:f>
        <x:v>10</x:v>
      </x:c>
      <x:c r="N235" s="6" t="n">
        <x:f>ROUNDUP(F235/英雄升级调参!$H$88,0)</x:f>
        <x:v>3</x:v>
      </x:c>
      <x:c r="O235" s="6" t="n">
        <x:f>ROUNDUP(F235/英雄升级调参!$K$88,0)</x:f>
        <x:v>2</x:v>
      </x:c>
      <x:c r="P235" s="6" t="str">
        <x:f>$AA$14</x:f>
        <x:v>普通：4次标准普攻击杀；10次主要攻击致死</x:v>
      </x:c>
      <x:c r="Q235" s="6"/>
      <x:c r="R235" s="6"/>
      <x:c r="S235" s="6"/>
      <x:c r="T235" s="6"/>
    </x:row>
    <x:row r="236" ht="21" customHeight="1">
      <x:c r="A236" s="14" t="n">
        <x:f>$V$14</x:f>
        <x:v>60001</x:v>
      </x:c>
      <x:c r="B236" s="14" t="str">
        <x:f>$W$14</x:f>
        <x:v>苹果小子</x:v>
      </x:c>
      <x:c r="C236" s="6" t="str">
        <x:f>$X$14</x:f>
        <x:v>普通</x:v>
      </x:c>
      <x:c r="D236" s="6">
        <x:v>24</x:v>
      </x:c>
      <x:c r="E236" s="6">
        <x:v>14</x:v>
      </x:c>
      <x:c r="F236" s="12">
        <x:f>ROUND(J236*$W$4*H236,0)</x:f>
        <x:v>4560</x:v>
      </x:c>
      <x:c r="G236" s="12">
        <x:f>ROUND(J236*$W$4*$W$5*I236,0)</x:f>
        <x:v>1140</x:v>
      </x:c>
      <x:c r="H236" s="11" t="n">
        <x:f>$Y$14</x:f>
        <x:v>1</x:v>
      </x:c>
      <x:c r="I236" s="11" t="n">
        <x:f>$Z$14</x:f>
        <x:v>3.3333333333333335</x:v>
      </x:c>
      <x:c r="J236" s="12">
        <x:f>英雄升级调参!$E$89</x:f>
        <x:v>1140</x:v>
      </x:c>
      <x:c r="K236" s="12">
        <x:f>英雄升级调参!$F$89</x:f>
        <x:v>11400</x:v>
      </x:c>
      <x:c r="L236" s="6" t="n">
        <x:f>ROUNDUP(F236/J236,0)</x:f>
        <x:v>4</x:v>
      </x:c>
      <x:c r="M236" s="6" t="n">
        <x:f>IF(G236=0,"无伤害",ROUNDUP(K236/MAX(1,ROUND(G236*$AC$14,0)),0))</x:f>
        <x:v>10</x:v>
      </x:c>
      <x:c r="N236" s="6" t="n">
        <x:f>ROUNDUP(F236/英雄升级调参!$H$89,0)</x:f>
        <x:v>3</x:v>
      </x:c>
      <x:c r="O236" s="6" t="n">
        <x:f>ROUNDUP(F236/英雄升级调参!$K$89,0)</x:f>
        <x:v>2</x:v>
      </x:c>
      <x:c r="P236" s="6" t="str">
        <x:f>$AA$14</x:f>
        <x:v>普通：4次标准普攻击杀；10次主要攻击致死</x:v>
      </x:c>
      <x:c r="Q236" s="6"/>
      <x:c r="R236" s="6"/>
      <x:c r="S236" s="6"/>
      <x:c r="T236" s="6"/>
    </x:row>
    <x:row r="237" ht="21" customHeight="1">
      <x:c r="A237" s="14" t="n">
        <x:f>$V$14</x:f>
        <x:v>60001</x:v>
      </x:c>
      <x:c r="B237" s="14" t="str">
        <x:f>$W$14</x:f>
        <x:v>苹果小子</x:v>
      </x:c>
      <x:c r="C237" s="6" t="str">
        <x:f>$X$14</x:f>
        <x:v>普通</x:v>
      </x:c>
      <x:c r="D237" s="6">
        <x:v>25</x:v>
      </x:c>
      <x:c r="E237" s="6">
        <x:v>14</x:v>
      </x:c>
      <x:c r="F237" s="12">
        <x:f>ROUND(J237*$W$4*H237,0)</x:f>
        <x:v>5208</x:v>
      </x:c>
      <x:c r="G237" s="12">
        <x:f>ROUND(J237*$W$4*$W$5*I237,0)</x:f>
        <x:v>1302</x:v>
      </x:c>
      <x:c r="H237" s="11" t="n">
        <x:f>$Y$14</x:f>
        <x:v>1</x:v>
      </x:c>
      <x:c r="I237" s="11" t="n">
        <x:f>$Z$14</x:f>
        <x:v>3.3333333333333335</x:v>
      </x:c>
      <x:c r="J237" s="12">
        <x:f>英雄升级调参!$E$90</x:f>
        <x:v>1302</x:v>
      </x:c>
      <x:c r="K237" s="12">
        <x:f>英雄升级调参!$F$90</x:f>
        <x:v>13020</x:v>
      </x:c>
      <x:c r="L237" s="6" t="n">
        <x:f>ROUNDUP(F237/J237,0)</x:f>
        <x:v>4</x:v>
      </x:c>
      <x:c r="M237" s="6" t="n">
        <x:f>IF(G237=0,"无伤害",ROUNDUP(K237/MAX(1,ROUND(G237*$AC$14,0)),0))</x:f>
        <x:v>10</x:v>
      </x:c>
      <x:c r="N237" s="6" t="n">
        <x:f>ROUNDUP(F237/英雄升级调参!$H$90,0)</x:f>
        <x:v>3</x:v>
      </x:c>
      <x:c r="O237" s="6" t="n">
        <x:f>ROUNDUP(F237/英雄升级调参!$K$90,0)</x:f>
        <x:v>2</x:v>
      </x:c>
      <x:c r="P237" s="6" t="str">
        <x:f>$AA$14</x:f>
        <x:v>普通：4次标准普攻击杀；10次主要攻击致死</x:v>
      </x:c>
      <x:c r="Q237" s="6"/>
      <x:c r="R237" s="6"/>
      <x:c r="S237" s="6"/>
      <x:c r="T237" s="6"/>
    </x:row>
    <x:row r="238" ht="21" customHeight="1">
      <x:c r="A238" s="14" t="n">
        <x:f>$V$14</x:f>
        <x:v>60001</x:v>
      </x:c>
      <x:c r="B238" s="14" t="str">
        <x:f>$W$14</x:f>
        <x:v>苹果小子</x:v>
      </x:c>
      <x:c r="C238" s="6" t="str">
        <x:f>$X$14</x:f>
        <x:v>普通</x:v>
      </x:c>
      <x:c r="D238" s="6">
        <x:v>26</x:v>
      </x:c>
      <x:c r="E238" s="6">
        <x:v>14</x:v>
      </x:c>
      <x:c r="F238" s="12">
        <x:f>ROUND(J238*$W$4*H238,0)</x:f>
        <x:v>5460</x:v>
      </x:c>
      <x:c r="G238" s="12">
        <x:f>ROUND(J238*$W$4*$W$5*I238,0)</x:f>
        <x:v>1365</x:v>
      </x:c>
      <x:c r="H238" s="11" t="n">
        <x:f>$Y$14</x:f>
        <x:v>1</x:v>
      </x:c>
      <x:c r="I238" s="11" t="n">
        <x:f>$Z$14</x:f>
        <x:v>3.3333333333333335</x:v>
      </x:c>
      <x:c r="J238" s="12">
        <x:f>英雄升级调参!$E$91</x:f>
        <x:v>1365</x:v>
      </x:c>
      <x:c r="K238" s="12">
        <x:f>英雄升级调参!$F$91</x:f>
        <x:v>13650</x:v>
      </x:c>
      <x:c r="L238" s="6" t="n">
        <x:f>ROUNDUP(F238/J238,0)</x:f>
        <x:v>4</x:v>
      </x:c>
      <x:c r="M238" s="6" t="n">
        <x:f>IF(G238=0,"无伤害",ROUNDUP(K238/MAX(1,ROUND(G238*$AC$14,0)),0))</x:f>
        <x:v>10</x:v>
      </x:c>
      <x:c r="N238" s="6" t="n">
        <x:f>ROUNDUP(F238/英雄升级调参!$H$91,0)</x:f>
        <x:v>3</x:v>
      </x:c>
      <x:c r="O238" s="6" t="n">
        <x:f>ROUNDUP(F238/英雄升级调参!$K$91,0)</x:f>
        <x:v>2</x:v>
      </x:c>
      <x:c r="P238" s="6" t="str">
        <x:f>$AA$14</x:f>
        <x:v>普通：4次标准普攻击杀；10次主要攻击致死</x:v>
      </x:c>
      <x:c r="Q238" s="6"/>
      <x:c r="R238" s="6"/>
      <x:c r="S238" s="6"/>
      <x:c r="T238" s="6"/>
    </x:row>
    <x:row r="239" ht="21" customHeight="1">
      <x:c r="A239" s="14" t="n">
        <x:f>$V$14</x:f>
        <x:v>60001</x:v>
      </x:c>
      <x:c r="B239" s="14" t="str">
        <x:f>$W$14</x:f>
        <x:v>苹果小子</x:v>
      </x:c>
      <x:c r="C239" s="6" t="str">
        <x:f>$X$14</x:f>
        <x:v>普通</x:v>
      </x:c>
      <x:c r="D239" s="6">
        <x:v>27</x:v>
      </x:c>
      <x:c r="E239" s="6">
        <x:v>14</x:v>
      </x:c>
      <x:c r="F239" s="12">
        <x:f>ROUND(J239*$W$4*H239,0)</x:f>
        <x:v>5712</x:v>
      </x:c>
      <x:c r="G239" s="12">
        <x:f>ROUND(J239*$W$4*$W$5*I239,0)</x:f>
        <x:v>1428</x:v>
      </x:c>
      <x:c r="H239" s="11" t="n">
        <x:f>$Y$14</x:f>
        <x:v>1</x:v>
      </x:c>
      <x:c r="I239" s="11" t="n">
        <x:f>$Z$14</x:f>
        <x:v>3.3333333333333335</x:v>
      </x:c>
      <x:c r="J239" s="12">
        <x:f>英雄升级调参!$E$92</x:f>
        <x:v>1428</x:v>
      </x:c>
      <x:c r="K239" s="12">
        <x:f>英雄升级调参!$F$92</x:f>
        <x:v>14280</x:v>
      </x:c>
      <x:c r="L239" s="6" t="n">
        <x:f>ROUNDUP(F239/J239,0)</x:f>
        <x:v>4</x:v>
      </x:c>
      <x:c r="M239" s="6" t="n">
        <x:f>IF(G239=0,"无伤害",ROUNDUP(K239/MAX(1,ROUND(G239*$AC$14,0)),0))</x:f>
        <x:v>10</x:v>
      </x:c>
      <x:c r="N239" s="6" t="n">
        <x:f>ROUNDUP(F239/英雄升级调参!$H$92,0)</x:f>
        <x:v>3</x:v>
      </x:c>
      <x:c r="O239" s="6" t="n">
        <x:f>ROUNDUP(F239/英雄升级调参!$K$92,0)</x:f>
        <x:v>2</x:v>
      </x:c>
      <x:c r="P239" s="6" t="str">
        <x:f>$AA$14</x:f>
        <x:v>普通：4次标准普攻击杀；10次主要攻击致死</x:v>
      </x:c>
      <x:c r="Q239" s="6"/>
      <x:c r="R239" s="6"/>
      <x:c r="S239" s="6"/>
      <x:c r="T239" s="6"/>
    </x:row>
    <x:row r="240" ht="21" customHeight="1">
      <x:c r="A240" s="14" t="n">
        <x:f>$V$14</x:f>
        <x:v>60001</x:v>
      </x:c>
      <x:c r="B240" s="14" t="str">
        <x:f>$W$14</x:f>
        <x:v>苹果小子</x:v>
      </x:c>
      <x:c r="C240" s="6" t="str">
        <x:f>$X$14</x:f>
        <x:v>普通</x:v>
      </x:c>
      <x:c r="D240" s="6">
        <x:v>28</x:v>
      </x:c>
      <x:c r="E240" s="6">
        <x:v>14</x:v>
      </x:c>
      <x:c r="F240" s="12">
        <x:f>ROUND(J240*$W$4*H240,0)</x:f>
        <x:v>5964</x:v>
      </x:c>
      <x:c r="G240" s="12">
        <x:f>ROUND(J240*$W$4*$W$5*I240,0)</x:f>
        <x:v>1491</x:v>
      </x:c>
      <x:c r="H240" s="11" t="n">
        <x:f>$Y$14</x:f>
        <x:v>1</x:v>
      </x:c>
      <x:c r="I240" s="11" t="n">
        <x:f>$Z$14</x:f>
        <x:v>3.3333333333333335</x:v>
      </x:c>
      <x:c r="J240" s="12">
        <x:f>英雄升级调参!$E$93</x:f>
        <x:v>1491</x:v>
      </x:c>
      <x:c r="K240" s="12">
        <x:f>英雄升级调参!$F$93</x:f>
        <x:v>14910</x:v>
      </x:c>
      <x:c r="L240" s="6" t="n">
        <x:f>ROUNDUP(F240/J240,0)</x:f>
        <x:v>4</x:v>
      </x:c>
      <x:c r="M240" s="6" t="n">
        <x:f>IF(G240=0,"无伤害",ROUNDUP(K240/MAX(1,ROUND(G240*$AC$14,0)),0))</x:f>
        <x:v>10</x:v>
      </x:c>
      <x:c r="N240" s="6" t="n">
        <x:f>ROUNDUP(F240/英雄升级调参!$H$93,0)</x:f>
        <x:v>3</x:v>
      </x:c>
      <x:c r="O240" s="6" t="n">
        <x:f>ROUNDUP(F240/英雄升级调参!$K$93,0)</x:f>
        <x:v>2</x:v>
      </x:c>
      <x:c r="P240" s="6" t="str">
        <x:f>$AA$14</x:f>
        <x:v>普通：4次标准普攻击杀；10次主要攻击致死</x:v>
      </x:c>
      <x:c r="Q240" s="6"/>
      <x:c r="R240" s="6"/>
      <x:c r="S240" s="6"/>
      <x:c r="T240" s="6"/>
    </x:row>
    <x:row r="241" ht="21" customHeight="1">
      <x:c r="A241" s="14" t="n">
        <x:f>$V$14</x:f>
        <x:v>60001</x:v>
      </x:c>
      <x:c r="B241" s="14" t="str">
        <x:f>$W$14</x:f>
        <x:v>苹果小子</x:v>
      </x:c>
      <x:c r="C241" s="6" t="str">
        <x:f>$X$14</x:f>
        <x:v>普通</x:v>
      </x:c>
      <x:c r="D241" s="6">
        <x:v>29</x:v>
      </x:c>
      <x:c r="E241" s="6">
        <x:v>14</x:v>
      </x:c>
      <x:c r="F241" s="12">
        <x:f>ROUND(J241*$W$4*H241,0)</x:f>
        <x:v>6216</x:v>
      </x:c>
      <x:c r="G241" s="12">
        <x:f>ROUND(J241*$W$4*$W$5*I241,0)</x:f>
        <x:v>1554</x:v>
      </x:c>
      <x:c r="H241" s="11" t="n">
        <x:f>$Y$14</x:f>
        <x:v>1</x:v>
      </x:c>
      <x:c r="I241" s="11" t="n">
        <x:f>$Z$14</x:f>
        <x:v>3.3333333333333335</x:v>
      </x:c>
      <x:c r="J241" s="12">
        <x:f>英雄升级调参!$E$94</x:f>
        <x:v>1554</x:v>
      </x:c>
      <x:c r="K241" s="12">
        <x:f>英雄升级调参!$F$94</x:f>
        <x:v>15540</x:v>
      </x:c>
      <x:c r="L241" s="6" t="n">
        <x:f>ROUNDUP(F241/J241,0)</x:f>
        <x:v>4</x:v>
      </x:c>
      <x:c r="M241" s="6" t="n">
        <x:f>IF(G241=0,"无伤害",ROUNDUP(K241/MAX(1,ROUND(G241*$AC$14,0)),0))</x:f>
        <x:v>10</x:v>
      </x:c>
      <x:c r="N241" s="6" t="n">
        <x:f>ROUNDUP(F241/英雄升级调参!$H$94,0)</x:f>
        <x:v>3</x:v>
      </x:c>
      <x:c r="O241" s="6" t="n">
        <x:f>ROUNDUP(F241/英雄升级调参!$K$94,0)</x:f>
        <x:v>2</x:v>
      </x:c>
      <x:c r="P241" s="6" t="str">
        <x:f>$AA$14</x:f>
        <x:v>普通：4次标准普攻击杀；10次主要攻击致死</x:v>
      </x:c>
      <x:c r="Q241" s="6"/>
      <x:c r="R241" s="6"/>
      <x:c r="S241" s="6"/>
      <x:c r="T241" s="6"/>
    </x:row>
    <x:row r="242" ht="21" customHeight="1">
      <x:c r="A242" s="14" t="n">
        <x:f>$V$14</x:f>
        <x:v>60001</x:v>
      </x:c>
      <x:c r="B242" s="14" t="str">
        <x:f>$W$14</x:f>
        <x:v>苹果小子</x:v>
      </x:c>
      <x:c r="C242" s="6" t="str">
        <x:f>$X$14</x:f>
        <x:v>普通</x:v>
      </x:c>
      <x:c r="D242" s="6">
        <x:v>30</x:v>
      </x:c>
      <x:c r="E242" s="6">
        <x:v>14</x:v>
      </x:c>
      <x:c r="F242" s="12">
        <x:f>ROUND(J242*$W$4*H242,0)</x:f>
        <x:v>6972</x:v>
      </x:c>
      <x:c r="G242" s="12">
        <x:f>ROUND(J242*$W$4*$W$5*I242,0)</x:f>
        <x:v>1743</x:v>
      </x:c>
      <x:c r="H242" s="11" t="n">
        <x:f>$Y$14</x:f>
        <x:v>1</x:v>
      </x:c>
      <x:c r="I242" s="11" t="n">
        <x:f>$Z$14</x:f>
        <x:v>3.3333333333333335</x:v>
      </x:c>
      <x:c r="J242" s="12">
        <x:f>英雄升级调参!$E$95</x:f>
        <x:v>1743</x:v>
      </x:c>
      <x:c r="K242" s="12">
        <x:f>英雄升级调参!$F$95</x:f>
        <x:v>17430</x:v>
      </x:c>
      <x:c r="L242" s="6" t="n">
        <x:f>ROUNDUP(F242/J242,0)</x:f>
        <x:v>4</x:v>
      </x:c>
      <x:c r="M242" s="6" t="n">
        <x:f>IF(G242=0,"无伤害",ROUNDUP(K242/MAX(1,ROUND(G242*$AC$14,0)),0))</x:f>
        <x:v>10</x:v>
      </x:c>
      <x:c r="N242" s="6" t="n">
        <x:f>ROUNDUP(F242/英雄升级调参!$H$95,0)</x:f>
        <x:v>3</x:v>
      </x:c>
      <x:c r="O242" s="6" t="n">
        <x:f>ROUNDUP(F242/英雄升级调参!$K$95,0)</x:f>
        <x:v>2</x:v>
      </x:c>
      <x:c r="P242" s="6" t="str">
        <x:f>$AA$14</x:f>
        <x:v>普通：4次标准普攻击杀；10次主要攻击致死</x:v>
      </x:c>
      <x:c r="Q242" s="6"/>
      <x:c r="R242" s="6"/>
      <x:c r="S242" s="6"/>
      <x:c r="T242" s="6"/>
    </x:row>
    <x:row r="243" ht="21" customHeight="1">
      <x:c r="A243" s="14" t="n">
        <x:f>$V$14</x:f>
        <x:v>60001</x:v>
      </x:c>
      <x:c r="B243" s="14" t="str">
        <x:f>$W$14</x:f>
        <x:v>苹果小子</x:v>
      </x:c>
      <x:c r="C243" s="6" t="str">
        <x:f>$X$14</x:f>
        <x:v>普通</x:v>
      </x:c>
      <x:c r="D243" s="6">
        <x:v>31</x:v>
      </x:c>
      <x:c r="E243" s="6">
        <x:v>14</x:v>
      </x:c>
      <x:c r="F243" s="12">
        <x:f>ROUND(J243*$W$4*H243,0)</x:f>
        <x:v>7260</x:v>
      </x:c>
      <x:c r="G243" s="12">
        <x:f>ROUND(J243*$W$4*$W$5*I243,0)</x:f>
        <x:v>1815</x:v>
      </x:c>
      <x:c r="H243" s="11" t="n">
        <x:f>$Y$14</x:f>
        <x:v>1</x:v>
      </x:c>
      <x:c r="I243" s="11" t="n">
        <x:f>$Z$14</x:f>
        <x:v>3.3333333333333335</x:v>
      </x:c>
      <x:c r="J243" s="12">
        <x:f>英雄升级调参!$E$96</x:f>
        <x:v>1815</x:v>
      </x:c>
      <x:c r="K243" s="12">
        <x:f>英雄升级调参!$F$96</x:f>
        <x:v>18150</x:v>
      </x:c>
      <x:c r="L243" s="6" t="n">
        <x:f>ROUNDUP(F243/J243,0)</x:f>
        <x:v>4</x:v>
      </x:c>
      <x:c r="M243" s="6" t="n">
        <x:f>IF(G243=0,"无伤害",ROUNDUP(K243/MAX(1,ROUND(G243*$AC$14,0)),0))</x:f>
        <x:v>10</x:v>
      </x:c>
      <x:c r="N243" s="6" t="n">
        <x:f>ROUNDUP(F243/英雄升级调参!$H$96,0)</x:f>
        <x:v>3</x:v>
      </x:c>
      <x:c r="O243" s="6" t="n">
        <x:f>ROUNDUP(F243/英雄升级调参!$K$96,0)</x:f>
        <x:v>2</x:v>
      </x:c>
      <x:c r="P243" s="6" t="str">
        <x:f>$AA$14</x:f>
        <x:v>普通：4次标准普攻击杀；10次主要攻击致死</x:v>
      </x:c>
      <x:c r="Q243" s="6"/>
      <x:c r="R243" s="6"/>
      <x:c r="S243" s="6"/>
      <x:c r="T243" s="6"/>
    </x:row>
    <x:row r="244" ht="21" customHeight="1">
      <x:c r="A244" s="14" t="n">
        <x:f>$V$14</x:f>
        <x:v>60001</x:v>
      </x:c>
      <x:c r="B244" s="14" t="str">
        <x:f>$W$14</x:f>
        <x:v>苹果小子</x:v>
      </x:c>
      <x:c r="C244" s="6" t="str">
        <x:f>$X$14</x:f>
        <x:v>普通</x:v>
      </x:c>
      <x:c r="D244" s="6">
        <x:v>32</x:v>
      </x:c>
      <x:c r="E244" s="6">
        <x:v>14</x:v>
      </x:c>
      <x:c r="F244" s="12">
        <x:f>ROUND(J244*$W$4*H244,0)</x:f>
        <x:v>7548</x:v>
      </x:c>
      <x:c r="G244" s="12">
        <x:f>ROUND(J244*$W$4*$W$5*I244,0)</x:f>
        <x:v>1887</x:v>
      </x:c>
      <x:c r="H244" s="11" t="n">
        <x:f>$Y$14</x:f>
        <x:v>1</x:v>
      </x:c>
      <x:c r="I244" s="11" t="n">
        <x:f>$Z$14</x:f>
        <x:v>3.3333333333333335</x:v>
      </x:c>
      <x:c r="J244" s="12">
        <x:f>英雄升级调参!$E$97</x:f>
        <x:v>1887</x:v>
      </x:c>
      <x:c r="K244" s="12">
        <x:f>英雄升级调参!$F$97</x:f>
        <x:v>18870</x:v>
      </x:c>
      <x:c r="L244" s="6" t="n">
        <x:f>ROUNDUP(F244/J244,0)</x:f>
        <x:v>4</x:v>
      </x:c>
      <x:c r="M244" s="6" t="n">
        <x:f>IF(G244=0,"无伤害",ROUNDUP(K244/MAX(1,ROUND(G244*$AC$14,0)),0))</x:f>
        <x:v>10</x:v>
      </x:c>
      <x:c r="N244" s="6" t="n">
        <x:f>ROUNDUP(F244/英雄升级调参!$H$97,0)</x:f>
        <x:v>3</x:v>
      </x:c>
      <x:c r="O244" s="6" t="n">
        <x:f>ROUNDUP(F244/英雄升级调参!$K$97,0)</x:f>
        <x:v>2</x:v>
      </x:c>
      <x:c r="P244" s="6" t="str">
        <x:f>$AA$14</x:f>
        <x:v>普通：4次标准普攻击杀；10次主要攻击致死</x:v>
      </x:c>
      <x:c r="Q244" s="6"/>
      <x:c r="R244" s="6"/>
      <x:c r="S244" s="6"/>
      <x:c r="T244" s="6"/>
    </x:row>
    <x:row r="245" ht="21" customHeight="1">
      <x:c r="A245" s="14" t="n">
        <x:f>$V$14</x:f>
        <x:v>60001</x:v>
      </x:c>
      <x:c r="B245" s="14" t="str">
        <x:f>$W$14</x:f>
        <x:v>苹果小子</x:v>
      </x:c>
      <x:c r="C245" s="6" t="str">
        <x:f>$X$14</x:f>
        <x:v>普通</x:v>
      </x:c>
      <x:c r="D245" s="6">
        <x:v>33</x:v>
      </x:c>
      <x:c r="E245" s="6">
        <x:v>14</x:v>
      </x:c>
      <x:c r="F245" s="12">
        <x:f>ROUND(J245*$W$4*H245,0)</x:f>
        <x:v>7836</x:v>
      </x:c>
      <x:c r="G245" s="12">
        <x:f>ROUND(J245*$W$4*$W$5*I245,0)</x:f>
        <x:v>1959</x:v>
      </x:c>
      <x:c r="H245" s="11" t="n">
        <x:f>$Y$14</x:f>
        <x:v>1</x:v>
      </x:c>
      <x:c r="I245" s="11" t="n">
        <x:f>$Z$14</x:f>
        <x:v>3.3333333333333335</x:v>
      </x:c>
      <x:c r="J245" s="12">
        <x:f>英雄升级调参!$E$98</x:f>
        <x:v>1959</x:v>
      </x:c>
      <x:c r="K245" s="12">
        <x:f>英雄升级调参!$F$98</x:f>
        <x:v>19590</x:v>
      </x:c>
      <x:c r="L245" s="6" t="n">
        <x:f>ROUNDUP(F245/J245,0)</x:f>
        <x:v>4</x:v>
      </x:c>
      <x:c r="M245" s="6" t="n">
        <x:f>IF(G245=0,"无伤害",ROUNDUP(K245/MAX(1,ROUND(G245*$AC$14,0)),0))</x:f>
        <x:v>10</x:v>
      </x:c>
      <x:c r="N245" s="6" t="n">
        <x:f>ROUNDUP(F245/英雄升级调参!$H$98,0)</x:f>
        <x:v>3</x:v>
      </x:c>
      <x:c r="O245" s="6" t="n">
        <x:f>ROUNDUP(F245/英雄升级调参!$K$98,0)</x:f>
        <x:v>2</x:v>
      </x:c>
      <x:c r="P245" s="6" t="str">
        <x:f>$AA$14</x:f>
        <x:v>普通：4次标准普攻击杀；10次主要攻击致死</x:v>
      </x:c>
      <x:c r="Q245" s="6"/>
      <x:c r="R245" s="6"/>
      <x:c r="S245" s="6"/>
      <x:c r="T245" s="6"/>
    </x:row>
    <x:row r="246" ht="21" customHeight="1">
      <x:c r="A246" s="14" t="n">
        <x:f>$V$14</x:f>
        <x:v>60001</x:v>
      </x:c>
      <x:c r="B246" s="14" t="str">
        <x:f>$W$14</x:f>
        <x:v>苹果小子</x:v>
      </x:c>
      <x:c r="C246" s="6" t="str">
        <x:f>$X$14</x:f>
        <x:v>普通</x:v>
      </x:c>
      <x:c r="D246" s="6">
        <x:v>34</x:v>
      </x:c>
      <x:c r="E246" s="6">
        <x:v>14</x:v>
      </x:c>
      <x:c r="F246" s="12">
        <x:f>ROUND(J246*$W$4*H246,0)</x:f>
        <x:v>8124</x:v>
      </x:c>
      <x:c r="G246" s="12">
        <x:f>ROUND(J246*$W$4*$W$5*I246,0)</x:f>
        <x:v>2031</x:v>
      </x:c>
      <x:c r="H246" s="11" t="n">
        <x:f>$Y$14</x:f>
        <x:v>1</x:v>
      </x:c>
      <x:c r="I246" s="11" t="n">
        <x:f>$Z$14</x:f>
        <x:v>3.3333333333333335</x:v>
      </x:c>
      <x:c r="J246" s="12">
        <x:f>英雄升级调参!$E$99</x:f>
        <x:v>2031</x:v>
      </x:c>
      <x:c r="K246" s="12">
        <x:f>英雄升级调参!$F$99</x:f>
        <x:v>20310</x:v>
      </x:c>
      <x:c r="L246" s="6" t="n">
        <x:f>ROUNDUP(F246/J246,0)</x:f>
        <x:v>4</x:v>
      </x:c>
      <x:c r="M246" s="6" t="n">
        <x:f>IF(G246=0,"无伤害",ROUNDUP(K246/MAX(1,ROUND(G246*$AC$14,0)),0))</x:f>
        <x:v>10</x:v>
      </x:c>
      <x:c r="N246" s="6" t="n">
        <x:f>ROUNDUP(F246/英雄升级调参!$H$99,0)</x:f>
        <x:v>3</x:v>
      </x:c>
      <x:c r="O246" s="6" t="n">
        <x:f>ROUNDUP(F246/英雄升级调参!$K$99,0)</x:f>
        <x:v>2</x:v>
      </x:c>
      <x:c r="P246" s="6" t="str">
        <x:f>$AA$14</x:f>
        <x:v>普通：4次标准普攻击杀；10次主要攻击致死</x:v>
      </x:c>
      <x:c r="Q246" s="6"/>
      <x:c r="R246" s="6"/>
      <x:c r="S246" s="6"/>
      <x:c r="T246" s="6"/>
    </x:row>
    <x:row r="247" ht="21" customHeight="1">
      <x:c r="A247" s="14" t="n">
        <x:f>$V$14</x:f>
        <x:v>60001</x:v>
      </x:c>
      <x:c r="B247" s="14" t="str">
        <x:f>$W$14</x:f>
        <x:v>苹果小子</x:v>
      </x:c>
      <x:c r="C247" s="6" t="str">
        <x:f>$X$14</x:f>
        <x:v>普通</x:v>
      </x:c>
      <x:c r="D247" s="6">
        <x:v>35</x:v>
      </x:c>
      <x:c r="E247" s="6">
        <x:v>14</x:v>
      </x:c>
      <x:c r="F247" s="12">
        <x:f>ROUND(J247*$W$4*H247,0)</x:f>
        <x:v>8988</x:v>
      </x:c>
      <x:c r="G247" s="12">
        <x:f>ROUND(J247*$W$4*$W$5*I247,0)</x:f>
        <x:v>2247</x:v>
      </x:c>
      <x:c r="H247" s="11" t="n">
        <x:f>$Y$14</x:f>
        <x:v>1</x:v>
      </x:c>
      <x:c r="I247" s="11" t="n">
        <x:f>$Z$14</x:f>
        <x:v>3.3333333333333335</x:v>
      </x:c>
      <x:c r="J247" s="12">
        <x:f>英雄升级调参!$E$100</x:f>
        <x:v>2247</x:v>
      </x:c>
      <x:c r="K247" s="12">
        <x:f>英雄升级调参!$F$100</x:f>
        <x:v>22470</x:v>
      </x:c>
      <x:c r="L247" s="6" t="n">
        <x:f>ROUNDUP(F247/J247,0)</x:f>
        <x:v>4</x:v>
      </x:c>
      <x:c r="M247" s="6" t="n">
        <x:f>IF(G247=0,"无伤害",ROUNDUP(K247/MAX(1,ROUND(G247*$AC$14,0)),0))</x:f>
        <x:v>10</x:v>
      </x:c>
      <x:c r="N247" s="6" t="n">
        <x:f>ROUNDUP(F247/英雄升级调参!$H$100,0)</x:f>
        <x:v>3</x:v>
      </x:c>
      <x:c r="O247" s="6" t="n">
        <x:f>ROUNDUP(F247/英雄升级调参!$K$100,0)</x:f>
        <x:v>2</x:v>
      </x:c>
      <x:c r="P247" s="6" t="str">
        <x:f>$AA$14</x:f>
        <x:v>普通：4次标准普攻击杀；10次主要攻击致死</x:v>
      </x:c>
      <x:c r="Q247" s="6"/>
      <x:c r="R247" s="6"/>
      <x:c r="S247" s="6"/>
      <x:c r="T247" s="6"/>
    </x:row>
    <x:row r="248" ht="21" customHeight="1">
      <x:c r="A248" s="14" t="n">
        <x:f>$V$14</x:f>
        <x:v>60001</x:v>
      </x:c>
      <x:c r="B248" s="14" t="str">
        <x:f>$W$14</x:f>
        <x:v>苹果小子</x:v>
      </x:c>
      <x:c r="C248" s="6" t="str">
        <x:f>$X$14</x:f>
        <x:v>普通</x:v>
      </x:c>
      <x:c r="D248" s="6">
        <x:v>36</x:v>
      </x:c>
      <x:c r="E248" s="6">
        <x:v>14</x:v>
      </x:c>
      <x:c r="F248" s="12">
        <x:f>ROUND(J248*$W$4*H248,0)</x:f>
        <x:v>9312</x:v>
      </x:c>
      <x:c r="G248" s="12">
        <x:f>ROUND(J248*$W$4*$W$5*I248,0)</x:f>
        <x:v>2328</x:v>
      </x:c>
      <x:c r="H248" s="11" t="n">
        <x:f>$Y$14</x:f>
        <x:v>1</x:v>
      </x:c>
      <x:c r="I248" s="11" t="n">
        <x:f>$Z$14</x:f>
        <x:v>3.3333333333333335</x:v>
      </x:c>
      <x:c r="J248" s="12">
        <x:f>英雄升级调参!$E$101</x:f>
        <x:v>2328</x:v>
      </x:c>
      <x:c r="K248" s="12">
        <x:f>英雄升级调参!$F$101</x:f>
        <x:v>23280</x:v>
      </x:c>
      <x:c r="L248" s="6" t="n">
        <x:f>ROUNDUP(F248/J248,0)</x:f>
        <x:v>4</x:v>
      </x:c>
      <x:c r="M248" s="6" t="n">
        <x:f>IF(G248=0,"无伤害",ROUNDUP(K248/MAX(1,ROUND(G248*$AC$14,0)),0))</x:f>
        <x:v>10</x:v>
      </x:c>
      <x:c r="N248" s="6" t="n">
        <x:f>ROUNDUP(F248/英雄升级调参!$H$101,0)</x:f>
        <x:v>3</x:v>
      </x:c>
      <x:c r="O248" s="6" t="n">
        <x:f>ROUNDUP(F248/英雄升级调参!$K$101,0)</x:f>
        <x:v>2</x:v>
      </x:c>
      <x:c r="P248" s="6" t="str">
        <x:f>$AA$14</x:f>
        <x:v>普通：4次标准普攻击杀；10次主要攻击致死</x:v>
      </x:c>
      <x:c r="Q248" s="6"/>
      <x:c r="R248" s="6"/>
      <x:c r="S248" s="6"/>
      <x:c r="T248" s="6"/>
    </x:row>
    <x:row r="249" ht="21" customHeight="1">
      <x:c r="A249" s="14" t="n">
        <x:f>$V$14</x:f>
        <x:v>60001</x:v>
      </x:c>
      <x:c r="B249" s="14" t="str">
        <x:f>$W$14</x:f>
        <x:v>苹果小子</x:v>
      </x:c>
      <x:c r="C249" s="6" t="str">
        <x:f>$X$14</x:f>
        <x:v>普通</x:v>
      </x:c>
      <x:c r="D249" s="6">
        <x:v>37</x:v>
      </x:c>
      <x:c r="E249" s="6">
        <x:v>14</x:v>
      </x:c>
      <x:c r="F249" s="12">
        <x:f>ROUND(J249*$W$4*H249,0)</x:f>
        <x:v>9636</x:v>
      </x:c>
      <x:c r="G249" s="12">
        <x:f>ROUND(J249*$W$4*$W$5*I249,0)</x:f>
        <x:v>2409</x:v>
      </x:c>
      <x:c r="H249" s="11" t="n">
        <x:f>$Y$14</x:f>
        <x:v>1</x:v>
      </x:c>
      <x:c r="I249" s="11" t="n">
        <x:f>$Z$14</x:f>
        <x:v>3.3333333333333335</x:v>
      </x:c>
      <x:c r="J249" s="12">
        <x:f>英雄升级调参!$E$102</x:f>
        <x:v>2409</x:v>
      </x:c>
      <x:c r="K249" s="12">
        <x:f>英雄升级调参!$F$102</x:f>
        <x:v>24090</x:v>
      </x:c>
      <x:c r="L249" s="6" t="n">
        <x:f>ROUNDUP(F249/J249,0)</x:f>
        <x:v>4</x:v>
      </x:c>
      <x:c r="M249" s="6" t="n">
        <x:f>IF(G249=0,"无伤害",ROUNDUP(K249/MAX(1,ROUND(G249*$AC$14,0)),0))</x:f>
        <x:v>10</x:v>
      </x:c>
      <x:c r="N249" s="6" t="n">
        <x:f>ROUNDUP(F249/英雄升级调参!$H$102,0)</x:f>
        <x:v>3</x:v>
      </x:c>
      <x:c r="O249" s="6" t="n">
        <x:f>ROUNDUP(F249/英雄升级调参!$K$102,0)</x:f>
        <x:v>2</x:v>
      </x:c>
      <x:c r="P249" s="6" t="str">
        <x:f>$AA$14</x:f>
        <x:v>普通：4次标准普攻击杀；10次主要攻击致死</x:v>
      </x:c>
      <x:c r="Q249" s="6"/>
      <x:c r="R249" s="6"/>
      <x:c r="S249" s="6"/>
      <x:c r="T249" s="6"/>
    </x:row>
    <x:row r="250" ht="21" customHeight="1">
      <x:c r="A250" s="14" t="n">
        <x:f>$V$14</x:f>
        <x:v>60001</x:v>
      </x:c>
      <x:c r="B250" s="14" t="str">
        <x:f>$W$14</x:f>
        <x:v>苹果小子</x:v>
      </x:c>
      <x:c r="C250" s="6" t="str">
        <x:f>$X$14</x:f>
        <x:v>普通</x:v>
      </x:c>
      <x:c r="D250" s="6">
        <x:v>38</x:v>
      </x:c>
      <x:c r="E250" s="6">
        <x:v>14</x:v>
      </x:c>
      <x:c r="F250" s="12">
        <x:f>ROUND(J250*$W$4*H250,0)</x:f>
        <x:v>9960</x:v>
      </x:c>
      <x:c r="G250" s="12">
        <x:f>ROUND(J250*$W$4*$W$5*I250,0)</x:f>
        <x:v>2490</x:v>
      </x:c>
      <x:c r="H250" s="11" t="n">
        <x:f>$Y$14</x:f>
        <x:v>1</x:v>
      </x:c>
      <x:c r="I250" s="11" t="n">
        <x:f>$Z$14</x:f>
        <x:v>3.3333333333333335</x:v>
      </x:c>
      <x:c r="J250" s="12">
        <x:f>英雄升级调参!$E$103</x:f>
        <x:v>2490</x:v>
      </x:c>
      <x:c r="K250" s="12">
        <x:f>英雄升级调参!$F$103</x:f>
        <x:v>24900</x:v>
      </x:c>
      <x:c r="L250" s="6" t="n">
        <x:f>ROUNDUP(F250/J250,0)</x:f>
        <x:v>4</x:v>
      </x:c>
      <x:c r="M250" s="6" t="n">
        <x:f>IF(G250=0,"无伤害",ROUNDUP(K250/MAX(1,ROUND(G250*$AC$14,0)),0))</x:f>
        <x:v>10</x:v>
      </x:c>
      <x:c r="N250" s="6" t="n">
        <x:f>ROUNDUP(F250/英雄升级调参!$H$103,0)</x:f>
        <x:v>3</x:v>
      </x:c>
      <x:c r="O250" s="6" t="n">
        <x:f>ROUNDUP(F250/英雄升级调参!$K$103,0)</x:f>
        <x:v>2</x:v>
      </x:c>
      <x:c r="P250" s="6" t="str">
        <x:f>$AA$14</x:f>
        <x:v>普通：4次标准普攻击杀；10次主要攻击致死</x:v>
      </x:c>
      <x:c r="Q250" s="6"/>
      <x:c r="R250" s="6"/>
      <x:c r="S250" s="6"/>
      <x:c r="T250" s="6"/>
    </x:row>
    <x:row r="251" ht="21" customHeight="1">
      <x:c r="A251" s="14" t="n">
        <x:f>$V$14</x:f>
        <x:v>60001</x:v>
      </x:c>
      <x:c r="B251" s="14" t="str">
        <x:f>$W$14</x:f>
        <x:v>苹果小子</x:v>
      </x:c>
      <x:c r="C251" s="6" t="str">
        <x:f>$X$14</x:f>
        <x:v>普通</x:v>
      </x:c>
      <x:c r="D251" s="6">
        <x:v>39</x:v>
      </x:c>
      <x:c r="E251" s="6">
        <x:v>14</x:v>
      </x:c>
      <x:c r="F251" s="12">
        <x:f>ROUND(J251*$W$4*H251,0)</x:f>
        <x:v>10284</x:v>
      </x:c>
      <x:c r="G251" s="12">
        <x:f>ROUND(J251*$W$4*$W$5*I251,0)</x:f>
        <x:v>2571</x:v>
      </x:c>
      <x:c r="H251" s="11" t="n">
        <x:f>$Y$14</x:f>
        <x:v>1</x:v>
      </x:c>
      <x:c r="I251" s="11" t="n">
        <x:f>$Z$14</x:f>
        <x:v>3.3333333333333335</x:v>
      </x:c>
      <x:c r="J251" s="12">
        <x:f>英雄升级调参!$E$104</x:f>
        <x:v>2571</x:v>
      </x:c>
      <x:c r="K251" s="12">
        <x:f>英雄升级调参!$F$104</x:f>
        <x:v>25710</x:v>
      </x:c>
      <x:c r="L251" s="6" t="n">
        <x:f>ROUNDUP(F251/J251,0)</x:f>
        <x:v>4</x:v>
      </x:c>
      <x:c r="M251" s="6" t="n">
        <x:f>IF(G251=0,"无伤害",ROUNDUP(K251/MAX(1,ROUND(G251*$AC$14,0)),0))</x:f>
        <x:v>10</x:v>
      </x:c>
      <x:c r="N251" s="6" t="n">
        <x:f>ROUNDUP(F251/英雄升级调参!$H$104,0)</x:f>
        <x:v>3</x:v>
      </x:c>
      <x:c r="O251" s="6" t="n">
        <x:f>ROUNDUP(F251/英雄升级调参!$K$104,0)</x:f>
        <x:v>2</x:v>
      </x:c>
      <x:c r="P251" s="6" t="str">
        <x:f>$AA$14</x:f>
        <x:v>普通：4次标准普攻击杀；10次主要攻击致死</x:v>
      </x:c>
      <x:c r="Q251" s="6"/>
      <x:c r="R251" s="6"/>
      <x:c r="S251" s="6"/>
      <x:c r="T251" s="6"/>
    </x:row>
    <x:row r="252" ht="21" customHeight="1">
      <x:c r="A252" s="14" t="n">
        <x:f>$V$14</x:f>
        <x:v>60001</x:v>
      </x:c>
      <x:c r="B252" s="14" t="str">
        <x:f>$W$14</x:f>
        <x:v>苹果小子</x:v>
      </x:c>
      <x:c r="C252" s="6" t="str">
        <x:f>$X$14</x:f>
        <x:v>普通</x:v>
      </x:c>
      <x:c r="D252" s="6">
        <x:v>40</x:v>
      </x:c>
      <x:c r="E252" s="6">
        <x:v>14</x:v>
      </x:c>
      <x:c r="F252" s="12">
        <x:f>ROUND(J252*$W$4*H252,0)</x:f>
        <x:v>11256</x:v>
      </x:c>
      <x:c r="G252" s="12">
        <x:f>ROUND(J252*$W$4*$W$5*I252,0)</x:f>
        <x:v>2814</x:v>
      </x:c>
      <x:c r="H252" s="11" t="n">
        <x:f>$Y$14</x:f>
        <x:v>1</x:v>
      </x:c>
      <x:c r="I252" s="11" t="n">
        <x:f>$Z$14</x:f>
        <x:v>3.3333333333333335</x:v>
      </x:c>
      <x:c r="J252" s="12">
        <x:f>英雄升级调参!$E$105</x:f>
        <x:v>2814</x:v>
      </x:c>
      <x:c r="K252" s="12">
        <x:f>英雄升级调参!$F$105</x:f>
        <x:v>28140</x:v>
      </x:c>
      <x:c r="L252" s="6" t="n">
        <x:f>ROUNDUP(F252/J252,0)</x:f>
        <x:v>4</x:v>
      </x:c>
      <x:c r="M252" s="6" t="n">
        <x:f>IF(G252=0,"无伤害",ROUNDUP(K252/MAX(1,ROUND(G252*$AC$14,0)),0))</x:f>
        <x:v>10</x:v>
      </x:c>
      <x:c r="N252" s="6" t="n">
        <x:f>ROUNDUP(F252/英雄升级调参!$H$105,0)</x:f>
        <x:v>3</x:v>
      </x:c>
      <x:c r="O252" s="6" t="n">
        <x:f>ROUNDUP(F252/英雄升级调参!$K$105,0)</x:f>
        <x:v>2</x:v>
      </x:c>
      <x:c r="P252" s="6" t="str">
        <x:f>$AA$14</x:f>
        <x:v>普通：4次标准普攻击杀；10次主要攻击致死</x:v>
      </x:c>
      <x:c r="Q252" s="6"/>
      <x:c r="R252" s="6"/>
      <x:c r="S252" s="6"/>
      <x:c r="T252" s="6"/>
    </x:row>
    <x:row r="253" ht="21" customHeight="1">
      <x:c r="A253" s="14" t="n">
        <x:f>$V$14</x:f>
        <x:v>60001</x:v>
      </x:c>
      <x:c r="B253" s="14" t="str">
        <x:f>$W$14</x:f>
        <x:v>苹果小子</x:v>
      </x:c>
      <x:c r="C253" s="6" t="str">
        <x:f>$X$14</x:f>
        <x:v>普通</x:v>
      </x:c>
      <x:c r="D253" s="6">
        <x:v>41</x:v>
      </x:c>
      <x:c r="E253" s="6">
        <x:v>14</x:v>
      </x:c>
      <x:c r="F253" s="12">
        <x:f>ROUND(J253*$W$4*H253,0)</x:f>
        <x:v>11616</x:v>
      </x:c>
      <x:c r="G253" s="12">
        <x:f>ROUND(J253*$W$4*$W$5*I253,0)</x:f>
        <x:v>2904</x:v>
      </x:c>
      <x:c r="H253" s="11" t="n">
        <x:f>$Y$14</x:f>
        <x:v>1</x:v>
      </x:c>
      <x:c r="I253" s="11" t="n">
        <x:f>$Z$14</x:f>
        <x:v>3.3333333333333335</x:v>
      </x:c>
      <x:c r="J253" s="12">
        <x:f>英雄升级调参!$E$106</x:f>
        <x:v>2904</x:v>
      </x:c>
      <x:c r="K253" s="12">
        <x:f>英雄升级调参!$F$106</x:f>
        <x:v>29040</x:v>
      </x:c>
      <x:c r="L253" s="6" t="n">
        <x:f>ROUNDUP(F253/J253,0)</x:f>
        <x:v>4</x:v>
      </x:c>
      <x:c r="M253" s="6" t="n">
        <x:f>IF(G253=0,"无伤害",ROUNDUP(K253/MAX(1,ROUND(G253*$AC$14,0)),0))</x:f>
        <x:v>10</x:v>
      </x:c>
      <x:c r="N253" s="6" t="n">
        <x:f>ROUNDUP(F253/英雄升级调参!$H$106,0)</x:f>
        <x:v>3</x:v>
      </x:c>
      <x:c r="O253" s="6" t="n">
        <x:f>ROUNDUP(F253/英雄升级调参!$K$106,0)</x:f>
        <x:v>2</x:v>
      </x:c>
      <x:c r="P253" s="6" t="str">
        <x:f>$AA$14</x:f>
        <x:v>普通：4次标准普攻击杀；10次主要攻击致死</x:v>
      </x:c>
      <x:c r="Q253" s="6"/>
      <x:c r="R253" s="6"/>
      <x:c r="S253" s="6"/>
      <x:c r="T253" s="6"/>
    </x:row>
    <x:row r="254" ht="21" customHeight="1">
      <x:c r="A254" s="14" t="n">
        <x:f>$V$14</x:f>
        <x:v>60001</x:v>
      </x:c>
      <x:c r="B254" s="14" t="str">
        <x:f>$W$14</x:f>
        <x:v>苹果小子</x:v>
      </x:c>
      <x:c r="C254" s="6" t="str">
        <x:f>$X$14</x:f>
        <x:v>普通</x:v>
      </x:c>
      <x:c r="D254" s="6">
        <x:v>42</x:v>
      </x:c>
      <x:c r="E254" s="6">
        <x:v>14</x:v>
      </x:c>
      <x:c r="F254" s="12">
        <x:f>ROUND(J254*$W$4*H254,0)</x:f>
        <x:v>11976</x:v>
      </x:c>
      <x:c r="G254" s="12">
        <x:f>ROUND(J254*$W$4*$W$5*I254,0)</x:f>
        <x:v>2994</x:v>
      </x:c>
      <x:c r="H254" s="11" t="n">
        <x:f>$Y$14</x:f>
        <x:v>1</x:v>
      </x:c>
      <x:c r="I254" s="11" t="n">
        <x:f>$Z$14</x:f>
        <x:v>3.3333333333333335</x:v>
      </x:c>
      <x:c r="J254" s="12">
        <x:f>英雄升级调参!$E$107</x:f>
        <x:v>2994</x:v>
      </x:c>
      <x:c r="K254" s="12">
        <x:f>英雄升级调参!$F$107</x:f>
        <x:v>29940</x:v>
      </x:c>
      <x:c r="L254" s="6" t="n">
        <x:f>ROUNDUP(F254/J254,0)</x:f>
        <x:v>4</x:v>
      </x:c>
      <x:c r="M254" s="6" t="n">
        <x:f>IF(G254=0,"无伤害",ROUNDUP(K254/MAX(1,ROUND(G254*$AC$14,0)),0))</x:f>
        <x:v>10</x:v>
      </x:c>
      <x:c r="N254" s="6" t="n">
        <x:f>ROUNDUP(F254/英雄升级调参!$H$107,0)</x:f>
        <x:v>3</x:v>
      </x:c>
      <x:c r="O254" s="6" t="n">
        <x:f>ROUNDUP(F254/英雄升级调参!$K$107,0)</x:f>
        <x:v>2</x:v>
      </x:c>
      <x:c r="P254" s="6" t="str">
        <x:f>$AA$14</x:f>
        <x:v>普通：4次标准普攻击杀；10次主要攻击致死</x:v>
      </x:c>
      <x:c r="Q254" s="6"/>
      <x:c r="R254" s="6"/>
      <x:c r="S254" s="6"/>
      <x:c r="T254" s="6"/>
    </x:row>
    <x:row r="255" ht="21" customHeight="1">
      <x:c r="A255" s="14" t="n">
        <x:f>$V$14</x:f>
        <x:v>60001</x:v>
      </x:c>
      <x:c r="B255" s="14" t="str">
        <x:f>$W$14</x:f>
        <x:v>苹果小子</x:v>
      </x:c>
      <x:c r="C255" s="6" t="str">
        <x:f>$X$14</x:f>
        <x:v>普通</x:v>
      </x:c>
      <x:c r="D255" s="6">
        <x:v>43</x:v>
      </x:c>
      <x:c r="E255" s="6">
        <x:v>14</x:v>
      </x:c>
      <x:c r="F255" s="12">
        <x:f>ROUND(J255*$W$4*H255,0)</x:f>
        <x:v>12336</x:v>
      </x:c>
      <x:c r="G255" s="12">
        <x:f>ROUND(J255*$W$4*$W$5*I255,0)</x:f>
        <x:v>3084</x:v>
      </x:c>
      <x:c r="H255" s="11" t="n">
        <x:f>$Y$14</x:f>
        <x:v>1</x:v>
      </x:c>
      <x:c r="I255" s="11" t="n">
        <x:f>$Z$14</x:f>
        <x:v>3.3333333333333335</x:v>
      </x:c>
      <x:c r="J255" s="12">
        <x:f>英雄升级调参!$E$108</x:f>
        <x:v>3084</x:v>
      </x:c>
      <x:c r="K255" s="12">
        <x:f>英雄升级调参!$F$108</x:f>
        <x:v>30840</x:v>
      </x:c>
      <x:c r="L255" s="6" t="n">
        <x:f>ROUNDUP(F255/J255,0)</x:f>
        <x:v>4</x:v>
      </x:c>
      <x:c r="M255" s="6" t="n">
        <x:f>IF(G255=0,"无伤害",ROUNDUP(K255/MAX(1,ROUND(G255*$AC$14,0)),0))</x:f>
        <x:v>10</x:v>
      </x:c>
      <x:c r="N255" s="6" t="n">
        <x:f>ROUNDUP(F255/英雄升级调参!$H$108,0)</x:f>
        <x:v>3</x:v>
      </x:c>
      <x:c r="O255" s="6" t="n">
        <x:f>ROUNDUP(F255/英雄升级调参!$K$108,0)</x:f>
        <x:v>2</x:v>
      </x:c>
      <x:c r="P255" s="6" t="str">
        <x:f>$AA$14</x:f>
        <x:v>普通：4次标准普攻击杀；10次主要攻击致死</x:v>
      </x:c>
      <x:c r="Q255" s="6"/>
      <x:c r="R255" s="6"/>
      <x:c r="S255" s="6"/>
      <x:c r="T255" s="6"/>
    </x:row>
    <x:row r="256" ht="21" customHeight="1">
      <x:c r="A256" s="14" t="n">
        <x:f>$V$14</x:f>
        <x:v>60001</x:v>
      </x:c>
      <x:c r="B256" s="14" t="str">
        <x:f>$W$14</x:f>
        <x:v>苹果小子</x:v>
      </x:c>
      <x:c r="C256" s="6" t="str">
        <x:f>$X$14</x:f>
        <x:v>普通</x:v>
      </x:c>
      <x:c r="D256" s="6">
        <x:v>44</x:v>
      </x:c>
      <x:c r="E256" s="6">
        <x:v>14</x:v>
      </x:c>
      <x:c r="F256" s="12">
        <x:f>ROUND(J256*$W$4*H256,0)</x:f>
        <x:v>12696</x:v>
      </x:c>
      <x:c r="G256" s="12">
        <x:f>ROUND(J256*$W$4*$W$5*I256,0)</x:f>
        <x:v>3174</x:v>
      </x:c>
      <x:c r="H256" s="11" t="n">
        <x:f>$Y$14</x:f>
        <x:v>1</x:v>
      </x:c>
      <x:c r="I256" s="11" t="n">
        <x:f>$Z$14</x:f>
        <x:v>3.3333333333333335</x:v>
      </x:c>
      <x:c r="J256" s="12">
        <x:f>英雄升级调参!$E$109</x:f>
        <x:v>3174</x:v>
      </x:c>
      <x:c r="K256" s="12">
        <x:f>英雄升级调参!$F$109</x:f>
        <x:v>31740</x:v>
      </x:c>
      <x:c r="L256" s="6" t="n">
        <x:f>ROUNDUP(F256/J256,0)</x:f>
        <x:v>4</x:v>
      </x:c>
      <x:c r="M256" s="6" t="n">
        <x:f>IF(G256=0,"无伤害",ROUNDUP(K256/MAX(1,ROUND(G256*$AC$14,0)),0))</x:f>
        <x:v>10</x:v>
      </x:c>
      <x:c r="N256" s="6" t="n">
        <x:f>ROUNDUP(F256/英雄升级调参!$H$109,0)</x:f>
        <x:v>3</x:v>
      </x:c>
      <x:c r="O256" s="6" t="n">
        <x:f>ROUNDUP(F256/英雄升级调参!$K$109,0)</x:f>
        <x:v>2</x:v>
      </x:c>
      <x:c r="P256" s="6" t="str">
        <x:f>$AA$14</x:f>
        <x:v>普通：4次标准普攻击杀；10次主要攻击致死</x:v>
      </x:c>
      <x:c r="Q256" s="6"/>
      <x:c r="R256" s="6"/>
      <x:c r="S256" s="6"/>
      <x:c r="T256" s="6"/>
    </x:row>
    <x:row r="257" ht="21" customHeight="1">
      <x:c r="A257" s="14" t="n">
        <x:f>$V$14</x:f>
        <x:v>60001</x:v>
      </x:c>
      <x:c r="B257" s="14" t="str">
        <x:f>$W$14</x:f>
        <x:v>苹果小子</x:v>
      </x:c>
      <x:c r="C257" s="6" t="str">
        <x:f>$X$14</x:f>
        <x:v>普通</x:v>
      </x:c>
      <x:c r="D257" s="6">
        <x:v>45</x:v>
      </x:c>
      <x:c r="E257" s="6">
        <x:v>14</x:v>
      </x:c>
      <x:c r="F257" s="12">
        <x:f>ROUND(J257*$W$4*H257,0)</x:f>
        <x:v>13776</x:v>
      </x:c>
      <x:c r="G257" s="12">
        <x:f>ROUND(J257*$W$4*$W$5*I257,0)</x:f>
        <x:v>3444</x:v>
      </x:c>
      <x:c r="H257" s="11" t="n">
        <x:f>$Y$14</x:f>
        <x:v>1</x:v>
      </x:c>
      <x:c r="I257" s="11" t="n">
        <x:f>$Z$14</x:f>
        <x:v>3.3333333333333335</x:v>
      </x:c>
      <x:c r="J257" s="12">
        <x:f>英雄升级调参!$E$110</x:f>
        <x:v>3444</x:v>
      </x:c>
      <x:c r="K257" s="12">
        <x:f>英雄升级调参!$F$110</x:f>
        <x:v>34440</x:v>
      </x:c>
      <x:c r="L257" s="6" t="n">
        <x:f>ROUNDUP(F257/J257,0)</x:f>
        <x:v>4</x:v>
      </x:c>
      <x:c r="M257" s="6" t="n">
        <x:f>IF(G257=0,"无伤害",ROUNDUP(K257/MAX(1,ROUND(G257*$AC$14,0)),0))</x:f>
        <x:v>10</x:v>
      </x:c>
      <x:c r="N257" s="6" t="n">
        <x:f>ROUNDUP(F257/英雄升级调参!$H$110,0)</x:f>
        <x:v>3</x:v>
      </x:c>
      <x:c r="O257" s="6" t="n">
        <x:f>ROUNDUP(F257/英雄升级调参!$K$110,0)</x:f>
        <x:v>2</x:v>
      </x:c>
      <x:c r="P257" s="6" t="str">
        <x:f>$AA$14</x:f>
        <x:v>普通：4次标准普攻击杀；10次主要攻击致死</x:v>
      </x:c>
      <x:c r="Q257" s="6"/>
      <x:c r="R257" s="6"/>
      <x:c r="S257" s="6"/>
      <x:c r="T257" s="6"/>
    </x:row>
    <x:row r="258" ht="21" customHeight="1">
      <x:c r="A258" s="14" t="n">
        <x:f>$V$14</x:f>
        <x:v>60001</x:v>
      </x:c>
      <x:c r="B258" s="14" t="str">
        <x:f>$W$14</x:f>
        <x:v>苹果小子</x:v>
      </x:c>
      <x:c r="C258" s="6" t="str">
        <x:f>$X$14</x:f>
        <x:v>普通</x:v>
      </x:c>
      <x:c r="D258" s="6">
        <x:v>46</x:v>
      </x:c>
      <x:c r="E258" s="6">
        <x:v>14</x:v>
      </x:c>
      <x:c r="F258" s="12">
        <x:f>ROUND(J258*$W$4*H258,0)</x:f>
        <x:v>14172</x:v>
      </x:c>
      <x:c r="G258" s="12">
        <x:f>ROUND(J258*$W$4*$W$5*I258,0)</x:f>
        <x:v>3543</x:v>
      </x:c>
      <x:c r="H258" s="11" t="n">
        <x:f>$Y$14</x:f>
        <x:v>1</x:v>
      </x:c>
      <x:c r="I258" s="11" t="n">
        <x:f>$Z$14</x:f>
        <x:v>3.3333333333333335</x:v>
      </x:c>
      <x:c r="J258" s="12">
        <x:f>英雄升级调参!$E$111</x:f>
        <x:v>3543</x:v>
      </x:c>
      <x:c r="K258" s="12">
        <x:f>英雄升级调参!$F$111</x:f>
        <x:v>35430</x:v>
      </x:c>
      <x:c r="L258" s="6" t="n">
        <x:f>ROUNDUP(F258/J258,0)</x:f>
        <x:v>4</x:v>
      </x:c>
      <x:c r="M258" s="6" t="n">
        <x:f>IF(G258=0,"无伤害",ROUNDUP(K258/MAX(1,ROUND(G258*$AC$14,0)),0))</x:f>
        <x:v>10</x:v>
      </x:c>
      <x:c r="N258" s="6" t="n">
        <x:f>ROUNDUP(F258/英雄升级调参!$H$111,0)</x:f>
        <x:v>3</x:v>
      </x:c>
      <x:c r="O258" s="6" t="n">
        <x:f>ROUNDUP(F258/英雄升级调参!$K$111,0)</x:f>
        <x:v>2</x:v>
      </x:c>
      <x:c r="P258" s="6" t="str">
        <x:f>$AA$14</x:f>
        <x:v>普通：4次标准普攻击杀；10次主要攻击致死</x:v>
      </x:c>
      <x:c r="Q258" s="6"/>
      <x:c r="R258" s="6"/>
      <x:c r="S258" s="6"/>
      <x:c r="T258" s="6"/>
    </x:row>
    <x:row r="259" ht="21" customHeight="1">
      <x:c r="A259" s="14" t="n">
        <x:f>$V$14</x:f>
        <x:v>60001</x:v>
      </x:c>
      <x:c r="B259" s="14" t="str">
        <x:f>$W$14</x:f>
        <x:v>苹果小子</x:v>
      </x:c>
      <x:c r="C259" s="6" t="str">
        <x:f>$X$14</x:f>
        <x:v>普通</x:v>
      </x:c>
      <x:c r="D259" s="6">
        <x:v>47</x:v>
      </x:c>
      <x:c r="E259" s="6">
        <x:v>14</x:v>
      </x:c>
      <x:c r="F259" s="12">
        <x:f>ROUND(J259*$W$4*H259,0)</x:f>
        <x:v>14568</x:v>
      </x:c>
      <x:c r="G259" s="12">
        <x:f>ROUND(J259*$W$4*$W$5*I259,0)</x:f>
        <x:v>3642</x:v>
      </x:c>
      <x:c r="H259" s="11" t="n">
        <x:f>$Y$14</x:f>
        <x:v>1</x:v>
      </x:c>
      <x:c r="I259" s="11" t="n">
        <x:f>$Z$14</x:f>
        <x:v>3.3333333333333335</x:v>
      </x:c>
      <x:c r="J259" s="12">
        <x:f>英雄升级调参!$E$112</x:f>
        <x:v>3642</x:v>
      </x:c>
      <x:c r="K259" s="12">
        <x:f>英雄升级调参!$F$112</x:f>
        <x:v>36420</x:v>
      </x:c>
      <x:c r="L259" s="6" t="n">
        <x:f>ROUNDUP(F259/J259,0)</x:f>
        <x:v>4</x:v>
      </x:c>
      <x:c r="M259" s="6" t="n">
        <x:f>IF(G259=0,"无伤害",ROUNDUP(K259/MAX(1,ROUND(G259*$AC$14,0)),0))</x:f>
        <x:v>10</x:v>
      </x:c>
      <x:c r="N259" s="6" t="n">
        <x:f>ROUNDUP(F259/英雄升级调参!$H$112,0)</x:f>
        <x:v>3</x:v>
      </x:c>
      <x:c r="O259" s="6" t="n">
        <x:f>ROUNDUP(F259/英雄升级调参!$K$112,0)</x:f>
        <x:v>2</x:v>
      </x:c>
      <x:c r="P259" s="6" t="str">
        <x:f>$AA$14</x:f>
        <x:v>普通：4次标准普攻击杀；10次主要攻击致死</x:v>
      </x:c>
      <x:c r="Q259" s="6"/>
      <x:c r="R259" s="6"/>
      <x:c r="S259" s="6"/>
      <x:c r="T259" s="6"/>
    </x:row>
    <x:row r="260" ht="21" customHeight="1">
      <x:c r="A260" s="14" t="n">
        <x:f>$V$14</x:f>
        <x:v>60001</x:v>
      </x:c>
      <x:c r="B260" s="14" t="str">
        <x:f>$W$14</x:f>
        <x:v>苹果小子</x:v>
      </x:c>
      <x:c r="C260" s="6" t="str">
        <x:f>$X$14</x:f>
        <x:v>普通</x:v>
      </x:c>
      <x:c r="D260" s="6">
        <x:v>48</x:v>
      </x:c>
      <x:c r="E260" s="6">
        <x:v>14</x:v>
      </x:c>
      <x:c r="F260" s="12">
        <x:f>ROUND(J260*$W$4*H260,0)</x:f>
        <x:v>14964</x:v>
      </x:c>
      <x:c r="G260" s="12">
        <x:f>ROUND(J260*$W$4*$W$5*I260,0)</x:f>
        <x:v>3741</x:v>
      </x:c>
      <x:c r="H260" s="11" t="n">
        <x:f>$Y$14</x:f>
        <x:v>1</x:v>
      </x:c>
      <x:c r="I260" s="11" t="n">
        <x:f>$Z$14</x:f>
        <x:v>3.3333333333333335</x:v>
      </x:c>
      <x:c r="J260" s="12">
        <x:f>英雄升级调参!$E$113</x:f>
        <x:v>3741</x:v>
      </x:c>
      <x:c r="K260" s="12">
        <x:f>英雄升级调参!$F$113</x:f>
        <x:v>37410</x:v>
      </x:c>
      <x:c r="L260" s="6" t="n">
        <x:f>ROUNDUP(F260/J260,0)</x:f>
        <x:v>4</x:v>
      </x:c>
      <x:c r="M260" s="6" t="n">
        <x:f>IF(G260=0,"无伤害",ROUNDUP(K260/MAX(1,ROUND(G260*$AC$14,0)),0))</x:f>
        <x:v>10</x:v>
      </x:c>
      <x:c r="N260" s="6" t="n">
        <x:f>ROUNDUP(F260/英雄升级调参!$H$113,0)</x:f>
        <x:v>3</x:v>
      </x:c>
      <x:c r="O260" s="6" t="n">
        <x:f>ROUNDUP(F260/英雄升级调参!$K$113,0)</x:f>
        <x:v>2</x:v>
      </x:c>
      <x:c r="P260" s="6" t="str">
        <x:f>$AA$14</x:f>
        <x:v>普通：4次标准普攻击杀；10次主要攻击致死</x:v>
      </x:c>
      <x:c r="Q260" s="6"/>
      <x:c r="R260" s="6"/>
      <x:c r="S260" s="6"/>
      <x:c r="T260" s="6"/>
    </x:row>
    <x:row r="261" ht="21" customHeight="1">
      <x:c r="A261" s="14" t="n">
        <x:f>$V$14</x:f>
        <x:v>60001</x:v>
      </x:c>
      <x:c r="B261" s="14" t="str">
        <x:f>$W$14</x:f>
        <x:v>苹果小子</x:v>
      </x:c>
      <x:c r="C261" s="6" t="str">
        <x:f>$X$14</x:f>
        <x:v>普通</x:v>
      </x:c>
      <x:c r="D261" s="6">
        <x:v>49</x:v>
      </x:c>
      <x:c r="E261" s="6">
        <x:v>14</x:v>
      </x:c>
      <x:c r="F261" s="12">
        <x:f>ROUND(J261*$W$4*H261,0)</x:f>
        <x:v>15360</x:v>
      </x:c>
      <x:c r="G261" s="12">
        <x:f>ROUND(J261*$W$4*$W$5*I261,0)</x:f>
        <x:v>3840</x:v>
      </x:c>
      <x:c r="H261" s="11" t="n">
        <x:f>$Y$14</x:f>
        <x:v>1</x:v>
      </x:c>
      <x:c r="I261" s="11" t="n">
        <x:f>$Z$14</x:f>
        <x:v>3.3333333333333335</x:v>
      </x:c>
      <x:c r="J261" s="12">
        <x:f>英雄升级调参!$E$114</x:f>
        <x:v>3840</x:v>
      </x:c>
      <x:c r="K261" s="12">
        <x:f>英雄升级调参!$F$114</x:f>
        <x:v>38400</x:v>
      </x:c>
      <x:c r="L261" s="6" t="n">
        <x:f>ROUNDUP(F261/J261,0)</x:f>
        <x:v>4</x:v>
      </x:c>
      <x:c r="M261" s="6" t="n">
        <x:f>IF(G261=0,"无伤害",ROUNDUP(K261/MAX(1,ROUND(G261*$AC$14,0)),0))</x:f>
        <x:v>10</x:v>
      </x:c>
      <x:c r="N261" s="6" t="n">
        <x:f>ROUNDUP(F261/英雄升级调参!$H$114,0)</x:f>
        <x:v>3</x:v>
      </x:c>
      <x:c r="O261" s="6" t="n">
        <x:f>ROUNDUP(F261/英雄升级调参!$K$114,0)</x:f>
        <x:v>2</x:v>
      </x:c>
      <x:c r="P261" s="6" t="str">
        <x:f>$AA$14</x:f>
        <x:v>普通：4次标准普攻击杀；10次主要攻击致死</x:v>
      </x:c>
      <x:c r="Q261" s="6"/>
      <x:c r="R261" s="6"/>
      <x:c r="S261" s="6"/>
      <x:c r="T261" s="6"/>
    </x:row>
    <x:row r="262" ht="21" customHeight="1">
      <x:c r="A262" s="14" t="n">
        <x:f>$V$14</x:f>
        <x:v>60001</x:v>
      </x:c>
      <x:c r="B262" s="14" t="str">
        <x:f>$W$14</x:f>
        <x:v>苹果小子</x:v>
      </x:c>
      <x:c r="C262" s="6" t="str">
        <x:f>$X$14</x:f>
        <x:v>普通</x:v>
      </x:c>
      <x:c r="D262" s="6">
        <x:v>50</x:v>
      </x:c>
      <x:c r="E262" s="6">
        <x:v>14</x:v>
      </x:c>
      <x:c r="F262" s="12">
        <x:f>ROUND(J262*$W$4*H262,0)</x:f>
        <x:v>16548</x:v>
      </x:c>
      <x:c r="G262" s="12">
        <x:f>ROUND(J262*$W$4*$W$5*I262,0)</x:f>
        <x:v>4137</x:v>
      </x:c>
      <x:c r="H262" s="11" t="n">
        <x:f>$Y$14</x:f>
        <x:v>1</x:v>
      </x:c>
      <x:c r="I262" s="11" t="n">
        <x:f>$Z$14</x:f>
        <x:v>3.3333333333333335</x:v>
      </x:c>
      <x:c r="J262" s="12">
        <x:f>英雄升级调参!$E$115</x:f>
        <x:v>4137</x:v>
      </x:c>
      <x:c r="K262" s="12">
        <x:f>英雄升级调参!$F$115</x:f>
        <x:v>41370</x:v>
      </x:c>
      <x:c r="L262" s="6" t="n">
        <x:f>ROUNDUP(F262/J262,0)</x:f>
        <x:v>4</x:v>
      </x:c>
      <x:c r="M262" s="6" t="n">
        <x:f>IF(G262=0,"无伤害",ROUNDUP(K262/MAX(1,ROUND(G262*$AC$14,0)),0))</x:f>
        <x:v>10</x:v>
      </x:c>
      <x:c r="N262" s="6" t="n">
        <x:f>ROUNDUP(F262/英雄升级调参!$H$115,0)</x:f>
        <x:v>3</x:v>
      </x:c>
      <x:c r="O262" s="6" t="n">
        <x:f>ROUNDUP(F262/英雄升级调参!$K$115,0)</x:f>
        <x:v>2</x:v>
      </x:c>
      <x:c r="P262" s="6" t="str">
        <x:f>$AA$14</x:f>
        <x:v>普通：4次标准普攻击杀；10次主要攻击致死</x:v>
      </x:c>
      <x:c r="Q262" s="6"/>
      <x:c r="R262" s="6"/>
      <x:c r="S262" s="6"/>
      <x:c r="T262" s="6"/>
    </x:row>
    <x:row r="263" ht="21" customHeight="1">
      <x:c r="A263" s="14" t="n">
        <x:f>$V$15</x:f>
        <x:v>60002</x:v>
      </x:c>
      <x:c r="B263" s="14" t="str">
        <x:f>$W$15</x:f>
        <x:v>蘑菇小子</x:v>
      </x:c>
      <x:c r="C263" s="6" t="str">
        <x:f>$X$15</x:f>
        <x:v>普通</x:v>
      </x:c>
      <x:c r="D263" s="6">
        <x:v>1</x:v>
      </x:c>
      <x:c r="E263" s="6">
        <x:v>15</x:v>
      </x:c>
      <x:c r="F263" s="12" t="n">
        <x:f>ROUND(J263*$W$4*H263,0)</x:f>
        <x:v>240</x:v>
      </x:c>
      <x:c r="G263" s="12" t="n">
        <x:f>ROUND(J263*$W$4*$W$5*I263,0)</x:f>
        <x:v>60</x:v>
      </x:c>
      <x:c r="H263" s="11" t="n">
        <x:f>$Y$15</x:f>
        <x:v>1</x:v>
      </x:c>
      <x:c r="I263" s="11" t="n">
        <x:f>$Z$15</x:f>
        <x:v>3.3333333333333335</x:v>
      </x:c>
      <x:c r="J263" s="12" t="n">
        <x:f>英雄升级调参!$E$66</x:f>
        <x:v>60</x:v>
      </x:c>
      <x:c r="K263" s="12" t="n">
        <x:f>英雄升级调参!$F$66</x:f>
        <x:v>600</x:v>
      </x:c>
      <x:c r="L263" s="6" t="n">
        <x:f>ROUNDUP(F263/J263,0)</x:f>
        <x:v>4</x:v>
      </x:c>
      <x:c r="M263" s="6" t="n">
        <x:f>IF(G263=0,"无伤害",ROUNDUP(K263/MAX(1,ROUND(G263*$AC$15,0)),0))</x:f>
        <x:v>10</x:v>
      </x:c>
      <x:c r="N263" s="6">
        <x:f>ROUNDUP(F263/英雄升级调参!$H$66,0)</x:f>
        <x:v>2</x:v>
      </x:c>
      <x:c r="O263" s="6">
        <x:f>ROUNDUP(F263/英雄升级调参!$K$66,0)</x:f>
        <x:v>1</x:v>
      </x:c>
      <x:c r="P263" s="6" t="str">
        <x:f>$AA$15</x:f>
        <x:v>普通：4次标准普攻击杀；10次主要攻击致死</x:v>
      </x:c>
      <x:c r="Q263" s="6"/>
      <x:c r="R263" s="6"/>
      <x:c r="S263" s="6"/>
      <x:c r="T263" s="6"/>
    </x:row>
    <x:row r="264" ht="21" customHeight="1">
      <x:c r="A264" s="14" t="n">
        <x:f>$V$15</x:f>
        <x:v>60002</x:v>
      </x:c>
      <x:c r="B264" s="14" t="str">
        <x:f>$W$15</x:f>
        <x:v>蘑菇小子</x:v>
      </x:c>
      <x:c r="C264" s="6" t="str">
        <x:f>$X$15</x:f>
        <x:v>普通</x:v>
      </x:c>
      <x:c r="D264" s="6">
        <x:v>2</x:v>
      </x:c>
      <x:c r="E264" s="6">
        <x:v>15</x:v>
      </x:c>
      <x:c r="F264" s="12">
        <x:f>ROUND(J264*$W$4*H264,0)</x:f>
        <x:v>312</x:v>
      </x:c>
      <x:c r="G264" s="12">
        <x:f>ROUND(J264*$W$4*$W$5*I264,0)</x:f>
        <x:v>78</x:v>
      </x:c>
      <x:c r="H264" s="11" t="n">
        <x:f>$Y$15</x:f>
        <x:v>1</x:v>
      </x:c>
      <x:c r="I264" s="11" t="n">
        <x:f>$Z$15</x:f>
        <x:v>3.3333333333333335</x:v>
      </x:c>
      <x:c r="J264" s="12">
        <x:f>英雄升级调参!$E$67</x:f>
        <x:v>78</x:v>
      </x:c>
      <x:c r="K264" s="12">
        <x:f>英雄升级调参!$F$67</x:f>
        <x:v>780</x:v>
      </x:c>
      <x:c r="L264" s="6" t="n">
        <x:f>ROUNDUP(F264/J264,0)</x:f>
        <x:v>4</x:v>
      </x:c>
      <x:c r="M264" s="6" t="n">
        <x:f>IF(G264=0,"无伤害",ROUNDUP(K264/MAX(1,ROUND(G264*$AC$15,0)),0))</x:f>
        <x:v>10</x:v>
      </x:c>
      <x:c r="N264" s="6">
        <x:f>ROUNDUP(F264/英雄升级调参!$H$67,0)</x:f>
        <x:v>2</x:v>
      </x:c>
      <x:c r="O264" s="6">
        <x:f>ROUNDUP(F264/英雄升级调参!$K$67,0)</x:f>
        <x:v>1</x:v>
      </x:c>
      <x:c r="P264" s="6" t="str">
        <x:f>$AA$15</x:f>
        <x:v>普通：4次标准普攻击杀；10次主要攻击致死</x:v>
      </x:c>
      <x:c r="Q264" s="6"/>
      <x:c r="R264" s="6"/>
      <x:c r="S264" s="6"/>
      <x:c r="T264" s="6"/>
    </x:row>
    <x:row r="265" ht="21" customHeight="1">
      <x:c r="A265" s="14" t="n">
        <x:f>$V$15</x:f>
        <x:v>60002</x:v>
      </x:c>
      <x:c r="B265" s="14" t="str">
        <x:f>$W$15</x:f>
        <x:v>蘑菇小子</x:v>
      </x:c>
      <x:c r="C265" s="6" t="str">
        <x:f>$X$15</x:f>
        <x:v>普通</x:v>
      </x:c>
      <x:c r="D265" s="6">
        <x:v>3</x:v>
      </x:c>
      <x:c r="E265" s="6">
        <x:v>15</x:v>
      </x:c>
      <x:c r="F265" s="12">
        <x:f>ROUND(J265*$W$4*H265,0)</x:f>
        <x:v>384</x:v>
      </x:c>
      <x:c r="G265" s="12">
        <x:f>ROUND(J265*$W$4*$W$5*I265,0)</x:f>
        <x:v>96</x:v>
      </x:c>
      <x:c r="H265" s="11" t="n">
        <x:f>$Y$15</x:f>
        <x:v>1</x:v>
      </x:c>
      <x:c r="I265" s="11" t="n">
        <x:f>$Z$15</x:f>
        <x:v>3.3333333333333335</x:v>
      </x:c>
      <x:c r="J265" s="12">
        <x:f>英雄升级调参!$E$68</x:f>
        <x:v>96</x:v>
      </x:c>
      <x:c r="K265" s="12">
        <x:f>英雄升级调参!$F$68</x:f>
        <x:v>960</x:v>
      </x:c>
      <x:c r="L265" s="6" t="n">
        <x:f>ROUNDUP(F265/J265,0)</x:f>
        <x:v>4</x:v>
      </x:c>
      <x:c r="M265" s="6" t="n">
        <x:f>IF(G265=0,"无伤害",ROUNDUP(K265/MAX(1,ROUND(G265*$AC$15,0)),0))</x:f>
        <x:v>10</x:v>
      </x:c>
      <x:c r="N265" s="6">
        <x:f>ROUNDUP(F265/英雄升级调参!$H$68,0)</x:f>
        <x:v>2</x:v>
      </x:c>
      <x:c r="O265" s="6">
        <x:f>ROUNDUP(F265/英雄升级调参!$K$68,0)</x:f>
        <x:v>1</x:v>
      </x:c>
      <x:c r="P265" s="6" t="str">
        <x:f>$AA$15</x:f>
        <x:v>普通：4次标准普攻击杀；10次主要攻击致死</x:v>
      </x:c>
      <x:c r="Q265" s="6"/>
      <x:c r="R265" s="6"/>
      <x:c r="S265" s="6"/>
      <x:c r="T265" s="6"/>
    </x:row>
    <x:row r="266" ht="21" customHeight="1">
      <x:c r="A266" s="14" t="n">
        <x:f>$V$15</x:f>
        <x:v>60002</x:v>
      </x:c>
      <x:c r="B266" s="14" t="str">
        <x:f>$W$15</x:f>
        <x:v>蘑菇小子</x:v>
      </x:c>
      <x:c r="C266" s="6" t="str">
        <x:f>$X$15</x:f>
        <x:v>普通</x:v>
      </x:c>
      <x:c r="D266" s="6">
        <x:v>4</x:v>
      </x:c>
      <x:c r="E266" s="6">
        <x:v>15</x:v>
      </x:c>
      <x:c r="F266" s="12">
        <x:f>ROUND(J266*$W$4*H266,0)</x:f>
        <x:v>456</x:v>
      </x:c>
      <x:c r="G266" s="12">
        <x:f>ROUND(J266*$W$4*$W$5*I266,0)</x:f>
        <x:v>114</x:v>
      </x:c>
      <x:c r="H266" s="11" t="n">
        <x:f>$Y$15</x:f>
        <x:v>1</x:v>
      </x:c>
      <x:c r="I266" s="11" t="n">
        <x:f>$Z$15</x:f>
        <x:v>3.3333333333333335</x:v>
      </x:c>
      <x:c r="J266" s="12">
        <x:f>英雄升级调参!$E$69</x:f>
        <x:v>114</x:v>
      </x:c>
      <x:c r="K266" s="12">
        <x:f>英雄升级调参!$F$69</x:f>
        <x:v>1140</x:v>
      </x:c>
      <x:c r="L266" s="6" t="n">
        <x:f>ROUNDUP(F266/J266,0)</x:f>
        <x:v>4</x:v>
      </x:c>
      <x:c r="M266" s="6" t="n">
        <x:f>IF(G266=0,"无伤害",ROUNDUP(K266/MAX(1,ROUND(G266*$AC$15,0)),0))</x:f>
        <x:v>10</x:v>
      </x:c>
      <x:c r="N266" s="6">
        <x:f>ROUNDUP(F266/英雄升级调参!$H$69,0)</x:f>
        <x:v>2</x:v>
      </x:c>
      <x:c r="O266" s="6">
        <x:f>ROUNDUP(F266/英雄升级调参!$K$69,0)</x:f>
        <x:v>1</x:v>
      </x:c>
      <x:c r="P266" s="6" t="str">
        <x:f>$AA$15</x:f>
        <x:v>普通：4次标准普攻击杀；10次主要攻击致死</x:v>
      </x:c>
      <x:c r="Q266" s="6"/>
      <x:c r="R266" s="6"/>
      <x:c r="S266" s="6"/>
      <x:c r="T266" s="6"/>
    </x:row>
    <x:row r="267" ht="21" customHeight="1">
      <x:c r="A267" s="14" t="n">
        <x:f>$V$15</x:f>
        <x:v>60002</x:v>
      </x:c>
      <x:c r="B267" s="14" t="str">
        <x:f>$W$15</x:f>
        <x:v>蘑菇小子</x:v>
      </x:c>
      <x:c r="C267" s="6" t="str">
        <x:f>$X$15</x:f>
        <x:v>普通</x:v>
      </x:c>
      <x:c r="D267" s="6">
        <x:v>5</x:v>
      </x:c>
      <x:c r="E267" s="6">
        <x:v>15</x:v>
      </x:c>
      <x:c r="F267" s="12">
        <x:f>ROUND(J267*$W$4*H267,0)</x:f>
        <x:v>672</x:v>
      </x:c>
      <x:c r="G267" s="12">
        <x:f>ROUND(J267*$W$4*$W$5*I267,0)</x:f>
        <x:v>168</x:v>
      </x:c>
      <x:c r="H267" s="11" t="n">
        <x:f>$Y$15</x:f>
        <x:v>1</x:v>
      </x:c>
      <x:c r="I267" s="11" t="n">
        <x:f>$Z$15</x:f>
        <x:v>3.3333333333333335</x:v>
      </x:c>
      <x:c r="J267" s="12">
        <x:f>英雄升级调参!$E$70</x:f>
        <x:v>168</x:v>
      </x:c>
      <x:c r="K267" s="12">
        <x:f>英雄升级调参!$F$70</x:f>
        <x:v>1680</x:v>
      </x:c>
      <x:c r="L267" s="6" t="n">
        <x:f>ROUNDUP(F267/J267,0)</x:f>
        <x:v>4</x:v>
      </x:c>
      <x:c r="M267" s="6" t="n">
        <x:f>IF(G267=0,"无伤害",ROUNDUP(K267/MAX(1,ROUND(G267*$AC$15,0)),0))</x:f>
        <x:v>10</x:v>
      </x:c>
      <x:c r="N267" s="6">
        <x:f>ROUNDUP(F267/英雄升级调参!$H$70,0)</x:f>
        <x:v>2</x:v>
      </x:c>
      <x:c r="O267" s="6" t="n">
        <x:f>ROUNDUP(F267/英雄升级调参!$K$70,0)</x:f>
        <x:v>2</x:v>
      </x:c>
      <x:c r="P267" s="6" t="str">
        <x:f>$AA$15</x:f>
        <x:v>普通：4次标准普攻击杀；10次主要攻击致死</x:v>
      </x:c>
      <x:c r="Q267" s="6"/>
      <x:c r="R267" s="6"/>
      <x:c r="S267" s="6"/>
      <x:c r="T267" s="6"/>
    </x:row>
    <x:row r="268" ht="21" customHeight="1">
      <x:c r="A268" s="14" t="n">
        <x:f>$V$15</x:f>
        <x:v>60002</x:v>
      </x:c>
      <x:c r="B268" s="14" t="str">
        <x:f>$W$15</x:f>
        <x:v>蘑菇小子</x:v>
      </x:c>
      <x:c r="C268" s="6" t="str">
        <x:f>$X$15</x:f>
        <x:v>普通</x:v>
      </x:c>
      <x:c r="D268" s="6">
        <x:v>6</x:v>
      </x:c>
      <x:c r="E268" s="6">
        <x:v>15</x:v>
      </x:c>
      <x:c r="F268" s="12">
        <x:f>ROUND(J268*$W$4*H268,0)</x:f>
        <x:v>780</x:v>
      </x:c>
      <x:c r="G268" s="12">
        <x:f>ROUND(J268*$W$4*$W$5*I268,0)</x:f>
        <x:v>195</x:v>
      </x:c>
      <x:c r="H268" s="11" t="n">
        <x:f>$Y$15</x:f>
        <x:v>1</x:v>
      </x:c>
      <x:c r="I268" s="11" t="n">
        <x:f>$Z$15</x:f>
        <x:v>3.3333333333333335</x:v>
      </x:c>
      <x:c r="J268" s="12">
        <x:f>英雄升级调参!$E$71</x:f>
        <x:v>195</x:v>
      </x:c>
      <x:c r="K268" s="12">
        <x:f>英雄升级调参!$F$71</x:f>
        <x:v>1950</x:v>
      </x:c>
      <x:c r="L268" s="6" t="n">
        <x:f>ROUNDUP(F268/J268,0)</x:f>
        <x:v>4</x:v>
      </x:c>
      <x:c r="M268" s="6" t="n">
        <x:f>IF(G268=0,"无伤害",ROUNDUP(K268/MAX(1,ROUND(G268*$AC$15,0)),0))</x:f>
        <x:v>10</x:v>
      </x:c>
      <x:c r="N268" s="6">
        <x:f>ROUNDUP(F268/英雄升级调参!$H$71,0)</x:f>
        <x:v>2</x:v>
      </x:c>
      <x:c r="O268" s="6" t="n">
        <x:f>ROUNDUP(F268/英雄升级调参!$K$71,0)</x:f>
        <x:v>2</x:v>
      </x:c>
      <x:c r="P268" s="6" t="str">
        <x:f>$AA$15</x:f>
        <x:v>普通：4次标准普攻击杀；10次主要攻击致死</x:v>
      </x:c>
      <x:c r="Q268" s="6"/>
      <x:c r="R268" s="6"/>
      <x:c r="S268" s="6"/>
      <x:c r="T268" s="6"/>
    </x:row>
    <x:row r="269" ht="21" customHeight="1">
      <x:c r="A269" s="14" t="n">
        <x:f>$V$15</x:f>
        <x:v>60002</x:v>
      </x:c>
      <x:c r="B269" s="14" t="str">
        <x:f>$W$15</x:f>
        <x:v>蘑菇小子</x:v>
      </x:c>
      <x:c r="C269" s="6" t="str">
        <x:f>$X$15</x:f>
        <x:v>普通</x:v>
      </x:c>
      <x:c r="D269" s="6">
        <x:v>7</x:v>
      </x:c>
      <x:c r="E269" s="6">
        <x:v>15</x:v>
      </x:c>
      <x:c r="F269" s="12">
        <x:f>ROUND(J269*$W$4*H269,0)</x:f>
        <x:v>888</x:v>
      </x:c>
      <x:c r="G269" s="12">
        <x:f>ROUND(J269*$W$4*$W$5*I269,0)</x:f>
        <x:v>222</x:v>
      </x:c>
      <x:c r="H269" s="11" t="n">
        <x:f>$Y$15</x:f>
        <x:v>1</x:v>
      </x:c>
      <x:c r="I269" s="11" t="n">
        <x:f>$Z$15</x:f>
        <x:v>3.3333333333333335</x:v>
      </x:c>
      <x:c r="J269" s="12">
        <x:f>英雄升级调参!$E$72</x:f>
        <x:v>222</x:v>
      </x:c>
      <x:c r="K269" s="12">
        <x:f>英雄升级调参!$F$72</x:f>
        <x:v>2220</x:v>
      </x:c>
      <x:c r="L269" s="6" t="n">
        <x:f>ROUNDUP(F269/J269,0)</x:f>
        <x:v>4</x:v>
      </x:c>
      <x:c r="M269" s="6" t="n">
        <x:f>IF(G269=0,"无伤害",ROUNDUP(K269/MAX(1,ROUND(G269*$AC$15,0)),0))</x:f>
        <x:v>10</x:v>
      </x:c>
      <x:c r="N269" s="6" t="n">
        <x:f>ROUNDUP(F269/英雄升级调参!$H$72,0)</x:f>
        <x:v>3</x:v>
      </x:c>
      <x:c r="O269" s="6" t="n">
        <x:f>ROUNDUP(F269/英雄升级调参!$K$72,0)</x:f>
        <x:v>2</x:v>
      </x:c>
      <x:c r="P269" s="6" t="str">
        <x:f>$AA$15</x:f>
        <x:v>普通：4次标准普攻击杀；10次主要攻击致死</x:v>
      </x:c>
      <x:c r="Q269" s="6"/>
      <x:c r="R269" s="6"/>
      <x:c r="S269" s="6"/>
      <x:c r="T269" s="6"/>
    </x:row>
    <x:row r="270" ht="21" customHeight="1">
      <x:c r="A270" s="14" t="n">
        <x:f>$V$15</x:f>
        <x:v>60002</x:v>
      </x:c>
      <x:c r="B270" s="14" t="str">
        <x:f>$W$15</x:f>
        <x:v>蘑菇小子</x:v>
      </x:c>
      <x:c r="C270" s="6" t="str">
        <x:f>$X$15</x:f>
        <x:v>普通</x:v>
      </x:c>
      <x:c r="D270" s="6">
        <x:v>8</x:v>
      </x:c>
      <x:c r="E270" s="6">
        <x:v>15</x:v>
      </x:c>
      <x:c r="F270" s="12">
        <x:f>ROUND(J270*$W$4*H270,0)</x:f>
        <x:v>996</x:v>
      </x:c>
      <x:c r="G270" s="12">
        <x:f>ROUND(J270*$W$4*$W$5*I270,0)</x:f>
        <x:v>249</x:v>
      </x:c>
      <x:c r="H270" s="11" t="n">
        <x:f>$Y$15</x:f>
        <x:v>1</x:v>
      </x:c>
      <x:c r="I270" s="11" t="n">
        <x:f>$Z$15</x:f>
        <x:v>3.3333333333333335</x:v>
      </x:c>
      <x:c r="J270" s="12">
        <x:f>英雄升级调参!$E$73</x:f>
        <x:v>249</x:v>
      </x:c>
      <x:c r="K270" s="12">
        <x:f>英雄升级调参!$F$73</x:f>
        <x:v>2490</x:v>
      </x:c>
      <x:c r="L270" s="6" t="n">
        <x:f>ROUNDUP(F270/J270,0)</x:f>
        <x:v>4</x:v>
      </x:c>
      <x:c r="M270" s="6" t="n">
        <x:f>IF(G270=0,"无伤害",ROUNDUP(K270/MAX(1,ROUND(G270*$AC$15,0)),0))</x:f>
        <x:v>10</x:v>
      </x:c>
      <x:c r="N270" s="6" t="n">
        <x:f>ROUNDUP(F270/英雄升级调参!$H$73,0)</x:f>
        <x:v>3</x:v>
      </x:c>
      <x:c r="O270" s="6" t="n">
        <x:f>ROUNDUP(F270/英雄升级调参!$K$73,0)</x:f>
        <x:v>2</x:v>
      </x:c>
      <x:c r="P270" s="6" t="str">
        <x:f>$AA$15</x:f>
        <x:v>普通：4次标准普攻击杀；10次主要攻击致死</x:v>
      </x:c>
      <x:c r="Q270" s="6"/>
      <x:c r="R270" s="6"/>
      <x:c r="S270" s="6"/>
      <x:c r="T270" s="6"/>
    </x:row>
    <x:row r="271" ht="21" customHeight="1">
      <x:c r="A271" s="14" t="n">
        <x:f>$V$15</x:f>
        <x:v>60002</x:v>
      </x:c>
      <x:c r="B271" s="14" t="str">
        <x:f>$W$15</x:f>
        <x:v>蘑菇小子</x:v>
      </x:c>
      <x:c r="C271" s="6" t="str">
        <x:f>$X$15</x:f>
        <x:v>普通</x:v>
      </x:c>
      <x:c r="D271" s="6">
        <x:v>9</x:v>
      </x:c>
      <x:c r="E271" s="6">
        <x:v>15</x:v>
      </x:c>
      <x:c r="F271" s="12">
        <x:f>ROUND(J271*$W$4*H271,0)</x:f>
        <x:v>1104</x:v>
      </x:c>
      <x:c r="G271" s="12">
        <x:f>ROUND(J271*$W$4*$W$5*I271,0)</x:f>
        <x:v>276</x:v>
      </x:c>
      <x:c r="H271" s="11" t="n">
        <x:f>$Y$15</x:f>
        <x:v>1</x:v>
      </x:c>
      <x:c r="I271" s="11" t="n">
        <x:f>$Z$15</x:f>
        <x:v>3.3333333333333335</x:v>
      </x:c>
      <x:c r="J271" s="12">
        <x:f>英雄升级调参!$E$74</x:f>
        <x:v>276</x:v>
      </x:c>
      <x:c r="K271" s="12">
        <x:f>英雄升级调参!$F$74</x:f>
        <x:v>2760</x:v>
      </x:c>
      <x:c r="L271" s="6" t="n">
        <x:f>ROUNDUP(F271/J271,0)</x:f>
        <x:v>4</x:v>
      </x:c>
      <x:c r="M271" s="6" t="n">
        <x:f>IF(G271=0,"无伤害",ROUNDUP(K271/MAX(1,ROUND(G271*$AC$15,0)),0))</x:f>
        <x:v>10</x:v>
      </x:c>
      <x:c r="N271" s="6" t="n">
        <x:f>ROUNDUP(F271/英雄升级调参!$H$74,0)</x:f>
        <x:v>3</x:v>
      </x:c>
      <x:c r="O271" s="6" t="n">
        <x:f>ROUNDUP(F271/英雄升级调参!$K$74,0)</x:f>
        <x:v>2</x:v>
      </x:c>
      <x:c r="P271" s="6" t="str">
        <x:f>$AA$15</x:f>
        <x:v>普通：4次标准普攻击杀；10次主要攻击致死</x:v>
      </x:c>
      <x:c r="Q271" s="6"/>
      <x:c r="R271" s="6"/>
      <x:c r="S271" s="6"/>
      <x:c r="T271" s="6"/>
    </x:row>
    <x:row r="272" ht="21" customHeight="1">
      <x:c r="A272" s="14" t="n">
        <x:f>$V$15</x:f>
        <x:v>60002</x:v>
      </x:c>
      <x:c r="B272" s="14" t="str">
        <x:f>$W$15</x:f>
        <x:v>蘑菇小子</x:v>
      </x:c>
      <x:c r="C272" s="6" t="str">
        <x:f>$X$15</x:f>
        <x:v>普通</x:v>
      </x:c>
      <x:c r="D272" s="6">
        <x:v>10</x:v>
      </x:c>
      <x:c r="E272" s="6">
        <x:v>15</x:v>
      </x:c>
      <x:c r="F272" s="12">
        <x:f>ROUND(J272*$W$4*H272,0)</x:f>
        <x:v>1428</x:v>
      </x:c>
      <x:c r="G272" s="12">
        <x:f>ROUND(J272*$W$4*$W$5*I272,0)</x:f>
        <x:v>357</x:v>
      </x:c>
      <x:c r="H272" s="11" t="n">
        <x:f>$Y$15</x:f>
        <x:v>1</x:v>
      </x:c>
      <x:c r="I272" s="11" t="n">
        <x:f>$Z$15</x:f>
        <x:v>3.3333333333333335</x:v>
      </x:c>
      <x:c r="J272" s="12">
        <x:f>英雄升级调参!$E$75</x:f>
        <x:v>357</x:v>
      </x:c>
      <x:c r="K272" s="12">
        <x:f>英雄升级调参!$F$75</x:f>
        <x:v>3570</x:v>
      </x:c>
      <x:c r="L272" s="6" t="n">
        <x:f>ROUNDUP(F272/J272,0)</x:f>
        <x:v>4</x:v>
      </x:c>
      <x:c r="M272" s="6" t="n">
        <x:f>IF(G272=0,"无伤害",ROUNDUP(K272/MAX(1,ROUND(G272*$AC$15,0)),0))</x:f>
        <x:v>10</x:v>
      </x:c>
      <x:c r="N272" s="6" t="n">
        <x:f>ROUNDUP(F272/英雄升级调参!$H$75,0)</x:f>
        <x:v>3</x:v>
      </x:c>
      <x:c r="O272" s="6" t="n">
        <x:f>ROUNDUP(F272/英雄升级调参!$K$75,0)</x:f>
        <x:v>2</x:v>
      </x:c>
      <x:c r="P272" s="6" t="str">
        <x:f>$AA$15</x:f>
        <x:v>普通：4次标准普攻击杀；10次主要攻击致死</x:v>
      </x:c>
      <x:c r="Q272" s="6"/>
      <x:c r="R272" s="6"/>
      <x:c r="S272" s="6"/>
      <x:c r="T272" s="6"/>
    </x:row>
    <x:row r="273" ht="21" customHeight="1">
      <x:c r="A273" s="14" t="n">
        <x:f>$V$15</x:f>
        <x:v>60002</x:v>
      </x:c>
      <x:c r="B273" s="14" t="str">
        <x:f>$W$15</x:f>
        <x:v>蘑菇小子</x:v>
      </x:c>
      <x:c r="C273" s="6" t="str">
        <x:f>$X$15</x:f>
        <x:v>普通</x:v>
      </x:c>
      <x:c r="D273" s="6">
        <x:v>11</x:v>
      </x:c>
      <x:c r="E273" s="6">
        <x:v>15</x:v>
      </x:c>
      <x:c r="F273" s="12">
        <x:f>ROUND(J273*$W$4*H273,0)</x:f>
        <x:v>1572</x:v>
      </x:c>
      <x:c r="G273" s="12">
        <x:f>ROUND(J273*$W$4*$W$5*I273,0)</x:f>
        <x:v>393</x:v>
      </x:c>
      <x:c r="H273" s="11" t="n">
        <x:f>$Y$15</x:f>
        <x:v>1</x:v>
      </x:c>
      <x:c r="I273" s="11" t="n">
        <x:f>$Z$15</x:f>
        <x:v>3.3333333333333335</x:v>
      </x:c>
      <x:c r="J273" s="12">
        <x:f>英雄升级调参!$E$76</x:f>
        <x:v>393</x:v>
      </x:c>
      <x:c r="K273" s="12">
        <x:f>英雄升级调参!$F$76</x:f>
        <x:v>3930</x:v>
      </x:c>
      <x:c r="L273" s="6" t="n">
        <x:f>ROUNDUP(F273/J273,0)</x:f>
        <x:v>4</x:v>
      </x:c>
      <x:c r="M273" s="6" t="n">
        <x:f>IF(G273=0,"无伤害",ROUNDUP(K273/MAX(1,ROUND(G273*$AC$15,0)),0))</x:f>
        <x:v>10</x:v>
      </x:c>
      <x:c r="N273" s="6" t="n">
        <x:f>ROUNDUP(F273/英雄升级调参!$H$76,0)</x:f>
        <x:v>3</x:v>
      </x:c>
      <x:c r="O273" s="6" t="n">
        <x:f>ROUNDUP(F273/英雄升级调参!$K$76,0)</x:f>
        <x:v>2</x:v>
      </x:c>
      <x:c r="P273" s="6" t="str">
        <x:f>$AA$15</x:f>
        <x:v>普通：4次标准普攻击杀；10次主要攻击致死</x:v>
      </x:c>
      <x:c r="Q273" s="6"/>
      <x:c r="R273" s="6"/>
      <x:c r="S273" s="6"/>
      <x:c r="T273" s="6"/>
    </x:row>
    <x:row r="274" ht="21" customHeight="1">
      <x:c r="A274" s="14" t="n">
        <x:f>$V$15</x:f>
        <x:v>60002</x:v>
      </x:c>
      <x:c r="B274" s="14" t="str">
        <x:f>$W$15</x:f>
        <x:v>蘑菇小子</x:v>
      </x:c>
      <x:c r="C274" s="6" t="str">
        <x:f>$X$15</x:f>
        <x:v>普通</x:v>
      </x:c>
      <x:c r="D274" s="6">
        <x:v>12</x:v>
      </x:c>
      <x:c r="E274" s="6">
        <x:v>15</x:v>
      </x:c>
      <x:c r="F274" s="12">
        <x:f>ROUND(J274*$W$4*H274,0)</x:f>
        <x:v>1716</x:v>
      </x:c>
      <x:c r="G274" s="12">
        <x:f>ROUND(J274*$W$4*$W$5*I274,0)</x:f>
        <x:v>429</x:v>
      </x:c>
      <x:c r="H274" s="11" t="n">
        <x:f>$Y$15</x:f>
        <x:v>1</x:v>
      </x:c>
      <x:c r="I274" s="11" t="n">
        <x:f>$Z$15</x:f>
        <x:v>3.3333333333333335</x:v>
      </x:c>
      <x:c r="J274" s="12">
        <x:f>英雄升级调参!$E$77</x:f>
        <x:v>429</x:v>
      </x:c>
      <x:c r="K274" s="12">
        <x:f>英雄升级调参!$F$77</x:f>
        <x:v>4290</x:v>
      </x:c>
      <x:c r="L274" s="6" t="n">
        <x:f>ROUNDUP(F274/J274,0)</x:f>
        <x:v>4</x:v>
      </x:c>
      <x:c r="M274" s="6" t="n">
        <x:f>IF(G274=0,"无伤害",ROUNDUP(K274/MAX(1,ROUND(G274*$AC$15,0)),0))</x:f>
        <x:v>10</x:v>
      </x:c>
      <x:c r="N274" s="6" t="n">
        <x:f>ROUNDUP(F274/英雄升级调参!$H$77,0)</x:f>
        <x:v>3</x:v>
      </x:c>
      <x:c r="O274" s="6" t="n">
        <x:f>ROUNDUP(F274/英雄升级调参!$K$77,0)</x:f>
        <x:v>2</x:v>
      </x:c>
      <x:c r="P274" s="6" t="str">
        <x:f>$AA$15</x:f>
        <x:v>普通：4次标准普攻击杀；10次主要攻击致死</x:v>
      </x:c>
      <x:c r="Q274" s="6"/>
      <x:c r="R274" s="6"/>
      <x:c r="S274" s="6"/>
      <x:c r="T274" s="6"/>
    </x:row>
    <x:row r="275" ht="21" customHeight="1">
      <x:c r="A275" s="14" t="n">
        <x:f>$V$15</x:f>
        <x:v>60002</x:v>
      </x:c>
      <x:c r="B275" s="14" t="str">
        <x:f>$W$15</x:f>
        <x:v>蘑菇小子</x:v>
      </x:c>
      <x:c r="C275" s="6" t="str">
        <x:f>$X$15</x:f>
        <x:v>普通</x:v>
      </x:c>
      <x:c r="D275" s="6">
        <x:v>13</x:v>
      </x:c>
      <x:c r="E275" s="6">
        <x:v>15</x:v>
      </x:c>
      <x:c r="F275" s="12">
        <x:f>ROUND(J275*$W$4*H275,0)</x:f>
        <x:v>1860</x:v>
      </x:c>
      <x:c r="G275" s="12">
        <x:f>ROUND(J275*$W$4*$W$5*I275,0)</x:f>
        <x:v>465</x:v>
      </x:c>
      <x:c r="H275" s="11" t="n">
        <x:f>$Y$15</x:f>
        <x:v>1</x:v>
      </x:c>
      <x:c r="I275" s="11" t="n">
        <x:f>$Z$15</x:f>
        <x:v>3.3333333333333335</x:v>
      </x:c>
      <x:c r="J275" s="12">
        <x:f>英雄升级调参!$E$78</x:f>
        <x:v>465</x:v>
      </x:c>
      <x:c r="K275" s="12">
        <x:f>英雄升级调参!$F$78</x:f>
        <x:v>4650</x:v>
      </x:c>
      <x:c r="L275" s="6" t="n">
        <x:f>ROUNDUP(F275/J275,0)</x:f>
        <x:v>4</x:v>
      </x:c>
      <x:c r="M275" s="6" t="n">
        <x:f>IF(G275=0,"无伤害",ROUNDUP(K275/MAX(1,ROUND(G275*$AC$15,0)),0))</x:f>
        <x:v>10</x:v>
      </x:c>
      <x:c r="N275" s="6" t="n">
        <x:f>ROUNDUP(F275/英雄升级调参!$H$78,0)</x:f>
        <x:v>3</x:v>
      </x:c>
      <x:c r="O275" s="6" t="n">
        <x:f>ROUNDUP(F275/英雄升级调参!$K$78,0)</x:f>
        <x:v>2</x:v>
      </x:c>
      <x:c r="P275" s="6" t="str">
        <x:f>$AA$15</x:f>
        <x:v>普通：4次标准普攻击杀；10次主要攻击致死</x:v>
      </x:c>
      <x:c r="Q275" s="6"/>
      <x:c r="R275" s="6"/>
      <x:c r="S275" s="6"/>
      <x:c r="T275" s="6"/>
    </x:row>
    <x:row r="276" ht="21" customHeight="1">
      <x:c r="A276" s="14" t="n">
        <x:f>$V$15</x:f>
        <x:v>60002</x:v>
      </x:c>
      <x:c r="B276" s="14" t="str">
        <x:f>$W$15</x:f>
        <x:v>蘑菇小子</x:v>
      </x:c>
      <x:c r="C276" s="6" t="str">
        <x:f>$X$15</x:f>
        <x:v>普通</x:v>
      </x:c>
      <x:c r="D276" s="6">
        <x:v>14</x:v>
      </x:c>
      <x:c r="E276" s="6">
        <x:v>15</x:v>
      </x:c>
      <x:c r="F276" s="12">
        <x:f>ROUND(J276*$W$4*H276,0)</x:f>
        <x:v>2004</x:v>
      </x:c>
      <x:c r="G276" s="12">
        <x:f>ROUND(J276*$W$4*$W$5*I276,0)</x:f>
        <x:v>501</x:v>
      </x:c>
      <x:c r="H276" s="11" t="n">
        <x:f>$Y$15</x:f>
        <x:v>1</x:v>
      </x:c>
      <x:c r="I276" s="11" t="n">
        <x:f>$Z$15</x:f>
        <x:v>3.3333333333333335</x:v>
      </x:c>
      <x:c r="J276" s="12">
        <x:f>英雄升级调参!$E$79</x:f>
        <x:v>501</x:v>
      </x:c>
      <x:c r="K276" s="12">
        <x:f>英雄升级调参!$F$79</x:f>
        <x:v>5010</x:v>
      </x:c>
      <x:c r="L276" s="6" t="n">
        <x:f>ROUNDUP(F276/J276,0)</x:f>
        <x:v>4</x:v>
      </x:c>
      <x:c r="M276" s="6" t="n">
        <x:f>IF(G276=0,"无伤害",ROUNDUP(K276/MAX(1,ROUND(G276*$AC$15,0)),0))</x:f>
        <x:v>10</x:v>
      </x:c>
      <x:c r="N276" s="6" t="n">
        <x:f>ROUNDUP(F276/英雄升级调参!$H$79,0)</x:f>
        <x:v>3</x:v>
      </x:c>
      <x:c r="O276" s="6" t="n">
        <x:f>ROUNDUP(F276/英雄升级调参!$K$79,0)</x:f>
        <x:v>2</x:v>
      </x:c>
      <x:c r="P276" s="6" t="str">
        <x:f>$AA$15</x:f>
        <x:v>普通：4次标准普攻击杀；10次主要攻击致死</x:v>
      </x:c>
      <x:c r="Q276" s="6"/>
      <x:c r="R276" s="6"/>
      <x:c r="S276" s="6"/>
      <x:c r="T276" s="6"/>
    </x:row>
    <x:row r="277" ht="21" customHeight="1">
      <x:c r="A277" s="14" t="n">
        <x:f>$V$15</x:f>
        <x:v>60002</x:v>
      </x:c>
      <x:c r="B277" s="14" t="str">
        <x:f>$W$15</x:f>
        <x:v>蘑菇小子</x:v>
      </x:c>
      <x:c r="C277" s="6" t="str">
        <x:f>$X$15</x:f>
        <x:v>普通</x:v>
      </x:c>
      <x:c r="D277" s="6">
        <x:v>15</x:v>
      </x:c>
      <x:c r="E277" s="6">
        <x:v>15</x:v>
      </x:c>
      <x:c r="F277" s="12">
        <x:f>ROUND(J277*$W$4*H277,0)</x:f>
        <x:v>2436</x:v>
      </x:c>
      <x:c r="G277" s="12">
        <x:f>ROUND(J277*$W$4*$W$5*I277,0)</x:f>
        <x:v>609</x:v>
      </x:c>
      <x:c r="H277" s="11" t="n">
        <x:f>$Y$15</x:f>
        <x:v>1</x:v>
      </x:c>
      <x:c r="I277" s="11" t="n">
        <x:f>$Z$15</x:f>
        <x:v>3.3333333333333335</x:v>
      </x:c>
      <x:c r="J277" s="12">
        <x:f>英雄升级调参!$E$80</x:f>
        <x:v>609</x:v>
      </x:c>
      <x:c r="K277" s="12">
        <x:f>英雄升级调参!$F$80</x:f>
        <x:v>6090</x:v>
      </x:c>
      <x:c r="L277" s="6" t="n">
        <x:f>ROUNDUP(F277/J277,0)</x:f>
        <x:v>4</x:v>
      </x:c>
      <x:c r="M277" s="6" t="n">
        <x:f>IF(G277=0,"无伤害",ROUNDUP(K277/MAX(1,ROUND(G277*$AC$15,0)),0))</x:f>
        <x:v>10</x:v>
      </x:c>
      <x:c r="N277" s="6" t="n">
        <x:f>ROUNDUP(F277/英雄升级调参!$H$80,0)</x:f>
        <x:v>3</x:v>
      </x:c>
      <x:c r="O277" s="6" t="n">
        <x:f>ROUNDUP(F277/英雄升级调参!$K$80,0)</x:f>
        <x:v>2</x:v>
      </x:c>
      <x:c r="P277" s="6" t="str">
        <x:f>$AA$15</x:f>
        <x:v>普通：4次标准普攻击杀；10次主要攻击致死</x:v>
      </x:c>
      <x:c r="Q277" s="6"/>
      <x:c r="R277" s="6"/>
      <x:c r="S277" s="6"/>
      <x:c r="T277" s="6"/>
    </x:row>
    <x:row r="278" ht="21" customHeight="1">
      <x:c r="A278" s="14" t="n">
        <x:f>$V$15</x:f>
        <x:v>60002</x:v>
      </x:c>
      <x:c r="B278" s="14" t="str">
        <x:f>$W$15</x:f>
        <x:v>蘑菇小子</x:v>
      </x:c>
      <x:c r="C278" s="6" t="str">
        <x:f>$X$15</x:f>
        <x:v>普通</x:v>
      </x:c>
      <x:c r="D278" s="6">
        <x:v>16</x:v>
      </x:c>
      <x:c r="E278" s="6">
        <x:v>15</x:v>
      </x:c>
      <x:c r="F278" s="12">
        <x:f>ROUND(J278*$W$4*H278,0)</x:f>
        <x:v>2616</x:v>
      </x:c>
      <x:c r="G278" s="12">
        <x:f>ROUND(J278*$W$4*$W$5*I278,0)</x:f>
        <x:v>654</x:v>
      </x:c>
      <x:c r="H278" s="11" t="n">
        <x:f>$Y$15</x:f>
        <x:v>1</x:v>
      </x:c>
      <x:c r="I278" s="11" t="n">
        <x:f>$Z$15</x:f>
        <x:v>3.3333333333333335</x:v>
      </x:c>
      <x:c r="J278" s="12">
        <x:f>英雄升级调参!$E$81</x:f>
        <x:v>654</x:v>
      </x:c>
      <x:c r="K278" s="12">
        <x:f>英雄升级调参!$F$81</x:f>
        <x:v>6540</x:v>
      </x:c>
      <x:c r="L278" s="6" t="n">
        <x:f>ROUNDUP(F278/J278,0)</x:f>
        <x:v>4</x:v>
      </x:c>
      <x:c r="M278" s="6" t="n">
        <x:f>IF(G278=0,"无伤害",ROUNDUP(K278/MAX(1,ROUND(G278*$AC$15,0)),0))</x:f>
        <x:v>10</x:v>
      </x:c>
      <x:c r="N278" s="6" t="n">
        <x:f>ROUNDUP(F278/英雄升级调参!$H$81,0)</x:f>
        <x:v>3</x:v>
      </x:c>
      <x:c r="O278" s="6" t="n">
        <x:f>ROUNDUP(F278/英雄升级调参!$K$81,0)</x:f>
        <x:v>2</x:v>
      </x:c>
      <x:c r="P278" s="6" t="str">
        <x:f>$AA$15</x:f>
        <x:v>普通：4次标准普攻击杀；10次主要攻击致死</x:v>
      </x:c>
      <x:c r="Q278" s="6"/>
      <x:c r="R278" s="6"/>
      <x:c r="S278" s="6"/>
      <x:c r="T278" s="6"/>
    </x:row>
    <x:row r="279" ht="21" customHeight="1">
      <x:c r="A279" s="14" t="n">
        <x:f>$V$15</x:f>
        <x:v>60002</x:v>
      </x:c>
      <x:c r="B279" s="14" t="str">
        <x:f>$W$15</x:f>
        <x:v>蘑菇小子</x:v>
      </x:c>
      <x:c r="C279" s="6" t="str">
        <x:f>$X$15</x:f>
        <x:v>普通</x:v>
      </x:c>
      <x:c r="D279" s="6">
        <x:v>17</x:v>
      </x:c>
      <x:c r="E279" s="6">
        <x:v>15</x:v>
      </x:c>
      <x:c r="F279" s="12">
        <x:f>ROUND(J279*$W$4*H279,0)</x:f>
        <x:v>2796</x:v>
      </x:c>
      <x:c r="G279" s="12">
        <x:f>ROUND(J279*$W$4*$W$5*I279,0)</x:f>
        <x:v>699</x:v>
      </x:c>
      <x:c r="H279" s="11" t="n">
        <x:f>$Y$15</x:f>
        <x:v>1</x:v>
      </x:c>
      <x:c r="I279" s="11" t="n">
        <x:f>$Z$15</x:f>
        <x:v>3.3333333333333335</x:v>
      </x:c>
      <x:c r="J279" s="12">
        <x:f>英雄升级调参!$E$82</x:f>
        <x:v>699</x:v>
      </x:c>
      <x:c r="K279" s="12">
        <x:f>英雄升级调参!$F$82</x:f>
        <x:v>6990</x:v>
      </x:c>
      <x:c r="L279" s="6" t="n">
        <x:f>ROUNDUP(F279/J279,0)</x:f>
        <x:v>4</x:v>
      </x:c>
      <x:c r="M279" s="6" t="n">
        <x:f>IF(G279=0,"无伤害",ROUNDUP(K279/MAX(1,ROUND(G279*$AC$15,0)),0))</x:f>
        <x:v>10</x:v>
      </x:c>
      <x:c r="N279" s="6" t="n">
        <x:f>ROUNDUP(F279/英雄升级调参!$H$82,0)</x:f>
        <x:v>3</x:v>
      </x:c>
      <x:c r="O279" s="6" t="n">
        <x:f>ROUNDUP(F279/英雄升级调参!$K$82,0)</x:f>
        <x:v>2</x:v>
      </x:c>
      <x:c r="P279" s="6" t="str">
        <x:f>$AA$15</x:f>
        <x:v>普通：4次标准普攻击杀；10次主要攻击致死</x:v>
      </x:c>
      <x:c r="Q279" s="6"/>
      <x:c r="R279" s="6"/>
      <x:c r="S279" s="6"/>
      <x:c r="T279" s="6"/>
    </x:row>
    <x:row r="280" ht="21" customHeight="1">
      <x:c r="A280" s="14" t="n">
        <x:f>$V$15</x:f>
        <x:v>60002</x:v>
      </x:c>
      <x:c r="B280" s="14" t="str">
        <x:f>$W$15</x:f>
        <x:v>蘑菇小子</x:v>
      </x:c>
      <x:c r="C280" s="6" t="str">
        <x:f>$X$15</x:f>
        <x:v>普通</x:v>
      </x:c>
      <x:c r="D280" s="6">
        <x:v>18</x:v>
      </x:c>
      <x:c r="E280" s="6">
        <x:v>15</x:v>
      </x:c>
      <x:c r="F280" s="12">
        <x:f>ROUND(J280*$W$4*H280,0)</x:f>
        <x:v>2976</x:v>
      </x:c>
      <x:c r="G280" s="12">
        <x:f>ROUND(J280*$W$4*$W$5*I280,0)</x:f>
        <x:v>744</x:v>
      </x:c>
      <x:c r="H280" s="11" t="n">
        <x:f>$Y$15</x:f>
        <x:v>1</x:v>
      </x:c>
      <x:c r="I280" s="11" t="n">
        <x:f>$Z$15</x:f>
        <x:v>3.3333333333333335</x:v>
      </x:c>
      <x:c r="J280" s="12">
        <x:f>英雄升级调参!$E$83</x:f>
        <x:v>744</x:v>
      </x:c>
      <x:c r="K280" s="12">
        <x:f>英雄升级调参!$F$83</x:f>
        <x:v>7440</x:v>
      </x:c>
      <x:c r="L280" s="6" t="n">
        <x:f>ROUNDUP(F280/J280,0)</x:f>
        <x:v>4</x:v>
      </x:c>
      <x:c r="M280" s="6" t="n">
        <x:f>IF(G280=0,"无伤害",ROUNDUP(K280/MAX(1,ROUND(G280*$AC$15,0)),0))</x:f>
        <x:v>10</x:v>
      </x:c>
      <x:c r="N280" s="6" t="n">
        <x:f>ROUNDUP(F280/英雄升级调参!$H$83,0)</x:f>
        <x:v>3</x:v>
      </x:c>
      <x:c r="O280" s="6" t="n">
        <x:f>ROUNDUP(F280/英雄升级调参!$K$83,0)</x:f>
        <x:v>2</x:v>
      </x:c>
      <x:c r="P280" s="6" t="str">
        <x:f>$AA$15</x:f>
        <x:v>普通：4次标准普攻击杀；10次主要攻击致死</x:v>
      </x:c>
      <x:c r="Q280" s="6"/>
      <x:c r="R280" s="6"/>
      <x:c r="S280" s="6"/>
      <x:c r="T280" s="6"/>
    </x:row>
    <x:row r="281" ht="21" customHeight="1">
      <x:c r="A281" s="14" t="n">
        <x:f>$V$15</x:f>
        <x:v>60002</x:v>
      </x:c>
      <x:c r="B281" s="14" t="str">
        <x:f>$W$15</x:f>
        <x:v>蘑菇小子</x:v>
      </x:c>
      <x:c r="C281" s="6" t="str">
        <x:f>$X$15</x:f>
        <x:v>普通</x:v>
      </x:c>
      <x:c r="D281" s="6">
        <x:v>19</x:v>
      </x:c>
      <x:c r="E281" s="6">
        <x:v>15</x:v>
      </x:c>
      <x:c r="F281" s="12">
        <x:f>ROUND(J281*$W$4*H281,0)</x:f>
        <x:v>3156</x:v>
      </x:c>
      <x:c r="G281" s="12">
        <x:f>ROUND(J281*$W$4*$W$5*I281,0)</x:f>
        <x:v>789</x:v>
      </x:c>
      <x:c r="H281" s="11" t="n">
        <x:f>$Y$15</x:f>
        <x:v>1</x:v>
      </x:c>
      <x:c r="I281" s="11" t="n">
        <x:f>$Z$15</x:f>
        <x:v>3.3333333333333335</x:v>
      </x:c>
      <x:c r="J281" s="12">
        <x:f>英雄升级调参!$E$84</x:f>
        <x:v>789</x:v>
      </x:c>
      <x:c r="K281" s="12">
        <x:f>英雄升级调参!$F$84</x:f>
        <x:v>7890</x:v>
      </x:c>
      <x:c r="L281" s="6" t="n">
        <x:f>ROUNDUP(F281/J281,0)</x:f>
        <x:v>4</x:v>
      </x:c>
      <x:c r="M281" s="6" t="n">
        <x:f>IF(G281=0,"无伤害",ROUNDUP(K281/MAX(1,ROUND(G281*$AC$15,0)),0))</x:f>
        <x:v>10</x:v>
      </x:c>
      <x:c r="N281" s="6" t="n">
        <x:f>ROUNDUP(F281/英雄升级调参!$H$84,0)</x:f>
        <x:v>3</x:v>
      </x:c>
      <x:c r="O281" s="6" t="n">
        <x:f>ROUNDUP(F281/英雄升级调参!$K$84,0)</x:f>
        <x:v>2</x:v>
      </x:c>
      <x:c r="P281" s="6" t="str">
        <x:f>$AA$15</x:f>
        <x:v>普通：4次标准普攻击杀；10次主要攻击致死</x:v>
      </x:c>
      <x:c r="Q281" s="6"/>
      <x:c r="R281" s="6"/>
      <x:c r="S281" s="6"/>
      <x:c r="T281" s="6"/>
    </x:row>
    <x:row r="282" ht="21" customHeight="1">
      <x:c r="A282" s="14" t="n">
        <x:f>$V$15</x:f>
        <x:v>60002</x:v>
      </x:c>
      <x:c r="B282" s="14" t="str">
        <x:f>$W$15</x:f>
        <x:v>蘑菇小子</x:v>
      </x:c>
      <x:c r="C282" s="6" t="str">
        <x:f>$X$15</x:f>
        <x:v>普通</x:v>
      </x:c>
      <x:c r="D282" s="6">
        <x:v>20</x:v>
      </x:c>
      <x:c r="E282" s="6">
        <x:v>15</x:v>
      </x:c>
      <x:c r="F282" s="12">
        <x:f>ROUND(J282*$W$4*H282,0)</x:f>
        <x:v>3696</x:v>
      </x:c>
      <x:c r="G282" s="12">
        <x:f>ROUND(J282*$W$4*$W$5*I282,0)</x:f>
        <x:v>924</x:v>
      </x:c>
      <x:c r="H282" s="11" t="n">
        <x:f>$Y$15</x:f>
        <x:v>1</x:v>
      </x:c>
      <x:c r="I282" s="11" t="n">
        <x:f>$Z$15</x:f>
        <x:v>3.3333333333333335</x:v>
      </x:c>
      <x:c r="J282" s="12">
        <x:f>英雄升级调参!$E$85</x:f>
        <x:v>924</x:v>
      </x:c>
      <x:c r="K282" s="12">
        <x:f>英雄升级调参!$F$85</x:f>
        <x:v>9240</x:v>
      </x:c>
      <x:c r="L282" s="6" t="n">
        <x:f>ROUNDUP(F282/J282,0)</x:f>
        <x:v>4</x:v>
      </x:c>
      <x:c r="M282" s="6" t="n">
        <x:f>IF(G282=0,"无伤害",ROUNDUP(K282/MAX(1,ROUND(G282*$AC$15,0)),0))</x:f>
        <x:v>10</x:v>
      </x:c>
      <x:c r="N282" s="6" t="n">
        <x:f>ROUNDUP(F282/英雄升级调参!$H$85,0)</x:f>
        <x:v>3</x:v>
      </x:c>
      <x:c r="O282" s="6" t="n">
        <x:f>ROUNDUP(F282/英雄升级调参!$K$85,0)</x:f>
        <x:v>2</x:v>
      </x:c>
      <x:c r="P282" s="6" t="str">
        <x:f>$AA$15</x:f>
        <x:v>普通：4次标准普攻击杀；10次主要攻击致死</x:v>
      </x:c>
      <x:c r="Q282" s="6"/>
      <x:c r="R282" s="6"/>
      <x:c r="S282" s="6"/>
      <x:c r="T282" s="6"/>
    </x:row>
    <x:row r="283" ht="21" customHeight="1">
      <x:c r="A283" s="14" t="n">
        <x:f>$V$15</x:f>
        <x:v>60002</x:v>
      </x:c>
      <x:c r="B283" s="14" t="str">
        <x:f>$W$15</x:f>
        <x:v>蘑菇小子</x:v>
      </x:c>
      <x:c r="C283" s="6" t="str">
        <x:f>$X$15</x:f>
        <x:v>普通</x:v>
      </x:c>
      <x:c r="D283" s="6">
        <x:v>21</x:v>
      </x:c>
      <x:c r="E283" s="6">
        <x:v>15</x:v>
      </x:c>
      <x:c r="F283" s="12">
        <x:f>ROUND(J283*$W$4*H283,0)</x:f>
        <x:v>3912</x:v>
      </x:c>
      <x:c r="G283" s="12">
        <x:f>ROUND(J283*$W$4*$W$5*I283,0)</x:f>
        <x:v>978</x:v>
      </x:c>
      <x:c r="H283" s="11" t="n">
        <x:f>$Y$15</x:f>
        <x:v>1</x:v>
      </x:c>
      <x:c r="I283" s="11" t="n">
        <x:f>$Z$15</x:f>
        <x:v>3.3333333333333335</x:v>
      </x:c>
      <x:c r="J283" s="12">
        <x:f>英雄升级调参!$E$86</x:f>
        <x:v>978</x:v>
      </x:c>
      <x:c r="K283" s="12">
        <x:f>英雄升级调参!$F$86</x:f>
        <x:v>9780</x:v>
      </x:c>
      <x:c r="L283" s="6" t="n">
        <x:f>ROUNDUP(F283/J283,0)</x:f>
        <x:v>4</x:v>
      </x:c>
      <x:c r="M283" s="6" t="n">
        <x:f>IF(G283=0,"无伤害",ROUNDUP(K283/MAX(1,ROUND(G283*$AC$15,0)),0))</x:f>
        <x:v>10</x:v>
      </x:c>
      <x:c r="N283" s="6" t="n">
        <x:f>ROUNDUP(F283/英雄升级调参!$H$86,0)</x:f>
        <x:v>3</x:v>
      </x:c>
      <x:c r="O283" s="6" t="n">
        <x:f>ROUNDUP(F283/英雄升级调参!$K$86,0)</x:f>
        <x:v>2</x:v>
      </x:c>
      <x:c r="P283" s="6" t="str">
        <x:f>$AA$15</x:f>
        <x:v>普通：4次标准普攻击杀；10次主要攻击致死</x:v>
      </x:c>
      <x:c r="Q283" s="6"/>
      <x:c r="R283" s="6"/>
      <x:c r="S283" s="6"/>
      <x:c r="T283" s="6"/>
    </x:row>
    <x:row r="284" ht="21" customHeight="1">
      <x:c r="A284" s="14" t="n">
        <x:f>$V$15</x:f>
        <x:v>60002</x:v>
      </x:c>
      <x:c r="B284" s="14" t="str">
        <x:f>$W$15</x:f>
        <x:v>蘑菇小子</x:v>
      </x:c>
      <x:c r="C284" s="6" t="str">
        <x:f>$X$15</x:f>
        <x:v>普通</x:v>
      </x:c>
      <x:c r="D284" s="6">
        <x:v>22</x:v>
      </x:c>
      <x:c r="E284" s="6">
        <x:v>15</x:v>
      </x:c>
      <x:c r="F284" s="12">
        <x:f>ROUND(J284*$W$4*H284,0)</x:f>
        <x:v>4128</x:v>
      </x:c>
      <x:c r="G284" s="12">
        <x:f>ROUND(J284*$W$4*$W$5*I284,0)</x:f>
        <x:v>1032</x:v>
      </x:c>
      <x:c r="H284" s="11" t="n">
        <x:f>$Y$15</x:f>
        <x:v>1</x:v>
      </x:c>
      <x:c r="I284" s="11" t="n">
        <x:f>$Z$15</x:f>
        <x:v>3.3333333333333335</x:v>
      </x:c>
      <x:c r="J284" s="12">
        <x:f>英雄升级调参!$E$87</x:f>
        <x:v>1032</x:v>
      </x:c>
      <x:c r="K284" s="12">
        <x:f>英雄升级调参!$F$87</x:f>
        <x:v>10320</x:v>
      </x:c>
      <x:c r="L284" s="6" t="n">
        <x:f>ROUNDUP(F284/J284,0)</x:f>
        <x:v>4</x:v>
      </x:c>
      <x:c r="M284" s="6" t="n">
        <x:f>IF(G284=0,"无伤害",ROUNDUP(K284/MAX(1,ROUND(G284*$AC$15,0)),0))</x:f>
        <x:v>10</x:v>
      </x:c>
      <x:c r="N284" s="6" t="n">
        <x:f>ROUNDUP(F284/英雄升级调参!$H$87,0)</x:f>
        <x:v>3</x:v>
      </x:c>
      <x:c r="O284" s="6" t="n">
        <x:f>ROUNDUP(F284/英雄升级调参!$K$87,0)</x:f>
        <x:v>2</x:v>
      </x:c>
      <x:c r="P284" s="6" t="str">
        <x:f>$AA$15</x:f>
        <x:v>普通：4次标准普攻击杀；10次主要攻击致死</x:v>
      </x:c>
      <x:c r="Q284" s="6"/>
      <x:c r="R284" s="6"/>
      <x:c r="S284" s="6"/>
      <x:c r="T284" s="6"/>
    </x:row>
    <x:row r="285" ht="21" customHeight="1">
      <x:c r="A285" s="14" t="n">
        <x:f>$V$15</x:f>
        <x:v>60002</x:v>
      </x:c>
      <x:c r="B285" s="14" t="str">
        <x:f>$W$15</x:f>
        <x:v>蘑菇小子</x:v>
      </x:c>
      <x:c r="C285" s="6" t="str">
        <x:f>$X$15</x:f>
        <x:v>普通</x:v>
      </x:c>
      <x:c r="D285" s="6">
        <x:v>23</x:v>
      </x:c>
      <x:c r="E285" s="6">
        <x:v>15</x:v>
      </x:c>
      <x:c r="F285" s="12">
        <x:f>ROUND(J285*$W$4*H285,0)</x:f>
        <x:v>4344</x:v>
      </x:c>
      <x:c r="G285" s="12">
        <x:f>ROUND(J285*$W$4*$W$5*I285,0)</x:f>
        <x:v>1086</x:v>
      </x:c>
      <x:c r="H285" s="11" t="n">
        <x:f>$Y$15</x:f>
        <x:v>1</x:v>
      </x:c>
      <x:c r="I285" s="11" t="n">
        <x:f>$Z$15</x:f>
        <x:v>3.3333333333333335</x:v>
      </x:c>
      <x:c r="J285" s="12">
        <x:f>英雄升级调参!$E$88</x:f>
        <x:v>1086</x:v>
      </x:c>
      <x:c r="K285" s="12">
        <x:f>英雄升级调参!$F$88</x:f>
        <x:v>10860</x:v>
      </x:c>
      <x:c r="L285" s="6" t="n">
        <x:f>ROUNDUP(F285/J285,0)</x:f>
        <x:v>4</x:v>
      </x:c>
      <x:c r="M285" s="6" t="n">
        <x:f>IF(G285=0,"无伤害",ROUNDUP(K285/MAX(1,ROUND(G285*$AC$15,0)),0))</x:f>
        <x:v>10</x:v>
      </x:c>
      <x:c r="N285" s="6" t="n">
        <x:f>ROUNDUP(F285/英雄升级调参!$H$88,0)</x:f>
        <x:v>3</x:v>
      </x:c>
      <x:c r="O285" s="6" t="n">
        <x:f>ROUNDUP(F285/英雄升级调参!$K$88,0)</x:f>
        <x:v>2</x:v>
      </x:c>
      <x:c r="P285" s="6" t="str">
        <x:f>$AA$15</x:f>
        <x:v>普通：4次标准普攻击杀；10次主要攻击致死</x:v>
      </x:c>
      <x:c r="Q285" s="6"/>
      <x:c r="R285" s="6"/>
      <x:c r="S285" s="6"/>
      <x:c r="T285" s="6"/>
    </x:row>
    <x:row r="286" ht="21" customHeight="1">
      <x:c r="A286" s="14" t="n">
        <x:f>$V$15</x:f>
        <x:v>60002</x:v>
      </x:c>
      <x:c r="B286" s="14" t="str">
        <x:f>$W$15</x:f>
        <x:v>蘑菇小子</x:v>
      </x:c>
      <x:c r="C286" s="6" t="str">
        <x:f>$X$15</x:f>
        <x:v>普通</x:v>
      </x:c>
      <x:c r="D286" s="6">
        <x:v>24</x:v>
      </x:c>
      <x:c r="E286" s="6">
        <x:v>15</x:v>
      </x:c>
      <x:c r="F286" s="12">
        <x:f>ROUND(J286*$W$4*H286,0)</x:f>
        <x:v>4560</x:v>
      </x:c>
      <x:c r="G286" s="12">
        <x:f>ROUND(J286*$W$4*$W$5*I286,0)</x:f>
        <x:v>1140</x:v>
      </x:c>
      <x:c r="H286" s="11" t="n">
        <x:f>$Y$15</x:f>
        <x:v>1</x:v>
      </x:c>
      <x:c r="I286" s="11" t="n">
        <x:f>$Z$15</x:f>
        <x:v>3.3333333333333335</x:v>
      </x:c>
      <x:c r="J286" s="12">
        <x:f>英雄升级调参!$E$89</x:f>
        <x:v>1140</x:v>
      </x:c>
      <x:c r="K286" s="12">
        <x:f>英雄升级调参!$F$89</x:f>
        <x:v>11400</x:v>
      </x:c>
      <x:c r="L286" s="6" t="n">
        <x:f>ROUNDUP(F286/J286,0)</x:f>
        <x:v>4</x:v>
      </x:c>
      <x:c r="M286" s="6" t="n">
        <x:f>IF(G286=0,"无伤害",ROUNDUP(K286/MAX(1,ROUND(G286*$AC$15,0)),0))</x:f>
        <x:v>10</x:v>
      </x:c>
      <x:c r="N286" s="6" t="n">
        <x:f>ROUNDUP(F286/英雄升级调参!$H$89,0)</x:f>
        <x:v>3</x:v>
      </x:c>
      <x:c r="O286" s="6" t="n">
        <x:f>ROUNDUP(F286/英雄升级调参!$K$89,0)</x:f>
        <x:v>2</x:v>
      </x:c>
      <x:c r="P286" s="6" t="str">
        <x:f>$AA$15</x:f>
        <x:v>普通：4次标准普攻击杀；10次主要攻击致死</x:v>
      </x:c>
      <x:c r="Q286" s="6"/>
      <x:c r="R286" s="6"/>
      <x:c r="S286" s="6"/>
      <x:c r="T286" s="6"/>
    </x:row>
    <x:row r="287" ht="21" customHeight="1">
      <x:c r="A287" s="14" t="n">
        <x:f>$V$15</x:f>
        <x:v>60002</x:v>
      </x:c>
      <x:c r="B287" s="14" t="str">
        <x:f>$W$15</x:f>
        <x:v>蘑菇小子</x:v>
      </x:c>
      <x:c r="C287" s="6" t="str">
        <x:f>$X$15</x:f>
        <x:v>普通</x:v>
      </x:c>
      <x:c r="D287" s="6">
        <x:v>25</x:v>
      </x:c>
      <x:c r="E287" s="6">
        <x:v>15</x:v>
      </x:c>
      <x:c r="F287" s="12">
        <x:f>ROUND(J287*$W$4*H287,0)</x:f>
        <x:v>5208</x:v>
      </x:c>
      <x:c r="G287" s="12">
        <x:f>ROUND(J287*$W$4*$W$5*I287,0)</x:f>
        <x:v>1302</x:v>
      </x:c>
      <x:c r="H287" s="11" t="n">
        <x:f>$Y$15</x:f>
        <x:v>1</x:v>
      </x:c>
      <x:c r="I287" s="11" t="n">
        <x:f>$Z$15</x:f>
        <x:v>3.3333333333333335</x:v>
      </x:c>
      <x:c r="J287" s="12">
        <x:f>英雄升级调参!$E$90</x:f>
        <x:v>1302</x:v>
      </x:c>
      <x:c r="K287" s="12">
        <x:f>英雄升级调参!$F$90</x:f>
        <x:v>13020</x:v>
      </x:c>
      <x:c r="L287" s="6" t="n">
        <x:f>ROUNDUP(F287/J287,0)</x:f>
        <x:v>4</x:v>
      </x:c>
      <x:c r="M287" s="6" t="n">
        <x:f>IF(G287=0,"无伤害",ROUNDUP(K287/MAX(1,ROUND(G287*$AC$15,0)),0))</x:f>
        <x:v>10</x:v>
      </x:c>
      <x:c r="N287" s="6" t="n">
        <x:f>ROUNDUP(F287/英雄升级调参!$H$90,0)</x:f>
        <x:v>3</x:v>
      </x:c>
      <x:c r="O287" s="6" t="n">
        <x:f>ROUNDUP(F287/英雄升级调参!$K$90,0)</x:f>
        <x:v>2</x:v>
      </x:c>
      <x:c r="P287" s="6" t="str">
        <x:f>$AA$15</x:f>
        <x:v>普通：4次标准普攻击杀；10次主要攻击致死</x:v>
      </x:c>
      <x:c r="Q287" s="6"/>
      <x:c r="R287" s="6"/>
      <x:c r="S287" s="6"/>
      <x:c r="T287" s="6"/>
    </x:row>
    <x:row r="288" ht="21" customHeight="1">
      <x:c r="A288" s="14" t="n">
        <x:f>$V$15</x:f>
        <x:v>60002</x:v>
      </x:c>
      <x:c r="B288" s="14" t="str">
        <x:f>$W$15</x:f>
        <x:v>蘑菇小子</x:v>
      </x:c>
      <x:c r="C288" s="6" t="str">
        <x:f>$X$15</x:f>
        <x:v>普通</x:v>
      </x:c>
      <x:c r="D288" s="6">
        <x:v>26</x:v>
      </x:c>
      <x:c r="E288" s="6">
        <x:v>15</x:v>
      </x:c>
      <x:c r="F288" s="12">
        <x:f>ROUND(J288*$W$4*H288,0)</x:f>
        <x:v>5460</x:v>
      </x:c>
      <x:c r="G288" s="12">
        <x:f>ROUND(J288*$W$4*$W$5*I288,0)</x:f>
        <x:v>1365</x:v>
      </x:c>
      <x:c r="H288" s="11" t="n">
        <x:f>$Y$15</x:f>
        <x:v>1</x:v>
      </x:c>
      <x:c r="I288" s="11" t="n">
        <x:f>$Z$15</x:f>
        <x:v>3.3333333333333335</x:v>
      </x:c>
      <x:c r="J288" s="12">
        <x:f>英雄升级调参!$E$91</x:f>
        <x:v>1365</x:v>
      </x:c>
      <x:c r="K288" s="12">
        <x:f>英雄升级调参!$F$91</x:f>
        <x:v>13650</x:v>
      </x:c>
      <x:c r="L288" s="6" t="n">
        <x:f>ROUNDUP(F288/J288,0)</x:f>
        <x:v>4</x:v>
      </x:c>
      <x:c r="M288" s="6" t="n">
        <x:f>IF(G288=0,"无伤害",ROUNDUP(K288/MAX(1,ROUND(G288*$AC$15,0)),0))</x:f>
        <x:v>10</x:v>
      </x:c>
      <x:c r="N288" s="6" t="n">
        <x:f>ROUNDUP(F288/英雄升级调参!$H$91,0)</x:f>
        <x:v>3</x:v>
      </x:c>
      <x:c r="O288" s="6" t="n">
        <x:f>ROUNDUP(F288/英雄升级调参!$K$91,0)</x:f>
        <x:v>2</x:v>
      </x:c>
      <x:c r="P288" s="6" t="str">
        <x:f>$AA$15</x:f>
        <x:v>普通：4次标准普攻击杀；10次主要攻击致死</x:v>
      </x:c>
      <x:c r="Q288" s="6"/>
      <x:c r="R288" s="6"/>
      <x:c r="S288" s="6"/>
      <x:c r="T288" s="6"/>
    </x:row>
    <x:row r="289" ht="21" customHeight="1">
      <x:c r="A289" s="14" t="n">
        <x:f>$V$15</x:f>
        <x:v>60002</x:v>
      </x:c>
      <x:c r="B289" s="14" t="str">
        <x:f>$W$15</x:f>
        <x:v>蘑菇小子</x:v>
      </x:c>
      <x:c r="C289" s="6" t="str">
        <x:f>$X$15</x:f>
        <x:v>普通</x:v>
      </x:c>
      <x:c r="D289" s="6">
        <x:v>27</x:v>
      </x:c>
      <x:c r="E289" s="6">
        <x:v>15</x:v>
      </x:c>
      <x:c r="F289" s="12">
        <x:f>ROUND(J289*$W$4*H289,0)</x:f>
        <x:v>5712</x:v>
      </x:c>
      <x:c r="G289" s="12">
        <x:f>ROUND(J289*$W$4*$W$5*I289,0)</x:f>
        <x:v>1428</x:v>
      </x:c>
      <x:c r="H289" s="11" t="n">
        <x:f>$Y$15</x:f>
        <x:v>1</x:v>
      </x:c>
      <x:c r="I289" s="11" t="n">
        <x:f>$Z$15</x:f>
        <x:v>3.3333333333333335</x:v>
      </x:c>
      <x:c r="J289" s="12">
        <x:f>英雄升级调参!$E$92</x:f>
        <x:v>1428</x:v>
      </x:c>
      <x:c r="K289" s="12">
        <x:f>英雄升级调参!$F$92</x:f>
        <x:v>14280</x:v>
      </x:c>
      <x:c r="L289" s="6" t="n">
        <x:f>ROUNDUP(F289/J289,0)</x:f>
        <x:v>4</x:v>
      </x:c>
      <x:c r="M289" s="6" t="n">
        <x:f>IF(G289=0,"无伤害",ROUNDUP(K289/MAX(1,ROUND(G289*$AC$15,0)),0))</x:f>
        <x:v>10</x:v>
      </x:c>
      <x:c r="N289" s="6" t="n">
        <x:f>ROUNDUP(F289/英雄升级调参!$H$92,0)</x:f>
        <x:v>3</x:v>
      </x:c>
      <x:c r="O289" s="6" t="n">
        <x:f>ROUNDUP(F289/英雄升级调参!$K$92,0)</x:f>
        <x:v>2</x:v>
      </x:c>
      <x:c r="P289" s="6" t="str">
        <x:f>$AA$15</x:f>
        <x:v>普通：4次标准普攻击杀；10次主要攻击致死</x:v>
      </x:c>
      <x:c r="Q289" s="6"/>
      <x:c r="R289" s="6"/>
      <x:c r="S289" s="6"/>
      <x:c r="T289" s="6"/>
    </x:row>
    <x:row r="290" ht="21" customHeight="1">
      <x:c r="A290" s="14" t="n">
        <x:f>$V$15</x:f>
        <x:v>60002</x:v>
      </x:c>
      <x:c r="B290" s="14" t="str">
        <x:f>$W$15</x:f>
        <x:v>蘑菇小子</x:v>
      </x:c>
      <x:c r="C290" s="6" t="str">
        <x:f>$X$15</x:f>
        <x:v>普通</x:v>
      </x:c>
      <x:c r="D290" s="6">
        <x:v>28</x:v>
      </x:c>
      <x:c r="E290" s="6">
        <x:v>15</x:v>
      </x:c>
      <x:c r="F290" s="12">
        <x:f>ROUND(J290*$W$4*H290,0)</x:f>
        <x:v>5964</x:v>
      </x:c>
      <x:c r="G290" s="12">
        <x:f>ROUND(J290*$W$4*$W$5*I290,0)</x:f>
        <x:v>1491</x:v>
      </x:c>
      <x:c r="H290" s="11" t="n">
        <x:f>$Y$15</x:f>
        <x:v>1</x:v>
      </x:c>
      <x:c r="I290" s="11" t="n">
        <x:f>$Z$15</x:f>
        <x:v>3.3333333333333335</x:v>
      </x:c>
      <x:c r="J290" s="12">
        <x:f>英雄升级调参!$E$93</x:f>
        <x:v>1491</x:v>
      </x:c>
      <x:c r="K290" s="12">
        <x:f>英雄升级调参!$F$93</x:f>
        <x:v>14910</x:v>
      </x:c>
      <x:c r="L290" s="6" t="n">
        <x:f>ROUNDUP(F290/J290,0)</x:f>
        <x:v>4</x:v>
      </x:c>
      <x:c r="M290" s="6" t="n">
        <x:f>IF(G290=0,"无伤害",ROUNDUP(K290/MAX(1,ROUND(G290*$AC$15,0)),0))</x:f>
        <x:v>10</x:v>
      </x:c>
      <x:c r="N290" s="6" t="n">
        <x:f>ROUNDUP(F290/英雄升级调参!$H$93,0)</x:f>
        <x:v>3</x:v>
      </x:c>
      <x:c r="O290" s="6" t="n">
        <x:f>ROUNDUP(F290/英雄升级调参!$K$93,0)</x:f>
        <x:v>2</x:v>
      </x:c>
      <x:c r="P290" s="6" t="str">
        <x:f>$AA$15</x:f>
        <x:v>普通：4次标准普攻击杀；10次主要攻击致死</x:v>
      </x:c>
      <x:c r="Q290" s="6"/>
      <x:c r="R290" s="6"/>
      <x:c r="S290" s="6"/>
      <x:c r="T290" s="6"/>
    </x:row>
    <x:row r="291" ht="21" customHeight="1">
      <x:c r="A291" s="14" t="n">
        <x:f>$V$15</x:f>
        <x:v>60002</x:v>
      </x:c>
      <x:c r="B291" s="14" t="str">
        <x:f>$W$15</x:f>
        <x:v>蘑菇小子</x:v>
      </x:c>
      <x:c r="C291" s="6" t="str">
        <x:f>$X$15</x:f>
        <x:v>普通</x:v>
      </x:c>
      <x:c r="D291" s="6">
        <x:v>29</x:v>
      </x:c>
      <x:c r="E291" s="6">
        <x:v>15</x:v>
      </x:c>
      <x:c r="F291" s="12">
        <x:f>ROUND(J291*$W$4*H291,0)</x:f>
        <x:v>6216</x:v>
      </x:c>
      <x:c r="G291" s="12">
        <x:f>ROUND(J291*$W$4*$W$5*I291,0)</x:f>
        <x:v>1554</x:v>
      </x:c>
      <x:c r="H291" s="11" t="n">
        <x:f>$Y$15</x:f>
        <x:v>1</x:v>
      </x:c>
      <x:c r="I291" s="11" t="n">
        <x:f>$Z$15</x:f>
        <x:v>3.3333333333333335</x:v>
      </x:c>
      <x:c r="J291" s="12">
        <x:f>英雄升级调参!$E$94</x:f>
        <x:v>1554</x:v>
      </x:c>
      <x:c r="K291" s="12">
        <x:f>英雄升级调参!$F$94</x:f>
        <x:v>15540</x:v>
      </x:c>
      <x:c r="L291" s="6" t="n">
        <x:f>ROUNDUP(F291/J291,0)</x:f>
        <x:v>4</x:v>
      </x:c>
      <x:c r="M291" s="6" t="n">
        <x:f>IF(G291=0,"无伤害",ROUNDUP(K291/MAX(1,ROUND(G291*$AC$15,0)),0))</x:f>
        <x:v>10</x:v>
      </x:c>
      <x:c r="N291" s="6" t="n">
        <x:f>ROUNDUP(F291/英雄升级调参!$H$94,0)</x:f>
        <x:v>3</x:v>
      </x:c>
      <x:c r="O291" s="6" t="n">
        <x:f>ROUNDUP(F291/英雄升级调参!$K$94,0)</x:f>
        <x:v>2</x:v>
      </x:c>
      <x:c r="P291" s="6" t="str">
        <x:f>$AA$15</x:f>
        <x:v>普通：4次标准普攻击杀；10次主要攻击致死</x:v>
      </x:c>
      <x:c r="Q291" s="6"/>
      <x:c r="R291" s="6"/>
      <x:c r="S291" s="6"/>
      <x:c r="T291" s="6"/>
    </x:row>
    <x:row r="292" ht="21" customHeight="1">
      <x:c r="A292" s="14" t="n">
        <x:f>$V$15</x:f>
        <x:v>60002</x:v>
      </x:c>
      <x:c r="B292" s="14" t="str">
        <x:f>$W$15</x:f>
        <x:v>蘑菇小子</x:v>
      </x:c>
      <x:c r="C292" s="6" t="str">
        <x:f>$X$15</x:f>
        <x:v>普通</x:v>
      </x:c>
      <x:c r="D292" s="6">
        <x:v>30</x:v>
      </x:c>
      <x:c r="E292" s="6">
        <x:v>15</x:v>
      </x:c>
      <x:c r="F292" s="12">
        <x:f>ROUND(J292*$W$4*H292,0)</x:f>
        <x:v>6972</x:v>
      </x:c>
      <x:c r="G292" s="12">
        <x:f>ROUND(J292*$W$4*$W$5*I292,0)</x:f>
        <x:v>1743</x:v>
      </x:c>
      <x:c r="H292" s="11" t="n">
        <x:f>$Y$15</x:f>
        <x:v>1</x:v>
      </x:c>
      <x:c r="I292" s="11" t="n">
        <x:f>$Z$15</x:f>
        <x:v>3.3333333333333335</x:v>
      </x:c>
      <x:c r="J292" s="12">
        <x:f>英雄升级调参!$E$95</x:f>
        <x:v>1743</x:v>
      </x:c>
      <x:c r="K292" s="12">
        <x:f>英雄升级调参!$F$95</x:f>
        <x:v>17430</x:v>
      </x:c>
      <x:c r="L292" s="6" t="n">
        <x:f>ROUNDUP(F292/J292,0)</x:f>
        <x:v>4</x:v>
      </x:c>
      <x:c r="M292" s="6" t="n">
        <x:f>IF(G292=0,"无伤害",ROUNDUP(K292/MAX(1,ROUND(G292*$AC$15,0)),0))</x:f>
        <x:v>10</x:v>
      </x:c>
      <x:c r="N292" s="6" t="n">
        <x:f>ROUNDUP(F292/英雄升级调参!$H$95,0)</x:f>
        <x:v>3</x:v>
      </x:c>
      <x:c r="O292" s="6" t="n">
        <x:f>ROUNDUP(F292/英雄升级调参!$K$95,0)</x:f>
        <x:v>2</x:v>
      </x:c>
      <x:c r="P292" s="6" t="str">
        <x:f>$AA$15</x:f>
        <x:v>普通：4次标准普攻击杀；10次主要攻击致死</x:v>
      </x:c>
      <x:c r="Q292" s="6"/>
      <x:c r="R292" s="6"/>
      <x:c r="S292" s="6"/>
      <x:c r="T292" s="6"/>
    </x:row>
    <x:row r="293" ht="21" customHeight="1">
      <x:c r="A293" s="14" t="n">
        <x:f>$V$15</x:f>
        <x:v>60002</x:v>
      </x:c>
      <x:c r="B293" s="14" t="str">
        <x:f>$W$15</x:f>
        <x:v>蘑菇小子</x:v>
      </x:c>
      <x:c r="C293" s="6" t="str">
        <x:f>$X$15</x:f>
        <x:v>普通</x:v>
      </x:c>
      <x:c r="D293" s="6">
        <x:v>31</x:v>
      </x:c>
      <x:c r="E293" s="6">
        <x:v>15</x:v>
      </x:c>
      <x:c r="F293" s="12">
        <x:f>ROUND(J293*$W$4*H293,0)</x:f>
        <x:v>7260</x:v>
      </x:c>
      <x:c r="G293" s="12">
        <x:f>ROUND(J293*$W$4*$W$5*I293,0)</x:f>
        <x:v>1815</x:v>
      </x:c>
      <x:c r="H293" s="11" t="n">
        <x:f>$Y$15</x:f>
        <x:v>1</x:v>
      </x:c>
      <x:c r="I293" s="11" t="n">
        <x:f>$Z$15</x:f>
        <x:v>3.3333333333333335</x:v>
      </x:c>
      <x:c r="J293" s="12">
        <x:f>英雄升级调参!$E$96</x:f>
        <x:v>1815</x:v>
      </x:c>
      <x:c r="K293" s="12">
        <x:f>英雄升级调参!$F$96</x:f>
        <x:v>18150</x:v>
      </x:c>
      <x:c r="L293" s="6" t="n">
        <x:f>ROUNDUP(F293/J293,0)</x:f>
        <x:v>4</x:v>
      </x:c>
      <x:c r="M293" s="6" t="n">
        <x:f>IF(G293=0,"无伤害",ROUNDUP(K293/MAX(1,ROUND(G293*$AC$15,0)),0))</x:f>
        <x:v>10</x:v>
      </x:c>
      <x:c r="N293" s="6" t="n">
        <x:f>ROUNDUP(F293/英雄升级调参!$H$96,0)</x:f>
        <x:v>3</x:v>
      </x:c>
      <x:c r="O293" s="6" t="n">
        <x:f>ROUNDUP(F293/英雄升级调参!$K$96,0)</x:f>
        <x:v>2</x:v>
      </x:c>
      <x:c r="P293" s="6" t="str">
        <x:f>$AA$15</x:f>
        <x:v>普通：4次标准普攻击杀；10次主要攻击致死</x:v>
      </x:c>
      <x:c r="Q293" s="6"/>
      <x:c r="R293" s="6"/>
      <x:c r="S293" s="6"/>
      <x:c r="T293" s="6"/>
    </x:row>
    <x:row r="294" ht="21" customHeight="1">
      <x:c r="A294" s="14" t="n">
        <x:f>$V$15</x:f>
        <x:v>60002</x:v>
      </x:c>
      <x:c r="B294" s="14" t="str">
        <x:f>$W$15</x:f>
        <x:v>蘑菇小子</x:v>
      </x:c>
      <x:c r="C294" s="6" t="str">
        <x:f>$X$15</x:f>
        <x:v>普通</x:v>
      </x:c>
      <x:c r="D294" s="6">
        <x:v>32</x:v>
      </x:c>
      <x:c r="E294" s="6">
        <x:v>15</x:v>
      </x:c>
      <x:c r="F294" s="12">
        <x:f>ROUND(J294*$W$4*H294,0)</x:f>
        <x:v>7548</x:v>
      </x:c>
      <x:c r="G294" s="12">
        <x:f>ROUND(J294*$W$4*$W$5*I294,0)</x:f>
        <x:v>1887</x:v>
      </x:c>
      <x:c r="H294" s="11" t="n">
        <x:f>$Y$15</x:f>
        <x:v>1</x:v>
      </x:c>
      <x:c r="I294" s="11" t="n">
        <x:f>$Z$15</x:f>
        <x:v>3.3333333333333335</x:v>
      </x:c>
      <x:c r="J294" s="12">
        <x:f>英雄升级调参!$E$97</x:f>
        <x:v>1887</x:v>
      </x:c>
      <x:c r="K294" s="12">
        <x:f>英雄升级调参!$F$97</x:f>
        <x:v>18870</x:v>
      </x:c>
      <x:c r="L294" s="6" t="n">
        <x:f>ROUNDUP(F294/J294,0)</x:f>
        <x:v>4</x:v>
      </x:c>
      <x:c r="M294" s="6" t="n">
        <x:f>IF(G294=0,"无伤害",ROUNDUP(K294/MAX(1,ROUND(G294*$AC$15,0)),0))</x:f>
        <x:v>10</x:v>
      </x:c>
      <x:c r="N294" s="6" t="n">
        <x:f>ROUNDUP(F294/英雄升级调参!$H$97,0)</x:f>
        <x:v>3</x:v>
      </x:c>
      <x:c r="O294" s="6" t="n">
        <x:f>ROUNDUP(F294/英雄升级调参!$K$97,0)</x:f>
        <x:v>2</x:v>
      </x:c>
      <x:c r="P294" s="6" t="str">
        <x:f>$AA$15</x:f>
        <x:v>普通：4次标准普攻击杀；10次主要攻击致死</x:v>
      </x:c>
      <x:c r="Q294" s="6"/>
      <x:c r="R294" s="6"/>
      <x:c r="S294" s="6"/>
      <x:c r="T294" s="6"/>
    </x:row>
    <x:row r="295" ht="21" customHeight="1">
      <x:c r="A295" s="14" t="n">
        <x:f>$V$15</x:f>
        <x:v>60002</x:v>
      </x:c>
      <x:c r="B295" s="14" t="str">
        <x:f>$W$15</x:f>
        <x:v>蘑菇小子</x:v>
      </x:c>
      <x:c r="C295" s="6" t="str">
        <x:f>$X$15</x:f>
        <x:v>普通</x:v>
      </x:c>
      <x:c r="D295" s="6">
        <x:v>33</x:v>
      </x:c>
      <x:c r="E295" s="6">
        <x:v>15</x:v>
      </x:c>
      <x:c r="F295" s="12">
        <x:f>ROUND(J295*$W$4*H295,0)</x:f>
        <x:v>7836</x:v>
      </x:c>
      <x:c r="G295" s="12">
        <x:f>ROUND(J295*$W$4*$W$5*I295,0)</x:f>
        <x:v>1959</x:v>
      </x:c>
      <x:c r="H295" s="11" t="n">
        <x:f>$Y$15</x:f>
        <x:v>1</x:v>
      </x:c>
      <x:c r="I295" s="11" t="n">
        <x:f>$Z$15</x:f>
        <x:v>3.3333333333333335</x:v>
      </x:c>
      <x:c r="J295" s="12">
        <x:f>英雄升级调参!$E$98</x:f>
        <x:v>1959</x:v>
      </x:c>
      <x:c r="K295" s="12">
        <x:f>英雄升级调参!$F$98</x:f>
        <x:v>19590</x:v>
      </x:c>
      <x:c r="L295" s="6" t="n">
        <x:f>ROUNDUP(F295/J295,0)</x:f>
        <x:v>4</x:v>
      </x:c>
      <x:c r="M295" s="6" t="n">
        <x:f>IF(G295=0,"无伤害",ROUNDUP(K295/MAX(1,ROUND(G295*$AC$15,0)),0))</x:f>
        <x:v>10</x:v>
      </x:c>
      <x:c r="N295" s="6" t="n">
        <x:f>ROUNDUP(F295/英雄升级调参!$H$98,0)</x:f>
        <x:v>3</x:v>
      </x:c>
      <x:c r="O295" s="6" t="n">
        <x:f>ROUNDUP(F295/英雄升级调参!$K$98,0)</x:f>
        <x:v>2</x:v>
      </x:c>
      <x:c r="P295" s="6" t="str">
        <x:f>$AA$15</x:f>
        <x:v>普通：4次标准普攻击杀；10次主要攻击致死</x:v>
      </x:c>
      <x:c r="Q295" s="6"/>
      <x:c r="R295" s="6"/>
      <x:c r="S295" s="6"/>
      <x:c r="T295" s="6"/>
    </x:row>
    <x:row r="296" ht="21" customHeight="1">
      <x:c r="A296" s="14" t="n">
        <x:f>$V$15</x:f>
        <x:v>60002</x:v>
      </x:c>
      <x:c r="B296" s="14" t="str">
        <x:f>$W$15</x:f>
        <x:v>蘑菇小子</x:v>
      </x:c>
      <x:c r="C296" s="6" t="str">
        <x:f>$X$15</x:f>
        <x:v>普通</x:v>
      </x:c>
      <x:c r="D296" s="6">
        <x:v>34</x:v>
      </x:c>
      <x:c r="E296" s="6">
        <x:v>15</x:v>
      </x:c>
      <x:c r="F296" s="12">
        <x:f>ROUND(J296*$W$4*H296,0)</x:f>
        <x:v>8124</x:v>
      </x:c>
      <x:c r="G296" s="12">
        <x:f>ROUND(J296*$W$4*$W$5*I296,0)</x:f>
        <x:v>2031</x:v>
      </x:c>
      <x:c r="H296" s="11" t="n">
        <x:f>$Y$15</x:f>
        <x:v>1</x:v>
      </x:c>
      <x:c r="I296" s="11" t="n">
        <x:f>$Z$15</x:f>
        <x:v>3.3333333333333335</x:v>
      </x:c>
      <x:c r="J296" s="12">
        <x:f>英雄升级调参!$E$99</x:f>
        <x:v>2031</x:v>
      </x:c>
      <x:c r="K296" s="12">
        <x:f>英雄升级调参!$F$99</x:f>
        <x:v>20310</x:v>
      </x:c>
      <x:c r="L296" s="6" t="n">
        <x:f>ROUNDUP(F296/J296,0)</x:f>
        <x:v>4</x:v>
      </x:c>
      <x:c r="M296" s="6" t="n">
        <x:f>IF(G296=0,"无伤害",ROUNDUP(K296/MAX(1,ROUND(G296*$AC$15,0)),0))</x:f>
        <x:v>10</x:v>
      </x:c>
      <x:c r="N296" s="6" t="n">
        <x:f>ROUNDUP(F296/英雄升级调参!$H$99,0)</x:f>
        <x:v>3</x:v>
      </x:c>
      <x:c r="O296" s="6" t="n">
        <x:f>ROUNDUP(F296/英雄升级调参!$K$99,0)</x:f>
        <x:v>2</x:v>
      </x:c>
      <x:c r="P296" s="6" t="str">
        <x:f>$AA$15</x:f>
        <x:v>普通：4次标准普攻击杀；10次主要攻击致死</x:v>
      </x:c>
      <x:c r="Q296" s="6"/>
      <x:c r="R296" s="6"/>
      <x:c r="S296" s="6"/>
      <x:c r="T296" s="6"/>
    </x:row>
    <x:row r="297" ht="21" customHeight="1">
      <x:c r="A297" s="14" t="n">
        <x:f>$V$15</x:f>
        <x:v>60002</x:v>
      </x:c>
      <x:c r="B297" s="14" t="str">
        <x:f>$W$15</x:f>
        <x:v>蘑菇小子</x:v>
      </x:c>
      <x:c r="C297" s="6" t="str">
        <x:f>$X$15</x:f>
        <x:v>普通</x:v>
      </x:c>
      <x:c r="D297" s="6">
        <x:v>35</x:v>
      </x:c>
      <x:c r="E297" s="6">
        <x:v>15</x:v>
      </x:c>
      <x:c r="F297" s="12">
        <x:f>ROUND(J297*$W$4*H297,0)</x:f>
        <x:v>8988</x:v>
      </x:c>
      <x:c r="G297" s="12">
        <x:f>ROUND(J297*$W$4*$W$5*I297,0)</x:f>
        <x:v>2247</x:v>
      </x:c>
      <x:c r="H297" s="11" t="n">
        <x:f>$Y$15</x:f>
        <x:v>1</x:v>
      </x:c>
      <x:c r="I297" s="11" t="n">
        <x:f>$Z$15</x:f>
        <x:v>3.3333333333333335</x:v>
      </x:c>
      <x:c r="J297" s="12">
        <x:f>英雄升级调参!$E$100</x:f>
        <x:v>2247</x:v>
      </x:c>
      <x:c r="K297" s="12">
        <x:f>英雄升级调参!$F$100</x:f>
        <x:v>22470</x:v>
      </x:c>
      <x:c r="L297" s="6" t="n">
        <x:f>ROUNDUP(F297/J297,0)</x:f>
        <x:v>4</x:v>
      </x:c>
      <x:c r="M297" s="6" t="n">
        <x:f>IF(G297=0,"无伤害",ROUNDUP(K297/MAX(1,ROUND(G297*$AC$15,0)),0))</x:f>
        <x:v>10</x:v>
      </x:c>
      <x:c r="N297" s="6" t="n">
        <x:f>ROUNDUP(F297/英雄升级调参!$H$100,0)</x:f>
        <x:v>3</x:v>
      </x:c>
      <x:c r="O297" s="6" t="n">
        <x:f>ROUNDUP(F297/英雄升级调参!$K$100,0)</x:f>
        <x:v>2</x:v>
      </x:c>
      <x:c r="P297" s="6" t="str">
        <x:f>$AA$15</x:f>
        <x:v>普通：4次标准普攻击杀；10次主要攻击致死</x:v>
      </x:c>
      <x:c r="Q297" s="6"/>
      <x:c r="R297" s="6"/>
      <x:c r="S297" s="6"/>
      <x:c r="T297" s="6"/>
    </x:row>
    <x:row r="298" ht="21" customHeight="1">
      <x:c r="A298" s="14" t="n">
        <x:f>$V$15</x:f>
        <x:v>60002</x:v>
      </x:c>
      <x:c r="B298" s="14" t="str">
        <x:f>$W$15</x:f>
        <x:v>蘑菇小子</x:v>
      </x:c>
      <x:c r="C298" s="6" t="str">
        <x:f>$X$15</x:f>
        <x:v>普通</x:v>
      </x:c>
      <x:c r="D298" s="6">
        <x:v>36</x:v>
      </x:c>
      <x:c r="E298" s="6">
        <x:v>15</x:v>
      </x:c>
      <x:c r="F298" s="12">
        <x:f>ROUND(J298*$W$4*H298,0)</x:f>
        <x:v>9312</x:v>
      </x:c>
      <x:c r="G298" s="12">
        <x:f>ROUND(J298*$W$4*$W$5*I298,0)</x:f>
        <x:v>2328</x:v>
      </x:c>
      <x:c r="H298" s="11" t="n">
        <x:f>$Y$15</x:f>
        <x:v>1</x:v>
      </x:c>
      <x:c r="I298" s="11" t="n">
        <x:f>$Z$15</x:f>
        <x:v>3.3333333333333335</x:v>
      </x:c>
      <x:c r="J298" s="12">
        <x:f>英雄升级调参!$E$101</x:f>
        <x:v>2328</x:v>
      </x:c>
      <x:c r="K298" s="12">
        <x:f>英雄升级调参!$F$101</x:f>
        <x:v>23280</x:v>
      </x:c>
      <x:c r="L298" s="6" t="n">
        <x:f>ROUNDUP(F298/J298,0)</x:f>
        <x:v>4</x:v>
      </x:c>
      <x:c r="M298" s="6" t="n">
        <x:f>IF(G298=0,"无伤害",ROUNDUP(K298/MAX(1,ROUND(G298*$AC$15,0)),0))</x:f>
        <x:v>10</x:v>
      </x:c>
      <x:c r="N298" s="6" t="n">
        <x:f>ROUNDUP(F298/英雄升级调参!$H$101,0)</x:f>
        <x:v>3</x:v>
      </x:c>
      <x:c r="O298" s="6" t="n">
        <x:f>ROUNDUP(F298/英雄升级调参!$K$101,0)</x:f>
        <x:v>2</x:v>
      </x:c>
      <x:c r="P298" s="6" t="str">
        <x:f>$AA$15</x:f>
        <x:v>普通：4次标准普攻击杀；10次主要攻击致死</x:v>
      </x:c>
      <x:c r="Q298" s="6"/>
      <x:c r="R298" s="6"/>
      <x:c r="S298" s="6"/>
      <x:c r="T298" s="6"/>
    </x:row>
    <x:row r="299" ht="21" customHeight="1">
      <x:c r="A299" s="14" t="n">
        <x:f>$V$15</x:f>
        <x:v>60002</x:v>
      </x:c>
      <x:c r="B299" s="14" t="str">
        <x:f>$W$15</x:f>
        <x:v>蘑菇小子</x:v>
      </x:c>
      <x:c r="C299" s="6" t="str">
        <x:f>$X$15</x:f>
        <x:v>普通</x:v>
      </x:c>
      <x:c r="D299" s="6">
        <x:v>37</x:v>
      </x:c>
      <x:c r="E299" s="6">
        <x:v>15</x:v>
      </x:c>
      <x:c r="F299" s="12">
        <x:f>ROUND(J299*$W$4*H299,0)</x:f>
        <x:v>9636</x:v>
      </x:c>
      <x:c r="G299" s="12">
        <x:f>ROUND(J299*$W$4*$W$5*I299,0)</x:f>
        <x:v>2409</x:v>
      </x:c>
      <x:c r="H299" s="11" t="n">
        <x:f>$Y$15</x:f>
        <x:v>1</x:v>
      </x:c>
      <x:c r="I299" s="11" t="n">
        <x:f>$Z$15</x:f>
        <x:v>3.3333333333333335</x:v>
      </x:c>
      <x:c r="J299" s="12">
        <x:f>英雄升级调参!$E$102</x:f>
        <x:v>2409</x:v>
      </x:c>
      <x:c r="K299" s="12">
        <x:f>英雄升级调参!$F$102</x:f>
        <x:v>24090</x:v>
      </x:c>
      <x:c r="L299" s="6" t="n">
        <x:f>ROUNDUP(F299/J299,0)</x:f>
        <x:v>4</x:v>
      </x:c>
      <x:c r="M299" s="6" t="n">
        <x:f>IF(G299=0,"无伤害",ROUNDUP(K299/MAX(1,ROUND(G299*$AC$15,0)),0))</x:f>
        <x:v>10</x:v>
      </x:c>
      <x:c r="N299" s="6" t="n">
        <x:f>ROUNDUP(F299/英雄升级调参!$H$102,0)</x:f>
        <x:v>3</x:v>
      </x:c>
      <x:c r="O299" s="6" t="n">
        <x:f>ROUNDUP(F299/英雄升级调参!$K$102,0)</x:f>
        <x:v>2</x:v>
      </x:c>
      <x:c r="P299" s="6" t="str">
        <x:f>$AA$15</x:f>
        <x:v>普通：4次标准普攻击杀；10次主要攻击致死</x:v>
      </x:c>
      <x:c r="Q299" s="6"/>
      <x:c r="R299" s="6"/>
      <x:c r="S299" s="6"/>
      <x:c r="T299" s="6"/>
    </x:row>
    <x:row r="300" ht="21" customHeight="1">
      <x:c r="A300" s="14" t="n">
        <x:f>$V$15</x:f>
        <x:v>60002</x:v>
      </x:c>
      <x:c r="B300" s="14" t="str">
        <x:f>$W$15</x:f>
        <x:v>蘑菇小子</x:v>
      </x:c>
      <x:c r="C300" s="6" t="str">
        <x:f>$X$15</x:f>
        <x:v>普通</x:v>
      </x:c>
      <x:c r="D300" s="6">
        <x:v>38</x:v>
      </x:c>
      <x:c r="E300" s="6">
        <x:v>15</x:v>
      </x:c>
      <x:c r="F300" s="12">
        <x:f>ROUND(J300*$W$4*H300,0)</x:f>
        <x:v>9960</x:v>
      </x:c>
      <x:c r="G300" s="12">
        <x:f>ROUND(J300*$W$4*$W$5*I300,0)</x:f>
        <x:v>2490</x:v>
      </x:c>
      <x:c r="H300" s="11" t="n">
        <x:f>$Y$15</x:f>
        <x:v>1</x:v>
      </x:c>
      <x:c r="I300" s="11" t="n">
        <x:f>$Z$15</x:f>
        <x:v>3.3333333333333335</x:v>
      </x:c>
      <x:c r="J300" s="12">
        <x:f>英雄升级调参!$E$103</x:f>
        <x:v>2490</x:v>
      </x:c>
      <x:c r="K300" s="12">
        <x:f>英雄升级调参!$F$103</x:f>
        <x:v>24900</x:v>
      </x:c>
      <x:c r="L300" s="6" t="n">
        <x:f>ROUNDUP(F300/J300,0)</x:f>
        <x:v>4</x:v>
      </x:c>
      <x:c r="M300" s="6" t="n">
        <x:f>IF(G300=0,"无伤害",ROUNDUP(K300/MAX(1,ROUND(G300*$AC$15,0)),0))</x:f>
        <x:v>10</x:v>
      </x:c>
      <x:c r="N300" s="6" t="n">
        <x:f>ROUNDUP(F300/英雄升级调参!$H$103,0)</x:f>
        <x:v>3</x:v>
      </x:c>
      <x:c r="O300" s="6" t="n">
        <x:f>ROUNDUP(F300/英雄升级调参!$K$103,0)</x:f>
        <x:v>2</x:v>
      </x:c>
      <x:c r="P300" s="6" t="str">
        <x:f>$AA$15</x:f>
        <x:v>普通：4次标准普攻击杀；10次主要攻击致死</x:v>
      </x:c>
      <x:c r="Q300" s="6"/>
      <x:c r="R300" s="6"/>
      <x:c r="S300" s="6"/>
      <x:c r="T300" s="6"/>
    </x:row>
    <x:row r="301" ht="21" customHeight="1">
      <x:c r="A301" s="14" t="n">
        <x:f>$V$15</x:f>
        <x:v>60002</x:v>
      </x:c>
      <x:c r="B301" s="14" t="str">
        <x:f>$W$15</x:f>
        <x:v>蘑菇小子</x:v>
      </x:c>
      <x:c r="C301" s="6" t="str">
        <x:f>$X$15</x:f>
        <x:v>普通</x:v>
      </x:c>
      <x:c r="D301" s="6">
        <x:v>39</x:v>
      </x:c>
      <x:c r="E301" s="6">
        <x:v>15</x:v>
      </x:c>
      <x:c r="F301" s="12">
        <x:f>ROUND(J301*$W$4*H301,0)</x:f>
        <x:v>10284</x:v>
      </x:c>
      <x:c r="G301" s="12">
        <x:f>ROUND(J301*$W$4*$W$5*I301,0)</x:f>
        <x:v>2571</x:v>
      </x:c>
      <x:c r="H301" s="11" t="n">
        <x:f>$Y$15</x:f>
        <x:v>1</x:v>
      </x:c>
      <x:c r="I301" s="11" t="n">
        <x:f>$Z$15</x:f>
        <x:v>3.3333333333333335</x:v>
      </x:c>
      <x:c r="J301" s="12">
        <x:f>英雄升级调参!$E$104</x:f>
        <x:v>2571</x:v>
      </x:c>
      <x:c r="K301" s="12">
        <x:f>英雄升级调参!$F$104</x:f>
        <x:v>25710</x:v>
      </x:c>
      <x:c r="L301" s="6" t="n">
        <x:f>ROUNDUP(F301/J301,0)</x:f>
        <x:v>4</x:v>
      </x:c>
      <x:c r="M301" s="6" t="n">
        <x:f>IF(G301=0,"无伤害",ROUNDUP(K301/MAX(1,ROUND(G301*$AC$15,0)),0))</x:f>
        <x:v>10</x:v>
      </x:c>
      <x:c r="N301" s="6" t="n">
        <x:f>ROUNDUP(F301/英雄升级调参!$H$104,0)</x:f>
        <x:v>3</x:v>
      </x:c>
      <x:c r="O301" s="6" t="n">
        <x:f>ROUNDUP(F301/英雄升级调参!$K$104,0)</x:f>
        <x:v>2</x:v>
      </x:c>
      <x:c r="P301" s="6" t="str">
        <x:f>$AA$15</x:f>
        <x:v>普通：4次标准普攻击杀；10次主要攻击致死</x:v>
      </x:c>
      <x:c r="Q301" s="6"/>
      <x:c r="R301" s="6"/>
      <x:c r="S301" s="6"/>
      <x:c r="T301" s="6"/>
    </x:row>
    <x:row r="302" ht="21" customHeight="1">
      <x:c r="A302" s="14" t="n">
        <x:f>$V$15</x:f>
        <x:v>60002</x:v>
      </x:c>
      <x:c r="B302" s="14" t="str">
        <x:f>$W$15</x:f>
        <x:v>蘑菇小子</x:v>
      </x:c>
      <x:c r="C302" s="6" t="str">
        <x:f>$X$15</x:f>
        <x:v>普通</x:v>
      </x:c>
      <x:c r="D302" s="6">
        <x:v>40</x:v>
      </x:c>
      <x:c r="E302" s="6">
        <x:v>15</x:v>
      </x:c>
      <x:c r="F302" s="12">
        <x:f>ROUND(J302*$W$4*H302,0)</x:f>
        <x:v>11256</x:v>
      </x:c>
      <x:c r="G302" s="12">
        <x:f>ROUND(J302*$W$4*$W$5*I302,0)</x:f>
        <x:v>2814</x:v>
      </x:c>
      <x:c r="H302" s="11" t="n">
        <x:f>$Y$15</x:f>
        <x:v>1</x:v>
      </x:c>
      <x:c r="I302" s="11" t="n">
        <x:f>$Z$15</x:f>
        <x:v>3.3333333333333335</x:v>
      </x:c>
      <x:c r="J302" s="12">
        <x:f>英雄升级调参!$E$105</x:f>
        <x:v>2814</x:v>
      </x:c>
      <x:c r="K302" s="12">
        <x:f>英雄升级调参!$F$105</x:f>
        <x:v>28140</x:v>
      </x:c>
      <x:c r="L302" s="6" t="n">
        <x:f>ROUNDUP(F302/J302,0)</x:f>
        <x:v>4</x:v>
      </x:c>
      <x:c r="M302" s="6" t="n">
        <x:f>IF(G302=0,"无伤害",ROUNDUP(K302/MAX(1,ROUND(G302*$AC$15,0)),0))</x:f>
        <x:v>10</x:v>
      </x:c>
      <x:c r="N302" s="6" t="n">
        <x:f>ROUNDUP(F302/英雄升级调参!$H$105,0)</x:f>
        <x:v>3</x:v>
      </x:c>
      <x:c r="O302" s="6" t="n">
        <x:f>ROUNDUP(F302/英雄升级调参!$K$105,0)</x:f>
        <x:v>2</x:v>
      </x:c>
      <x:c r="P302" s="6" t="str">
        <x:f>$AA$15</x:f>
        <x:v>普通：4次标准普攻击杀；10次主要攻击致死</x:v>
      </x:c>
      <x:c r="Q302" s="6"/>
      <x:c r="R302" s="6"/>
      <x:c r="S302" s="6"/>
      <x:c r="T302" s="6"/>
    </x:row>
    <x:row r="303" ht="21" customHeight="1">
      <x:c r="A303" s="14" t="n">
        <x:f>$V$15</x:f>
        <x:v>60002</x:v>
      </x:c>
      <x:c r="B303" s="14" t="str">
        <x:f>$W$15</x:f>
        <x:v>蘑菇小子</x:v>
      </x:c>
      <x:c r="C303" s="6" t="str">
        <x:f>$X$15</x:f>
        <x:v>普通</x:v>
      </x:c>
      <x:c r="D303" s="6">
        <x:v>41</x:v>
      </x:c>
      <x:c r="E303" s="6">
        <x:v>15</x:v>
      </x:c>
      <x:c r="F303" s="12">
        <x:f>ROUND(J303*$W$4*H303,0)</x:f>
        <x:v>11616</x:v>
      </x:c>
      <x:c r="G303" s="12">
        <x:f>ROUND(J303*$W$4*$W$5*I303,0)</x:f>
        <x:v>2904</x:v>
      </x:c>
      <x:c r="H303" s="11" t="n">
        <x:f>$Y$15</x:f>
        <x:v>1</x:v>
      </x:c>
      <x:c r="I303" s="11" t="n">
        <x:f>$Z$15</x:f>
        <x:v>3.3333333333333335</x:v>
      </x:c>
      <x:c r="J303" s="12">
        <x:f>英雄升级调参!$E$106</x:f>
        <x:v>2904</x:v>
      </x:c>
      <x:c r="K303" s="12">
        <x:f>英雄升级调参!$F$106</x:f>
        <x:v>29040</x:v>
      </x:c>
      <x:c r="L303" s="6" t="n">
        <x:f>ROUNDUP(F303/J303,0)</x:f>
        <x:v>4</x:v>
      </x:c>
      <x:c r="M303" s="6" t="n">
        <x:f>IF(G303=0,"无伤害",ROUNDUP(K303/MAX(1,ROUND(G303*$AC$15,0)),0))</x:f>
        <x:v>10</x:v>
      </x:c>
      <x:c r="N303" s="6" t="n">
        <x:f>ROUNDUP(F303/英雄升级调参!$H$106,0)</x:f>
        <x:v>3</x:v>
      </x:c>
      <x:c r="O303" s="6" t="n">
        <x:f>ROUNDUP(F303/英雄升级调参!$K$106,0)</x:f>
        <x:v>2</x:v>
      </x:c>
      <x:c r="P303" s="6" t="str">
        <x:f>$AA$15</x:f>
        <x:v>普通：4次标准普攻击杀；10次主要攻击致死</x:v>
      </x:c>
      <x:c r="Q303" s="6"/>
      <x:c r="R303" s="6"/>
      <x:c r="S303" s="6"/>
      <x:c r="T303" s="6"/>
    </x:row>
    <x:row r="304" ht="21" customHeight="1">
      <x:c r="A304" s="14" t="n">
        <x:f>$V$15</x:f>
        <x:v>60002</x:v>
      </x:c>
      <x:c r="B304" s="14" t="str">
        <x:f>$W$15</x:f>
        <x:v>蘑菇小子</x:v>
      </x:c>
      <x:c r="C304" s="6" t="str">
        <x:f>$X$15</x:f>
        <x:v>普通</x:v>
      </x:c>
      <x:c r="D304" s="6">
        <x:v>42</x:v>
      </x:c>
      <x:c r="E304" s="6">
        <x:v>15</x:v>
      </x:c>
      <x:c r="F304" s="12">
        <x:f>ROUND(J304*$W$4*H304,0)</x:f>
        <x:v>11976</x:v>
      </x:c>
      <x:c r="G304" s="12">
        <x:f>ROUND(J304*$W$4*$W$5*I304,0)</x:f>
        <x:v>2994</x:v>
      </x:c>
      <x:c r="H304" s="11" t="n">
        <x:f>$Y$15</x:f>
        <x:v>1</x:v>
      </x:c>
      <x:c r="I304" s="11" t="n">
        <x:f>$Z$15</x:f>
        <x:v>3.3333333333333335</x:v>
      </x:c>
      <x:c r="J304" s="12">
        <x:f>英雄升级调参!$E$107</x:f>
        <x:v>2994</x:v>
      </x:c>
      <x:c r="K304" s="12">
        <x:f>英雄升级调参!$F$107</x:f>
        <x:v>29940</x:v>
      </x:c>
      <x:c r="L304" s="6" t="n">
        <x:f>ROUNDUP(F304/J304,0)</x:f>
        <x:v>4</x:v>
      </x:c>
      <x:c r="M304" s="6" t="n">
        <x:f>IF(G304=0,"无伤害",ROUNDUP(K304/MAX(1,ROUND(G304*$AC$15,0)),0))</x:f>
        <x:v>10</x:v>
      </x:c>
      <x:c r="N304" s="6" t="n">
        <x:f>ROUNDUP(F304/英雄升级调参!$H$107,0)</x:f>
        <x:v>3</x:v>
      </x:c>
      <x:c r="O304" s="6" t="n">
        <x:f>ROUNDUP(F304/英雄升级调参!$K$107,0)</x:f>
        <x:v>2</x:v>
      </x:c>
      <x:c r="P304" s="6" t="str">
        <x:f>$AA$15</x:f>
        <x:v>普通：4次标准普攻击杀；10次主要攻击致死</x:v>
      </x:c>
      <x:c r="Q304" s="6"/>
      <x:c r="R304" s="6"/>
      <x:c r="S304" s="6"/>
      <x:c r="T304" s="6"/>
    </x:row>
    <x:row r="305" ht="21" customHeight="1">
      <x:c r="A305" s="14" t="n">
        <x:f>$V$15</x:f>
        <x:v>60002</x:v>
      </x:c>
      <x:c r="B305" s="14" t="str">
        <x:f>$W$15</x:f>
        <x:v>蘑菇小子</x:v>
      </x:c>
      <x:c r="C305" s="6" t="str">
        <x:f>$X$15</x:f>
        <x:v>普通</x:v>
      </x:c>
      <x:c r="D305" s="6">
        <x:v>43</x:v>
      </x:c>
      <x:c r="E305" s="6">
        <x:v>15</x:v>
      </x:c>
      <x:c r="F305" s="12">
        <x:f>ROUND(J305*$W$4*H305,0)</x:f>
        <x:v>12336</x:v>
      </x:c>
      <x:c r="G305" s="12">
        <x:f>ROUND(J305*$W$4*$W$5*I305,0)</x:f>
        <x:v>3084</x:v>
      </x:c>
      <x:c r="H305" s="11" t="n">
        <x:f>$Y$15</x:f>
        <x:v>1</x:v>
      </x:c>
      <x:c r="I305" s="11" t="n">
        <x:f>$Z$15</x:f>
        <x:v>3.3333333333333335</x:v>
      </x:c>
      <x:c r="J305" s="12">
        <x:f>英雄升级调参!$E$108</x:f>
        <x:v>3084</x:v>
      </x:c>
      <x:c r="K305" s="12">
        <x:f>英雄升级调参!$F$108</x:f>
        <x:v>30840</x:v>
      </x:c>
      <x:c r="L305" s="6" t="n">
        <x:f>ROUNDUP(F305/J305,0)</x:f>
        <x:v>4</x:v>
      </x:c>
      <x:c r="M305" s="6" t="n">
        <x:f>IF(G305=0,"无伤害",ROUNDUP(K305/MAX(1,ROUND(G305*$AC$15,0)),0))</x:f>
        <x:v>10</x:v>
      </x:c>
      <x:c r="N305" s="6" t="n">
        <x:f>ROUNDUP(F305/英雄升级调参!$H$108,0)</x:f>
        <x:v>3</x:v>
      </x:c>
      <x:c r="O305" s="6" t="n">
        <x:f>ROUNDUP(F305/英雄升级调参!$K$108,0)</x:f>
        <x:v>2</x:v>
      </x:c>
      <x:c r="P305" s="6" t="str">
        <x:f>$AA$15</x:f>
        <x:v>普通：4次标准普攻击杀；10次主要攻击致死</x:v>
      </x:c>
      <x:c r="Q305" s="6"/>
      <x:c r="R305" s="6"/>
      <x:c r="S305" s="6"/>
      <x:c r="T305" s="6"/>
    </x:row>
    <x:row r="306" ht="21" customHeight="1">
      <x:c r="A306" s="14" t="n">
        <x:f>$V$15</x:f>
        <x:v>60002</x:v>
      </x:c>
      <x:c r="B306" s="14" t="str">
        <x:f>$W$15</x:f>
        <x:v>蘑菇小子</x:v>
      </x:c>
      <x:c r="C306" s="6" t="str">
        <x:f>$X$15</x:f>
        <x:v>普通</x:v>
      </x:c>
      <x:c r="D306" s="6">
        <x:v>44</x:v>
      </x:c>
      <x:c r="E306" s="6">
        <x:v>15</x:v>
      </x:c>
      <x:c r="F306" s="12">
        <x:f>ROUND(J306*$W$4*H306,0)</x:f>
        <x:v>12696</x:v>
      </x:c>
      <x:c r="G306" s="12">
        <x:f>ROUND(J306*$W$4*$W$5*I306,0)</x:f>
        <x:v>3174</x:v>
      </x:c>
      <x:c r="H306" s="11" t="n">
        <x:f>$Y$15</x:f>
        <x:v>1</x:v>
      </x:c>
      <x:c r="I306" s="11" t="n">
        <x:f>$Z$15</x:f>
        <x:v>3.3333333333333335</x:v>
      </x:c>
      <x:c r="J306" s="12">
        <x:f>英雄升级调参!$E$109</x:f>
        <x:v>3174</x:v>
      </x:c>
      <x:c r="K306" s="12">
        <x:f>英雄升级调参!$F$109</x:f>
        <x:v>31740</x:v>
      </x:c>
      <x:c r="L306" s="6" t="n">
        <x:f>ROUNDUP(F306/J306,0)</x:f>
        <x:v>4</x:v>
      </x:c>
      <x:c r="M306" s="6" t="n">
        <x:f>IF(G306=0,"无伤害",ROUNDUP(K306/MAX(1,ROUND(G306*$AC$15,0)),0))</x:f>
        <x:v>10</x:v>
      </x:c>
      <x:c r="N306" s="6" t="n">
        <x:f>ROUNDUP(F306/英雄升级调参!$H$109,0)</x:f>
        <x:v>3</x:v>
      </x:c>
      <x:c r="O306" s="6" t="n">
        <x:f>ROUNDUP(F306/英雄升级调参!$K$109,0)</x:f>
        <x:v>2</x:v>
      </x:c>
      <x:c r="P306" s="6" t="str">
        <x:f>$AA$15</x:f>
        <x:v>普通：4次标准普攻击杀；10次主要攻击致死</x:v>
      </x:c>
      <x:c r="Q306" s="6"/>
      <x:c r="R306" s="6"/>
      <x:c r="S306" s="6"/>
      <x:c r="T306" s="6"/>
    </x:row>
    <x:row r="307" ht="21" customHeight="1">
      <x:c r="A307" s="14" t="n">
        <x:f>$V$15</x:f>
        <x:v>60002</x:v>
      </x:c>
      <x:c r="B307" s="14" t="str">
        <x:f>$W$15</x:f>
        <x:v>蘑菇小子</x:v>
      </x:c>
      <x:c r="C307" s="6" t="str">
        <x:f>$X$15</x:f>
        <x:v>普通</x:v>
      </x:c>
      <x:c r="D307" s="6">
        <x:v>45</x:v>
      </x:c>
      <x:c r="E307" s="6">
        <x:v>15</x:v>
      </x:c>
      <x:c r="F307" s="12">
        <x:f>ROUND(J307*$W$4*H307,0)</x:f>
        <x:v>13776</x:v>
      </x:c>
      <x:c r="G307" s="12">
        <x:f>ROUND(J307*$W$4*$W$5*I307,0)</x:f>
        <x:v>3444</x:v>
      </x:c>
      <x:c r="H307" s="11" t="n">
        <x:f>$Y$15</x:f>
        <x:v>1</x:v>
      </x:c>
      <x:c r="I307" s="11" t="n">
        <x:f>$Z$15</x:f>
        <x:v>3.3333333333333335</x:v>
      </x:c>
      <x:c r="J307" s="12">
        <x:f>英雄升级调参!$E$110</x:f>
        <x:v>3444</x:v>
      </x:c>
      <x:c r="K307" s="12">
        <x:f>英雄升级调参!$F$110</x:f>
        <x:v>34440</x:v>
      </x:c>
      <x:c r="L307" s="6" t="n">
        <x:f>ROUNDUP(F307/J307,0)</x:f>
        <x:v>4</x:v>
      </x:c>
      <x:c r="M307" s="6" t="n">
        <x:f>IF(G307=0,"无伤害",ROUNDUP(K307/MAX(1,ROUND(G307*$AC$15,0)),0))</x:f>
        <x:v>10</x:v>
      </x:c>
      <x:c r="N307" s="6" t="n">
        <x:f>ROUNDUP(F307/英雄升级调参!$H$110,0)</x:f>
        <x:v>3</x:v>
      </x:c>
      <x:c r="O307" s="6" t="n">
        <x:f>ROUNDUP(F307/英雄升级调参!$K$110,0)</x:f>
        <x:v>2</x:v>
      </x:c>
      <x:c r="P307" s="6" t="str">
        <x:f>$AA$15</x:f>
        <x:v>普通：4次标准普攻击杀；10次主要攻击致死</x:v>
      </x:c>
      <x:c r="Q307" s="6"/>
      <x:c r="R307" s="6"/>
      <x:c r="S307" s="6"/>
      <x:c r="T307" s="6"/>
    </x:row>
    <x:row r="308" ht="21" customHeight="1">
      <x:c r="A308" s="14" t="n">
        <x:f>$V$15</x:f>
        <x:v>60002</x:v>
      </x:c>
      <x:c r="B308" s="14" t="str">
        <x:f>$W$15</x:f>
        <x:v>蘑菇小子</x:v>
      </x:c>
      <x:c r="C308" s="6" t="str">
        <x:f>$X$15</x:f>
        <x:v>普通</x:v>
      </x:c>
      <x:c r="D308" s="6">
        <x:v>46</x:v>
      </x:c>
      <x:c r="E308" s="6">
        <x:v>15</x:v>
      </x:c>
      <x:c r="F308" s="12">
        <x:f>ROUND(J308*$W$4*H308,0)</x:f>
        <x:v>14172</x:v>
      </x:c>
      <x:c r="G308" s="12">
        <x:f>ROUND(J308*$W$4*$W$5*I308,0)</x:f>
        <x:v>3543</x:v>
      </x:c>
      <x:c r="H308" s="11" t="n">
        <x:f>$Y$15</x:f>
        <x:v>1</x:v>
      </x:c>
      <x:c r="I308" s="11" t="n">
        <x:f>$Z$15</x:f>
        <x:v>3.3333333333333335</x:v>
      </x:c>
      <x:c r="J308" s="12">
        <x:f>英雄升级调参!$E$111</x:f>
        <x:v>3543</x:v>
      </x:c>
      <x:c r="K308" s="12">
        <x:f>英雄升级调参!$F$111</x:f>
        <x:v>35430</x:v>
      </x:c>
      <x:c r="L308" s="6" t="n">
        <x:f>ROUNDUP(F308/J308,0)</x:f>
        <x:v>4</x:v>
      </x:c>
      <x:c r="M308" s="6" t="n">
        <x:f>IF(G308=0,"无伤害",ROUNDUP(K308/MAX(1,ROUND(G308*$AC$15,0)),0))</x:f>
        <x:v>10</x:v>
      </x:c>
      <x:c r="N308" s="6" t="n">
        <x:f>ROUNDUP(F308/英雄升级调参!$H$111,0)</x:f>
        <x:v>3</x:v>
      </x:c>
      <x:c r="O308" s="6" t="n">
        <x:f>ROUNDUP(F308/英雄升级调参!$K$111,0)</x:f>
        <x:v>2</x:v>
      </x:c>
      <x:c r="P308" s="6" t="str">
        <x:f>$AA$15</x:f>
        <x:v>普通：4次标准普攻击杀；10次主要攻击致死</x:v>
      </x:c>
      <x:c r="Q308" s="6"/>
      <x:c r="R308" s="6"/>
      <x:c r="S308" s="6"/>
      <x:c r="T308" s="6"/>
    </x:row>
    <x:row r="309" ht="21" customHeight="1">
      <x:c r="A309" s="14" t="n">
        <x:f>$V$15</x:f>
        <x:v>60002</x:v>
      </x:c>
      <x:c r="B309" s="14" t="str">
        <x:f>$W$15</x:f>
        <x:v>蘑菇小子</x:v>
      </x:c>
      <x:c r="C309" s="6" t="str">
        <x:f>$X$15</x:f>
        <x:v>普通</x:v>
      </x:c>
      <x:c r="D309" s="6">
        <x:v>47</x:v>
      </x:c>
      <x:c r="E309" s="6">
        <x:v>15</x:v>
      </x:c>
      <x:c r="F309" s="12">
        <x:f>ROUND(J309*$W$4*H309,0)</x:f>
        <x:v>14568</x:v>
      </x:c>
      <x:c r="G309" s="12">
        <x:f>ROUND(J309*$W$4*$W$5*I309,0)</x:f>
        <x:v>3642</x:v>
      </x:c>
      <x:c r="H309" s="11" t="n">
        <x:f>$Y$15</x:f>
        <x:v>1</x:v>
      </x:c>
      <x:c r="I309" s="11" t="n">
        <x:f>$Z$15</x:f>
        <x:v>3.3333333333333335</x:v>
      </x:c>
      <x:c r="J309" s="12">
        <x:f>英雄升级调参!$E$112</x:f>
        <x:v>3642</x:v>
      </x:c>
      <x:c r="K309" s="12">
        <x:f>英雄升级调参!$F$112</x:f>
        <x:v>36420</x:v>
      </x:c>
      <x:c r="L309" s="6" t="n">
        <x:f>ROUNDUP(F309/J309,0)</x:f>
        <x:v>4</x:v>
      </x:c>
      <x:c r="M309" s="6" t="n">
        <x:f>IF(G309=0,"无伤害",ROUNDUP(K309/MAX(1,ROUND(G309*$AC$15,0)),0))</x:f>
        <x:v>10</x:v>
      </x:c>
      <x:c r="N309" s="6" t="n">
        <x:f>ROUNDUP(F309/英雄升级调参!$H$112,0)</x:f>
        <x:v>3</x:v>
      </x:c>
      <x:c r="O309" s="6" t="n">
        <x:f>ROUNDUP(F309/英雄升级调参!$K$112,0)</x:f>
        <x:v>2</x:v>
      </x:c>
      <x:c r="P309" s="6" t="str">
        <x:f>$AA$15</x:f>
        <x:v>普通：4次标准普攻击杀；10次主要攻击致死</x:v>
      </x:c>
      <x:c r="Q309" s="6"/>
      <x:c r="R309" s="6"/>
      <x:c r="S309" s="6"/>
      <x:c r="T309" s="6"/>
    </x:row>
    <x:row r="310" ht="21" customHeight="1">
      <x:c r="A310" s="14" t="n">
        <x:f>$V$15</x:f>
        <x:v>60002</x:v>
      </x:c>
      <x:c r="B310" s="14" t="str">
        <x:f>$W$15</x:f>
        <x:v>蘑菇小子</x:v>
      </x:c>
      <x:c r="C310" s="6" t="str">
        <x:f>$X$15</x:f>
        <x:v>普通</x:v>
      </x:c>
      <x:c r="D310" s="6">
        <x:v>48</x:v>
      </x:c>
      <x:c r="E310" s="6">
        <x:v>15</x:v>
      </x:c>
      <x:c r="F310" s="12">
        <x:f>ROUND(J310*$W$4*H310,0)</x:f>
        <x:v>14964</x:v>
      </x:c>
      <x:c r="G310" s="12">
        <x:f>ROUND(J310*$W$4*$W$5*I310,0)</x:f>
        <x:v>3741</x:v>
      </x:c>
      <x:c r="H310" s="11" t="n">
        <x:f>$Y$15</x:f>
        <x:v>1</x:v>
      </x:c>
      <x:c r="I310" s="11" t="n">
        <x:f>$Z$15</x:f>
        <x:v>3.3333333333333335</x:v>
      </x:c>
      <x:c r="J310" s="12">
        <x:f>英雄升级调参!$E$113</x:f>
        <x:v>3741</x:v>
      </x:c>
      <x:c r="K310" s="12">
        <x:f>英雄升级调参!$F$113</x:f>
        <x:v>37410</x:v>
      </x:c>
      <x:c r="L310" s="6" t="n">
        <x:f>ROUNDUP(F310/J310,0)</x:f>
        <x:v>4</x:v>
      </x:c>
      <x:c r="M310" s="6" t="n">
        <x:f>IF(G310=0,"无伤害",ROUNDUP(K310/MAX(1,ROUND(G310*$AC$15,0)),0))</x:f>
        <x:v>10</x:v>
      </x:c>
      <x:c r="N310" s="6" t="n">
        <x:f>ROUNDUP(F310/英雄升级调参!$H$113,0)</x:f>
        <x:v>3</x:v>
      </x:c>
      <x:c r="O310" s="6" t="n">
        <x:f>ROUNDUP(F310/英雄升级调参!$K$113,0)</x:f>
        <x:v>2</x:v>
      </x:c>
      <x:c r="P310" s="6" t="str">
        <x:f>$AA$15</x:f>
        <x:v>普通：4次标准普攻击杀；10次主要攻击致死</x:v>
      </x:c>
      <x:c r="Q310" s="6"/>
      <x:c r="R310" s="6"/>
      <x:c r="S310" s="6"/>
      <x:c r="T310" s="6"/>
    </x:row>
    <x:row r="311" ht="21" customHeight="1">
      <x:c r="A311" s="14" t="n">
        <x:f>$V$15</x:f>
        <x:v>60002</x:v>
      </x:c>
      <x:c r="B311" s="14" t="str">
        <x:f>$W$15</x:f>
        <x:v>蘑菇小子</x:v>
      </x:c>
      <x:c r="C311" s="6" t="str">
        <x:f>$X$15</x:f>
        <x:v>普通</x:v>
      </x:c>
      <x:c r="D311" s="6">
        <x:v>49</x:v>
      </x:c>
      <x:c r="E311" s="6">
        <x:v>15</x:v>
      </x:c>
      <x:c r="F311" s="12">
        <x:f>ROUND(J311*$W$4*H311,0)</x:f>
        <x:v>15360</x:v>
      </x:c>
      <x:c r="G311" s="12">
        <x:f>ROUND(J311*$W$4*$W$5*I311,0)</x:f>
        <x:v>3840</x:v>
      </x:c>
      <x:c r="H311" s="11" t="n">
        <x:f>$Y$15</x:f>
        <x:v>1</x:v>
      </x:c>
      <x:c r="I311" s="11" t="n">
        <x:f>$Z$15</x:f>
        <x:v>3.3333333333333335</x:v>
      </x:c>
      <x:c r="J311" s="12">
        <x:f>英雄升级调参!$E$114</x:f>
        <x:v>3840</x:v>
      </x:c>
      <x:c r="K311" s="12">
        <x:f>英雄升级调参!$F$114</x:f>
        <x:v>38400</x:v>
      </x:c>
      <x:c r="L311" s="6" t="n">
        <x:f>ROUNDUP(F311/J311,0)</x:f>
        <x:v>4</x:v>
      </x:c>
      <x:c r="M311" s="6" t="n">
        <x:f>IF(G311=0,"无伤害",ROUNDUP(K311/MAX(1,ROUND(G311*$AC$15,0)),0))</x:f>
        <x:v>10</x:v>
      </x:c>
      <x:c r="N311" s="6" t="n">
        <x:f>ROUNDUP(F311/英雄升级调参!$H$114,0)</x:f>
        <x:v>3</x:v>
      </x:c>
      <x:c r="O311" s="6" t="n">
        <x:f>ROUNDUP(F311/英雄升级调参!$K$114,0)</x:f>
        <x:v>2</x:v>
      </x:c>
      <x:c r="P311" s="6" t="str">
        <x:f>$AA$15</x:f>
        <x:v>普通：4次标准普攻击杀；10次主要攻击致死</x:v>
      </x:c>
      <x:c r="Q311" s="6"/>
      <x:c r="R311" s="6"/>
      <x:c r="S311" s="6"/>
      <x:c r="T311" s="6"/>
    </x:row>
    <x:row r="312" ht="21" customHeight="1">
      <x:c r="A312" s="14" t="n">
        <x:f>$V$15</x:f>
        <x:v>60002</x:v>
      </x:c>
      <x:c r="B312" s="14" t="str">
        <x:f>$W$15</x:f>
        <x:v>蘑菇小子</x:v>
      </x:c>
      <x:c r="C312" s="6" t="str">
        <x:f>$X$15</x:f>
        <x:v>普通</x:v>
      </x:c>
      <x:c r="D312" s="6">
        <x:v>50</x:v>
      </x:c>
      <x:c r="E312" s="6">
        <x:v>15</x:v>
      </x:c>
      <x:c r="F312" s="12">
        <x:f>ROUND(J312*$W$4*H312,0)</x:f>
        <x:v>16548</x:v>
      </x:c>
      <x:c r="G312" s="12">
        <x:f>ROUND(J312*$W$4*$W$5*I312,0)</x:f>
        <x:v>4137</x:v>
      </x:c>
      <x:c r="H312" s="11" t="n">
        <x:f>$Y$15</x:f>
        <x:v>1</x:v>
      </x:c>
      <x:c r="I312" s="11" t="n">
        <x:f>$Z$15</x:f>
        <x:v>3.3333333333333335</x:v>
      </x:c>
      <x:c r="J312" s="12">
        <x:f>英雄升级调参!$E$115</x:f>
        <x:v>4137</x:v>
      </x:c>
      <x:c r="K312" s="12">
        <x:f>英雄升级调参!$F$115</x:f>
        <x:v>41370</x:v>
      </x:c>
      <x:c r="L312" s="6" t="n">
        <x:f>ROUNDUP(F312/J312,0)</x:f>
        <x:v>4</x:v>
      </x:c>
      <x:c r="M312" s="6" t="n">
        <x:f>IF(G312=0,"无伤害",ROUNDUP(K312/MAX(1,ROUND(G312*$AC$15,0)),0))</x:f>
        <x:v>10</x:v>
      </x:c>
      <x:c r="N312" s="6" t="n">
        <x:f>ROUNDUP(F312/英雄升级调参!$H$115,0)</x:f>
        <x:v>3</x:v>
      </x:c>
      <x:c r="O312" s="6" t="n">
        <x:f>ROUNDUP(F312/英雄升级调参!$K$115,0)</x:f>
        <x:v>2</x:v>
      </x:c>
      <x:c r="P312" s="6" t="str">
        <x:f>$AA$15</x:f>
        <x:v>普通：4次标准普攻击杀；10次主要攻击致死</x:v>
      </x:c>
      <x:c r="Q312" s="6"/>
      <x:c r="R312" s="6"/>
      <x:c r="S312" s="6"/>
      <x:c r="T312" s="6"/>
    </x:row>
    <x:row r="313" ht="21" customHeight="1">
      <x:c r="A313" s="14" t="n">
        <x:f t="shared" ref="A313:A344" si="95">$V$16</x:f>
        <x:v>60003</x:v>
      </x:c>
      <x:c r="B313" s="14" t="str">
        <x:f t="shared" ref="B313:B344" si="96">$W$16</x:f>
        <x:v>小草</x:v>
      </x:c>
      <x:c r="C313" s="6" t="str">
        <x:f t="shared" ref="C313:C344" si="97">$X$16</x:f>
        <x:v>普通</x:v>
      </x:c>
      <x:c r="D313" s="6">
        <x:v>1</x:v>
      </x:c>
      <x:c r="E313" s="6">
        <x:v>16</x:v>
      </x:c>
      <x:c r="F313" s="12" t="n">
        <x:f>ROUND(J313*$W$4*H313,0)</x:f>
        <x:v>240</x:v>
      </x:c>
      <x:c r="G313" s="12" t="n">
        <x:f>ROUND(J313*$W$4*$W$5*I313,0)</x:f>
        <x:v>14</x:v>
      </x:c>
      <x:c r="H313" s="11" t="n">
        <x:f t="shared" ref="H313:H344" si="98">$Y$16</x:f>
        <x:v>1</x:v>
      </x:c>
      <x:c r="I313" s="11" t="n">
        <x:f t="shared" ref="I313:I344" si="99">$Z$16</x:f>
        <x:v>0.8</x:v>
      </x:c>
      <x:c r="J313" s="12" t="n">
        <x:f>英雄升级调参!$E$66</x:f>
        <x:v>60</x:v>
      </x:c>
      <x:c r="K313" s="12" t="n">
        <x:f>英雄升级调参!$F$66</x:f>
        <x:v>600</x:v>
      </x:c>
      <x:c r="L313" s="6" t="n">
        <x:f>ROUNDUP(F313/J313,0)</x:f>
        <x:v>4</x:v>
      </x:c>
      <x:c r="M313" s="6" t="n">
        <x:f>IF(G313=0,"无伤害",ROUNDUP(K313/G313,0))</x:f>
        <x:v>43</x:v>
      </x:c>
      <x:c r="N313" s="6">
        <x:f>ROUNDUP(F313/英雄升级调参!$H$66,0)</x:f>
        <x:v>2</x:v>
      </x:c>
      <x:c r="O313" s="6">
        <x:f>ROUNDUP(F313/英雄升级调参!$K$66,0)</x:f>
        <x:v>1</x:v>
      </x:c>
      <x:c r="P313" s="6" t="str">
        <x:f t="shared" ref="P313:P344" si="100">$AA$16</x:f>
        <x:v>普通4下；攻击沿用现值</x:v>
      </x:c>
      <x:c r="Q313" s="6"/>
      <x:c r="R313" s="6"/>
      <x:c r="S313" s="6"/>
      <x:c r="T313" s="6"/>
    </x:row>
    <x:row r="314" ht="21" customHeight="1">
      <x:c r="A314" s="14">
        <x:f t="shared" si="95"/>
        <x:v>60003</x:v>
      </x:c>
      <x:c r="B314" s="14" t="str">
        <x:f t="shared" si="96"/>
        <x:v>小草</x:v>
      </x:c>
      <x:c r="C314" s="6" t="str">
        <x:f t="shared" si="97"/>
        <x:v>普通</x:v>
      </x:c>
      <x:c r="D314" s="6">
        <x:v>2</x:v>
      </x:c>
      <x:c r="E314" s="6">
        <x:v>16</x:v>
      </x:c>
      <x:c r="F314" s="12">
        <x:f>ROUND(J314*$W$4*H314,0)</x:f>
        <x:v>312</x:v>
      </x:c>
      <x:c r="G314" s="12">
        <x:f>ROUND(J314*$W$4*$W$5*I314,0)</x:f>
        <x:v>19</x:v>
      </x:c>
      <x:c r="H314" s="11">
        <x:f t="shared" si="98"/>
        <x:v>1</x:v>
      </x:c>
      <x:c r="I314" s="11">
        <x:f t="shared" si="99"/>
        <x:v>0.8</x:v>
      </x:c>
      <x:c r="J314" s="12">
        <x:f>英雄升级调参!$E$67</x:f>
        <x:v>78</x:v>
      </x:c>
      <x:c r="K314" s="12">
        <x:f>英雄升级调参!$F$67</x:f>
        <x:v>780</x:v>
      </x:c>
      <x:c r="L314" s="6" t="n">
        <x:f>ROUNDUP(F314/J314,0)</x:f>
        <x:v>4</x:v>
      </x:c>
      <x:c r="M314" s="6" t="n">
        <x:f>IF(G314=0,"无伤害",ROUNDUP(K314/G314,0))</x:f>
        <x:v>42</x:v>
      </x:c>
      <x:c r="N314" s="6">
        <x:f>ROUNDUP(F314/英雄升级调参!$H$67,0)</x:f>
        <x:v>2</x:v>
      </x:c>
      <x:c r="O314" s="6">
        <x:f>ROUNDUP(F314/英雄升级调参!$K$67,0)</x:f>
        <x:v>1</x:v>
      </x:c>
      <x:c r="P314" s="6" t="str">
        <x:f t="shared" si="100"/>
        <x:v>普通4下；攻击沿用现值</x:v>
      </x:c>
      <x:c r="Q314" s="6"/>
      <x:c r="R314" s="6"/>
      <x:c r="S314" s="6"/>
      <x:c r="T314" s="6"/>
    </x:row>
    <x:row r="315" ht="21" customHeight="1">
      <x:c r="A315" s="14">
        <x:f t="shared" si="95"/>
        <x:v>60003</x:v>
      </x:c>
      <x:c r="B315" s="14" t="str">
        <x:f t="shared" si="96"/>
        <x:v>小草</x:v>
      </x:c>
      <x:c r="C315" s="6" t="str">
        <x:f t="shared" si="97"/>
        <x:v>普通</x:v>
      </x:c>
      <x:c r="D315" s="6">
        <x:v>3</x:v>
      </x:c>
      <x:c r="E315" s="6">
        <x:v>16</x:v>
      </x:c>
      <x:c r="F315" s="12">
        <x:f>ROUND(J315*$W$4*H315,0)</x:f>
        <x:v>384</x:v>
      </x:c>
      <x:c r="G315" s="12">
        <x:f>ROUND(J315*$W$4*$W$5*I315,0)</x:f>
        <x:v>23</x:v>
      </x:c>
      <x:c r="H315" s="11">
        <x:f t="shared" si="98"/>
        <x:v>1</x:v>
      </x:c>
      <x:c r="I315" s="11">
        <x:f t="shared" si="99"/>
        <x:v>0.8</x:v>
      </x:c>
      <x:c r="J315" s="12">
        <x:f>英雄升级调参!$E$68</x:f>
        <x:v>96</x:v>
      </x:c>
      <x:c r="K315" s="12">
        <x:f>英雄升级调参!$F$68</x:f>
        <x:v>960</x:v>
      </x:c>
      <x:c r="L315" s="6" t="n">
        <x:f>ROUNDUP(F315/J315,0)</x:f>
        <x:v>4</x:v>
      </x:c>
      <x:c r="M315" s="6">
        <x:f>IF(G315=0,"无伤害",ROUNDUP(K315/G315,0))</x:f>
        <x:v>42</x:v>
      </x:c>
      <x:c r="N315" s="6">
        <x:f>ROUNDUP(F315/英雄升级调参!$H$68,0)</x:f>
        <x:v>2</x:v>
      </x:c>
      <x:c r="O315" s="6">
        <x:f>ROUNDUP(F315/英雄升级调参!$K$68,0)</x:f>
        <x:v>1</x:v>
      </x:c>
      <x:c r="P315" s="6" t="str">
        <x:f t="shared" si="100"/>
        <x:v>普通4下；攻击沿用现值</x:v>
      </x:c>
      <x:c r="Q315" s="6"/>
      <x:c r="R315" s="6"/>
      <x:c r="S315" s="6"/>
      <x:c r="T315" s="6"/>
    </x:row>
    <x:row r="316" ht="21" customHeight="1">
      <x:c r="A316" s="14">
        <x:f t="shared" si="95"/>
        <x:v>60003</x:v>
      </x:c>
      <x:c r="B316" s="14" t="str">
        <x:f t="shared" si="96"/>
        <x:v>小草</x:v>
      </x:c>
      <x:c r="C316" s="6" t="str">
        <x:f t="shared" si="97"/>
        <x:v>普通</x:v>
      </x:c>
      <x:c r="D316" s="6">
        <x:v>4</x:v>
      </x:c>
      <x:c r="E316" s="6">
        <x:v>16</x:v>
      </x:c>
      <x:c r="F316" s="12">
        <x:f>ROUND(J316*$W$4*H316,0)</x:f>
        <x:v>456</x:v>
      </x:c>
      <x:c r="G316" s="12">
        <x:f>ROUND(J316*$W$4*$W$5*I316,0)</x:f>
        <x:v>27</x:v>
      </x:c>
      <x:c r="H316" s="11">
        <x:f t="shared" si="98"/>
        <x:v>1</x:v>
      </x:c>
      <x:c r="I316" s="11">
        <x:f t="shared" si="99"/>
        <x:v>0.8</x:v>
      </x:c>
      <x:c r="J316" s="12">
        <x:f>英雄升级调参!$E$69</x:f>
        <x:v>114</x:v>
      </x:c>
      <x:c r="K316" s="12">
        <x:f>英雄升级调参!$F$69</x:f>
        <x:v>1140</x:v>
      </x:c>
      <x:c r="L316" s="6" t="n">
        <x:f>ROUNDUP(F316/J316,0)</x:f>
        <x:v>4</x:v>
      </x:c>
      <x:c r="M316" s="6">
        <x:f>IF(G316=0,"无伤害",ROUNDUP(K316/G316,0))</x:f>
        <x:v>43</x:v>
      </x:c>
      <x:c r="N316" s="6">
        <x:f>ROUNDUP(F316/英雄升级调参!$H$69,0)</x:f>
        <x:v>2</x:v>
      </x:c>
      <x:c r="O316" s="6">
        <x:f>ROUNDUP(F316/英雄升级调参!$K$69,0)</x:f>
        <x:v>1</x:v>
      </x:c>
      <x:c r="P316" s="6" t="str">
        <x:f t="shared" si="100"/>
        <x:v>普通4下；攻击沿用现值</x:v>
      </x:c>
      <x:c r="Q316" s="6"/>
      <x:c r="R316" s="6"/>
      <x:c r="S316" s="6"/>
      <x:c r="T316" s="6"/>
    </x:row>
    <x:row r="317" ht="21" customHeight="1">
      <x:c r="A317" s="14">
        <x:f t="shared" si="95"/>
        <x:v>60003</x:v>
      </x:c>
      <x:c r="B317" s="14" t="str">
        <x:f t="shared" si="96"/>
        <x:v>小草</x:v>
      </x:c>
      <x:c r="C317" s="6" t="str">
        <x:f t="shared" si="97"/>
        <x:v>普通</x:v>
      </x:c>
      <x:c r="D317" s="6">
        <x:v>5</x:v>
      </x:c>
      <x:c r="E317" s="6">
        <x:v>16</x:v>
      </x:c>
      <x:c r="F317" s="12">
        <x:f>ROUND(J317*$W$4*H317,0)</x:f>
        <x:v>672</x:v>
      </x:c>
      <x:c r="G317" s="12">
        <x:f>ROUND(J317*$W$4*$W$5*I317,0)</x:f>
        <x:v>40</x:v>
      </x:c>
      <x:c r="H317" s="11">
        <x:f t="shared" si="98"/>
        <x:v>1</x:v>
      </x:c>
      <x:c r="I317" s="11">
        <x:f t="shared" si="99"/>
        <x:v>0.8</x:v>
      </x:c>
      <x:c r="J317" s="12">
        <x:f>英雄升级调参!$E$70</x:f>
        <x:v>168</x:v>
      </x:c>
      <x:c r="K317" s="12">
        <x:f>英雄升级调参!$F$70</x:f>
        <x:v>1680</x:v>
      </x:c>
      <x:c r="L317" s="6" t="n">
        <x:f>ROUNDUP(F317/J317,0)</x:f>
        <x:v>4</x:v>
      </x:c>
      <x:c r="M317" s="6" t="n">
        <x:f>IF(G317=0,"无伤害",ROUNDUP(K317/G317,0))</x:f>
        <x:v>42</x:v>
      </x:c>
      <x:c r="N317" s="6">
        <x:f>ROUNDUP(F317/英雄升级调参!$H$70,0)</x:f>
        <x:v>2</x:v>
      </x:c>
      <x:c r="O317" s="6" t="n">
        <x:f>ROUNDUP(F317/英雄升级调参!$K$70,0)</x:f>
        <x:v>2</x:v>
      </x:c>
      <x:c r="P317" s="6" t="str">
        <x:f t="shared" si="100"/>
        <x:v>普通4下；攻击沿用现值</x:v>
      </x:c>
      <x:c r="Q317" s="6"/>
      <x:c r="R317" s="6"/>
      <x:c r="S317" s="6"/>
      <x:c r="T317" s="6"/>
    </x:row>
    <x:row r="318" ht="21" customHeight="1">
      <x:c r="A318" s="14">
        <x:f t="shared" si="95"/>
        <x:v>60003</x:v>
      </x:c>
      <x:c r="B318" s="14" t="str">
        <x:f t="shared" si="96"/>
        <x:v>小草</x:v>
      </x:c>
      <x:c r="C318" s="6" t="str">
        <x:f t="shared" si="97"/>
        <x:v>普通</x:v>
      </x:c>
      <x:c r="D318" s="6">
        <x:v>6</x:v>
      </x:c>
      <x:c r="E318" s="6">
        <x:v>16</x:v>
      </x:c>
      <x:c r="F318" s="12">
        <x:f>ROUND(J318*$W$4*H318,0)</x:f>
        <x:v>780</x:v>
      </x:c>
      <x:c r="G318" s="12">
        <x:f>ROUND(J318*$W$4*$W$5*I318,0)</x:f>
        <x:v>47</x:v>
      </x:c>
      <x:c r="H318" s="11">
        <x:f t="shared" si="98"/>
        <x:v>1</x:v>
      </x:c>
      <x:c r="I318" s="11">
        <x:f t="shared" si="99"/>
        <x:v>0.8</x:v>
      </x:c>
      <x:c r="J318" s="12">
        <x:f>英雄升级调参!$E$71</x:f>
        <x:v>195</x:v>
      </x:c>
      <x:c r="K318" s="12">
        <x:f>英雄升级调参!$F$71</x:f>
        <x:v>1950</x:v>
      </x:c>
      <x:c r="L318" s="6" t="n">
        <x:f>ROUNDUP(F318/J318,0)</x:f>
        <x:v>4</x:v>
      </x:c>
      <x:c r="M318" s="6">
        <x:f>IF(G318=0,"无伤害",ROUNDUP(K318/G318,0))</x:f>
        <x:v>42</x:v>
      </x:c>
      <x:c r="N318" s="6">
        <x:f>ROUNDUP(F318/英雄升级调参!$H$71,0)</x:f>
        <x:v>2</x:v>
      </x:c>
      <x:c r="O318" s="6" t="n">
        <x:f>ROUNDUP(F318/英雄升级调参!$K$71,0)</x:f>
        <x:v>2</x:v>
      </x:c>
      <x:c r="P318" s="6" t="str">
        <x:f t="shared" si="100"/>
        <x:v>普通4下；攻击沿用现值</x:v>
      </x:c>
      <x:c r="Q318" s="6"/>
      <x:c r="R318" s="6"/>
      <x:c r="S318" s="6"/>
      <x:c r="T318" s="6"/>
    </x:row>
    <x:row r="319" ht="21" customHeight="1">
      <x:c r="A319" s="14">
        <x:f t="shared" si="95"/>
        <x:v>60003</x:v>
      </x:c>
      <x:c r="B319" s="14" t="str">
        <x:f t="shared" si="96"/>
        <x:v>小草</x:v>
      </x:c>
      <x:c r="C319" s="6" t="str">
        <x:f t="shared" si="97"/>
        <x:v>普通</x:v>
      </x:c>
      <x:c r="D319" s="6">
        <x:v>7</x:v>
      </x:c>
      <x:c r="E319" s="6">
        <x:v>16</x:v>
      </x:c>
      <x:c r="F319" s="12">
        <x:f>ROUND(J319*$W$4*H319,0)</x:f>
        <x:v>888</x:v>
      </x:c>
      <x:c r="G319" s="12">
        <x:f>ROUND(J319*$W$4*$W$5*I319,0)</x:f>
        <x:v>53</x:v>
      </x:c>
      <x:c r="H319" s="11">
        <x:f t="shared" si="98"/>
        <x:v>1</x:v>
      </x:c>
      <x:c r="I319" s="11">
        <x:f t="shared" si="99"/>
        <x:v>0.8</x:v>
      </x:c>
      <x:c r="J319" s="12">
        <x:f>英雄升级调参!$E$72</x:f>
        <x:v>222</x:v>
      </x:c>
      <x:c r="K319" s="12">
        <x:f>英雄升级调参!$F$72</x:f>
        <x:v>2220</x:v>
      </x:c>
      <x:c r="L319" s="6" t="n">
        <x:f>ROUNDUP(F319/J319,0)</x:f>
        <x:v>4</x:v>
      </x:c>
      <x:c r="M319" s="6">
        <x:f>IF(G319=0,"无伤害",ROUNDUP(K319/G319,0))</x:f>
        <x:v>42</x:v>
      </x:c>
      <x:c r="N319" s="6" t="n">
        <x:f>ROUNDUP(F319/英雄升级调参!$H$72,0)</x:f>
        <x:v>3</x:v>
      </x:c>
      <x:c r="O319" s="6" t="n">
        <x:f>ROUNDUP(F319/英雄升级调参!$K$72,0)</x:f>
        <x:v>2</x:v>
      </x:c>
      <x:c r="P319" s="6" t="str">
        <x:f t="shared" si="100"/>
        <x:v>普通4下；攻击沿用现值</x:v>
      </x:c>
      <x:c r="Q319" s="6"/>
      <x:c r="R319" s="6"/>
      <x:c r="S319" s="6"/>
      <x:c r="T319" s="6"/>
    </x:row>
    <x:row r="320" ht="21" customHeight="1">
      <x:c r="A320" s="14">
        <x:f t="shared" si="95"/>
        <x:v>60003</x:v>
      </x:c>
      <x:c r="B320" s="14" t="str">
        <x:f t="shared" si="96"/>
        <x:v>小草</x:v>
      </x:c>
      <x:c r="C320" s="6" t="str">
        <x:f t="shared" si="97"/>
        <x:v>普通</x:v>
      </x:c>
      <x:c r="D320" s="6">
        <x:v>8</x:v>
      </x:c>
      <x:c r="E320" s="6">
        <x:v>16</x:v>
      </x:c>
      <x:c r="F320" s="12">
        <x:f>ROUND(J320*$W$4*H320,0)</x:f>
        <x:v>996</x:v>
      </x:c>
      <x:c r="G320" s="12">
        <x:f>ROUND(J320*$W$4*$W$5*I320,0)</x:f>
        <x:v>60</x:v>
      </x:c>
      <x:c r="H320" s="11">
        <x:f t="shared" si="98"/>
        <x:v>1</x:v>
      </x:c>
      <x:c r="I320" s="11">
        <x:f t="shared" si="99"/>
        <x:v>0.8</x:v>
      </x:c>
      <x:c r="J320" s="12">
        <x:f>英雄升级调参!$E$73</x:f>
        <x:v>249</x:v>
      </x:c>
      <x:c r="K320" s="12">
        <x:f>英雄升级调参!$F$73</x:f>
        <x:v>2490</x:v>
      </x:c>
      <x:c r="L320" s="6" t="n">
        <x:f>ROUNDUP(F320/J320,0)</x:f>
        <x:v>4</x:v>
      </x:c>
      <x:c r="M320" s="6" t="n">
        <x:f>IF(G320=0,"无伤害",ROUNDUP(K320/G320,0))</x:f>
        <x:v>42</x:v>
      </x:c>
      <x:c r="N320" s="6" t="n">
        <x:f>ROUNDUP(F320/英雄升级调参!$H$73,0)</x:f>
        <x:v>3</x:v>
      </x:c>
      <x:c r="O320" s="6" t="n">
        <x:f>ROUNDUP(F320/英雄升级调参!$K$73,0)</x:f>
        <x:v>2</x:v>
      </x:c>
      <x:c r="P320" s="6" t="str">
        <x:f t="shared" si="100"/>
        <x:v>普通4下；攻击沿用现值</x:v>
      </x:c>
      <x:c r="Q320" s="6"/>
      <x:c r="R320" s="6"/>
      <x:c r="S320" s="6"/>
      <x:c r="T320" s="6"/>
    </x:row>
    <x:row r="321" ht="21" customHeight="1">
      <x:c r="A321" s="14">
        <x:f t="shared" si="95"/>
        <x:v>60003</x:v>
      </x:c>
      <x:c r="B321" s="14" t="str">
        <x:f t="shared" si="96"/>
        <x:v>小草</x:v>
      </x:c>
      <x:c r="C321" s="6" t="str">
        <x:f t="shared" si="97"/>
        <x:v>普通</x:v>
      </x:c>
      <x:c r="D321" s="6">
        <x:v>9</x:v>
      </x:c>
      <x:c r="E321" s="6">
        <x:v>16</x:v>
      </x:c>
      <x:c r="F321" s="12">
        <x:f>ROUND(J321*$W$4*H321,0)</x:f>
        <x:v>1104</x:v>
      </x:c>
      <x:c r="G321" s="12">
        <x:f>ROUND(J321*$W$4*$W$5*I321,0)</x:f>
        <x:v>66</x:v>
      </x:c>
      <x:c r="H321" s="11">
        <x:f t="shared" si="98"/>
        <x:v>1</x:v>
      </x:c>
      <x:c r="I321" s="11">
        <x:f t="shared" si="99"/>
        <x:v>0.8</x:v>
      </x:c>
      <x:c r="J321" s="12">
        <x:f>英雄升级调参!$E$74</x:f>
        <x:v>276</x:v>
      </x:c>
      <x:c r="K321" s="12">
        <x:f>英雄升级调参!$F$74</x:f>
        <x:v>2760</x:v>
      </x:c>
      <x:c r="L321" s="6" t="n">
        <x:f>ROUNDUP(F321/J321,0)</x:f>
        <x:v>4</x:v>
      </x:c>
      <x:c r="M321" s="6" t="n">
        <x:f>IF(G321=0,"无伤害",ROUNDUP(K321/G321,0))</x:f>
        <x:v>42</x:v>
      </x:c>
      <x:c r="N321" s="6" t="n">
        <x:f>ROUNDUP(F321/英雄升级调参!$H$74,0)</x:f>
        <x:v>3</x:v>
      </x:c>
      <x:c r="O321" s="6" t="n">
        <x:f>ROUNDUP(F321/英雄升级调参!$K$74,0)</x:f>
        <x:v>2</x:v>
      </x:c>
      <x:c r="P321" s="6" t="str">
        <x:f t="shared" si="100"/>
        <x:v>普通4下；攻击沿用现值</x:v>
      </x:c>
      <x:c r="Q321" s="6"/>
      <x:c r="R321" s="6"/>
      <x:c r="S321" s="6"/>
      <x:c r="T321" s="6"/>
    </x:row>
    <x:row r="322" ht="21" customHeight="1">
      <x:c r="A322" s="14">
        <x:f t="shared" si="95"/>
        <x:v>60003</x:v>
      </x:c>
      <x:c r="B322" s="14" t="str">
        <x:f t="shared" si="96"/>
        <x:v>小草</x:v>
      </x:c>
      <x:c r="C322" s="6" t="str">
        <x:f t="shared" si="97"/>
        <x:v>普通</x:v>
      </x:c>
      <x:c r="D322" s="6">
        <x:v>10</x:v>
      </x:c>
      <x:c r="E322" s="6">
        <x:v>16</x:v>
      </x:c>
      <x:c r="F322" s="12">
        <x:f>ROUND(J322*$W$4*H322,0)</x:f>
        <x:v>1428</x:v>
      </x:c>
      <x:c r="G322" s="12">
        <x:f>ROUND(J322*$W$4*$W$5*I322,0)</x:f>
        <x:v>86</x:v>
      </x:c>
      <x:c r="H322" s="11">
        <x:f t="shared" si="98"/>
        <x:v>1</x:v>
      </x:c>
      <x:c r="I322" s="11">
        <x:f t="shared" si="99"/>
        <x:v>0.8</x:v>
      </x:c>
      <x:c r="J322" s="12">
        <x:f>英雄升级调参!$E$75</x:f>
        <x:v>357</x:v>
      </x:c>
      <x:c r="K322" s="12">
        <x:f>英雄升级调参!$F$75</x:f>
        <x:v>3570</x:v>
      </x:c>
      <x:c r="L322" s="6" t="n">
        <x:f>ROUNDUP(F322/J322,0)</x:f>
        <x:v>4</x:v>
      </x:c>
      <x:c r="M322" s="6" t="n">
        <x:f>IF(G322=0,"无伤害",ROUNDUP(K322/G322,0))</x:f>
        <x:v>42</x:v>
      </x:c>
      <x:c r="N322" s="6" t="n">
        <x:f>ROUNDUP(F322/英雄升级调参!$H$75,0)</x:f>
        <x:v>3</x:v>
      </x:c>
      <x:c r="O322" s="6" t="n">
        <x:f>ROUNDUP(F322/英雄升级调参!$K$75,0)</x:f>
        <x:v>2</x:v>
      </x:c>
      <x:c r="P322" s="6" t="str">
        <x:f t="shared" si="100"/>
        <x:v>普通4下；攻击沿用现值</x:v>
      </x:c>
      <x:c r="Q322" s="6"/>
      <x:c r="R322" s="6"/>
      <x:c r="S322" s="6"/>
      <x:c r="T322" s="6"/>
    </x:row>
    <x:row r="323" ht="21" customHeight="1">
      <x:c r="A323" s="14">
        <x:f t="shared" si="95"/>
        <x:v>60003</x:v>
      </x:c>
      <x:c r="B323" s="14" t="str">
        <x:f t="shared" si="96"/>
        <x:v>小草</x:v>
      </x:c>
      <x:c r="C323" s="6" t="str">
        <x:f t="shared" si="97"/>
        <x:v>普通</x:v>
      </x:c>
      <x:c r="D323" s="6">
        <x:v>11</x:v>
      </x:c>
      <x:c r="E323" s="6">
        <x:v>16</x:v>
      </x:c>
      <x:c r="F323" s="12">
        <x:f>ROUND(J323*$W$4*H323,0)</x:f>
        <x:v>1572</x:v>
      </x:c>
      <x:c r="G323" s="12">
        <x:f>ROUND(J323*$W$4*$W$5*I323,0)</x:f>
        <x:v>94</x:v>
      </x:c>
      <x:c r="H323" s="11">
        <x:f t="shared" si="98"/>
        <x:v>1</x:v>
      </x:c>
      <x:c r="I323" s="11">
        <x:f t="shared" si="99"/>
        <x:v>0.8</x:v>
      </x:c>
      <x:c r="J323" s="12">
        <x:f>英雄升级调参!$E$76</x:f>
        <x:v>393</x:v>
      </x:c>
      <x:c r="K323" s="12">
        <x:f>英雄升级调参!$F$76</x:f>
        <x:v>3930</x:v>
      </x:c>
      <x:c r="L323" s="6" t="n">
        <x:f>ROUNDUP(F323/J323,0)</x:f>
        <x:v>4</x:v>
      </x:c>
      <x:c r="M323" s="6" t="n">
        <x:f>IF(G323=0,"无伤害",ROUNDUP(K323/G323,0))</x:f>
        <x:v>42</x:v>
      </x:c>
      <x:c r="N323" s="6" t="n">
        <x:f>ROUNDUP(F323/英雄升级调参!$H$76,0)</x:f>
        <x:v>3</x:v>
      </x:c>
      <x:c r="O323" s="6" t="n">
        <x:f>ROUNDUP(F323/英雄升级调参!$K$76,0)</x:f>
        <x:v>2</x:v>
      </x:c>
      <x:c r="P323" s="6" t="str">
        <x:f t="shared" si="100"/>
        <x:v>普通4下；攻击沿用现值</x:v>
      </x:c>
      <x:c r="Q323" s="6"/>
      <x:c r="R323" s="6"/>
      <x:c r="S323" s="6"/>
      <x:c r="T323" s="6"/>
    </x:row>
    <x:row r="324" ht="21" customHeight="1">
      <x:c r="A324" s="14">
        <x:f t="shared" si="95"/>
        <x:v>60003</x:v>
      </x:c>
      <x:c r="B324" s="14" t="str">
        <x:f t="shared" si="96"/>
        <x:v>小草</x:v>
      </x:c>
      <x:c r="C324" s="6" t="str">
        <x:f t="shared" si="97"/>
        <x:v>普通</x:v>
      </x:c>
      <x:c r="D324" s="6">
        <x:v>12</x:v>
      </x:c>
      <x:c r="E324" s="6">
        <x:v>16</x:v>
      </x:c>
      <x:c r="F324" s="12">
        <x:f>ROUND(J324*$W$4*H324,0)</x:f>
        <x:v>1716</x:v>
      </x:c>
      <x:c r="G324" s="12">
        <x:f>ROUND(J324*$W$4*$W$5*I324,0)</x:f>
        <x:v>103</x:v>
      </x:c>
      <x:c r="H324" s="11">
        <x:f t="shared" si="98"/>
        <x:v>1</x:v>
      </x:c>
      <x:c r="I324" s="11">
        <x:f t="shared" si="99"/>
        <x:v>0.8</x:v>
      </x:c>
      <x:c r="J324" s="12">
        <x:f>英雄升级调参!$E$77</x:f>
        <x:v>429</x:v>
      </x:c>
      <x:c r="K324" s="12">
        <x:f>英雄升级调参!$F$77</x:f>
        <x:v>4290</x:v>
      </x:c>
      <x:c r="L324" s="6" t="n">
        <x:f>ROUNDUP(F324/J324,0)</x:f>
        <x:v>4</x:v>
      </x:c>
      <x:c r="M324" s="6" t="n">
        <x:f>IF(G324=0,"无伤害",ROUNDUP(K324/G324,0))</x:f>
        <x:v>42</x:v>
      </x:c>
      <x:c r="N324" s="6" t="n">
        <x:f>ROUNDUP(F324/英雄升级调参!$H$77,0)</x:f>
        <x:v>3</x:v>
      </x:c>
      <x:c r="O324" s="6" t="n">
        <x:f>ROUNDUP(F324/英雄升级调参!$K$77,0)</x:f>
        <x:v>2</x:v>
      </x:c>
      <x:c r="P324" s="6" t="str">
        <x:f t="shared" si="100"/>
        <x:v>普通4下；攻击沿用现值</x:v>
      </x:c>
      <x:c r="Q324" s="6"/>
      <x:c r="R324" s="6"/>
      <x:c r="S324" s="6"/>
      <x:c r="T324" s="6"/>
    </x:row>
    <x:row r="325" ht="21" customHeight="1">
      <x:c r="A325" s="14">
        <x:f t="shared" si="95"/>
        <x:v>60003</x:v>
      </x:c>
      <x:c r="B325" s="14" t="str">
        <x:f t="shared" si="96"/>
        <x:v>小草</x:v>
      </x:c>
      <x:c r="C325" s="6" t="str">
        <x:f t="shared" si="97"/>
        <x:v>普通</x:v>
      </x:c>
      <x:c r="D325" s="6">
        <x:v>13</x:v>
      </x:c>
      <x:c r="E325" s="6">
        <x:v>16</x:v>
      </x:c>
      <x:c r="F325" s="12">
        <x:f>ROUND(J325*$W$4*H325,0)</x:f>
        <x:v>1860</x:v>
      </x:c>
      <x:c r="G325" s="12">
        <x:f>ROUND(J325*$W$4*$W$5*I325,0)</x:f>
        <x:v>112</x:v>
      </x:c>
      <x:c r="H325" s="11">
        <x:f t="shared" si="98"/>
        <x:v>1</x:v>
      </x:c>
      <x:c r="I325" s="11">
        <x:f t="shared" si="99"/>
        <x:v>0.8</x:v>
      </x:c>
      <x:c r="J325" s="12">
        <x:f>英雄升级调参!$E$78</x:f>
        <x:v>465</x:v>
      </x:c>
      <x:c r="K325" s="12">
        <x:f>英雄升级调参!$F$78</x:f>
        <x:v>4650</x:v>
      </x:c>
      <x:c r="L325" s="6" t="n">
        <x:f>ROUNDUP(F325/J325,0)</x:f>
        <x:v>4</x:v>
      </x:c>
      <x:c r="M325" s="6" t="n">
        <x:f>IF(G325=0,"无伤害",ROUNDUP(K325/G325,0))</x:f>
        <x:v>42</x:v>
      </x:c>
      <x:c r="N325" s="6" t="n">
        <x:f>ROUNDUP(F325/英雄升级调参!$H$78,0)</x:f>
        <x:v>3</x:v>
      </x:c>
      <x:c r="O325" s="6" t="n">
        <x:f>ROUNDUP(F325/英雄升级调参!$K$78,0)</x:f>
        <x:v>2</x:v>
      </x:c>
      <x:c r="P325" s="6" t="str">
        <x:f t="shared" si="100"/>
        <x:v>普通4下；攻击沿用现值</x:v>
      </x:c>
      <x:c r="Q325" s="6"/>
      <x:c r="R325" s="6"/>
      <x:c r="S325" s="6"/>
      <x:c r="T325" s="6"/>
    </x:row>
    <x:row r="326" ht="21" customHeight="1">
      <x:c r="A326" s="14">
        <x:f t="shared" si="95"/>
        <x:v>60003</x:v>
      </x:c>
      <x:c r="B326" s="14" t="str">
        <x:f t="shared" si="96"/>
        <x:v>小草</x:v>
      </x:c>
      <x:c r="C326" s="6" t="str">
        <x:f t="shared" si="97"/>
        <x:v>普通</x:v>
      </x:c>
      <x:c r="D326" s="6">
        <x:v>14</x:v>
      </x:c>
      <x:c r="E326" s="6">
        <x:v>16</x:v>
      </x:c>
      <x:c r="F326" s="12">
        <x:f>ROUND(J326*$W$4*H326,0)</x:f>
        <x:v>2004</x:v>
      </x:c>
      <x:c r="G326" s="12">
        <x:f>ROUND(J326*$W$4*$W$5*I326,0)</x:f>
        <x:v>120</x:v>
      </x:c>
      <x:c r="H326" s="11">
        <x:f t="shared" si="98"/>
        <x:v>1</x:v>
      </x:c>
      <x:c r="I326" s="11">
        <x:f t="shared" si="99"/>
        <x:v>0.8</x:v>
      </x:c>
      <x:c r="J326" s="12">
        <x:f>英雄升级调参!$E$79</x:f>
        <x:v>501</x:v>
      </x:c>
      <x:c r="K326" s="12">
        <x:f>英雄升级调参!$F$79</x:f>
        <x:v>5010</x:v>
      </x:c>
      <x:c r="L326" s="6" t="n">
        <x:f>ROUNDUP(F326/J326,0)</x:f>
        <x:v>4</x:v>
      </x:c>
      <x:c r="M326" s="6">
        <x:f>IF(G326=0,"无伤害",ROUNDUP(K326/G326,0))</x:f>
        <x:v>42</x:v>
      </x:c>
      <x:c r="N326" s="6" t="n">
        <x:f>ROUNDUP(F326/英雄升级调参!$H$79,0)</x:f>
        <x:v>3</x:v>
      </x:c>
      <x:c r="O326" s="6" t="n">
        <x:f>ROUNDUP(F326/英雄升级调参!$K$79,0)</x:f>
        <x:v>2</x:v>
      </x:c>
      <x:c r="P326" s="6" t="str">
        <x:f t="shared" si="100"/>
        <x:v>普通4下；攻击沿用现值</x:v>
      </x:c>
      <x:c r="Q326" s="6"/>
      <x:c r="R326" s="6"/>
      <x:c r="S326" s="6"/>
      <x:c r="T326" s="6"/>
    </x:row>
    <x:row r="327" ht="21" customHeight="1">
      <x:c r="A327" s="14">
        <x:f t="shared" si="95"/>
        <x:v>60003</x:v>
      </x:c>
      <x:c r="B327" s="14" t="str">
        <x:f t="shared" si="96"/>
        <x:v>小草</x:v>
      </x:c>
      <x:c r="C327" s="6" t="str">
        <x:f t="shared" si="97"/>
        <x:v>普通</x:v>
      </x:c>
      <x:c r="D327" s="6">
        <x:v>15</x:v>
      </x:c>
      <x:c r="E327" s="6">
        <x:v>16</x:v>
      </x:c>
      <x:c r="F327" s="12">
        <x:f>ROUND(J327*$W$4*H327,0)</x:f>
        <x:v>2436</x:v>
      </x:c>
      <x:c r="G327" s="12">
        <x:f>ROUND(J327*$W$4*$W$5*I327,0)</x:f>
        <x:v>146</x:v>
      </x:c>
      <x:c r="H327" s="11">
        <x:f t="shared" si="98"/>
        <x:v>1</x:v>
      </x:c>
      <x:c r="I327" s="11">
        <x:f t="shared" si="99"/>
        <x:v>0.8</x:v>
      </x:c>
      <x:c r="J327" s="12">
        <x:f>英雄升级调参!$E$80</x:f>
        <x:v>609</x:v>
      </x:c>
      <x:c r="K327" s="12">
        <x:f>英雄升级调参!$F$80</x:f>
        <x:v>6090</x:v>
      </x:c>
      <x:c r="L327" s="6" t="n">
        <x:f>ROUNDUP(F327/J327,0)</x:f>
        <x:v>4</x:v>
      </x:c>
      <x:c r="M327" s="6" t="n">
        <x:f>IF(G327=0,"无伤害",ROUNDUP(K327/G327,0))</x:f>
        <x:v>42</x:v>
      </x:c>
      <x:c r="N327" s="6" t="n">
        <x:f>ROUNDUP(F327/英雄升级调参!$H$80,0)</x:f>
        <x:v>3</x:v>
      </x:c>
      <x:c r="O327" s="6" t="n">
        <x:f>ROUNDUP(F327/英雄升级调参!$K$80,0)</x:f>
        <x:v>2</x:v>
      </x:c>
      <x:c r="P327" s="6" t="str">
        <x:f t="shared" si="100"/>
        <x:v>普通4下；攻击沿用现值</x:v>
      </x:c>
      <x:c r="Q327" s="6"/>
      <x:c r="R327" s="6"/>
      <x:c r="S327" s="6"/>
      <x:c r="T327" s="6"/>
    </x:row>
    <x:row r="328" ht="21" customHeight="1">
      <x:c r="A328" s="14">
        <x:f t="shared" si="95"/>
        <x:v>60003</x:v>
      </x:c>
      <x:c r="B328" s="14" t="str">
        <x:f t="shared" si="96"/>
        <x:v>小草</x:v>
      </x:c>
      <x:c r="C328" s="6" t="str">
        <x:f t="shared" si="97"/>
        <x:v>普通</x:v>
      </x:c>
      <x:c r="D328" s="6">
        <x:v>16</x:v>
      </x:c>
      <x:c r="E328" s="6">
        <x:v>16</x:v>
      </x:c>
      <x:c r="F328" s="12">
        <x:f>ROUND(J328*$W$4*H328,0)</x:f>
        <x:v>2616</x:v>
      </x:c>
      <x:c r="G328" s="12">
        <x:f>ROUND(J328*$W$4*$W$5*I328,0)</x:f>
        <x:v>157</x:v>
      </x:c>
      <x:c r="H328" s="11">
        <x:f t="shared" si="98"/>
        <x:v>1</x:v>
      </x:c>
      <x:c r="I328" s="11">
        <x:f t="shared" si="99"/>
        <x:v>0.8</x:v>
      </x:c>
      <x:c r="J328" s="12">
        <x:f>英雄升级调参!$E$81</x:f>
        <x:v>654</x:v>
      </x:c>
      <x:c r="K328" s="12">
        <x:f>英雄升级调参!$F$81</x:f>
        <x:v>6540</x:v>
      </x:c>
      <x:c r="L328" s="6" t="n">
        <x:f>ROUNDUP(F328/J328,0)</x:f>
        <x:v>4</x:v>
      </x:c>
      <x:c r="M328" s="6" t="n">
        <x:f>IF(G328=0,"无伤害",ROUNDUP(K328/G328,0))</x:f>
        <x:v>42</x:v>
      </x:c>
      <x:c r="N328" s="6" t="n">
        <x:f>ROUNDUP(F328/英雄升级调参!$H$81,0)</x:f>
        <x:v>3</x:v>
      </x:c>
      <x:c r="O328" s="6" t="n">
        <x:f>ROUNDUP(F328/英雄升级调参!$K$81,0)</x:f>
        <x:v>2</x:v>
      </x:c>
      <x:c r="P328" s="6" t="str">
        <x:f t="shared" si="100"/>
        <x:v>普通4下；攻击沿用现值</x:v>
      </x:c>
      <x:c r="Q328" s="6"/>
      <x:c r="R328" s="6"/>
      <x:c r="S328" s="6"/>
      <x:c r="T328" s="6"/>
    </x:row>
    <x:row r="329" ht="21" customHeight="1">
      <x:c r="A329" s="14">
        <x:f t="shared" si="95"/>
        <x:v>60003</x:v>
      </x:c>
      <x:c r="B329" s="14" t="str">
        <x:f t="shared" si="96"/>
        <x:v>小草</x:v>
      </x:c>
      <x:c r="C329" s="6" t="str">
        <x:f t="shared" si="97"/>
        <x:v>普通</x:v>
      </x:c>
      <x:c r="D329" s="6">
        <x:v>17</x:v>
      </x:c>
      <x:c r="E329" s="6">
        <x:v>16</x:v>
      </x:c>
      <x:c r="F329" s="12">
        <x:f>ROUND(J329*$W$4*H329,0)</x:f>
        <x:v>2796</x:v>
      </x:c>
      <x:c r="G329" s="12">
        <x:f>ROUND(J329*$W$4*$W$5*I329,0)</x:f>
        <x:v>168</x:v>
      </x:c>
      <x:c r="H329" s="11">
        <x:f t="shared" si="98"/>
        <x:v>1</x:v>
      </x:c>
      <x:c r="I329" s="11">
        <x:f t="shared" si="99"/>
        <x:v>0.8</x:v>
      </x:c>
      <x:c r="J329" s="12">
        <x:f>英雄升级调参!$E$82</x:f>
        <x:v>699</x:v>
      </x:c>
      <x:c r="K329" s="12">
        <x:f>英雄升级调参!$F$82</x:f>
        <x:v>6990</x:v>
      </x:c>
      <x:c r="L329" s="6" t="n">
        <x:f>ROUNDUP(F329/J329,0)</x:f>
        <x:v>4</x:v>
      </x:c>
      <x:c r="M329" s="6" t="n">
        <x:f>IF(G329=0,"无伤害",ROUNDUP(K329/G329,0))</x:f>
        <x:v>42</x:v>
      </x:c>
      <x:c r="N329" s="6" t="n">
        <x:f>ROUNDUP(F329/英雄升级调参!$H$82,0)</x:f>
        <x:v>3</x:v>
      </x:c>
      <x:c r="O329" s="6" t="n">
        <x:f>ROUNDUP(F329/英雄升级调参!$K$82,0)</x:f>
        <x:v>2</x:v>
      </x:c>
      <x:c r="P329" s="6" t="str">
        <x:f t="shared" si="100"/>
        <x:v>普通4下；攻击沿用现值</x:v>
      </x:c>
      <x:c r="Q329" s="6"/>
      <x:c r="R329" s="6"/>
      <x:c r="S329" s="6"/>
      <x:c r="T329" s="6"/>
    </x:row>
    <x:row r="330" ht="21" customHeight="1">
      <x:c r="A330" s="14">
        <x:f t="shared" si="95"/>
        <x:v>60003</x:v>
      </x:c>
      <x:c r="B330" s="14" t="str">
        <x:f t="shared" si="96"/>
        <x:v>小草</x:v>
      </x:c>
      <x:c r="C330" s="6" t="str">
        <x:f t="shared" si="97"/>
        <x:v>普通</x:v>
      </x:c>
      <x:c r="D330" s="6">
        <x:v>18</x:v>
      </x:c>
      <x:c r="E330" s="6">
        <x:v>16</x:v>
      </x:c>
      <x:c r="F330" s="12">
        <x:f>ROUND(J330*$W$4*H330,0)</x:f>
        <x:v>2976</x:v>
      </x:c>
      <x:c r="G330" s="12">
        <x:f>ROUND(J330*$W$4*$W$5*I330,0)</x:f>
        <x:v>179</x:v>
      </x:c>
      <x:c r="H330" s="11">
        <x:f t="shared" si="98"/>
        <x:v>1</x:v>
      </x:c>
      <x:c r="I330" s="11">
        <x:f t="shared" si="99"/>
        <x:v>0.8</x:v>
      </x:c>
      <x:c r="J330" s="12">
        <x:f>英雄升级调参!$E$83</x:f>
        <x:v>744</x:v>
      </x:c>
      <x:c r="K330" s="12">
        <x:f>英雄升级调参!$F$83</x:f>
        <x:v>7440</x:v>
      </x:c>
      <x:c r="L330" s="6" t="n">
        <x:f>ROUNDUP(F330/J330,0)</x:f>
        <x:v>4</x:v>
      </x:c>
      <x:c r="M330" s="6" t="n">
        <x:f>IF(G330=0,"无伤害",ROUNDUP(K330/G330,0))</x:f>
        <x:v>42</x:v>
      </x:c>
      <x:c r="N330" s="6" t="n">
        <x:f>ROUNDUP(F330/英雄升级调参!$H$83,0)</x:f>
        <x:v>3</x:v>
      </x:c>
      <x:c r="O330" s="6" t="n">
        <x:f>ROUNDUP(F330/英雄升级调参!$K$83,0)</x:f>
        <x:v>2</x:v>
      </x:c>
      <x:c r="P330" s="6" t="str">
        <x:f t="shared" si="100"/>
        <x:v>普通4下；攻击沿用现值</x:v>
      </x:c>
      <x:c r="Q330" s="6"/>
      <x:c r="R330" s="6"/>
      <x:c r="S330" s="6"/>
      <x:c r="T330" s="6"/>
    </x:row>
    <x:row r="331" ht="21" customHeight="1">
      <x:c r="A331" s="14">
        <x:f t="shared" si="95"/>
        <x:v>60003</x:v>
      </x:c>
      <x:c r="B331" s="14" t="str">
        <x:f t="shared" si="96"/>
        <x:v>小草</x:v>
      </x:c>
      <x:c r="C331" s="6" t="str">
        <x:f t="shared" si="97"/>
        <x:v>普通</x:v>
      </x:c>
      <x:c r="D331" s="6">
        <x:v>19</x:v>
      </x:c>
      <x:c r="E331" s="6">
        <x:v>16</x:v>
      </x:c>
      <x:c r="F331" s="12">
        <x:f>ROUND(J331*$W$4*H331,0)</x:f>
        <x:v>3156</x:v>
      </x:c>
      <x:c r="G331" s="12">
        <x:f>ROUND(J331*$W$4*$W$5*I331,0)</x:f>
        <x:v>189</x:v>
      </x:c>
      <x:c r="H331" s="11">
        <x:f t="shared" si="98"/>
        <x:v>1</x:v>
      </x:c>
      <x:c r="I331" s="11">
        <x:f t="shared" si="99"/>
        <x:v>0.8</x:v>
      </x:c>
      <x:c r="J331" s="12">
        <x:f>英雄升级调参!$E$84</x:f>
        <x:v>789</x:v>
      </x:c>
      <x:c r="K331" s="12">
        <x:f>英雄升级调参!$F$84</x:f>
        <x:v>7890</x:v>
      </x:c>
      <x:c r="L331" s="6" t="n">
        <x:f>ROUNDUP(F331/J331,0)</x:f>
        <x:v>4</x:v>
      </x:c>
      <x:c r="M331" s="6" t="n">
        <x:f>IF(G331=0,"无伤害",ROUNDUP(K331/G331,0))</x:f>
        <x:v>42</x:v>
      </x:c>
      <x:c r="N331" s="6" t="n">
        <x:f>ROUNDUP(F331/英雄升级调参!$H$84,0)</x:f>
        <x:v>3</x:v>
      </x:c>
      <x:c r="O331" s="6" t="n">
        <x:f>ROUNDUP(F331/英雄升级调参!$K$84,0)</x:f>
        <x:v>2</x:v>
      </x:c>
      <x:c r="P331" s="6" t="str">
        <x:f t="shared" si="100"/>
        <x:v>普通4下；攻击沿用现值</x:v>
      </x:c>
      <x:c r="Q331" s="6"/>
      <x:c r="R331" s="6"/>
      <x:c r="S331" s="6"/>
      <x:c r="T331" s="6"/>
    </x:row>
    <x:row r="332" ht="21" customHeight="1">
      <x:c r="A332" s="14">
        <x:f t="shared" si="95"/>
        <x:v>60003</x:v>
      </x:c>
      <x:c r="B332" s="14" t="str">
        <x:f t="shared" si="96"/>
        <x:v>小草</x:v>
      </x:c>
      <x:c r="C332" s="6" t="str">
        <x:f t="shared" si="97"/>
        <x:v>普通</x:v>
      </x:c>
      <x:c r="D332" s="6">
        <x:v>20</x:v>
      </x:c>
      <x:c r="E332" s="6">
        <x:v>16</x:v>
      </x:c>
      <x:c r="F332" s="12">
        <x:f>ROUND(J332*$W$4*H332,0)</x:f>
        <x:v>3696</x:v>
      </x:c>
      <x:c r="G332" s="12">
        <x:f>ROUND(J332*$W$4*$W$5*I332,0)</x:f>
        <x:v>222</x:v>
      </x:c>
      <x:c r="H332" s="11">
        <x:f t="shared" si="98"/>
        <x:v>1</x:v>
      </x:c>
      <x:c r="I332" s="11">
        <x:f t="shared" si="99"/>
        <x:v>0.8</x:v>
      </x:c>
      <x:c r="J332" s="12">
        <x:f>英雄升级调参!$E$85</x:f>
        <x:v>924</x:v>
      </x:c>
      <x:c r="K332" s="12">
        <x:f>英雄升级调参!$F$85</x:f>
        <x:v>9240</x:v>
      </x:c>
      <x:c r="L332" s="6" t="n">
        <x:f>ROUNDUP(F332/J332,0)</x:f>
        <x:v>4</x:v>
      </x:c>
      <x:c r="M332" s="6" t="n">
        <x:f>IF(G332=0,"无伤害",ROUNDUP(K332/G332,0))</x:f>
        <x:v>42</x:v>
      </x:c>
      <x:c r="N332" s="6" t="n">
        <x:f>ROUNDUP(F332/英雄升级调参!$H$85,0)</x:f>
        <x:v>3</x:v>
      </x:c>
      <x:c r="O332" s="6" t="n">
        <x:f>ROUNDUP(F332/英雄升级调参!$K$85,0)</x:f>
        <x:v>2</x:v>
      </x:c>
      <x:c r="P332" s="6" t="str">
        <x:f t="shared" si="100"/>
        <x:v>普通4下；攻击沿用现值</x:v>
      </x:c>
      <x:c r="Q332" s="6"/>
      <x:c r="R332" s="6"/>
      <x:c r="S332" s="6"/>
      <x:c r="T332" s="6"/>
    </x:row>
    <x:row r="333" ht="21" customHeight="1">
      <x:c r="A333" s="14">
        <x:f t="shared" si="95"/>
        <x:v>60003</x:v>
      </x:c>
      <x:c r="B333" s="14" t="str">
        <x:f t="shared" si="96"/>
        <x:v>小草</x:v>
      </x:c>
      <x:c r="C333" s="6" t="str">
        <x:f t="shared" si="97"/>
        <x:v>普通</x:v>
      </x:c>
      <x:c r="D333" s="6">
        <x:v>21</x:v>
      </x:c>
      <x:c r="E333" s="6">
        <x:v>16</x:v>
      </x:c>
      <x:c r="F333" s="12">
        <x:f t="shared" ref="F333:F362" si="101">ROUND(J333*$W$4*H333,0)</x:f>
        <x:v>3912</x:v>
      </x:c>
      <x:c r="G333" s="12">
        <x:f t="shared" ref="G333:G396" si="102">ROUND(J333*$W$4*$W$5*I333,0)</x:f>
        <x:v>235</x:v>
      </x:c>
      <x:c r="H333" s="11">
        <x:f t="shared" si="98"/>
        <x:v>1</x:v>
      </x:c>
      <x:c r="I333" s="11">
        <x:f t="shared" si="99"/>
        <x:v>0.8</x:v>
      </x:c>
      <x:c r="J333" s="12">
        <x:f>英雄升级调参!$E$86</x:f>
        <x:v>978</x:v>
      </x:c>
      <x:c r="K333" s="12">
        <x:f>英雄升级调参!$F$86</x:f>
        <x:v>9780</x:v>
      </x:c>
      <x:c r="L333" s="6" t="n">
        <x:f t="shared" ref="L333:L362" si="103">ROUNDUP(F333/J333,0)</x:f>
        <x:v>4</x:v>
      </x:c>
      <x:c r="M333" s="6" t="n">
        <x:f t="shared" ref="M333:M396" si="104">IF(G333=0,"无伤害",ROUNDUP(K333/G333,0))</x:f>
        <x:v>42</x:v>
      </x:c>
      <x:c r="N333" s="6" t="n">
        <x:f>ROUNDUP(F333/英雄升级调参!$H$86,0)</x:f>
        <x:v>3</x:v>
      </x:c>
      <x:c r="O333" s="6" t="n">
        <x:f>ROUNDUP(F333/英雄升级调参!$K$86,0)</x:f>
        <x:v>2</x:v>
      </x:c>
      <x:c r="P333" s="6" t="str">
        <x:f t="shared" si="100"/>
        <x:v>普通4下；攻击沿用现值</x:v>
      </x:c>
      <x:c r="Q333" s="6"/>
      <x:c r="R333" s="6"/>
      <x:c r="S333" s="6"/>
      <x:c r="T333" s="6"/>
    </x:row>
    <x:row r="334" ht="21" customHeight="1">
      <x:c r="A334" s="14">
        <x:f t="shared" si="95"/>
        <x:v>60003</x:v>
      </x:c>
      <x:c r="B334" s="14" t="str">
        <x:f t="shared" si="96"/>
        <x:v>小草</x:v>
      </x:c>
      <x:c r="C334" s="6" t="str">
        <x:f t="shared" si="97"/>
        <x:v>普通</x:v>
      </x:c>
      <x:c r="D334" s="6">
        <x:v>22</x:v>
      </x:c>
      <x:c r="E334" s="6">
        <x:v>16</x:v>
      </x:c>
      <x:c r="F334" s="12">
        <x:f t="shared" si="101"/>
        <x:v>4128</x:v>
      </x:c>
      <x:c r="G334" s="12">
        <x:f t="shared" si="102"/>
        <x:v>248</x:v>
      </x:c>
      <x:c r="H334" s="11">
        <x:f t="shared" si="98"/>
        <x:v>1</x:v>
      </x:c>
      <x:c r="I334" s="11">
        <x:f t="shared" si="99"/>
        <x:v>0.8</x:v>
      </x:c>
      <x:c r="J334" s="12">
        <x:f>英雄升级调参!$E$87</x:f>
        <x:v>1032</x:v>
      </x:c>
      <x:c r="K334" s="12">
        <x:f>英雄升级调参!$F$87</x:f>
        <x:v>10320</x:v>
      </x:c>
      <x:c r="L334" s="6">
        <x:f t="shared" si="103"/>
        <x:v>4</x:v>
      </x:c>
      <x:c r="M334" s="6">
        <x:f t="shared" si="104"/>
        <x:v>42</x:v>
      </x:c>
      <x:c r="N334" s="6" t="n">
        <x:f>ROUNDUP(F334/英雄升级调参!$H$87,0)</x:f>
        <x:v>3</x:v>
      </x:c>
      <x:c r="O334" s="6" t="n">
        <x:f>ROUNDUP(F334/英雄升级调参!$K$87,0)</x:f>
        <x:v>2</x:v>
      </x:c>
      <x:c r="P334" s="6" t="str">
        <x:f t="shared" si="100"/>
        <x:v>普通4下；攻击沿用现值</x:v>
      </x:c>
      <x:c r="Q334" s="6"/>
      <x:c r="R334" s="6"/>
      <x:c r="S334" s="6"/>
      <x:c r="T334" s="6"/>
    </x:row>
    <x:row r="335" ht="21" customHeight="1">
      <x:c r="A335" s="14">
        <x:f t="shared" si="95"/>
        <x:v>60003</x:v>
      </x:c>
      <x:c r="B335" s="14" t="str">
        <x:f t="shared" si="96"/>
        <x:v>小草</x:v>
      </x:c>
      <x:c r="C335" s="6" t="str">
        <x:f t="shared" si="97"/>
        <x:v>普通</x:v>
      </x:c>
      <x:c r="D335" s="6">
        <x:v>23</x:v>
      </x:c>
      <x:c r="E335" s="6">
        <x:v>16</x:v>
      </x:c>
      <x:c r="F335" s="12">
        <x:f t="shared" si="101"/>
        <x:v>4344</x:v>
      </x:c>
      <x:c r="G335" s="12">
        <x:f t="shared" si="102"/>
        <x:v>261</x:v>
      </x:c>
      <x:c r="H335" s="11">
        <x:f t="shared" si="98"/>
        <x:v>1</x:v>
      </x:c>
      <x:c r="I335" s="11">
        <x:f t="shared" si="99"/>
        <x:v>0.8</x:v>
      </x:c>
      <x:c r="J335" s="12">
        <x:f>英雄升级调参!$E$88</x:f>
        <x:v>1086</x:v>
      </x:c>
      <x:c r="K335" s="12">
        <x:f>英雄升级调参!$F$88</x:f>
        <x:v>10860</x:v>
      </x:c>
      <x:c r="L335" s="6">
        <x:f t="shared" si="103"/>
        <x:v>4</x:v>
      </x:c>
      <x:c r="M335" s="6">
        <x:f t="shared" si="104"/>
        <x:v>42</x:v>
      </x:c>
      <x:c r="N335" s="6" t="n">
        <x:f>ROUNDUP(F335/英雄升级调参!$H$88,0)</x:f>
        <x:v>3</x:v>
      </x:c>
      <x:c r="O335" s="6" t="n">
        <x:f>ROUNDUP(F335/英雄升级调参!$K$88,0)</x:f>
        <x:v>2</x:v>
      </x:c>
      <x:c r="P335" s="6" t="str">
        <x:f t="shared" si="100"/>
        <x:v>普通4下；攻击沿用现值</x:v>
      </x:c>
      <x:c r="Q335" s="6"/>
      <x:c r="R335" s="6"/>
      <x:c r="S335" s="6"/>
      <x:c r="T335" s="6"/>
    </x:row>
    <x:row r="336" ht="21" customHeight="1">
      <x:c r="A336" s="14">
        <x:f t="shared" si="95"/>
        <x:v>60003</x:v>
      </x:c>
      <x:c r="B336" s="14" t="str">
        <x:f t="shared" si="96"/>
        <x:v>小草</x:v>
      </x:c>
      <x:c r="C336" s="6" t="str">
        <x:f t="shared" si="97"/>
        <x:v>普通</x:v>
      </x:c>
      <x:c r="D336" s="6">
        <x:v>24</x:v>
      </x:c>
      <x:c r="E336" s="6">
        <x:v>16</x:v>
      </x:c>
      <x:c r="F336" s="12">
        <x:f t="shared" si="101"/>
        <x:v>4560</x:v>
      </x:c>
      <x:c r="G336" s="12">
        <x:f t="shared" si="102"/>
        <x:v>274</x:v>
      </x:c>
      <x:c r="H336" s="11">
        <x:f t="shared" si="98"/>
        <x:v>1</x:v>
      </x:c>
      <x:c r="I336" s="11">
        <x:f t="shared" si="99"/>
        <x:v>0.8</x:v>
      </x:c>
      <x:c r="J336" s="12">
        <x:f>英雄升级调参!$E$89</x:f>
        <x:v>1140</x:v>
      </x:c>
      <x:c r="K336" s="12">
        <x:f>英雄升级调参!$F$89</x:f>
        <x:v>11400</x:v>
      </x:c>
      <x:c r="L336" s="6">
        <x:f t="shared" si="103"/>
        <x:v>4</x:v>
      </x:c>
      <x:c r="M336" s="6">
        <x:f t="shared" si="104"/>
        <x:v>42</x:v>
      </x:c>
      <x:c r="N336" s="6" t="n">
        <x:f>ROUNDUP(F336/英雄升级调参!$H$89,0)</x:f>
        <x:v>3</x:v>
      </x:c>
      <x:c r="O336" s="6" t="n">
        <x:f>ROUNDUP(F336/英雄升级调参!$K$89,0)</x:f>
        <x:v>2</x:v>
      </x:c>
      <x:c r="P336" s="6" t="str">
        <x:f t="shared" si="100"/>
        <x:v>普通4下；攻击沿用现值</x:v>
      </x:c>
      <x:c r="Q336" s="6"/>
      <x:c r="R336" s="6"/>
      <x:c r="S336" s="6"/>
      <x:c r="T336" s="6"/>
    </x:row>
    <x:row r="337" ht="21" customHeight="1">
      <x:c r="A337" s="14">
        <x:f t="shared" si="95"/>
        <x:v>60003</x:v>
      </x:c>
      <x:c r="B337" s="14" t="str">
        <x:f t="shared" si="96"/>
        <x:v>小草</x:v>
      </x:c>
      <x:c r="C337" s="6" t="str">
        <x:f t="shared" si="97"/>
        <x:v>普通</x:v>
      </x:c>
      <x:c r="D337" s="6">
        <x:v>25</x:v>
      </x:c>
      <x:c r="E337" s="6">
        <x:v>16</x:v>
      </x:c>
      <x:c r="F337" s="12">
        <x:f t="shared" si="101"/>
        <x:v>5208</x:v>
      </x:c>
      <x:c r="G337" s="12">
        <x:f t="shared" si="102"/>
        <x:v>312</x:v>
      </x:c>
      <x:c r="H337" s="11">
        <x:f t="shared" si="98"/>
        <x:v>1</x:v>
      </x:c>
      <x:c r="I337" s="11">
        <x:f t="shared" si="99"/>
        <x:v>0.8</x:v>
      </x:c>
      <x:c r="J337" s="12">
        <x:f>英雄升级调参!$E$90</x:f>
        <x:v>1302</x:v>
      </x:c>
      <x:c r="K337" s="12">
        <x:f>英雄升级调参!$F$90</x:f>
        <x:v>13020</x:v>
      </x:c>
      <x:c r="L337" s="6">
        <x:f t="shared" si="103"/>
        <x:v>4</x:v>
      </x:c>
      <x:c r="M337" s="6">
        <x:f t="shared" si="104"/>
        <x:v>42</x:v>
      </x:c>
      <x:c r="N337" s="6" t="n">
        <x:f>ROUNDUP(F337/英雄升级调参!$H$90,0)</x:f>
        <x:v>3</x:v>
      </x:c>
      <x:c r="O337" s="6" t="n">
        <x:f>ROUNDUP(F337/英雄升级调参!$K$90,0)</x:f>
        <x:v>2</x:v>
      </x:c>
      <x:c r="P337" s="6" t="str">
        <x:f t="shared" si="100"/>
        <x:v>普通4下；攻击沿用现值</x:v>
      </x:c>
      <x:c r="Q337" s="6"/>
      <x:c r="R337" s="6"/>
      <x:c r="S337" s="6"/>
      <x:c r="T337" s="6"/>
    </x:row>
    <x:row r="338" ht="21" customHeight="1">
      <x:c r="A338" s="14">
        <x:f t="shared" si="95"/>
        <x:v>60003</x:v>
      </x:c>
      <x:c r="B338" s="14" t="str">
        <x:f t="shared" si="96"/>
        <x:v>小草</x:v>
      </x:c>
      <x:c r="C338" s="6" t="str">
        <x:f t="shared" si="97"/>
        <x:v>普通</x:v>
      </x:c>
      <x:c r="D338" s="6">
        <x:v>26</x:v>
      </x:c>
      <x:c r="E338" s="6">
        <x:v>16</x:v>
      </x:c>
      <x:c r="F338" s="12">
        <x:f t="shared" si="101"/>
        <x:v>5460</x:v>
      </x:c>
      <x:c r="G338" s="12">
        <x:f t="shared" si="102"/>
        <x:v>328</x:v>
      </x:c>
      <x:c r="H338" s="11">
        <x:f t="shared" si="98"/>
        <x:v>1</x:v>
      </x:c>
      <x:c r="I338" s="11">
        <x:f t="shared" si="99"/>
        <x:v>0.8</x:v>
      </x:c>
      <x:c r="J338" s="12">
        <x:f>英雄升级调参!$E$91</x:f>
        <x:v>1365</x:v>
      </x:c>
      <x:c r="K338" s="12">
        <x:f>英雄升级调参!$F$91</x:f>
        <x:v>13650</x:v>
      </x:c>
      <x:c r="L338" s="6">
        <x:f t="shared" si="103"/>
        <x:v>4</x:v>
      </x:c>
      <x:c r="M338" s="6">
        <x:f t="shared" si="104"/>
        <x:v>42</x:v>
      </x:c>
      <x:c r="N338" s="6" t="n">
        <x:f>ROUNDUP(F338/英雄升级调参!$H$91,0)</x:f>
        <x:v>3</x:v>
      </x:c>
      <x:c r="O338" s="6" t="n">
        <x:f>ROUNDUP(F338/英雄升级调参!$K$91,0)</x:f>
        <x:v>2</x:v>
      </x:c>
      <x:c r="P338" s="6" t="str">
        <x:f t="shared" si="100"/>
        <x:v>普通4下；攻击沿用现值</x:v>
      </x:c>
      <x:c r="Q338" s="6"/>
      <x:c r="R338" s="6"/>
      <x:c r="S338" s="6"/>
      <x:c r="T338" s="6"/>
    </x:row>
    <x:row r="339" ht="21" customHeight="1">
      <x:c r="A339" s="14">
        <x:f t="shared" si="95"/>
        <x:v>60003</x:v>
      </x:c>
      <x:c r="B339" s="14" t="str">
        <x:f t="shared" si="96"/>
        <x:v>小草</x:v>
      </x:c>
      <x:c r="C339" s="6" t="str">
        <x:f t="shared" si="97"/>
        <x:v>普通</x:v>
      </x:c>
      <x:c r="D339" s="6">
        <x:v>27</x:v>
      </x:c>
      <x:c r="E339" s="6">
        <x:v>16</x:v>
      </x:c>
      <x:c r="F339" s="12">
        <x:f t="shared" si="101"/>
        <x:v>5712</x:v>
      </x:c>
      <x:c r="G339" s="12">
        <x:f t="shared" si="102"/>
        <x:v>343</x:v>
      </x:c>
      <x:c r="H339" s="11">
        <x:f t="shared" si="98"/>
        <x:v>1</x:v>
      </x:c>
      <x:c r="I339" s="11">
        <x:f t="shared" si="99"/>
        <x:v>0.8</x:v>
      </x:c>
      <x:c r="J339" s="12">
        <x:f>英雄升级调参!$E$92</x:f>
        <x:v>1428</x:v>
      </x:c>
      <x:c r="K339" s="12">
        <x:f>英雄升级调参!$F$92</x:f>
        <x:v>14280</x:v>
      </x:c>
      <x:c r="L339" s="6">
        <x:f t="shared" si="103"/>
        <x:v>4</x:v>
      </x:c>
      <x:c r="M339" s="6">
        <x:f t="shared" si="104"/>
        <x:v>42</x:v>
      </x:c>
      <x:c r="N339" s="6" t="n">
        <x:f>ROUNDUP(F339/英雄升级调参!$H$92,0)</x:f>
        <x:v>3</x:v>
      </x:c>
      <x:c r="O339" s="6" t="n">
        <x:f>ROUNDUP(F339/英雄升级调参!$K$92,0)</x:f>
        <x:v>2</x:v>
      </x:c>
      <x:c r="P339" s="6" t="str">
        <x:f t="shared" si="100"/>
        <x:v>普通4下；攻击沿用现值</x:v>
      </x:c>
      <x:c r="Q339" s="6"/>
      <x:c r="R339" s="6"/>
      <x:c r="S339" s="6"/>
      <x:c r="T339" s="6"/>
    </x:row>
    <x:row r="340" ht="21" customHeight="1">
      <x:c r="A340" s="14">
        <x:f t="shared" si="95"/>
        <x:v>60003</x:v>
      </x:c>
      <x:c r="B340" s="14" t="str">
        <x:f t="shared" si="96"/>
        <x:v>小草</x:v>
      </x:c>
      <x:c r="C340" s="6" t="str">
        <x:f t="shared" si="97"/>
        <x:v>普通</x:v>
      </x:c>
      <x:c r="D340" s="6">
        <x:v>28</x:v>
      </x:c>
      <x:c r="E340" s="6">
        <x:v>16</x:v>
      </x:c>
      <x:c r="F340" s="12">
        <x:f t="shared" si="101"/>
        <x:v>5964</x:v>
      </x:c>
      <x:c r="G340" s="12">
        <x:f t="shared" si="102"/>
        <x:v>358</x:v>
      </x:c>
      <x:c r="H340" s="11">
        <x:f t="shared" si="98"/>
        <x:v>1</x:v>
      </x:c>
      <x:c r="I340" s="11">
        <x:f t="shared" si="99"/>
        <x:v>0.8</x:v>
      </x:c>
      <x:c r="J340" s="12">
        <x:f>英雄升级调参!$E$93</x:f>
        <x:v>1491</x:v>
      </x:c>
      <x:c r="K340" s="12">
        <x:f>英雄升级调参!$F$93</x:f>
        <x:v>14910</x:v>
      </x:c>
      <x:c r="L340" s="6">
        <x:f t="shared" si="103"/>
        <x:v>4</x:v>
      </x:c>
      <x:c r="M340" s="6">
        <x:f t="shared" si="104"/>
        <x:v>42</x:v>
      </x:c>
      <x:c r="N340" s="6" t="n">
        <x:f>ROUNDUP(F340/英雄升级调参!$H$93,0)</x:f>
        <x:v>3</x:v>
      </x:c>
      <x:c r="O340" s="6" t="n">
        <x:f>ROUNDUP(F340/英雄升级调参!$K$93,0)</x:f>
        <x:v>2</x:v>
      </x:c>
      <x:c r="P340" s="6" t="str">
        <x:f t="shared" si="100"/>
        <x:v>普通4下；攻击沿用现值</x:v>
      </x:c>
      <x:c r="Q340" s="6"/>
      <x:c r="R340" s="6"/>
      <x:c r="S340" s="6"/>
      <x:c r="T340" s="6"/>
    </x:row>
    <x:row r="341" ht="21" customHeight="1">
      <x:c r="A341" s="14">
        <x:f t="shared" si="95"/>
        <x:v>60003</x:v>
      </x:c>
      <x:c r="B341" s="14" t="str">
        <x:f t="shared" si="96"/>
        <x:v>小草</x:v>
      </x:c>
      <x:c r="C341" s="6" t="str">
        <x:f t="shared" si="97"/>
        <x:v>普通</x:v>
      </x:c>
      <x:c r="D341" s="6">
        <x:v>29</x:v>
      </x:c>
      <x:c r="E341" s="6">
        <x:v>16</x:v>
      </x:c>
      <x:c r="F341" s="12">
        <x:f t="shared" si="101"/>
        <x:v>6216</x:v>
      </x:c>
      <x:c r="G341" s="12">
        <x:f t="shared" si="102"/>
        <x:v>373</x:v>
      </x:c>
      <x:c r="H341" s="11">
        <x:f t="shared" si="98"/>
        <x:v>1</x:v>
      </x:c>
      <x:c r="I341" s="11">
        <x:f t="shared" si="99"/>
        <x:v>0.8</x:v>
      </x:c>
      <x:c r="J341" s="12">
        <x:f>英雄升级调参!$E$94</x:f>
        <x:v>1554</x:v>
      </x:c>
      <x:c r="K341" s="12">
        <x:f>英雄升级调参!$F$94</x:f>
        <x:v>15540</x:v>
      </x:c>
      <x:c r="L341" s="6">
        <x:f t="shared" si="103"/>
        <x:v>4</x:v>
      </x:c>
      <x:c r="M341" s="6">
        <x:f t="shared" si="104"/>
        <x:v>42</x:v>
      </x:c>
      <x:c r="N341" s="6" t="n">
        <x:f>ROUNDUP(F341/英雄升级调参!$H$94,0)</x:f>
        <x:v>3</x:v>
      </x:c>
      <x:c r="O341" s="6" t="n">
        <x:f>ROUNDUP(F341/英雄升级调参!$K$94,0)</x:f>
        <x:v>2</x:v>
      </x:c>
      <x:c r="P341" s="6" t="str">
        <x:f t="shared" si="100"/>
        <x:v>普通4下；攻击沿用现值</x:v>
      </x:c>
      <x:c r="Q341" s="6"/>
      <x:c r="R341" s="6"/>
      <x:c r="S341" s="6"/>
      <x:c r="T341" s="6"/>
    </x:row>
    <x:row r="342" ht="21" customHeight="1">
      <x:c r="A342" s="14">
        <x:f t="shared" si="95"/>
        <x:v>60003</x:v>
      </x:c>
      <x:c r="B342" s="14" t="str">
        <x:f t="shared" si="96"/>
        <x:v>小草</x:v>
      </x:c>
      <x:c r="C342" s="6" t="str">
        <x:f t="shared" si="97"/>
        <x:v>普通</x:v>
      </x:c>
      <x:c r="D342" s="6">
        <x:v>30</x:v>
      </x:c>
      <x:c r="E342" s="6">
        <x:v>16</x:v>
      </x:c>
      <x:c r="F342" s="12">
        <x:f t="shared" si="101"/>
        <x:v>6972</x:v>
      </x:c>
      <x:c r="G342" s="12">
        <x:f t="shared" si="102"/>
        <x:v>418</x:v>
      </x:c>
      <x:c r="H342" s="11">
        <x:f t="shared" si="98"/>
        <x:v>1</x:v>
      </x:c>
      <x:c r="I342" s="11">
        <x:f t="shared" si="99"/>
        <x:v>0.8</x:v>
      </x:c>
      <x:c r="J342" s="12">
        <x:f>英雄升级调参!$E$95</x:f>
        <x:v>1743</x:v>
      </x:c>
      <x:c r="K342" s="12">
        <x:f>英雄升级调参!$F$95</x:f>
        <x:v>17430</x:v>
      </x:c>
      <x:c r="L342" s="6">
        <x:f t="shared" si="103"/>
        <x:v>4</x:v>
      </x:c>
      <x:c r="M342" s="6">
        <x:f t="shared" si="104"/>
        <x:v>42</x:v>
      </x:c>
      <x:c r="N342" s="6" t="n">
        <x:f>ROUNDUP(F342/英雄升级调参!$H$95,0)</x:f>
        <x:v>3</x:v>
      </x:c>
      <x:c r="O342" s="6" t="n">
        <x:f>ROUNDUP(F342/英雄升级调参!$K$95,0)</x:f>
        <x:v>2</x:v>
      </x:c>
      <x:c r="P342" s="6" t="str">
        <x:f t="shared" si="100"/>
        <x:v>普通4下；攻击沿用现值</x:v>
      </x:c>
      <x:c r="Q342" s="6"/>
      <x:c r="R342" s="6"/>
      <x:c r="S342" s="6"/>
      <x:c r="T342" s="6"/>
    </x:row>
    <x:row r="343" ht="21" customHeight="1">
      <x:c r="A343" s="14">
        <x:f t="shared" si="95"/>
        <x:v>60003</x:v>
      </x:c>
      <x:c r="B343" s="14" t="str">
        <x:f t="shared" si="96"/>
        <x:v>小草</x:v>
      </x:c>
      <x:c r="C343" s="6" t="str">
        <x:f t="shared" si="97"/>
        <x:v>普通</x:v>
      </x:c>
      <x:c r="D343" s="6">
        <x:v>31</x:v>
      </x:c>
      <x:c r="E343" s="6">
        <x:v>16</x:v>
      </x:c>
      <x:c r="F343" s="12">
        <x:f t="shared" si="101"/>
        <x:v>7260</x:v>
      </x:c>
      <x:c r="G343" s="12">
        <x:f t="shared" si="102"/>
        <x:v>436</x:v>
      </x:c>
      <x:c r="H343" s="11">
        <x:f t="shared" si="98"/>
        <x:v>1</x:v>
      </x:c>
      <x:c r="I343" s="11">
        <x:f t="shared" si="99"/>
        <x:v>0.8</x:v>
      </x:c>
      <x:c r="J343" s="12">
        <x:f>英雄升级调参!$E$96</x:f>
        <x:v>1815</x:v>
      </x:c>
      <x:c r="K343" s="12">
        <x:f>英雄升级调参!$F$96</x:f>
        <x:v>18150</x:v>
      </x:c>
      <x:c r="L343" s="6">
        <x:f t="shared" si="103"/>
        <x:v>4</x:v>
      </x:c>
      <x:c r="M343" s="6">
        <x:f t="shared" si="104"/>
        <x:v>42</x:v>
      </x:c>
      <x:c r="N343" s="6" t="n">
        <x:f>ROUNDUP(F343/英雄升级调参!$H$96,0)</x:f>
        <x:v>3</x:v>
      </x:c>
      <x:c r="O343" s="6" t="n">
        <x:f>ROUNDUP(F343/英雄升级调参!$K$96,0)</x:f>
        <x:v>2</x:v>
      </x:c>
      <x:c r="P343" s="6" t="str">
        <x:f t="shared" si="100"/>
        <x:v>普通4下；攻击沿用现值</x:v>
      </x:c>
      <x:c r="Q343" s="6"/>
      <x:c r="R343" s="6"/>
      <x:c r="S343" s="6"/>
      <x:c r="T343" s="6"/>
    </x:row>
    <x:row r="344" ht="21" customHeight="1">
      <x:c r="A344" s="14">
        <x:f t="shared" si="95"/>
        <x:v>60003</x:v>
      </x:c>
      <x:c r="B344" s="14" t="str">
        <x:f t="shared" si="96"/>
        <x:v>小草</x:v>
      </x:c>
      <x:c r="C344" s="6" t="str">
        <x:f t="shared" si="97"/>
        <x:v>普通</x:v>
      </x:c>
      <x:c r="D344" s="6">
        <x:v>32</x:v>
      </x:c>
      <x:c r="E344" s="6">
        <x:v>16</x:v>
      </x:c>
      <x:c r="F344" s="12">
        <x:f t="shared" si="101"/>
        <x:v>7548</x:v>
      </x:c>
      <x:c r="G344" s="12">
        <x:f t="shared" si="102"/>
        <x:v>453</x:v>
      </x:c>
      <x:c r="H344" s="11">
        <x:f t="shared" si="98"/>
        <x:v>1</x:v>
      </x:c>
      <x:c r="I344" s="11">
        <x:f t="shared" si="99"/>
        <x:v>0.8</x:v>
      </x:c>
      <x:c r="J344" s="12">
        <x:f>英雄升级调参!$E$97</x:f>
        <x:v>1887</x:v>
      </x:c>
      <x:c r="K344" s="12">
        <x:f>英雄升级调参!$F$97</x:f>
        <x:v>18870</x:v>
      </x:c>
      <x:c r="L344" s="6">
        <x:f t="shared" si="103"/>
        <x:v>4</x:v>
      </x:c>
      <x:c r="M344" s="6">
        <x:f t="shared" si="104"/>
        <x:v>42</x:v>
      </x:c>
      <x:c r="N344" s="6" t="n">
        <x:f>ROUNDUP(F344/英雄升级调参!$H$97,0)</x:f>
        <x:v>3</x:v>
      </x:c>
      <x:c r="O344" s="6" t="n">
        <x:f>ROUNDUP(F344/英雄升级调参!$K$97,0)</x:f>
        <x:v>2</x:v>
      </x:c>
      <x:c r="P344" s="6" t="str">
        <x:f t="shared" si="100"/>
        <x:v>普通4下；攻击沿用现值</x:v>
      </x:c>
      <x:c r="Q344" s="6"/>
      <x:c r="R344" s="6"/>
      <x:c r="S344" s="6"/>
      <x:c r="T344" s="6"/>
    </x:row>
    <x:row r="345" ht="21" customHeight="1">
      <x:c r="A345" s="14" t="n">
        <x:f t="shared" ref="A345:A362" si="105">$V$16</x:f>
        <x:v>60003</x:v>
      </x:c>
      <x:c r="B345" s="14" t="str">
        <x:f t="shared" ref="B345:B362" si="106">$W$16</x:f>
        <x:v>小草</x:v>
      </x:c>
      <x:c r="C345" s="6" t="str">
        <x:f t="shared" ref="C345:C362" si="107">$X$16</x:f>
        <x:v>普通</x:v>
      </x:c>
      <x:c r="D345" s="6">
        <x:v>33</x:v>
      </x:c>
      <x:c r="E345" s="6">
        <x:v>16</x:v>
      </x:c>
      <x:c r="F345" s="12">
        <x:f t="shared" si="101"/>
        <x:v>7836</x:v>
      </x:c>
      <x:c r="G345" s="12">
        <x:f t="shared" si="102"/>
        <x:v>470</x:v>
      </x:c>
      <x:c r="H345" s="11" t="n">
        <x:f t="shared" ref="H345:H362" si="108">$Y$16</x:f>
        <x:v>1</x:v>
      </x:c>
      <x:c r="I345" s="11" t="n">
        <x:f t="shared" ref="I345:I362" si="109">$Z$16</x:f>
        <x:v>0.8</x:v>
      </x:c>
      <x:c r="J345" s="12">
        <x:f>英雄升级调参!$E$98</x:f>
        <x:v>1959</x:v>
      </x:c>
      <x:c r="K345" s="12">
        <x:f>英雄升级调参!$F$98</x:f>
        <x:v>19590</x:v>
      </x:c>
      <x:c r="L345" s="6">
        <x:f t="shared" si="103"/>
        <x:v>4</x:v>
      </x:c>
      <x:c r="M345" s="6">
        <x:f t="shared" si="104"/>
        <x:v>42</x:v>
      </x:c>
      <x:c r="N345" s="6" t="n">
        <x:f>ROUNDUP(F345/英雄升级调参!$H$98,0)</x:f>
        <x:v>3</x:v>
      </x:c>
      <x:c r="O345" s="6" t="n">
        <x:f>ROUNDUP(F345/英雄升级调参!$K$98,0)</x:f>
        <x:v>2</x:v>
      </x:c>
      <x:c r="P345" s="6" t="str">
        <x:f t="shared" ref="P345:P362" si="110">$AA$16</x:f>
        <x:v>普通4下；攻击沿用现值</x:v>
      </x:c>
      <x:c r="Q345" s="6"/>
      <x:c r="R345" s="6"/>
      <x:c r="S345" s="6"/>
      <x:c r="T345" s="6"/>
    </x:row>
    <x:row r="346" ht="21" customHeight="1">
      <x:c r="A346" s="14">
        <x:f t="shared" si="105"/>
        <x:v>60003</x:v>
      </x:c>
      <x:c r="B346" s="14" t="str">
        <x:f t="shared" si="106"/>
        <x:v>小草</x:v>
      </x:c>
      <x:c r="C346" s="6" t="str">
        <x:f t="shared" si="107"/>
        <x:v>普通</x:v>
      </x:c>
      <x:c r="D346" s="6">
        <x:v>34</x:v>
      </x:c>
      <x:c r="E346" s="6">
        <x:v>16</x:v>
      </x:c>
      <x:c r="F346" s="12">
        <x:f t="shared" si="101"/>
        <x:v>8124</x:v>
      </x:c>
      <x:c r="G346" s="12">
        <x:f t="shared" si="102"/>
        <x:v>487</x:v>
      </x:c>
      <x:c r="H346" s="11">
        <x:f t="shared" si="108"/>
        <x:v>1</x:v>
      </x:c>
      <x:c r="I346" s="11">
        <x:f t="shared" si="109"/>
        <x:v>0.8</x:v>
      </x:c>
      <x:c r="J346" s="12">
        <x:f>英雄升级调参!$E$99</x:f>
        <x:v>2031</x:v>
      </x:c>
      <x:c r="K346" s="12">
        <x:f>英雄升级调参!$F$99</x:f>
        <x:v>20310</x:v>
      </x:c>
      <x:c r="L346" s="6">
        <x:f t="shared" si="103"/>
        <x:v>4</x:v>
      </x:c>
      <x:c r="M346" s="6">
        <x:f t="shared" si="104"/>
        <x:v>42</x:v>
      </x:c>
      <x:c r="N346" s="6" t="n">
        <x:f>ROUNDUP(F346/英雄升级调参!$H$99,0)</x:f>
        <x:v>3</x:v>
      </x:c>
      <x:c r="O346" s="6" t="n">
        <x:f>ROUNDUP(F346/英雄升级调参!$K$99,0)</x:f>
        <x:v>2</x:v>
      </x:c>
      <x:c r="P346" s="6" t="str">
        <x:f t="shared" si="110"/>
        <x:v>普通4下；攻击沿用现值</x:v>
      </x:c>
      <x:c r="Q346" s="6"/>
      <x:c r="R346" s="6"/>
      <x:c r="S346" s="6"/>
      <x:c r="T346" s="6"/>
    </x:row>
    <x:row r="347" ht="21" customHeight="1">
      <x:c r="A347" s="14">
        <x:f t="shared" si="105"/>
        <x:v>60003</x:v>
      </x:c>
      <x:c r="B347" s="14" t="str">
        <x:f t="shared" si="106"/>
        <x:v>小草</x:v>
      </x:c>
      <x:c r="C347" s="6" t="str">
        <x:f t="shared" si="107"/>
        <x:v>普通</x:v>
      </x:c>
      <x:c r="D347" s="6">
        <x:v>35</x:v>
      </x:c>
      <x:c r="E347" s="6">
        <x:v>16</x:v>
      </x:c>
      <x:c r="F347" s="12">
        <x:f t="shared" si="101"/>
        <x:v>8988</x:v>
      </x:c>
      <x:c r="G347" s="12">
        <x:f t="shared" si="102"/>
        <x:v>539</x:v>
      </x:c>
      <x:c r="H347" s="11">
        <x:f t="shared" si="108"/>
        <x:v>1</x:v>
      </x:c>
      <x:c r="I347" s="11">
        <x:f t="shared" si="109"/>
        <x:v>0.8</x:v>
      </x:c>
      <x:c r="J347" s="12">
        <x:f>英雄升级调参!$E$100</x:f>
        <x:v>2247</x:v>
      </x:c>
      <x:c r="K347" s="12">
        <x:f>英雄升级调参!$F$100</x:f>
        <x:v>22470</x:v>
      </x:c>
      <x:c r="L347" s="6">
        <x:f t="shared" si="103"/>
        <x:v>4</x:v>
      </x:c>
      <x:c r="M347" s="6">
        <x:f t="shared" si="104"/>
        <x:v>42</x:v>
      </x:c>
      <x:c r="N347" s="6" t="n">
        <x:f>ROUNDUP(F347/英雄升级调参!$H$100,0)</x:f>
        <x:v>3</x:v>
      </x:c>
      <x:c r="O347" s="6" t="n">
        <x:f>ROUNDUP(F347/英雄升级调参!$K$100,0)</x:f>
        <x:v>2</x:v>
      </x:c>
      <x:c r="P347" s="6" t="str">
        <x:f t="shared" si="110"/>
        <x:v>普通4下；攻击沿用现值</x:v>
      </x:c>
      <x:c r="Q347" s="6"/>
      <x:c r="R347" s="6"/>
      <x:c r="S347" s="6"/>
      <x:c r="T347" s="6"/>
    </x:row>
    <x:row r="348" ht="21" customHeight="1">
      <x:c r="A348" s="14">
        <x:f t="shared" si="105"/>
        <x:v>60003</x:v>
      </x:c>
      <x:c r="B348" s="14" t="str">
        <x:f t="shared" si="106"/>
        <x:v>小草</x:v>
      </x:c>
      <x:c r="C348" s="6" t="str">
        <x:f t="shared" si="107"/>
        <x:v>普通</x:v>
      </x:c>
      <x:c r="D348" s="6">
        <x:v>36</x:v>
      </x:c>
      <x:c r="E348" s="6">
        <x:v>16</x:v>
      </x:c>
      <x:c r="F348" s="12">
        <x:f t="shared" si="101"/>
        <x:v>9312</x:v>
      </x:c>
      <x:c r="G348" s="12">
        <x:f t="shared" si="102"/>
        <x:v>559</x:v>
      </x:c>
      <x:c r="H348" s="11">
        <x:f t="shared" si="108"/>
        <x:v>1</x:v>
      </x:c>
      <x:c r="I348" s="11">
        <x:f t="shared" si="109"/>
        <x:v>0.8</x:v>
      </x:c>
      <x:c r="J348" s="12">
        <x:f>英雄升级调参!$E$101</x:f>
        <x:v>2328</x:v>
      </x:c>
      <x:c r="K348" s="12">
        <x:f>英雄升级调参!$F$101</x:f>
        <x:v>23280</x:v>
      </x:c>
      <x:c r="L348" s="6">
        <x:f t="shared" si="103"/>
        <x:v>4</x:v>
      </x:c>
      <x:c r="M348" s="6">
        <x:f t="shared" si="104"/>
        <x:v>42</x:v>
      </x:c>
      <x:c r="N348" s="6" t="n">
        <x:f>ROUNDUP(F348/英雄升级调参!$H$101,0)</x:f>
        <x:v>3</x:v>
      </x:c>
      <x:c r="O348" s="6" t="n">
        <x:f>ROUNDUP(F348/英雄升级调参!$K$101,0)</x:f>
        <x:v>2</x:v>
      </x:c>
      <x:c r="P348" s="6" t="str">
        <x:f t="shared" si="110"/>
        <x:v>普通4下；攻击沿用现值</x:v>
      </x:c>
      <x:c r="Q348" s="6"/>
      <x:c r="R348" s="6"/>
      <x:c r="S348" s="6"/>
      <x:c r="T348" s="6"/>
    </x:row>
    <x:row r="349" ht="21" customHeight="1">
      <x:c r="A349" s="14">
        <x:f t="shared" si="105"/>
        <x:v>60003</x:v>
      </x:c>
      <x:c r="B349" s="14" t="str">
        <x:f t="shared" si="106"/>
        <x:v>小草</x:v>
      </x:c>
      <x:c r="C349" s="6" t="str">
        <x:f t="shared" si="107"/>
        <x:v>普通</x:v>
      </x:c>
      <x:c r="D349" s="6">
        <x:v>37</x:v>
      </x:c>
      <x:c r="E349" s="6">
        <x:v>16</x:v>
      </x:c>
      <x:c r="F349" s="12">
        <x:f t="shared" si="101"/>
        <x:v>9636</x:v>
      </x:c>
      <x:c r="G349" s="12">
        <x:f t="shared" si="102"/>
        <x:v>578</x:v>
      </x:c>
      <x:c r="H349" s="11">
        <x:f t="shared" si="108"/>
        <x:v>1</x:v>
      </x:c>
      <x:c r="I349" s="11">
        <x:f t="shared" si="109"/>
        <x:v>0.8</x:v>
      </x:c>
      <x:c r="J349" s="12">
        <x:f>英雄升级调参!$E$102</x:f>
        <x:v>2409</x:v>
      </x:c>
      <x:c r="K349" s="12">
        <x:f>英雄升级调参!$F$102</x:f>
        <x:v>24090</x:v>
      </x:c>
      <x:c r="L349" s="6">
        <x:f t="shared" si="103"/>
        <x:v>4</x:v>
      </x:c>
      <x:c r="M349" s="6">
        <x:f t="shared" si="104"/>
        <x:v>42</x:v>
      </x:c>
      <x:c r="N349" s="6" t="n">
        <x:f>ROUNDUP(F349/英雄升级调参!$H$102,0)</x:f>
        <x:v>3</x:v>
      </x:c>
      <x:c r="O349" s="6" t="n">
        <x:f>ROUNDUP(F349/英雄升级调参!$K$102,0)</x:f>
        <x:v>2</x:v>
      </x:c>
      <x:c r="P349" s="6" t="str">
        <x:f t="shared" si="110"/>
        <x:v>普通4下；攻击沿用现值</x:v>
      </x:c>
      <x:c r="Q349" s="6"/>
      <x:c r="R349" s="6"/>
      <x:c r="S349" s="6"/>
      <x:c r="T349" s="6"/>
    </x:row>
    <x:row r="350" ht="21" customHeight="1">
      <x:c r="A350" s="14">
        <x:f t="shared" si="105"/>
        <x:v>60003</x:v>
      </x:c>
      <x:c r="B350" s="14" t="str">
        <x:f t="shared" si="106"/>
        <x:v>小草</x:v>
      </x:c>
      <x:c r="C350" s="6" t="str">
        <x:f t="shared" si="107"/>
        <x:v>普通</x:v>
      </x:c>
      <x:c r="D350" s="6">
        <x:v>38</x:v>
      </x:c>
      <x:c r="E350" s="6">
        <x:v>16</x:v>
      </x:c>
      <x:c r="F350" s="12">
        <x:f t="shared" si="101"/>
        <x:v>9960</x:v>
      </x:c>
      <x:c r="G350" s="12">
        <x:f t="shared" si="102"/>
        <x:v>598</x:v>
      </x:c>
      <x:c r="H350" s="11">
        <x:f t="shared" si="108"/>
        <x:v>1</x:v>
      </x:c>
      <x:c r="I350" s="11">
        <x:f t="shared" si="109"/>
        <x:v>0.8</x:v>
      </x:c>
      <x:c r="J350" s="12">
        <x:f>英雄升级调参!$E$103</x:f>
        <x:v>2490</x:v>
      </x:c>
      <x:c r="K350" s="12">
        <x:f>英雄升级调参!$F$103</x:f>
        <x:v>24900</x:v>
      </x:c>
      <x:c r="L350" s="6">
        <x:f t="shared" si="103"/>
        <x:v>4</x:v>
      </x:c>
      <x:c r="M350" s="6">
        <x:f t="shared" si="104"/>
        <x:v>42</x:v>
      </x:c>
      <x:c r="N350" s="6" t="n">
        <x:f>ROUNDUP(F350/英雄升级调参!$H$103,0)</x:f>
        <x:v>3</x:v>
      </x:c>
      <x:c r="O350" s="6" t="n">
        <x:f>ROUNDUP(F350/英雄升级调参!$K$103,0)</x:f>
        <x:v>2</x:v>
      </x:c>
      <x:c r="P350" s="6" t="str">
        <x:f t="shared" si="110"/>
        <x:v>普通4下；攻击沿用现值</x:v>
      </x:c>
      <x:c r="Q350" s="6"/>
      <x:c r="R350" s="6"/>
      <x:c r="S350" s="6"/>
      <x:c r="T350" s="6"/>
    </x:row>
    <x:row r="351" ht="21" customHeight="1">
      <x:c r="A351" s="14">
        <x:f t="shared" si="105"/>
        <x:v>60003</x:v>
      </x:c>
      <x:c r="B351" s="14" t="str">
        <x:f t="shared" si="106"/>
        <x:v>小草</x:v>
      </x:c>
      <x:c r="C351" s="6" t="str">
        <x:f t="shared" si="107"/>
        <x:v>普通</x:v>
      </x:c>
      <x:c r="D351" s="6">
        <x:v>39</x:v>
      </x:c>
      <x:c r="E351" s="6">
        <x:v>16</x:v>
      </x:c>
      <x:c r="F351" s="12">
        <x:f t="shared" si="101"/>
        <x:v>10284</x:v>
      </x:c>
      <x:c r="G351" s="12">
        <x:f t="shared" si="102"/>
        <x:v>617</x:v>
      </x:c>
      <x:c r="H351" s="11">
        <x:f t="shared" si="108"/>
        <x:v>1</x:v>
      </x:c>
      <x:c r="I351" s="11">
        <x:f t="shared" si="109"/>
        <x:v>0.8</x:v>
      </x:c>
      <x:c r="J351" s="12">
        <x:f>英雄升级调参!$E$104</x:f>
        <x:v>2571</x:v>
      </x:c>
      <x:c r="K351" s="12">
        <x:f>英雄升级调参!$F$104</x:f>
        <x:v>25710</x:v>
      </x:c>
      <x:c r="L351" s="6">
        <x:f t="shared" si="103"/>
        <x:v>4</x:v>
      </x:c>
      <x:c r="M351" s="6">
        <x:f t="shared" si="104"/>
        <x:v>42</x:v>
      </x:c>
      <x:c r="N351" s="6" t="n">
        <x:f>ROUNDUP(F351/英雄升级调参!$H$104,0)</x:f>
        <x:v>3</x:v>
      </x:c>
      <x:c r="O351" s="6" t="n">
        <x:f>ROUNDUP(F351/英雄升级调参!$K$104,0)</x:f>
        <x:v>2</x:v>
      </x:c>
      <x:c r="P351" s="6" t="str">
        <x:f t="shared" si="110"/>
        <x:v>普通4下；攻击沿用现值</x:v>
      </x:c>
      <x:c r="Q351" s="6"/>
      <x:c r="R351" s="6"/>
      <x:c r="S351" s="6"/>
      <x:c r="T351" s="6"/>
    </x:row>
    <x:row r="352" ht="21" customHeight="1">
      <x:c r="A352" s="14">
        <x:f t="shared" si="105"/>
        <x:v>60003</x:v>
      </x:c>
      <x:c r="B352" s="14" t="str">
        <x:f t="shared" si="106"/>
        <x:v>小草</x:v>
      </x:c>
      <x:c r="C352" s="6" t="str">
        <x:f t="shared" si="107"/>
        <x:v>普通</x:v>
      </x:c>
      <x:c r="D352" s="6">
        <x:v>40</x:v>
      </x:c>
      <x:c r="E352" s="6">
        <x:v>16</x:v>
      </x:c>
      <x:c r="F352" s="12">
        <x:f t="shared" si="101"/>
        <x:v>11256</x:v>
      </x:c>
      <x:c r="G352" s="12">
        <x:f t="shared" si="102"/>
        <x:v>675</x:v>
      </x:c>
      <x:c r="H352" s="11">
        <x:f t="shared" si="108"/>
        <x:v>1</x:v>
      </x:c>
      <x:c r="I352" s="11">
        <x:f t="shared" si="109"/>
        <x:v>0.8</x:v>
      </x:c>
      <x:c r="J352" s="12">
        <x:f>英雄升级调参!$E$105</x:f>
        <x:v>2814</x:v>
      </x:c>
      <x:c r="K352" s="12">
        <x:f>英雄升级调参!$F$105</x:f>
        <x:v>28140</x:v>
      </x:c>
      <x:c r="L352" s="6">
        <x:f t="shared" si="103"/>
        <x:v>4</x:v>
      </x:c>
      <x:c r="M352" s="6">
        <x:f t="shared" si="104"/>
        <x:v>42</x:v>
      </x:c>
      <x:c r="N352" s="6" t="n">
        <x:f>ROUNDUP(F352/英雄升级调参!$H$105,0)</x:f>
        <x:v>3</x:v>
      </x:c>
      <x:c r="O352" s="6" t="n">
        <x:f>ROUNDUP(F352/英雄升级调参!$K$105,0)</x:f>
        <x:v>2</x:v>
      </x:c>
      <x:c r="P352" s="6" t="str">
        <x:f t="shared" si="110"/>
        <x:v>普通4下；攻击沿用现值</x:v>
      </x:c>
      <x:c r="Q352" s="6"/>
      <x:c r="R352" s="6"/>
      <x:c r="S352" s="6"/>
      <x:c r="T352" s="6"/>
    </x:row>
    <x:row r="353" ht="21" customHeight="1">
      <x:c r="A353" s="14">
        <x:f t="shared" si="105"/>
        <x:v>60003</x:v>
      </x:c>
      <x:c r="B353" s="14" t="str">
        <x:f t="shared" si="106"/>
        <x:v>小草</x:v>
      </x:c>
      <x:c r="C353" s="6" t="str">
        <x:f t="shared" si="107"/>
        <x:v>普通</x:v>
      </x:c>
      <x:c r="D353" s="6">
        <x:v>41</x:v>
      </x:c>
      <x:c r="E353" s="6">
        <x:v>16</x:v>
      </x:c>
      <x:c r="F353" s="12">
        <x:f t="shared" si="101"/>
        <x:v>11616</x:v>
      </x:c>
      <x:c r="G353" s="12">
        <x:f t="shared" si="102"/>
        <x:v>697</x:v>
      </x:c>
      <x:c r="H353" s="11">
        <x:f t="shared" si="108"/>
        <x:v>1</x:v>
      </x:c>
      <x:c r="I353" s="11">
        <x:f t="shared" si="109"/>
        <x:v>0.8</x:v>
      </x:c>
      <x:c r="J353" s="12">
        <x:f>英雄升级调参!$E$106</x:f>
        <x:v>2904</x:v>
      </x:c>
      <x:c r="K353" s="12">
        <x:f>英雄升级调参!$F$106</x:f>
        <x:v>29040</x:v>
      </x:c>
      <x:c r="L353" s="6">
        <x:f t="shared" si="103"/>
        <x:v>4</x:v>
      </x:c>
      <x:c r="M353" s="6">
        <x:f t="shared" si="104"/>
        <x:v>42</x:v>
      </x:c>
      <x:c r="N353" s="6" t="n">
        <x:f>ROUNDUP(F353/英雄升级调参!$H$106,0)</x:f>
        <x:v>3</x:v>
      </x:c>
      <x:c r="O353" s="6" t="n">
        <x:f>ROUNDUP(F353/英雄升级调参!$K$106,0)</x:f>
        <x:v>2</x:v>
      </x:c>
      <x:c r="P353" s="6" t="str">
        <x:f t="shared" si="110"/>
        <x:v>普通4下；攻击沿用现值</x:v>
      </x:c>
      <x:c r="Q353" s="6"/>
      <x:c r="R353" s="6"/>
      <x:c r="S353" s="6"/>
      <x:c r="T353" s="6"/>
    </x:row>
    <x:row r="354" ht="21" customHeight="1">
      <x:c r="A354" s="14">
        <x:f t="shared" si="105"/>
        <x:v>60003</x:v>
      </x:c>
      <x:c r="B354" s="14" t="str">
        <x:f t="shared" si="106"/>
        <x:v>小草</x:v>
      </x:c>
      <x:c r="C354" s="6" t="str">
        <x:f t="shared" si="107"/>
        <x:v>普通</x:v>
      </x:c>
      <x:c r="D354" s="6">
        <x:v>42</x:v>
      </x:c>
      <x:c r="E354" s="6">
        <x:v>16</x:v>
      </x:c>
      <x:c r="F354" s="12">
        <x:f t="shared" si="101"/>
        <x:v>11976</x:v>
      </x:c>
      <x:c r="G354" s="12">
        <x:f t="shared" si="102"/>
        <x:v>719</x:v>
      </x:c>
      <x:c r="H354" s="11">
        <x:f t="shared" si="108"/>
        <x:v>1</x:v>
      </x:c>
      <x:c r="I354" s="11">
        <x:f t="shared" si="109"/>
        <x:v>0.8</x:v>
      </x:c>
      <x:c r="J354" s="12">
        <x:f>英雄升级调参!$E$107</x:f>
        <x:v>2994</x:v>
      </x:c>
      <x:c r="K354" s="12">
        <x:f>英雄升级调参!$F$107</x:f>
        <x:v>29940</x:v>
      </x:c>
      <x:c r="L354" s="6">
        <x:f t="shared" si="103"/>
        <x:v>4</x:v>
      </x:c>
      <x:c r="M354" s="6">
        <x:f t="shared" si="104"/>
        <x:v>42</x:v>
      </x:c>
      <x:c r="N354" s="6" t="n">
        <x:f>ROUNDUP(F354/英雄升级调参!$H$107,0)</x:f>
        <x:v>3</x:v>
      </x:c>
      <x:c r="O354" s="6" t="n">
        <x:f>ROUNDUP(F354/英雄升级调参!$K$107,0)</x:f>
        <x:v>2</x:v>
      </x:c>
      <x:c r="P354" s="6" t="str">
        <x:f t="shared" si="110"/>
        <x:v>普通4下；攻击沿用现值</x:v>
      </x:c>
      <x:c r="Q354" s="6"/>
      <x:c r="R354" s="6"/>
      <x:c r="S354" s="6"/>
      <x:c r="T354" s="6"/>
    </x:row>
    <x:row r="355" ht="21" customHeight="1">
      <x:c r="A355" s="14">
        <x:f t="shared" si="105"/>
        <x:v>60003</x:v>
      </x:c>
      <x:c r="B355" s="14" t="str">
        <x:f t="shared" si="106"/>
        <x:v>小草</x:v>
      </x:c>
      <x:c r="C355" s="6" t="str">
        <x:f t="shared" si="107"/>
        <x:v>普通</x:v>
      </x:c>
      <x:c r="D355" s="6">
        <x:v>43</x:v>
      </x:c>
      <x:c r="E355" s="6">
        <x:v>16</x:v>
      </x:c>
      <x:c r="F355" s="12">
        <x:f t="shared" si="101"/>
        <x:v>12336</x:v>
      </x:c>
      <x:c r="G355" s="12">
        <x:f t="shared" si="102"/>
        <x:v>740</x:v>
      </x:c>
      <x:c r="H355" s="11">
        <x:f t="shared" si="108"/>
        <x:v>1</x:v>
      </x:c>
      <x:c r="I355" s="11">
        <x:f t="shared" si="109"/>
        <x:v>0.8</x:v>
      </x:c>
      <x:c r="J355" s="12">
        <x:f>英雄升级调参!$E$108</x:f>
        <x:v>3084</x:v>
      </x:c>
      <x:c r="K355" s="12">
        <x:f>英雄升级调参!$F$108</x:f>
        <x:v>30840</x:v>
      </x:c>
      <x:c r="L355" s="6">
        <x:f t="shared" si="103"/>
        <x:v>4</x:v>
      </x:c>
      <x:c r="M355" s="6">
        <x:f t="shared" si="104"/>
        <x:v>42</x:v>
      </x:c>
      <x:c r="N355" s="6" t="n">
        <x:f>ROUNDUP(F355/英雄升级调参!$H$108,0)</x:f>
        <x:v>3</x:v>
      </x:c>
      <x:c r="O355" s="6" t="n">
        <x:f>ROUNDUP(F355/英雄升级调参!$K$108,0)</x:f>
        <x:v>2</x:v>
      </x:c>
      <x:c r="P355" s="6" t="str">
        <x:f t="shared" si="110"/>
        <x:v>普通4下；攻击沿用现值</x:v>
      </x:c>
      <x:c r="Q355" s="6"/>
      <x:c r="R355" s="6"/>
      <x:c r="S355" s="6"/>
      <x:c r="T355" s="6"/>
    </x:row>
    <x:row r="356" ht="21" customHeight="1">
      <x:c r="A356" s="14">
        <x:f t="shared" si="105"/>
        <x:v>60003</x:v>
      </x:c>
      <x:c r="B356" s="14" t="str">
        <x:f t="shared" si="106"/>
        <x:v>小草</x:v>
      </x:c>
      <x:c r="C356" s="6" t="str">
        <x:f t="shared" si="107"/>
        <x:v>普通</x:v>
      </x:c>
      <x:c r="D356" s="6">
        <x:v>44</x:v>
      </x:c>
      <x:c r="E356" s="6">
        <x:v>16</x:v>
      </x:c>
      <x:c r="F356" s="12">
        <x:f t="shared" si="101"/>
        <x:v>12696</x:v>
      </x:c>
      <x:c r="G356" s="12">
        <x:f t="shared" si="102"/>
        <x:v>762</x:v>
      </x:c>
      <x:c r="H356" s="11">
        <x:f t="shared" si="108"/>
        <x:v>1</x:v>
      </x:c>
      <x:c r="I356" s="11">
        <x:f t="shared" si="109"/>
        <x:v>0.8</x:v>
      </x:c>
      <x:c r="J356" s="12">
        <x:f>英雄升级调参!$E$109</x:f>
        <x:v>3174</x:v>
      </x:c>
      <x:c r="K356" s="12">
        <x:f>英雄升级调参!$F$109</x:f>
        <x:v>31740</x:v>
      </x:c>
      <x:c r="L356" s="6">
        <x:f t="shared" si="103"/>
        <x:v>4</x:v>
      </x:c>
      <x:c r="M356" s="6">
        <x:f t="shared" si="104"/>
        <x:v>42</x:v>
      </x:c>
      <x:c r="N356" s="6" t="n">
        <x:f>ROUNDUP(F356/英雄升级调参!$H$109,0)</x:f>
        <x:v>3</x:v>
      </x:c>
      <x:c r="O356" s="6" t="n">
        <x:f>ROUNDUP(F356/英雄升级调参!$K$109,0)</x:f>
        <x:v>2</x:v>
      </x:c>
      <x:c r="P356" s="6" t="str">
        <x:f t="shared" si="110"/>
        <x:v>普通4下；攻击沿用现值</x:v>
      </x:c>
      <x:c r="Q356" s="6"/>
      <x:c r="R356" s="6"/>
      <x:c r="S356" s="6"/>
      <x:c r="T356" s="6"/>
    </x:row>
    <x:row r="357" ht="21" customHeight="1">
      <x:c r="A357" s="14">
        <x:f t="shared" si="105"/>
        <x:v>60003</x:v>
      </x:c>
      <x:c r="B357" s="14" t="str">
        <x:f t="shared" si="106"/>
        <x:v>小草</x:v>
      </x:c>
      <x:c r="C357" s="6" t="str">
        <x:f t="shared" si="107"/>
        <x:v>普通</x:v>
      </x:c>
      <x:c r="D357" s="6">
        <x:v>45</x:v>
      </x:c>
      <x:c r="E357" s="6">
        <x:v>16</x:v>
      </x:c>
      <x:c r="F357" s="12">
        <x:f t="shared" si="101"/>
        <x:v>13776</x:v>
      </x:c>
      <x:c r="G357" s="12">
        <x:f t="shared" si="102"/>
        <x:v>827</x:v>
      </x:c>
      <x:c r="H357" s="11">
        <x:f t="shared" si="108"/>
        <x:v>1</x:v>
      </x:c>
      <x:c r="I357" s="11">
        <x:f t="shared" si="109"/>
        <x:v>0.8</x:v>
      </x:c>
      <x:c r="J357" s="12">
        <x:f>英雄升级调参!$E$110</x:f>
        <x:v>3444</x:v>
      </x:c>
      <x:c r="K357" s="12">
        <x:f>英雄升级调参!$F$110</x:f>
        <x:v>34440</x:v>
      </x:c>
      <x:c r="L357" s="6">
        <x:f t="shared" si="103"/>
        <x:v>4</x:v>
      </x:c>
      <x:c r="M357" s="6">
        <x:f t="shared" si="104"/>
        <x:v>42</x:v>
      </x:c>
      <x:c r="N357" s="6" t="n">
        <x:f>ROUNDUP(F357/英雄升级调参!$H$110,0)</x:f>
        <x:v>3</x:v>
      </x:c>
      <x:c r="O357" s="6" t="n">
        <x:f>ROUNDUP(F357/英雄升级调参!$K$110,0)</x:f>
        <x:v>2</x:v>
      </x:c>
      <x:c r="P357" s="6" t="str">
        <x:f t="shared" si="110"/>
        <x:v>普通4下；攻击沿用现值</x:v>
      </x:c>
      <x:c r="Q357" s="6"/>
      <x:c r="R357" s="6"/>
      <x:c r="S357" s="6"/>
      <x:c r="T357" s="6"/>
    </x:row>
    <x:row r="358" ht="21" customHeight="1">
      <x:c r="A358" s="14">
        <x:f t="shared" si="105"/>
        <x:v>60003</x:v>
      </x:c>
      <x:c r="B358" s="14" t="str">
        <x:f t="shared" si="106"/>
        <x:v>小草</x:v>
      </x:c>
      <x:c r="C358" s="6" t="str">
        <x:f t="shared" si="107"/>
        <x:v>普通</x:v>
      </x:c>
      <x:c r="D358" s="6">
        <x:v>46</x:v>
      </x:c>
      <x:c r="E358" s="6">
        <x:v>16</x:v>
      </x:c>
      <x:c r="F358" s="12">
        <x:f t="shared" si="101"/>
        <x:v>14172</x:v>
      </x:c>
      <x:c r="G358" s="12">
        <x:f t="shared" si="102"/>
        <x:v>850</x:v>
      </x:c>
      <x:c r="H358" s="11">
        <x:f t="shared" si="108"/>
        <x:v>1</x:v>
      </x:c>
      <x:c r="I358" s="11">
        <x:f t="shared" si="109"/>
        <x:v>0.8</x:v>
      </x:c>
      <x:c r="J358" s="12">
        <x:f>英雄升级调参!$E$111</x:f>
        <x:v>3543</x:v>
      </x:c>
      <x:c r="K358" s="12">
        <x:f>英雄升级调参!$F$111</x:f>
        <x:v>35430</x:v>
      </x:c>
      <x:c r="L358" s="6">
        <x:f t="shared" si="103"/>
        <x:v>4</x:v>
      </x:c>
      <x:c r="M358" s="6">
        <x:f t="shared" si="104"/>
        <x:v>42</x:v>
      </x:c>
      <x:c r="N358" s="6" t="n">
        <x:f>ROUNDUP(F358/英雄升级调参!$H$111,0)</x:f>
        <x:v>3</x:v>
      </x:c>
      <x:c r="O358" s="6" t="n">
        <x:f>ROUNDUP(F358/英雄升级调参!$K$111,0)</x:f>
        <x:v>2</x:v>
      </x:c>
      <x:c r="P358" s="6" t="str">
        <x:f t="shared" si="110"/>
        <x:v>普通4下；攻击沿用现值</x:v>
      </x:c>
      <x:c r="Q358" s="6"/>
      <x:c r="R358" s="6"/>
      <x:c r="S358" s="6"/>
      <x:c r="T358" s="6"/>
    </x:row>
    <x:row r="359" ht="21" customHeight="1">
      <x:c r="A359" s="14">
        <x:f t="shared" si="105"/>
        <x:v>60003</x:v>
      </x:c>
      <x:c r="B359" s="14" t="str">
        <x:f t="shared" si="106"/>
        <x:v>小草</x:v>
      </x:c>
      <x:c r="C359" s="6" t="str">
        <x:f t="shared" si="107"/>
        <x:v>普通</x:v>
      </x:c>
      <x:c r="D359" s="6">
        <x:v>47</x:v>
      </x:c>
      <x:c r="E359" s="6">
        <x:v>16</x:v>
      </x:c>
      <x:c r="F359" s="12">
        <x:f t="shared" si="101"/>
        <x:v>14568</x:v>
      </x:c>
      <x:c r="G359" s="12">
        <x:f t="shared" si="102"/>
        <x:v>874</x:v>
      </x:c>
      <x:c r="H359" s="11">
        <x:f t="shared" si="108"/>
        <x:v>1</x:v>
      </x:c>
      <x:c r="I359" s="11">
        <x:f t="shared" si="109"/>
        <x:v>0.8</x:v>
      </x:c>
      <x:c r="J359" s="12">
        <x:f>英雄升级调参!$E$112</x:f>
        <x:v>3642</x:v>
      </x:c>
      <x:c r="K359" s="12">
        <x:f>英雄升级调参!$F$112</x:f>
        <x:v>36420</x:v>
      </x:c>
      <x:c r="L359" s="6">
        <x:f t="shared" si="103"/>
        <x:v>4</x:v>
      </x:c>
      <x:c r="M359" s="6">
        <x:f t="shared" si="104"/>
        <x:v>42</x:v>
      </x:c>
      <x:c r="N359" s="6" t="n">
        <x:f>ROUNDUP(F359/英雄升级调参!$H$112,0)</x:f>
        <x:v>3</x:v>
      </x:c>
      <x:c r="O359" s="6" t="n">
        <x:f>ROUNDUP(F359/英雄升级调参!$K$112,0)</x:f>
        <x:v>2</x:v>
      </x:c>
      <x:c r="P359" s="6" t="str">
        <x:f t="shared" si="110"/>
        <x:v>普通4下；攻击沿用现值</x:v>
      </x:c>
      <x:c r="Q359" s="6"/>
      <x:c r="R359" s="6"/>
      <x:c r="S359" s="6"/>
      <x:c r="T359" s="6"/>
    </x:row>
    <x:row r="360" ht="21" customHeight="1">
      <x:c r="A360" s="14">
        <x:f t="shared" si="105"/>
        <x:v>60003</x:v>
      </x:c>
      <x:c r="B360" s="14" t="str">
        <x:f t="shared" si="106"/>
        <x:v>小草</x:v>
      </x:c>
      <x:c r="C360" s="6" t="str">
        <x:f t="shared" si="107"/>
        <x:v>普通</x:v>
      </x:c>
      <x:c r="D360" s="6">
        <x:v>48</x:v>
      </x:c>
      <x:c r="E360" s="6">
        <x:v>16</x:v>
      </x:c>
      <x:c r="F360" s="12">
        <x:f t="shared" si="101"/>
        <x:v>14964</x:v>
      </x:c>
      <x:c r="G360" s="12">
        <x:f t="shared" si="102"/>
        <x:v>898</x:v>
      </x:c>
      <x:c r="H360" s="11">
        <x:f t="shared" si="108"/>
        <x:v>1</x:v>
      </x:c>
      <x:c r="I360" s="11">
        <x:f t="shared" si="109"/>
        <x:v>0.8</x:v>
      </x:c>
      <x:c r="J360" s="12">
        <x:f>英雄升级调参!$E$113</x:f>
        <x:v>3741</x:v>
      </x:c>
      <x:c r="K360" s="12">
        <x:f>英雄升级调参!$F$113</x:f>
        <x:v>37410</x:v>
      </x:c>
      <x:c r="L360" s="6">
        <x:f t="shared" si="103"/>
        <x:v>4</x:v>
      </x:c>
      <x:c r="M360" s="6">
        <x:f t="shared" si="104"/>
        <x:v>42</x:v>
      </x:c>
      <x:c r="N360" s="6" t="n">
        <x:f>ROUNDUP(F360/英雄升级调参!$H$113,0)</x:f>
        <x:v>3</x:v>
      </x:c>
      <x:c r="O360" s="6" t="n">
        <x:f>ROUNDUP(F360/英雄升级调参!$K$113,0)</x:f>
        <x:v>2</x:v>
      </x:c>
      <x:c r="P360" s="6" t="str">
        <x:f t="shared" si="110"/>
        <x:v>普通4下；攻击沿用现值</x:v>
      </x:c>
      <x:c r="Q360" s="6"/>
      <x:c r="R360" s="6"/>
      <x:c r="S360" s="6"/>
      <x:c r="T360" s="6"/>
    </x:row>
    <x:row r="361" ht="21" customHeight="1">
      <x:c r="A361" s="14">
        <x:f t="shared" si="105"/>
        <x:v>60003</x:v>
      </x:c>
      <x:c r="B361" s="14" t="str">
        <x:f t="shared" si="106"/>
        <x:v>小草</x:v>
      </x:c>
      <x:c r="C361" s="6" t="str">
        <x:f t="shared" si="107"/>
        <x:v>普通</x:v>
      </x:c>
      <x:c r="D361" s="6">
        <x:v>49</x:v>
      </x:c>
      <x:c r="E361" s="6">
        <x:v>16</x:v>
      </x:c>
      <x:c r="F361" s="12">
        <x:f t="shared" si="101"/>
        <x:v>15360</x:v>
      </x:c>
      <x:c r="G361" s="12">
        <x:f t="shared" si="102"/>
        <x:v>922</x:v>
      </x:c>
      <x:c r="H361" s="11">
        <x:f t="shared" si="108"/>
        <x:v>1</x:v>
      </x:c>
      <x:c r="I361" s="11">
        <x:f t="shared" si="109"/>
        <x:v>0.8</x:v>
      </x:c>
      <x:c r="J361" s="12">
        <x:f>英雄升级调参!$E$114</x:f>
        <x:v>3840</x:v>
      </x:c>
      <x:c r="K361" s="12">
        <x:f>英雄升级调参!$F$114</x:f>
        <x:v>38400</x:v>
      </x:c>
      <x:c r="L361" s="6">
        <x:f t="shared" si="103"/>
        <x:v>4</x:v>
      </x:c>
      <x:c r="M361" s="6">
        <x:f t="shared" si="104"/>
        <x:v>42</x:v>
      </x:c>
      <x:c r="N361" s="6" t="n">
        <x:f>ROUNDUP(F361/英雄升级调参!$H$114,0)</x:f>
        <x:v>3</x:v>
      </x:c>
      <x:c r="O361" s="6" t="n">
        <x:f>ROUNDUP(F361/英雄升级调参!$K$114,0)</x:f>
        <x:v>2</x:v>
      </x:c>
      <x:c r="P361" s="6" t="str">
        <x:f t="shared" si="110"/>
        <x:v>普通4下；攻击沿用现值</x:v>
      </x:c>
      <x:c r="Q361" s="6"/>
      <x:c r="R361" s="6"/>
      <x:c r="S361" s="6"/>
      <x:c r="T361" s="6"/>
    </x:row>
    <x:row r="362" ht="21" customHeight="1">
      <x:c r="A362" s="14">
        <x:f t="shared" si="105"/>
        <x:v>60003</x:v>
      </x:c>
      <x:c r="B362" s="14" t="str">
        <x:f t="shared" si="106"/>
        <x:v>小草</x:v>
      </x:c>
      <x:c r="C362" s="6" t="str">
        <x:f t="shared" si="107"/>
        <x:v>普通</x:v>
      </x:c>
      <x:c r="D362" s="6">
        <x:v>50</x:v>
      </x:c>
      <x:c r="E362" s="6">
        <x:v>16</x:v>
      </x:c>
      <x:c r="F362" s="12">
        <x:f t="shared" si="101"/>
        <x:v>16548</x:v>
      </x:c>
      <x:c r="G362" s="12">
        <x:f t="shared" si="102"/>
        <x:v>993</x:v>
      </x:c>
      <x:c r="H362" s="11">
        <x:f t="shared" si="108"/>
        <x:v>1</x:v>
      </x:c>
      <x:c r="I362" s="11">
        <x:f t="shared" si="109"/>
        <x:v>0.8</x:v>
      </x:c>
      <x:c r="J362" s="12">
        <x:f>英雄升级调参!$E$115</x:f>
        <x:v>4137</x:v>
      </x:c>
      <x:c r="K362" s="12">
        <x:f>英雄升级调参!$F$115</x:f>
        <x:v>41370</x:v>
      </x:c>
      <x:c r="L362" s="6">
        <x:f t="shared" si="103"/>
        <x:v>4</x:v>
      </x:c>
      <x:c r="M362" s="6">
        <x:f t="shared" si="104"/>
        <x:v>42</x:v>
      </x:c>
      <x:c r="N362" s="6" t="n">
        <x:f>ROUNDUP(F362/英雄升级调参!$H$115,0)</x:f>
        <x:v>3</x:v>
      </x:c>
      <x:c r="O362" s="6" t="n">
        <x:f>ROUNDUP(F362/英雄升级调参!$K$115,0)</x:f>
        <x:v>2</x:v>
      </x:c>
      <x:c r="P362" s="6" t="str">
        <x:f t="shared" si="110"/>
        <x:v>普通4下；攻击沿用现值</x:v>
      </x:c>
      <x:c r="Q362" s="6"/>
      <x:c r="R362" s="6"/>
      <x:c r="S362" s="6"/>
      <x:c r="T362" s="6"/>
    </x:row>
    <x:row r="363" ht="21" customHeight="1">
      <x:c r="A363" s="14" t="n">
        <x:f t="shared" ref="A363:A394" si="111">$V$17</x:f>
        <x:v>60004</x:v>
      </x:c>
      <x:c r="B363" s="14" t="str">
        <x:f t="shared" ref="B363:B394" si="112">$W$17</x:f>
        <x:v>石头</x:v>
      </x:c>
      <x:c r="C363" s="6" t="str">
        <x:f t="shared" ref="C363:C394" si="113">$X$17</x:f>
        <x:v>障碍</x:v>
      </x:c>
      <x:c r="D363" s="6">
        <x:v>1</x:v>
      </x:c>
      <x:c r="E363" s="6">
        <x:v>17</x:v>
      </x:c>
      <x:c r="F363" s="12" t="n">
        <x:f t="shared" ref="F363:F394" si="114">$W$6</x:f>
        <x:v>999999</x:v>
      </x:c>
      <x:c r="G363" s="12">
        <x:f t="shared" si="102"/>
        <x:v>0</x:v>
      </x:c>
      <x:c r="H363" s="11" t="n">
        <x:f t="shared" ref="H363:H394" si="115">$Y$17</x:f>
        <x:v>0</x:v>
      </x:c>
      <x:c r="I363" s="11" t="n">
        <x:f t="shared" ref="I363:I394" si="116">$Z$17</x:f>
        <x:v>0</x:v>
      </x:c>
      <x:c r="J363" s="12" t="n">
        <x:f>英雄升级调参!$E$66</x:f>
        <x:v>60</x:v>
      </x:c>
      <x:c r="K363" s="12" t="n">
        <x:f>英雄升级调参!$F$66</x:f>
        <x:v>600</x:v>
      </x:c>
      <x:c r="L363" s="6" t="s">
        <x:v>121</x:v>
      </x:c>
      <x:c r="M363" s="6" t="str">
        <x:f t="shared" si="104"/>
        <x:v>无伤害</x:v>
      </x:c>
      <x:c r="N363" s="6" t="s">
        <x:v>121</x:v>
      </x:c>
      <x:c r="O363" s="6" t="s">
        <x:v>121</x:v>
      </x:c>
      <x:c r="P363" s="6" t="str">
        <x:f t="shared" ref="P363:P394" si="117">$AA$17</x:f>
        <x:v>不可破坏障碍；暂留999999血，不参与击杀标尺</x:v>
      </x:c>
      <x:c r="Q363" s="6"/>
      <x:c r="R363" s="6"/>
      <x:c r="S363" s="6"/>
      <x:c r="T363" s="6"/>
    </x:row>
    <x:row r="364" ht="21" customHeight="1">
      <x:c r="A364" s="14">
        <x:f t="shared" si="111"/>
        <x:v>60004</x:v>
      </x:c>
      <x:c r="B364" s="14" t="str">
        <x:f t="shared" si="112"/>
        <x:v>石头</x:v>
      </x:c>
      <x:c r="C364" s="6" t="str">
        <x:f t="shared" si="113"/>
        <x:v>障碍</x:v>
      </x:c>
      <x:c r="D364" s="6">
        <x:v>2</x:v>
      </x:c>
      <x:c r="E364" s="6">
        <x:v>17</x:v>
      </x:c>
      <x:c r="F364" s="12">
        <x:f t="shared" si="114"/>
        <x:v>999999</x:v>
      </x:c>
      <x:c r="G364" s="12">
        <x:f t="shared" si="102"/>
        <x:v>0</x:v>
      </x:c>
      <x:c r="H364" s="11">
        <x:f t="shared" si="115"/>
        <x:v>0</x:v>
      </x:c>
      <x:c r="I364" s="11">
        <x:f t="shared" si="116"/>
        <x:v>0</x:v>
      </x:c>
      <x:c r="J364" s="12">
        <x:f>英雄升级调参!$E$67</x:f>
        <x:v>78</x:v>
      </x:c>
      <x:c r="K364" s="12">
        <x:f>英雄升级调参!$F$67</x:f>
        <x:v>780</x:v>
      </x:c>
      <x:c r="L364" s="6" t="s">
        <x:v>121</x:v>
      </x:c>
      <x:c r="M364" s="6" t="str">
        <x:f t="shared" si="104"/>
        <x:v>无伤害</x:v>
      </x:c>
      <x:c r="N364" s="6" t="s">
        <x:v>121</x:v>
      </x:c>
      <x:c r="O364" s="6" t="s">
        <x:v>121</x:v>
      </x:c>
      <x:c r="P364" s="6" t="str">
        <x:f t="shared" si="117"/>
        <x:v>不可破坏障碍；暂留999999血，不参与击杀标尺</x:v>
      </x:c>
      <x:c r="Q364" s="6"/>
      <x:c r="R364" s="6"/>
      <x:c r="S364" s="6"/>
      <x:c r="T364" s="6"/>
    </x:row>
    <x:row r="365" ht="21" customHeight="1">
      <x:c r="A365" s="14">
        <x:f t="shared" si="111"/>
        <x:v>60004</x:v>
      </x:c>
      <x:c r="B365" s="14" t="str">
        <x:f t="shared" si="112"/>
        <x:v>石头</x:v>
      </x:c>
      <x:c r="C365" s="6" t="str">
        <x:f t="shared" si="113"/>
        <x:v>障碍</x:v>
      </x:c>
      <x:c r="D365" s="6">
        <x:v>3</x:v>
      </x:c>
      <x:c r="E365" s="6">
        <x:v>17</x:v>
      </x:c>
      <x:c r="F365" s="12">
        <x:f t="shared" si="114"/>
        <x:v>999999</x:v>
      </x:c>
      <x:c r="G365" s="12">
        <x:f t="shared" si="102"/>
        <x:v>0</x:v>
      </x:c>
      <x:c r="H365" s="11">
        <x:f t="shared" si="115"/>
        <x:v>0</x:v>
      </x:c>
      <x:c r="I365" s="11">
        <x:f t="shared" si="116"/>
        <x:v>0</x:v>
      </x:c>
      <x:c r="J365" s="12">
        <x:f>英雄升级调参!$E$68</x:f>
        <x:v>96</x:v>
      </x:c>
      <x:c r="K365" s="12">
        <x:f>英雄升级调参!$F$68</x:f>
        <x:v>960</x:v>
      </x:c>
      <x:c r="L365" s="6" t="s">
        <x:v>121</x:v>
      </x:c>
      <x:c r="M365" s="6" t="str">
        <x:f t="shared" si="104"/>
        <x:v>无伤害</x:v>
      </x:c>
      <x:c r="N365" s="6" t="s">
        <x:v>121</x:v>
      </x:c>
      <x:c r="O365" s="6" t="s">
        <x:v>121</x:v>
      </x:c>
      <x:c r="P365" s="6" t="str">
        <x:f t="shared" si="117"/>
        <x:v>不可破坏障碍；暂留999999血，不参与击杀标尺</x:v>
      </x:c>
      <x:c r="Q365" s="6"/>
      <x:c r="R365" s="6"/>
      <x:c r="S365" s="6"/>
      <x:c r="T365" s="6"/>
    </x:row>
    <x:row r="366" ht="21" customHeight="1">
      <x:c r="A366" s="14">
        <x:f t="shared" si="111"/>
        <x:v>60004</x:v>
      </x:c>
      <x:c r="B366" s="14" t="str">
        <x:f t="shared" si="112"/>
        <x:v>石头</x:v>
      </x:c>
      <x:c r="C366" s="6" t="str">
        <x:f t="shared" si="113"/>
        <x:v>障碍</x:v>
      </x:c>
      <x:c r="D366" s="6">
        <x:v>4</x:v>
      </x:c>
      <x:c r="E366" s="6">
        <x:v>17</x:v>
      </x:c>
      <x:c r="F366" s="12">
        <x:f t="shared" si="114"/>
        <x:v>999999</x:v>
      </x:c>
      <x:c r="G366" s="12">
        <x:f t="shared" si="102"/>
        <x:v>0</x:v>
      </x:c>
      <x:c r="H366" s="11">
        <x:f t="shared" si="115"/>
        <x:v>0</x:v>
      </x:c>
      <x:c r="I366" s="11">
        <x:f t="shared" si="116"/>
        <x:v>0</x:v>
      </x:c>
      <x:c r="J366" s="12">
        <x:f>英雄升级调参!$E$69</x:f>
        <x:v>114</x:v>
      </x:c>
      <x:c r="K366" s="12">
        <x:f>英雄升级调参!$F$69</x:f>
        <x:v>1140</x:v>
      </x:c>
      <x:c r="L366" s="6" t="s">
        <x:v>121</x:v>
      </x:c>
      <x:c r="M366" s="6" t="str">
        <x:f t="shared" si="104"/>
        <x:v>无伤害</x:v>
      </x:c>
      <x:c r="N366" s="6" t="s">
        <x:v>121</x:v>
      </x:c>
      <x:c r="O366" s="6" t="s">
        <x:v>121</x:v>
      </x:c>
      <x:c r="P366" s="6" t="str">
        <x:f t="shared" si="117"/>
        <x:v>不可破坏障碍；暂留999999血，不参与击杀标尺</x:v>
      </x:c>
      <x:c r="Q366" s="6"/>
      <x:c r="R366" s="6"/>
      <x:c r="S366" s="6"/>
      <x:c r="T366" s="6"/>
    </x:row>
    <x:row r="367" ht="21" customHeight="1">
      <x:c r="A367" s="14">
        <x:f t="shared" si="111"/>
        <x:v>60004</x:v>
      </x:c>
      <x:c r="B367" s="14" t="str">
        <x:f t="shared" si="112"/>
        <x:v>石头</x:v>
      </x:c>
      <x:c r="C367" s="6" t="str">
        <x:f t="shared" si="113"/>
        <x:v>障碍</x:v>
      </x:c>
      <x:c r="D367" s="6">
        <x:v>5</x:v>
      </x:c>
      <x:c r="E367" s="6">
        <x:v>17</x:v>
      </x:c>
      <x:c r="F367" s="12">
        <x:f t="shared" si="114"/>
        <x:v>999999</x:v>
      </x:c>
      <x:c r="G367" s="12">
        <x:f t="shared" si="102"/>
        <x:v>0</x:v>
      </x:c>
      <x:c r="H367" s="11">
        <x:f t="shared" si="115"/>
        <x:v>0</x:v>
      </x:c>
      <x:c r="I367" s="11">
        <x:f t="shared" si="116"/>
        <x:v>0</x:v>
      </x:c>
      <x:c r="J367" s="12">
        <x:f>英雄升级调参!$E$70</x:f>
        <x:v>168</x:v>
      </x:c>
      <x:c r="K367" s="12">
        <x:f>英雄升级调参!$F$70</x:f>
        <x:v>1680</x:v>
      </x:c>
      <x:c r="L367" s="6" t="s">
        <x:v>121</x:v>
      </x:c>
      <x:c r="M367" s="6" t="str">
        <x:f t="shared" si="104"/>
        <x:v>无伤害</x:v>
      </x:c>
      <x:c r="N367" s="6" t="s">
        <x:v>121</x:v>
      </x:c>
      <x:c r="O367" s="6" t="s">
        <x:v>121</x:v>
      </x:c>
      <x:c r="P367" s="6" t="str">
        <x:f t="shared" si="117"/>
        <x:v>不可破坏障碍；暂留999999血，不参与击杀标尺</x:v>
      </x:c>
      <x:c r="Q367" s="6"/>
      <x:c r="R367" s="6"/>
      <x:c r="S367" s="6"/>
      <x:c r="T367" s="6"/>
    </x:row>
    <x:row r="368" ht="21" customHeight="1">
      <x:c r="A368" s="14">
        <x:f t="shared" si="111"/>
        <x:v>60004</x:v>
      </x:c>
      <x:c r="B368" s="14" t="str">
        <x:f t="shared" si="112"/>
        <x:v>石头</x:v>
      </x:c>
      <x:c r="C368" s="6" t="str">
        <x:f t="shared" si="113"/>
        <x:v>障碍</x:v>
      </x:c>
      <x:c r="D368" s="6">
        <x:v>6</x:v>
      </x:c>
      <x:c r="E368" s="6">
        <x:v>17</x:v>
      </x:c>
      <x:c r="F368" s="12">
        <x:f t="shared" si="114"/>
        <x:v>999999</x:v>
      </x:c>
      <x:c r="G368" s="12">
        <x:f t="shared" si="102"/>
        <x:v>0</x:v>
      </x:c>
      <x:c r="H368" s="11">
        <x:f t="shared" si="115"/>
        <x:v>0</x:v>
      </x:c>
      <x:c r="I368" s="11">
        <x:f t="shared" si="116"/>
        <x:v>0</x:v>
      </x:c>
      <x:c r="J368" s="12">
        <x:f>英雄升级调参!$E$71</x:f>
        <x:v>195</x:v>
      </x:c>
      <x:c r="K368" s="12">
        <x:f>英雄升级调参!$F$71</x:f>
        <x:v>1950</x:v>
      </x:c>
      <x:c r="L368" s="6" t="s">
        <x:v>121</x:v>
      </x:c>
      <x:c r="M368" s="6" t="str">
        <x:f t="shared" si="104"/>
        <x:v>无伤害</x:v>
      </x:c>
      <x:c r="N368" s="6" t="s">
        <x:v>121</x:v>
      </x:c>
      <x:c r="O368" s="6" t="s">
        <x:v>121</x:v>
      </x:c>
      <x:c r="P368" s="6" t="str">
        <x:f t="shared" si="117"/>
        <x:v>不可破坏障碍；暂留999999血，不参与击杀标尺</x:v>
      </x:c>
      <x:c r="Q368" s="6"/>
      <x:c r="R368" s="6"/>
      <x:c r="S368" s="6"/>
      <x:c r="T368" s="6"/>
    </x:row>
    <x:row r="369" ht="21" customHeight="1">
      <x:c r="A369" s="14">
        <x:f t="shared" si="111"/>
        <x:v>60004</x:v>
      </x:c>
      <x:c r="B369" s="14" t="str">
        <x:f t="shared" si="112"/>
        <x:v>石头</x:v>
      </x:c>
      <x:c r="C369" s="6" t="str">
        <x:f t="shared" si="113"/>
        <x:v>障碍</x:v>
      </x:c>
      <x:c r="D369" s="6">
        <x:v>7</x:v>
      </x:c>
      <x:c r="E369" s="6">
        <x:v>17</x:v>
      </x:c>
      <x:c r="F369" s="12">
        <x:f t="shared" si="114"/>
        <x:v>999999</x:v>
      </x:c>
      <x:c r="G369" s="12">
        <x:f t="shared" si="102"/>
        <x:v>0</x:v>
      </x:c>
      <x:c r="H369" s="11">
        <x:f t="shared" si="115"/>
        <x:v>0</x:v>
      </x:c>
      <x:c r="I369" s="11">
        <x:f t="shared" si="116"/>
        <x:v>0</x:v>
      </x:c>
      <x:c r="J369" s="12">
        <x:f>英雄升级调参!$E$72</x:f>
        <x:v>222</x:v>
      </x:c>
      <x:c r="K369" s="12">
        <x:f>英雄升级调参!$F$72</x:f>
        <x:v>2220</x:v>
      </x:c>
      <x:c r="L369" s="6" t="s">
        <x:v>121</x:v>
      </x:c>
      <x:c r="M369" s="6" t="str">
        <x:f t="shared" si="104"/>
        <x:v>无伤害</x:v>
      </x:c>
      <x:c r="N369" s="6" t="s">
        <x:v>121</x:v>
      </x:c>
      <x:c r="O369" s="6" t="s">
        <x:v>121</x:v>
      </x:c>
      <x:c r="P369" s="6" t="str">
        <x:f t="shared" si="117"/>
        <x:v>不可破坏障碍；暂留999999血，不参与击杀标尺</x:v>
      </x:c>
      <x:c r="Q369" s="6"/>
      <x:c r="R369" s="6"/>
      <x:c r="S369" s="6"/>
      <x:c r="T369" s="6"/>
    </x:row>
    <x:row r="370" ht="21" customHeight="1">
      <x:c r="A370" s="14">
        <x:f t="shared" si="111"/>
        <x:v>60004</x:v>
      </x:c>
      <x:c r="B370" s="14" t="str">
        <x:f t="shared" si="112"/>
        <x:v>石头</x:v>
      </x:c>
      <x:c r="C370" s="6" t="str">
        <x:f t="shared" si="113"/>
        <x:v>障碍</x:v>
      </x:c>
      <x:c r="D370" s="6">
        <x:v>8</x:v>
      </x:c>
      <x:c r="E370" s="6">
        <x:v>17</x:v>
      </x:c>
      <x:c r="F370" s="12">
        <x:f t="shared" si="114"/>
        <x:v>999999</x:v>
      </x:c>
      <x:c r="G370" s="12">
        <x:f t="shared" si="102"/>
        <x:v>0</x:v>
      </x:c>
      <x:c r="H370" s="11">
        <x:f t="shared" si="115"/>
        <x:v>0</x:v>
      </x:c>
      <x:c r="I370" s="11">
        <x:f t="shared" si="116"/>
        <x:v>0</x:v>
      </x:c>
      <x:c r="J370" s="12">
        <x:f>英雄升级调参!$E$73</x:f>
        <x:v>249</x:v>
      </x:c>
      <x:c r="K370" s="12">
        <x:f>英雄升级调参!$F$73</x:f>
        <x:v>2490</x:v>
      </x:c>
      <x:c r="L370" s="6" t="s">
        <x:v>121</x:v>
      </x:c>
      <x:c r="M370" s="6" t="str">
        <x:f t="shared" si="104"/>
        <x:v>无伤害</x:v>
      </x:c>
      <x:c r="N370" s="6" t="s">
        <x:v>121</x:v>
      </x:c>
      <x:c r="O370" s="6" t="s">
        <x:v>121</x:v>
      </x:c>
      <x:c r="P370" s="6" t="str">
        <x:f t="shared" si="117"/>
        <x:v>不可破坏障碍；暂留999999血，不参与击杀标尺</x:v>
      </x:c>
      <x:c r="Q370" s="6"/>
      <x:c r="R370" s="6"/>
      <x:c r="S370" s="6"/>
      <x:c r="T370" s="6"/>
    </x:row>
    <x:row r="371" ht="21" customHeight="1">
      <x:c r="A371" s="14">
        <x:f t="shared" si="111"/>
        <x:v>60004</x:v>
      </x:c>
      <x:c r="B371" s="14" t="str">
        <x:f t="shared" si="112"/>
        <x:v>石头</x:v>
      </x:c>
      <x:c r="C371" s="6" t="str">
        <x:f t="shared" si="113"/>
        <x:v>障碍</x:v>
      </x:c>
      <x:c r="D371" s="6">
        <x:v>9</x:v>
      </x:c>
      <x:c r="E371" s="6">
        <x:v>17</x:v>
      </x:c>
      <x:c r="F371" s="12">
        <x:f t="shared" si="114"/>
        <x:v>999999</x:v>
      </x:c>
      <x:c r="G371" s="12">
        <x:f t="shared" si="102"/>
        <x:v>0</x:v>
      </x:c>
      <x:c r="H371" s="11">
        <x:f t="shared" si="115"/>
        <x:v>0</x:v>
      </x:c>
      <x:c r="I371" s="11">
        <x:f t="shared" si="116"/>
        <x:v>0</x:v>
      </x:c>
      <x:c r="J371" s="12">
        <x:f>英雄升级调参!$E$74</x:f>
        <x:v>276</x:v>
      </x:c>
      <x:c r="K371" s="12">
        <x:f>英雄升级调参!$F$74</x:f>
        <x:v>2760</x:v>
      </x:c>
      <x:c r="L371" s="6" t="s">
        <x:v>121</x:v>
      </x:c>
      <x:c r="M371" s="6" t="str">
        <x:f t="shared" si="104"/>
        <x:v>无伤害</x:v>
      </x:c>
      <x:c r="N371" s="6" t="s">
        <x:v>121</x:v>
      </x:c>
      <x:c r="O371" s="6" t="s">
        <x:v>121</x:v>
      </x:c>
      <x:c r="P371" s="6" t="str">
        <x:f t="shared" si="117"/>
        <x:v>不可破坏障碍；暂留999999血，不参与击杀标尺</x:v>
      </x:c>
      <x:c r="Q371" s="6"/>
      <x:c r="R371" s="6"/>
      <x:c r="S371" s="6"/>
      <x:c r="T371" s="6"/>
    </x:row>
    <x:row r="372" ht="21" customHeight="1">
      <x:c r="A372" s="14">
        <x:f t="shared" si="111"/>
        <x:v>60004</x:v>
      </x:c>
      <x:c r="B372" s="14" t="str">
        <x:f t="shared" si="112"/>
        <x:v>石头</x:v>
      </x:c>
      <x:c r="C372" s="6" t="str">
        <x:f t="shared" si="113"/>
        <x:v>障碍</x:v>
      </x:c>
      <x:c r="D372" s="6">
        <x:v>10</x:v>
      </x:c>
      <x:c r="E372" s="6">
        <x:v>17</x:v>
      </x:c>
      <x:c r="F372" s="12">
        <x:f t="shared" si="114"/>
        <x:v>999999</x:v>
      </x:c>
      <x:c r="G372" s="12">
        <x:f t="shared" si="102"/>
        <x:v>0</x:v>
      </x:c>
      <x:c r="H372" s="11">
        <x:f t="shared" si="115"/>
        <x:v>0</x:v>
      </x:c>
      <x:c r="I372" s="11">
        <x:f t="shared" si="116"/>
        <x:v>0</x:v>
      </x:c>
      <x:c r="J372" s="12">
        <x:f>英雄升级调参!$E$75</x:f>
        <x:v>357</x:v>
      </x:c>
      <x:c r="K372" s="12">
        <x:f>英雄升级调参!$F$75</x:f>
        <x:v>3570</x:v>
      </x:c>
      <x:c r="L372" s="6" t="s">
        <x:v>121</x:v>
      </x:c>
      <x:c r="M372" s="6" t="str">
        <x:f t="shared" si="104"/>
        <x:v>无伤害</x:v>
      </x:c>
      <x:c r="N372" s="6" t="s">
        <x:v>121</x:v>
      </x:c>
      <x:c r="O372" s="6" t="s">
        <x:v>121</x:v>
      </x:c>
      <x:c r="P372" s="6" t="str">
        <x:f t="shared" si="117"/>
        <x:v>不可破坏障碍；暂留999999血，不参与击杀标尺</x:v>
      </x:c>
      <x:c r="Q372" s="6"/>
      <x:c r="R372" s="6"/>
      <x:c r="S372" s="6"/>
      <x:c r="T372" s="6"/>
    </x:row>
    <x:row r="373" ht="21" customHeight="1">
      <x:c r="A373" s="14">
        <x:f t="shared" si="111"/>
        <x:v>60004</x:v>
      </x:c>
      <x:c r="B373" s="14" t="str">
        <x:f t="shared" si="112"/>
        <x:v>石头</x:v>
      </x:c>
      <x:c r="C373" s="6" t="str">
        <x:f t="shared" si="113"/>
        <x:v>障碍</x:v>
      </x:c>
      <x:c r="D373" s="6">
        <x:v>11</x:v>
      </x:c>
      <x:c r="E373" s="6">
        <x:v>17</x:v>
      </x:c>
      <x:c r="F373" s="12">
        <x:f t="shared" si="114"/>
        <x:v>999999</x:v>
      </x:c>
      <x:c r="G373" s="12">
        <x:f t="shared" si="102"/>
        <x:v>0</x:v>
      </x:c>
      <x:c r="H373" s="11">
        <x:f t="shared" si="115"/>
        <x:v>0</x:v>
      </x:c>
      <x:c r="I373" s="11">
        <x:f t="shared" si="116"/>
        <x:v>0</x:v>
      </x:c>
      <x:c r="J373" s="12">
        <x:f>英雄升级调参!$E$76</x:f>
        <x:v>393</x:v>
      </x:c>
      <x:c r="K373" s="12">
        <x:f>英雄升级调参!$F$76</x:f>
        <x:v>3930</x:v>
      </x:c>
      <x:c r="L373" s="6" t="s">
        <x:v>121</x:v>
      </x:c>
      <x:c r="M373" s="6" t="str">
        <x:f t="shared" si="104"/>
        <x:v>无伤害</x:v>
      </x:c>
      <x:c r="N373" s="6" t="s">
        <x:v>121</x:v>
      </x:c>
      <x:c r="O373" s="6" t="s">
        <x:v>121</x:v>
      </x:c>
      <x:c r="P373" s="6" t="str">
        <x:f t="shared" si="117"/>
        <x:v>不可破坏障碍；暂留999999血，不参与击杀标尺</x:v>
      </x:c>
      <x:c r="Q373" s="6"/>
      <x:c r="R373" s="6"/>
      <x:c r="S373" s="6"/>
      <x:c r="T373" s="6"/>
    </x:row>
    <x:row r="374" ht="21" customHeight="1">
      <x:c r="A374" s="14">
        <x:f t="shared" si="111"/>
        <x:v>60004</x:v>
      </x:c>
      <x:c r="B374" s="14" t="str">
        <x:f t="shared" si="112"/>
        <x:v>石头</x:v>
      </x:c>
      <x:c r="C374" s="6" t="str">
        <x:f t="shared" si="113"/>
        <x:v>障碍</x:v>
      </x:c>
      <x:c r="D374" s="6">
        <x:v>12</x:v>
      </x:c>
      <x:c r="E374" s="6">
        <x:v>17</x:v>
      </x:c>
      <x:c r="F374" s="12">
        <x:f t="shared" si="114"/>
        <x:v>999999</x:v>
      </x:c>
      <x:c r="G374" s="12">
        <x:f t="shared" si="102"/>
        <x:v>0</x:v>
      </x:c>
      <x:c r="H374" s="11">
        <x:f t="shared" si="115"/>
        <x:v>0</x:v>
      </x:c>
      <x:c r="I374" s="11">
        <x:f t="shared" si="116"/>
        <x:v>0</x:v>
      </x:c>
      <x:c r="J374" s="12">
        <x:f>英雄升级调参!$E$77</x:f>
        <x:v>429</x:v>
      </x:c>
      <x:c r="K374" s="12">
        <x:f>英雄升级调参!$F$77</x:f>
        <x:v>4290</x:v>
      </x:c>
      <x:c r="L374" s="6" t="s">
        <x:v>121</x:v>
      </x:c>
      <x:c r="M374" s="6" t="str">
        <x:f t="shared" si="104"/>
        <x:v>无伤害</x:v>
      </x:c>
      <x:c r="N374" s="6" t="s">
        <x:v>121</x:v>
      </x:c>
      <x:c r="O374" s="6" t="s">
        <x:v>121</x:v>
      </x:c>
      <x:c r="P374" s="6" t="str">
        <x:f t="shared" si="117"/>
        <x:v>不可破坏障碍；暂留999999血，不参与击杀标尺</x:v>
      </x:c>
      <x:c r="Q374" s="6"/>
      <x:c r="R374" s="6"/>
      <x:c r="S374" s="6"/>
      <x:c r="T374" s="6"/>
    </x:row>
    <x:row r="375" ht="21" customHeight="1">
      <x:c r="A375" s="14">
        <x:f t="shared" si="111"/>
        <x:v>60004</x:v>
      </x:c>
      <x:c r="B375" s="14" t="str">
        <x:f t="shared" si="112"/>
        <x:v>石头</x:v>
      </x:c>
      <x:c r="C375" s="6" t="str">
        <x:f t="shared" si="113"/>
        <x:v>障碍</x:v>
      </x:c>
      <x:c r="D375" s="6">
        <x:v>13</x:v>
      </x:c>
      <x:c r="E375" s="6">
        <x:v>17</x:v>
      </x:c>
      <x:c r="F375" s="12">
        <x:f t="shared" si="114"/>
        <x:v>999999</x:v>
      </x:c>
      <x:c r="G375" s="12">
        <x:f t="shared" si="102"/>
        <x:v>0</x:v>
      </x:c>
      <x:c r="H375" s="11">
        <x:f t="shared" si="115"/>
        <x:v>0</x:v>
      </x:c>
      <x:c r="I375" s="11">
        <x:f t="shared" si="116"/>
        <x:v>0</x:v>
      </x:c>
      <x:c r="J375" s="12">
        <x:f>英雄升级调参!$E$78</x:f>
        <x:v>465</x:v>
      </x:c>
      <x:c r="K375" s="12">
        <x:f>英雄升级调参!$F$78</x:f>
        <x:v>4650</x:v>
      </x:c>
      <x:c r="L375" s="6" t="s">
        <x:v>121</x:v>
      </x:c>
      <x:c r="M375" s="6" t="str">
        <x:f t="shared" si="104"/>
        <x:v>无伤害</x:v>
      </x:c>
      <x:c r="N375" s="6" t="s">
        <x:v>121</x:v>
      </x:c>
      <x:c r="O375" s="6" t="s">
        <x:v>121</x:v>
      </x:c>
      <x:c r="P375" s="6" t="str">
        <x:f t="shared" si="117"/>
        <x:v>不可破坏障碍；暂留999999血，不参与击杀标尺</x:v>
      </x:c>
      <x:c r="Q375" s="6"/>
      <x:c r="R375" s="6"/>
      <x:c r="S375" s="6"/>
      <x:c r="T375" s="6"/>
    </x:row>
    <x:row r="376" ht="21" customHeight="1">
      <x:c r="A376" s="14">
        <x:f t="shared" si="111"/>
        <x:v>60004</x:v>
      </x:c>
      <x:c r="B376" s="14" t="str">
        <x:f t="shared" si="112"/>
        <x:v>石头</x:v>
      </x:c>
      <x:c r="C376" s="6" t="str">
        <x:f t="shared" si="113"/>
        <x:v>障碍</x:v>
      </x:c>
      <x:c r="D376" s="6">
        <x:v>14</x:v>
      </x:c>
      <x:c r="E376" s="6">
        <x:v>17</x:v>
      </x:c>
      <x:c r="F376" s="12">
        <x:f t="shared" si="114"/>
        <x:v>999999</x:v>
      </x:c>
      <x:c r="G376" s="12">
        <x:f t="shared" si="102"/>
        <x:v>0</x:v>
      </x:c>
      <x:c r="H376" s="11">
        <x:f t="shared" si="115"/>
        <x:v>0</x:v>
      </x:c>
      <x:c r="I376" s="11">
        <x:f t="shared" si="116"/>
        <x:v>0</x:v>
      </x:c>
      <x:c r="J376" s="12">
        <x:f>英雄升级调参!$E$79</x:f>
        <x:v>501</x:v>
      </x:c>
      <x:c r="K376" s="12">
        <x:f>英雄升级调参!$F$79</x:f>
        <x:v>5010</x:v>
      </x:c>
      <x:c r="L376" s="6" t="s">
        <x:v>121</x:v>
      </x:c>
      <x:c r="M376" s="6" t="str">
        <x:f t="shared" si="104"/>
        <x:v>无伤害</x:v>
      </x:c>
      <x:c r="N376" s="6" t="s">
        <x:v>121</x:v>
      </x:c>
      <x:c r="O376" s="6" t="s">
        <x:v>121</x:v>
      </x:c>
      <x:c r="P376" s="6" t="str">
        <x:f t="shared" si="117"/>
        <x:v>不可破坏障碍；暂留999999血，不参与击杀标尺</x:v>
      </x:c>
      <x:c r="Q376" s="6"/>
      <x:c r="R376" s="6"/>
      <x:c r="S376" s="6"/>
      <x:c r="T376" s="6"/>
    </x:row>
    <x:row r="377" ht="21" customHeight="1">
      <x:c r="A377" s="14">
        <x:f t="shared" si="111"/>
        <x:v>60004</x:v>
      </x:c>
      <x:c r="B377" s="14" t="str">
        <x:f t="shared" si="112"/>
        <x:v>石头</x:v>
      </x:c>
      <x:c r="C377" s="6" t="str">
        <x:f t="shared" si="113"/>
        <x:v>障碍</x:v>
      </x:c>
      <x:c r="D377" s="6">
        <x:v>15</x:v>
      </x:c>
      <x:c r="E377" s="6">
        <x:v>17</x:v>
      </x:c>
      <x:c r="F377" s="12">
        <x:f t="shared" si="114"/>
        <x:v>999999</x:v>
      </x:c>
      <x:c r="G377" s="12">
        <x:f t="shared" si="102"/>
        <x:v>0</x:v>
      </x:c>
      <x:c r="H377" s="11">
        <x:f t="shared" si="115"/>
        <x:v>0</x:v>
      </x:c>
      <x:c r="I377" s="11">
        <x:f t="shared" si="116"/>
        <x:v>0</x:v>
      </x:c>
      <x:c r="J377" s="12">
        <x:f>英雄升级调参!$E$80</x:f>
        <x:v>609</x:v>
      </x:c>
      <x:c r="K377" s="12">
        <x:f>英雄升级调参!$F$80</x:f>
        <x:v>6090</x:v>
      </x:c>
      <x:c r="L377" s="6" t="s">
        <x:v>121</x:v>
      </x:c>
      <x:c r="M377" s="6" t="str">
        <x:f t="shared" si="104"/>
        <x:v>无伤害</x:v>
      </x:c>
      <x:c r="N377" s="6" t="s">
        <x:v>121</x:v>
      </x:c>
      <x:c r="O377" s="6" t="s">
        <x:v>121</x:v>
      </x:c>
      <x:c r="P377" s="6" t="str">
        <x:f t="shared" si="117"/>
        <x:v>不可破坏障碍；暂留999999血，不参与击杀标尺</x:v>
      </x:c>
      <x:c r="Q377" s="6"/>
      <x:c r="R377" s="6"/>
      <x:c r="S377" s="6"/>
      <x:c r="T377" s="6"/>
    </x:row>
    <x:row r="378" ht="21" customHeight="1">
      <x:c r="A378" s="14">
        <x:f t="shared" si="111"/>
        <x:v>60004</x:v>
      </x:c>
      <x:c r="B378" s="14" t="str">
        <x:f t="shared" si="112"/>
        <x:v>石头</x:v>
      </x:c>
      <x:c r="C378" s="6" t="str">
        <x:f t="shared" si="113"/>
        <x:v>障碍</x:v>
      </x:c>
      <x:c r="D378" s="6">
        <x:v>16</x:v>
      </x:c>
      <x:c r="E378" s="6">
        <x:v>17</x:v>
      </x:c>
      <x:c r="F378" s="12">
        <x:f t="shared" si="114"/>
        <x:v>999999</x:v>
      </x:c>
      <x:c r="G378" s="12">
        <x:f t="shared" si="102"/>
        <x:v>0</x:v>
      </x:c>
      <x:c r="H378" s="11">
        <x:f t="shared" si="115"/>
        <x:v>0</x:v>
      </x:c>
      <x:c r="I378" s="11">
        <x:f t="shared" si="116"/>
        <x:v>0</x:v>
      </x:c>
      <x:c r="J378" s="12">
        <x:f>英雄升级调参!$E$81</x:f>
        <x:v>654</x:v>
      </x:c>
      <x:c r="K378" s="12">
        <x:f>英雄升级调参!$F$81</x:f>
        <x:v>6540</x:v>
      </x:c>
      <x:c r="L378" s="6" t="s">
        <x:v>121</x:v>
      </x:c>
      <x:c r="M378" s="6" t="str">
        <x:f t="shared" si="104"/>
        <x:v>无伤害</x:v>
      </x:c>
      <x:c r="N378" s="6" t="s">
        <x:v>121</x:v>
      </x:c>
      <x:c r="O378" s="6" t="s">
        <x:v>121</x:v>
      </x:c>
      <x:c r="P378" s="6" t="str">
        <x:f t="shared" si="117"/>
        <x:v>不可破坏障碍；暂留999999血，不参与击杀标尺</x:v>
      </x:c>
      <x:c r="Q378" s="6"/>
      <x:c r="R378" s="6"/>
      <x:c r="S378" s="6"/>
      <x:c r="T378" s="6"/>
    </x:row>
    <x:row r="379" ht="21" customHeight="1">
      <x:c r="A379" s="14">
        <x:f t="shared" si="111"/>
        <x:v>60004</x:v>
      </x:c>
      <x:c r="B379" s="14" t="str">
        <x:f t="shared" si="112"/>
        <x:v>石头</x:v>
      </x:c>
      <x:c r="C379" s="6" t="str">
        <x:f t="shared" si="113"/>
        <x:v>障碍</x:v>
      </x:c>
      <x:c r="D379" s="6">
        <x:v>17</x:v>
      </x:c>
      <x:c r="E379" s="6">
        <x:v>17</x:v>
      </x:c>
      <x:c r="F379" s="12">
        <x:f t="shared" si="114"/>
        <x:v>999999</x:v>
      </x:c>
      <x:c r="G379" s="12">
        <x:f t="shared" si="102"/>
        <x:v>0</x:v>
      </x:c>
      <x:c r="H379" s="11">
        <x:f t="shared" si="115"/>
        <x:v>0</x:v>
      </x:c>
      <x:c r="I379" s="11">
        <x:f t="shared" si="116"/>
        <x:v>0</x:v>
      </x:c>
      <x:c r="J379" s="12">
        <x:f>英雄升级调参!$E$82</x:f>
        <x:v>699</x:v>
      </x:c>
      <x:c r="K379" s="12">
        <x:f>英雄升级调参!$F$82</x:f>
        <x:v>6990</x:v>
      </x:c>
      <x:c r="L379" s="6" t="s">
        <x:v>121</x:v>
      </x:c>
      <x:c r="M379" s="6" t="str">
        <x:f t="shared" si="104"/>
        <x:v>无伤害</x:v>
      </x:c>
      <x:c r="N379" s="6" t="s">
        <x:v>121</x:v>
      </x:c>
      <x:c r="O379" s="6" t="s">
        <x:v>121</x:v>
      </x:c>
      <x:c r="P379" s="6" t="str">
        <x:f t="shared" si="117"/>
        <x:v>不可破坏障碍；暂留999999血，不参与击杀标尺</x:v>
      </x:c>
      <x:c r="Q379" s="6"/>
      <x:c r="R379" s="6"/>
      <x:c r="S379" s="6"/>
      <x:c r="T379" s="6"/>
    </x:row>
    <x:row r="380" ht="21" customHeight="1">
      <x:c r="A380" s="14">
        <x:f t="shared" si="111"/>
        <x:v>60004</x:v>
      </x:c>
      <x:c r="B380" s="14" t="str">
        <x:f t="shared" si="112"/>
        <x:v>石头</x:v>
      </x:c>
      <x:c r="C380" s="6" t="str">
        <x:f t="shared" si="113"/>
        <x:v>障碍</x:v>
      </x:c>
      <x:c r="D380" s="6">
        <x:v>18</x:v>
      </x:c>
      <x:c r="E380" s="6">
        <x:v>17</x:v>
      </x:c>
      <x:c r="F380" s="12">
        <x:f t="shared" si="114"/>
        <x:v>999999</x:v>
      </x:c>
      <x:c r="G380" s="12">
        <x:f t="shared" si="102"/>
        <x:v>0</x:v>
      </x:c>
      <x:c r="H380" s="11">
        <x:f t="shared" si="115"/>
        <x:v>0</x:v>
      </x:c>
      <x:c r="I380" s="11">
        <x:f t="shared" si="116"/>
        <x:v>0</x:v>
      </x:c>
      <x:c r="J380" s="12">
        <x:f>英雄升级调参!$E$83</x:f>
        <x:v>744</x:v>
      </x:c>
      <x:c r="K380" s="12">
        <x:f>英雄升级调参!$F$83</x:f>
        <x:v>7440</x:v>
      </x:c>
      <x:c r="L380" s="6" t="s">
        <x:v>121</x:v>
      </x:c>
      <x:c r="M380" s="6" t="str">
        <x:f t="shared" si="104"/>
        <x:v>无伤害</x:v>
      </x:c>
      <x:c r="N380" s="6" t="s">
        <x:v>121</x:v>
      </x:c>
      <x:c r="O380" s="6" t="s">
        <x:v>121</x:v>
      </x:c>
      <x:c r="P380" s="6" t="str">
        <x:f t="shared" si="117"/>
        <x:v>不可破坏障碍；暂留999999血，不参与击杀标尺</x:v>
      </x:c>
      <x:c r="Q380" s="6"/>
      <x:c r="R380" s="6"/>
      <x:c r="S380" s="6"/>
      <x:c r="T380" s="6"/>
    </x:row>
    <x:row r="381" ht="21" customHeight="1">
      <x:c r="A381" s="14">
        <x:f t="shared" si="111"/>
        <x:v>60004</x:v>
      </x:c>
      <x:c r="B381" s="14" t="str">
        <x:f t="shared" si="112"/>
        <x:v>石头</x:v>
      </x:c>
      <x:c r="C381" s="6" t="str">
        <x:f t="shared" si="113"/>
        <x:v>障碍</x:v>
      </x:c>
      <x:c r="D381" s="6">
        <x:v>19</x:v>
      </x:c>
      <x:c r="E381" s="6">
        <x:v>17</x:v>
      </x:c>
      <x:c r="F381" s="12">
        <x:f t="shared" si="114"/>
        <x:v>999999</x:v>
      </x:c>
      <x:c r="G381" s="12">
        <x:f t="shared" si="102"/>
        <x:v>0</x:v>
      </x:c>
      <x:c r="H381" s="11">
        <x:f t="shared" si="115"/>
        <x:v>0</x:v>
      </x:c>
      <x:c r="I381" s="11">
        <x:f t="shared" si="116"/>
        <x:v>0</x:v>
      </x:c>
      <x:c r="J381" s="12">
        <x:f>英雄升级调参!$E$84</x:f>
        <x:v>789</x:v>
      </x:c>
      <x:c r="K381" s="12">
        <x:f>英雄升级调参!$F$84</x:f>
        <x:v>7890</x:v>
      </x:c>
      <x:c r="L381" s="6" t="s">
        <x:v>121</x:v>
      </x:c>
      <x:c r="M381" s="6" t="str">
        <x:f t="shared" si="104"/>
        <x:v>无伤害</x:v>
      </x:c>
      <x:c r="N381" s="6" t="s">
        <x:v>121</x:v>
      </x:c>
      <x:c r="O381" s="6" t="s">
        <x:v>121</x:v>
      </x:c>
      <x:c r="P381" s="6" t="str">
        <x:f t="shared" si="117"/>
        <x:v>不可破坏障碍；暂留999999血，不参与击杀标尺</x:v>
      </x:c>
      <x:c r="Q381" s="6"/>
      <x:c r="R381" s="6"/>
      <x:c r="S381" s="6"/>
      <x:c r="T381" s="6"/>
    </x:row>
    <x:row r="382" ht="21" customHeight="1">
      <x:c r="A382" s="14">
        <x:f t="shared" si="111"/>
        <x:v>60004</x:v>
      </x:c>
      <x:c r="B382" s="14" t="str">
        <x:f t="shared" si="112"/>
        <x:v>石头</x:v>
      </x:c>
      <x:c r="C382" s="6" t="str">
        <x:f t="shared" si="113"/>
        <x:v>障碍</x:v>
      </x:c>
      <x:c r="D382" s="6">
        <x:v>20</x:v>
      </x:c>
      <x:c r="E382" s="6">
        <x:v>17</x:v>
      </x:c>
      <x:c r="F382" s="12">
        <x:f t="shared" si="114"/>
        <x:v>999999</x:v>
      </x:c>
      <x:c r="G382" s="12">
        <x:f t="shared" si="102"/>
        <x:v>0</x:v>
      </x:c>
      <x:c r="H382" s="11">
        <x:f t="shared" si="115"/>
        <x:v>0</x:v>
      </x:c>
      <x:c r="I382" s="11">
        <x:f t="shared" si="116"/>
        <x:v>0</x:v>
      </x:c>
      <x:c r="J382" s="12">
        <x:f>英雄升级调参!$E$85</x:f>
        <x:v>924</x:v>
      </x:c>
      <x:c r="K382" s="12">
        <x:f>英雄升级调参!$F$85</x:f>
        <x:v>9240</x:v>
      </x:c>
      <x:c r="L382" s="6" t="s">
        <x:v>121</x:v>
      </x:c>
      <x:c r="M382" s="6" t="str">
        <x:f t="shared" si="104"/>
        <x:v>无伤害</x:v>
      </x:c>
      <x:c r="N382" s="6" t="s">
        <x:v>121</x:v>
      </x:c>
      <x:c r="O382" s="6" t="s">
        <x:v>121</x:v>
      </x:c>
      <x:c r="P382" s="6" t="str">
        <x:f t="shared" si="117"/>
        <x:v>不可破坏障碍；暂留999999血，不参与击杀标尺</x:v>
      </x:c>
      <x:c r="Q382" s="6"/>
      <x:c r="R382" s="6"/>
      <x:c r="S382" s="6"/>
      <x:c r="T382" s="6"/>
    </x:row>
    <x:row r="383" ht="21" customHeight="1">
      <x:c r="A383" s="14">
        <x:f t="shared" si="111"/>
        <x:v>60004</x:v>
      </x:c>
      <x:c r="B383" s="14" t="str">
        <x:f t="shared" si="112"/>
        <x:v>石头</x:v>
      </x:c>
      <x:c r="C383" s="6" t="str">
        <x:f t="shared" si="113"/>
        <x:v>障碍</x:v>
      </x:c>
      <x:c r="D383" s="6">
        <x:v>21</x:v>
      </x:c>
      <x:c r="E383" s="6">
        <x:v>17</x:v>
      </x:c>
      <x:c r="F383" s="12">
        <x:f t="shared" si="114"/>
        <x:v>999999</x:v>
      </x:c>
      <x:c r="G383" s="12">
        <x:f t="shared" si="102"/>
        <x:v>0</x:v>
      </x:c>
      <x:c r="H383" s="11">
        <x:f t="shared" si="115"/>
        <x:v>0</x:v>
      </x:c>
      <x:c r="I383" s="11">
        <x:f t="shared" si="116"/>
        <x:v>0</x:v>
      </x:c>
      <x:c r="J383" s="12">
        <x:f>英雄升级调参!$E$86</x:f>
        <x:v>978</x:v>
      </x:c>
      <x:c r="K383" s="12">
        <x:f>英雄升级调参!$F$86</x:f>
        <x:v>9780</x:v>
      </x:c>
      <x:c r="L383" s="6" t="s">
        <x:v>121</x:v>
      </x:c>
      <x:c r="M383" s="6" t="str">
        <x:f t="shared" si="104"/>
        <x:v>无伤害</x:v>
      </x:c>
      <x:c r="N383" s="6" t="s">
        <x:v>121</x:v>
      </x:c>
      <x:c r="O383" s="6" t="s">
        <x:v>121</x:v>
      </x:c>
      <x:c r="P383" s="6" t="str">
        <x:f t="shared" si="117"/>
        <x:v>不可破坏障碍；暂留999999血，不参与击杀标尺</x:v>
      </x:c>
      <x:c r="Q383" s="6"/>
      <x:c r="R383" s="6"/>
      <x:c r="S383" s="6"/>
      <x:c r="T383" s="6"/>
    </x:row>
    <x:row r="384" ht="21" customHeight="1">
      <x:c r="A384" s="14">
        <x:f t="shared" si="111"/>
        <x:v>60004</x:v>
      </x:c>
      <x:c r="B384" s="14" t="str">
        <x:f t="shared" si="112"/>
        <x:v>石头</x:v>
      </x:c>
      <x:c r="C384" s="6" t="str">
        <x:f t="shared" si="113"/>
        <x:v>障碍</x:v>
      </x:c>
      <x:c r="D384" s="6">
        <x:v>22</x:v>
      </x:c>
      <x:c r="E384" s="6">
        <x:v>17</x:v>
      </x:c>
      <x:c r="F384" s="12">
        <x:f t="shared" si="114"/>
        <x:v>999999</x:v>
      </x:c>
      <x:c r="G384" s="12">
        <x:f t="shared" si="102"/>
        <x:v>0</x:v>
      </x:c>
      <x:c r="H384" s="11">
        <x:f t="shared" si="115"/>
        <x:v>0</x:v>
      </x:c>
      <x:c r="I384" s="11">
        <x:f t="shared" si="116"/>
        <x:v>0</x:v>
      </x:c>
      <x:c r="J384" s="12">
        <x:f>英雄升级调参!$E$87</x:f>
        <x:v>1032</x:v>
      </x:c>
      <x:c r="K384" s="12">
        <x:f>英雄升级调参!$F$87</x:f>
        <x:v>10320</x:v>
      </x:c>
      <x:c r="L384" s="6" t="s">
        <x:v>121</x:v>
      </x:c>
      <x:c r="M384" s="6" t="str">
        <x:f t="shared" si="104"/>
        <x:v>无伤害</x:v>
      </x:c>
      <x:c r="N384" s="6" t="s">
        <x:v>121</x:v>
      </x:c>
      <x:c r="O384" s="6" t="s">
        <x:v>121</x:v>
      </x:c>
      <x:c r="P384" s="6" t="str">
        <x:f t="shared" si="117"/>
        <x:v>不可破坏障碍；暂留999999血，不参与击杀标尺</x:v>
      </x:c>
      <x:c r="Q384" s="6"/>
      <x:c r="R384" s="6"/>
      <x:c r="S384" s="6"/>
      <x:c r="T384" s="6"/>
    </x:row>
    <x:row r="385" ht="21" customHeight="1">
      <x:c r="A385" s="14">
        <x:f t="shared" si="111"/>
        <x:v>60004</x:v>
      </x:c>
      <x:c r="B385" s="14" t="str">
        <x:f t="shared" si="112"/>
        <x:v>石头</x:v>
      </x:c>
      <x:c r="C385" s="6" t="str">
        <x:f t="shared" si="113"/>
        <x:v>障碍</x:v>
      </x:c>
      <x:c r="D385" s="6">
        <x:v>23</x:v>
      </x:c>
      <x:c r="E385" s="6">
        <x:v>17</x:v>
      </x:c>
      <x:c r="F385" s="12">
        <x:f t="shared" si="114"/>
        <x:v>999999</x:v>
      </x:c>
      <x:c r="G385" s="12">
        <x:f t="shared" si="102"/>
        <x:v>0</x:v>
      </x:c>
      <x:c r="H385" s="11">
        <x:f t="shared" si="115"/>
        <x:v>0</x:v>
      </x:c>
      <x:c r="I385" s="11">
        <x:f t="shared" si="116"/>
        <x:v>0</x:v>
      </x:c>
      <x:c r="J385" s="12">
        <x:f>英雄升级调参!$E$88</x:f>
        <x:v>1086</x:v>
      </x:c>
      <x:c r="K385" s="12">
        <x:f>英雄升级调参!$F$88</x:f>
        <x:v>10860</x:v>
      </x:c>
      <x:c r="L385" s="6" t="s">
        <x:v>121</x:v>
      </x:c>
      <x:c r="M385" s="6" t="str">
        <x:f t="shared" si="104"/>
        <x:v>无伤害</x:v>
      </x:c>
      <x:c r="N385" s="6" t="s">
        <x:v>121</x:v>
      </x:c>
      <x:c r="O385" s="6" t="s">
        <x:v>121</x:v>
      </x:c>
      <x:c r="P385" s="6" t="str">
        <x:f t="shared" si="117"/>
        <x:v>不可破坏障碍；暂留999999血，不参与击杀标尺</x:v>
      </x:c>
      <x:c r="Q385" s="6"/>
      <x:c r="R385" s="6"/>
      <x:c r="S385" s="6"/>
      <x:c r="T385" s="6"/>
    </x:row>
    <x:row r="386" ht="21" customHeight="1">
      <x:c r="A386" s="14">
        <x:f t="shared" si="111"/>
        <x:v>60004</x:v>
      </x:c>
      <x:c r="B386" s="14" t="str">
        <x:f t="shared" si="112"/>
        <x:v>石头</x:v>
      </x:c>
      <x:c r="C386" s="6" t="str">
        <x:f t="shared" si="113"/>
        <x:v>障碍</x:v>
      </x:c>
      <x:c r="D386" s="6">
        <x:v>24</x:v>
      </x:c>
      <x:c r="E386" s="6">
        <x:v>17</x:v>
      </x:c>
      <x:c r="F386" s="12">
        <x:f t="shared" si="114"/>
        <x:v>999999</x:v>
      </x:c>
      <x:c r="G386" s="12">
        <x:f t="shared" si="102"/>
        <x:v>0</x:v>
      </x:c>
      <x:c r="H386" s="11">
        <x:f t="shared" si="115"/>
        <x:v>0</x:v>
      </x:c>
      <x:c r="I386" s="11">
        <x:f t="shared" si="116"/>
        <x:v>0</x:v>
      </x:c>
      <x:c r="J386" s="12">
        <x:f>英雄升级调参!$E$89</x:f>
        <x:v>1140</x:v>
      </x:c>
      <x:c r="K386" s="12">
        <x:f>英雄升级调参!$F$89</x:f>
        <x:v>11400</x:v>
      </x:c>
      <x:c r="L386" s="6" t="s">
        <x:v>121</x:v>
      </x:c>
      <x:c r="M386" s="6" t="str">
        <x:f t="shared" si="104"/>
        <x:v>无伤害</x:v>
      </x:c>
      <x:c r="N386" s="6" t="s">
        <x:v>121</x:v>
      </x:c>
      <x:c r="O386" s="6" t="s">
        <x:v>121</x:v>
      </x:c>
      <x:c r="P386" s="6" t="str">
        <x:f t="shared" si="117"/>
        <x:v>不可破坏障碍；暂留999999血，不参与击杀标尺</x:v>
      </x:c>
      <x:c r="Q386" s="6"/>
      <x:c r="R386" s="6"/>
      <x:c r="S386" s="6"/>
      <x:c r="T386" s="6"/>
    </x:row>
    <x:row r="387" ht="21" customHeight="1">
      <x:c r="A387" s="14">
        <x:f t="shared" si="111"/>
        <x:v>60004</x:v>
      </x:c>
      <x:c r="B387" s="14" t="str">
        <x:f t="shared" si="112"/>
        <x:v>石头</x:v>
      </x:c>
      <x:c r="C387" s="6" t="str">
        <x:f t="shared" si="113"/>
        <x:v>障碍</x:v>
      </x:c>
      <x:c r="D387" s="6">
        <x:v>25</x:v>
      </x:c>
      <x:c r="E387" s="6">
        <x:v>17</x:v>
      </x:c>
      <x:c r="F387" s="12">
        <x:f t="shared" si="114"/>
        <x:v>999999</x:v>
      </x:c>
      <x:c r="G387" s="12">
        <x:f t="shared" si="102"/>
        <x:v>0</x:v>
      </x:c>
      <x:c r="H387" s="11">
        <x:f t="shared" si="115"/>
        <x:v>0</x:v>
      </x:c>
      <x:c r="I387" s="11">
        <x:f t="shared" si="116"/>
        <x:v>0</x:v>
      </x:c>
      <x:c r="J387" s="12">
        <x:f>英雄升级调参!$E$90</x:f>
        <x:v>1302</x:v>
      </x:c>
      <x:c r="K387" s="12">
        <x:f>英雄升级调参!$F$90</x:f>
        <x:v>13020</x:v>
      </x:c>
      <x:c r="L387" s="6" t="s">
        <x:v>121</x:v>
      </x:c>
      <x:c r="M387" s="6" t="str">
        <x:f t="shared" si="104"/>
        <x:v>无伤害</x:v>
      </x:c>
      <x:c r="N387" s="6" t="s">
        <x:v>121</x:v>
      </x:c>
      <x:c r="O387" s="6" t="s">
        <x:v>121</x:v>
      </x:c>
      <x:c r="P387" s="6" t="str">
        <x:f t="shared" si="117"/>
        <x:v>不可破坏障碍；暂留999999血，不参与击杀标尺</x:v>
      </x:c>
      <x:c r="Q387" s="6"/>
      <x:c r="R387" s="6"/>
      <x:c r="S387" s="6"/>
      <x:c r="T387" s="6"/>
    </x:row>
    <x:row r="388" ht="21" customHeight="1">
      <x:c r="A388" s="14">
        <x:f t="shared" si="111"/>
        <x:v>60004</x:v>
      </x:c>
      <x:c r="B388" s="14" t="str">
        <x:f t="shared" si="112"/>
        <x:v>石头</x:v>
      </x:c>
      <x:c r="C388" s="6" t="str">
        <x:f t="shared" si="113"/>
        <x:v>障碍</x:v>
      </x:c>
      <x:c r="D388" s="6">
        <x:v>26</x:v>
      </x:c>
      <x:c r="E388" s="6">
        <x:v>17</x:v>
      </x:c>
      <x:c r="F388" s="12">
        <x:f t="shared" si="114"/>
        <x:v>999999</x:v>
      </x:c>
      <x:c r="G388" s="12">
        <x:f t="shared" si="102"/>
        <x:v>0</x:v>
      </x:c>
      <x:c r="H388" s="11">
        <x:f t="shared" si="115"/>
        <x:v>0</x:v>
      </x:c>
      <x:c r="I388" s="11">
        <x:f t="shared" si="116"/>
        <x:v>0</x:v>
      </x:c>
      <x:c r="J388" s="12">
        <x:f>英雄升级调参!$E$91</x:f>
        <x:v>1365</x:v>
      </x:c>
      <x:c r="K388" s="12">
        <x:f>英雄升级调参!$F$91</x:f>
        <x:v>13650</x:v>
      </x:c>
      <x:c r="L388" s="6" t="s">
        <x:v>121</x:v>
      </x:c>
      <x:c r="M388" s="6" t="str">
        <x:f t="shared" si="104"/>
        <x:v>无伤害</x:v>
      </x:c>
      <x:c r="N388" s="6" t="s">
        <x:v>121</x:v>
      </x:c>
      <x:c r="O388" s="6" t="s">
        <x:v>121</x:v>
      </x:c>
      <x:c r="P388" s="6" t="str">
        <x:f t="shared" si="117"/>
        <x:v>不可破坏障碍；暂留999999血，不参与击杀标尺</x:v>
      </x:c>
      <x:c r="Q388" s="6"/>
      <x:c r="R388" s="6"/>
      <x:c r="S388" s="6"/>
      <x:c r="T388" s="6"/>
    </x:row>
    <x:row r="389" ht="21" customHeight="1">
      <x:c r="A389" s="14">
        <x:f t="shared" si="111"/>
        <x:v>60004</x:v>
      </x:c>
      <x:c r="B389" s="14" t="str">
        <x:f t="shared" si="112"/>
        <x:v>石头</x:v>
      </x:c>
      <x:c r="C389" s="6" t="str">
        <x:f t="shared" si="113"/>
        <x:v>障碍</x:v>
      </x:c>
      <x:c r="D389" s="6">
        <x:v>27</x:v>
      </x:c>
      <x:c r="E389" s="6">
        <x:v>17</x:v>
      </x:c>
      <x:c r="F389" s="12">
        <x:f t="shared" si="114"/>
        <x:v>999999</x:v>
      </x:c>
      <x:c r="G389" s="12">
        <x:f t="shared" si="102"/>
        <x:v>0</x:v>
      </x:c>
      <x:c r="H389" s="11">
        <x:f t="shared" si="115"/>
        <x:v>0</x:v>
      </x:c>
      <x:c r="I389" s="11">
        <x:f t="shared" si="116"/>
        <x:v>0</x:v>
      </x:c>
      <x:c r="J389" s="12">
        <x:f>英雄升级调参!$E$92</x:f>
        <x:v>1428</x:v>
      </x:c>
      <x:c r="K389" s="12">
        <x:f>英雄升级调参!$F$92</x:f>
        <x:v>14280</x:v>
      </x:c>
      <x:c r="L389" s="6" t="s">
        <x:v>121</x:v>
      </x:c>
      <x:c r="M389" s="6" t="str">
        <x:f t="shared" si="104"/>
        <x:v>无伤害</x:v>
      </x:c>
      <x:c r="N389" s="6" t="s">
        <x:v>121</x:v>
      </x:c>
      <x:c r="O389" s="6" t="s">
        <x:v>121</x:v>
      </x:c>
      <x:c r="P389" s="6" t="str">
        <x:f t="shared" si="117"/>
        <x:v>不可破坏障碍；暂留999999血，不参与击杀标尺</x:v>
      </x:c>
      <x:c r="Q389" s="6"/>
      <x:c r="R389" s="6"/>
      <x:c r="S389" s="6"/>
      <x:c r="T389" s="6"/>
    </x:row>
    <x:row r="390" ht="21" customHeight="1">
      <x:c r="A390" s="14">
        <x:f t="shared" si="111"/>
        <x:v>60004</x:v>
      </x:c>
      <x:c r="B390" s="14" t="str">
        <x:f t="shared" si="112"/>
        <x:v>石头</x:v>
      </x:c>
      <x:c r="C390" s="6" t="str">
        <x:f t="shared" si="113"/>
        <x:v>障碍</x:v>
      </x:c>
      <x:c r="D390" s="6">
        <x:v>28</x:v>
      </x:c>
      <x:c r="E390" s="6">
        <x:v>17</x:v>
      </x:c>
      <x:c r="F390" s="12">
        <x:f t="shared" si="114"/>
        <x:v>999999</x:v>
      </x:c>
      <x:c r="G390" s="12">
        <x:f t="shared" si="102"/>
        <x:v>0</x:v>
      </x:c>
      <x:c r="H390" s="11">
        <x:f t="shared" si="115"/>
        <x:v>0</x:v>
      </x:c>
      <x:c r="I390" s="11">
        <x:f t="shared" si="116"/>
        <x:v>0</x:v>
      </x:c>
      <x:c r="J390" s="12">
        <x:f>英雄升级调参!$E$93</x:f>
        <x:v>1491</x:v>
      </x:c>
      <x:c r="K390" s="12">
        <x:f>英雄升级调参!$F$93</x:f>
        <x:v>14910</x:v>
      </x:c>
      <x:c r="L390" s="6" t="s">
        <x:v>121</x:v>
      </x:c>
      <x:c r="M390" s="6" t="str">
        <x:f t="shared" si="104"/>
        <x:v>无伤害</x:v>
      </x:c>
      <x:c r="N390" s="6" t="s">
        <x:v>121</x:v>
      </x:c>
      <x:c r="O390" s="6" t="s">
        <x:v>121</x:v>
      </x:c>
      <x:c r="P390" s="6" t="str">
        <x:f t="shared" si="117"/>
        <x:v>不可破坏障碍；暂留999999血，不参与击杀标尺</x:v>
      </x:c>
      <x:c r="Q390" s="6"/>
      <x:c r="R390" s="6"/>
      <x:c r="S390" s="6"/>
      <x:c r="T390" s="6"/>
    </x:row>
    <x:row r="391" ht="21" customHeight="1">
      <x:c r="A391" s="14">
        <x:f t="shared" si="111"/>
        <x:v>60004</x:v>
      </x:c>
      <x:c r="B391" s="14" t="str">
        <x:f t="shared" si="112"/>
        <x:v>石头</x:v>
      </x:c>
      <x:c r="C391" s="6" t="str">
        <x:f t="shared" si="113"/>
        <x:v>障碍</x:v>
      </x:c>
      <x:c r="D391" s="6">
        <x:v>29</x:v>
      </x:c>
      <x:c r="E391" s="6">
        <x:v>17</x:v>
      </x:c>
      <x:c r="F391" s="12">
        <x:f t="shared" si="114"/>
        <x:v>999999</x:v>
      </x:c>
      <x:c r="G391" s="12">
        <x:f t="shared" si="102"/>
        <x:v>0</x:v>
      </x:c>
      <x:c r="H391" s="11">
        <x:f t="shared" si="115"/>
        <x:v>0</x:v>
      </x:c>
      <x:c r="I391" s="11">
        <x:f t="shared" si="116"/>
        <x:v>0</x:v>
      </x:c>
      <x:c r="J391" s="12">
        <x:f>英雄升级调参!$E$94</x:f>
        <x:v>1554</x:v>
      </x:c>
      <x:c r="K391" s="12">
        <x:f>英雄升级调参!$F$94</x:f>
        <x:v>15540</x:v>
      </x:c>
      <x:c r="L391" s="6" t="s">
        <x:v>121</x:v>
      </x:c>
      <x:c r="M391" s="6" t="str">
        <x:f t="shared" si="104"/>
        <x:v>无伤害</x:v>
      </x:c>
      <x:c r="N391" s="6" t="s">
        <x:v>121</x:v>
      </x:c>
      <x:c r="O391" s="6" t="s">
        <x:v>121</x:v>
      </x:c>
      <x:c r="P391" s="6" t="str">
        <x:f t="shared" si="117"/>
        <x:v>不可破坏障碍；暂留999999血，不参与击杀标尺</x:v>
      </x:c>
      <x:c r="Q391" s="6"/>
      <x:c r="R391" s="6"/>
      <x:c r="S391" s="6"/>
      <x:c r="T391" s="6"/>
    </x:row>
    <x:row r="392" ht="21" customHeight="1">
      <x:c r="A392" s="14">
        <x:f t="shared" si="111"/>
        <x:v>60004</x:v>
      </x:c>
      <x:c r="B392" s="14" t="str">
        <x:f t="shared" si="112"/>
        <x:v>石头</x:v>
      </x:c>
      <x:c r="C392" s="6" t="str">
        <x:f t="shared" si="113"/>
        <x:v>障碍</x:v>
      </x:c>
      <x:c r="D392" s="6">
        <x:v>30</x:v>
      </x:c>
      <x:c r="E392" s="6">
        <x:v>17</x:v>
      </x:c>
      <x:c r="F392" s="12">
        <x:f t="shared" si="114"/>
        <x:v>999999</x:v>
      </x:c>
      <x:c r="G392" s="12">
        <x:f t="shared" si="102"/>
        <x:v>0</x:v>
      </x:c>
      <x:c r="H392" s="11">
        <x:f t="shared" si="115"/>
        <x:v>0</x:v>
      </x:c>
      <x:c r="I392" s="11">
        <x:f t="shared" si="116"/>
        <x:v>0</x:v>
      </x:c>
      <x:c r="J392" s="12">
        <x:f>英雄升级调参!$E$95</x:f>
        <x:v>1743</x:v>
      </x:c>
      <x:c r="K392" s="12">
        <x:f>英雄升级调参!$F$95</x:f>
        <x:v>17430</x:v>
      </x:c>
      <x:c r="L392" s="6" t="s">
        <x:v>121</x:v>
      </x:c>
      <x:c r="M392" s="6" t="str">
        <x:f t="shared" si="104"/>
        <x:v>无伤害</x:v>
      </x:c>
      <x:c r="N392" s="6" t="s">
        <x:v>121</x:v>
      </x:c>
      <x:c r="O392" s="6" t="s">
        <x:v>121</x:v>
      </x:c>
      <x:c r="P392" s="6" t="str">
        <x:f t="shared" si="117"/>
        <x:v>不可破坏障碍；暂留999999血，不参与击杀标尺</x:v>
      </x:c>
      <x:c r="Q392" s="6"/>
      <x:c r="R392" s="6"/>
      <x:c r="S392" s="6"/>
      <x:c r="T392" s="6"/>
    </x:row>
    <x:row r="393" ht="21" customHeight="1">
      <x:c r="A393" s="14">
        <x:f t="shared" si="111"/>
        <x:v>60004</x:v>
      </x:c>
      <x:c r="B393" s="14" t="str">
        <x:f t="shared" si="112"/>
        <x:v>石头</x:v>
      </x:c>
      <x:c r="C393" s="6" t="str">
        <x:f t="shared" si="113"/>
        <x:v>障碍</x:v>
      </x:c>
      <x:c r="D393" s="6">
        <x:v>31</x:v>
      </x:c>
      <x:c r="E393" s="6">
        <x:v>17</x:v>
      </x:c>
      <x:c r="F393" s="12">
        <x:f t="shared" si="114"/>
        <x:v>999999</x:v>
      </x:c>
      <x:c r="G393" s="12">
        <x:f t="shared" si="102"/>
        <x:v>0</x:v>
      </x:c>
      <x:c r="H393" s="11">
        <x:f t="shared" si="115"/>
        <x:v>0</x:v>
      </x:c>
      <x:c r="I393" s="11">
        <x:f t="shared" si="116"/>
        <x:v>0</x:v>
      </x:c>
      <x:c r="J393" s="12">
        <x:f>英雄升级调参!$E$96</x:f>
        <x:v>1815</x:v>
      </x:c>
      <x:c r="K393" s="12">
        <x:f>英雄升级调参!$F$96</x:f>
        <x:v>18150</x:v>
      </x:c>
      <x:c r="L393" s="6" t="s">
        <x:v>121</x:v>
      </x:c>
      <x:c r="M393" s="6" t="str">
        <x:f t="shared" si="104"/>
        <x:v>无伤害</x:v>
      </x:c>
      <x:c r="N393" s="6" t="s">
        <x:v>121</x:v>
      </x:c>
      <x:c r="O393" s="6" t="s">
        <x:v>121</x:v>
      </x:c>
      <x:c r="P393" s="6" t="str">
        <x:f t="shared" si="117"/>
        <x:v>不可破坏障碍；暂留999999血，不参与击杀标尺</x:v>
      </x:c>
      <x:c r="Q393" s="6"/>
      <x:c r="R393" s="6"/>
      <x:c r="S393" s="6"/>
      <x:c r="T393" s="6"/>
    </x:row>
    <x:row r="394" ht="21" customHeight="1">
      <x:c r="A394" s="14">
        <x:f t="shared" si="111"/>
        <x:v>60004</x:v>
      </x:c>
      <x:c r="B394" s="14" t="str">
        <x:f t="shared" si="112"/>
        <x:v>石头</x:v>
      </x:c>
      <x:c r="C394" s="6" t="str">
        <x:f t="shared" si="113"/>
        <x:v>障碍</x:v>
      </x:c>
      <x:c r="D394" s="6">
        <x:v>32</x:v>
      </x:c>
      <x:c r="E394" s="6">
        <x:v>17</x:v>
      </x:c>
      <x:c r="F394" s="12">
        <x:f t="shared" si="114"/>
        <x:v>999999</x:v>
      </x:c>
      <x:c r="G394" s="12">
        <x:f t="shared" si="102"/>
        <x:v>0</x:v>
      </x:c>
      <x:c r="H394" s="11">
        <x:f t="shared" si="115"/>
        <x:v>0</x:v>
      </x:c>
      <x:c r="I394" s="11">
        <x:f t="shared" si="116"/>
        <x:v>0</x:v>
      </x:c>
      <x:c r="J394" s="12">
        <x:f>英雄升级调参!$E$97</x:f>
        <x:v>1887</x:v>
      </x:c>
      <x:c r="K394" s="12">
        <x:f>英雄升级调参!$F$97</x:f>
        <x:v>18870</x:v>
      </x:c>
      <x:c r="L394" s="6" t="s">
        <x:v>121</x:v>
      </x:c>
      <x:c r="M394" s="6" t="str">
        <x:f t="shared" si="104"/>
        <x:v>无伤害</x:v>
      </x:c>
      <x:c r="N394" s="6" t="s">
        <x:v>121</x:v>
      </x:c>
      <x:c r="O394" s="6" t="s">
        <x:v>121</x:v>
      </x:c>
      <x:c r="P394" s="6" t="str">
        <x:f t="shared" si="117"/>
        <x:v>不可破坏障碍；暂留999999血，不参与击杀标尺</x:v>
      </x:c>
      <x:c r="Q394" s="6"/>
      <x:c r="R394" s="6"/>
      <x:c r="S394" s="6"/>
      <x:c r="T394" s="6"/>
    </x:row>
    <x:row r="395" ht="21" customHeight="1">
      <x:c r="A395" s="14" t="n">
        <x:f t="shared" ref="A395:A412" si="118">$V$17</x:f>
        <x:v>60004</x:v>
      </x:c>
      <x:c r="B395" s="14" t="str">
        <x:f t="shared" ref="B395:B412" si="119">$W$17</x:f>
        <x:v>石头</x:v>
      </x:c>
      <x:c r="C395" s="6" t="str">
        <x:f t="shared" ref="C395:C412" si="120">$X$17</x:f>
        <x:v>障碍</x:v>
      </x:c>
      <x:c r="D395" s="6">
        <x:v>33</x:v>
      </x:c>
      <x:c r="E395" s="6">
        <x:v>17</x:v>
      </x:c>
      <x:c r="F395" s="12" t="n">
        <x:f t="shared" ref="F395:F412" si="121">$W$6</x:f>
        <x:v>999999</x:v>
      </x:c>
      <x:c r="G395" s="12">
        <x:f t="shared" si="102"/>
        <x:v>0</x:v>
      </x:c>
      <x:c r="H395" s="11" t="n">
        <x:f t="shared" ref="H395:H412" si="122">$Y$17</x:f>
        <x:v>0</x:v>
      </x:c>
      <x:c r="I395" s="11" t="n">
        <x:f t="shared" ref="I395:I412" si="123">$Z$17</x:f>
        <x:v>0</x:v>
      </x:c>
      <x:c r="J395" s="12">
        <x:f>英雄升级调参!$E$98</x:f>
        <x:v>1959</x:v>
      </x:c>
      <x:c r="K395" s="12">
        <x:f>英雄升级调参!$F$98</x:f>
        <x:v>19590</x:v>
      </x:c>
      <x:c r="L395" s="6" t="s">
        <x:v>121</x:v>
      </x:c>
      <x:c r="M395" s="6" t="str">
        <x:f t="shared" si="104"/>
        <x:v>无伤害</x:v>
      </x:c>
      <x:c r="N395" s="6" t="s">
        <x:v>121</x:v>
      </x:c>
      <x:c r="O395" s="6" t="s">
        <x:v>121</x:v>
      </x:c>
      <x:c r="P395" s="6" t="str">
        <x:f t="shared" ref="P395:P412" si="124">$AA$17</x:f>
        <x:v>不可破坏障碍；暂留999999血，不参与击杀标尺</x:v>
      </x:c>
      <x:c r="Q395" s="6"/>
      <x:c r="R395" s="6"/>
      <x:c r="S395" s="6"/>
      <x:c r="T395" s="6"/>
    </x:row>
    <x:row r="396" ht="21" customHeight="1">
      <x:c r="A396" s="14">
        <x:f t="shared" si="118"/>
        <x:v>60004</x:v>
      </x:c>
      <x:c r="B396" s="14" t="str">
        <x:f t="shared" si="119"/>
        <x:v>石头</x:v>
      </x:c>
      <x:c r="C396" s="6" t="str">
        <x:f t="shared" si="120"/>
        <x:v>障碍</x:v>
      </x:c>
      <x:c r="D396" s="6">
        <x:v>34</x:v>
      </x:c>
      <x:c r="E396" s="6">
        <x:v>17</x:v>
      </x:c>
      <x:c r="F396" s="12">
        <x:f t="shared" si="121"/>
        <x:v>999999</x:v>
      </x:c>
      <x:c r="G396" s="12">
        <x:f t="shared" si="102"/>
        <x:v>0</x:v>
      </x:c>
      <x:c r="H396" s="11">
        <x:f t="shared" si="122"/>
        <x:v>0</x:v>
      </x:c>
      <x:c r="I396" s="11">
        <x:f t="shared" si="123"/>
        <x:v>0</x:v>
      </x:c>
      <x:c r="J396" s="12">
        <x:f>英雄升级调参!$E$99</x:f>
        <x:v>2031</x:v>
      </x:c>
      <x:c r="K396" s="12">
        <x:f>英雄升级调参!$F$99</x:f>
        <x:v>20310</x:v>
      </x:c>
      <x:c r="L396" s="6" t="s">
        <x:v>121</x:v>
      </x:c>
      <x:c r="M396" s="6" t="str">
        <x:f t="shared" si="104"/>
        <x:v>无伤害</x:v>
      </x:c>
      <x:c r="N396" s="6" t="s">
        <x:v>121</x:v>
      </x:c>
      <x:c r="O396" s="6" t="s">
        <x:v>121</x:v>
      </x:c>
      <x:c r="P396" s="6" t="str">
        <x:f t="shared" si="124"/>
        <x:v>不可破坏障碍；暂留999999血，不参与击杀标尺</x:v>
      </x:c>
      <x:c r="Q396" s="6"/>
      <x:c r="R396" s="6"/>
      <x:c r="S396" s="6"/>
      <x:c r="T396" s="6"/>
    </x:row>
    <x:row r="397" ht="21" customHeight="1">
      <x:c r="A397" s="14">
        <x:f t="shared" si="118"/>
        <x:v>60004</x:v>
      </x:c>
      <x:c r="B397" s="14" t="str">
        <x:f t="shared" si="119"/>
        <x:v>石头</x:v>
      </x:c>
      <x:c r="C397" s="6" t="str">
        <x:f t="shared" si="120"/>
        <x:v>障碍</x:v>
      </x:c>
      <x:c r="D397" s="6">
        <x:v>35</x:v>
      </x:c>
      <x:c r="E397" s="6">
        <x:v>17</x:v>
      </x:c>
      <x:c r="F397" s="12">
        <x:f t="shared" si="121"/>
        <x:v>999999</x:v>
      </x:c>
      <x:c r="G397" s="12" t="n">
        <x:f>ROUND(J397*$W$4*$W$5*I397,0)</x:f>
        <x:v>0</x:v>
      </x:c>
      <x:c r="H397" s="11">
        <x:f t="shared" si="122"/>
        <x:v>0</x:v>
      </x:c>
      <x:c r="I397" s="11">
        <x:f t="shared" si="123"/>
        <x:v>0</x:v>
      </x:c>
      <x:c r="J397" s="12">
        <x:f>英雄升级调参!$E$100</x:f>
        <x:v>2247</x:v>
      </x:c>
      <x:c r="K397" s="12">
        <x:f>英雄升级调参!$F$100</x:f>
        <x:v>22470</x:v>
      </x:c>
      <x:c r="L397" s="6" t="s">
        <x:v>121</x:v>
      </x:c>
      <x:c r="M397" s="6" t="str">
        <x:f>IF(G397=0,"无伤害",ROUNDUP(K397/G397,0))</x:f>
        <x:v>无伤害</x:v>
      </x:c>
      <x:c r="N397" s="6" t="s">
        <x:v>121</x:v>
      </x:c>
      <x:c r="O397" s="6" t="s">
        <x:v>121</x:v>
      </x:c>
      <x:c r="P397" s="6" t="str">
        <x:f t="shared" si="124"/>
        <x:v>不可破坏障碍；暂留999999血，不参与击杀标尺</x:v>
      </x:c>
      <x:c r="Q397" s="6"/>
      <x:c r="R397" s="6"/>
      <x:c r="S397" s="6"/>
      <x:c r="T397" s="6"/>
    </x:row>
    <x:row r="398" ht="21" customHeight="1">
      <x:c r="A398" s="14">
        <x:f t="shared" si="118"/>
        <x:v>60004</x:v>
      </x:c>
      <x:c r="B398" s="14" t="str">
        <x:f t="shared" si="119"/>
        <x:v>石头</x:v>
      </x:c>
      <x:c r="C398" s="6" t="str">
        <x:f t="shared" si="120"/>
        <x:v>障碍</x:v>
      </x:c>
      <x:c r="D398" s="6">
        <x:v>36</x:v>
      </x:c>
      <x:c r="E398" s="6">
        <x:v>17</x:v>
      </x:c>
      <x:c r="F398" s="12">
        <x:f t="shared" si="121"/>
        <x:v>999999</x:v>
      </x:c>
      <x:c r="G398" s="12" t="n">
        <x:f>ROUND(J398*$W$4*$W$5*I398,0)</x:f>
        <x:v>0</x:v>
      </x:c>
      <x:c r="H398" s="11">
        <x:f t="shared" si="122"/>
        <x:v>0</x:v>
      </x:c>
      <x:c r="I398" s="11">
        <x:f t="shared" si="123"/>
        <x:v>0</x:v>
      </x:c>
      <x:c r="J398" s="12">
        <x:f>英雄升级调参!$E$101</x:f>
        <x:v>2328</x:v>
      </x:c>
      <x:c r="K398" s="12">
        <x:f>英雄升级调参!$F$101</x:f>
        <x:v>23280</x:v>
      </x:c>
      <x:c r="L398" s="6" t="s">
        <x:v>121</x:v>
      </x:c>
      <x:c r="M398" s="6" t="str">
        <x:f>IF(G398=0,"无伤害",ROUNDUP(K398/G398,0))</x:f>
        <x:v>无伤害</x:v>
      </x:c>
      <x:c r="N398" s="6" t="s">
        <x:v>121</x:v>
      </x:c>
      <x:c r="O398" s="6" t="s">
        <x:v>121</x:v>
      </x:c>
      <x:c r="P398" s="6" t="str">
        <x:f t="shared" si="124"/>
        <x:v>不可破坏障碍；暂留999999血，不参与击杀标尺</x:v>
      </x:c>
      <x:c r="Q398" s="6"/>
      <x:c r="R398" s="6"/>
      <x:c r="S398" s="6"/>
      <x:c r="T398" s="6"/>
    </x:row>
    <x:row r="399" ht="21" customHeight="1">
      <x:c r="A399" s="14">
        <x:f t="shared" si="118"/>
        <x:v>60004</x:v>
      </x:c>
      <x:c r="B399" s="14" t="str">
        <x:f t="shared" si="119"/>
        <x:v>石头</x:v>
      </x:c>
      <x:c r="C399" s="6" t="str">
        <x:f t="shared" si="120"/>
        <x:v>障碍</x:v>
      </x:c>
      <x:c r="D399" s="6">
        <x:v>37</x:v>
      </x:c>
      <x:c r="E399" s="6">
        <x:v>17</x:v>
      </x:c>
      <x:c r="F399" s="12">
        <x:f t="shared" si="121"/>
        <x:v>999999</x:v>
      </x:c>
      <x:c r="G399" s="12" t="n">
        <x:f>ROUND(J399*$W$4*$W$5*I399,0)</x:f>
        <x:v>0</x:v>
      </x:c>
      <x:c r="H399" s="11">
        <x:f t="shared" si="122"/>
        <x:v>0</x:v>
      </x:c>
      <x:c r="I399" s="11">
        <x:f t="shared" si="123"/>
        <x:v>0</x:v>
      </x:c>
      <x:c r="J399" s="12">
        <x:f>英雄升级调参!$E$102</x:f>
        <x:v>2409</x:v>
      </x:c>
      <x:c r="K399" s="12">
        <x:f>英雄升级调参!$F$102</x:f>
        <x:v>24090</x:v>
      </x:c>
      <x:c r="L399" s="6" t="s">
        <x:v>121</x:v>
      </x:c>
      <x:c r="M399" s="6" t="str">
        <x:f>IF(G399=0,"无伤害",ROUNDUP(K399/G399,0))</x:f>
        <x:v>无伤害</x:v>
      </x:c>
      <x:c r="N399" s="6" t="s">
        <x:v>121</x:v>
      </x:c>
      <x:c r="O399" s="6" t="s">
        <x:v>121</x:v>
      </x:c>
      <x:c r="P399" s="6" t="str">
        <x:f t="shared" si="124"/>
        <x:v>不可破坏障碍；暂留999999血，不参与击杀标尺</x:v>
      </x:c>
      <x:c r="Q399" s="6"/>
      <x:c r="R399" s="6"/>
      <x:c r="S399" s="6"/>
      <x:c r="T399" s="6"/>
    </x:row>
    <x:row r="400" ht="21" customHeight="1">
      <x:c r="A400" s="14">
        <x:f t="shared" si="118"/>
        <x:v>60004</x:v>
      </x:c>
      <x:c r="B400" s="14" t="str">
        <x:f t="shared" si="119"/>
        <x:v>石头</x:v>
      </x:c>
      <x:c r="C400" s="6" t="str">
        <x:f t="shared" si="120"/>
        <x:v>障碍</x:v>
      </x:c>
      <x:c r="D400" s="6">
        <x:v>38</x:v>
      </x:c>
      <x:c r="E400" s="6">
        <x:v>17</x:v>
      </x:c>
      <x:c r="F400" s="12">
        <x:f t="shared" si="121"/>
        <x:v>999999</x:v>
      </x:c>
      <x:c r="G400" s="12" t="n">
        <x:f>ROUND(J400*$W$4*$W$5*I400,0)</x:f>
        <x:v>0</x:v>
      </x:c>
      <x:c r="H400" s="11">
        <x:f t="shared" si="122"/>
        <x:v>0</x:v>
      </x:c>
      <x:c r="I400" s="11">
        <x:f t="shared" si="123"/>
        <x:v>0</x:v>
      </x:c>
      <x:c r="J400" s="12">
        <x:f>英雄升级调参!$E$103</x:f>
        <x:v>2490</x:v>
      </x:c>
      <x:c r="K400" s="12">
        <x:f>英雄升级调参!$F$103</x:f>
        <x:v>24900</x:v>
      </x:c>
      <x:c r="L400" s="6" t="s">
        <x:v>121</x:v>
      </x:c>
      <x:c r="M400" s="6" t="str">
        <x:f>IF(G400=0,"无伤害",ROUNDUP(K400/G400,0))</x:f>
        <x:v>无伤害</x:v>
      </x:c>
      <x:c r="N400" s="6" t="s">
        <x:v>121</x:v>
      </x:c>
      <x:c r="O400" s="6" t="s">
        <x:v>121</x:v>
      </x:c>
      <x:c r="P400" s="6" t="str">
        <x:f t="shared" si="124"/>
        <x:v>不可破坏障碍；暂留999999血，不参与击杀标尺</x:v>
      </x:c>
      <x:c r="Q400" s="6"/>
      <x:c r="R400" s="6"/>
      <x:c r="S400" s="6"/>
      <x:c r="T400" s="6"/>
    </x:row>
    <x:row r="401" ht="21" customHeight="1">
      <x:c r="A401" s="14">
        <x:f t="shared" si="118"/>
        <x:v>60004</x:v>
      </x:c>
      <x:c r="B401" s="14" t="str">
        <x:f t="shared" si="119"/>
        <x:v>石头</x:v>
      </x:c>
      <x:c r="C401" s="6" t="str">
        <x:f t="shared" si="120"/>
        <x:v>障碍</x:v>
      </x:c>
      <x:c r="D401" s="6">
        <x:v>39</x:v>
      </x:c>
      <x:c r="E401" s="6">
        <x:v>17</x:v>
      </x:c>
      <x:c r="F401" s="12">
        <x:f t="shared" si="121"/>
        <x:v>999999</x:v>
      </x:c>
      <x:c r="G401" s="12" t="n">
        <x:f>ROUND(J401*$W$4*$W$5*I401,0)</x:f>
        <x:v>0</x:v>
      </x:c>
      <x:c r="H401" s="11">
        <x:f t="shared" si="122"/>
        <x:v>0</x:v>
      </x:c>
      <x:c r="I401" s="11">
        <x:f t="shared" si="123"/>
        <x:v>0</x:v>
      </x:c>
      <x:c r="J401" s="12">
        <x:f>英雄升级调参!$E$104</x:f>
        <x:v>2571</x:v>
      </x:c>
      <x:c r="K401" s="12">
        <x:f>英雄升级调参!$F$104</x:f>
        <x:v>25710</x:v>
      </x:c>
      <x:c r="L401" s="6" t="s">
        <x:v>121</x:v>
      </x:c>
      <x:c r="M401" s="6" t="str">
        <x:f>IF(G401=0,"无伤害",ROUNDUP(K401/G401,0))</x:f>
        <x:v>无伤害</x:v>
      </x:c>
      <x:c r="N401" s="6" t="s">
        <x:v>121</x:v>
      </x:c>
      <x:c r="O401" s="6" t="s">
        <x:v>121</x:v>
      </x:c>
      <x:c r="P401" s="6" t="str">
        <x:f t="shared" si="124"/>
        <x:v>不可破坏障碍；暂留999999血，不参与击杀标尺</x:v>
      </x:c>
      <x:c r="Q401" s="6"/>
      <x:c r="R401" s="6"/>
      <x:c r="S401" s="6"/>
      <x:c r="T401" s="6"/>
    </x:row>
    <x:row r="402" ht="21" customHeight="1">
      <x:c r="A402" s="14">
        <x:f t="shared" si="118"/>
        <x:v>60004</x:v>
      </x:c>
      <x:c r="B402" s="14" t="str">
        <x:f t="shared" si="119"/>
        <x:v>石头</x:v>
      </x:c>
      <x:c r="C402" s="6" t="str">
        <x:f t="shared" si="120"/>
        <x:v>障碍</x:v>
      </x:c>
      <x:c r="D402" s="6">
        <x:v>40</x:v>
      </x:c>
      <x:c r="E402" s="6">
        <x:v>17</x:v>
      </x:c>
      <x:c r="F402" s="12">
        <x:f t="shared" si="121"/>
        <x:v>999999</x:v>
      </x:c>
      <x:c r="G402" s="12" t="n">
        <x:f>ROUND(J402*$W$4*$W$5*I402,0)</x:f>
        <x:v>0</x:v>
      </x:c>
      <x:c r="H402" s="11">
        <x:f t="shared" si="122"/>
        <x:v>0</x:v>
      </x:c>
      <x:c r="I402" s="11">
        <x:f t="shared" si="123"/>
        <x:v>0</x:v>
      </x:c>
      <x:c r="J402" s="12">
        <x:f>英雄升级调参!$E$105</x:f>
        <x:v>2814</x:v>
      </x:c>
      <x:c r="K402" s="12">
        <x:f>英雄升级调参!$F$105</x:f>
        <x:v>28140</x:v>
      </x:c>
      <x:c r="L402" s="6" t="s">
        <x:v>121</x:v>
      </x:c>
      <x:c r="M402" s="6" t="str">
        <x:f>IF(G402=0,"无伤害",ROUNDUP(K402/G402,0))</x:f>
        <x:v>无伤害</x:v>
      </x:c>
      <x:c r="N402" s="6" t="s">
        <x:v>121</x:v>
      </x:c>
      <x:c r="O402" s="6" t="s">
        <x:v>121</x:v>
      </x:c>
      <x:c r="P402" s="6" t="str">
        <x:f t="shared" si="124"/>
        <x:v>不可破坏障碍；暂留999999血，不参与击杀标尺</x:v>
      </x:c>
      <x:c r="Q402" s="6"/>
      <x:c r="R402" s="6"/>
      <x:c r="S402" s="6"/>
      <x:c r="T402" s="6"/>
    </x:row>
    <x:row r="403" ht="21" customHeight="1">
      <x:c r="A403" s="14">
        <x:f t="shared" si="118"/>
        <x:v>60004</x:v>
      </x:c>
      <x:c r="B403" s="14" t="str">
        <x:f t="shared" si="119"/>
        <x:v>石头</x:v>
      </x:c>
      <x:c r="C403" s="6" t="str">
        <x:f t="shared" si="120"/>
        <x:v>障碍</x:v>
      </x:c>
      <x:c r="D403" s="6">
        <x:v>41</x:v>
      </x:c>
      <x:c r="E403" s="6">
        <x:v>17</x:v>
      </x:c>
      <x:c r="F403" s="12">
        <x:f t="shared" si="121"/>
        <x:v>999999</x:v>
      </x:c>
      <x:c r="G403" s="12" t="n">
        <x:f>ROUND(J403*$W$4*$W$5*I403,0)</x:f>
        <x:v>0</x:v>
      </x:c>
      <x:c r="H403" s="11">
        <x:f t="shared" si="122"/>
        <x:v>0</x:v>
      </x:c>
      <x:c r="I403" s="11">
        <x:f t="shared" si="123"/>
        <x:v>0</x:v>
      </x:c>
      <x:c r="J403" s="12">
        <x:f>英雄升级调参!$E$106</x:f>
        <x:v>2904</x:v>
      </x:c>
      <x:c r="K403" s="12">
        <x:f>英雄升级调参!$F$106</x:f>
        <x:v>29040</x:v>
      </x:c>
      <x:c r="L403" s="6" t="s">
        <x:v>121</x:v>
      </x:c>
      <x:c r="M403" s="6" t="str">
        <x:f>IF(G403=0,"无伤害",ROUNDUP(K403/G403,0))</x:f>
        <x:v>无伤害</x:v>
      </x:c>
      <x:c r="N403" s="6" t="s">
        <x:v>121</x:v>
      </x:c>
      <x:c r="O403" s="6" t="s">
        <x:v>121</x:v>
      </x:c>
      <x:c r="P403" s="6" t="str">
        <x:f t="shared" si="124"/>
        <x:v>不可破坏障碍；暂留999999血，不参与击杀标尺</x:v>
      </x:c>
      <x:c r="Q403" s="6"/>
      <x:c r="R403" s="6"/>
      <x:c r="S403" s="6"/>
      <x:c r="T403" s="6"/>
    </x:row>
    <x:row r="404" ht="21" customHeight="1">
      <x:c r="A404" s="14">
        <x:f t="shared" si="118"/>
        <x:v>60004</x:v>
      </x:c>
      <x:c r="B404" s="14" t="str">
        <x:f t="shared" si="119"/>
        <x:v>石头</x:v>
      </x:c>
      <x:c r="C404" s="6" t="str">
        <x:f t="shared" si="120"/>
        <x:v>障碍</x:v>
      </x:c>
      <x:c r="D404" s="6">
        <x:v>42</x:v>
      </x:c>
      <x:c r="E404" s="6">
        <x:v>17</x:v>
      </x:c>
      <x:c r="F404" s="12">
        <x:f t="shared" si="121"/>
        <x:v>999999</x:v>
      </x:c>
      <x:c r="G404" s="12" t="n">
        <x:f>ROUND(J404*$W$4*$W$5*I404,0)</x:f>
        <x:v>0</x:v>
      </x:c>
      <x:c r="H404" s="11">
        <x:f t="shared" si="122"/>
        <x:v>0</x:v>
      </x:c>
      <x:c r="I404" s="11">
        <x:f t="shared" si="123"/>
        <x:v>0</x:v>
      </x:c>
      <x:c r="J404" s="12">
        <x:f>英雄升级调参!$E$107</x:f>
        <x:v>2994</x:v>
      </x:c>
      <x:c r="K404" s="12">
        <x:f>英雄升级调参!$F$107</x:f>
        <x:v>29940</x:v>
      </x:c>
      <x:c r="L404" s="6" t="s">
        <x:v>121</x:v>
      </x:c>
      <x:c r="M404" s="6" t="str">
        <x:f>IF(G404=0,"无伤害",ROUNDUP(K404/G404,0))</x:f>
        <x:v>无伤害</x:v>
      </x:c>
      <x:c r="N404" s="6" t="s">
        <x:v>121</x:v>
      </x:c>
      <x:c r="O404" s="6" t="s">
        <x:v>121</x:v>
      </x:c>
      <x:c r="P404" s="6" t="str">
        <x:f t="shared" si="124"/>
        <x:v>不可破坏障碍；暂留999999血，不参与击杀标尺</x:v>
      </x:c>
      <x:c r="Q404" s="6"/>
      <x:c r="R404" s="6"/>
      <x:c r="S404" s="6"/>
      <x:c r="T404" s="6"/>
    </x:row>
    <x:row r="405" ht="21" customHeight="1">
      <x:c r="A405" s="14">
        <x:f t="shared" si="118"/>
        <x:v>60004</x:v>
      </x:c>
      <x:c r="B405" s="14" t="str">
        <x:f t="shared" si="119"/>
        <x:v>石头</x:v>
      </x:c>
      <x:c r="C405" s="6" t="str">
        <x:f t="shared" si="120"/>
        <x:v>障碍</x:v>
      </x:c>
      <x:c r="D405" s="6">
        <x:v>43</x:v>
      </x:c>
      <x:c r="E405" s="6">
        <x:v>17</x:v>
      </x:c>
      <x:c r="F405" s="12">
        <x:f t="shared" si="121"/>
        <x:v>999999</x:v>
      </x:c>
      <x:c r="G405" s="12" t="n">
        <x:f>ROUND(J405*$W$4*$W$5*I405,0)</x:f>
        <x:v>0</x:v>
      </x:c>
      <x:c r="H405" s="11">
        <x:f t="shared" si="122"/>
        <x:v>0</x:v>
      </x:c>
      <x:c r="I405" s="11">
        <x:f t="shared" si="123"/>
        <x:v>0</x:v>
      </x:c>
      <x:c r="J405" s="12">
        <x:f>英雄升级调参!$E$108</x:f>
        <x:v>3084</x:v>
      </x:c>
      <x:c r="K405" s="12">
        <x:f>英雄升级调参!$F$108</x:f>
        <x:v>30840</x:v>
      </x:c>
      <x:c r="L405" s="6" t="s">
        <x:v>121</x:v>
      </x:c>
      <x:c r="M405" s="6" t="str">
        <x:f>IF(G405=0,"无伤害",ROUNDUP(K405/G405,0))</x:f>
        <x:v>无伤害</x:v>
      </x:c>
      <x:c r="N405" s="6" t="s">
        <x:v>121</x:v>
      </x:c>
      <x:c r="O405" s="6" t="s">
        <x:v>121</x:v>
      </x:c>
      <x:c r="P405" s="6" t="str">
        <x:f t="shared" si="124"/>
        <x:v>不可破坏障碍；暂留999999血，不参与击杀标尺</x:v>
      </x:c>
      <x:c r="Q405" s="6"/>
      <x:c r="R405" s="6"/>
      <x:c r="S405" s="6"/>
      <x:c r="T405" s="6"/>
    </x:row>
    <x:row r="406" ht="21" customHeight="1">
      <x:c r="A406" s="14">
        <x:f t="shared" si="118"/>
        <x:v>60004</x:v>
      </x:c>
      <x:c r="B406" s="14" t="str">
        <x:f t="shared" si="119"/>
        <x:v>石头</x:v>
      </x:c>
      <x:c r="C406" s="6" t="str">
        <x:f t="shared" si="120"/>
        <x:v>障碍</x:v>
      </x:c>
      <x:c r="D406" s="6">
        <x:v>44</x:v>
      </x:c>
      <x:c r="E406" s="6">
        <x:v>17</x:v>
      </x:c>
      <x:c r="F406" s="12">
        <x:f t="shared" si="121"/>
        <x:v>999999</x:v>
      </x:c>
      <x:c r="G406" s="12" t="n">
        <x:f>ROUND(J406*$W$4*$W$5*I406,0)</x:f>
        <x:v>0</x:v>
      </x:c>
      <x:c r="H406" s="11">
        <x:f t="shared" si="122"/>
        <x:v>0</x:v>
      </x:c>
      <x:c r="I406" s="11">
        <x:f t="shared" si="123"/>
        <x:v>0</x:v>
      </x:c>
      <x:c r="J406" s="12">
        <x:f>英雄升级调参!$E$109</x:f>
        <x:v>3174</x:v>
      </x:c>
      <x:c r="K406" s="12">
        <x:f>英雄升级调参!$F$109</x:f>
        <x:v>31740</x:v>
      </x:c>
      <x:c r="L406" s="6" t="s">
        <x:v>121</x:v>
      </x:c>
      <x:c r="M406" s="6" t="str">
        <x:f>IF(G406=0,"无伤害",ROUNDUP(K406/G406,0))</x:f>
        <x:v>无伤害</x:v>
      </x:c>
      <x:c r="N406" s="6" t="s">
        <x:v>121</x:v>
      </x:c>
      <x:c r="O406" s="6" t="s">
        <x:v>121</x:v>
      </x:c>
      <x:c r="P406" s="6" t="str">
        <x:f t="shared" si="124"/>
        <x:v>不可破坏障碍；暂留999999血，不参与击杀标尺</x:v>
      </x:c>
      <x:c r="Q406" s="6"/>
      <x:c r="R406" s="6"/>
      <x:c r="S406" s="6"/>
      <x:c r="T406" s="6"/>
    </x:row>
    <x:row r="407" ht="21" customHeight="1">
      <x:c r="A407" s="14">
        <x:f t="shared" si="118"/>
        <x:v>60004</x:v>
      </x:c>
      <x:c r="B407" s="14" t="str">
        <x:f t="shared" si="119"/>
        <x:v>石头</x:v>
      </x:c>
      <x:c r="C407" s="6" t="str">
        <x:f t="shared" si="120"/>
        <x:v>障碍</x:v>
      </x:c>
      <x:c r="D407" s="6">
        <x:v>45</x:v>
      </x:c>
      <x:c r="E407" s="6">
        <x:v>17</x:v>
      </x:c>
      <x:c r="F407" s="12">
        <x:f t="shared" si="121"/>
        <x:v>999999</x:v>
      </x:c>
      <x:c r="G407" s="12" t="n">
        <x:f>ROUND(J407*$W$4*$W$5*I407,0)</x:f>
        <x:v>0</x:v>
      </x:c>
      <x:c r="H407" s="11">
        <x:f t="shared" si="122"/>
        <x:v>0</x:v>
      </x:c>
      <x:c r="I407" s="11">
        <x:f t="shared" si="123"/>
        <x:v>0</x:v>
      </x:c>
      <x:c r="J407" s="12">
        <x:f>英雄升级调参!$E$110</x:f>
        <x:v>3444</x:v>
      </x:c>
      <x:c r="K407" s="12">
        <x:f>英雄升级调参!$F$110</x:f>
        <x:v>34440</x:v>
      </x:c>
      <x:c r="L407" s="6" t="s">
        <x:v>121</x:v>
      </x:c>
      <x:c r="M407" s="6" t="str">
        <x:f>IF(G407=0,"无伤害",ROUNDUP(K407/G407,0))</x:f>
        <x:v>无伤害</x:v>
      </x:c>
      <x:c r="N407" s="6" t="s">
        <x:v>121</x:v>
      </x:c>
      <x:c r="O407" s="6" t="s">
        <x:v>121</x:v>
      </x:c>
      <x:c r="P407" s="6" t="str">
        <x:f t="shared" si="124"/>
        <x:v>不可破坏障碍；暂留999999血，不参与击杀标尺</x:v>
      </x:c>
      <x:c r="Q407" s="6"/>
      <x:c r="R407" s="6"/>
      <x:c r="S407" s="6"/>
      <x:c r="T407" s="6"/>
    </x:row>
    <x:row r="408" ht="21" customHeight="1">
      <x:c r="A408" s="14">
        <x:f t="shared" si="118"/>
        <x:v>60004</x:v>
      </x:c>
      <x:c r="B408" s="14" t="str">
        <x:f t="shared" si="119"/>
        <x:v>石头</x:v>
      </x:c>
      <x:c r="C408" s="6" t="str">
        <x:f t="shared" si="120"/>
        <x:v>障碍</x:v>
      </x:c>
      <x:c r="D408" s="6">
        <x:v>46</x:v>
      </x:c>
      <x:c r="E408" s="6">
        <x:v>17</x:v>
      </x:c>
      <x:c r="F408" s="12">
        <x:f t="shared" si="121"/>
        <x:v>999999</x:v>
      </x:c>
      <x:c r="G408" s="12" t="n">
        <x:f>ROUND(J408*$W$4*$W$5*I408,0)</x:f>
        <x:v>0</x:v>
      </x:c>
      <x:c r="H408" s="11">
        <x:f t="shared" si="122"/>
        <x:v>0</x:v>
      </x:c>
      <x:c r="I408" s="11">
        <x:f t="shared" si="123"/>
        <x:v>0</x:v>
      </x:c>
      <x:c r="J408" s="12">
        <x:f>英雄升级调参!$E$111</x:f>
        <x:v>3543</x:v>
      </x:c>
      <x:c r="K408" s="12">
        <x:f>英雄升级调参!$F$111</x:f>
        <x:v>35430</x:v>
      </x:c>
      <x:c r="L408" s="6" t="s">
        <x:v>121</x:v>
      </x:c>
      <x:c r="M408" s="6" t="str">
        <x:f>IF(G408=0,"无伤害",ROUNDUP(K408/G408,0))</x:f>
        <x:v>无伤害</x:v>
      </x:c>
      <x:c r="N408" s="6" t="s">
        <x:v>121</x:v>
      </x:c>
      <x:c r="O408" s="6" t="s">
        <x:v>121</x:v>
      </x:c>
      <x:c r="P408" s="6" t="str">
        <x:f t="shared" si="124"/>
        <x:v>不可破坏障碍；暂留999999血，不参与击杀标尺</x:v>
      </x:c>
      <x:c r="Q408" s="6"/>
      <x:c r="R408" s="6"/>
      <x:c r="S408" s="6"/>
      <x:c r="T408" s="6"/>
    </x:row>
    <x:row r="409" ht="21" customHeight="1">
      <x:c r="A409" s="14">
        <x:f t="shared" si="118"/>
        <x:v>60004</x:v>
      </x:c>
      <x:c r="B409" s="14" t="str">
        <x:f t="shared" si="119"/>
        <x:v>石头</x:v>
      </x:c>
      <x:c r="C409" s="6" t="str">
        <x:f t="shared" si="120"/>
        <x:v>障碍</x:v>
      </x:c>
      <x:c r="D409" s="6">
        <x:v>47</x:v>
      </x:c>
      <x:c r="E409" s="6">
        <x:v>17</x:v>
      </x:c>
      <x:c r="F409" s="12">
        <x:f t="shared" si="121"/>
        <x:v>999999</x:v>
      </x:c>
      <x:c r="G409" s="12" t="n">
        <x:f>ROUND(J409*$W$4*$W$5*I409,0)</x:f>
        <x:v>0</x:v>
      </x:c>
      <x:c r="H409" s="11">
        <x:f t="shared" si="122"/>
        <x:v>0</x:v>
      </x:c>
      <x:c r="I409" s="11">
        <x:f t="shared" si="123"/>
        <x:v>0</x:v>
      </x:c>
      <x:c r="J409" s="12">
        <x:f>英雄升级调参!$E$112</x:f>
        <x:v>3642</x:v>
      </x:c>
      <x:c r="K409" s="12">
        <x:f>英雄升级调参!$F$112</x:f>
        <x:v>36420</x:v>
      </x:c>
      <x:c r="L409" s="6" t="s">
        <x:v>121</x:v>
      </x:c>
      <x:c r="M409" s="6" t="str">
        <x:f>IF(G409=0,"无伤害",ROUNDUP(K409/G409,0))</x:f>
        <x:v>无伤害</x:v>
      </x:c>
      <x:c r="N409" s="6" t="s">
        <x:v>121</x:v>
      </x:c>
      <x:c r="O409" s="6" t="s">
        <x:v>121</x:v>
      </x:c>
      <x:c r="P409" s="6" t="str">
        <x:f t="shared" si="124"/>
        <x:v>不可破坏障碍；暂留999999血，不参与击杀标尺</x:v>
      </x:c>
      <x:c r="Q409" s="6"/>
      <x:c r="R409" s="6"/>
      <x:c r="S409" s="6"/>
      <x:c r="T409" s="6"/>
    </x:row>
    <x:row r="410" ht="21" customHeight="1">
      <x:c r="A410" s="14">
        <x:f t="shared" si="118"/>
        <x:v>60004</x:v>
      </x:c>
      <x:c r="B410" s="14" t="str">
        <x:f t="shared" si="119"/>
        <x:v>石头</x:v>
      </x:c>
      <x:c r="C410" s="6" t="str">
        <x:f t="shared" si="120"/>
        <x:v>障碍</x:v>
      </x:c>
      <x:c r="D410" s="6">
        <x:v>48</x:v>
      </x:c>
      <x:c r="E410" s="6">
        <x:v>17</x:v>
      </x:c>
      <x:c r="F410" s="12">
        <x:f t="shared" si="121"/>
        <x:v>999999</x:v>
      </x:c>
      <x:c r="G410" s="12" t="n">
        <x:f>ROUND(J410*$W$4*$W$5*I410,0)</x:f>
        <x:v>0</x:v>
      </x:c>
      <x:c r="H410" s="11">
        <x:f t="shared" si="122"/>
        <x:v>0</x:v>
      </x:c>
      <x:c r="I410" s="11">
        <x:f t="shared" si="123"/>
        <x:v>0</x:v>
      </x:c>
      <x:c r="J410" s="12">
        <x:f>英雄升级调参!$E$113</x:f>
        <x:v>3741</x:v>
      </x:c>
      <x:c r="K410" s="12">
        <x:f>英雄升级调参!$F$113</x:f>
        <x:v>37410</x:v>
      </x:c>
      <x:c r="L410" s="6" t="s">
        <x:v>121</x:v>
      </x:c>
      <x:c r="M410" s="6" t="str">
        <x:f>IF(G410=0,"无伤害",ROUNDUP(K410/G410,0))</x:f>
        <x:v>无伤害</x:v>
      </x:c>
      <x:c r="N410" s="6" t="s">
        <x:v>121</x:v>
      </x:c>
      <x:c r="O410" s="6" t="s">
        <x:v>121</x:v>
      </x:c>
      <x:c r="P410" s="6" t="str">
        <x:f t="shared" si="124"/>
        <x:v>不可破坏障碍；暂留999999血，不参与击杀标尺</x:v>
      </x:c>
      <x:c r="Q410" s="6"/>
      <x:c r="R410" s="6"/>
      <x:c r="S410" s="6"/>
      <x:c r="T410" s="6"/>
    </x:row>
    <x:row r="411" ht="21" customHeight="1">
      <x:c r="A411" s="14">
        <x:f t="shared" si="118"/>
        <x:v>60004</x:v>
      </x:c>
      <x:c r="B411" s="14" t="str">
        <x:f t="shared" si="119"/>
        <x:v>石头</x:v>
      </x:c>
      <x:c r="C411" s="6" t="str">
        <x:f t="shared" si="120"/>
        <x:v>障碍</x:v>
      </x:c>
      <x:c r="D411" s="6">
        <x:v>49</x:v>
      </x:c>
      <x:c r="E411" s="6">
        <x:v>17</x:v>
      </x:c>
      <x:c r="F411" s="12">
        <x:f t="shared" si="121"/>
        <x:v>999999</x:v>
      </x:c>
      <x:c r="G411" s="12" t="n">
        <x:f>ROUND(J411*$W$4*$W$5*I411,0)</x:f>
        <x:v>0</x:v>
      </x:c>
      <x:c r="H411" s="11">
        <x:f t="shared" si="122"/>
        <x:v>0</x:v>
      </x:c>
      <x:c r="I411" s="11">
        <x:f t="shared" si="123"/>
        <x:v>0</x:v>
      </x:c>
      <x:c r="J411" s="12">
        <x:f>英雄升级调参!$E$114</x:f>
        <x:v>3840</x:v>
      </x:c>
      <x:c r="K411" s="12">
        <x:f>英雄升级调参!$F$114</x:f>
        <x:v>38400</x:v>
      </x:c>
      <x:c r="L411" s="6" t="s">
        <x:v>121</x:v>
      </x:c>
      <x:c r="M411" s="6" t="str">
        <x:f>IF(G411=0,"无伤害",ROUNDUP(K411/G411,0))</x:f>
        <x:v>无伤害</x:v>
      </x:c>
      <x:c r="N411" s="6" t="s">
        <x:v>121</x:v>
      </x:c>
      <x:c r="O411" s="6" t="s">
        <x:v>121</x:v>
      </x:c>
      <x:c r="P411" s="6" t="str">
        <x:f t="shared" si="124"/>
        <x:v>不可破坏障碍；暂留999999血，不参与击杀标尺</x:v>
      </x:c>
      <x:c r="Q411" s="6"/>
      <x:c r="R411" s="6"/>
      <x:c r="S411" s="6"/>
      <x:c r="T411" s="6"/>
    </x:row>
    <x:row r="412" ht="21" customHeight="1">
      <x:c r="A412" s="14">
        <x:f t="shared" si="118"/>
        <x:v>60004</x:v>
      </x:c>
      <x:c r="B412" s="14" t="str">
        <x:f t="shared" si="119"/>
        <x:v>石头</x:v>
      </x:c>
      <x:c r="C412" s="6" t="str">
        <x:f t="shared" si="120"/>
        <x:v>障碍</x:v>
      </x:c>
      <x:c r="D412" s="6">
        <x:v>50</x:v>
      </x:c>
      <x:c r="E412" s="6">
        <x:v>17</x:v>
      </x:c>
      <x:c r="F412" s="12">
        <x:f t="shared" si="121"/>
        <x:v>999999</x:v>
      </x:c>
      <x:c r="G412" s="12" t="n">
        <x:f>ROUND(J412*$W$4*$W$5*I412,0)</x:f>
        <x:v>0</x:v>
      </x:c>
      <x:c r="H412" s="11">
        <x:f t="shared" si="122"/>
        <x:v>0</x:v>
      </x:c>
      <x:c r="I412" s="11">
        <x:f t="shared" si="123"/>
        <x:v>0</x:v>
      </x:c>
      <x:c r="J412" s="12">
        <x:f>英雄升级调参!$E$115</x:f>
        <x:v>4137</x:v>
      </x:c>
      <x:c r="K412" s="12">
        <x:f>英雄升级调参!$F$115</x:f>
        <x:v>41370</x:v>
      </x:c>
      <x:c r="L412" s="6" t="s">
        <x:v>121</x:v>
      </x:c>
      <x:c r="M412" s="6" t="str">
        <x:f>IF(G412=0,"无伤害",ROUNDUP(K412/G412,0))</x:f>
        <x:v>无伤害</x:v>
      </x:c>
      <x:c r="N412" s="6" t="s">
        <x:v>121</x:v>
      </x:c>
      <x:c r="O412" s="6" t="s">
        <x:v>121</x:v>
      </x:c>
      <x:c r="P412" s="6" t="str">
        <x:f t="shared" si="124"/>
        <x:v>不可破坏障碍；暂留999999血，不参与击杀标尺</x:v>
      </x:c>
      <x:c r="Q412" s="6"/>
      <x:c r="R412" s="6"/>
      <x:c r="S412" s="6"/>
      <x:c r="T412" s="6"/>
    </x:row>
    <x:row r="413" ht="21" customHeight="1">
      <x:c r="A413" s="14" t="n">
        <x:f>$V$18</x:f>
        <x:v>60005</x:v>
      </x:c>
      <x:c r="B413" s="14" t="str">
        <x:f>$W$18</x:f>
        <x:v>蜜蜂</x:v>
      </x:c>
      <x:c r="C413" s="6" t="str">
        <x:f>$X$18</x:f>
        <x:v>飞行</x:v>
      </x:c>
      <x:c r="D413" s="6">
        <x:v>1</x:v>
      </x:c>
      <x:c r="E413" s="6">
        <x:v>18</x:v>
      </x:c>
      <x:c r="F413" s="12" t="n">
        <x:f>ROUND(J413*$W$4*H413,0)</x:f>
        <x:v>180</x:v>
      </x:c>
      <x:c r="G413" s="12">
        <x:f>ROUND((ROUND(J413*$W$4*$W$5*I413,0))*2/3,0)</x:f>
        <x:v>40</x:v>
      </x:c>
      <x:c r="H413" s="11" t="n">
        <x:f>$Y$18</x:f>
        <x:v>0.75</x:v>
      </x:c>
      <x:c r="I413" s="11" t="n">
        <x:f>$Z$18</x:f>
        <x:v>3.3333333333333335</x:v>
      </x:c>
      <x:c r="J413" s="12" t="n">
        <x:f>英雄升级调参!$E$66</x:f>
        <x:v>60</x:v>
      </x:c>
      <x:c r="K413" s="12" t="n">
        <x:f>英雄升级调参!$F$66</x:f>
        <x:v>600</x:v>
      </x:c>
      <x:c r="L413" s="6" t="n">
        <x:f>ROUNDUP(F413/J413,0)</x:f>
        <x:v>3</x:v>
      </x:c>
      <x:c r="M413" s="6">
        <x:f>IF(G413=0,"无伤害",ROUNDUP(K413/MAX(1,ROUND(G413*$AC$18,0)),0))</x:f>
        <x:v>15</x:v>
      </x:c>
      <x:c r="N413" s="6">
        <x:f>ROUNDUP(F413/英雄升级调参!$H$66,0)</x:f>
        <x:v>1</x:v>
      </x:c>
      <x:c r="O413" s="6">
        <x:f>ROUNDUP(F413/英雄升级调参!$K$66,0)</x:f>
        <x:v>1</x:v>
      </x:c>
      <x:c r="P413" s="6" t="str">
        <x:f>$AA$18</x:f>
        <x:v>普通：3次标准普攻击杀；10次主要攻击致死</x:v>
      </x:c>
      <x:c r="Q413" s="6"/>
      <x:c r="R413" s="6"/>
      <x:c r="S413" s="6"/>
      <x:c r="T413" s="6"/>
    </x:row>
    <x:row r="414" ht="21" customHeight="1">
      <x:c r="A414" s="14" t="n">
        <x:f>$V$18</x:f>
        <x:v>60005</x:v>
      </x:c>
      <x:c r="B414" s="14" t="str">
        <x:f>$W$18</x:f>
        <x:v>蜜蜂</x:v>
      </x:c>
      <x:c r="C414" s="6" t="str">
        <x:f>$X$18</x:f>
        <x:v>飞行</x:v>
      </x:c>
      <x:c r="D414" s="6">
        <x:v>2</x:v>
      </x:c>
      <x:c r="E414" s="6">
        <x:v>18</x:v>
      </x:c>
      <x:c r="F414" s="12">
        <x:f>ROUND(J414*$W$4*H414,0)</x:f>
        <x:v>234</x:v>
      </x:c>
      <x:c r="G414" s="12">
        <x:f>ROUND(J414*$W$4*$W$5*I414,0)</x:f>
        <x:v>78</x:v>
      </x:c>
      <x:c r="H414" s="11" t="n">
        <x:f>$Y$18</x:f>
        <x:v>0.75</x:v>
      </x:c>
      <x:c r="I414" s="11" t="n">
        <x:f>$Z$18</x:f>
        <x:v>3.3333333333333335</x:v>
      </x:c>
      <x:c r="J414" s="12">
        <x:f>英雄升级调参!$E$67</x:f>
        <x:v>78</x:v>
      </x:c>
      <x:c r="K414" s="12">
        <x:f>英雄升级调参!$F$67</x:f>
        <x:v>780</x:v>
      </x:c>
      <x:c r="L414" s="6" t="n">
        <x:f>ROUNDUP(F414/J414,0)</x:f>
        <x:v>3</x:v>
      </x:c>
      <x:c r="M414" s="6" t="n">
        <x:f>IF(G414=0,"无伤害",ROUNDUP(K414/MAX(1,ROUND(G414*$AC$18,0)),0))</x:f>
        <x:v>10</x:v>
      </x:c>
      <x:c r="N414" s="6" t="n">
        <x:f>ROUNDUP(F414/英雄升级调参!$H$67,0)</x:f>
        <x:v>2</x:v>
      </x:c>
      <x:c r="O414" s="6">
        <x:f>ROUNDUP(F414/英雄升级调参!$K$67,0)</x:f>
        <x:v>1</x:v>
      </x:c>
      <x:c r="P414" s="6" t="str">
        <x:f>$AA$18</x:f>
        <x:v>普通：3次标准普攻击杀；10次主要攻击致死</x:v>
      </x:c>
      <x:c r="Q414" s="6"/>
      <x:c r="R414" s="6"/>
      <x:c r="S414" s="6"/>
      <x:c r="T414" s="6"/>
    </x:row>
    <x:row r="415" ht="21" customHeight="1">
      <x:c r="A415" s="14" t="n">
        <x:f>$V$18</x:f>
        <x:v>60005</x:v>
      </x:c>
      <x:c r="B415" s="14" t="str">
        <x:f>$W$18</x:f>
        <x:v>蜜蜂</x:v>
      </x:c>
      <x:c r="C415" s="6" t="str">
        <x:f>$X$18</x:f>
        <x:v>飞行</x:v>
      </x:c>
      <x:c r="D415" s="6">
        <x:v>3</x:v>
      </x:c>
      <x:c r="E415" s="6">
        <x:v>18</x:v>
      </x:c>
      <x:c r="F415" s="12">
        <x:f>ROUND(J415*$W$4*H415,0)</x:f>
        <x:v>288</x:v>
      </x:c>
      <x:c r="G415" s="12">
        <x:f>ROUND(J415*$W$4*$W$5*I415,0)</x:f>
        <x:v>96</x:v>
      </x:c>
      <x:c r="H415" s="11" t="n">
        <x:f>$Y$18</x:f>
        <x:v>0.75</x:v>
      </x:c>
      <x:c r="I415" s="11" t="n">
        <x:f>$Z$18</x:f>
        <x:v>3.3333333333333335</x:v>
      </x:c>
      <x:c r="J415" s="12">
        <x:f>英雄升级调参!$E$68</x:f>
        <x:v>96</x:v>
      </x:c>
      <x:c r="K415" s="12">
        <x:f>英雄升级调参!$F$68</x:f>
        <x:v>960</x:v>
      </x:c>
      <x:c r="L415" s="6" t="n">
        <x:f>ROUNDUP(F415/J415,0)</x:f>
        <x:v>3</x:v>
      </x:c>
      <x:c r="M415" s="6" t="n">
        <x:f>IF(G415=0,"无伤害",ROUNDUP(K415/MAX(1,ROUND(G415*$AC$18,0)),0))</x:f>
        <x:v>10</x:v>
      </x:c>
      <x:c r="N415" s="6" t="n">
        <x:f>ROUNDUP(F415/英雄升级调参!$H$68,0)</x:f>
        <x:v>2</x:v>
      </x:c>
      <x:c r="O415" s="6">
        <x:f>ROUNDUP(F415/英雄升级调参!$K$68,0)</x:f>
        <x:v>1</x:v>
      </x:c>
      <x:c r="P415" s="6" t="str">
        <x:f>$AA$18</x:f>
        <x:v>普通：3次标准普攻击杀；10次主要攻击致死</x:v>
      </x:c>
      <x:c r="Q415" s="6"/>
      <x:c r="R415" s="6"/>
      <x:c r="S415" s="6"/>
      <x:c r="T415" s="6"/>
    </x:row>
    <x:row r="416" ht="21" customHeight="1">
      <x:c r="A416" s="14" t="n">
        <x:f>$V$18</x:f>
        <x:v>60005</x:v>
      </x:c>
      <x:c r="B416" s="14" t="str">
        <x:f>$W$18</x:f>
        <x:v>蜜蜂</x:v>
      </x:c>
      <x:c r="C416" s="6" t="str">
        <x:f>$X$18</x:f>
        <x:v>飞行</x:v>
      </x:c>
      <x:c r="D416" s="6">
        <x:v>4</x:v>
      </x:c>
      <x:c r="E416" s="6">
        <x:v>18</x:v>
      </x:c>
      <x:c r="F416" s="12">
        <x:f>ROUND(J416*$W$4*H416,0)</x:f>
        <x:v>342</x:v>
      </x:c>
      <x:c r="G416" s="12">
        <x:f>ROUND(J416*$W$4*$W$5*I416,0)</x:f>
        <x:v>114</x:v>
      </x:c>
      <x:c r="H416" s="11" t="n">
        <x:f>$Y$18</x:f>
        <x:v>0.75</x:v>
      </x:c>
      <x:c r="I416" s="11" t="n">
        <x:f>$Z$18</x:f>
        <x:v>3.3333333333333335</x:v>
      </x:c>
      <x:c r="J416" s="12">
        <x:f>英雄升级调参!$E$69</x:f>
        <x:v>114</x:v>
      </x:c>
      <x:c r="K416" s="12">
        <x:f>英雄升级调参!$F$69</x:f>
        <x:v>1140</x:v>
      </x:c>
      <x:c r="L416" s="6" t="n">
        <x:f>ROUNDUP(F416/J416,0)</x:f>
        <x:v>3</x:v>
      </x:c>
      <x:c r="M416" s="6" t="n">
        <x:f>IF(G416=0,"无伤害",ROUNDUP(K416/MAX(1,ROUND(G416*$AC$18,0)),0))</x:f>
        <x:v>10</x:v>
      </x:c>
      <x:c r="N416" s="6" t="n">
        <x:f>ROUNDUP(F416/英雄升级调参!$H$69,0)</x:f>
        <x:v>2</x:v>
      </x:c>
      <x:c r="O416" s="6">
        <x:f>ROUNDUP(F416/英雄升级调参!$K$69,0)</x:f>
        <x:v>1</x:v>
      </x:c>
      <x:c r="P416" s="6" t="str">
        <x:f>$AA$18</x:f>
        <x:v>普通：3次标准普攻击杀；10次主要攻击致死</x:v>
      </x:c>
      <x:c r="Q416" s="6"/>
      <x:c r="R416" s="6"/>
      <x:c r="S416" s="6"/>
      <x:c r="T416" s="6"/>
    </x:row>
    <x:row r="417" ht="21" customHeight="1">
      <x:c r="A417" s="14" t="n">
        <x:f>$V$18</x:f>
        <x:v>60005</x:v>
      </x:c>
      <x:c r="B417" s="14" t="str">
        <x:f>$W$18</x:f>
        <x:v>蜜蜂</x:v>
      </x:c>
      <x:c r="C417" s="6" t="str">
        <x:f>$X$18</x:f>
        <x:v>飞行</x:v>
      </x:c>
      <x:c r="D417" s="6">
        <x:v>5</x:v>
      </x:c>
      <x:c r="E417" s="6">
        <x:v>18</x:v>
      </x:c>
      <x:c r="F417" s="12">
        <x:f>ROUND(J417*$W$4*H417,0)</x:f>
        <x:v>504</x:v>
      </x:c>
      <x:c r="G417" s="12">
        <x:f>ROUND(J417*$W$4*$W$5*I417,0)</x:f>
        <x:v>168</x:v>
      </x:c>
      <x:c r="H417" s="11" t="n">
        <x:f>$Y$18</x:f>
        <x:v>0.75</x:v>
      </x:c>
      <x:c r="I417" s="11" t="n">
        <x:f>$Z$18</x:f>
        <x:v>3.3333333333333335</x:v>
      </x:c>
      <x:c r="J417" s="12">
        <x:f>英雄升级调参!$E$70</x:f>
        <x:v>168</x:v>
      </x:c>
      <x:c r="K417" s="12">
        <x:f>英雄升级调参!$F$70</x:f>
        <x:v>1680</x:v>
      </x:c>
      <x:c r="L417" s="6" t="n">
        <x:f>ROUNDUP(F417/J417,0)</x:f>
        <x:v>3</x:v>
      </x:c>
      <x:c r="M417" s="6" t="n">
        <x:f>IF(G417=0,"无伤害",ROUNDUP(K417/MAX(1,ROUND(G417*$AC$18,0)),0))</x:f>
        <x:v>10</x:v>
      </x:c>
      <x:c r="N417" s="6" t="n">
        <x:f>ROUNDUP(F417/英雄升级调参!$H$70,0)</x:f>
        <x:v>2</x:v>
      </x:c>
      <x:c r="O417" s="6">
        <x:f>ROUNDUP(F417/英雄升级调参!$K$70,0)</x:f>
        <x:v>1</x:v>
      </x:c>
      <x:c r="P417" s="6" t="str">
        <x:f>$AA$18</x:f>
        <x:v>普通：3次标准普攻击杀；10次主要攻击致死</x:v>
      </x:c>
      <x:c r="Q417" s="6"/>
      <x:c r="R417" s="6"/>
      <x:c r="S417" s="6"/>
      <x:c r="T417" s="6"/>
    </x:row>
    <x:row r="418" ht="21" customHeight="1">
      <x:c r="A418" s="14" t="n">
        <x:f>$V$18</x:f>
        <x:v>60005</x:v>
      </x:c>
      <x:c r="B418" s="14" t="str">
        <x:f>$W$18</x:f>
        <x:v>蜜蜂</x:v>
      </x:c>
      <x:c r="C418" s="6" t="str">
        <x:f>$X$18</x:f>
        <x:v>飞行</x:v>
      </x:c>
      <x:c r="D418" s="6">
        <x:v>6</x:v>
      </x:c>
      <x:c r="E418" s="6">
        <x:v>18</x:v>
      </x:c>
      <x:c r="F418" s="12">
        <x:f>ROUND(J418*$W$4*H418,0)</x:f>
        <x:v>585</x:v>
      </x:c>
      <x:c r="G418" s="12">
        <x:f>ROUND(J418*$W$4*$W$5*I418,0)</x:f>
        <x:v>195</x:v>
      </x:c>
      <x:c r="H418" s="11" t="n">
        <x:f>$Y$18</x:f>
        <x:v>0.75</x:v>
      </x:c>
      <x:c r="I418" s="11" t="n">
        <x:f>$Z$18</x:f>
        <x:v>3.3333333333333335</x:v>
      </x:c>
      <x:c r="J418" s="12">
        <x:f>英雄升级调参!$E$71</x:f>
        <x:v>195</x:v>
      </x:c>
      <x:c r="K418" s="12">
        <x:f>英雄升级调参!$F$71</x:f>
        <x:v>1950</x:v>
      </x:c>
      <x:c r="L418" s="6" t="n">
        <x:f>ROUNDUP(F418/J418,0)</x:f>
        <x:v>3</x:v>
      </x:c>
      <x:c r="M418" s="6" t="n">
        <x:f>IF(G418=0,"无伤害",ROUNDUP(K418/MAX(1,ROUND(G418*$AC$18,0)),0))</x:f>
        <x:v>10</x:v>
      </x:c>
      <x:c r="N418" s="6" t="n">
        <x:f>ROUNDUP(F418/英雄升级调参!$H$71,0)</x:f>
        <x:v>2</x:v>
      </x:c>
      <x:c r="O418" s="6">
        <x:f>ROUNDUP(F418/英雄升级调参!$K$71,0)</x:f>
        <x:v>1</x:v>
      </x:c>
      <x:c r="P418" s="6" t="str">
        <x:f>$AA$18</x:f>
        <x:v>普通：3次标准普攻击杀；10次主要攻击致死</x:v>
      </x:c>
      <x:c r="Q418" s="6"/>
      <x:c r="R418" s="6"/>
      <x:c r="S418" s="6"/>
      <x:c r="T418" s="6"/>
    </x:row>
    <x:row r="419" ht="21" customHeight="1">
      <x:c r="A419" s="14" t="n">
        <x:f>$V$18</x:f>
        <x:v>60005</x:v>
      </x:c>
      <x:c r="B419" s="14" t="str">
        <x:f>$W$18</x:f>
        <x:v>蜜蜂</x:v>
      </x:c>
      <x:c r="C419" s="6" t="str">
        <x:f>$X$18</x:f>
        <x:v>飞行</x:v>
      </x:c>
      <x:c r="D419" s="6">
        <x:v>7</x:v>
      </x:c>
      <x:c r="E419" s="6">
        <x:v>18</x:v>
      </x:c>
      <x:c r="F419" s="12">
        <x:f>ROUND(J419*$W$4*H419,0)</x:f>
        <x:v>666</x:v>
      </x:c>
      <x:c r="G419" s="12">
        <x:f>ROUND(J419*$W$4*$W$5*I419,0)</x:f>
        <x:v>222</x:v>
      </x:c>
      <x:c r="H419" s="11" t="n">
        <x:f>$Y$18</x:f>
        <x:v>0.75</x:v>
      </x:c>
      <x:c r="I419" s="11" t="n">
        <x:f>$Z$18</x:f>
        <x:v>3.3333333333333335</x:v>
      </x:c>
      <x:c r="J419" s="12">
        <x:f>英雄升级调参!$E$72</x:f>
        <x:v>222</x:v>
      </x:c>
      <x:c r="K419" s="12">
        <x:f>英雄升级调参!$F$72</x:f>
        <x:v>2220</x:v>
      </x:c>
      <x:c r="L419" s="6" t="n">
        <x:f>ROUNDUP(F419/J419,0)</x:f>
        <x:v>3</x:v>
      </x:c>
      <x:c r="M419" s="6" t="n">
        <x:f>IF(G419=0,"无伤害",ROUNDUP(K419/MAX(1,ROUND(G419*$AC$18,0)),0))</x:f>
        <x:v>10</x:v>
      </x:c>
      <x:c r="N419" s="6" t="n">
        <x:f>ROUNDUP(F419/英雄升级调参!$H$72,0)</x:f>
        <x:v>2</x:v>
      </x:c>
      <x:c r="O419" s="6">
        <x:f>ROUNDUP(F419/英雄升级调参!$K$72,0)</x:f>
        <x:v>1</x:v>
      </x:c>
      <x:c r="P419" s="6" t="str">
        <x:f>$AA$18</x:f>
        <x:v>普通：3次标准普攻击杀；10次主要攻击致死</x:v>
      </x:c>
      <x:c r="Q419" s="6"/>
      <x:c r="R419" s="6"/>
      <x:c r="S419" s="6"/>
      <x:c r="T419" s="6"/>
    </x:row>
    <x:row r="420" ht="21" customHeight="1">
      <x:c r="A420" s="14" t="n">
        <x:f>$V$18</x:f>
        <x:v>60005</x:v>
      </x:c>
      <x:c r="B420" s="14" t="str">
        <x:f>$W$18</x:f>
        <x:v>蜜蜂</x:v>
      </x:c>
      <x:c r="C420" s="6" t="str">
        <x:f>$X$18</x:f>
        <x:v>飞行</x:v>
      </x:c>
      <x:c r="D420" s="6">
        <x:v>8</x:v>
      </x:c>
      <x:c r="E420" s="6">
        <x:v>18</x:v>
      </x:c>
      <x:c r="F420" s="12">
        <x:f>ROUND(J420*$W$4*H420,0)</x:f>
        <x:v>747</x:v>
      </x:c>
      <x:c r="G420" s="12">
        <x:f>ROUND(J420*$W$4*$W$5*I420,0)</x:f>
        <x:v>249</x:v>
      </x:c>
      <x:c r="H420" s="11" t="n">
        <x:f>$Y$18</x:f>
        <x:v>0.75</x:v>
      </x:c>
      <x:c r="I420" s="11" t="n">
        <x:f>$Z$18</x:f>
        <x:v>3.3333333333333335</x:v>
      </x:c>
      <x:c r="J420" s="12">
        <x:f>英雄升级调参!$E$73</x:f>
        <x:v>249</x:v>
      </x:c>
      <x:c r="K420" s="12">
        <x:f>英雄升级调参!$F$73</x:f>
        <x:v>2490</x:v>
      </x:c>
      <x:c r="L420" s="6" t="n">
        <x:f>ROUNDUP(F420/J420,0)</x:f>
        <x:v>3</x:v>
      </x:c>
      <x:c r="M420" s="6" t="n">
        <x:f>IF(G420=0,"无伤害",ROUNDUP(K420/MAX(1,ROUND(G420*$AC$18,0)),0))</x:f>
        <x:v>10</x:v>
      </x:c>
      <x:c r="N420" s="6" t="n">
        <x:f>ROUNDUP(F420/英雄升级调参!$H$73,0)</x:f>
        <x:v>2</x:v>
      </x:c>
      <x:c r="O420" s="6">
        <x:f>ROUNDUP(F420/英雄升级调参!$K$73,0)</x:f>
        <x:v>1</x:v>
      </x:c>
      <x:c r="P420" s="6" t="str">
        <x:f>$AA$18</x:f>
        <x:v>普通：3次标准普攻击杀；10次主要攻击致死</x:v>
      </x:c>
      <x:c r="Q420" s="6"/>
      <x:c r="R420" s="6"/>
      <x:c r="S420" s="6"/>
      <x:c r="T420" s="6"/>
    </x:row>
    <x:row r="421" ht="21" customHeight="1">
      <x:c r="A421" s="14" t="n">
        <x:f>$V$18</x:f>
        <x:v>60005</x:v>
      </x:c>
      <x:c r="B421" s="14" t="str">
        <x:f>$W$18</x:f>
        <x:v>蜜蜂</x:v>
      </x:c>
      <x:c r="C421" s="6" t="str">
        <x:f>$X$18</x:f>
        <x:v>飞行</x:v>
      </x:c>
      <x:c r="D421" s="6">
        <x:v>9</x:v>
      </x:c>
      <x:c r="E421" s="6">
        <x:v>18</x:v>
      </x:c>
      <x:c r="F421" s="12">
        <x:f>ROUND(J421*$W$4*H421,0)</x:f>
        <x:v>828</x:v>
      </x:c>
      <x:c r="G421" s="12">
        <x:f>ROUND(J421*$W$4*$W$5*I421,0)</x:f>
        <x:v>276</x:v>
      </x:c>
      <x:c r="H421" s="11" t="n">
        <x:f>$Y$18</x:f>
        <x:v>0.75</x:v>
      </x:c>
      <x:c r="I421" s="11" t="n">
        <x:f>$Z$18</x:f>
        <x:v>3.3333333333333335</x:v>
      </x:c>
      <x:c r="J421" s="12">
        <x:f>英雄升级调参!$E$74</x:f>
        <x:v>276</x:v>
      </x:c>
      <x:c r="K421" s="12">
        <x:f>英雄升级调参!$F$74</x:f>
        <x:v>2760</x:v>
      </x:c>
      <x:c r="L421" s="6" t="n">
        <x:f>ROUNDUP(F421/J421,0)</x:f>
        <x:v>3</x:v>
      </x:c>
      <x:c r="M421" s="6" t="n">
        <x:f>IF(G421=0,"无伤害",ROUNDUP(K421/MAX(1,ROUND(G421*$AC$18,0)),0))</x:f>
        <x:v>10</x:v>
      </x:c>
      <x:c r="N421" s="6" t="n">
        <x:f>ROUNDUP(F421/英雄升级调参!$H$74,0)</x:f>
        <x:v>2</x:v>
      </x:c>
      <x:c r="O421" s="6">
        <x:f>ROUNDUP(F421/英雄升级调参!$K$74,0)</x:f>
        <x:v>1</x:v>
      </x:c>
      <x:c r="P421" s="6" t="str">
        <x:f>$AA$18</x:f>
        <x:v>普通：3次标准普攻击杀；10次主要攻击致死</x:v>
      </x:c>
      <x:c r="Q421" s="6"/>
      <x:c r="R421" s="6"/>
      <x:c r="S421" s="6"/>
      <x:c r="T421" s="6"/>
    </x:row>
    <x:row r="422" ht="21" customHeight="1">
      <x:c r="A422" s="14" t="n">
        <x:f>$V$18</x:f>
        <x:v>60005</x:v>
      </x:c>
      <x:c r="B422" s="14" t="str">
        <x:f>$W$18</x:f>
        <x:v>蜜蜂</x:v>
      </x:c>
      <x:c r="C422" s="6" t="str">
        <x:f>$X$18</x:f>
        <x:v>飞行</x:v>
      </x:c>
      <x:c r="D422" s="6">
        <x:v>10</x:v>
      </x:c>
      <x:c r="E422" s="6">
        <x:v>18</x:v>
      </x:c>
      <x:c r="F422" s="12">
        <x:f>ROUND(J422*$W$4*H422,0)</x:f>
        <x:v>1071</x:v>
      </x:c>
      <x:c r="G422" s="12">
        <x:f>ROUND(J422*$W$4*$W$5*I422,0)</x:f>
        <x:v>357</x:v>
      </x:c>
      <x:c r="H422" s="11" t="n">
        <x:f>$Y$18</x:f>
        <x:v>0.75</x:v>
      </x:c>
      <x:c r="I422" s="11" t="n">
        <x:f>$Z$18</x:f>
        <x:v>3.3333333333333335</x:v>
      </x:c>
      <x:c r="J422" s="12">
        <x:f>英雄升级调参!$E$75</x:f>
        <x:v>357</x:v>
      </x:c>
      <x:c r="K422" s="12">
        <x:f>英雄升级调参!$F$75</x:f>
        <x:v>3570</x:v>
      </x:c>
      <x:c r="L422" s="6" t="n">
        <x:f>ROUNDUP(F422/J422,0)</x:f>
        <x:v>3</x:v>
      </x:c>
      <x:c r="M422" s="6" t="n">
        <x:f>IF(G422=0,"无伤害",ROUNDUP(K422/MAX(1,ROUND(G422*$AC$18,0)),0))</x:f>
        <x:v>10</x:v>
      </x:c>
      <x:c r="N422" s="6" t="n">
        <x:f>ROUNDUP(F422/英雄升级调参!$H$75,0)</x:f>
        <x:v>2</x:v>
      </x:c>
      <x:c r="O422" s="6">
        <x:f>ROUNDUP(F422/英雄升级调参!$K$75,0)</x:f>
        <x:v>1</x:v>
      </x:c>
      <x:c r="P422" s="6" t="str">
        <x:f>$AA$18</x:f>
        <x:v>普通：3次标准普攻击杀；10次主要攻击致死</x:v>
      </x:c>
      <x:c r="Q422" s="6"/>
      <x:c r="R422" s="6"/>
      <x:c r="S422" s="6"/>
      <x:c r="T422" s="6"/>
    </x:row>
    <x:row r="423" ht="21" customHeight="1">
      <x:c r="A423" s="14" t="n">
        <x:f>$V$18</x:f>
        <x:v>60005</x:v>
      </x:c>
      <x:c r="B423" s="14" t="str">
        <x:f>$W$18</x:f>
        <x:v>蜜蜂</x:v>
      </x:c>
      <x:c r="C423" s="6" t="str">
        <x:f>$X$18</x:f>
        <x:v>飞行</x:v>
      </x:c>
      <x:c r="D423" s="6">
        <x:v>11</x:v>
      </x:c>
      <x:c r="E423" s="6">
        <x:v>18</x:v>
      </x:c>
      <x:c r="F423" s="12">
        <x:f>ROUND(J423*$W$4*H423,0)</x:f>
        <x:v>1179</x:v>
      </x:c>
      <x:c r="G423" s="12">
        <x:f>ROUND(J423*$W$4*$W$5*I423,0)</x:f>
        <x:v>393</x:v>
      </x:c>
      <x:c r="H423" s="11" t="n">
        <x:f>$Y$18</x:f>
        <x:v>0.75</x:v>
      </x:c>
      <x:c r="I423" s="11" t="n">
        <x:f>$Z$18</x:f>
        <x:v>3.3333333333333335</x:v>
      </x:c>
      <x:c r="J423" s="12">
        <x:f>英雄升级调参!$E$76</x:f>
        <x:v>393</x:v>
      </x:c>
      <x:c r="K423" s="12">
        <x:f>英雄升级调参!$F$76</x:f>
        <x:v>3930</x:v>
      </x:c>
      <x:c r="L423" s="6" t="n">
        <x:f>ROUNDUP(F423/J423,0)</x:f>
        <x:v>3</x:v>
      </x:c>
      <x:c r="M423" s="6" t="n">
        <x:f>IF(G423=0,"无伤害",ROUNDUP(K423/MAX(1,ROUND(G423*$AC$18,0)),0))</x:f>
        <x:v>10</x:v>
      </x:c>
      <x:c r="N423" s="6" t="n">
        <x:f>ROUNDUP(F423/英雄升级调参!$H$76,0)</x:f>
        <x:v>2</x:v>
      </x:c>
      <x:c r="O423" s="6">
        <x:f>ROUNDUP(F423/英雄升级调参!$K$76,0)</x:f>
        <x:v>1</x:v>
      </x:c>
      <x:c r="P423" s="6" t="str">
        <x:f>$AA$18</x:f>
        <x:v>普通：3次标准普攻击杀；10次主要攻击致死</x:v>
      </x:c>
      <x:c r="Q423" s="6"/>
      <x:c r="R423" s="6"/>
      <x:c r="S423" s="6"/>
      <x:c r="T423" s="6"/>
    </x:row>
    <x:row r="424" ht="21" customHeight="1">
      <x:c r="A424" s="14" t="n">
        <x:f>$V$18</x:f>
        <x:v>60005</x:v>
      </x:c>
      <x:c r="B424" s="14" t="str">
        <x:f>$W$18</x:f>
        <x:v>蜜蜂</x:v>
      </x:c>
      <x:c r="C424" s="6" t="str">
        <x:f>$X$18</x:f>
        <x:v>飞行</x:v>
      </x:c>
      <x:c r="D424" s="6">
        <x:v>12</x:v>
      </x:c>
      <x:c r="E424" s="6">
        <x:v>18</x:v>
      </x:c>
      <x:c r="F424" s="12">
        <x:f>ROUND(J424*$W$4*H424,0)</x:f>
        <x:v>1287</x:v>
      </x:c>
      <x:c r="G424" s="12">
        <x:f>ROUND(J424*$W$4*$W$5*I424,0)</x:f>
        <x:v>429</x:v>
      </x:c>
      <x:c r="H424" s="11" t="n">
        <x:f>$Y$18</x:f>
        <x:v>0.75</x:v>
      </x:c>
      <x:c r="I424" s="11" t="n">
        <x:f>$Z$18</x:f>
        <x:v>3.3333333333333335</x:v>
      </x:c>
      <x:c r="J424" s="12">
        <x:f>英雄升级调参!$E$77</x:f>
        <x:v>429</x:v>
      </x:c>
      <x:c r="K424" s="12">
        <x:f>英雄升级调参!$F$77</x:f>
        <x:v>4290</x:v>
      </x:c>
      <x:c r="L424" s="6" t="n">
        <x:f>ROUNDUP(F424/J424,0)</x:f>
        <x:v>3</x:v>
      </x:c>
      <x:c r="M424" s="6" t="n">
        <x:f>IF(G424=0,"无伤害",ROUNDUP(K424/MAX(1,ROUND(G424*$AC$18,0)),0))</x:f>
        <x:v>10</x:v>
      </x:c>
      <x:c r="N424" s="6" t="n">
        <x:f>ROUNDUP(F424/英雄升级调参!$H$77,0)</x:f>
        <x:v>2</x:v>
      </x:c>
      <x:c r="O424" s="6" t="n">
        <x:f>ROUNDUP(F424/英雄升级调参!$K$77,0)</x:f>
        <x:v>2</x:v>
      </x:c>
      <x:c r="P424" s="6" t="str">
        <x:f>$AA$18</x:f>
        <x:v>普通：3次标准普攻击杀；10次主要攻击致死</x:v>
      </x:c>
      <x:c r="Q424" s="6"/>
      <x:c r="R424" s="6"/>
      <x:c r="S424" s="6"/>
      <x:c r="T424" s="6"/>
    </x:row>
    <x:row r="425" ht="21" customHeight="1">
      <x:c r="A425" s="14" t="n">
        <x:f>$V$18</x:f>
        <x:v>60005</x:v>
      </x:c>
      <x:c r="B425" s="14" t="str">
        <x:f>$W$18</x:f>
        <x:v>蜜蜂</x:v>
      </x:c>
      <x:c r="C425" s="6" t="str">
        <x:f>$X$18</x:f>
        <x:v>飞行</x:v>
      </x:c>
      <x:c r="D425" s="6">
        <x:v>13</x:v>
      </x:c>
      <x:c r="E425" s="6">
        <x:v>18</x:v>
      </x:c>
      <x:c r="F425" s="12">
        <x:f>ROUND(J425*$W$4*H425,0)</x:f>
        <x:v>1395</x:v>
      </x:c>
      <x:c r="G425" s="12">
        <x:f>ROUND(J425*$W$4*$W$5*I425,0)</x:f>
        <x:v>465</x:v>
      </x:c>
      <x:c r="H425" s="11" t="n">
        <x:f>$Y$18</x:f>
        <x:v>0.75</x:v>
      </x:c>
      <x:c r="I425" s="11" t="n">
        <x:f>$Z$18</x:f>
        <x:v>3.3333333333333335</x:v>
      </x:c>
      <x:c r="J425" s="12">
        <x:f>英雄升级调参!$E$78</x:f>
        <x:v>465</x:v>
      </x:c>
      <x:c r="K425" s="12">
        <x:f>英雄升级调参!$F$78</x:f>
        <x:v>4650</x:v>
      </x:c>
      <x:c r="L425" s="6" t="n">
        <x:f>ROUNDUP(F425/J425,0)</x:f>
        <x:v>3</x:v>
      </x:c>
      <x:c r="M425" s="6" t="n">
        <x:f>IF(G425=0,"无伤害",ROUNDUP(K425/MAX(1,ROUND(G425*$AC$18,0)),0))</x:f>
        <x:v>10</x:v>
      </x:c>
      <x:c r="N425" s="6" t="n">
        <x:f>ROUNDUP(F425/英雄升级调参!$H$78,0)</x:f>
        <x:v>2</x:v>
      </x:c>
      <x:c r="O425" s="6" t="n">
        <x:f>ROUNDUP(F425/英雄升级调参!$K$78,0)</x:f>
        <x:v>2</x:v>
      </x:c>
      <x:c r="P425" s="6" t="str">
        <x:f>$AA$18</x:f>
        <x:v>普通：3次标准普攻击杀；10次主要攻击致死</x:v>
      </x:c>
      <x:c r="Q425" s="6"/>
      <x:c r="R425" s="6"/>
      <x:c r="S425" s="6"/>
      <x:c r="T425" s="6"/>
    </x:row>
    <x:row r="426" ht="21" customHeight="1">
      <x:c r="A426" s="14" t="n">
        <x:f>$V$18</x:f>
        <x:v>60005</x:v>
      </x:c>
      <x:c r="B426" s="14" t="str">
        <x:f>$W$18</x:f>
        <x:v>蜜蜂</x:v>
      </x:c>
      <x:c r="C426" s="6" t="str">
        <x:f>$X$18</x:f>
        <x:v>飞行</x:v>
      </x:c>
      <x:c r="D426" s="6">
        <x:v>14</x:v>
      </x:c>
      <x:c r="E426" s="6">
        <x:v>18</x:v>
      </x:c>
      <x:c r="F426" s="12">
        <x:f>ROUND(J426*$W$4*H426,0)</x:f>
        <x:v>1503</x:v>
      </x:c>
      <x:c r="G426" s="12">
        <x:f>ROUND(J426*$W$4*$W$5*I426,0)</x:f>
        <x:v>501</x:v>
      </x:c>
      <x:c r="H426" s="11" t="n">
        <x:f>$Y$18</x:f>
        <x:v>0.75</x:v>
      </x:c>
      <x:c r="I426" s="11" t="n">
        <x:f>$Z$18</x:f>
        <x:v>3.3333333333333335</x:v>
      </x:c>
      <x:c r="J426" s="12">
        <x:f>英雄升级调参!$E$79</x:f>
        <x:v>501</x:v>
      </x:c>
      <x:c r="K426" s="12">
        <x:f>英雄升级调参!$F$79</x:f>
        <x:v>5010</x:v>
      </x:c>
      <x:c r="L426" s="6" t="n">
        <x:f>ROUNDUP(F426/J426,0)</x:f>
        <x:v>3</x:v>
      </x:c>
      <x:c r="M426" s="6" t="n">
        <x:f>IF(G426=0,"无伤害",ROUNDUP(K426/MAX(1,ROUND(G426*$AC$18,0)),0))</x:f>
        <x:v>10</x:v>
      </x:c>
      <x:c r="N426" s="6" t="n">
        <x:f>ROUNDUP(F426/英雄升级调参!$H$79,0)</x:f>
        <x:v>2</x:v>
      </x:c>
      <x:c r="O426" s="6" t="n">
        <x:f>ROUNDUP(F426/英雄升级调参!$K$79,0)</x:f>
        <x:v>2</x:v>
      </x:c>
      <x:c r="P426" s="6" t="str">
        <x:f>$AA$18</x:f>
        <x:v>普通：3次标准普攻击杀；10次主要攻击致死</x:v>
      </x:c>
      <x:c r="Q426" s="6"/>
      <x:c r="R426" s="6"/>
      <x:c r="S426" s="6"/>
      <x:c r="T426" s="6"/>
    </x:row>
    <x:row r="427" ht="21" customHeight="1">
      <x:c r="A427" s="14" t="n">
        <x:f>$V$18</x:f>
        <x:v>60005</x:v>
      </x:c>
      <x:c r="B427" s="14" t="str">
        <x:f>$W$18</x:f>
        <x:v>蜜蜂</x:v>
      </x:c>
      <x:c r="C427" s="6" t="str">
        <x:f>$X$18</x:f>
        <x:v>飞行</x:v>
      </x:c>
      <x:c r="D427" s="6">
        <x:v>15</x:v>
      </x:c>
      <x:c r="E427" s="6">
        <x:v>18</x:v>
      </x:c>
      <x:c r="F427" s="12">
        <x:f>ROUND(J427*$W$4*H427,0)</x:f>
        <x:v>1827</x:v>
      </x:c>
      <x:c r="G427" s="12">
        <x:f>ROUND(J427*$W$4*$W$5*I427,0)</x:f>
        <x:v>609</x:v>
      </x:c>
      <x:c r="H427" s="11" t="n">
        <x:f>$Y$18</x:f>
        <x:v>0.75</x:v>
      </x:c>
      <x:c r="I427" s="11" t="n">
        <x:f>$Z$18</x:f>
        <x:v>3.3333333333333335</x:v>
      </x:c>
      <x:c r="J427" s="12">
        <x:f>英雄升级调参!$E$80</x:f>
        <x:v>609</x:v>
      </x:c>
      <x:c r="K427" s="12">
        <x:f>英雄升级调参!$F$80</x:f>
        <x:v>6090</x:v>
      </x:c>
      <x:c r="L427" s="6" t="n">
        <x:f>ROUNDUP(F427/J427,0)</x:f>
        <x:v>3</x:v>
      </x:c>
      <x:c r="M427" s="6" t="n">
        <x:f>IF(G427=0,"无伤害",ROUNDUP(K427/MAX(1,ROUND(G427*$AC$18,0)),0))</x:f>
        <x:v>10</x:v>
      </x:c>
      <x:c r="N427" s="6" t="n">
        <x:f>ROUNDUP(F427/英雄升级调参!$H$80,0)</x:f>
        <x:v>2</x:v>
      </x:c>
      <x:c r="O427" s="6" t="n">
        <x:f>ROUNDUP(F427/英雄升级调参!$K$80,0)</x:f>
        <x:v>2</x:v>
      </x:c>
      <x:c r="P427" s="6" t="str">
        <x:f>$AA$18</x:f>
        <x:v>普通：3次标准普攻击杀；10次主要攻击致死</x:v>
      </x:c>
      <x:c r="Q427" s="6"/>
      <x:c r="R427" s="6"/>
      <x:c r="S427" s="6"/>
      <x:c r="T427" s="6"/>
    </x:row>
    <x:row r="428" ht="21" customHeight="1">
      <x:c r="A428" s="14" t="n">
        <x:f>$V$18</x:f>
        <x:v>60005</x:v>
      </x:c>
      <x:c r="B428" s="14" t="str">
        <x:f>$W$18</x:f>
        <x:v>蜜蜂</x:v>
      </x:c>
      <x:c r="C428" s="6" t="str">
        <x:f>$X$18</x:f>
        <x:v>飞行</x:v>
      </x:c>
      <x:c r="D428" s="6">
        <x:v>16</x:v>
      </x:c>
      <x:c r="E428" s="6">
        <x:v>18</x:v>
      </x:c>
      <x:c r="F428" s="12">
        <x:f>ROUND(J428*$W$4*H428,0)</x:f>
        <x:v>1962</x:v>
      </x:c>
      <x:c r="G428" s="12">
        <x:f>ROUND(J428*$W$4*$W$5*I428,0)</x:f>
        <x:v>654</x:v>
      </x:c>
      <x:c r="H428" s="11" t="n">
        <x:f>$Y$18</x:f>
        <x:v>0.75</x:v>
      </x:c>
      <x:c r="I428" s="11" t="n">
        <x:f>$Z$18</x:f>
        <x:v>3.3333333333333335</x:v>
      </x:c>
      <x:c r="J428" s="12">
        <x:f>英雄升级调参!$E$81</x:f>
        <x:v>654</x:v>
      </x:c>
      <x:c r="K428" s="12">
        <x:f>英雄升级调参!$F$81</x:f>
        <x:v>6540</x:v>
      </x:c>
      <x:c r="L428" s="6" t="n">
        <x:f>ROUNDUP(F428/J428,0)</x:f>
        <x:v>3</x:v>
      </x:c>
      <x:c r="M428" s="6" t="n">
        <x:f>IF(G428=0,"无伤害",ROUNDUP(K428/MAX(1,ROUND(G428*$AC$18,0)),0))</x:f>
        <x:v>10</x:v>
      </x:c>
      <x:c r="N428" s="6" t="n">
        <x:f>ROUNDUP(F428/英雄升级调参!$H$81,0)</x:f>
        <x:v>2</x:v>
      </x:c>
      <x:c r="O428" s="6" t="n">
        <x:f>ROUNDUP(F428/英雄升级调参!$K$81,0)</x:f>
        <x:v>2</x:v>
      </x:c>
      <x:c r="P428" s="6" t="str">
        <x:f>$AA$18</x:f>
        <x:v>普通：3次标准普攻击杀；10次主要攻击致死</x:v>
      </x:c>
      <x:c r="Q428" s="6"/>
      <x:c r="R428" s="6"/>
      <x:c r="S428" s="6"/>
      <x:c r="T428" s="6"/>
    </x:row>
    <x:row r="429" ht="21" customHeight="1">
      <x:c r="A429" s="14" t="n">
        <x:f>$V$18</x:f>
        <x:v>60005</x:v>
      </x:c>
      <x:c r="B429" s="14" t="str">
        <x:f>$W$18</x:f>
        <x:v>蜜蜂</x:v>
      </x:c>
      <x:c r="C429" s="6" t="str">
        <x:f>$X$18</x:f>
        <x:v>飞行</x:v>
      </x:c>
      <x:c r="D429" s="6">
        <x:v>17</x:v>
      </x:c>
      <x:c r="E429" s="6">
        <x:v>18</x:v>
      </x:c>
      <x:c r="F429" s="12">
        <x:f>ROUND(J429*$W$4*H429,0)</x:f>
        <x:v>2097</x:v>
      </x:c>
      <x:c r="G429" s="12">
        <x:f>ROUND(J429*$W$4*$W$5*I429,0)</x:f>
        <x:v>699</x:v>
      </x:c>
      <x:c r="H429" s="11" t="n">
        <x:f>$Y$18</x:f>
        <x:v>0.75</x:v>
      </x:c>
      <x:c r="I429" s="11" t="n">
        <x:f>$Z$18</x:f>
        <x:v>3.3333333333333335</x:v>
      </x:c>
      <x:c r="J429" s="12">
        <x:f>英雄升级调参!$E$82</x:f>
        <x:v>699</x:v>
      </x:c>
      <x:c r="K429" s="12">
        <x:f>英雄升级调参!$F$82</x:f>
        <x:v>6990</x:v>
      </x:c>
      <x:c r="L429" s="6" t="n">
        <x:f>ROUNDUP(F429/J429,0)</x:f>
        <x:v>3</x:v>
      </x:c>
      <x:c r="M429" s="6" t="n">
        <x:f>IF(G429=0,"无伤害",ROUNDUP(K429/MAX(1,ROUND(G429*$AC$18,0)),0))</x:f>
        <x:v>10</x:v>
      </x:c>
      <x:c r="N429" s="6" t="n">
        <x:f>ROUNDUP(F429/英雄升级调参!$H$82,0)</x:f>
        <x:v>2</x:v>
      </x:c>
      <x:c r="O429" s="6" t="n">
        <x:f>ROUNDUP(F429/英雄升级调参!$K$82,0)</x:f>
        <x:v>2</x:v>
      </x:c>
      <x:c r="P429" s="6" t="str">
        <x:f>$AA$18</x:f>
        <x:v>普通：3次标准普攻击杀；10次主要攻击致死</x:v>
      </x:c>
      <x:c r="Q429" s="6"/>
      <x:c r="R429" s="6"/>
      <x:c r="S429" s="6"/>
      <x:c r="T429" s="6"/>
    </x:row>
    <x:row r="430" ht="21" customHeight="1">
      <x:c r="A430" s="14" t="n">
        <x:f>$V$18</x:f>
        <x:v>60005</x:v>
      </x:c>
      <x:c r="B430" s="14" t="str">
        <x:f>$W$18</x:f>
        <x:v>蜜蜂</x:v>
      </x:c>
      <x:c r="C430" s="6" t="str">
        <x:f>$X$18</x:f>
        <x:v>飞行</x:v>
      </x:c>
      <x:c r="D430" s="6">
        <x:v>18</x:v>
      </x:c>
      <x:c r="E430" s="6">
        <x:v>18</x:v>
      </x:c>
      <x:c r="F430" s="12">
        <x:f>ROUND(J430*$W$4*H430,0)</x:f>
        <x:v>2232</x:v>
      </x:c>
      <x:c r="G430" s="12">
        <x:f>ROUND(J430*$W$4*$W$5*I430,0)</x:f>
        <x:v>744</x:v>
      </x:c>
      <x:c r="H430" s="11" t="n">
        <x:f>$Y$18</x:f>
        <x:v>0.75</x:v>
      </x:c>
      <x:c r="I430" s="11" t="n">
        <x:f>$Z$18</x:f>
        <x:v>3.3333333333333335</x:v>
      </x:c>
      <x:c r="J430" s="12">
        <x:f>英雄升级调参!$E$83</x:f>
        <x:v>744</x:v>
      </x:c>
      <x:c r="K430" s="12">
        <x:f>英雄升级调参!$F$83</x:f>
        <x:v>7440</x:v>
      </x:c>
      <x:c r="L430" s="6" t="n">
        <x:f>ROUNDUP(F430/J430,0)</x:f>
        <x:v>3</x:v>
      </x:c>
      <x:c r="M430" s="6" t="n">
        <x:f>IF(G430=0,"无伤害",ROUNDUP(K430/MAX(1,ROUND(G430*$AC$18,0)),0))</x:f>
        <x:v>10</x:v>
      </x:c>
      <x:c r="N430" s="6" t="n">
        <x:f>ROUNDUP(F430/英雄升级调参!$H$83,0)</x:f>
        <x:v>2</x:v>
      </x:c>
      <x:c r="O430" s="6" t="n">
        <x:f>ROUNDUP(F430/英雄升级调参!$K$83,0)</x:f>
        <x:v>2</x:v>
      </x:c>
      <x:c r="P430" s="6" t="str">
        <x:f>$AA$18</x:f>
        <x:v>普通：3次标准普攻击杀；10次主要攻击致死</x:v>
      </x:c>
      <x:c r="Q430" s="6"/>
      <x:c r="R430" s="6"/>
      <x:c r="S430" s="6"/>
      <x:c r="T430" s="6"/>
    </x:row>
    <x:row r="431" ht="21" customHeight="1">
      <x:c r="A431" s="14" t="n">
        <x:f>$V$18</x:f>
        <x:v>60005</x:v>
      </x:c>
      <x:c r="B431" s="14" t="str">
        <x:f>$W$18</x:f>
        <x:v>蜜蜂</x:v>
      </x:c>
      <x:c r="C431" s="6" t="str">
        <x:f>$X$18</x:f>
        <x:v>飞行</x:v>
      </x:c>
      <x:c r="D431" s="6">
        <x:v>19</x:v>
      </x:c>
      <x:c r="E431" s="6">
        <x:v>18</x:v>
      </x:c>
      <x:c r="F431" s="12">
        <x:f>ROUND(J431*$W$4*H431,0)</x:f>
        <x:v>2367</x:v>
      </x:c>
      <x:c r="G431" s="12">
        <x:f>ROUND(J431*$W$4*$W$5*I431,0)</x:f>
        <x:v>789</x:v>
      </x:c>
      <x:c r="H431" s="11" t="n">
        <x:f>$Y$18</x:f>
        <x:v>0.75</x:v>
      </x:c>
      <x:c r="I431" s="11" t="n">
        <x:f>$Z$18</x:f>
        <x:v>3.3333333333333335</x:v>
      </x:c>
      <x:c r="J431" s="12">
        <x:f>英雄升级调参!$E$84</x:f>
        <x:v>789</x:v>
      </x:c>
      <x:c r="K431" s="12">
        <x:f>英雄升级调参!$F$84</x:f>
        <x:v>7890</x:v>
      </x:c>
      <x:c r="L431" s="6" t="n">
        <x:f>ROUNDUP(F431/J431,0)</x:f>
        <x:v>3</x:v>
      </x:c>
      <x:c r="M431" s="6" t="n">
        <x:f>IF(G431=0,"无伤害",ROUNDUP(K431/MAX(1,ROUND(G431*$AC$18,0)),0))</x:f>
        <x:v>10</x:v>
      </x:c>
      <x:c r="N431" s="6" t="n">
        <x:f>ROUNDUP(F431/英雄升级调参!$H$84,0)</x:f>
        <x:v>2</x:v>
      </x:c>
      <x:c r="O431" s="6" t="n">
        <x:f>ROUNDUP(F431/英雄升级调参!$K$84,0)</x:f>
        <x:v>2</x:v>
      </x:c>
      <x:c r="P431" s="6" t="str">
        <x:f>$AA$18</x:f>
        <x:v>普通：3次标准普攻击杀；10次主要攻击致死</x:v>
      </x:c>
      <x:c r="Q431" s="6"/>
      <x:c r="R431" s="6"/>
      <x:c r="S431" s="6"/>
      <x:c r="T431" s="6"/>
    </x:row>
    <x:row r="432" ht="21" customHeight="1">
      <x:c r="A432" s="14" t="n">
        <x:f>$V$18</x:f>
        <x:v>60005</x:v>
      </x:c>
      <x:c r="B432" s="14" t="str">
        <x:f>$W$18</x:f>
        <x:v>蜜蜂</x:v>
      </x:c>
      <x:c r="C432" s="6" t="str">
        <x:f>$X$18</x:f>
        <x:v>飞行</x:v>
      </x:c>
      <x:c r="D432" s="6">
        <x:v>20</x:v>
      </x:c>
      <x:c r="E432" s="6">
        <x:v>18</x:v>
      </x:c>
      <x:c r="F432" s="12">
        <x:f>ROUND(J432*$W$4*H432,0)</x:f>
        <x:v>2772</x:v>
      </x:c>
      <x:c r="G432" s="12">
        <x:f>ROUND(J432*$W$4*$W$5*I432,0)</x:f>
        <x:v>924</x:v>
      </x:c>
      <x:c r="H432" s="11" t="n">
        <x:f>$Y$18</x:f>
        <x:v>0.75</x:v>
      </x:c>
      <x:c r="I432" s="11" t="n">
        <x:f>$Z$18</x:f>
        <x:v>3.3333333333333335</x:v>
      </x:c>
      <x:c r="J432" s="12">
        <x:f>英雄升级调参!$E$85</x:f>
        <x:v>924</x:v>
      </x:c>
      <x:c r="K432" s="12">
        <x:f>英雄升级调参!$F$85</x:f>
        <x:v>9240</x:v>
      </x:c>
      <x:c r="L432" s="6" t="n">
        <x:f>ROUNDUP(F432/J432,0)</x:f>
        <x:v>3</x:v>
      </x:c>
      <x:c r="M432" s="6" t="n">
        <x:f>IF(G432=0,"无伤害",ROUNDUP(K432/MAX(1,ROUND(G432*$AC$18,0)),0))</x:f>
        <x:v>10</x:v>
      </x:c>
      <x:c r="N432" s="6" t="n">
        <x:f>ROUNDUP(F432/英雄升级调参!$H$85,0)</x:f>
        <x:v>2</x:v>
      </x:c>
      <x:c r="O432" s="6" t="n">
        <x:f>ROUNDUP(F432/英雄升级调参!$K$85,0)</x:f>
        <x:v>2</x:v>
      </x:c>
      <x:c r="P432" s="6" t="str">
        <x:f>$AA$18</x:f>
        <x:v>普通：3次标准普攻击杀；10次主要攻击致死</x:v>
      </x:c>
      <x:c r="Q432" s="6"/>
      <x:c r="R432" s="6"/>
      <x:c r="S432" s="6"/>
      <x:c r="T432" s="6"/>
    </x:row>
    <x:row r="433" ht="21" customHeight="1">
      <x:c r="A433" s="14" t="n">
        <x:f>$V$18</x:f>
        <x:v>60005</x:v>
      </x:c>
      <x:c r="B433" s="14" t="str">
        <x:f>$W$18</x:f>
        <x:v>蜜蜂</x:v>
      </x:c>
      <x:c r="C433" s="6" t="str">
        <x:f>$X$18</x:f>
        <x:v>飞行</x:v>
      </x:c>
      <x:c r="D433" s="6">
        <x:v>21</x:v>
      </x:c>
      <x:c r="E433" s="6">
        <x:v>18</x:v>
      </x:c>
      <x:c r="F433" s="12">
        <x:f>ROUND(J433*$W$4*H433,0)</x:f>
        <x:v>2934</x:v>
      </x:c>
      <x:c r="G433" s="12">
        <x:f>ROUND(J433*$W$4*$W$5*I433,0)</x:f>
        <x:v>978</x:v>
      </x:c>
      <x:c r="H433" s="11" t="n">
        <x:f>$Y$18</x:f>
        <x:v>0.75</x:v>
      </x:c>
      <x:c r="I433" s="11" t="n">
        <x:f>$Z$18</x:f>
        <x:v>3.3333333333333335</x:v>
      </x:c>
      <x:c r="J433" s="12">
        <x:f>英雄升级调参!$E$86</x:f>
        <x:v>978</x:v>
      </x:c>
      <x:c r="K433" s="12">
        <x:f>英雄升级调参!$F$86</x:f>
        <x:v>9780</x:v>
      </x:c>
      <x:c r="L433" s="6" t="n">
        <x:f>ROUNDUP(F433/J433,0)</x:f>
        <x:v>3</x:v>
      </x:c>
      <x:c r="M433" s="6" t="n">
        <x:f>IF(G433=0,"无伤害",ROUNDUP(K433/MAX(1,ROUND(G433*$AC$18,0)),0))</x:f>
        <x:v>10</x:v>
      </x:c>
      <x:c r="N433" s="6" t="n">
        <x:f>ROUNDUP(F433/英雄升级调参!$H$86,0)</x:f>
        <x:v>2</x:v>
      </x:c>
      <x:c r="O433" s="6" t="n">
        <x:f>ROUNDUP(F433/英雄升级调参!$K$86,0)</x:f>
        <x:v>2</x:v>
      </x:c>
      <x:c r="P433" s="6" t="str">
        <x:f>$AA$18</x:f>
        <x:v>普通：3次标准普攻击杀；10次主要攻击致死</x:v>
      </x:c>
      <x:c r="Q433" s="6"/>
      <x:c r="R433" s="6"/>
      <x:c r="S433" s="6"/>
      <x:c r="T433" s="6"/>
    </x:row>
    <x:row r="434" ht="21" customHeight="1">
      <x:c r="A434" s="14" t="n">
        <x:f>$V$18</x:f>
        <x:v>60005</x:v>
      </x:c>
      <x:c r="B434" s="14" t="str">
        <x:f>$W$18</x:f>
        <x:v>蜜蜂</x:v>
      </x:c>
      <x:c r="C434" s="6" t="str">
        <x:f>$X$18</x:f>
        <x:v>飞行</x:v>
      </x:c>
      <x:c r="D434" s="6">
        <x:v>22</x:v>
      </x:c>
      <x:c r="E434" s="6">
        <x:v>18</x:v>
      </x:c>
      <x:c r="F434" s="12">
        <x:f>ROUND(J434*$W$4*H434,0)</x:f>
        <x:v>3096</x:v>
      </x:c>
      <x:c r="G434" s="12">
        <x:f>ROUND(J434*$W$4*$W$5*I434,0)</x:f>
        <x:v>1032</x:v>
      </x:c>
      <x:c r="H434" s="11" t="n">
        <x:f>$Y$18</x:f>
        <x:v>0.75</x:v>
      </x:c>
      <x:c r="I434" s="11" t="n">
        <x:f>$Z$18</x:f>
        <x:v>3.3333333333333335</x:v>
      </x:c>
      <x:c r="J434" s="12">
        <x:f>英雄升级调参!$E$87</x:f>
        <x:v>1032</x:v>
      </x:c>
      <x:c r="K434" s="12">
        <x:f>英雄升级调参!$F$87</x:f>
        <x:v>10320</x:v>
      </x:c>
      <x:c r="L434" s="6" t="n">
        <x:f>ROUNDUP(F434/J434,0)</x:f>
        <x:v>3</x:v>
      </x:c>
      <x:c r="M434" s="6" t="n">
        <x:f>IF(G434=0,"无伤害",ROUNDUP(K434/MAX(1,ROUND(G434*$AC$18,0)),0))</x:f>
        <x:v>10</x:v>
      </x:c>
      <x:c r="N434" s="6" t="n">
        <x:f>ROUNDUP(F434/英雄升级调参!$H$87,0)</x:f>
        <x:v>2</x:v>
      </x:c>
      <x:c r="O434" s="6" t="n">
        <x:f>ROUNDUP(F434/英雄升级调参!$K$87,0)</x:f>
        <x:v>2</x:v>
      </x:c>
      <x:c r="P434" s="6" t="str">
        <x:f>$AA$18</x:f>
        <x:v>普通：3次标准普攻击杀；10次主要攻击致死</x:v>
      </x:c>
      <x:c r="Q434" s="6"/>
      <x:c r="R434" s="6"/>
      <x:c r="S434" s="6"/>
      <x:c r="T434" s="6"/>
    </x:row>
    <x:row r="435" ht="21" customHeight="1">
      <x:c r="A435" s="14" t="n">
        <x:f>$V$18</x:f>
        <x:v>60005</x:v>
      </x:c>
      <x:c r="B435" s="14" t="str">
        <x:f>$W$18</x:f>
        <x:v>蜜蜂</x:v>
      </x:c>
      <x:c r="C435" s="6" t="str">
        <x:f>$X$18</x:f>
        <x:v>飞行</x:v>
      </x:c>
      <x:c r="D435" s="6">
        <x:v>23</x:v>
      </x:c>
      <x:c r="E435" s="6">
        <x:v>18</x:v>
      </x:c>
      <x:c r="F435" s="12">
        <x:f>ROUND(J435*$W$4*H435,0)</x:f>
        <x:v>3258</x:v>
      </x:c>
      <x:c r="G435" s="12">
        <x:f>ROUND(J435*$W$4*$W$5*I435,0)</x:f>
        <x:v>1086</x:v>
      </x:c>
      <x:c r="H435" s="11" t="n">
        <x:f>$Y$18</x:f>
        <x:v>0.75</x:v>
      </x:c>
      <x:c r="I435" s="11" t="n">
        <x:f>$Z$18</x:f>
        <x:v>3.3333333333333335</x:v>
      </x:c>
      <x:c r="J435" s="12">
        <x:f>英雄升级调参!$E$88</x:f>
        <x:v>1086</x:v>
      </x:c>
      <x:c r="K435" s="12">
        <x:f>英雄升级调参!$F$88</x:f>
        <x:v>10860</x:v>
      </x:c>
      <x:c r="L435" s="6" t="n">
        <x:f>ROUNDUP(F435/J435,0)</x:f>
        <x:v>3</x:v>
      </x:c>
      <x:c r="M435" s="6" t="n">
        <x:f>IF(G435=0,"无伤害",ROUNDUP(K435/MAX(1,ROUND(G435*$AC$18,0)),0))</x:f>
        <x:v>10</x:v>
      </x:c>
      <x:c r="N435" s="6" t="n">
        <x:f>ROUNDUP(F435/英雄升级调参!$H$88,0)</x:f>
        <x:v>2</x:v>
      </x:c>
      <x:c r="O435" s="6" t="n">
        <x:f>ROUNDUP(F435/英雄升级调参!$K$88,0)</x:f>
        <x:v>2</x:v>
      </x:c>
      <x:c r="P435" s="6" t="str">
        <x:f>$AA$18</x:f>
        <x:v>普通：3次标准普攻击杀；10次主要攻击致死</x:v>
      </x:c>
      <x:c r="Q435" s="6"/>
      <x:c r="R435" s="6"/>
      <x:c r="S435" s="6"/>
      <x:c r="T435" s="6"/>
    </x:row>
    <x:row r="436" ht="21" customHeight="1">
      <x:c r="A436" s="14" t="n">
        <x:f>$V$18</x:f>
        <x:v>60005</x:v>
      </x:c>
      <x:c r="B436" s="14" t="str">
        <x:f>$W$18</x:f>
        <x:v>蜜蜂</x:v>
      </x:c>
      <x:c r="C436" s="6" t="str">
        <x:f>$X$18</x:f>
        <x:v>飞行</x:v>
      </x:c>
      <x:c r="D436" s="6">
        <x:v>24</x:v>
      </x:c>
      <x:c r="E436" s="6">
        <x:v>18</x:v>
      </x:c>
      <x:c r="F436" s="12">
        <x:f>ROUND(J436*$W$4*H436,0)</x:f>
        <x:v>3420</x:v>
      </x:c>
      <x:c r="G436" s="12">
        <x:f>ROUND(J436*$W$4*$W$5*I436,0)</x:f>
        <x:v>1140</x:v>
      </x:c>
      <x:c r="H436" s="11" t="n">
        <x:f>$Y$18</x:f>
        <x:v>0.75</x:v>
      </x:c>
      <x:c r="I436" s="11" t="n">
        <x:f>$Z$18</x:f>
        <x:v>3.3333333333333335</x:v>
      </x:c>
      <x:c r="J436" s="12">
        <x:f>英雄升级调参!$E$89</x:f>
        <x:v>1140</x:v>
      </x:c>
      <x:c r="K436" s="12">
        <x:f>英雄升级调参!$F$89</x:f>
        <x:v>11400</x:v>
      </x:c>
      <x:c r="L436" s="6" t="n">
        <x:f>ROUNDUP(F436/J436,0)</x:f>
        <x:v>3</x:v>
      </x:c>
      <x:c r="M436" s="6" t="n">
        <x:f>IF(G436=0,"无伤害",ROUNDUP(K436/MAX(1,ROUND(G436*$AC$18,0)),0))</x:f>
        <x:v>10</x:v>
      </x:c>
      <x:c r="N436" s="6" t="n">
        <x:f>ROUNDUP(F436/英雄升级调参!$H$89,0)</x:f>
        <x:v>2</x:v>
      </x:c>
      <x:c r="O436" s="6" t="n">
        <x:f>ROUNDUP(F436/英雄升级调参!$K$89,0)</x:f>
        <x:v>2</x:v>
      </x:c>
      <x:c r="P436" s="6" t="str">
        <x:f>$AA$18</x:f>
        <x:v>普通：3次标准普攻击杀；10次主要攻击致死</x:v>
      </x:c>
      <x:c r="Q436" s="6"/>
      <x:c r="R436" s="6"/>
      <x:c r="S436" s="6"/>
      <x:c r="T436" s="6"/>
    </x:row>
    <x:row r="437" ht="21" customHeight="1">
      <x:c r="A437" s="14" t="n">
        <x:f>$V$18</x:f>
        <x:v>60005</x:v>
      </x:c>
      <x:c r="B437" s="14" t="str">
        <x:f>$W$18</x:f>
        <x:v>蜜蜂</x:v>
      </x:c>
      <x:c r="C437" s="6" t="str">
        <x:f>$X$18</x:f>
        <x:v>飞行</x:v>
      </x:c>
      <x:c r="D437" s="6">
        <x:v>25</x:v>
      </x:c>
      <x:c r="E437" s="6">
        <x:v>18</x:v>
      </x:c>
      <x:c r="F437" s="12">
        <x:f>ROUND(J437*$W$4*H437,0)</x:f>
        <x:v>3906</x:v>
      </x:c>
      <x:c r="G437" s="12">
        <x:f>ROUND(J437*$W$4*$W$5*I437,0)</x:f>
        <x:v>1302</x:v>
      </x:c>
      <x:c r="H437" s="11" t="n">
        <x:f>$Y$18</x:f>
        <x:v>0.75</x:v>
      </x:c>
      <x:c r="I437" s="11" t="n">
        <x:f>$Z$18</x:f>
        <x:v>3.3333333333333335</x:v>
      </x:c>
      <x:c r="J437" s="12">
        <x:f>英雄升级调参!$E$90</x:f>
        <x:v>1302</x:v>
      </x:c>
      <x:c r="K437" s="12">
        <x:f>英雄升级调参!$F$90</x:f>
        <x:v>13020</x:v>
      </x:c>
      <x:c r="L437" s="6" t="n">
        <x:f>ROUNDUP(F437/J437,0)</x:f>
        <x:v>3</x:v>
      </x:c>
      <x:c r="M437" s="6" t="n">
        <x:f>IF(G437=0,"无伤害",ROUNDUP(K437/MAX(1,ROUND(G437*$AC$18,0)),0))</x:f>
        <x:v>10</x:v>
      </x:c>
      <x:c r="N437" s="6" t="n">
        <x:f>ROUNDUP(F437/英雄升级调参!$H$90,0)</x:f>
        <x:v>2</x:v>
      </x:c>
      <x:c r="O437" s="6" t="n">
        <x:f>ROUNDUP(F437/英雄升级调参!$K$90,0)</x:f>
        <x:v>2</x:v>
      </x:c>
      <x:c r="P437" s="6" t="str">
        <x:f>$AA$18</x:f>
        <x:v>普通：3次标准普攻击杀；10次主要攻击致死</x:v>
      </x:c>
      <x:c r="Q437" s="6"/>
      <x:c r="R437" s="6"/>
      <x:c r="S437" s="6"/>
      <x:c r="T437" s="6"/>
    </x:row>
    <x:row r="438" ht="21" customHeight="1">
      <x:c r="A438" s="14" t="n">
        <x:f>$V$18</x:f>
        <x:v>60005</x:v>
      </x:c>
      <x:c r="B438" s="14" t="str">
        <x:f>$W$18</x:f>
        <x:v>蜜蜂</x:v>
      </x:c>
      <x:c r="C438" s="6" t="str">
        <x:f>$X$18</x:f>
        <x:v>飞行</x:v>
      </x:c>
      <x:c r="D438" s="6">
        <x:v>26</x:v>
      </x:c>
      <x:c r="E438" s="6">
        <x:v>18</x:v>
      </x:c>
      <x:c r="F438" s="12">
        <x:f>ROUND(J438*$W$4*H438,0)</x:f>
        <x:v>4095</x:v>
      </x:c>
      <x:c r="G438" s="12">
        <x:f>ROUND(J438*$W$4*$W$5*I438,0)</x:f>
        <x:v>1365</x:v>
      </x:c>
      <x:c r="H438" s="11" t="n">
        <x:f>$Y$18</x:f>
        <x:v>0.75</x:v>
      </x:c>
      <x:c r="I438" s="11" t="n">
        <x:f>$Z$18</x:f>
        <x:v>3.3333333333333335</x:v>
      </x:c>
      <x:c r="J438" s="12">
        <x:f>英雄升级调参!$E$91</x:f>
        <x:v>1365</x:v>
      </x:c>
      <x:c r="K438" s="12">
        <x:f>英雄升级调参!$F$91</x:f>
        <x:v>13650</x:v>
      </x:c>
      <x:c r="L438" s="6" t="n">
        <x:f>ROUNDUP(F438/J438,0)</x:f>
        <x:v>3</x:v>
      </x:c>
      <x:c r="M438" s="6" t="n">
        <x:f>IF(G438=0,"无伤害",ROUNDUP(K438/MAX(1,ROUND(G438*$AC$18,0)),0))</x:f>
        <x:v>10</x:v>
      </x:c>
      <x:c r="N438" s="6" t="n">
        <x:f>ROUNDUP(F438/英雄升级调参!$H$91,0)</x:f>
        <x:v>2</x:v>
      </x:c>
      <x:c r="O438" s="6" t="n">
        <x:f>ROUNDUP(F438/英雄升级调参!$K$91,0)</x:f>
        <x:v>2</x:v>
      </x:c>
      <x:c r="P438" s="6" t="str">
        <x:f>$AA$18</x:f>
        <x:v>普通：3次标准普攻击杀；10次主要攻击致死</x:v>
      </x:c>
      <x:c r="Q438" s="6"/>
      <x:c r="R438" s="6"/>
      <x:c r="S438" s="6"/>
      <x:c r="T438" s="6"/>
    </x:row>
    <x:row r="439" ht="21" customHeight="1">
      <x:c r="A439" s="14" t="n">
        <x:f>$V$18</x:f>
        <x:v>60005</x:v>
      </x:c>
      <x:c r="B439" s="14" t="str">
        <x:f>$W$18</x:f>
        <x:v>蜜蜂</x:v>
      </x:c>
      <x:c r="C439" s="6" t="str">
        <x:f>$X$18</x:f>
        <x:v>飞行</x:v>
      </x:c>
      <x:c r="D439" s="6">
        <x:v>27</x:v>
      </x:c>
      <x:c r="E439" s="6">
        <x:v>18</x:v>
      </x:c>
      <x:c r="F439" s="12">
        <x:f>ROUND(J439*$W$4*H439,0)</x:f>
        <x:v>4284</x:v>
      </x:c>
      <x:c r="G439" s="12">
        <x:f>ROUND(J439*$W$4*$W$5*I439,0)</x:f>
        <x:v>1428</x:v>
      </x:c>
      <x:c r="H439" s="11" t="n">
        <x:f>$Y$18</x:f>
        <x:v>0.75</x:v>
      </x:c>
      <x:c r="I439" s="11" t="n">
        <x:f>$Z$18</x:f>
        <x:v>3.3333333333333335</x:v>
      </x:c>
      <x:c r="J439" s="12">
        <x:f>英雄升级调参!$E$92</x:f>
        <x:v>1428</x:v>
      </x:c>
      <x:c r="K439" s="12">
        <x:f>英雄升级调参!$F$92</x:f>
        <x:v>14280</x:v>
      </x:c>
      <x:c r="L439" s="6" t="n">
        <x:f>ROUNDUP(F439/J439,0)</x:f>
        <x:v>3</x:v>
      </x:c>
      <x:c r="M439" s="6" t="n">
        <x:f>IF(G439=0,"无伤害",ROUNDUP(K439/MAX(1,ROUND(G439*$AC$18,0)),0))</x:f>
        <x:v>10</x:v>
      </x:c>
      <x:c r="N439" s="6" t="n">
        <x:f>ROUNDUP(F439/英雄升级调参!$H$92,0)</x:f>
        <x:v>2</x:v>
      </x:c>
      <x:c r="O439" s="6" t="n">
        <x:f>ROUNDUP(F439/英雄升级调参!$K$92,0)</x:f>
        <x:v>2</x:v>
      </x:c>
      <x:c r="P439" s="6" t="str">
        <x:f>$AA$18</x:f>
        <x:v>普通：3次标准普攻击杀；10次主要攻击致死</x:v>
      </x:c>
      <x:c r="Q439" s="6"/>
      <x:c r="R439" s="6"/>
      <x:c r="S439" s="6"/>
      <x:c r="T439" s="6"/>
    </x:row>
    <x:row r="440" ht="21" customHeight="1">
      <x:c r="A440" s="14" t="n">
        <x:f>$V$18</x:f>
        <x:v>60005</x:v>
      </x:c>
      <x:c r="B440" s="14" t="str">
        <x:f>$W$18</x:f>
        <x:v>蜜蜂</x:v>
      </x:c>
      <x:c r="C440" s="6" t="str">
        <x:f>$X$18</x:f>
        <x:v>飞行</x:v>
      </x:c>
      <x:c r="D440" s="6">
        <x:v>28</x:v>
      </x:c>
      <x:c r="E440" s="6">
        <x:v>18</x:v>
      </x:c>
      <x:c r="F440" s="12">
        <x:f>ROUND(J440*$W$4*H440,0)</x:f>
        <x:v>4473</x:v>
      </x:c>
      <x:c r="G440" s="12">
        <x:f>ROUND(J440*$W$4*$W$5*I440,0)</x:f>
        <x:v>1491</x:v>
      </x:c>
      <x:c r="H440" s="11" t="n">
        <x:f>$Y$18</x:f>
        <x:v>0.75</x:v>
      </x:c>
      <x:c r="I440" s="11" t="n">
        <x:f>$Z$18</x:f>
        <x:v>3.3333333333333335</x:v>
      </x:c>
      <x:c r="J440" s="12">
        <x:f>英雄升级调参!$E$93</x:f>
        <x:v>1491</x:v>
      </x:c>
      <x:c r="K440" s="12">
        <x:f>英雄升级调参!$F$93</x:f>
        <x:v>14910</x:v>
      </x:c>
      <x:c r="L440" s="6" t="n">
        <x:f>ROUNDUP(F440/J440,0)</x:f>
        <x:v>3</x:v>
      </x:c>
      <x:c r="M440" s="6" t="n">
        <x:f>IF(G440=0,"无伤害",ROUNDUP(K440/MAX(1,ROUND(G440*$AC$18,0)),0))</x:f>
        <x:v>10</x:v>
      </x:c>
      <x:c r="N440" s="6" t="n">
        <x:f>ROUNDUP(F440/英雄升级调参!$H$93,0)</x:f>
        <x:v>2</x:v>
      </x:c>
      <x:c r="O440" s="6" t="n">
        <x:f>ROUNDUP(F440/英雄升级调参!$K$93,0)</x:f>
        <x:v>2</x:v>
      </x:c>
      <x:c r="P440" s="6" t="str">
        <x:f>$AA$18</x:f>
        <x:v>普通：3次标准普攻击杀；10次主要攻击致死</x:v>
      </x:c>
      <x:c r="Q440" s="6"/>
      <x:c r="R440" s="6"/>
      <x:c r="S440" s="6"/>
      <x:c r="T440" s="6"/>
    </x:row>
    <x:row r="441" ht="21" customHeight="1">
      <x:c r="A441" s="14" t="n">
        <x:f>$V$18</x:f>
        <x:v>60005</x:v>
      </x:c>
      <x:c r="B441" s="14" t="str">
        <x:f>$W$18</x:f>
        <x:v>蜜蜂</x:v>
      </x:c>
      <x:c r="C441" s="6" t="str">
        <x:f>$X$18</x:f>
        <x:v>飞行</x:v>
      </x:c>
      <x:c r="D441" s="6">
        <x:v>29</x:v>
      </x:c>
      <x:c r="E441" s="6">
        <x:v>18</x:v>
      </x:c>
      <x:c r="F441" s="12">
        <x:f>ROUND(J441*$W$4*H441,0)</x:f>
        <x:v>4662</x:v>
      </x:c>
      <x:c r="G441" s="12">
        <x:f>ROUND(J441*$W$4*$W$5*I441,0)</x:f>
        <x:v>1554</x:v>
      </x:c>
      <x:c r="H441" s="11" t="n">
        <x:f>$Y$18</x:f>
        <x:v>0.75</x:v>
      </x:c>
      <x:c r="I441" s="11" t="n">
        <x:f>$Z$18</x:f>
        <x:v>3.3333333333333335</x:v>
      </x:c>
      <x:c r="J441" s="12">
        <x:f>英雄升级调参!$E$94</x:f>
        <x:v>1554</x:v>
      </x:c>
      <x:c r="K441" s="12">
        <x:f>英雄升级调参!$F$94</x:f>
        <x:v>15540</x:v>
      </x:c>
      <x:c r="L441" s="6" t="n">
        <x:f>ROUNDUP(F441/J441,0)</x:f>
        <x:v>3</x:v>
      </x:c>
      <x:c r="M441" s="6" t="n">
        <x:f>IF(G441=0,"无伤害",ROUNDUP(K441/MAX(1,ROUND(G441*$AC$18,0)),0))</x:f>
        <x:v>10</x:v>
      </x:c>
      <x:c r="N441" s="6" t="n">
        <x:f>ROUNDUP(F441/英雄升级调参!$H$94,0)</x:f>
        <x:v>2</x:v>
      </x:c>
      <x:c r="O441" s="6" t="n">
        <x:f>ROUNDUP(F441/英雄升级调参!$K$94,0)</x:f>
        <x:v>2</x:v>
      </x:c>
      <x:c r="P441" s="6" t="str">
        <x:f>$AA$18</x:f>
        <x:v>普通：3次标准普攻击杀；10次主要攻击致死</x:v>
      </x:c>
      <x:c r="Q441" s="6"/>
      <x:c r="R441" s="6"/>
      <x:c r="S441" s="6"/>
      <x:c r="T441" s="6"/>
    </x:row>
    <x:row r="442" ht="21" customHeight="1">
      <x:c r="A442" s="14" t="n">
        <x:f>$V$18</x:f>
        <x:v>60005</x:v>
      </x:c>
      <x:c r="B442" s="14" t="str">
        <x:f>$W$18</x:f>
        <x:v>蜜蜂</x:v>
      </x:c>
      <x:c r="C442" s="6" t="str">
        <x:f>$X$18</x:f>
        <x:v>飞行</x:v>
      </x:c>
      <x:c r="D442" s="6">
        <x:v>30</x:v>
      </x:c>
      <x:c r="E442" s="6">
        <x:v>18</x:v>
      </x:c>
      <x:c r="F442" s="12">
        <x:f>ROUND(J442*$W$4*H442,0)</x:f>
        <x:v>5229</x:v>
      </x:c>
      <x:c r="G442" s="12">
        <x:f>ROUND(J442*$W$4*$W$5*I442,0)</x:f>
        <x:v>1743</x:v>
      </x:c>
      <x:c r="H442" s="11" t="n">
        <x:f>$Y$18</x:f>
        <x:v>0.75</x:v>
      </x:c>
      <x:c r="I442" s="11" t="n">
        <x:f>$Z$18</x:f>
        <x:v>3.3333333333333335</x:v>
      </x:c>
      <x:c r="J442" s="12">
        <x:f>英雄升级调参!$E$95</x:f>
        <x:v>1743</x:v>
      </x:c>
      <x:c r="K442" s="12">
        <x:f>英雄升级调参!$F$95</x:f>
        <x:v>17430</x:v>
      </x:c>
      <x:c r="L442" s="6" t="n">
        <x:f>ROUNDUP(F442/J442,0)</x:f>
        <x:v>3</x:v>
      </x:c>
      <x:c r="M442" s="6" t="n">
        <x:f>IF(G442=0,"无伤害",ROUNDUP(K442/MAX(1,ROUND(G442*$AC$18,0)),0))</x:f>
        <x:v>10</x:v>
      </x:c>
      <x:c r="N442" s="6" t="n">
        <x:f>ROUNDUP(F442/英雄升级调参!$H$95,0)</x:f>
        <x:v>2</x:v>
      </x:c>
      <x:c r="O442" s="6" t="n">
        <x:f>ROUNDUP(F442/英雄升级调参!$K$95,0)</x:f>
        <x:v>2</x:v>
      </x:c>
      <x:c r="P442" s="6" t="str">
        <x:f>$AA$18</x:f>
        <x:v>普通：3次标准普攻击杀；10次主要攻击致死</x:v>
      </x:c>
      <x:c r="Q442" s="6"/>
      <x:c r="R442" s="6"/>
      <x:c r="S442" s="6"/>
      <x:c r="T442" s="6"/>
    </x:row>
    <x:row r="443" ht="21" customHeight="1">
      <x:c r="A443" s="14" t="n">
        <x:f>$V$18</x:f>
        <x:v>60005</x:v>
      </x:c>
      <x:c r="B443" s="14" t="str">
        <x:f>$W$18</x:f>
        <x:v>蜜蜂</x:v>
      </x:c>
      <x:c r="C443" s="6" t="str">
        <x:f>$X$18</x:f>
        <x:v>飞行</x:v>
      </x:c>
      <x:c r="D443" s="6">
        <x:v>31</x:v>
      </x:c>
      <x:c r="E443" s="6">
        <x:v>18</x:v>
      </x:c>
      <x:c r="F443" s="12">
        <x:f>ROUND(J443*$W$4*H443,0)</x:f>
        <x:v>5445</x:v>
      </x:c>
      <x:c r="G443" s="12">
        <x:f>ROUND(J443*$W$4*$W$5*I443,0)</x:f>
        <x:v>1815</x:v>
      </x:c>
      <x:c r="H443" s="11" t="n">
        <x:f>$Y$18</x:f>
        <x:v>0.75</x:v>
      </x:c>
      <x:c r="I443" s="11" t="n">
        <x:f>$Z$18</x:f>
        <x:v>3.3333333333333335</x:v>
      </x:c>
      <x:c r="J443" s="12">
        <x:f>英雄升级调参!$E$96</x:f>
        <x:v>1815</x:v>
      </x:c>
      <x:c r="K443" s="12">
        <x:f>英雄升级调参!$F$96</x:f>
        <x:v>18150</x:v>
      </x:c>
      <x:c r="L443" s="6" t="n">
        <x:f>ROUNDUP(F443/J443,0)</x:f>
        <x:v>3</x:v>
      </x:c>
      <x:c r="M443" s="6" t="n">
        <x:f>IF(G443=0,"无伤害",ROUNDUP(K443/MAX(1,ROUND(G443*$AC$18,0)),0))</x:f>
        <x:v>10</x:v>
      </x:c>
      <x:c r="N443" s="6" t="n">
        <x:f>ROUNDUP(F443/英雄升级调参!$H$96,0)</x:f>
        <x:v>2</x:v>
      </x:c>
      <x:c r="O443" s="6" t="n">
        <x:f>ROUNDUP(F443/英雄升级调参!$K$96,0)</x:f>
        <x:v>2</x:v>
      </x:c>
      <x:c r="P443" s="6" t="str">
        <x:f>$AA$18</x:f>
        <x:v>普通：3次标准普攻击杀；10次主要攻击致死</x:v>
      </x:c>
      <x:c r="Q443" s="6"/>
      <x:c r="R443" s="6"/>
      <x:c r="S443" s="6"/>
      <x:c r="T443" s="6"/>
    </x:row>
    <x:row r="444" ht="21" customHeight="1">
      <x:c r="A444" s="14" t="n">
        <x:f>$V$18</x:f>
        <x:v>60005</x:v>
      </x:c>
      <x:c r="B444" s="14" t="str">
        <x:f>$W$18</x:f>
        <x:v>蜜蜂</x:v>
      </x:c>
      <x:c r="C444" s="6" t="str">
        <x:f>$X$18</x:f>
        <x:v>飞行</x:v>
      </x:c>
      <x:c r="D444" s="6">
        <x:v>32</x:v>
      </x:c>
      <x:c r="E444" s="6">
        <x:v>18</x:v>
      </x:c>
      <x:c r="F444" s="12">
        <x:f>ROUND(J444*$W$4*H444,0)</x:f>
        <x:v>5661</x:v>
      </x:c>
      <x:c r="G444" s="12">
        <x:f>ROUND(J444*$W$4*$W$5*I444,0)</x:f>
        <x:v>1887</x:v>
      </x:c>
      <x:c r="H444" s="11" t="n">
        <x:f>$Y$18</x:f>
        <x:v>0.75</x:v>
      </x:c>
      <x:c r="I444" s="11" t="n">
        <x:f>$Z$18</x:f>
        <x:v>3.3333333333333335</x:v>
      </x:c>
      <x:c r="J444" s="12">
        <x:f>英雄升级调参!$E$97</x:f>
        <x:v>1887</x:v>
      </x:c>
      <x:c r="K444" s="12">
        <x:f>英雄升级调参!$F$97</x:f>
        <x:v>18870</x:v>
      </x:c>
      <x:c r="L444" s="6" t="n">
        <x:f>ROUNDUP(F444/J444,0)</x:f>
        <x:v>3</x:v>
      </x:c>
      <x:c r="M444" s="6" t="n">
        <x:f>IF(G444=0,"无伤害",ROUNDUP(K444/MAX(1,ROUND(G444*$AC$18,0)),0))</x:f>
        <x:v>10</x:v>
      </x:c>
      <x:c r="N444" s="6" t="n">
        <x:f>ROUNDUP(F444/英雄升级调参!$H$97,0)</x:f>
        <x:v>2</x:v>
      </x:c>
      <x:c r="O444" s="6" t="n">
        <x:f>ROUNDUP(F444/英雄升级调参!$K$97,0)</x:f>
        <x:v>2</x:v>
      </x:c>
      <x:c r="P444" s="6" t="str">
        <x:f>$AA$18</x:f>
        <x:v>普通：3次标准普攻击杀；10次主要攻击致死</x:v>
      </x:c>
      <x:c r="Q444" s="6"/>
      <x:c r="R444" s="6"/>
      <x:c r="S444" s="6"/>
      <x:c r="T444" s="6"/>
    </x:row>
    <x:row r="445" ht="21" customHeight="1">
      <x:c r="A445" s="14" t="n">
        <x:f>$V$18</x:f>
        <x:v>60005</x:v>
      </x:c>
      <x:c r="B445" s="14" t="str">
        <x:f>$W$18</x:f>
        <x:v>蜜蜂</x:v>
      </x:c>
      <x:c r="C445" s="6" t="str">
        <x:f>$X$18</x:f>
        <x:v>飞行</x:v>
      </x:c>
      <x:c r="D445" s="6">
        <x:v>33</x:v>
      </x:c>
      <x:c r="E445" s="6">
        <x:v>18</x:v>
      </x:c>
      <x:c r="F445" s="12">
        <x:f>ROUND(J445*$W$4*H445,0)</x:f>
        <x:v>5877</x:v>
      </x:c>
      <x:c r="G445" s="12">
        <x:f>ROUND(J445*$W$4*$W$5*I445,0)</x:f>
        <x:v>1959</x:v>
      </x:c>
      <x:c r="H445" s="11" t="n">
        <x:f>$Y$18</x:f>
        <x:v>0.75</x:v>
      </x:c>
      <x:c r="I445" s="11" t="n">
        <x:f>$Z$18</x:f>
        <x:v>3.3333333333333335</x:v>
      </x:c>
      <x:c r="J445" s="12">
        <x:f>英雄升级调参!$E$98</x:f>
        <x:v>1959</x:v>
      </x:c>
      <x:c r="K445" s="12">
        <x:f>英雄升级调参!$F$98</x:f>
        <x:v>19590</x:v>
      </x:c>
      <x:c r="L445" s="6" t="n">
        <x:f>ROUNDUP(F445/J445,0)</x:f>
        <x:v>3</x:v>
      </x:c>
      <x:c r="M445" s="6" t="n">
        <x:f>IF(G445=0,"无伤害",ROUNDUP(K445/MAX(1,ROUND(G445*$AC$18,0)),0))</x:f>
        <x:v>10</x:v>
      </x:c>
      <x:c r="N445" s="6" t="n">
        <x:f>ROUNDUP(F445/英雄升级调参!$H$98,0)</x:f>
        <x:v>2</x:v>
      </x:c>
      <x:c r="O445" s="6" t="n">
        <x:f>ROUNDUP(F445/英雄升级调参!$K$98,0)</x:f>
        <x:v>2</x:v>
      </x:c>
      <x:c r="P445" s="6" t="str">
        <x:f>$AA$18</x:f>
        <x:v>普通：3次标准普攻击杀；10次主要攻击致死</x:v>
      </x:c>
      <x:c r="Q445" s="6"/>
      <x:c r="R445" s="6"/>
      <x:c r="S445" s="6"/>
      <x:c r="T445" s="6"/>
    </x:row>
    <x:row r="446" ht="21" customHeight="1">
      <x:c r="A446" s="14" t="n">
        <x:f>$V$18</x:f>
        <x:v>60005</x:v>
      </x:c>
      <x:c r="B446" s="14" t="str">
        <x:f>$W$18</x:f>
        <x:v>蜜蜂</x:v>
      </x:c>
      <x:c r="C446" s="6" t="str">
        <x:f>$X$18</x:f>
        <x:v>飞行</x:v>
      </x:c>
      <x:c r="D446" s="6">
        <x:v>34</x:v>
      </x:c>
      <x:c r="E446" s="6">
        <x:v>18</x:v>
      </x:c>
      <x:c r="F446" s="12">
        <x:f>ROUND(J446*$W$4*H446,0)</x:f>
        <x:v>6093</x:v>
      </x:c>
      <x:c r="G446" s="12">
        <x:f>ROUND(J446*$W$4*$W$5*I446,0)</x:f>
        <x:v>2031</x:v>
      </x:c>
      <x:c r="H446" s="11" t="n">
        <x:f>$Y$18</x:f>
        <x:v>0.75</x:v>
      </x:c>
      <x:c r="I446" s="11" t="n">
        <x:f>$Z$18</x:f>
        <x:v>3.3333333333333335</x:v>
      </x:c>
      <x:c r="J446" s="12">
        <x:f>英雄升级调参!$E$99</x:f>
        <x:v>2031</x:v>
      </x:c>
      <x:c r="K446" s="12">
        <x:f>英雄升级调参!$F$99</x:f>
        <x:v>20310</x:v>
      </x:c>
      <x:c r="L446" s="6" t="n">
        <x:f>ROUNDUP(F446/J446,0)</x:f>
        <x:v>3</x:v>
      </x:c>
      <x:c r="M446" s="6" t="n">
        <x:f>IF(G446=0,"无伤害",ROUNDUP(K446/MAX(1,ROUND(G446*$AC$18,0)),0))</x:f>
        <x:v>10</x:v>
      </x:c>
      <x:c r="N446" s="6" t="n">
        <x:f>ROUNDUP(F446/英雄升级调参!$H$99,0)</x:f>
        <x:v>2</x:v>
      </x:c>
      <x:c r="O446" s="6" t="n">
        <x:f>ROUNDUP(F446/英雄升级调参!$K$99,0)</x:f>
        <x:v>2</x:v>
      </x:c>
      <x:c r="P446" s="6" t="str">
        <x:f>$AA$18</x:f>
        <x:v>普通：3次标准普攻击杀；10次主要攻击致死</x:v>
      </x:c>
      <x:c r="Q446" s="6"/>
      <x:c r="R446" s="6"/>
      <x:c r="S446" s="6"/>
      <x:c r="T446" s="6"/>
    </x:row>
    <x:row r="447" ht="21" customHeight="1">
      <x:c r="A447" s="14" t="n">
        <x:f>$V$18</x:f>
        <x:v>60005</x:v>
      </x:c>
      <x:c r="B447" s="14" t="str">
        <x:f>$W$18</x:f>
        <x:v>蜜蜂</x:v>
      </x:c>
      <x:c r="C447" s="6" t="str">
        <x:f>$X$18</x:f>
        <x:v>飞行</x:v>
      </x:c>
      <x:c r="D447" s="6">
        <x:v>35</x:v>
      </x:c>
      <x:c r="E447" s="6">
        <x:v>18</x:v>
      </x:c>
      <x:c r="F447" s="12">
        <x:f>ROUND(J447*$W$4*H447,0)</x:f>
        <x:v>6741</x:v>
      </x:c>
      <x:c r="G447" s="12">
        <x:f>ROUND(J447*$W$4*$W$5*I447,0)</x:f>
        <x:v>2247</x:v>
      </x:c>
      <x:c r="H447" s="11" t="n">
        <x:f>$Y$18</x:f>
        <x:v>0.75</x:v>
      </x:c>
      <x:c r="I447" s="11" t="n">
        <x:f>$Z$18</x:f>
        <x:v>3.3333333333333335</x:v>
      </x:c>
      <x:c r="J447" s="12">
        <x:f>英雄升级调参!$E$100</x:f>
        <x:v>2247</x:v>
      </x:c>
      <x:c r="K447" s="12">
        <x:f>英雄升级调参!$F$100</x:f>
        <x:v>22470</x:v>
      </x:c>
      <x:c r="L447" s="6" t="n">
        <x:f>ROUNDUP(F447/J447,0)</x:f>
        <x:v>3</x:v>
      </x:c>
      <x:c r="M447" s="6" t="n">
        <x:f>IF(G447=0,"无伤害",ROUNDUP(K447/MAX(1,ROUND(G447*$AC$18,0)),0))</x:f>
        <x:v>10</x:v>
      </x:c>
      <x:c r="N447" s="6" t="n">
        <x:f>ROUNDUP(F447/英雄升级调参!$H$100,0)</x:f>
        <x:v>2</x:v>
      </x:c>
      <x:c r="O447" s="6" t="n">
        <x:f>ROUNDUP(F447/英雄升级调参!$K$100,0)</x:f>
        <x:v>2</x:v>
      </x:c>
      <x:c r="P447" s="6" t="str">
        <x:f>$AA$18</x:f>
        <x:v>普通：3次标准普攻击杀；10次主要攻击致死</x:v>
      </x:c>
      <x:c r="Q447" s="6"/>
      <x:c r="R447" s="6"/>
      <x:c r="S447" s="6"/>
      <x:c r="T447" s="6"/>
    </x:row>
    <x:row r="448" ht="21" customHeight="1">
      <x:c r="A448" s="14" t="n">
        <x:f>$V$18</x:f>
        <x:v>60005</x:v>
      </x:c>
      <x:c r="B448" s="14" t="str">
        <x:f>$W$18</x:f>
        <x:v>蜜蜂</x:v>
      </x:c>
      <x:c r="C448" s="6" t="str">
        <x:f>$X$18</x:f>
        <x:v>飞行</x:v>
      </x:c>
      <x:c r="D448" s="6">
        <x:v>36</x:v>
      </x:c>
      <x:c r="E448" s="6">
        <x:v>18</x:v>
      </x:c>
      <x:c r="F448" s="12">
        <x:f>ROUND(J448*$W$4*H448,0)</x:f>
        <x:v>6984</x:v>
      </x:c>
      <x:c r="G448" s="12">
        <x:f>ROUND(J448*$W$4*$W$5*I448,0)</x:f>
        <x:v>2328</x:v>
      </x:c>
      <x:c r="H448" s="11" t="n">
        <x:f>$Y$18</x:f>
        <x:v>0.75</x:v>
      </x:c>
      <x:c r="I448" s="11" t="n">
        <x:f>$Z$18</x:f>
        <x:v>3.3333333333333335</x:v>
      </x:c>
      <x:c r="J448" s="12">
        <x:f>英雄升级调参!$E$101</x:f>
        <x:v>2328</x:v>
      </x:c>
      <x:c r="K448" s="12">
        <x:f>英雄升级调参!$F$101</x:f>
        <x:v>23280</x:v>
      </x:c>
      <x:c r="L448" s="6" t="n">
        <x:f>ROUNDUP(F448/J448,0)</x:f>
        <x:v>3</x:v>
      </x:c>
      <x:c r="M448" s="6" t="n">
        <x:f>IF(G448=0,"无伤害",ROUNDUP(K448/MAX(1,ROUND(G448*$AC$18,0)),0))</x:f>
        <x:v>10</x:v>
      </x:c>
      <x:c r="N448" s="6" t="n">
        <x:f>ROUNDUP(F448/英雄升级调参!$H$101,0)</x:f>
        <x:v>2</x:v>
      </x:c>
      <x:c r="O448" s="6" t="n">
        <x:f>ROUNDUP(F448/英雄升级调参!$K$101,0)</x:f>
        <x:v>2</x:v>
      </x:c>
      <x:c r="P448" s="6" t="str">
        <x:f>$AA$18</x:f>
        <x:v>普通：3次标准普攻击杀；10次主要攻击致死</x:v>
      </x:c>
      <x:c r="Q448" s="6"/>
      <x:c r="R448" s="6"/>
      <x:c r="S448" s="6"/>
      <x:c r="T448" s="6"/>
    </x:row>
    <x:row r="449" ht="21" customHeight="1">
      <x:c r="A449" s="14" t="n">
        <x:f>$V$18</x:f>
        <x:v>60005</x:v>
      </x:c>
      <x:c r="B449" s="14" t="str">
        <x:f>$W$18</x:f>
        <x:v>蜜蜂</x:v>
      </x:c>
      <x:c r="C449" s="6" t="str">
        <x:f>$X$18</x:f>
        <x:v>飞行</x:v>
      </x:c>
      <x:c r="D449" s="6">
        <x:v>37</x:v>
      </x:c>
      <x:c r="E449" s="6">
        <x:v>18</x:v>
      </x:c>
      <x:c r="F449" s="12">
        <x:f>ROUND(J449*$W$4*H449,0)</x:f>
        <x:v>7227</x:v>
      </x:c>
      <x:c r="G449" s="12">
        <x:f>ROUND(J449*$W$4*$W$5*I449,0)</x:f>
        <x:v>2409</x:v>
      </x:c>
      <x:c r="H449" s="11" t="n">
        <x:f>$Y$18</x:f>
        <x:v>0.75</x:v>
      </x:c>
      <x:c r="I449" s="11" t="n">
        <x:f>$Z$18</x:f>
        <x:v>3.3333333333333335</x:v>
      </x:c>
      <x:c r="J449" s="12">
        <x:f>英雄升级调参!$E$102</x:f>
        <x:v>2409</x:v>
      </x:c>
      <x:c r="K449" s="12">
        <x:f>英雄升级调参!$F$102</x:f>
        <x:v>24090</x:v>
      </x:c>
      <x:c r="L449" s="6" t="n">
        <x:f>ROUNDUP(F449/J449,0)</x:f>
        <x:v>3</x:v>
      </x:c>
      <x:c r="M449" s="6" t="n">
        <x:f>IF(G449=0,"无伤害",ROUNDUP(K449/MAX(1,ROUND(G449*$AC$18,0)),0))</x:f>
        <x:v>10</x:v>
      </x:c>
      <x:c r="N449" s="6" t="n">
        <x:f>ROUNDUP(F449/英雄升级调参!$H$102,0)</x:f>
        <x:v>2</x:v>
      </x:c>
      <x:c r="O449" s="6" t="n">
        <x:f>ROUNDUP(F449/英雄升级调参!$K$102,0)</x:f>
        <x:v>2</x:v>
      </x:c>
      <x:c r="P449" s="6" t="str">
        <x:f>$AA$18</x:f>
        <x:v>普通：3次标准普攻击杀；10次主要攻击致死</x:v>
      </x:c>
      <x:c r="Q449" s="6"/>
      <x:c r="R449" s="6"/>
      <x:c r="S449" s="6"/>
      <x:c r="T449" s="6"/>
    </x:row>
    <x:row r="450" ht="21" customHeight="1">
      <x:c r="A450" s="14" t="n">
        <x:f>$V$18</x:f>
        <x:v>60005</x:v>
      </x:c>
      <x:c r="B450" s="14" t="str">
        <x:f>$W$18</x:f>
        <x:v>蜜蜂</x:v>
      </x:c>
      <x:c r="C450" s="6" t="str">
        <x:f>$X$18</x:f>
        <x:v>飞行</x:v>
      </x:c>
      <x:c r="D450" s="6">
        <x:v>38</x:v>
      </x:c>
      <x:c r="E450" s="6">
        <x:v>18</x:v>
      </x:c>
      <x:c r="F450" s="12">
        <x:f>ROUND(J450*$W$4*H450,0)</x:f>
        <x:v>7470</x:v>
      </x:c>
      <x:c r="G450" s="12">
        <x:f>ROUND(J450*$W$4*$W$5*I450,0)</x:f>
        <x:v>2490</x:v>
      </x:c>
      <x:c r="H450" s="11" t="n">
        <x:f>$Y$18</x:f>
        <x:v>0.75</x:v>
      </x:c>
      <x:c r="I450" s="11" t="n">
        <x:f>$Z$18</x:f>
        <x:v>3.3333333333333335</x:v>
      </x:c>
      <x:c r="J450" s="12">
        <x:f>英雄升级调参!$E$103</x:f>
        <x:v>2490</x:v>
      </x:c>
      <x:c r="K450" s="12">
        <x:f>英雄升级调参!$F$103</x:f>
        <x:v>24900</x:v>
      </x:c>
      <x:c r="L450" s="6" t="n">
        <x:f>ROUNDUP(F450/J450,0)</x:f>
        <x:v>3</x:v>
      </x:c>
      <x:c r="M450" s="6" t="n">
        <x:f>IF(G450=0,"无伤害",ROUNDUP(K450/MAX(1,ROUND(G450*$AC$18,0)),0))</x:f>
        <x:v>10</x:v>
      </x:c>
      <x:c r="N450" s="6" t="n">
        <x:f>ROUNDUP(F450/英雄升级调参!$H$103,0)</x:f>
        <x:v>2</x:v>
      </x:c>
      <x:c r="O450" s="6" t="n">
        <x:f>ROUNDUP(F450/英雄升级调参!$K$103,0)</x:f>
        <x:v>2</x:v>
      </x:c>
      <x:c r="P450" s="6" t="str">
        <x:f>$AA$18</x:f>
        <x:v>普通：3次标准普攻击杀；10次主要攻击致死</x:v>
      </x:c>
      <x:c r="Q450" s="6"/>
      <x:c r="R450" s="6"/>
      <x:c r="S450" s="6"/>
      <x:c r="T450" s="6"/>
    </x:row>
    <x:row r="451" ht="21" customHeight="1">
      <x:c r="A451" s="14" t="n">
        <x:f>$V$18</x:f>
        <x:v>60005</x:v>
      </x:c>
      <x:c r="B451" s="14" t="str">
        <x:f>$W$18</x:f>
        <x:v>蜜蜂</x:v>
      </x:c>
      <x:c r="C451" s="6" t="str">
        <x:f>$X$18</x:f>
        <x:v>飞行</x:v>
      </x:c>
      <x:c r="D451" s="6">
        <x:v>39</x:v>
      </x:c>
      <x:c r="E451" s="6">
        <x:v>18</x:v>
      </x:c>
      <x:c r="F451" s="12">
        <x:f>ROUND(J451*$W$4*H451,0)</x:f>
        <x:v>7713</x:v>
      </x:c>
      <x:c r="G451" s="12">
        <x:f>ROUND(J451*$W$4*$W$5*I451,0)</x:f>
        <x:v>2571</x:v>
      </x:c>
      <x:c r="H451" s="11" t="n">
        <x:f>$Y$18</x:f>
        <x:v>0.75</x:v>
      </x:c>
      <x:c r="I451" s="11" t="n">
        <x:f>$Z$18</x:f>
        <x:v>3.3333333333333335</x:v>
      </x:c>
      <x:c r="J451" s="12">
        <x:f>英雄升级调参!$E$104</x:f>
        <x:v>2571</x:v>
      </x:c>
      <x:c r="K451" s="12">
        <x:f>英雄升级调参!$F$104</x:f>
        <x:v>25710</x:v>
      </x:c>
      <x:c r="L451" s="6" t="n">
        <x:f>ROUNDUP(F451/J451,0)</x:f>
        <x:v>3</x:v>
      </x:c>
      <x:c r="M451" s="6" t="n">
        <x:f>IF(G451=0,"无伤害",ROUNDUP(K451/MAX(1,ROUND(G451*$AC$18,0)),0))</x:f>
        <x:v>10</x:v>
      </x:c>
      <x:c r="N451" s="6" t="n">
        <x:f>ROUNDUP(F451/英雄升级调参!$H$104,0)</x:f>
        <x:v>2</x:v>
      </x:c>
      <x:c r="O451" s="6" t="n">
        <x:f>ROUNDUP(F451/英雄升级调参!$K$104,0)</x:f>
        <x:v>2</x:v>
      </x:c>
      <x:c r="P451" s="6" t="str">
        <x:f>$AA$18</x:f>
        <x:v>普通：3次标准普攻击杀；10次主要攻击致死</x:v>
      </x:c>
      <x:c r="Q451" s="6"/>
      <x:c r="R451" s="6"/>
      <x:c r="S451" s="6"/>
      <x:c r="T451" s="6"/>
    </x:row>
    <x:row r="452" ht="21" customHeight="1">
      <x:c r="A452" s="14" t="n">
        <x:f>$V$18</x:f>
        <x:v>60005</x:v>
      </x:c>
      <x:c r="B452" s="14" t="str">
        <x:f>$W$18</x:f>
        <x:v>蜜蜂</x:v>
      </x:c>
      <x:c r="C452" s="6" t="str">
        <x:f>$X$18</x:f>
        <x:v>飞行</x:v>
      </x:c>
      <x:c r="D452" s="6">
        <x:v>40</x:v>
      </x:c>
      <x:c r="E452" s="6">
        <x:v>18</x:v>
      </x:c>
      <x:c r="F452" s="12">
        <x:f>ROUND(J452*$W$4*H452,0)</x:f>
        <x:v>8442</x:v>
      </x:c>
      <x:c r="G452" s="12">
        <x:f>ROUND(J452*$W$4*$W$5*I452,0)</x:f>
        <x:v>2814</x:v>
      </x:c>
      <x:c r="H452" s="11" t="n">
        <x:f>$Y$18</x:f>
        <x:v>0.75</x:v>
      </x:c>
      <x:c r="I452" s="11" t="n">
        <x:f>$Z$18</x:f>
        <x:v>3.3333333333333335</x:v>
      </x:c>
      <x:c r="J452" s="12">
        <x:f>英雄升级调参!$E$105</x:f>
        <x:v>2814</x:v>
      </x:c>
      <x:c r="K452" s="12">
        <x:f>英雄升级调参!$F$105</x:f>
        <x:v>28140</x:v>
      </x:c>
      <x:c r="L452" s="6" t="n">
        <x:f>ROUNDUP(F452/J452,0)</x:f>
        <x:v>3</x:v>
      </x:c>
      <x:c r="M452" s="6" t="n">
        <x:f>IF(G452=0,"无伤害",ROUNDUP(K452/MAX(1,ROUND(G452*$AC$18,0)),0))</x:f>
        <x:v>10</x:v>
      </x:c>
      <x:c r="N452" s="6" t="n">
        <x:f>ROUNDUP(F452/英雄升级调参!$H$105,0)</x:f>
        <x:v>2</x:v>
      </x:c>
      <x:c r="O452" s="6" t="n">
        <x:f>ROUNDUP(F452/英雄升级调参!$K$105,0)</x:f>
        <x:v>2</x:v>
      </x:c>
      <x:c r="P452" s="6" t="str">
        <x:f>$AA$18</x:f>
        <x:v>普通：3次标准普攻击杀；10次主要攻击致死</x:v>
      </x:c>
      <x:c r="Q452" s="6"/>
      <x:c r="R452" s="6"/>
      <x:c r="S452" s="6"/>
      <x:c r="T452" s="6"/>
    </x:row>
    <x:row r="453" ht="21" customHeight="1">
      <x:c r="A453" s="14" t="n">
        <x:f>$V$18</x:f>
        <x:v>60005</x:v>
      </x:c>
      <x:c r="B453" s="14" t="str">
        <x:f>$W$18</x:f>
        <x:v>蜜蜂</x:v>
      </x:c>
      <x:c r="C453" s="6" t="str">
        <x:f>$X$18</x:f>
        <x:v>飞行</x:v>
      </x:c>
      <x:c r="D453" s="6">
        <x:v>41</x:v>
      </x:c>
      <x:c r="E453" s="6">
        <x:v>18</x:v>
      </x:c>
      <x:c r="F453" s="12">
        <x:f>ROUND(J453*$W$4*H453,0)</x:f>
        <x:v>8712</x:v>
      </x:c>
      <x:c r="G453" s="12">
        <x:f>ROUND(J453*$W$4*$W$5*I453,0)</x:f>
        <x:v>2904</x:v>
      </x:c>
      <x:c r="H453" s="11" t="n">
        <x:f>$Y$18</x:f>
        <x:v>0.75</x:v>
      </x:c>
      <x:c r="I453" s="11" t="n">
        <x:f>$Z$18</x:f>
        <x:v>3.3333333333333335</x:v>
      </x:c>
      <x:c r="J453" s="12">
        <x:f>英雄升级调参!$E$106</x:f>
        <x:v>2904</x:v>
      </x:c>
      <x:c r="K453" s="12">
        <x:f>英雄升级调参!$F$106</x:f>
        <x:v>29040</x:v>
      </x:c>
      <x:c r="L453" s="6" t="n">
        <x:f>ROUNDUP(F453/J453,0)</x:f>
        <x:v>3</x:v>
      </x:c>
      <x:c r="M453" s="6" t="n">
        <x:f>IF(G453=0,"无伤害",ROUNDUP(K453/MAX(1,ROUND(G453*$AC$18,0)),0))</x:f>
        <x:v>10</x:v>
      </x:c>
      <x:c r="N453" s="6" t="n">
        <x:f>ROUNDUP(F453/英雄升级调参!$H$106,0)</x:f>
        <x:v>2</x:v>
      </x:c>
      <x:c r="O453" s="6" t="n">
        <x:f>ROUNDUP(F453/英雄升级调参!$K$106,0)</x:f>
        <x:v>2</x:v>
      </x:c>
      <x:c r="P453" s="6" t="str">
        <x:f>$AA$18</x:f>
        <x:v>普通：3次标准普攻击杀；10次主要攻击致死</x:v>
      </x:c>
      <x:c r="Q453" s="6"/>
      <x:c r="R453" s="6"/>
      <x:c r="S453" s="6"/>
      <x:c r="T453" s="6"/>
    </x:row>
    <x:row r="454" ht="21" customHeight="1">
      <x:c r="A454" s="14" t="n">
        <x:f>$V$18</x:f>
        <x:v>60005</x:v>
      </x:c>
      <x:c r="B454" s="14" t="str">
        <x:f>$W$18</x:f>
        <x:v>蜜蜂</x:v>
      </x:c>
      <x:c r="C454" s="6" t="str">
        <x:f>$X$18</x:f>
        <x:v>飞行</x:v>
      </x:c>
      <x:c r="D454" s="6">
        <x:v>42</x:v>
      </x:c>
      <x:c r="E454" s="6">
        <x:v>18</x:v>
      </x:c>
      <x:c r="F454" s="12">
        <x:f>ROUND(J454*$W$4*H454,0)</x:f>
        <x:v>8982</x:v>
      </x:c>
      <x:c r="G454" s="12">
        <x:f>ROUND(J454*$W$4*$W$5*I454,0)</x:f>
        <x:v>2994</x:v>
      </x:c>
      <x:c r="H454" s="11" t="n">
        <x:f>$Y$18</x:f>
        <x:v>0.75</x:v>
      </x:c>
      <x:c r="I454" s="11" t="n">
        <x:f>$Z$18</x:f>
        <x:v>3.3333333333333335</x:v>
      </x:c>
      <x:c r="J454" s="12">
        <x:f>英雄升级调参!$E$107</x:f>
        <x:v>2994</x:v>
      </x:c>
      <x:c r="K454" s="12">
        <x:f>英雄升级调参!$F$107</x:f>
        <x:v>29940</x:v>
      </x:c>
      <x:c r="L454" s="6" t="n">
        <x:f>ROUNDUP(F454/J454,0)</x:f>
        <x:v>3</x:v>
      </x:c>
      <x:c r="M454" s="6" t="n">
        <x:f>IF(G454=0,"无伤害",ROUNDUP(K454/MAX(1,ROUND(G454*$AC$18,0)),0))</x:f>
        <x:v>10</x:v>
      </x:c>
      <x:c r="N454" s="6" t="n">
        <x:f>ROUNDUP(F454/英雄升级调参!$H$107,0)</x:f>
        <x:v>2</x:v>
      </x:c>
      <x:c r="O454" s="6" t="n">
        <x:f>ROUNDUP(F454/英雄升级调参!$K$107,0)</x:f>
        <x:v>2</x:v>
      </x:c>
      <x:c r="P454" s="6" t="str">
        <x:f>$AA$18</x:f>
        <x:v>普通：3次标准普攻击杀；10次主要攻击致死</x:v>
      </x:c>
      <x:c r="Q454" s="6"/>
      <x:c r="R454" s="6"/>
      <x:c r="S454" s="6"/>
      <x:c r="T454" s="6"/>
    </x:row>
    <x:row r="455" ht="21" customHeight="1">
      <x:c r="A455" s="14" t="n">
        <x:f>$V$18</x:f>
        <x:v>60005</x:v>
      </x:c>
      <x:c r="B455" s="14" t="str">
        <x:f>$W$18</x:f>
        <x:v>蜜蜂</x:v>
      </x:c>
      <x:c r="C455" s="6" t="str">
        <x:f>$X$18</x:f>
        <x:v>飞行</x:v>
      </x:c>
      <x:c r="D455" s="6">
        <x:v>43</x:v>
      </x:c>
      <x:c r="E455" s="6">
        <x:v>18</x:v>
      </x:c>
      <x:c r="F455" s="12">
        <x:f>ROUND(J455*$W$4*H455,0)</x:f>
        <x:v>9252</x:v>
      </x:c>
      <x:c r="G455" s="12">
        <x:f>ROUND(J455*$W$4*$W$5*I455,0)</x:f>
        <x:v>3084</x:v>
      </x:c>
      <x:c r="H455" s="11" t="n">
        <x:f>$Y$18</x:f>
        <x:v>0.75</x:v>
      </x:c>
      <x:c r="I455" s="11" t="n">
        <x:f>$Z$18</x:f>
        <x:v>3.3333333333333335</x:v>
      </x:c>
      <x:c r="J455" s="12">
        <x:f>英雄升级调参!$E$108</x:f>
        <x:v>3084</x:v>
      </x:c>
      <x:c r="K455" s="12">
        <x:f>英雄升级调参!$F$108</x:f>
        <x:v>30840</x:v>
      </x:c>
      <x:c r="L455" s="6" t="n">
        <x:f>ROUNDUP(F455/J455,0)</x:f>
        <x:v>3</x:v>
      </x:c>
      <x:c r="M455" s="6" t="n">
        <x:f>IF(G455=0,"无伤害",ROUNDUP(K455/MAX(1,ROUND(G455*$AC$18,0)),0))</x:f>
        <x:v>10</x:v>
      </x:c>
      <x:c r="N455" s="6" t="n">
        <x:f>ROUNDUP(F455/英雄升级调参!$H$108,0)</x:f>
        <x:v>2</x:v>
      </x:c>
      <x:c r="O455" s="6" t="n">
        <x:f>ROUNDUP(F455/英雄升级调参!$K$108,0)</x:f>
        <x:v>2</x:v>
      </x:c>
      <x:c r="P455" s="6" t="str">
        <x:f>$AA$18</x:f>
        <x:v>普通：3次标准普攻击杀；10次主要攻击致死</x:v>
      </x:c>
      <x:c r="Q455" s="6"/>
      <x:c r="R455" s="6"/>
      <x:c r="S455" s="6"/>
      <x:c r="T455" s="6"/>
    </x:row>
    <x:row r="456" ht="21" customHeight="1">
      <x:c r="A456" s="14" t="n">
        <x:f>$V$18</x:f>
        <x:v>60005</x:v>
      </x:c>
      <x:c r="B456" s="14" t="str">
        <x:f>$W$18</x:f>
        <x:v>蜜蜂</x:v>
      </x:c>
      <x:c r="C456" s="6" t="str">
        <x:f>$X$18</x:f>
        <x:v>飞行</x:v>
      </x:c>
      <x:c r="D456" s="6">
        <x:v>44</x:v>
      </x:c>
      <x:c r="E456" s="6">
        <x:v>18</x:v>
      </x:c>
      <x:c r="F456" s="12">
        <x:f>ROUND(J456*$W$4*H456,0)</x:f>
        <x:v>9522</x:v>
      </x:c>
      <x:c r="G456" s="12">
        <x:f>ROUND(J456*$W$4*$W$5*I456,0)</x:f>
        <x:v>3174</x:v>
      </x:c>
      <x:c r="H456" s="11" t="n">
        <x:f>$Y$18</x:f>
        <x:v>0.75</x:v>
      </x:c>
      <x:c r="I456" s="11" t="n">
        <x:f>$Z$18</x:f>
        <x:v>3.3333333333333335</x:v>
      </x:c>
      <x:c r="J456" s="12">
        <x:f>英雄升级调参!$E$109</x:f>
        <x:v>3174</x:v>
      </x:c>
      <x:c r="K456" s="12">
        <x:f>英雄升级调参!$F$109</x:f>
        <x:v>31740</x:v>
      </x:c>
      <x:c r="L456" s="6" t="n">
        <x:f>ROUNDUP(F456/J456,0)</x:f>
        <x:v>3</x:v>
      </x:c>
      <x:c r="M456" s="6" t="n">
        <x:f>IF(G456=0,"无伤害",ROUNDUP(K456/MAX(1,ROUND(G456*$AC$18,0)),0))</x:f>
        <x:v>10</x:v>
      </x:c>
      <x:c r="N456" s="6" t="n">
        <x:f>ROUNDUP(F456/英雄升级调参!$H$109,0)</x:f>
        <x:v>2</x:v>
      </x:c>
      <x:c r="O456" s="6" t="n">
        <x:f>ROUNDUP(F456/英雄升级调参!$K$109,0)</x:f>
        <x:v>2</x:v>
      </x:c>
      <x:c r="P456" s="6" t="str">
        <x:f>$AA$18</x:f>
        <x:v>普通：3次标准普攻击杀；10次主要攻击致死</x:v>
      </x:c>
      <x:c r="Q456" s="6"/>
      <x:c r="R456" s="6"/>
      <x:c r="S456" s="6"/>
      <x:c r="T456" s="6"/>
    </x:row>
    <x:row r="457" ht="21" customHeight="1">
      <x:c r="A457" s="14" t="n">
        <x:f>$V$18</x:f>
        <x:v>60005</x:v>
      </x:c>
      <x:c r="B457" s="14" t="str">
        <x:f>$W$18</x:f>
        <x:v>蜜蜂</x:v>
      </x:c>
      <x:c r="C457" s="6" t="str">
        <x:f>$X$18</x:f>
        <x:v>飞行</x:v>
      </x:c>
      <x:c r="D457" s="6">
        <x:v>45</x:v>
      </x:c>
      <x:c r="E457" s="6">
        <x:v>18</x:v>
      </x:c>
      <x:c r="F457" s="12">
        <x:f>ROUND(J457*$W$4*H457,0)</x:f>
        <x:v>10332</x:v>
      </x:c>
      <x:c r="G457" s="12">
        <x:f>ROUND(J457*$W$4*$W$5*I457,0)</x:f>
        <x:v>3444</x:v>
      </x:c>
      <x:c r="H457" s="11" t="n">
        <x:f>$Y$18</x:f>
        <x:v>0.75</x:v>
      </x:c>
      <x:c r="I457" s="11" t="n">
        <x:f>$Z$18</x:f>
        <x:v>3.3333333333333335</x:v>
      </x:c>
      <x:c r="J457" s="12">
        <x:f>英雄升级调参!$E$110</x:f>
        <x:v>3444</x:v>
      </x:c>
      <x:c r="K457" s="12">
        <x:f>英雄升级调参!$F$110</x:f>
        <x:v>34440</x:v>
      </x:c>
      <x:c r="L457" s="6" t="n">
        <x:f>ROUNDUP(F457/J457,0)</x:f>
        <x:v>3</x:v>
      </x:c>
      <x:c r="M457" s="6" t="n">
        <x:f>IF(G457=0,"无伤害",ROUNDUP(K457/MAX(1,ROUND(G457*$AC$18,0)),0))</x:f>
        <x:v>10</x:v>
      </x:c>
      <x:c r="N457" s="6" t="n">
        <x:f>ROUNDUP(F457/英雄升级调参!$H$110,0)</x:f>
        <x:v>2</x:v>
      </x:c>
      <x:c r="O457" s="6" t="n">
        <x:f>ROUNDUP(F457/英雄升级调参!$K$110,0)</x:f>
        <x:v>2</x:v>
      </x:c>
      <x:c r="P457" s="6" t="str">
        <x:f>$AA$18</x:f>
        <x:v>普通：3次标准普攻击杀；10次主要攻击致死</x:v>
      </x:c>
      <x:c r="Q457" s="6"/>
      <x:c r="R457" s="6"/>
      <x:c r="S457" s="6"/>
      <x:c r="T457" s="6"/>
    </x:row>
    <x:row r="458" ht="21" customHeight="1">
      <x:c r="A458" s="14" t="n">
        <x:f>$V$18</x:f>
        <x:v>60005</x:v>
      </x:c>
      <x:c r="B458" s="14" t="str">
        <x:f>$W$18</x:f>
        <x:v>蜜蜂</x:v>
      </x:c>
      <x:c r="C458" s="6" t="str">
        <x:f>$X$18</x:f>
        <x:v>飞行</x:v>
      </x:c>
      <x:c r="D458" s="6">
        <x:v>46</x:v>
      </x:c>
      <x:c r="E458" s="6">
        <x:v>18</x:v>
      </x:c>
      <x:c r="F458" s="12">
        <x:f>ROUND(J458*$W$4*H458,0)</x:f>
        <x:v>10629</x:v>
      </x:c>
      <x:c r="G458" s="12">
        <x:f>ROUND(J458*$W$4*$W$5*I458,0)</x:f>
        <x:v>3543</x:v>
      </x:c>
      <x:c r="H458" s="11" t="n">
        <x:f>$Y$18</x:f>
        <x:v>0.75</x:v>
      </x:c>
      <x:c r="I458" s="11" t="n">
        <x:f>$Z$18</x:f>
        <x:v>3.3333333333333335</x:v>
      </x:c>
      <x:c r="J458" s="12">
        <x:f>英雄升级调参!$E$111</x:f>
        <x:v>3543</x:v>
      </x:c>
      <x:c r="K458" s="12">
        <x:f>英雄升级调参!$F$111</x:f>
        <x:v>35430</x:v>
      </x:c>
      <x:c r="L458" s="6" t="n">
        <x:f>ROUNDUP(F458/J458,0)</x:f>
        <x:v>3</x:v>
      </x:c>
      <x:c r="M458" s="6" t="n">
        <x:f>IF(G458=0,"无伤害",ROUNDUP(K458/MAX(1,ROUND(G458*$AC$18,0)),0))</x:f>
        <x:v>10</x:v>
      </x:c>
      <x:c r="N458" s="6" t="n">
        <x:f>ROUNDUP(F458/英雄升级调参!$H$111,0)</x:f>
        <x:v>2</x:v>
      </x:c>
      <x:c r="O458" s="6" t="n">
        <x:f>ROUNDUP(F458/英雄升级调参!$K$111,0)</x:f>
        <x:v>2</x:v>
      </x:c>
      <x:c r="P458" s="6" t="str">
        <x:f>$AA$18</x:f>
        <x:v>普通：3次标准普攻击杀；10次主要攻击致死</x:v>
      </x:c>
      <x:c r="Q458" s="6"/>
      <x:c r="R458" s="6"/>
      <x:c r="S458" s="6"/>
      <x:c r="T458" s="6"/>
    </x:row>
    <x:row r="459" ht="21" customHeight="1">
      <x:c r="A459" s="14" t="n">
        <x:f>$V$18</x:f>
        <x:v>60005</x:v>
      </x:c>
      <x:c r="B459" s="14" t="str">
        <x:f>$W$18</x:f>
        <x:v>蜜蜂</x:v>
      </x:c>
      <x:c r="C459" s="6" t="str">
        <x:f>$X$18</x:f>
        <x:v>飞行</x:v>
      </x:c>
      <x:c r="D459" s="6">
        <x:v>47</x:v>
      </x:c>
      <x:c r="E459" s="6">
        <x:v>18</x:v>
      </x:c>
      <x:c r="F459" s="12">
        <x:f>ROUND(J459*$W$4*H459,0)</x:f>
        <x:v>10926</x:v>
      </x:c>
      <x:c r="G459" s="12">
        <x:f>ROUND(J459*$W$4*$W$5*I459,0)</x:f>
        <x:v>3642</x:v>
      </x:c>
      <x:c r="H459" s="11" t="n">
        <x:f>$Y$18</x:f>
        <x:v>0.75</x:v>
      </x:c>
      <x:c r="I459" s="11" t="n">
        <x:f>$Z$18</x:f>
        <x:v>3.3333333333333335</x:v>
      </x:c>
      <x:c r="J459" s="12">
        <x:f>英雄升级调参!$E$112</x:f>
        <x:v>3642</x:v>
      </x:c>
      <x:c r="K459" s="12">
        <x:f>英雄升级调参!$F$112</x:f>
        <x:v>36420</x:v>
      </x:c>
      <x:c r="L459" s="6" t="n">
        <x:f>ROUNDUP(F459/J459,0)</x:f>
        <x:v>3</x:v>
      </x:c>
      <x:c r="M459" s="6" t="n">
        <x:f>IF(G459=0,"无伤害",ROUNDUP(K459/MAX(1,ROUND(G459*$AC$18,0)),0))</x:f>
        <x:v>10</x:v>
      </x:c>
      <x:c r="N459" s="6" t="n">
        <x:f>ROUNDUP(F459/英雄升级调参!$H$112,0)</x:f>
        <x:v>2</x:v>
      </x:c>
      <x:c r="O459" s="6" t="n">
        <x:f>ROUNDUP(F459/英雄升级调参!$K$112,0)</x:f>
        <x:v>2</x:v>
      </x:c>
      <x:c r="P459" s="6" t="str">
        <x:f>$AA$18</x:f>
        <x:v>普通：3次标准普攻击杀；10次主要攻击致死</x:v>
      </x:c>
      <x:c r="Q459" s="6"/>
      <x:c r="R459" s="6"/>
      <x:c r="S459" s="6"/>
      <x:c r="T459" s="6"/>
    </x:row>
    <x:row r="460" ht="21" customHeight="1">
      <x:c r="A460" s="14" t="n">
        <x:f>$V$18</x:f>
        <x:v>60005</x:v>
      </x:c>
      <x:c r="B460" s="14" t="str">
        <x:f>$W$18</x:f>
        <x:v>蜜蜂</x:v>
      </x:c>
      <x:c r="C460" s="6" t="str">
        <x:f>$X$18</x:f>
        <x:v>飞行</x:v>
      </x:c>
      <x:c r="D460" s="6">
        <x:v>48</x:v>
      </x:c>
      <x:c r="E460" s="6">
        <x:v>18</x:v>
      </x:c>
      <x:c r="F460" s="12">
        <x:f>ROUND(J460*$W$4*H460,0)</x:f>
        <x:v>11223</x:v>
      </x:c>
      <x:c r="G460" s="12">
        <x:f>ROUND(J460*$W$4*$W$5*I460,0)</x:f>
        <x:v>3741</x:v>
      </x:c>
      <x:c r="H460" s="11" t="n">
        <x:f>$Y$18</x:f>
        <x:v>0.75</x:v>
      </x:c>
      <x:c r="I460" s="11" t="n">
        <x:f>$Z$18</x:f>
        <x:v>3.3333333333333335</x:v>
      </x:c>
      <x:c r="J460" s="12">
        <x:f>英雄升级调参!$E$113</x:f>
        <x:v>3741</x:v>
      </x:c>
      <x:c r="K460" s="12">
        <x:f>英雄升级调参!$F$113</x:f>
        <x:v>37410</x:v>
      </x:c>
      <x:c r="L460" s="6" t="n">
        <x:f>ROUNDUP(F460/J460,0)</x:f>
        <x:v>3</x:v>
      </x:c>
      <x:c r="M460" s="6" t="n">
        <x:f>IF(G460=0,"无伤害",ROUNDUP(K460/MAX(1,ROUND(G460*$AC$18,0)),0))</x:f>
        <x:v>10</x:v>
      </x:c>
      <x:c r="N460" s="6" t="n">
        <x:f>ROUNDUP(F460/英雄升级调参!$H$113,0)</x:f>
        <x:v>2</x:v>
      </x:c>
      <x:c r="O460" s="6" t="n">
        <x:f>ROUNDUP(F460/英雄升级调参!$K$113,0)</x:f>
        <x:v>2</x:v>
      </x:c>
      <x:c r="P460" s="6" t="str">
        <x:f>$AA$18</x:f>
        <x:v>普通：3次标准普攻击杀；10次主要攻击致死</x:v>
      </x:c>
      <x:c r="Q460" s="6"/>
      <x:c r="R460" s="6"/>
      <x:c r="S460" s="6"/>
      <x:c r="T460" s="6"/>
    </x:row>
    <x:row r="461" ht="21" customHeight="1">
      <x:c r="A461" s="14" t="n">
        <x:f>$V$18</x:f>
        <x:v>60005</x:v>
      </x:c>
      <x:c r="B461" s="14" t="str">
        <x:f>$W$18</x:f>
        <x:v>蜜蜂</x:v>
      </x:c>
      <x:c r="C461" s="6" t="str">
        <x:f>$X$18</x:f>
        <x:v>飞行</x:v>
      </x:c>
      <x:c r="D461" s="6">
        <x:v>49</x:v>
      </x:c>
      <x:c r="E461" s="6">
        <x:v>18</x:v>
      </x:c>
      <x:c r="F461" s="12">
        <x:f>ROUND(J461*$W$4*H461,0)</x:f>
        <x:v>11520</x:v>
      </x:c>
      <x:c r="G461" s="12">
        <x:f>ROUND(J461*$W$4*$W$5*I461,0)</x:f>
        <x:v>3840</x:v>
      </x:c>
      <x:c r="H461" s="11" t="n">
        <x:f>$Y$18</x:f>
        <x:v>0.75</x:v>
      </x:c>
      <x:c r="I461" s="11" t="n">
        <x:f>$Z$18</x:f>
        <x:v>3.3333333333333335</x:v>
      </x:c>
      <x:c r="J461" s="12">
        <x:f>英雄升级调参!$E$114</x:f>
        <x:v>3840</x:v>
      </x:c>
      <x:c r="K461" s="12">
        <x:f>英雄升级调参!$F$114</x:f>
        <x:v>38400</x:v>
      </x:c>
      <x:c r="L461" s="6" t="n">
        <x:f>ROUNDUP(F461/J461,0)</x:f>
        <x:v>3</x:v>
      </x:c>
      <x:c r="M461" s="6" t="n">
        <x:f>IF(G461=0,"无伤害",ROUNDUP(K461/MAX(1,ROUND(G461*$AC$18,0)),0))</x:f>
        <x:v>10</x:v>
      </x:c>
      <x:c r="N461" s="6" t="n">
        <x:f>ROUNDUP(F461/英雄升级调参!$H$114,0)</x:f>
        <x:v>2</x:v>
      </x:c>
      <x:c r="O461" s="6" t="n">
        <x:f>ROUNDUP(F461/英雄升级调参!$K$114,0)</x:f>
        <x:v>2</x:v>
      </x:c>
      <x:c r="P461" s="6" t="str">
        <x:f>$AA$18</x:f>
        <x:v>普通：3次标准普攻击杀；10次主要攻击致死</x:v>
      </x:c>
      <x:c r="Q461" s="6"/>
      <x:c r="R461" s="6"/>
      <x:c r="S461" s="6"/>
      <x:c r="T461" s="6"/>
    </x:row>
    <x:row r="462" ht="21" customHeight="1">
      <x:c r="A462" s="14" t="n">
        <x:f>$V$18</x:f>
        <x:v>60005</x:v>
      </x:c>
      <x:c r="B462" s="14" t="str">
        <x:f>$W$18</x:f>
        <x:v>蜜蜂</x:v>
      </x:c>
      <x:c r="C462" s="6" t="str">
        <x:f>$X$18</x:f>
        <x:v>飞行</x:v>
      </x:c>
      <x:c r="D462" s="6">
        <x:v>50</x:v>
      </x:c>
      <x:c r="E462" s="6">
        <x:v>18</x:v>
      </x:c>
      <x:c r="F462" s="12">
        <x:f>ROUND(J462*$W$4*H462,0)</x:f>
        <x:v>12411</x:v>
      </x:c>
      <x:c r="G462" s="12">
        <x:f>ROUND(J462*$W$4*$W$5*I462,0)</x:f>
        <x:v>4137</x:v>
      </x:c>
      <x:c r="H462" s="11" t="n">
        <x:f>$Y$18</x:f>
        <x:v>0.75</x:v>
      </x:c>
      <x:c r="I462" s="11" t="n">
        <x:f>$Z$18</x:f>
        <x:v>3.3333333333333335</x:v>
      </x:c>
      <x:c r="J462" s="12">
        <x:f>英雄升级调参!$E$115</x:f>
        <x:v>4137</x:v>
      </x:c>
      <x:c r="K462" s="12">
        <x:f>英雄升级调参!$F$115</x:f>
        <x:v>41370</x:v>
      </x:c>
      <x:c r="L462" s="6" t="n">
        <x:f>ROUNDUP(F462/J462,0)</x:f>
        <x:v>3</x:v>
      </x:c>
      <x:c r="M462" s="6" t="n">
        <x:f>IF(G462=0,"无伤害",ROUNDUP(K462/MAX(1,ROUND(G462*$AC$18,0)),0))</x:f>
        <x:v>10</x:v>
      </x:c>
      <x:c r="N462" s="6" t="n">
        <x:f>ROUNDUP(F462/英雄升级调参!$H$115,0)</x:f>
        <x:v>2</x:v>
      </x:c>
      <x:c r="O462" s="6" t="n">
        <x:f>ROUNDUP(F462/英雄升级调参!$K$115,0)</x:f>
        <x:v>2</x:v>
      </x:c>
      <x:c r="P462" s="6" t="str">
        <x:f>$AA$18</x:f>
        <x:v>普通：3次标准普攻击杀；10次主要攻击致死</x:v>
      </x:c>
      <x:c r="Q462" s="6"/>
      <x:c r="R462" s="6"/>
      <x:c r="S462" s="6"/>
      <x:c r="T462" s="6"/>
    </x:row>
    <x:row r="463" ht="21" customHeight="1">
      <x:c r="A463" s="14" t="n">
        <x:f>$V$19</x:f>
        <x:v>60006</x:v>
      </x:c>
      <x:c r="B463" s="14" t="str">
        <x:f>$W$19</x:f>
        <x:v>花射手</x:v>
      </x:c>
      <x:c r="C463" s="6" t="str">
        <x:f>$X$19</x:f>
        <x:v>远程</x:v>
      </x:c>
      <x:c r="D463" s="6">
        <x:v>1</x:v>
      </x:c>
      <x:c r="E463" s="6">
        <x:v>19</x:v>
      </x:c>
      <x:c r="F463" s="12" t="n">
        <x:f>ROUND(J463*$W$4*H463,0)</x:f>
        <x:v>180</x:v>
      </x:c>
      <x:c r="G463" s="12">
        <x:f>ROUND((ROUND(J463*$W$4*$W$5*I463,0))*2/3,0)</x:f>
        <x:v>40</x:v>
      </x:c>
      <x:c r="H463" s="11" t="n">
        <x:f>$Y$19</x:f>
        <x:v>0.75</x:v>
      </x:c>
      <x:c r="I463" s="11" t="n">
        <x:f>$Z$19</x:f>
        <x:v>3.3333333333333335</x:v>
      </x:c>
      <x:c r="J463" s="12" t="n">
        <x:f>英雄升级调参!$E$66</x:f>
        <x:v>60</x:v>
      </x:c>
      <x:c r="K463" s="12" t="n">
        <x:f>英雄升级调参!$F$66</x:f>
        <x:v>600</x:v>
      </x:c>
      <x:c r="L463" s="6" t="n">
        <x:f>ROUNDUP(F463/J463,0)</x:f>
        <x:v>3</x:v>
      </x:c>
      <x:c r="M463" s="6">
        <x:f>IF(G463=0,"无伤害",ROUNDUP(K463/MAX(1,ROUND(G463*$AC$19,0)),0))</x:f>
        <x:v>15</x:v>
      </x:c>
      <x:c r="N463" s="6">
        <x:f>ROUNDUP(F463/英雄升级调参!$H$66,0)</x:f>
        <x:v>1</x:v>
      </x:c>
      <x:c r="O463" s="6">
        <x:f>ROUNDUP(F463/英雄升级调参!$K$66,0)</x:f>
        <x:v>1</x:v>
      </x:c>
      <x:c r="P463" s="6" t="str">
        <x:f>$AA$19</x:f>
        <x:v>普通：3次标准普攻击杀；10次主要攻击致死</x:v>
      </x:c>
      <x:c r="Q463" s="6"/>
      <x:c r="R463" s="6"/>
      <x:c r="S463" s="6"/>
      <x:c r="T463" s="6"/>
    </x:row>
    <x:row r="464" ht="21" customHeight="1">
      <x:c r="A464" s="14" t="n">
        <x:f>$V$19</x:f>
        <x:v>60006</x:v>
      </x:c>
      <x:c r="B464" s="14" t="str">
        <x:f>$W$19</x:f>
        <x:v>花射手</x:v>
      </x:c>
      <x:c r="C464" s="6" t="str">
        <x:f>$X$19</x:f>
        <x:v>远程</x:v>
      </x:c>
      <x:c r="D464" s="6">
        <x:v>2</x:v>
      </x:c>
      <x:c r="E464" s="6">
        <x:v>19</x:v>
      </x:c>
      <x:c r="F464" s="12">
        <x:f>ROUND(J464*$W$4*H464,0)</x:f>
        <x:v>234</x:v>
      </x:c>
      <x:c r="G464" s="12">
        <x:f>ROUND(J464*$W$4*$W$5*I464,0)</x:f>
        <x:v>78</x:v>
      </x:c>
      <x:c r="H464" s="11" t="n">
        <x:f>$Y$19</x:f>
        <x:v>0.75</x:v>
      </x:c>
      <x:c r="I464" s="11" t="n">
        <x:f>$Z$19</x:f>
        <x:v>3.3333333333333335</x:v>
      </x:c>
      <x:c r="J464" s="12">
        <x:f>英雄升级调参!$E$67</x:f>
        <x:v>78</x:v>
      </x:c>
      <x:c r="K464" s="12">
        <x:f>英雄升级调参!$F$67</x:f>
        <x:v>780</x:v>
      </x:c>
      <x:c r="L464" s="6" t="n">
        <x:f>ROUNDUP(F464/J464,0)</x:f>
        <x:v>3</x:v>
      </x:c>
      <x:c r="M464" s="6" t="n">
        <x:f>IF(G464=0,"无伤害",ROUNDUP(K464/MAX(1,ROUND(G464*$AC$19,0)),0))</x:f>
        <x:v>10</x:v>
      </x:c>
      <x:c r="N464" s="6" t="n">
        <x:f>ROUNDUP(F464/英雄升级调参!$H$67,0)</x:f>
        <x:v>2</x:v>
      </x:c>
      <x:c r="O464" s="6">
        <x:f>ROUNDUP(F464/英雄升级调参!$K$67,0)</x:f>
        <x:v>1</x:v>
      </x:c>
      <x:c r="P464" s="6" t="str">
        <x:f>$AA$19</x:f>
        <x:v>普通：3次标准普攻击杀；10次主要攻击致死</x:v>
      </x:c>
      <x:c r="Q464" s="6"/>
      <x:c r="R464" s="6"/>
      <x:c r="S464" s="6"/>
      <x:c r="T464" s="6"/>
    </x:row>
    <x:row r="465" ht="21" customHeight="1">
      <x:c r="A465" s="14" t="n">
        <x:f>$V$19</x:f>
        <x:v>60006</x:v>
      </x:c>
      <x:c r="B465" s="14" t="str">
        <x:f>$W$19</x:f>
        <x:v>花射手</x:v>
      </x:c>
      <x:c r="C465" s="6" t="str">
        <x:f>$X$19</x:f>
        <x:v>远程</x:v>
      </x:c>
      <x:c r="D465" s="6">
        <x:v>3</x:v>
      </x:c>
      <x:c r="E465" s="6">
        <x:v>19</x:v>
      </x:c>
      <x:c r="F465" s="12">
        <x:f>ROUND(J465*$W$4*H465,0)</x:f>
        <x:v>288</x:v>
      </x:c>
      <x:c r="G465" s="12">
        <x:f>ROUND(J465*$W$4*$W$5*I465,0)</x:f>
        <x:v>96</x:v>
      </x:c>
      <x:c r="H465" s="11" t="n">
        <x:f>$Y$19</x:f>
        <x:v>0.75</x:v>
      </x:c>
      <x:c r="I465" s="11" t="n">
        <x:f>$Z$19</x:f>
        <x:v>3.3333333333333335</x:v>
      </x:c>
      <x:c r="J465" s="12">
        <x:f>英雄升级调参!$E$68</x:f>
        <x:v>96</x:v>
      </x:c>
      <x:c r="K465" s="12">
        <x:f>英雄升级调参!$F$68</x:f>
        <x:v>960</x:v>
      </x:c>
      <x:c r="L465" s="6" t="n">
        <x:f>ROUNDUP(F465/J465,0)</x:f>
        <x:v>3</x:v>
      </x:c>
      <x:c r="M465" s="6" t="n">
        <x:f>IF(G465=0,"无伤害",ROUNDUP(K465/MAX(1,ROUND(G465*$AC$19,0)),0))</x:f>
        <x:v>10</x:v>
      </x:c>
      <x:c r="N465" s="6" t="n">
        <x:f>ROUNDUP(F465/英雄升级调参!$H$68,0)</x:f>
        <x:v>2</x:v>
      </x:c>
      <x:c r="O465" s="6">
        <x:f>ROUNDUP(F465/英雄升级调参!$K$68,0)</x:f>
        <x:v>1</x:v>
      </x:c>
      <x:c r="P465" s="6" t="str">
        <x:f>$AA$19</x:f>
        <x:v>普通：3次标准普攻击杀；10次主要攻击致死</x:v>
      </x:c>
      <x:c r="Q465" s="6"/>
      <x:c r="R465" s="6"/>
      <x:c r="S465" s="6"/>
      <x:c r="T465" s="6"/>
    </x:row>
    <x:row r="466" ht="21" customHeight="1">
      <x:c r="A466" s="14" t="n">
        <x:f>$V$19</x:f>
        <x:v>60006</x:v>
      </x:c>
      <x:c r="B466" s="14" t="str">
        <x:f>$W$19</x:f>
        <x:v>花射手</x:v>
      </x:c>
      <x:c r="C466" s="6" t="str">
        <x:f>$X$19</x:f>
        <x:v>远程</x:v>
      </x:c>
      <x:c r="D466" s="6">
        <x:v>4</x:v>
      </x:c>
      <x:c r="E466" s="6">
        <x:v>19</x:v>
      </x:c>
      <x:c r="F466" s="12">
        <x:f>ROUND(J466*$W$4*H466,0)</x:f>
        <x:v>342</x:v>
      </x:c>
      <x:c r="G466" s="12">
        <x:f>ROUND(J466*$W$4*$W$5*I466,0)</x:f>
        <x:v>114</x:v>
      </x:c>
      <x:c r="H466" s="11" t="n">
        <x:f>$Y$19</x:f>
        <x:v>0.75</x:v>
      </x:c>
      <x:c r="I466" s="11" t="n">
        <x:f>$Z$19</x:f>
        <x:v>3.3333333333333335</x:v>
      </x:c>
      <x:c r="J466" s="12">
        <x:f>英雄升级调参!$E$69</x:f>
        <x:v>114</x:v>
      </x:c>
      <x:c r="K466" s="12">
        <x:f>英雄升级调参!$F$69</x:f>
        <x:v>1140</x:v>
      </x:c>
      <x:c r="L466" s="6" t="n">
        <x:f>ROUNDUP(F466/J466,0)</x:f>
        <x:v>3</x:v>
      </x:c>
      <x:c r="M466" s="6" t="n">
        <x:f>IF(G466=0,"无伤害",ROUNDUP(K466/MAX(1,ROUND(G466*$AC$19,0)),0))</x:f>
        <x:v>10</x:v>
      </x:c>
      <x:c r="N466" s="6" t="n">
        <x:f>ROUNDUP(F466/英雄升级调参!$H$69,0)</x:f>
        <x:v>2</x:v>
      </x:c>
      <x:c r="O466" s="6">
        <x:f>ROUNDUP(F466/英雄升级调参!$K$69,0)</x:f>
        <x:v>1</x:v>
      </x:c>
      <x:c r="P466" s="6" t="str">
        <x:f>$AA$19</x:f>
        <x:v>普通：3次标准普攻击杀；10次主要攻击致死</x:v>
      </x:c>
      <x:c r="Q466" s="6"/>
      <x:c r="R466" s="6"/>
      <x:c r="S466" s="6"/>
      <x:c r="T466" s="6"/>
    </x:row>
    <x:row r="467" ht="21" customHeight="1">
      <x:c r="A467" s="14" t="n">
        <x:f>$V$19</x:f>
        <x:v>60006</x:v>
      </x:c>
      <x:c r="B467" s="14" t="str">
        <x:f>$W$19</x:f>
        <x:v>花射手</x:v>
      </x:c>
      <x:c r="C467" s="6" t="str">
        <x:f>$X$19</x:f>
        <x:v>远程</x:v>
      </x:c>
      <x:c r="D467" s="6">
        <x:v>5</x:v>
      </x:c>
      <x:c r="E467" s="6">
        <x:v>19</x:v>
      </x:c>
      <x:c r="F467" s="12">
        <x:f>ROUND(J467*$W$4*H467,0)</x:f>
        <x:v>504</x:v>
      </x:c>
      <x:c r="G467" s="12">
        <x:f>ROUND(J467*$W$4*$W$5*I467,0)</x:f>
        <x:v>168</x:v>
      </x:c>
      <x:c r="H467" s="11" t="n">
        <x:f>$Y$19</x:f>
        <x:v>0.75</x:v>
      </x:c>
      <x:c r="I467" s="11" t="n">
        <x:f>$Z$19</x:f>
        <x:v>3.3333333333333335</x:v>
      </x:c>
      <x:c r="J467" s="12">
        <x:f>英雄升级调参!$E$70</x:f>
        <x:v>168</x:v>
      </x:c>
      <x:c r="K467" s="12">
        <x:f>英雄升级调参!$F$70</x:f>
        <x:v>1680</x:v>
      </x:c>
      <x:c r="L467" s="6" t="n">
        <x:f>ROUNDUP(F467/J467,0)</x:f>
        <x:v>3</x:v>
      </x:c>
      <x:c r="M467" s="6" t="n">
        <x:f>IF(G467=0,"无伤害",ROUNDUP(K467/MAX(1,ROUND(G467*$AC$19,0)),0))</x:f>
        <x:v>10</x:v>
      </x:c>
      <x:c r="N467" s="6" t="n">
        <x:f>ROUNDUP(F467/英雄升级调参!$H$70,0)</x:f>
        <x:v>2</x:v>
      </x:c>
      <x:c r="O467" s="6">
        <x:f>ROUNDUP(F467/英雄升级调参!$K$70,0)</x:f>
        <x:v>1</x:v>
      </x:c>
      <x:c r="P467" s="6" t="str">
        <x:f>$AA$19</x:f>
        <x:v>普通：3次标准普攻击杀；10次主要攻击致死</x:v>
      </x:c>
      <x:c r="Q467" s="6"/>
      <x:c r="R467" s="6"/>
      <x:c r="S467" s="6"/>
      <x:c r="T467" s="6"/>
    </x:row>
    <x:row r="468" ht="21" customHeight="1">
      <x:c r="A468" s="14" t="n">
        <x:f>$V$19</x:f>
        <x:v>60006</x:v>
      </x:c>
      <x:c r="B468" s="14" t="str">
        <x:f>$W$19</x:f>
        <x:v>花射手</x:v>
      </x:c>
      <x:c r="C468" s="6" t="str">
        <x:f>$X$19</x:f>
        <x:v>远程</x:v>
      </x:c>
      <x:c r="D468" s="6">
        <x:v>6</x:v>
      </x:c>
      <x:c r="E468" s="6">
        <x:v>19</x:v>
      </x:c>
      <x:c r="F468" s="12">
        <x:f>ROUND(J468*$W$4*H468,0)</x:f>
        <x:v>585</x:v>
      </x:c>
      <x:c r="G468" s="12">
        <x:f>ROUND(J468*$W$4*$W$5*I468,0)</x:f>
        <x:v>195</x:v>
      </x:c>
      <x:c r="H468" s="11" t="n">
        <x:f>$Y$19</x:f>
        <x:v>0.75</x:v>
      </x:c>
      <x:c r="I468" s="11" t="n">
        <x:f>$Z$19</x:f>
        <x:v>3.3333333333333335</x:v>
      </x:c>
      <x:c r="J468" s="12">
        <x:f>英雄升级调参!$E$71</x:f>
        <x:v>195</x:v>
      </x:c>
      <x:c r="K468" s="12">
        <x:f>英雄升级调参!$F$71</x:f>
        <x:v>1950</x:v>
      </x:c>
      <x:c r="L468" s="6" t="n">
        <x:f>ROUNDUP(F468/J468,0)</x:f>
        <x:v>3</x:v>
      </x:c>
      <x:c r="M468" s="6" t="n">
        <x:f>IF(G468=0,"无伤害",ROUNDUP(K468/MAX(1,ROUND(G468*$AC$19,0)),0))</x:f>
        <x:v>10</x:v>
      </x:c>
      <x:c r="N468" s="6" t="n">
        <x:f>ROUNDUP(F468/英雄升级调参!$H$71,0)</x:f>
        <x:v>2</x:v>
      </x:c>
      <x:c r="O468" s="6">
        <x:f>ROUNDUP(F468/英雄升级调参!$K$71,0)</x:f>
        <x:v>1</x:v>
      </x:c>
      <x:c r="P468" s="6" t="str">
        <x:f>$AA$19</x:f>
        <x:v>普通：3次标准普攻击杀；10次主要攻击致死</x:v>
      </x:c>
      <x:c r="Q468" s="6"/>
      <x:c r="R468" s="6"/>
      <x:c r="S468" s="6"/>
      <x:c r="T468" s="6"/>
    </x:row>
    <x:row r="469" ht="21" customHeight="1">
      <x:c r="A469" s="14" t="n">
        <x:f>$V$19</x:f>
        <x:v>60006</x:v>
      </x:c>
      <x:c r="B469" s="14" t="str">
        <x:f>$W$19</x:f>
        <x:v>花射手</x:v>
      </x:c>
      <x:c r="C469" s="6" t="str">
        <x:f>$X$19</x:f>
        <x:v>远程</x:v>
      </x:c>
      <x:c r="D469" s="6">
        <x:v>7</x:v>
      </x:c>
      <x:c r="E469" s="6">
        <x:v>19</x:v>
      </x:c>
      <x:c r="F469" s="12">
        <x:f>ROUND(J469*$W$4*H469,0)</x:f>
        <x:v>666</x:v>
      </x:c>
      <x:c r="G469" s="12">
        <x:f>ROUND(J469*$W$4*$W$5*I469,0)</x:f>
        <x:v>222</x:v>
      </x:c>
      <x:c r="H469" s="11" t="n">
        <x:f>$Y$19</x:f>
        <x:v>0.75</x:v>
      </x:c>
      <x:c r="I469" s="11" t="n">
        <x:f>$Z$19</x:f>
        <x:v>3.3333333333333335</x:v>
      </x:c>
      <x:c r="J469" s="12">
        <x:f>英雄升级调参!$E$72</x:f>
        <x:v>222</x:v>
      </x:c>
      <x:c r="K469" s="12">
        <x:f>英雄升级调参!$F$72</x:f>
        <x:v>2220</x:v>
      </x:c>
      <x:c r="L469" s="6" t="n">
        <x:f>ROUNDUP(F469/J469,0)</x:f>
        <x:v>3</x:v>
      </x:c>
      <x:c r="M469" s="6" t="n">
        <x:f>IF(G469=0,"无伤害",ROUNDUP(K469/MAX(1,ROUND(G469*$AC$19,0)),0))</x:f>
        <x:v>10</x:v>
      </x:c>
      <x:c r="N469" s="6" t="n">
        <x:f>ROUNDUP(F469/英雄升级调参!$H$72,0)</x:f>
        <x:v>2</x:v>
      </x:c>
      <x:c r="O469" s="6">
        <x:f>ROUNDUP(F469/英雄升级调参!$K$72,0)</x:f>
        <x:v>1</x:v>
      </x:c>
      <x:c r="P469" s="6" t="str">
        <x:f>$AA$19</x:f>
        <x:v>普通：3次标准普攻击杀；10次主要攻击致死</x:v>
      </x:c>
      <x:c r="Q469" s="6"/>
      <x:c r="R469" s="6"/>
      <x:c r="S469" s="6"/>
      <x:c r="T469" s="6"/>
    </x:row>
    <x:row r="470" ht="21" customHeight="1">
      <x:c r="A470" s="14" t="n">
        <x:f>$V$19</x:f>
        <x:v>60006</x:v>
      </x:c>
      <x:c r="B470" s="14" t="str">
        <x:f>$W$19</x:f>
        <x:v>花射手</x:v>
      </x:c>
      <x:c r="C470" s="6" t="str">
        <x:f>$X$19</x:f>
        <x:v>远程</x:v>
      </x:c>
      <x:c r="D470" s="6">
        <x:v>8</x:v>
      </x:c>
      <x:c r="E470" s="6">
        <x:v>19</x:v>
      </x:c>
      <x:c r="F470" s="12">
        <x:f>ROUND(J470*$W$4*H470,0)</x:f>
        <x:v>747</x:v>
      </x:c>
      <x:c r="G470" s="12">
        <x:f>ROUND(J470*$W$4*$W$5*I470,0)</x:f>
        <x:v>249</x:v>
      </x:c>
      <x:c r="H470" s="11" t="n">
        <x:f>$Y$19</x:f>
        <x:v>0.75</x:v>
      </x:c>
      <x:c r="I470" s="11" t="n">
        <x:f>$Z$19</x:f>
        <x:v>3.3333333333333335</x:v>
      </x:c>
      <x:c r="J470" s="12">
        <x:f>英雄升级调参!$E$73</x:f>
        <x:v>249</x:v>
      </x:c>
      <x:c r="K470" s="12">
        <x:f>英雄升级调参!$F$73</x:f>
        <x:v>2490</x:v>
      </x:c>
      <x:c r="L470" s="6" t="n">
        <x:f>ROUNDUP(F470/J470,0)</x:f>
        <x:v>3</x:v>
      </x:c>
      <x:c r="M470" s="6" t="n">
        <x:f>IF(G470=0,"无伤害",ROUNDUP(K470/MAX(1,ROUND(G470*$AC$19,0)),0))</x:f>
        <x:v>10</x:v>
      </x:c>
      <x:c r="N470" s="6" t="n">
        <x:f>ROUNDUP(F470/英雄升级调参!$H$73,0)</x:f>
        <x:v>2</x:v>
      </x:c>
      <x:c r="O470" s="6">
        <x:f>ROUNDUP(F470/英雄升级调参!$K$73,0)</x:f>
        <x:v>1</x:v>
      </x:c>
      <x:c r="P470" s="6" t="str">
        <x:f>$AA$19</x:f>
        <x:v>普通：3次标准普攻击杀；10次主要攻击致死</x:v>
      </x:c>
      <x:c r="Q470" s="6"/>
      <x:c r="R470" s="6"/>
      <x:c r="S470" s="6"/>
      <x:c r="T470" s="6"/>
    </x:row>
    <x:row r="471" ht="21" customHeight="1">
      <x:c r="A471" s="14" t="n">
        <x:f>$V$19</x:f>
        <x:v>60006</x:v>
      </x:c>
      <x:c r="B471" s="14" t="str">
        <x:f>$W$19</x:f>
        <x:v>花射手</x:v>
      </x:c>
      <x:c r="C471" s="6" t="str">
        <x:f>$X$19</x:f>
        <x:v>远程</x:v>
      </x:c>
      <x:c r="D471" s="6">
        <x:v>9</x:v>
      </x:c>
      <x:c r="E471" s="6">
        <x:v>19</x:v>
      </x:c>
      <x:c r="F471" s="12">
        <x:f>ROUND(J471*$W$4*H471,0)</x:f>
        <x:v>828</x:v>
      </x:c>
      <x:c r="G471" s="12">
        <x:f>ROUND(J471*$W$4*$W$5*I471,0)</x:f>
        <x:v>276</x:v>
      </x:c>
      <x:c r="H471" s="11" t="n">
        <x:f>$Y$19</x:f>
        <x:v>0.75</x:v>
      </x:c>
      <x:c r="I471" s="11" t="n">
        <x:f>$Z$19</x:f>
        <x:v>3.3333333333333335</x:v>
      </x:c>
      <x:c r="J471" s="12">
        <x:f>英雄升级调参!$E$74</x:f>
        <x:v>276</x:v>
      </x:c>
      <x:c r="K471" s="12">
        <x:f>英雄升级调参!$F$74</x:f>
        <x:v>2760</x:v>
      </x:c>
      <x:c r="L471" s="6" t="n">
        <x:f>ROUNDUP(F471/J471,0)</x:f>
        <x:v>3</x:v>
      </x:c>
      <x:c r="M471" s="6" t="n">
        <x:f>IF(G471=0,"无伤害",ROUNDUP(K471/MAX(1,ROUND(G471*$AC$19,0)),0))</x:f>
        <x:v>10</x:v>
      </x:c>
      <x:c r="N471" s="6" t="n">
        <x:f>ROUNDUP(F471/英雄升级调参!$H$74,0)</x:f>
        <x:v>2</x:v>
      </x:c>
      <x:c r="O471" s="6">
        <x:f>ROUNDUP(F471/英雄升级调参!$K$74,0)</x:f>
        <x:v>1</x:v>
      </x:c>
      <x:c r="P471" s="6" t="str">
        <x:f>$AA$19</x:f>
        <x:v>普通：3次标准普攻击杀；10次主要攻击致死</x:v>
      </x:c>
      <x:c r="Q471" s="6"/>
      <x:c r="R471" s="6"/>
      <x:c r="S471" s="6"/>
      <x:c r="T471" s="6"/>
    </x:row>
    <x:row r="472" ht="21" customHeight="1">
      <x:c r="A472" s="14" t="n">
        <x:f>$V$19</x:f>
        <x:v>60006</x:v>
      </x:c>
      <x:c r="B472" s="14" t="str">
        <x:f>$W$19</x:f>
        <x:v>花射手</x:v>
      </x:c>
      <x:c r="C472" s="6" t="str">
        <x:f>$X$19</x:f>
        <x:v>远程</x:v>
      </x:c>
      <x:c r="D472" s="6">
        <x:v>10</x:v>
      </x:c>
      <x:c r="E472" s="6">
        <x:v>19</x:v>
      </x:c>
      <x:c r="F472" s="12">
        <x:f>ROUND(J472*$W$4*H472,0)</x:f>
        <x:v>1071</x:v>
      </x:c>
      <x:c r="G472" s="12">
        <x:f>ROUND(J472*$W$4*$W$5*I472,0)</x:f>
        <x:v>357</x:v>
      </x:c>
      <x:c r="H472" s="11" t="n">
        <x:f>$Y$19</x:f>
        <x:v>0.75</x:v>
      </x:c>
      <x:c r="I472" s="11" t="n">
        <x:f>$Z$19</x:f>
        <x:v>3.3333333333333335</x:v>
      </x:c>
      <x:c r="J472" s="12">
        <x:f>英雄升级调参!$E$75</x:f>
        <x:v>357</x:v>
      </x:c>
      <x:c r="K472" s="12">
        <x:f>英雄升级调参!$F$75</x:f>
        <x:v>3570</x:v>
      </x:c>
      <x:c r="L472" s="6" t="n">
        <x:f>ROUNDUP(F472/J472,0)</x:f>
        <x:v>3</x:v>
      </x:c>
      <x:c r="M472" s="6" t="n">
        <x:f>IF(G472=0,"无伤害",ROUNDUP(K472/MAX(1,ROUND(G472*$AC$19,0)),0))</x:f>
        <x:v>10</x:v>
      </x:c>
      <x:c r="N472" s="6" t="n">
        <x:f>ROUNDUP(F472/英雄升级调参!$H$75,0)</x:f>
        <x:v>2</x:v>
      </x:c>
      <x:c r="O472" s="6">
        <x:f>ROUNDUP(F472/英雄升级调参!$K$75,0)</x:f>
        <x:v>1</x:v>
      </x:c>
      <x:c r="P472" s="6" t="str">
        <x:f>$AA$19</x:f>
        <x:v>普通：3次标准普攻击杀；10次主要攻击致死</x:v>
      </x:c>
      <x:c r="Q472" s="6"/>
      <x:c r="R472" s="6"/>
      <x:c r="S472" s="6"/>
      <x:c r="T472" s="6"/>
    </x:row>
    <x:row r="473" ht="21" customHeight="1">
      <x:c r="A473" s="14" t="n">
        <x:f>$V$19</x:f>
        <x:v>60006</x:v>
      </x:c>
      <x:c r="B473" s="14" t="str">
        <x:f>$W$19</x:f>
        <x:v>花射手</x:v>
      </x:c>
      <x:c r="C473" s="6" t="str">
        <x:f>$X$19</x:f>
        <x:v>远程</x:v>
      </x:c>
      <x:c r="D473" s="6">
        <x:v>11</x:v>
      </x:c>
      <x:c r="E473" s="6">
        <x:v>19</x:v>
      </x:c>
      <x:c r="F473" s="12">
        <x:f>ROUND(J473*$W$4*H473,0)</x:f>
        <x:v>1179</x:v>
      </x:c>
      <x:c r="G473" s="12">
        <x:f>ROUND(J473*$W$4*$W$5*I473,0)</x:f>
        <x:v>393</x:v>
      </x:c>
      <x:c r="H473" s="11" t="n">
        <x:f>$Y$19</x:f>
        <x:v>0.75</x:v>
      </x:c>
      <x:c r="I473" s="11" t="n">
        <x:f>$Z$19</x:f>
        <x:v>3.3333333333333335</x:v>
      </x:c>
      <x:c r="J473" s="12">
        <x:f>英雄升级调参!$E$76</x:f>
        <x:v>393</x:v>
      </x:c>
      <x:c r="K473" s="12">
        <x:f>英雄升级调参!$F$76</x:f>
        <x:v>3930</x:v>
      </x:c>
      <x:c r="L473" s="6" t="n">
        <x:f>ROUNDUP(F473/J473,0)</x:f>
        <x:v>3</x:v>
      </x:c>
      <x:c r="M473" s="6" t="n">
        <x:f>IF(G473=0,"无伤害",ROUNDUP(K473/MAX(1,ROUND(G473*$AC$19,0)),0))</x:f>
        <x:v>10</x:v>
      </x:c>
      <x:c r="N473" s="6" t="n">
        <x:f>ROUNDUP(F473/英雄升级调参!$H$76,0)</x:f>
        <x:v>2</x:v>
      </x:c>
      <x:c r="O473" s="6">
        <x:f>ROUNDUP(F473/英雄升级调参!$K$76,0)</x:f>
        <x:v>1</x:v>
      </x:c>
      <x:c r="P473" s="6" t="str">
        <x:f>$AA$19</x:f>
        <x:v>普通：3次标准普攻击杀；10次主要攻击致死</x:v>
      </x:c>
      <x:c r="Q473" s="6"/>
      <x:c r="R473" s="6"/>
      <x:c r="S473" s="6"/>
      <x:c r="T473" s="6"/>
    </x:row>
    <x:row r="474" ht="21" customHeight="1">
      <x:c r="A474" s="14" t="n">
        <x:f>$V$19</x:f>
        <x:v>60006</x:v>
      </x:c>
      <x:c r="B474" s="14" t="str">
        <x:f>$W$19</x:f>
        <x:v>花射手</x:v>
      </x:c>
      <x:c r="C474" s="6" t="str">
        <x:f>$X$19</x:f>
        <x:v>远程</x:v>
      </x:c>
      <x:c r="D474" s="6">
        <x:v>12</x:v>
      </x:c>
      <x:c r="E474" s="6">
        <x:v>19</x:v>
      </x:c>
      <x:c r="F474" s="12">
        <x:f>ROUND(J474*$W$4*H474,0)</x:f>
        <x:v>1287</x:v>
      </x:c>
      <x:c r="G474" s="12">
        <x:f>ROUND(J474*$W$4*$W$5*I474,0)</x:f>
        <x:v>429</x:v>
      </x:c>
      <x:c r="H474" s="11" t="n">
        <x:f>$Y$19</x:f>
        <x:v>0.75</x:v>
      </x:c>
      <x:c r="I474" s="11" t="n">
        <x:f>$Z$19</x:f>
        <x:v>3.3333333333333335</x:v>
      </x:c>
      <x:c r="J474" s="12">
        <x:f>英雄升级调参!$E$77</x:f>
        <x:v>429</x:v>
      </x:c>
      <x:c r="K474" s="12">
        <x:f>英雄升级调参!$F$77</x:f>
        <x:v>4290</x:v>
      </x:c>
      <x:c r="L474" s="6" t="n">
        <x:f>ROUNDUP(F474/J474,0)</x:f>
        <x:v>3</x:v>
      </x:c>
      <x:c r="M474" s="6" t="n">
        <x:f>IF(G474=0,"无伤害",ROUNDUP(K474/MAX(1,ROUND(G474*$AC$19,0)),0))</x:f>
        <x:v>10</x:v>
      </x:c>
      <x:c r="N474" s="6" t="n">
        <x:f>ROUNDUP(F474/英雄升级调参!$H$77,0)</x:f>
        <x:v>2</x:v>
      </x:c>
      <x:c r="O474" s="6" t="n">
        <x:f>ROUNDUP(F474/英雄升级调参!$K$77,0)</x:f>
        <x:v>2</x:v>
      </x:c>
      <x:c r="P474" s="6" t="str">
        <x:f>$AA$19</x:f>
        <x:v>普通：3次标准普攻击杀；10次主要攻击致死</x:v>
      </x:c>
      <x:c r="Q474" s="6"/>
      <x:c r="R474" s="6"/>
      <x:c r="S474" s="6"/>
      <x:c r="T474" s="6"/>
    </x:row>
    <x:row r="475" ht="21" customHeight="1">
      <x:c r="A475" s="14" t="n">
        <x:f>$V$19</x:f>
        <x:v>60006</x:v>
      </x:c>
      <x:c r="B475" s="14" t="str">
        <x:f>$W$19</x:f>
        <x:v>花射手</x:v>
      </x:c>
      <x:c r="C475" s="6" t="str">
        <x:f>$X$19</x:f>
        <x:v>远程</x:v>
      </x:c>
      <x:c r="D475" s="6">
        <x:v>13</x:v>
      </x:c>
      <x:c r="E475" s="6">
        <x:v>19</x:v>
      </x:c>
      <x:c r="F475" s="12">
        <x:f>ROUND(J475*$W$4*H475,0)</x:f>
        <x:v>1395</x:v>
      </x:c>
      <x:c r="G475" s="12">
        <x:f>ROUND(J475*$W$4*$W$5*I475,0)</x:f>
        <x:v>465</x:v>
      </x:c>
      <x:c r="H475" s="11" t="n">
        <x:f>$Y$19</x:f>
        <x:v>0.75</x:v>
      </x:c>
      <x:c r="I475" s="11" t="n">
        <x:f>$Z$19</x:f>
        <x:v>3.3333333333333335</x:v>
      </x:c>
      <x:c r="J475" s="12">
        <x:f>英雄升级调参!$E$78</x:f>
        <x:v>465</x:v>
      </x:c>
      <x:c r="K475" s="12">
        <x:f>英雄升级调参!$F$78</x:f>
        <x:v>4650</x:v>
      </x:c>
      <x:c r="L475" s="6" t="n">
        <x:f>ROUNDUP(F475/J475,0)</x:f>
        <x:v>3</x:v>
      </x:c>
      <x:c r="M475" s="6" t="n">
        <x:f>IF(G475=0,"无伤害",ROUNDUP(K475/MAX(1,ROUND(G475*$AC$19,0)),0))</x:f>
        <x:v>10</x:v>
      </x:c>
      <x:c r="N475" s="6" t="n">
        <x:f>ROUNDUP(F475/英雄升级调参!$H$78,0)</x:f>
        <x:v>2</x:v>
      </x:c>
      <x:c r="O475" s="6" t="n">
        <x:f>ROUNDUP(F475/英雄升级调参!$K$78,0)</x:f>
        <x:v>2</x:v>
      </x:c>
      <x:c r="P475" s="6" t="str">
        <x:f>$AA$19</x:f>
        <x:v>普通：3次标准普攻击杀；10次主要攻击致死</x:v>
      </x:c>
      <x:c r="Q475" s="6"/>
      <x:c r="R475" s="6"/>
      <x:c r="S475" s="6"/>
      <x:c r="T475" s="6"/>
    </x:row>
    <x:row r="476" ht="21" customHeight="1">
      <x:c r="A476" s="14" t="n">
        <x:f>$V$19</x:f>
        <x:v>60006</x:v>
      </x:c>
      <x:c r="B476" s="14" t="str">
        <x:f>$W$19</x:f>
        <x:v>花射手</x:v>
      </x:c>
      <x:c r="C476" s="6" t="str">
        <x:f>$X$19</x:f>
        <x:v>远程</x:v>
      </x:c>
      <x:c r="D476" s="6">
        <x:v>14</x:v>
      </x:c>
      <x:c r="E476" s="6">
        <x:v>19</x:v>
      </x:c>
      <x:c r="F476" s="12">
        <x:f>ROUND(J476*$W$4*H476,0)</x:f>
        <x:v>1503</x:v>
      </x:c>
      <x:c r="G476" s="12">
        <x:f>ROUND(J476*$W$4*$W$5*I476,0)</x:f>
        <x:v>501</x:v>
      </x:c>
      <x:c r="H476" s="11" t="n">
        <x:f>$Y$19</x:f>
        <x:v>0.75</x:v>
      </x:c>
      <x:c r="I476" s="11" t="n">
        <x:f>$Z$19</x:f>
        <x:v>3.3333333333333335</x:v>
      </x:c>
      <x:c r="J476" s="12">
        <x:f>英雄升级调参!$E$79</x:f>
        <x:v>501</x:v>
      </x:c>
      <x:c r="K476" s="12">
        <x:f>英雄升级调参!$F$79</x:f>
        <x:v>5010</x:v>
      </x:c>
      <x:c r="L476" s="6" t="n">
        <x:f>ROUNDUP(F476/J476,0)</x:f>
        <x:v>3</x:v>
      </x:c>
      <x:c r="M476" s="6" t="n">
        <x:f>IF(G476=0,"无伤害",ROUNDUP(K476/MAX(1,ROUND(G476*$AC$19,0)),0))</x:f>
        <x:v>10</x:v>
      </x:c>
      <x:c r="N476" s="6" t="n">
        <x:f>ROUNDUP(F476/英雄升级调参!$H$79,0)</x:f>
        <x:v>2</x:v>
      </x:c>
      <x:c r="O476" s="6" t="n">
        <x:f>ROUNDUP(F476/英雄升级调参!$K$79,0)</x:f>
        <x:v>2</x:v>
      </x:c>
      <x:c r="P476" s="6" t="str">
        <x:f>$AA$19</x:f>
        <x:v>普通：3次标准普攻击杀；10次主要攻击致死</x:v>
      </x:c>
      <x:c r="Q476" s="6"/>
      <x:c r="R476" s="6"/>
      <x:c r="S476" s="6"/>
      <x:c r="T476" s="6"/>
    </x:row>
    <x:row r="477" ht="21" customHeight="1">
      <x:c r="A477" s="14" t="n">
        <x:f>$V$19</x:f>
        <x:v>60006</x:v>
      </x:c>
      <x:c r="B477" s="14" t="str">
        <x:f>$W$19</x:f>
        <x:v>花射手</x:v>
      </x:c>
      <x:c r="C477" s="6" t="str">
        <x:f>$X$19</x:f>
        <x:v>远程</x:v>
      </x:c>
      <x:c r="D477" s="6">
        <x:v>15</x:v>
      </x:c>
      <x:c r="E477" s="6">
        <x:v>19</x:v>
      </x:c>
      <x:c r="F477" s="12">
        <x:f>ROUND(J477*$W$4*H477,0)</x:f>
        <x:v>1827</x:v>
      </x:c>
      <x:c r="G477" s="12">
        <x:f>ROUND(J477*$W$4*$W$5*I477,0)</x:f>
        <x:v>609</x:v>
      </x:c>
      <x:c r="H477" s="11" t="n">
        <x:f>$Y$19</x:f>
        <x:v>0.75</x:v>
      </x:c>
      <x:c r="I477" s="11" t="n">
        <x:f>$Z$19</x:f>
        <x:v>3.3333333333333335</x:v>
      </x:c>
      <x:c r="J477" s="12">
        <x:f>英雄升级调参!$E$80</x:f>
        <x:v>609</x:v>
      </x:c>
      <x:c r="K477" s="12">
        <x:f>英雄升级调参!$F$80</x:f>
        <x:v>6090</x:v>
      </x:c>
      <x:c r="L477" s="6" t="n">
        <x:f>ROUNDUP(F477/J477,0)</x:f>
        <x:v>3</x:v>
      </x:c>
      <x:c r="M477" s="6" t="n">
        <x:f>IF(G477=0,"无伤害",ROUNDUP(K477/MAX(1,ROUND(G477*$AC$19,0)),0))</x:f>
        <x:v>10</x:v>
      </x:c>
      <x:c r="N477" s="6" t="n">
        <x:f>ROUNDUP(F477/英雄升级调参!$H$80,0)</x:f>
        <x:v>2</x:v>
      </x:c>
      <x:c r="O477" s="6" t="n">
        <x:f>ROUNDUP(F477/英雄升级调参!$K$80,0)</x:f>
        <x:v>2</x:v>
      </x:c>
      <x:c r="P477" s="6" t="str">
        <x:f>$AA$19</x:f>
        <x:v>普通：3次标准普攻击杀；10次主要攻击致死</x:v>
      </x:c>
      <x:c r="Q477" s="6"/>
      <x:c r="R477" s="6"/>
      <x:c r="S477" s="6"/>
      <x:c r="T477" s="6"/>
    </x:row>
    <x:row r="478" ht="21" customHeight="1">
      <x:c r="A478" s="14" t="n">
        <x:f>$V$19</x:f>
        <x:v>60006</x:v>
      </x:c>
      <x:c r="B478" s="14" t="str">
        <x:f>$W$19</x:f>
        <x:v>花射手</x:v>
      </x:c>
      <x:c r="C478" s="6" t="str">
        <x:f>$X$19</x:f>
        <x:v>远程</x:v>
      </x:c>
      <x:c r="D478" s="6">
        <x:v>16</x:v>
      </x:c>
      <x:c r="E478" s="6">
        <x:v>19</x:v>
      </x:c>
      <x:c r="F478" s="12">
        <x:f>ROUND(J478*$W$4*H478,0)</x:f>
        <x:v>1962</x:v>
      </x:c>
      <x:c r="G478" s="12">
        <x:f>ROUND(J478*$W$4*$W$5*I478,0)</x:f>
        <x:v>654</x:v>
      </x:c>
      <x:c r="H478" s="11" t="n">
        <x:f>$Y$19</x:f>
        <x:v>0.75</x:v>
      </x:c>
      <x:c r="I478" s="11" t="n">
        <x:f>$Z$19</x:f>
        <x:v>3.3333333333333335</x:v>
      </x:c>
      <x:c r="J478" s="12">
        <x:f>英雄升级调参!$E$81</x:f>
        <x:v>654</x:v>
      </x:c>
      <x:c r="K478" s="12">
        <x:f>英雄升级调参!$F$81</x:f>
        <x:v>6540</x:v>
      </x:c>
      <x:c r="L478" s="6" t="n">
        <x:f>ROUNDUP(F478/J478,0)</x:f>
        <x:v>3</x:v>
      </x:c>
      <x:c r="M478" s="6" t="n">
        <x:f>IF(G478=0,"无伤害",ROUNDUP(K478/MAX(1,ROUND(G478*$AC$19,0)),0))</x:f>
        <x:v>10</x:v>
      </x:c>
      <x:c r="N478" s="6" t="n">
        <x:f>ROUNDUP(F478/英雄升级调参!$H$81,0)</x:f>
        <x:v>2</x:v>
      </x:c>
      <x:c r="O478" s="6" t="n">
        <x:f>ROUNDUP(F478/英雄升级调参!$K$81,0)</x:f>
        <x:v>2</x:v>
      </x:c>
      <x:c r="P478" s="6" t="str">
        <x:f>$AA$19</x:f>
        <x:v>普通：3次标准普攻击杀；10次主要攻击致死</x:v>
      </x:c>
      <x:c r="Q478" s="6"/>
      <x:c r="R478" s="6"/>
      <x:c r="S478" s="6"/>
      <x:c r="T478" s="6"/>
    </x:row>
    <x:row r="479" ht="21" customHeight="1">
      <x:c r="A479" s="14" t="n">
        <x:f>$V$19</x:f>
        <x:v>60006</x:v>
      </x:c>
      <x:c r="B479" s="14" t="str">
        <x:f>$W$19</x:f>
        <x:v>花射手</x:v>
      </x:c>
      <x:c r="C479" s="6" t="str">
        <x:f>$X$19</x:f>
        <x:v>远程</x:v>
      </x:c>
      <x:c r="D479" s="6">
        <x:v>17</x:v>
      </x:c>
      <x:c r="E479" s="6">
        <x:v>19</x:v>
      </x:c>
      <x:c r="F479" s="12">
        <x:f>ROUND(J479*$W$4*H479,0)</x:f>
        <x:v>2097</x:v>
      </x:c>
      <x:c r="G479" s="12">
        <x:f>ROUND(J479*$W$4*$W$5*I479,0)</x:f>
        <x:v>699</x:v>
      </x:c>
      <x:c r="H479" s="11" t="n">
        <x:f>$Y$19</x:f>
        <x:v>0.75</x:v>
      </x:c>
      <x:c r="I479" s="11" t="n">
        <x:f>$Z$19</x:f>
        <x:v>3.3333333333333335</x:v>
      </x:c>
      <x:c r="J479" s="12">
        <x:f>英雄升级调参!$E$82</x:f>
        <x:v>699</x:v>
      </x:c>
      <x:c r="K479" s="12">
        <x:f>英雄升级调参!$F$82</x:f>
        <x:v>6990</x:v>
      </x:c>
      <x:c r="L479" s="6" t="n">
        <x:f>ROUNDUP(F479/J479,0)</x:f>
        <x:v>3</x:v>
      </x:c>
      <x:c r="M479" s="6" t="n">
        <x:f>IF(G479=0,"无伤害",ROUNDUP(K479/MAX(1,ROUND(G479*$AC$19,0)),0))</x:f>
        <x:v>10</x:v>
      </x:c>
      <x:c r="N479" s="6" t="n">
        <x:f>ROUNDUP(F479/英雄升级调参!$H$82,0)</x:f>
        <x:v>2</x:v>
      </x:c>
      <x:c r="O479" s="6" t="n">
        <x:f>ROUNDUP(F479/英雄升级调参!$K$82,0)</x:f>
        <x:v>2</x:v>
      </x:c>
      <x:c r="P479" s="6" t="str">
        <x:f>$AA$19</x:f>
        <x:v>普通：3次标准普攻击杀；10次主要攻击致死</x:v>
      </x:c>
      <x:c r="Q479" s="6"/>
      <x:c r="R479" s="6"/>
      <x:c r="S479" s="6"/>
      <x:c r="T479" s="6"/>
    </x:row>
    <x:row r="480" ht="21" customHeight="1">
      <x:c r="A480" s="14" t="n">
        <x:f>$V$19</x:f>
        <x:v>60006</x:v>
      </x:c>
      <x:c r="B480" s="14" t="str">
        <x:f>$W$19</x:f>
        <x:v>花射手</x:v>
      </x:c>
      <x:c r="C480" s="6" t="str">
        <x:f>$X$19</x:f>
        <x:v>远程</x:v>
      </x:c>
      <x:c r="D480" s="6">
        <x:v>18</x:v>
      </x:c>
      <x:c r="E480" s="6">
        <x:v>19</x:v>
      </x:c>
      <x:c r="F480" s="12">
        <x:f>ROUND(J480*$W$4*H480,0)</x:f>
        <x:v>2232</x:v>
      </x:c>
      <x:c r="G480" s="12">
        <x:f>ROUND(J480*$W$4*$W$5*I480,0)</x:f>
        <x:v>744</x:v>
      </x:c>
      <x:c r="H480" s="11" t="n">
        <x:f>$Y$19</x:f>
        <x:v>0.75</x:v>
      </x:c>
      <x:c r="I480" s="11" t="n">
        <x:f>$Z$19</x:f>
        <x:v>3.3333333333333335</x:v>
      </x:c>
      <x:c r="J480" s="12">
        <x:f>英雄升级调参!$E$83</x:f>
        <x:v>744</x:v>
      </x:c>
      <x:c r="K480" s="12">
        <x:f>英雄升级调参!$F$83</x:f>
        <x:v>7440</x:v>
      </x:c>
      <x:c r="L480" s="6" t="n">
        <x:f>ROUNDUP(F480/J480,0)</x:f>
        <x:v>3</x:v>
      </x:c>
      <x:c r="M480" s="6" t="n">
        <x:f>IF(G480=0,"无伤害",ROUNDUP(K480/MAX(1,ROUND(G480*$AC$19,0)),0))</x:f>
        <x:v>10</x:v>
      </x:c>
      <x:c r="N480" s="6" t="n">
        <x:f>ROUNDUP(F480/英雄升级调参!$H$83,0)</x:f>
        <x:v>2</x:v>
      </x:c>
      <x:c r="O480" s="6" t="n">
        <x:f>ROUNDUP(F480/英雄升级调参!$K$83,0)</x:f>
        <x:v>2</x:v>
      </x:c>
      <x:c r="P480" s="6" t="str">
        <x:f>$AA$19</x:f>
        <x:v>普通：3次标准普攻击杀；10次主要攻击致死</x:v>
      </x:c>
      <x:c r="Q480" s="6"/>
      <x:c r="R480" s="6"/>
      <x:c r="S480" s="6"/>
      <x:c r="T480" s="6"/>
    </x:row>
    <x:row r="481" ht="21" customHeight="1">
      <x:c r="A481" s="14" t="n">
        <x:f>$V$19</x:f>
        <x:v>60006</x:v>
      </x:c>
      <x:c r="B481" s="14" t="str">
        <x:f>$W$19</x:f>
        <x:v>花射手</x:v>
      </x:c>
      <x:c r="C481" s="6" t="str">
        <x:f>$X$19</x:f>
        <x:v>远程</x:v>
      </x:c>
      <x:c r="D481" s="6">
        <x:v>19</x:v>
      </x:c>
      <x:c r="E481" s="6">
        <x:v>19</x:v>
      </x:c>
      <x:c r="F481" s="12">
        <x:f>ROUND(J481*$W$4*H481,0)</x:f>
        <x:v>2367</x:v>
      </x:c>
      <x:c r="G481" s="12">
        <x:f>ROUND(J481*$W$4*$W$5*I481,0)</x:f>
        <x:v>789</x:v>
      </x:c>
      <x:c r="H481" s="11" t="n">
        <x:f>$Y$19</x:f>
        <x:v>0.75</x:v>
      </x:c>
      <x:c r="I481" s="11" t="n">
        <x:f>$Z$19</x:f>
        <x:v>3.3333333333333335</x:v>
      </x:c>
      <x:c r="J481" s="12">
        <x:f>英雄升级调参!$E$84</x:f>
        <x:v>789</x:v>
      </x:c>
      <x:c r="K481" s="12">
        <x:f>英雄升级调参!$F$84</x:f>
        <x:v>7890</x:v>
      </x:c>
      <x:c r="L481" s="6" t="n">
        <x:f>ROUNDUP(F481/J481,0)</x:f>
        <x:v>3</x:v>
      </x:c>
      <x:c r="M481" s="6" t="n">
        <x:f>IF(G481=0,"无伤害",ROUNDUP(K481/MAX(1,ROUND(G481*$AC$19,0)),0))</x:f>
        <x:v>10</x:v>
      </x:c>
      <x:c r="N481" s="6" t="n">
        <x:f>ROUNDUP(F481/英雄升级调参!$H$84,0)</x:f>
        <x:v>2</x:v>
      </x:c>
      <x:c r="O481" s="6" t="n">
        <x:f>ROUNDUP(F481/英雄升级调参!$K$84,0)</x:f>
        <x:v>2</x:v>
      </x:c>
      <x:c r="P481" s="6" t="str">
        <x:f>$AA$19</x:f>
        <x:v>普通：3次标准普攻击杀；10次主要攻击致死</x:v>
      </x:c>
      <x:c r="Q481" s="6"/>
      <x:c r="R481" s="6"/>
      <x:c r="S481" s="6"/>
      <x:c r="T481" s="6"/>
    </x:row>
    <x:row r="482" ht="21" customHeight="1">
      <x:c r="A482" s="14" t="n">
        <x:f>$V$19</x:f>
        <x:v>60006</x:v>
      </x:c>
      <x:c r="B482" s="14" t="str">
        <x:f>$W$19</x:f>
        <x:v>花射手</x:v>
      </x:c>
      <x:c r="C482" s="6" t="str">
        <x:f>$X$19</x:f>
        <x:v>远程</x:v>
      </x:c>
      <x:c r="D482" s="6">
        <x:v>20</x:v>
      </x:c>
      <x:c r="E482" s="6">
        <x:v>19</x:v>
      </x:c>
      <x:c r="F482" s="12">
        <x:f>ROUND(J482*$W$4*H482,0)</x:f>
        <x:v>2772</x:v>
      </x:c>
      <x:c r="G482" s="12">
        <x:f>ROUND(J482*$W$4*$W$5*I482,0)</x:f>
        <x:v>924</x:v>
      </x:c>
      <x:c r="H482" s="11" t="n">
        <x:f>$Y$19</x:f>
        <x:v>0.75</x:v>
      </x:c>
      <x:c r="I482" s="11" t="n">
        <x:f>$Z$19</x:f>
        <x:v>3.3333333333333335</x:v>
      </x:c>
      <x:c r="J482" s="12">
        <x:f>英雄升级调参!$E$85</x:f>
        <x:v>924</x:v>
      </x:c>
      <x:c r="K482" s="12">
        <x:f>英雄升级调参!$F$85</x:f>
        <x:v>9240</x:v>
      </x:c>
      <x:c r="L482" s="6" t="n">
        <x:f>ROUNDUP(F482/J482,0)</x:f>
        <x:v>3</x:v>
      </x:c>
      <x:c r="M482" s="6" t="n">
        <x:f>IF(G482=0,"无伤害",ROUNDUP(K482/MAX(1,ROUND(G482*$AC$19,0)),0))</x:f>
        <x:v>10</x:v>
      </x:c>
      <x:c r="N482" s="6" t="n">
        <x:f>ROUNDUP(F482/英雄升级调参!$H$85,0)</x:f>
        <x:v>2</x:v>
      </x:c>
      <x:c r="O482" s="6" t="n">
        <x:f>ROUNDUP(F482/英雄升级调参!$K$85,0)</x:f>
        <x:v>2</x:v>
      </x:c>
      <x:c r="P482" s="6" t="str">
        <x:f>$AA$19</x:f>
        <x:v>普通：3次标准普攻击杀；10次主要攻击致死</x:v>
      </x:c>
      <x:c r="Q482" s="6"/>
      <x:c r="R482" s="6"/>
      <x:c r="S482" s="6"/>
      <x:c r="T482" s="6"/>
    </x:row>
    <x:row r="483" ht="21" customHeight="1">
      <x:c r="A483" s="14" t="n">
        <x:f>$V$19</x:f>
        <x:v>60006</x:v>
      </x:c>
      <x:c r="B483" s="14" t="str">
        <x:f>$W$19</x:f>
        <x:v>花射手</x:v>
      </x:c>
      <x:c r="C483" s="6" t="str">
        <x:f>$X$19</x:f>
        <x:v>远程</x:v>
      </x:c>
      <x:c r="D483" s="6">
        <x:v>21</x:v>
      </x:c>
      <x:c r="E483" s="6">
        <x:v>19</x:v>
      </x:c>
      <x:c r="F483" s="12">
        <x:f>ROUND(J483*$W$4*H483,0)</x:f>
        <x:v>2934</x:v>
      </x:c>
      <x:c r="G483" s="12">
        <x:f>ROUND(J483*$W$4*$W$5*I483,0)</x:f>
        <x:v>978</x:v>
      </x:c>
      <x:c r="H483" s="11" t="n">
        <x:f>$Y$19</x:f>
        <x:v>0.75</x:v>
      </x:c>
      <x:c r="I483" s="11" t="n">
        <x:f>$Z$19</x:f>
        <x:v>3.3333333333333335</x:v>
      </x:c>
      <x:c r="J483" s="12">
        <x:f>英雄升级调参!$E$86</x:f>
        <x:v>978</x:v>
      </x:c>
      <x:c r="K483" s="12">
        <x:f>英雄升级调参!$F$86</x:f>
        <x:v>9780</x:v>
      </x:c>
      <x:c r="L483" s="6" t="n">
        <x:f>ROUNDUP(F483/J483,0)</x:f>
        <x:v>3</x:v>
      </x:c>
      <x:c r="M483" s="6" t="n">
        <x:f>IF(G483=0,"无伤害",ROUNDUP(K483/MAX(1,ROUND(G483*$AC$19,0)),0))</x:f>
        <x:v>10</x:v>
      </x:c>
      <x:c r="N483" s="6" t="n">
        <x:f>ROUNDUP(F483/英雄升级调参!$H$86,0)</x:f>
        <x:v>2</x:v>
      </x:c>
      <x:c r="O483" s="6" t="n">
        <x:f>ROUNDUP(F483/英雄升级调参!$K$86,0)</x:f>
        <x:v>2</x:v>
      </x:c>
      <x:c r="P483" s="6" t="str">
        <x:f>$AA$19</x:f>
        <x:v>普通：3次标准普攻击杀；10次主要攻击致死</x:v>
      </x:c>
      <x:c r="Q483" s="6"/>
      <x:c r="R483" s="6"/>
      <x:c r="S483" s="6"/>
      <x:c r="T483" s="6"/>
    </x:row>
    <x:row r="484" ht="21" customHeight="1">
      <x:c r="A484" s="14" t="n">
        <x:f>$V$19</x:f>
        <x:v>60006</x:v>
      </x:c>
      <x:c r="B484" s="14" t="str">
        <x:f>$W$19</x:f>
        <x:v>花射手</x:v>
      </x:c>
      <x:c r="C484" s="6" t="str">
        <x:f>$X$19</x:f>
        <x:v>远程</x:v>
      </x:c>
      <x:c r="D484" s="6">
        <x:v>22</x:v>
      </x:c>
      <x:c r="E484" s="6">
        <x:v>19</x:v>
      </x:c>
      <x:c r="F484" s="12">
        <x:f>ROUND(J484*$W$4*H484,0)</x:f>
        <x:v>3096</x:v>
      </x:c>
      <x:c r="G484" s="12">
        <x:f>ROUND(J484*$W$4*$W$5*I484,0)</x:f>
        <x:v>1032</x:v>
      </x:c>
      <x:c r="H484" s="11" t="n">
        <x:f>$Y$19</x:f>
        <x:v>0.75</x:v>
      </x:c>
      <x:c r="I484" s="11" t="n">
        <x:f>$Z$19</x:f>
        <x:v>3.3333333333333335</x:v>
      </x:c>
      <x:c r="J484" s="12">
        <x:f>英雄升级调参!$E$87</x:f>
        <x:v>1032</x:v>
      </x:c>
      <x:c r="K484" s="12">
        <x:f>英雄升级调参!$F$87</x:f>
        <x:v>10320</x:v>
      </x:c>
      <x:c r="L484" s="6" t="n">
        <x:f>ROUNDUP(F484/J484,0)</x:f>
        <x:v>3</x:v>
      </x:c>
      <x:c r="M484" s="6" t="n">
        <x:f>IF(G484=0,"无伤害",ROUNDUP(K484/MAX(1,ROUND(G484*$AC$19,0)),0))</x:f>
        <x:v>10</x:v>
      </x:c>
      <x:c r="N484" s="6" t="n">
        <x:f>ROUNDUP(F484/英雄升级调参!$H$87,0)</x:f>
        <x:v>2</x:v>
      </x:c>
      <x:c r="O484" s="6" t="n">
        <x:f>ROUNDUP(F484/英雄升级调参!$K$87,0)</x:f>
        <x:v>2</x:v>
      </x:c>
      <x:c r="P484" s="6" t="str">
        <x:f>$AA$19</x:f>
        <x:v>普通：3次标准普攻击杀；10次主要攻击致死</x:v>
      </x:c>
      <x:c r="Q484" s="6"/>
      <x:c r="R484" s="6"/>
      <x:c r="S484" s="6"/>
      <x:c r="T484" s="6"/>
    </x:row>
    <x:row r="485" ht="21" customHeight="1">
      <x:c r="A485" s="14" t="n">
        <x:f>$V$19</x:f>
        <x:v>60006</x:v>
      </x:c>
      <x:c r="B485" s="14" t="str">
        <x:f>$W$19</x:f>
        <x:v>花射手</x:v>
      </x:c>
      <x:c r="C485" s="6" t="str">
        <x:f>$X$19</x:f>
        <x:v>远程</x:v>
      </x:c>
      <x:c r="D485" s="6">
        <x:v>23</x:v>
      </x:c>
      <x:c r="E485" s="6">
        <x:v>19</x:v>
      </x:c>
      <x:c r="F485" s="12">
        <x:f>ROUND(J485*$W$4*H485,0)</x:f>
        <x:v>3258</x:v>
      </x:c>
      <x:c r="G485" s="12">
        <x:f>ROUND(J485*$W$4*$W$5*I485,0)</x:f>
        <x:v>1086</x:v>
      </x:c>
      <x:c r="H485" s="11" t="n">
        <x:f>$Y$19</x:f>
        <x:v>0.75</x:v>
      </x:c>
      <x:c r="I485" s="11" t="n">
        <x:f>$Z$19</x:f>
        <x:v>3.3333333333333335</x:v>
      </x:c>
      <x:c r="J485" s="12">
        <x:f>英雄升级调参!$E$88</x:f>
        <x:v>1086</x:v>
      </x:c>
      <x:c r="K485" s="12">
        <x:f>英雄升级调参!$F$88</x:f>
        <x:v>10860</x:v>
      </x:c>
      <x:c r="L485" s="6" t="n">
        <x:f>ROUNDUP(F485/J485,0)</x:f>
        <x:v>3</x:v>
      </x:c>
      <x:c r="M485" s="6" t="n">
        <x:f>IF(G485=0,"无伤害",ROUNDUP(K485/MAX(1,ROUND(G485*$AC$19,0)),0))</x:f>
        <x:v>10</x:v>
      </x:c>
      <x:c r="N485" s="6" t="n">
        <x:f>ROUNDUP(F485/英雄升级调参!$H$88,0)</x:f>
        <x:v>2</x:v>
      </x:c>
      <x:c r="O485" s="6" t="n">
        <x:f>ROUNDUP(F485/英雄升级调参!$K$88,0)</x:f>
        <x:v>2</x:v>
      </x:c>
      <x:c r="P485" s="6" t="str">
        <x:f>$AA$19</x:f>
        <x:v>普通：3次标准普攻击杀；10次主要攻击致死</x:v>
      </x:c>
      <x:c r="Q485" s="6"/>
      <x:c r="R485" s="6"/>
      <x:c r="S485" s="6"/>
      <x:c r="T485" s="6"/>
    </x:row>
    <x:row r="486" ht="21" customHeight="1">
      <x:c r="A486" s="14" t="n">
        <x:f>$V$19</x:f>
        <x:v>60006</x:v>
      </x:c>
      <x:c r="B486" s="14" t="str">
        <x:f>$W$19</x:f>
        <x:v>花射手</x:v>
      </x:c>
      <x:c r="C486" s="6" t="str">
        <x:f>$X$19</x:f>
        <x:v>远程</x:v>
      </x:c>
      <x:c r="D486" s="6">
        <x:v>24</x:v>
      </x:c>
      <x:c r="E486" s="6">
        <x:v>19</x:v>
      </x:c>
      <x:c r="F486" s="12">
        <x:f>ROUND(J486*$W$4*H486,0)</x:f>
        <x:v>3420</x:v>
      </x:c>
      <x:c r="G486" s="12">
        <x:f>ROUND(J486*$W$4*$W$5*I486,0)</x:f>
        <x:v>1140</x:v>
      </x:c>
      <x:c r="H486" s="11" t="n">
        <x:f>$Y$19</x:f>
        <x:v>0.75</x:v>
      </x:c>
      <x:c r="I486" s="11" t="n">
        <x:f>$Z$19</x:f>
        <x:v>3.3333333333333335</x:v>
      </x:c>
      <x:c r="J486" s="12">
        <x:f>英雄升级调参!$E$89</x:f>
        <x:v>1140</x:v>
      </x:c>
      <x:c r="K486" s="12">
        <x:f>英雄升级调参!$F$89</x:f>
        <x:v>11400</x:v>
      </x:c>
      <x:c r="L486" s="6" t="n">
        <x:f>ROUNDUP(F486/J486,0)</x:f>
        <x:v>3</x:v>
      </x:c>
      <x:c r="M486" s="6" t="n">
        <x:f>IF(G486=0,"无伤害",ROUNDUP(K486/MAX(1,ROUND(G486*$AC$19,0)),0))</x:f>
        <x:v>10</x:v>
      </x:c>
      <x:c r="N486" s="6" t="n">
        <x:f>ROUNDUP(F486/英雄升级调参!$H$89,0)</x:f>
        <x:v>2</x:v>
      </x:c>
      <x:c r="O486" s="6" t="n">
        <x:f>ROUNDUP(F486/英雄升级调参!$K$89,0)</x:f>
        <x:v>2</x:v>
      </x:c>
      <x:c r="P486" s="6" t="str">
        <x:f>$AA$19</x:f>
        <x:v>普通：3次标准普攻击杀；10次主要攻击致死</x:v>
      </x:c>
      <x:c r="Q486" s="6"/>
      <x:c r="R486" s="6"/>
      <x:c r="S486" s="6"/>
      <x:c r="T486" s="6"/>
    </x:row>
    <x:row r="487" ht="21" customHeight="1">
      <x:c r="A487" s="14" t="n">
        <x:f>$V$19</x:f>
        <x:v>60006</x:v>
      </x:c>
      <x:c r="B487" s="14" t="str">
        <x:f>$W$19</x:f>
        <x:v>花射手</x:v>
      </x:c>
      <x:c r="C487" s="6" t="str">
        <x:f>$X$19</x:f>
        <x:v>远程</x:v>
      </x:c>
      <x:c r="D487" s="6">
        <x:v>25</x:v>
      </x:c>
      <x:c r="E487" s="6">
        <x:v>19</x:v>
      </x:c>
      <x:c r="F487" s="12">
        <x:f>ROUND(J487*$W$4*H487,0)</x:f>
        <x:v>3906</x:v>
      </x:c>
      <x:c r="G487" s="12">
        <x:f>ROUND(J487*$W$4*$W$5*I487,0)</x:f>
        <x:v>1302</x:v>
      </x:c>
      <x:c r="H487" s="11" t="n">
        <x:f>$Y$19</x:f>
        <x:v>0.75</x:v>
      </x:c>
      <x:c r="I487" s="11" t="n">
        <x:f>$Z$19</x:f>
        <x:v>3.3333333333333335</x:v>
      </x:c>
      <x:c r="J487" s="12">
        <x:f>英雄升级调参!$E$90</x:f>
        <x:v>1302</x:v>
      </x:c>
      <x:c r="K487" s="12">
        <x:f>英雄升级调参!$F$90</x:f>
        <x:v>13020</x:v>
      </x:c>
      <x:c r="L487" s="6" t="n">
        <x:f>ROUNDUP(F487/J487,0)</x:f>
        <x:v>3</x:v>
      </x:c>
      <x:c r="M487" s="6" t="n">
        <x:f>IF(G487=0,"无伤害",ROUNDUP(K487/MAX(1,ROUND(G487*$AC$19,0)),0))</x:f>
        <x:v>10</x:v>
      </x:c>
      <x:c r="N487" s="6" t="n">
        <x:f>ROUNDUP(F487/英雄升级调参!$H$90,0)</x:f>
        <x:v>2</x:v>
      </x:c>
      <x:c r="O487" s="6" t="n">
        <x:f>ROUNDUP(F487/英雄升级调参!$K$90,0)</x:f>
        <x:v>2</x:v>
      </x:c>
      <x:c r="P487" s="6" t="str">
        <x:f>$AA$19</x:f>
        <x:v>普通：3次标准普攻击杀；10次主要攻击致死</x:v>
      </x:c>
      <x:c r="Q487" s="6"/>
      <x:c r="R487" s="6"/>
      <x:c r="S487" s="6"/>
      <x:c r="T487" s="6"/>
    </x:row>
    <x:row r="488" ht="21" customHeight="1">
      <x:c r="A488" s="14" t="n">
        <x:f>$V$19</x:f>
        <x:v>60006</x:v>
      </x:c>
      <x:c r="B488" s="14" t="str">
        <x:f>$W$19</x:f>
        <x:v>花射手</x:v>
      </x:c>
      <x:c r="C488" s="6" t="str">
        <x:f>$X$19</x:f>
        <x:v>远程</x:v>
      </x:c>
      <x:c r="D488" s="6">
        <x:v>26</x:v>
      </x:c>
      <x:c r="E488" s="6">
        <x:v>19</x:v>
      </x:c>
      <x:c r="F488" s="12">
        <x:f>ROUND(J488*$W$4*H488,0)</x:f>
        <x:v>4095</x:v>
      </x:c>
      <x:c r="G488" s="12">
        <x:f>ROUND(J488*$W$4*$W$5*I488,0)</x:f>
        <x:v>1365</x:v>
      </x:c>
      <x:c r="H488" s="11" t="n">
        <x:f>$Y$19</x:f>
        <x:v>0.75</x:v>
      </x:c>
      <x:c r="I488" s="11" t="n">
        <x:f>$Z$19</x:f>
        <x:v>3.3333333333333335</x:v>
      </x:c>
      <x:c r="J488" s="12">
        <x:f>英雄升级调参!$E$91</x:f>
        <x:v>1365</x:v>
      </x:c>
      <x:c r="K488" s="12">
        <x:f>英雄升级调参!$F$91</x:f>
        <x:v>13650</x:v>
      </x:c>
      <x:c r="L488" s="6" t="n">
        <x:f>ROUNDUP(F488/J488,0)</x:f>
        <x:v>3</x:v>
      </x:c>
      <x:c r="M488" s="6" t="n">
        <x:f>IF(G488=0,"无伤害",ROUNDUP(K488/MAX(1,ROUND(G488*$AC$19,0)),0))</x:f>
        <x:v>10</x:v>
      </x:c>
      <x:c r="N488" s="6" t="n">
        <x:f>ROUNDUP(F488/英雄升级调参!$H$91,0)</x:f>
        <x:v>2</x:v>
      </x:c>
      <x:c r="O488" s="6" t="n">
        <x:f>ROUNDUP(F488/英雄升级调参!$K$91,0)</x:f>
        <x:v>2</x:v>
      </x:c>
      <x:c r="P488" s="6" t="str">
        <x:f>$AA$19</x:f>
        <x:v>普通：3次标准普攻击杀；10次主要攻击致死</x:v>
      </x:c>
      <x:c r="Q488" s="6"/>
      <x:c r="R488" s="6"/>
      <x:c r="S488" s="6"/>
      <x:c r="T488" s="6"/>
    </x:row>
    <x:row r="489" ht="21" customHeight="1">
      <x:c r="A489" s="14" t="n">
        <x:f>$V$19</x:f>
        <x:v>60006</x:v>
      </x:c>
      <x:c r="B489" s="14" t="str">
        <x:f>$W$19</x:f>
        <x:v>花射手</x:v>
      </x:c>
      <x:c r="C489" s="6" t="str">
        <x:f>$X$19</x:f>
        <x:v>远程</x:v>
      </x:c>
      <x:c r="D489" s="6">
        <x:v>27</x:v>
      </x:c>
      <x:c r="E489" s="6">
        <x:v>19</x:v>
      </x:c>
      <x:c r="F489" s="12">
        <x:f>ROUND(J489*$W$4*H489,0)</x:f>
        <x:v>4284</x:v>
      </x:c>
      <x:c r="G489" s="12">
        <x:f>ROUND(J489*$W$4*$W$5*I489,0)</x:f>
        <x:v>1428</x:v>
      </x:c>
      <x:c r="H489" s="11" t="n">
        <x:f>$Y$19</x:f>
        <x:v>0.75</x:v>
      </x:c>
      <x:c r="I489" s="11" t="n">
        <x:f>$Z$19</x:f>
        <x:v>3.3333333333333335</x:v>
      </x:c>
      <x:c r="J489" s="12">
        <x:f>英雄升级调参!$E$92</x:f>
        <x:v>1428</x:v>
      </x:c>
      <x:c r="K489" s="12">
        <x:f>英雄升级调参!$F$92</x:f>
        <x:v>14280</x:v>
      </x:c>
      <x:c r="L489" s="6" t="n">
        <x:f>ROUNDUP(F489/J489,0)</x:f>
        <x:v>3</x:v>
      </x:c>
      <x:c r="M489" s="6" t="n">
        <x:f>IF(G489=0,"无伤害",ROUNDUP(K489/MAX(1,ROUND(G489*$AC$19,0)),0))</x:f>
        <x:v>10</x:v>
      </x:c>
      <x:c r="N489" s="6" t="n">
        <x:f>ROUNDUP(F489/英雄升级调参!$H$92,0)</x:f>
        <x:v>2</x:v>
      </x:c>
      <x:c r="O489" s="6" t="n">
        <x:f>ROUNDUP(F489/英雄升级调参!$K$92,0)</x:f>
        <x:v>2</x:v>
      </x:c>
      <x:c r="P489" s="6" t="str">
        <x:f>$AA$19</x:f>
        <x:v>普通：3次标准普攻击杀；10次主要攻击致死</x:v>
      </x:c>
      <x:c r="Q489" s="6"/>
      <x:c r="R489" s="6"/>
      <x:c r="S489" s="6"/>
      <x:c r="T489" s="6"/>
    </x:row>
    <x:row r="490" ht="21" customHeight="1">
      <x:c r="A490" s="14" t="n">
        <x:f>$V$19</x:f>
        <x:v>60006</x:v>
      </x:c>
      <x:c r="B490" s="14" t="str">
        <x:f>$W$19</x:f>
        <x:v>花射手</x:v>
      </x:c>
      <x:c r="C490" s="6" t="str">
        <x:f>$X$19</x:f>
        <x:v>远程</x:v>
      </x:c>
      <x:c r="D490" s="6">
        <x:v>28</x:v>
      </x:c>
      <x:c r="E490" s="6">
        <x:v>19</x:v>
      </x:c>
      <x:c r="F490" s="12">
        <x:f>ROUND(J490*$W$4*H490,0)</x:f>
        <x:v>4473</x:v>
      </x:c>
      <x:c r="G490" s="12">
        <x:f>ROUND(J490*$W$4*$W$5*I490,0)</x:f>
        <x:v>1491</x:v>
      </x:c>
      <x:c r="H490" s="11" t="n">
        <x:f>$Y$19</x:f>
        <x:v>0.75</x:v>
      </x:c>
      <x:c r="I490" s="11" t="n">
        <x:f>$Z$19</x:f>
        <x:v>3.3333333333333335</x:v>
      </x:c>
      <x:c r="J490" s="12">
        <x:f>英雄升级调参!$E$93</x:f>
        <x:v>1491</x:v>
      </x:c>
      <x:c r="K490" s="12">
        <x:f>英雄升级调参!$F$93</x:f>
        <x:v>14910</x:v>
      </x:c>
      <x:c r="L490" s="6" t="n">
        <x:f>ROUNDUP(F490/J490,0)</x:f>
        <x:v>3</x:v>
      </x:c>
      <x:c r="M490" s="6" t="n">
        <x:f>IF(G490=0,"无伤害",ROUNDUP(K490/MAX(1,ROUND(G490*$AC$19,0)),0))</x:f>
        <x:v>10</x:v>
      </x:c>
      <x:c r="N490" s="6" t="n">
        <x:f>ROUNDUP(F490/英雄升级调参!$H$93,0)</x:f>
        <x:v>2</x:v>
      </x:c>
      <x:c r="O490" s="6" t="n">
        <x:f>ROUNDUP(F490/英雄升级调参!$K$93,0)</x:f>
        <x:v>2</x:v>
      </x:c>
      <x:c r="P490" s="6" t="str">
        <x:f>$AA$19</x:f>
        <x:v>普通：3次标准普攻击杀；10次主要攻击致死</x:v>
      </x:c>
      <x:c r="Q490" s="6"/>
      <x:c r="R490" s="6"/>
      <x:c r="S490" s="6"/>
      <x:c r="T490" s="6"/>
    </x:row>
    <x:row r="491" ht="21" customHeight="1">
      <x:c r="A491" s="14" t="n">
        <x:f>$V$19</x:f>
        <x:v>60006</x:v>
      </x:c>
      <x:c r="B491" s="14" t="str">
        <x:f>$W$19</x:f>
        <x:v>花射手</x:v>
      </x:c>
      <x:c r="C491" s="6" t="str">
        <x:f>$X$19</x:f>
        <x:v>远程</x:v>
      </x:c>
      <x:c r="D491" s="6">
        <x:v>29</x:v>
      </x:c>
      <x:c r="E491" s="6">
        <x:v>19</x:v>
      </x:c>
      <x:c r="F491" s="12">
        <x:f>ROUND(J491*$W$4*H491,0)</x:f>
        <x:v>4662</x:v>
      </x:c>
      <x:c r="G491" s="12">
        <x:f>ROUND(J491*$W$4*$W$5*I491,0)</x:f>
        <x:v>1554</x:v>
      </x:c>
      <x:c r="H491" s="11" t="n">
        <x:f>$Y$19</x:f>
        <x:v>0.75</x:v>
      </x:c>
      <x:c r="I491" s="11" t="n">
        <x:f>$Z$19</x:f>
        <x:v>3.3333333333333335</x:v>
      </x:c>
      <x:c r="J491" s="12">
        <x:f>英雄升级调参!$E$94</x:f>
        <x:v>1554</x:v>
      </x:c>
      <x:c r="K491" s="12">
        <x:f>英雄升级调参!$F$94</x:f>
        <x:v>15540</x:v>
      </x:c>
      <x:c r="L491" s="6" t="n">
        <x:f>ROUNDUP(F491/J491,0)</x:f>
        <x:v>3</x:v>
      </x:c>
      <x:c r="M491" s="6" t="n">
        <x:f>IF(G491=0,"无伤害",ROUNDUP(K491/MAX(1,ROUND(G491*$AC$19,0)),0))</x:f>
        <x:v>10</x:v>
      </x:c>
      <x:c r="N491" s="6" t="n">
        <x:f>ROUNDUP(F491/英雄升级调参!$H$94,0)</x:f>
        <x:v>2</x:v>
      </x:c>
      <x:c r="O491" s="6" t="n">
        <x:f>ROUNDUP(F491/英雄升级调参!$K$94,0)</x:f>
        <x:v>2</x:v>
      </x:c>
      <x:c r="P491" s="6" t="str">
        <x:f>$AA$19</x:f>
        <x:v>普通：3次标准普攻击杀；10次主要攻击致死</x:v>
      </x:c>
      <x:c r="Q491" s="6"/>
      <x:c r="R491" s="6"/>
      <x:c r="S491" s="6"/>
      <x:c r="T491" s="6"/>
    </x:row>
    <x:row r="492" ht="21" customHeight="1">
      <x:c r="A492" s="14" t="n">
        <x:f>$V$19</x:f>
        <x:v>60006</x:v>
      </x:c>
      <x:c r="B492" s="14" t="str">
        <x:f>$W$19</x:f>
        <x:v>花射手</x:v>
      </x:c>
      <x:c r="C492" s="6" t="str">
        <x:f>$X$19</x:f>
        <x:v>远程</x:v>
      </x:c>
      <x:c r="D492" s="6">
        <x:v>30</x:v>
      </x:c>
      <x:c r="E492" s="6">
        <x:v>19</x:v>
      </x:c>
      <x:c r="F492" s="12">
        <x:f>ROUND(J492*$W$4*H492,0)</x:f>
        <x:v>5229</x:v>
      </x:c>
      <x:c r="G492" s="12">
        <x:f>ROUND(J492*$W$4*$W$5*I492,0)</x:f>
        <x:v>1743</x:v>
      </x:c>
      <x:c r="H492" s="11" t="n">
        <x:f>$Y$19</x:f>
        <x:v>0.75</x:v>
      </x:c>
      <x:c r="I492" s="11" t="n">
        <x:f>$Z$19</x:f>
        <x:v>3.3333333333333335</x:v>
      </x:c>
      <x:c r="J492" s="12">
        <x:f>英雄升级调参!$E$95</x:f>
        <x:v>1743</x:v>
      </x:c>
      <x:c r="K492" s="12">
        <x:f>英雄升级调参!$F$95</x:f>
        <x:v>17430</x:v>
      </x:c>
      <x:c r="L492" s="6" t="n">
        <x:f>ROUNDUP(F492/J492,0)</x:f>
        <x:v>3</x:v>
      </x:c>
      <x:c r="M492" s="6" t="n">
        <x:f>IF(G492=0,"无伤害",ROUNDUP(K492/MAX(1,ROUND(G492*$AC$19,0)),0))</x:f>
        <x:v>10</x:v>
      </x:c>
      <x:c r="N492" s="6" t="n">
        <x:f>ROUNDUP(F492/英雄升级调参!$H$95,0)</x:f>
        <x:v>2</x:v>
      </x:c>
      <x:c r="O492" s="6" t="n">
        <x:f>ROUNDUP(F492/英雄升级调参!$K$95,0)</x:f>
        <x:v>2</x:v>
      </x:c>
      <x:c r="P492" s="6" t="str">
        <x:f>$AA$19</x:f>
        <x:v>普通：3次标准普攻击杀；10次主要攻击致死</x:v>
      </x:c>
      <x:c r="Q492" s="6"/>
      <x:c r="R492" s="6"/>
      <x:c r="S492" s="6"/>
      <x:c r="T492" s="6"/>
    </x:row>
    <x:row r="493" ht="21" customHeight="1">
      <x:c r="A493" s="14" t="n">
        <x:f>$V$19</x:f>
        <x:v>60006</x:v>
      </x:c>
      <x:c r="B493" s="14" t="str">
        <x:f>$W$19</x:f>
        <x:v>花射手</x:v>
      </x:c>
      <x:c r="C493" s="6" t="str">
        <x:f>$X$19</x:f>
        <x:v>远程</x:v>
      </x:c>
      <x:c r="D493" s="6">
        <x:v>31</x:v>
      </x:c>
      <x:c r="E493" s="6">
        <x:v>19</x:v>
      </x:c>
      <x:c r="F493" s="12">
        <x:f>ROUND(J493*$W$4*H493,0)</x:f>
        <x:v>5445</x:v>
      </x:c>
      <x:c r="G493" s="12">
        <x:f>ROUND(J493*$W$4*$W$5*I493,0)</x:f>
        <x:v>1815</x:v>
      </x:c>
      <x:c r="H493" s="11" t="n">
        <x:f>$Y$19</x:f>
        <x:v>0.75</x:v>
      </x:c>
      <x:c r="I493" s="11" t="n">
        <x:f>$Z$19</x:f>
        <x:v>3.3333333333333335</x:v>
      </x:c>
      <x:c r="J493" s="12">
        <x:f>英雄升级调参!$E$96</x:f>
        <x:v>1815</x:v>
      </x:c>
      <x:c r="K493" s="12">
        <x:f>英雄升级调参!$F$96</x:f>
        <x:v>18150</x:v>
      </x:c>
      <x:c r="L493" s="6" t="n">
        <x:f>ROUNDUP(F493/J493,0)</x:f>
        <x:v>3</x:v>
      </x:c>
      <x:c r="M493" s="6" t="n">
        <x:f>IF(G493=0,"无伤害",ROUNDUP(K493/MAX(1,ROUND(G493*$AC$19,0)),0))</x:f>
        <x:v>10</x:v>
      </x:c>
      <x:c r="N493" s="6" t="n">
        <x:f>ROUNDUP(F493/英雄升级调参!$H$96,0)</x:f>
        <x:v>2</x:v>
      </x:c>
      <x:c r="O493" s="6" t="n">
        <x:f>ROUNDUP(F493/英雄升级调参!$K$96,0)</x:f>
        <x:v>2</x:v>
      </x:c>
      <x:c r="P493" s="6" t="str">
        <x:f>$AA$19</x:f>
        <x:v>普通：3次标准普攻击杀；10次主要攻击致死</x:v>
      </x:c>
      <x:c r="Q493" s="6"/>
      <x:c r="R493" s="6"/>
      <x:c r="S493" s="6"/>
      <x:c r="T493" s="6"/>
    </x:row>
    <x:row r="494" ht="21" customHeight="1">
      <x:c r="A494" s="14" t="n">
        <x:f>$V$19</x:f>
        <x:v>60006</x:v>
      </x:c>
      <x:c r="B494" s="14" t="str">
        <x:f>$W$19</x:f>
        <x:v>花射手</x:v>
      </x:c>
      <x:c r="C494" s="6" t="str">
        <x:f>$X$19</x:f>
        <x:v>远程</x:v>
      </x:c>
      <x:c r="D494" s="6">
        <x:v>32</x:v>
      </x:c>
      <x:c r="E494" s="6">
        <x:v>19</x:v>
      </x:c>
      <x:c r="F494" s="12">
        <x:f>ROUND(J494*$W$4*H494,0)</x:f>
        <x:v>5661</x:v>
      </x:c>
      <x:c r="G494" s="12">
        <x:f>ROUND(J494*$W$4*$W$5*I494,0)</x:f>
        <x:v>1887</x:v>
      </x:c>
      <x:c r="H494" s="11" t="n">
        <x:f>$Y$19</x:f>
        <x:v>0.75</x:v>
      </x:c>
      <x:c r="I494" s="11" t="n">
        <x:f>$Z$19</x:f>
        <x:v>3.3333333333333335</x:v>
      </x:c>
      <x:c r="J494" s="12">
        <x:f>英雄升级调参!$E$97</x:f>
        <x:v>1887</x:v>
      </x:c>
      <x:c r="K494" s="12">
        <x:f>英雄升级调参!$F$97</x:f>
        <x:v>18870</x:v>
      </x:c>
      <x:c r="L494" s="6" t="n">
        <x:f>ROUNDUP(F494/J494,0)</x:f>
        <x:v>3</x:v>
      </x:c>
      <x:c r="M494" s="6" t="n">
        <x:f>IF(G494=0,"无伤害",ROUNDUP(K494/MAX(1,ROUND(G494*$AC$19,0)),0))</x:f>
        <x:v>10</x:v>
      </x:c>
      <x:c r="N494" s="6" t="n">
        <x:f>ROUNDUP(F494/英雄升级调参!$H$97,0)</x:f>
        <x:v>2</x:v>
      </x:c>
      <x:c r="O494" s="6" t="n">
        <x:f>ROUNDUP(F494/英雄升级调参!$K$97,0)</x:f>
        <x:v>2</x:v>
      </x:c>
      <x:c r="P494" s="6" t="str">
        <x:f>$AA$19</x:f>
        <x:v>普通：3次标准普攻击杀；10次主要攻击致死</x:v>
      </x:c>
      <x:c r="Q494" s="6"/>
      <x:c r="R494" s="6"/>
      <x:c r="S494" s="6"/>
      <x:c r="T494" s="6"/>
    </x:row>
    <x:row r="495" ht="21" customHeight="1">
      <x:c r="A495" s="14" t="n">
        <x:f>$V$19</x:f>
        <x:v>60006</x:v>
      </x:c>
      <x:c r="B495" s="14" t="str">
        <x:f>$W$19</x:f>
        <x:v>花射手</x:v>
      </x:c>
      <x:c r="C495" s="6" t="str">
        <x:f>$X$19</x:f>
        <x:v>远程</x:v>
      </x:c>
      <x:c r="D495" s="6">
        <x:v>33</x:v>
      </x:c>
      <x:c r="E495" s="6">
        <x:v>19</x:v>
      </x:c>
      <x:c r="F495" s="12">
        <x:f>ROUND(J495*$W$4*H495,0)</x:f>
        <x:v>5877</x:v>
      </x:c>
      <x:c r="G495" s="12">
        <x:f>ROUND(J495*$W$4*$W$5*I495,0)</x:f>
        <x:v>1959</x:v>
      </x:c>
      <x:c r="H495" s="11" t="n">
        <x:f>$Y$19</x:f>
        <x:v>0.75</x:v>
      </x:c>
      <x:c r="I495" s="11" t="n">
        <x:f>$Z$19</x:f>
        <x:v>3.3333333333333335</x:v>
      </x:c>
      <x:c r="J495" s="12">
        <x:f>英雄升级调参!$E$98</x:f>
        <x:v>1959</x:v>
      </x:c>
      <x:c r="K495" s="12">
        <x:f>英雄升级调参!$F$98</x:f>
        <x:v>19590</x:v>
      </x:c>
      <x:c r="L495" s="6" t="n">
        <x:f>ROUNDUP(F495/J495,0)</x:f>
        <x:v>3</x:v>
      </x:c>
      <x:c r="M495" s="6" t="n">
        <x:f>IF(G495=0,"无伤害",ROUNDUP(K495/MAX(1,ROUND(G495*$AC$19,0)),0))</x:f>
        <x:v>10</x:v>
      </x:c>
      <x:c r="N495" s="6" t="n">
        <x:f>ROUNDUP(F495/英雄升级调参!$H$98,0)</x:f>
        <x:v>2</x:v>
      </x:c>
      <x:c r="O495" s="6" t="n">
        <x:f>ROUNDUP(F495/英雄升级调参!$K$98,0)</x:f>
        <x:v>2</x:v>
      </x:c>
      <x:c r="P495" s="6" t="str">
        <x:f>$AA$19</x:f>
        <x:v>普通：3次标准普攻击杀；10次主要攻击致死</x:v>
      </x:c>
      <x:c r="Q495" s="6"/>
      <x:c r="R495" s="6"/>
      <x:c r="S495" s="6"/>
      <x:c r="T495" s="6"/>
    </x:row>
    <x:row r="496" ht="21" customHeight="1">
      <x:c r="A496" s="14" t="n">
        <x:f>$V$19</x:f>
        <x:v>60006</x:v>
      </x:c>
      <x:c r="B496" s="14" t="str">
        <x:f>$W$19</x:f>
        <x:v>花射手</x:v>
      </x:c>
      <x:c r="C496" s="6" t="str">
        <x:f>$X$19</x:f>
        <x:v>远程</x:v>
      </x:c>
      <x:c r="D496" s="6">
        <x:v>34</x:v>
      </x:c>
      <x:c r="E496" s="6">
        <x:v>19</x:v>
      </x:c>
      <x:c r="F496" s="12">
        <x:f>ROUND(J496*$W$4*H496,0)</x:f>
        <x:v>6093</x:v>
      </x:c>
      <x:c r="G496" s="12">
        <x:f>ROUND(J496*$W$4*$W$5*I496,0)</x:f>
        <x:v>2031</x:v>
      </x:c>
      <x:c r="H496" s="11" t="n">
        <x:f>$Y$19</x:f>
        <x:v>0.75</x:v>
      </x:c>
      <x:c r="I496" s="11" t="n">
        <x:f>$Z$19</x:f>
        <x:v>3.3333333333333335</x:v>
      </x:c>
      <x:c r="J496" s="12">
        <x:f>英雄升级调参!$E$99</x:f>
        <x:v>2031</x:v>
      </x:c>
      <x:c r="K496" s="12">
        <x:f>英雄升级调参!$F$99</x:f>
        <x:v>20310</x:v>
      </x:c>
      <x:c r="L496" s="6" t="n">
        <x:f>ROUNDUP(F496/J496,0)</x:f>
        <x:v>3</x:v>
      </x:c>
      <x:c r="M496" s="6" t="n">
        <x:f>IF(G496=0,"无伤害",ROUNDUP(K496/MAX(1,ROUND(G496*$AC$19,0)),0))</x:f>
        <x:v>10</x:v>
      </x:c>
      <x:c r="N496" s="6" t="n">
        <x:f>ROUNDUP(F496/英雄升级调参!$H$99,0)</x:f>
        <x:v>2</x:v>
      </x:c>
      <x:c r="O496" s="6" t="n">
        <x:f>ROUNDUP(F496/英雄升级调参!$K$99,0)</x:f>
        <x:v>2</x:v>
      </x:c>
      <x:c r="P496" s="6" t="str">
        <x:f>$AA$19</x:f>
        <x:v>普通：3次标准普攻击杀；10次主要攻击致死</x:v>
      </x:c>
      <x:c r="Q496" s="6"/>
      <x:c r="R496" s="6"/>
      <x:c r="S496" s="6"/>
      <x:c r="T496" s="6"/>
    </x:row>
    <x:row r="497" ht="21" customHeight="1">
      <x:c r="A497" s="14" t="n">
        <x:f>$V$19</x:f>
        <x:v>60006</x:v>
      </x:c>
      <x:c r="B497" s="14" t="str">
        <x:f>$W$19</x:f>
        <x:v>花射手</x:v>
      </x:c>
      <x:c r="C497" s="6" t="str">
        <x:f>$X$19</x:f>
        <x:v>远程</x:v>
      </x:c>
      <x:c r="D497" s="6">
        <x:v>35</x:v>
      </x:c>
      <x:c r="E497" s="6">
        <x:v>19</x:v>
      </x:c>
      <x:c r="F497" s="12">
        <x:f>ROUND(J497*$W$4*H497,0)</x:f>
        <x:v>6741</x:v>
      </x:c>
      <x:c r="G497" s="12">
        <x:f>ROUND(J497*$W$4*$W$5*I497,0)</x:f>
        <x:v>2247</x:v>
      </x:c>
      <x:c r="H497" s="11" t="n">
        <x:f>$Y$19</x:f>
        <x:v>0.75</x:v>
      </x:c>
      <x:c r="I497" s="11" t="n">
        <x:f>$Z$19</x:f>
        <x:v>3.3333333333333335</x:v>
      </x:c>
      <x:c r="J497" s="12">
        <x:f>英雄升级调参!$E$100</x:f>
        <x:v>2247</x:v>
      </x:c>
      <x:c r="K497" s="12">
        <x:f>英雄升级调参!$F$100</x:f>
        <x:v>22470</x:v>
      </x:c>
      <x:c r="L497" s="6" t="n">
        <x:f>ROUNDUP(F497/J497,0)</x:f>
        <x:v>3</x:v>
      </x:c>
      <x:c r="M497" s="6" t="n">
        <x:f>IF(G497=0,"无伤害",ROUNDUP(K497/MAX(1,ROUND(G497*$AC$19,0)),0))</x:f>
        <x:v>10</x:v>
      </x:c>
      <x:c r="N497" s="6" t="n">
        <x:f>ROUNDUP(F497/英雄升级调参!$H$100,0)</x:f>
        <x:v>2</x:v>
      </x:c>
      <x:c r="O497" s="6" t="n">
        <x:f>ROUNDUP(F497/英雄升级调参!$K$100,0)</x:f>
        <x:v>2</x:v>
      </x:c>
      <x:c r="P497" s="6" t="str">
        <x:f>$AA$19</x:f>
        <x:v>普通：3次标准普攻击杀；10次主要攻击致死</x:v>
      </x:c>
      <x:c r="Q497" s="6"/>
      <x:c r="R497" s="6"/>
      <x:c r="S497" s="6"/>
      <x:c r="T497" s="6"/>
    </x:row>
    <x:row r="498" ht="21" customHeight="1">
      <x:c r="A498" s="14" t="n">
        <x:f>$V$19</x:f>
        <x:v>60006</x:v>
      </x:c>
      <x:c r="B498" s="14" t="str">
        <x:f>$W$19</x:f>
        <x:v>花射手</x:v>
      </x:c>
      <x:c r="C498" s="6" t="str">
        <x:f>$X$19</x:f>
        <x:v>远程</x:v>
      </x:c>
      <x:c r="D498" s="6">
        <x:v>36</x:v>
      </x:c>
      <x:c r="E498" s="6">
        <x:v>19</x:v>
      </x:c>
      <x:c r="F498" s="12">
        <x:f>ROUND(J498*$W$4*H498,0)</x:f>
        <x:v>6984</x:v>
      </x:c>
      <x:c r="G498" s="12">
        <x:f>ROUND(J498*$W$4*$W$5*I498,0)</x:f>
        <x:v>2328</x:v>
      </x:c>
      <x:c r="H498" s="11" t="n">
        <x:f>$Y$19</x:f>
        <x:v>0.75</x:v>
      </x:c>
      <x:c r="I498" s="11" t="n">
        <x:f>$Z$19</x:f>
        <x:v>3.3333333333333335</x:v>
      </x:c>
      <x:c r="J498" s="12">
        <x:f>英雄升级调参!$E$101</x:f>
        <x:v>2328</x:v>
      </x:c>
      <x:c r="K498" s="12">
        <x:f>英雄升级调参!$F$101</x:f>
        <x:v>23280</x:v>
      </x:c>
      <x:c r="L498" s="6" t="n">
        <x:f>ROUNDUP(F498/J498,0)</x:f>
        <x:v>3</x:v>
      </x:c>
      <x:c r="M498" s="6" t="n">
        <x:f>IF(G498=0,"无伤害",ROUNDUP(K498/MAX(1,ROUND(G498*$AC$19,0)),0))</x:f>
        <x:v>10</x:v>
      </x:c>
      <x:c r="N498" s="6" t="n">
        <x:f>ROUNDUP(F498/英雄升级调参!$H$101,0)</x:f>
        <x:v>2</x:v>
      </x:c>
      <x:c r="O498" s="6" t="n">
        <x:f>ROUNDUP(F498/英雄升级调参!$K$101,0)</x:f>
        <x:v>2</x:v>
      </x:c>
      <x:c r="P498" s="6" t="str">
        <x:f>$AA$19</x:f>
        <x:v>普通：3次标准普攻击杀；10次主要攻击致死</x:v>
      </x:c>
      <x:c r="Q498" s="6"/>
      <x:c r="R498" s="6"/>
      <x:c r="S498" s="6"/>
      <x:c r="T498" s="6"/>
    </x:row>
    <x:row r="499" ht="21" customHeight="1">
      <x:c r="A499" s="14" t="n">
        <x:f>$V$19</x:f>
        <x:v>60006</x:v>
      </x:c>
      <x:c r="B499" s="14" t="str">
        <x:f>$W$19</x:f>
        <x:v>花射手</x:v>
      </x:c>
      <x:c r="C499" s="6" t="str">
        <x:f>$X$19</x:f>
        <x:v>远程</x:v>
      </x:c>
      <x:c r="D499" s="6">
        <x:v>37</x:v>
      </x:c>
      <x:c r="E499" s="6">
        <x:v>19</x:v>
      </x:c>
      <x:c r="F499" s="12">
        <x:f>ROUND(J499*$W$4*H499,0)</x:f>
        <x:v>7227</x:v>
      </x:c>
      <x:c r="G499" s="12">
        <x:f>ROUND(J499*$W$4*$W$5*I499,0)</x:f>
        <x:v>2409</x:v>
      </x:c>
      <x:c r="H499" s="11" t="n">
        <x:f>$Y$19</x:f>
        <x:v>0.75</x:v>
      </x:c>
      <x:c r="I499" s="11" t="n">
        <x:f>$Z$19</x:f>
        <x:v>3.3333333333333335</x:v>
      </x:c>
      <x:c r="J499" s="12">
        <x:f>英雄升级调参!$E$102</x:f>
        <x:v>2409</x:v>
      </x:c>
      <x:c r="K499" s="12">
        <x:f>英雄升级调参!$F$102</x:f>
        <x:v>24090</x:v>
      </x:c>
      <x:c r="L499" s="6" t="n">
        <x:f>ROUNDUP(F499/J499,0)</x:f>
        <x:v>3</x:v>
      </x:c>
      <x:c r="M499" s="6" t="n">
        <x:f>IF(G499=0,"无伤害",ROUNDUP(K499/MAX(1,ROUND(G499*$AC$19,0)),0))</x:f>
        <x:v>10</x:v>
      </x:c>
      <x:c r="N499" s="6" t="n">
        <x:f>ROUNDUP(F499/英雄升级调参!$H$102,0)</x:f>
        <x:v>2</x:v>
      </x:c>
      <x:c r="O499" s="6" t="n">
        <x:f>ROUNDUP(F499/英雄升级调参!$K$102,0)</x:f>
        <x:v>2</x:v>
      </x:c>
      <x:c r="P499" s="6" t="str">
        <x:f>$AA$19</x:f>
        <x:v>普通：3次标准普攻击杀；10次主要攻击致死</x:v>
      </x:c>
      <x:c r="Q499" s="6"/>
      <x:c r="R499" s="6"/>
      <x:c r="S499" s="6"/>
      <x:c r="T499" s="6"/>
    </x:row>
    <x:row r="500" ht="21" customHeight="1">
      <x:c r="A500" s="14" t="n">
        <x:f>$V$19</x:f>
        <x:v>60006</x:v>
      </x:c>
      <x:c r="B500" s="14" t="str">
        <x:f>$W$19</x:f>
        <x:v>花射手</x:v>
      </x:c>
      <x:c r="C500" s="6" t="str">
        <x:f>$X$19</x:f>
        <x:v>远程</x:v>
      </x:c>
      <x:c r="D500" s="6">
        <x:v>38</x:v>
      </x:c>
      <x:c r="E500" s="6">
        <x:v>19</x:v>
      </x:c>
      <x:c r="F500" s="12">
        <x:f>ROUND(J500*$W$4*H500,0)</x:f>
        <x:v>7470</x:v>
      </x:c>
      <x:c r="G500" s="12">
        <x:f>ROUND(J500*$W$4*$W$5*I500,0)</x:f>
        <x:v>2490</x:v>
      </x:c>
      <x:c r="H500" s="11" t="n">
        <x:f>$Y$19</x:f>
        <x:v>0.75</x:v>
      </x:c>
      <x:c r="I500" s="11" t="n">
        <x:f>$Z$19</x:f>
        <x:v>3.3333333333333335</x:v>
      </x:c>
      <x:c r="J500" s="12">
        <x:f>英雄升级调参!$E$103</x:f>
        <x:v>2490</x:v>
      </x:c>
      <x:c r="K500" s="12">
        <x:f>英雄升级调参!$F$103</x:f>
        <x:v>24900</x:v>
      </x:c>
      <x:c r="L500" s="6" t="n">
        <x:f>ROUNDUP(F500/J500,0)</x:f>
        <x:v>3</x:v>
      </x:c>
      <x:c r="M500" s="6" t="n">
        <x:f>IF(G500=0,"无伤害",ROUNDUP(K500/MAX(1,ROUND(G500*$AC$19,0)),0))</x:f>
        <x:v>10</x:v>
      </x:c>
      <x:c r="N500" s="6" t="n">
        <x:f>ROUNDUP(F500/英雄升级调参!$H$103,0)</x:f>
        <x:v>2</x:v>
      </x:c>
      <x:c r="O500" s="6" t="n">
        <x:f>ROUNDUP(F500/英雄升级调参!$K$103,0)</x:f>
        <x:v>2</x:v>
      </x:c>
      <x:c r="P500" s="6" t="str">
        <x:f>$AA$19</x:f>
        <x:v>普通：3次标准普攻击杀；10次主要攻击致死</x:v>
      </x:c>
      <x:c r="Q500" s="6"/>
      <x:c r="R500" s="6"/>
      <x:c r="S500" s="6"/>
      <x:c r="T500" s="6"/>
    </x:row>
    <x:row r="501" ht="21" customHeight="1">
      <x:c r="A501" s="14" t="n">
        <x:f>$V$19</x:f>
        <x:v>60006</x:v>
      </x:c>
      <x:c r="B501" s="14" t="str">
        <x:f>$W$19</x:f>
        <x:v>花射手</x:v>
      </x:c>
      <x:c r="C501" s="6" t="str">
        <x:f>$X$19</x:f>
        <x:v>远程</x:v>
      </x:c>
      <x:c r="D501" s="6">
        <x:v>39</x:v>
      </x:c>
      <x:c r="E501" s="6">
        <x:v>19</x:v>
      </x:c>
      <x:c r="F501" s="12">
        <x:f>ROUND(J501*$W$4*H501,0)</x:f>
        <x:v>7713</x:v>
      </x:c>
      <x:c r="G501" s="12">
        <x:f>ROUND(J501*$W$4*$W$5*I501,0)</x:f>
        <x:v>2571</x:v>
      </x:c>
      <x:c r="H501" s="11" t="n">
        <x:f>$Y$19</x:f>
        <x:v>0.75</x:v>
      </x:c>
      <x:c r="I501" s="11" t="n">
        <x:f>$Z$19</x:f>
        <x:v>3.3333333333333335</x:v>
      </x:c>
      <x:c r="J501" s="12">
        <x:f>英雄升级调参!$E$104</x:f>
        <x:v>2571</x:v>
      </x:c>
      <x:c r="K501" s="12">
        <x:f>英雄升级调参!$F$104</x:f>
        <x:v>25710</x:v>
      </x:c>
      <x:c r="L501" s="6" t="n">
        <x:f>ROUNDUP(F501/J501,0)</x:f>
        <x:v>3</x:v>
      </x:c>
      <x:c r="M501" s="6" t="n">
        <x:f>IF(G501=0,"无伤害",ROUNDUP(K501/MAX(1,ROUND(G501*$AC$19,0)),0))</x:f>
        <x:v>10</x:v>
      </x:c>
      <x:c r="N501" s="6" t="n">
        <x:f>ROUNDUP(F501/英雄升级调参!$H$104,0)</x:f>
        <x:v>2</x:v>
      </x:c>
      <x:c r="O501" s="6" t="n">
        <x:f>ROUNDUP(F501/英雄升级调参!$K$104,0)</x:f>
        <x:v>2</x:v>
      </x:c>
      <x:c r="P501" s="6" t="str">
        <x:f>$AA$19</x:f>
        <x:v>普通：3次标准普攻击杀；10次主要攻击致死</x:v>
      </x:c>
      <x:c r="Q501" s="6"/>
      <x:c r="R501" s="6"/>
      <x:c r="S501" s="6"/>
      <x:c r="T501" s="6"/>
    </x:row>
    <x:row r="502" ht="21" customHeight="1">
      <x:c r="A502" s="14" t="n">
        <x:f>$V$19</x:f>
        <x:v>60006</x:v>
      </x:c>
      <x:c r="B502" s="14" t="str">
        <x:f>$W$19</x:f>
        <x:v>花射手</x:v>
      </x:c>
      <x:c r="C502" s="6" t="str">
        <x:f>$X$19</x:f>
        <x:v>远程</x:v>
      </x:c>
      <x:c r="D502" s="6">
        <x:v>40</x:v>
      </x:c>
      <x:c r="E502" s="6">
        <x:v>19</x:v>
      </x:c>
      <x:c r="F502" s="12">
        <x:f>ROUND(J502*$W$4*H502,0)</x:f>
        <x:v>8442</x:v>
      </x:c>
      <x:c r="G502" s="12">
        <x:f>ROUND(J502*$W$4*$W$5*I502,0)</x:f>
        <x:v>2814</x:v>
      </x:c>
      <x:c r="H502" s="11" t="n">
        <x:f>$Y$19</x:f>
        <x:v>0.75</x:v>
      </x:c>
      <x:c r="I502" s="11" t="n">
        <x:f>$Z$19</x:f>
        <x:v>3.3333333333333335</x:v>
      </x:c>
      <x:c r="J502" s="12">
        <x:f>英雄升级调参!$E$105</x:f>
        <x:v>2814</x:v>
      </x:c>
      <x:c r="K502" s="12">
        <x:f>英雄升级调参!$F$105</x:f>
        <x:v>28140</x:v>
      </x:c>
      <x:c r="L502" s="6" t="n">
        <x:f>ROUNDUP(F502/J502,0)</x:f>
        <x:v>3</x:v>
      </x:c>
      <x:c r="M502" s="6" t="n">
        <x:f>IF(G502=0,"无伤害",ROUNDUP(K502/MAX(1,ROUND(G502*$AC$19,0)),0))</x:f>
        <x:v>10</x:v>
      </x:c>
      <x:c r="N502" s="6" t="n">
        <x:f>ROUNDUP(F502/英雄升级调参!$H$105,0)</x:f>
        <x:v>2</x:v>
      </x:c>
      <x:c r="O502" s="6" t="n">
        <x:f>ROUNDUP(F502/英雄升级调参!$K$105,0)</x:f>
        <x:v>2</x:v>
      </x:c>
      <x:c r="P502" s="6" t="str">
        <x:f>$AA$19</x:f>
        <x:v>普通：3次标准普攻击杀；10次主要攻击致死</x:v>
      </x:c>
      <x:c r="Q502" s="6"/>
      <x:c r="R502" s="6"/>
      <x:c r="S502" s="6"/>
      <x:c r="T502" s="6"/>
    </x:row>
    <x:row r="503" ht="21" customHeight="1">
      <x:c r="A503" s="14" t="n">
        <x:f>$V$19</x:f>
        <x:v>60006</x:v>
      </x:c>
      <x:c r="B503" s="14" t="str">
        <x:f>$W$19</x:f>
        <x:v>花射手</x:v>
      </x:c>
      <x:c r="C503" s="6" t="str">
        <x:f>$X$19</x:f>
        <x:v>远程</x:v>
      </x:c>
      <x:c r="D503" s="6">
        <x:v>41</x:v>
      </x:c>
      <x:c r="E503" s="6">
        <x:v>19</x:v>
      </x:c>
      <x:c r="F503" s="12">
        <x:f>ROUND(J503*$W$4*H503,0)</x:f>
        <x:v>8712</x:v>
      </x:c>
      <x:c r="G503" s="12">
        <x:f>ROUND(J503*$W$4*$W$5*I503,0)</x:f>
        <x:v>2904</x:v>
      </x:c>
      <x:c r="H503" s="11" t="n">
        <x:f>$Y$19</x:f>
        <x:v>0.75</x:v>
      </x:c>
      <x:c r="I503" s="11" t="n">
        <x:f>$Z$19</x:f>
        <x:v>3.3333333333333335</x:v>
      </x:c>
      <x:c r="J503" s="12">
        <x:f>英雄升级调参!$E$106</x:f>
        <x:v>2904</x:v>
      </x:c>
      <x:c r="K503" s="12">
        <x:f>英雄升级调参!$F$106</x:f>
        <x:v>29040</x:v>
      </x:c>
      <x:c r="L503" s="6" t="n">
        <x:f>ROUNDUP(F503/J503,0)</x:f>
        <x:v>3</x:v>
      </x:c>
      <x:c r="M503" s="6" t="n">
        <x:f>IF(G503=0,"无伤害",ROUNDUP(K503/MAX(1,ROUND(G503*$AC$19,0)),0))</x:f>
        <x:v>10</x:v>
      </x:c>
      <x:c r="N503" s="6" t="n">
        <x:f>ROUNDUP(F503/英雄升级调参!$H$106,0)</x:f>
        <x:v>2</x:v>
      </x:c>
      <x:c r="O503" s="6" t="n">
        <x:f>ROUNDUP(F503/英雄升级调参!$K$106,0)</x:f>
        <x:v>2</x:v>
      </x:c>
      <x:c r="P503" s="6" t="str">
        <x:f>$AA$19</x:f>
        <x:v>普通：3次标准普攻击杀；10次主要攻击致死</x:v>
      </x:c>
      <x:c r="Q503" s="6"/>
      <x:c r="R503" s="6"/>
      <x:c r="S503" s="6"/>
      <x:c r="T503" s="6"/>
    </x:row>
    <x:row r="504" ht="21" customHeight="1">
      <x:c r="A504" s="14" t="n">
        <x:f>$V$19</x:f>
        <x:v>60006</x:v>
      </x:c>
      <x:c r="B504" s="14" t="str">
        <x:f>$W$19</x:f>
        <x:v>花射手</x:v>
      </x:c>
      <x:c r="C504" s="6" t="str">
        <x:f>$X$19</x:f>
        <x:v>远程</x:v>
      </x:c>
      <x:c r="D504" s="6">
        <x:v>42</x:v>
      </x:c>
      <x:c r="E504" s="6">
        <x:v>19</x:v>
      </x:c>
      <x:c r="F504" s="12">
        <x:f>ROUND(J504*$W$4*H504,0)</x:f>
        <x:v>8982</x:v>
      </x:c>
      <x:c r="G504" s="12">
        <x:f>ROUND(J504*$W$4*$W$5*I504,0)</x:f>
        <x:v>2994</x:v>
      </x:c>
      <x:c r="H504" s="11" t="n">
        <x:f>$Y$19</x:f>
        <x:v>0.75</x:v>
      </x:c>
      <x:c r="I504" s="11" t="n">
        <x:f>$Z$19</x:f>
        <x:v>3.3333333333333335</x:v>
      </x:c>
      <x:c r="J504" s="12">
        <x:f>英雄升级调参!$E$107</x:f>
        <x:v>2994</x:v>
      </x:c>
      <x:c r="K504" s="12">
        <x:f>英雄升级调参!$F$107</x:f>
        <x:v>29940</x:v>
      </x:c>
      <x:c r="L504" s="6" t="n">
        <x:f>ROUNDUP(F504/J504,0)</x:f>
        <x:v>3</x:v>
      </x:c>
      <x:c r="M504" s="6" t="n">
        <x:f>IF(G504=0,"无伤害",ROUNDUP(K504/MAX(1,ROUND(G504*$AC$19,0)),0))</x:f>
        <x:v>10</x:v>
      </x:c>
      <x:c r="N504" s="6" t="n">
        <x:f>ROUNDUP(F504/英雄升级调参!$H$107,0)</x:f>
        <x:v>2</x:v>
      </x:c>
      <x:c r="O504" s="6" t="n">
        <x:f>ROUNDUP(F504/英雄升级调参!$K$107,0)</x:f>
        <x:v>2</x:v>
      </x:c>
      <x:c r="P504" s="6" t="str">
        <x:f>$AA$19</x:f>
        <x:v>普通：3次标准普攻击杀；10次主要攻击致死</x:v>
      </x:c>
      <x:c r="Q504" s="6"/>
      <x:c r="R504" s="6"/>
      <x:c r="S504" s="6"/>
      <x:c r="T504" s="6"/>
    </x:row>
    <x:row r="505" ht="21" customHeight="1">
      <x:c r="A505" s="14" t="n">
        <x:f>$V$19</x:f>
        <x:v>60006</x:v>
      </x:c>
      <x:c r="B505" s="14" t="str">
        <x:f>$W$19</x:f>
        <x:v>花射手</x:v>
      </x:c>
      <x:c r="C505" s="6" t="str">
        <x:f>$X$19</x:f>
        <x:v>远程</x:v>
      </x:c>
      <x:c r="D505" s="6">
        <x:v>43</x:v>
      </x:c>
      <x:c r="E505" s="6">
        <x:v>19</x:v>
      </x:c>
      <x:c r="F505" s="12">
        <x:f>ROUND(J505*$W$4*H505,0)</x:f>
        <x:v>9252</x:v>
      </x:c>
      <x:c r="G505" s="12">
        <x:f>ROUND(J505*$W$4*$W$5*I505,0)</x:f>
        <x:v>3084</x:v>
      </x:c>
      <x:c r="H505" s="11" t="n">
        <x:f>$Y$19</x:f>
        <x:v>0.75</x:v>
      </x:c>
      <x:c r="I505" s="11" t="n">
        <x:f>$Z$19</x:f>
        <x:v>3.3333333333333335</x:v>
      </x:c>
      <x:c r="J505" s="12">
        <x:f>英雄升级调参!$E$108</x:f>
        <x:v>3084</x:v>
      </x:c>
      <x:c r="K505" s="12">
        <x:f>英雄升级调参!$F$108</x:f>
        <x:v>30840</x:v>
      </x:c>
      <x:c r="L505" s="6" t="n">
        <x:f>ROUNDUP(F505/J505,0)</x:f>
        <x:v>3</x:v>
      </x:c>
      <x:c r="M505" s="6" t="n">
        <x:f>IF(G505=0,"无伤害",ROUNDUP(K505/MAX(1,ROUND(G505*$AC$19,0)),0))</x:f>
        <x:v>10</x:v>
      </x:c>
      <x:c r="N505" s="6" t="n">
        <x:f>ROUNDUP(F505/英雄升级调参!$H$108,0)</x:f>
        <x:v>2</x:v>
      </x:c>
      <x:c r="O505" s="6" t="n">
        <x:f>ROUNDUP(F505/英雄升级调参!$K$108,0)</x:f>
        <x:v>2</x:v>
      </x:c>
      <x:c r="P505" s="6" t="str">
        <x:f>$AA$19</x:f>
        <x:v>普通：3次标准普攻击杀；10次主要攻击致死</x:v>
      </x:c>
      <x:c r="Q505" s="6"/>
      <x:c r="R505" s="6"/>
      <x:c r="S505" s="6"/>
      <x:c r="T505" s="6"/>
    </x:row>
    <x:row r="506" ht="21" customHeight="1">
      <x:c r="A506" s="14" t="n">
        <x:f>$V$19</x:f>
        <x:v>60006</x:v>
      </x:c>
      <x:c r="B506" s="14" t="str">
        <x:f>$W$19</x:f>
        <x:v>花射手</x:v>
      </x:c>
      <x:c r="C506" s="6" t="str">
        <x:f>$X$19</x:f>
        <x:v>远程</x:v>
      </x:c>
      <x:c r="D506" s="6">
        <x:v>44</x:v>
      </x:c>
      <x:c r="E506" s="6">
        <x:v>19</x:v>
      </x:c>
      <x:c r="F506" s="12">
        <x:f>ROUND(J506*$W$4*H506,0)</x:f>
        <x:v>9522</x:v>
      </x:c>
      <x:c r="G506" s="12">
        <x:f>ROUND(J506*$W$4*$W$5*I506,0)</x:f>
        <x:v>3174</x:v>
      </x:c>
      <x:c r="H506" s="11" t="n">
        <x:f>$Y$19</x:f>
        <x:v>0.75</x:v>
      </x:c>
      <x:c r="I506" s="11" t="n">
        <x:f>$Z$19</x:f>
        <x:v>3.3333333333333335</x:v>
      </x:c>
      <x:c r="J506" s="12">
        <x:f>英雄升级调参!$E$109</x:f>
        <x:v>3174</x:v>
      </x:c>
      <x:c r="K506" s="12">
        <x:f>英雄升级调参!$F$109</x:f>
        <x:v>31740</x:v>
      </x:c>
      <x:c r="L506" s="6" t="n">
        <x:f>ROUNDUP(F506/J506,0)</x:f>
        <x:v>3</x:v>
      </x:c>
      <x:c r="M506" s="6" t="n">
        <x:f>IF(G506=0,"无伤害",ROUNDUP(K506/MAX(1,ROUND(G506*$AC$19,0)),0))</x:f>
        <x:v>10</x:v>
      </x:c>
      <x:c r="N506" s="6" t="n">
        <x:f>ROUNDUP(F506/英雄升级调参!$H$109,0)</x:f>
        <x:v>2</x:v>
      </x:c>
      <x:c r="O506" s="6" t="n">
        <x:f>ROUNDUP(F506/英雄升级调参!$K$109,0)</x:f>
        <x:v>2</x:v>
      </x:c>
      <x:c r="P506" s="6" t="str">
        <x:f>$AA$19</x:f>
        <x:v>普通：3次标准普攻击杀；10次主要攻击致死</x:v>
      </x:c>
      <x:c r="Q506" s="6"/>
      <x:c r="R506" s="6"/>
      <x:c r="S506" s="6"/>
      <x:c r="T506" s="6"/>
    </x:row>
    <x:row r="507" ht="21" customHeight="1">
      <x:c r="A507" s="14" t="n">
        <x:f>$V$19</x:f>
        <x:v>60006</x:v>
      </x:c>
      <x:c r="B507" s="14" t="str">
        <x:f>$W$19</x:f>
        <x:v>花射手</x:v>
      </x:c>
      <x:c r="C507" s="6" t="str">
        <x:f>$X$19</x:f>
        <x:v>远程</x:v>
      </x:c>
      <x:c r="D507" s="6">
        <x:v>45</x:v>
      </x:c>
      <x:c r="E507" s="6">
        <x:v>19</x:v>
      </x:c>
      <x:c r="F507" s="12">
        <x:f>ROUND(J507*$W$4*H507,0)</x:f>
        <x:v>10332</x:v>
      </x:c>
      <x:c r="G507" s="12">
        <x:f>ROUND(J507*$W$4*$W$5*I507,0)</x:f>
        <x:v>3444</x:v>
      </x:c>
      <x:c r="H507" s="11" t="n">
        <x:f>$Y$19</x:f>
        <x:v>0.75</x:v>
      </x:c>
      <x:c r="I507" s="11" t="n">
        <x:f>$Z$19</x:f>
        <x:v>3.3333333333333335</x:v>
      </x:c>
      <x:c r="J507" s="12">
        <x:f>英雄升级调参!$E$110</x:f>
        <x:v>3444</x:v>
      </x:c>
      <x:c r="K507" s="12">
        <x:f>英雄升级调参!$F$110</x:f>
        <x:v>34440</x:v>
      </x:c>
      <x:c r="L507" s="6" t="n">
        <x:f>ROUNDUP(F507/J507,0)</x:f>
        <x:v>3</x:v>
      </x:c>
      <x:c r="M507" s="6" t="n">
        <x:f>IF(G507=0,"无伤害",ROUNDUP(K507/MAX(1,ROUND(G507*$AC$19,0)),0))</x:f>
        <x:v>10</x:v>
      </x:c>
      <x:c r="N507" s="6" t="n">
        <x:f>ROUNDUP(F507/英雄升级调参!$H$110,0)</x:f>
        <x:v>2</x:v>
      </x:c>
      <x:c r="O507" s="6" t="n">
        <x:f>ROUNDUP(F507/英雄升级调参!$K$110,0)</x:f>
        <x:v>2</x:v>
      </x:c>
      <x:c r="P507" s="6" t="str">
        <x:f>$AA$19</x:f>
        <x:v>普通：3次标准普攻击杀；10次主要攻击致死</x:v>
      </x:c>
      <x:c r="Q507" s="6"/>
      <x:c r="R507" s="6"/>
      <x:c r="S507" s="6"/>
      <x:c r="T507" s="6"/>
    </x:row>
    <x:row r="508" ht="21" customHeight="1">
      <x:c r="A508" s="14" t="n">
        <x:f>$V$19</x:f>
        <x:v>60006</x:v>
      </x:c>
      <x:c r="B508" s="14" t="str">
        <x:f>$W$19</x:f>
        <x:v>花射手</x:v>
      </x:c>
      <x:c r="C508" s="6" t="str">
        <x:f>$X$19</x:f>
        <x:v>远程</x:v>
      </x:c>
      <x:c r="D508" s="6">
        <x:v>46</x:v>
      </x:c>
      <x:c r="E508" s="6">
        <x:v>19</x:v>
      </x:c>
      <x:c r="F508" s="12">
        <x:f>ROUND(J508*$W$4*H508,0)</x:f>
        <x:v>10629</x:v>
      </x:c>
      <x:c r="G508" s="12">
        <x:f>ROUND(J508*$W$4*$W$5*I508,0)</x:f>
        <x:v>3543</x:v>
      </x:c>
      <x:c r="H508" s="11" t="n">
        <x:f>$Y$19</x:f>
        <x:v>0.75</x:v>
      </x:c>
      <x:c r="I508" s="11" t="n">
        <x:f>$Z$19</x:f>
        <x:v>3.3333333333333335</x:v>
      </x:c>
      <x:c r="J508" s="12">
        <x:f>英雄升级调参!$E$111</x:f>
        <x:v>3543</x:v>
      </x:c>
      <x:c r="K508" s="12">
        <x:f>英雄升级调参!$F$111</x:f>
        <x:v>35430</x:v>
      </x:c>
      <x:c r="L508" s="6" t="n">
        <x:f>ROUNDUP(F508/J508,0)</x:f>
        <x:v>3</x:v>
      </x:c>
      <x:c r="M508" s="6" t="n">
        <x:f>IF(G508=0,"无伤害",ROUNDUP(K508/MAX(1,ROUND(G508*$AC$19,0)),0))</x:f>
        <x:v>10</x:v>
      </x:c>
      <x:c r="N508" s="6" t="n">
        <x:f>ROUNDUP(F508/英雄升级调参!$H$111,0)</x:f>
        <x:v>2</x:v>
      </x:c>
      <x:c r="O508" s="6" t="n">
        <x:f>ROUNDUP(F508/英雄升级调参!$K$111,0)</x:f>
        <x:v>2</x:v>
      </x:c>
      <x:c r="P508" s="6" t="str">
        <x:f>$AA$19</x:f>
        <x:v>普通：3次标准普攻击杀；10次主要攻击致死</x:v>
      </x:c>
      <x:c r="Q508" s="6"/>
      <x:c r="R508" s="6"/>
      <x:c r="S508" s="6"/>
      <x:c r="T508" s="6"/>
    </x:row>
    <x:row r="509" ht="21" customHeight="1">
      <x:c r="A509" s="14" t="n">
        <x:f>$V$19</x:f>
        <x:v>60006</x:v>
      </x:c>
      <x:c r="B509" s="14" t="str">
        <x:f>$W$19</x:f>
        <x:v>花射手</x:v>
      </x:c>
      <x:c r="C509" s="6" t="str">
        <x:f>$X$19</x:f>
        <x:v>远程</x:v>
      </x:c>
      <x:c r="D509" s="6">
        <x:v>47</x:v>
      </x:c>
      <x:c r="E509" s="6">
        <x:v>19</x:v>
      </x:c>
      <x:c r="F509" s="12">
        <x:f>ROUND(J509*$W$4*H509,0)</x:f>
        <x:v>10926</x:v>
      </x:c>
      <x:c r="G509" s="12">
        <x:f>ROUND(J509*$W$4*$W$5*I509,0)</x:f>
        <x:v>3642</x:v>
      </x:c>
      <x:c r="H509" s="11" t="n">
        <x:f>$Y$19</x:f>
        <x:v>0.75</x:v>
      </x:c>
      <x:c r="I509" s="11" t="n">
        <x:f>$Z$19</x:f>
        <x:v>3.3333333333333335</x:v>
      </x:c>
      <x:c r="J509" s="12">
        <x:f>英雄升级调参!$E$112</x:f>
        <x:v>3642</x:v>
      </x:c>
      <x:c r="K509" s="12">
        <x:f>英雄升级调参!$F$112</x:f>
        <x:v>36420</x:v>
      </x:c>
      <x:c r="L509" s="6" t="n">
        <x:f>ROUNDUP(F509/J509,0)</x:f>
        <x:v>3</x:v>
      </x:c>
      <x:c r="M509" s="6" t="n">
        <x:f>IF(G509=0,"无伤害",ROUNDUP(K509/MAX(1,ROUND(G509*$AC$19,0)),0))</x:f>
        <x:v>10</x:v>
      </x:c>
      <x:c r="N509" s="6" t="n">
        <x:f>ROUNDUP(F509/英雄升级调参!$H$112,0)</x:f>
        <x:v>2</x:v>
      </x:c>
      <x:c r="O509" s="6" t="n">
        <x:f>ROUNDUP(F509/英雄升级调参!$K$112,0)</x:f>
        <x:v>2</x:v>
      </x:c>
      <x:c r="P509" s="6" t="str">
        <x:f>$AA$19</x:f>
        <x:v>普通：3次标准普攻击杀；10次主要攻击致死</x:v>
      </x:c>
      <x:c r="Q509" s="6"/>
      <x:c r="R509" s="6"/>
      <x:c r="S509" s="6"/>
      <x:c r="T509" s="6"/>
    </x:row>
    <x:row r="510" ht="21" customHeight="1">
      <x:c r="A510" s="14" t="n">
        <x:f>$V$19</x:f>
        <x:v>60006</x:v>
      </x:c>
      <x:c r="B510" s="14" t="str">
        <x:f>$W$19</x:f>
        <x:v>花射手</x:v>
      </x:c>
      <x:c r="C510" s="6" t="str">
        <x:f>$X$19</x:f>
        <x:v>远程</x:v>
      </x:c>
      <x:c r="D510" s="6">
        <x:v>48</x:v>
      </x:c>
      <x:c r="E510" s="6">
        <x:v>19</x:v>
      </x:c>
      <x:c r="F510" s="12">
        <x:f>ROUND(J510*$W$4*H510,0)</x:f>
        <x:v>11223</x:v>
      </x:c>
      <x:c r="G510" s="12">
        <x:f>ROUND(J510*$W$4*$W$5*I510,0)</x:f>
        <x:v>3741</x:v>
      </x:c>
      <x:c r="H510" s="11" t="n">
        <x:f>$Y$19</x:f>
        <x:v>0.75</x:v>
      </x:c>
      <x:c r="I510" s="11" t="n">
        <x:f>$Z$19</x:f>
        <x:v>3.3333333333333335</x:v>
      </x:c>
      <x:c r="J510" s="12">
        <x:f>英雄升级调参!$E$113</x:f>
        <x:v>3741</x:v>
      </x:c>
      <x:c r="K510" s="12">
        <x:f>英雄升级调参!$F$113</x:f>
        <x:v>37410</x:v>
      </x:c>
      <x:c r="L510" s="6" t="n">
        <x:f>ROUNDUP(F510/J510,0)</x:f>
        <x:v>3</x:v>
      </x:c>
      <x:c r="M510" s="6" t="n">
        <x:f>IF(G510=0,"无伤害",ROUNDUP(K510/MAX(1,ROUND(G510*$AC$19,0)),0))</x:f>
        <x:v>10</x:v>
      </x:c>
      <x:c r="N510" s="6" t="n">
        <x:f>ROUNDUP(F510/英雄升级调参!$H$113,0)</x:f>
        <x:v>2</x:v>
      </x:c>
      <x:c r="O510" s="6" t="n">
        <x:f>ROUNDUP(F510/英雄升级调参!$K$113,0)</x:f>
        <x:v>2</x:v>
      </x:c>
      <x:c r="P510" s="6" t="str">
        <x:f>$AA$19</x:f>
        <x:v>普通：3次标准普攻击杀；10次主要攻击致死</x:v>
      </x:c>
      <x:c r="Q510" s="6"/>
      <x:c r="R510" s="6"/>
      <x:c r="S510" s="6"/>
      <x:c r="T510" s="6"/>
    </x:row>
    <x:row r="511" ht="21" customHeight="1">
      <x:c r="A511" s="14" t="n">
        <x:f>$V$19</x:f>
        <x:v>60006</x:v>
      </x:c>
      <x:c r="B511" s="14" t="str">
        <x:f>$W$19</x:f>
        <x:v>花射手</x:v>
      </x:c>
      <x:c r="C511" s="6" t="str">
        <x:f>$X$19</x:f>
        <x:v>远程</x:v>
      </x:c>
      <x:c r="D511" s="6">
        <x:v>49</x:v>
      </x:c>
      <x:c r="E511" s="6">
        <x:v>19</x:v>
      </x:c>
      <x:c r="F511" s="12">
        <x:f>ROUND(J511*$W$4*H511,0)</x:f>
        <x:v>11520</x:v>
      </x:c>
      <x:c r="G511" s="12">
        <x:f>ROUND(J511*$W$4*$W$5*I511,0)</x:f>
        <x:v>3840</x:v>
      </x:c>
      <x:c r="H511" s="11" t="n">
        <x:f>$Y$19</x:f>
        <x:v>0.75</x:v>
      </x:c>
      <x:c r="I511" s="11" t="n">
        <x:f>$Z$19</x:f>
        <x:v>3.3333333333333335</x:v>
      </x:c>
      <x:c r="J511" s="12">
        <x:f>英雄升级调参!$E$114</x:f>
        <x:v>3840</x:v>
      </x:c>
      <x:c r="K511" s="12">
        <x:f>英雄升级调参!$F$114</x:f>
        <x:v>38400</x:v>
      </x:c>
      <x:c r="L511" s="6" t="n">
        <x:f>ROUNDUP(F511/J511,0)</x:f>
        <x:v>3</x:v>
      </x:c>
      <x:c r="M511" s="6" t="n">
        <x:f>IF(G511=0,"无伤害",ROUNDUP(K511/MAX(1,ROUND(G511*$AC$19,0)),0))</x:f>
        <x:v>10</x:v>
      </x:c>
      <x:c r="N511" s="6" t="n">
        <x:f>ROUNDUP(F511/英雄升级调参!$H$114,0)</x:f>
        <x:v>2</x:v>
      </x:c>
      <x:c r="O511" s="6" t="n">
        <x:f>ROUNDUP(F511/英雄升级调参!$K$114,0)</x:f>
        <x:v>2</x:v>
      </x:c>
      <x:c r="P511" s="6" t="str">
        <x:f>$AA$19</x:f>
        <x:v>普通：3次标准普攻击杀；10次主要攻击致死</x:v>
      </x:c>
      <x:c r="Q511" s="6"/>
      <x:c r="R511" s="6"/>
      <x:c r="S511" s="6"/>
      <x:c r="T511" s="6"/>
    </x:row>
    <x:row r="512" ht="21" customHeight="1">
      <x:c r="A512" s="14" t="n">
        <x:f>$V$19</x:f>
        <x:v>60006</x:v>
      </x:c>
      <x:c r="B512" s="14" t="str">
        <x:f>$W$19</x:f>
        <x:v>花射手</x:v>
      </x:c>
      <x:c r="C512" s="6" t="str">
        <x:f>$X$19</x:f>
        <x:v>远程</x:v>
      </x:c>
      <x:c r="D512" s="6">
        <x:v>50</x:v>
      </x:c>
      <x:c r="E512" s="6">
        <x:v>19</x:v>
      </x:c>
      <x:c r="F512" s="12">
        <x:f>ROUND(J512*$W$4*H512,0)</x:f>
        <x:v>12411</x:v>
      </x:c>
      <x:c r="G512" s="12">
        <x:f>ROUND(J512*$W$4*$W$5*I512,0)</x:f>
        <x:v>4137</x:v>
      </x:c>
      <x:c r="H512" s="11" t="n">
        <x:f>$Y$19</x:f>
        <x:v>0.75</x:v>
      </x:c>
      <x:c r="I512" s="11" t="n">
        <x:f>$Z$19</x:f>
        <x:v>3.3333333333333335</x:v>
      </x:c>
      <x:c r="J512" s="12">
        <x:f>英雄升级调参!$E$115</x:f>
        <x:v>4137</x:v>
      </x:c>
      <x:c r="K512" s="12">
        <x:f>英雄升级调参!$F$115</x:f>
        <x:v>41370</x:v>
      </x:c>
      <x:c r="L512" s="6" t="n">
        <x:f>ROUNDUP(F512/J512,0)</x:f>
        <x:v>3</x:v>
      </x:c>
      <x:c r="M512" s="6" t="n">
        <x:f>IF(G512=0,"无伤害",ROUNDUP(K512/MAX(1,ROUND(G512*$AC$19,0)),0))</x:f>
        <x:v>10</x:v>
      </x:c>
      <x:c r="N512" s="6" t="n">
        <x:f>ROUNDUP(F512/英雄升级调参!$H$115,0)</x:f>
        <x:v>2</x:v>
      </x:c>
      <x:c r="O512" s="6" t="n">
        <x:f>ROUNDUP(F512/英雄升级调参!$K$115,0)</x:f>
        <x:v>2</x:v>
      </x:c>
      <x:c r="P512" s="6" t="str">
        <x:f>$AA$19</x:f>
        <x:v>普通：3次标准普攻击杀；10次主要攻击致死</x:v>
      </x:c>
      <x:c r="Q512" s="6"/>
      <x:c r="R512" s="6"/>
      <x:c r="S512" s="6"/>
      <x:c r="T512" s="6"/>
    </x:row>
    <x:row r="513" ht="21" customHeight="1">
      <x:c r="A513" s="14" t="n">
        <x:f>$V$20</x:f>
        <x:v>60007</x:v>
      </x:c>
      <x:c r="B513" s="14" t="str">
        <x:f>$W$20</x:f>
        <x:v>橙子球</x:v>
      </x:c>
      <x:c r="C513" s="6" t="str">
        <x:f>$X$20</x:f>
        <x:v>普通</x:v>
      </x:c>
      <x:c r="D513" s="6">
        <x:v>1</x:v>
      </x:c>
      <x:c r="E513" s="6">
        <x:v>20</x:v>
      </x:c>
      <x:c r="F513" s="12" t="n">
        <x:f>ROUND(J513*$W$4*H513,0)</x:f>
        <x:v>240</x:v>
      </x:c>
      <x:c r="G513" s="12">
        <x:f>ROUND((ROUND(J513*$W$4*$W$5*I513,0))*2/3,0)</x:f>
        <x:v>40</x:v>
      </x:c>
      <x:c r="H513" s="11" t="n">
        <x:f>$Y$20</x:f>
        <x:v>1</x:v>
      </x:c>
      <x:c r="I513" s="11" t="n">
        <x:f>$Z$20</x:f>
        <x:v>3.3333333333333335</x:v>
      </x:c>
      <x:c r="J513" s="12" t="n">
        <x:f>英雄升级调参!$E$66</x:f>
        <x:v>60</x:v>
      </x:c>
      <x:c r="K513" s="12" t="n">
        <x:f>英雄升级调参!$F$66</x:f>
        <x:v>600</x:v>
      </x:c>
      <x:c r="L513" s="6" t="n">
        <x:f>ROUNDUP(F513/J513,0)</x:f>
        <x:v>4</x:v>
      </x:c>
      <x:c r="M513" s="6">
        <x:f>IF(G513=0,"无伤害",ROUNDUP(K513/MAX(1,ROUND(G513*$AC$20,0)),0))</x:f>
        <x:v>15</x:v>
      </x:c>
      <x:c r="N513" s="6">
        <x:f>ROUNDUP(F513/英雄升级调参!$H$66,0)</x:f>
        <x:v>2</x:v>
      </x:c>
      <x:c r="O513" s="6">
        <x:f>ROUNDUP(F513/英雄升级调参!$K$66,0)</x:f>
        <x:v>1</x:v>
      </x:c>
      <x:c r="P513" s="6" t="str">
        <x:f>$AA$20</x:f>
        <x:v>普通：4次标准普攻击杀；10次主要攻击致死</x:v>
      </x:c>
      <x:c r="Q513" s="6"/>
      <x:c r="R513" s="6"/>
      <x:c r="S513" s="6"/>
      <x:c r="T513" s="6"/>
    </x:row>
    <x:row r="514" ht="21" customHeight="1">
      <x:c r="A514" s="14" t="n">
        <x:f>$V$20</x:f>
        <x:v>60007</x:v>
      </x:c>
      <x:c r="B514" s="14" t="str">
        <x:f>$W$20</x:f>
        <x:v>橙子球</x:v>
      </x:c>
      <x:c r="C514" s="6" t="str">
        <x:f>$X$20</x:f>
        <x:v>普通</x:v>
      </x:c>
      <x:c r="D514" s="6">
        <x:v>2</x:v>
      </x:c>
      <x:c r="E514" s="6">
        <x:v>20</x:v>
      </x:c>
      <x:c r="F514" s="12">
        <x:f>ROUND(J514*$W$4*H514,0)</x:f>
        <x:v>312</x:v>
      </x:c>
      <x:c r="G514" s="12">
        <x:f>ROUND(J514*$W$4*$W$5*I514,0)</x:f>
        <x:v>78</x:v>
      </x:c>
      <x:c r="H514" s="11" t="n">
        <x:f>$Y$20</x:f>
        <x:v>1</x:v>
      </x:c>
      <x:c r="I514" s="11" t="n">
        <x:f>$Z$20</x:f>
        <x:v>3.3333333333333335</x:v>
      </x:c>
      <x:c r="J514" s="12">
        <x:f>英雄升级调参!$E$67</x:f>
        <x:v>78</x:v>
      </x:c>
      <x:c r="K514" s="12">
        <x:f>英雄升级调参!$F$67</x:f>
        <x:v>780</x:v>
      </x:c>
      <x:c r="L514" s="6" t="n">
        <x:f>ROUNDUP(F514/J514,0)</x:f>
        <x:v>4</x:v>
      </x:c>
      <x:c r="M514" s="6" t="n">
        <x:f>IF(G514=0,"无伤害",ROUNDUP(K514/MAX(1,ROUND(G514*$AC$20,0)),0))</x:f>
        <x:v>10</x:v>
      </x:c>
      <x:c r="N514" s="6">
        <x:f>ROUNDUP(F514/英雄升级调参!$H$67,0)</x:f>
        <x:v>2</x:v>
      </x:c>
      <x:c r="O514" s="6">
        <x:f>ROUNDUP(F514/英雄升级调参!$K$67,0)</x:f>
        <x:v>1</x:v>
      </x:c>
      <x:c r="P514" s="6" t="str">
        <x:f>$AA$20</x:f>
        <x:v>普通：4次标准普攻击杀；10次主要攻击致死</x:v>
      </x:c>
      <x:c r="Q514" s="6"/>
      <x:c r="R514" s="6"/>
      <x:c r="S514" s="6"/>
      <x:c r="T514" s="6"/>
    </x:row>
    <x:row r="515" ht="21" customHeight="1">
      <x:c r="A515" s="14" t="n">
        <x:f>$V$20</x:f>
        <x:v>60007</x:v>
      </x:c>
      <x:c r="B515" s="14" t="str">
        <x:f>$W$20</x:f>
        <x:v>橙子球</x:v>
      </x:c>
      <x:c r="C515" s="6" t="str">
        <x:f>$X$20</x:f>
        <x:v>普通</x:v>
      </x:c>
      <x:c r="D515" s="6">
        <x:v>3</x:v>
      </x:c>
      <x:c r="E515" s="6">
        <x:v>20</x:v>
      </x:c>
      <x:c r="F515" s="12">
        <x:f>ROUND(J515*$W$4*H515,0)</x:f>
        <x:v>384</x:v>
      </x:c>
      <x:c r="G515" s="12">
        <x:f>ROUND(J515*$W$4*$W$5*I515,0)</x:f>
        <x:v>96</x:v>
      </x:c>
      <x:c r="H515" s="11" t="n">
        <x:f>$Y$20</x:f>
        <x:v>1</x:v>
      </x:c>
      <x:c r="I515" s="11" t="n">
        <x:f>$Z$20</x:f>
        <x:v>3.3333333333333335</x:v>
      </x:c>
      <x:c r="J515" s="12">
        <x:f>英雄升级调参!$E$68</x:f>
        <x:v>96</x:v>
      </x:c>
      <x:c r="K515" s="12">
        <x:f>英雄升级调参!$F$68</x:f>
        <x:v>960</x:v>
      </x:c>
      <x:c r="L515" s="6" t="n">
        <x:f>ROUNDUP(F515/J515,0)</x:f>
        <x:v>4</x:v>
      </x:c>
      <x:c r="M515" s="6" t="n">
        <x:f>IF(G515=0,"无伤害",ROUNDUP(K515/MAX(1,ROUND(G515*$AC$20,0)),0))</x:f>
        <x:v>10</x:v>
      </x:c>
      <x:c r="N515" s="6">
        <x:f>ROUNDUP(F515/英雄升级调参!$H$68,0)</x:f>
        <x:v>2</x:v>
      </x:c>
      <x:c r="O515" s="6">
        <x:f>ROUNDUP(F515/英雄升级调参!$K$68,0)</x:f>
        <x:v>1</x:v>
      </x:c>
      <x:c r="P515" s="6" t="str">
        <x:f>$AA$20</x:f>
        <x:v>普通：4次标准普攻击杀；10次主要攻击致死</x:v>
      </x:c>
      <x:c r="Q515" s="6"/>
      <x:c r="R515" s="6"/>
      <x:c r="S515" s="6"/>
      <x:c r="T515" s="6"/>
    </x:row>
    <x:row r="516" ht="21" customHeight="1">
      <x:c r="A516" s="14" t="n">
        <x:f>$V$20</x:f>
        <x:v>60007</x:v>
      </x:c>
      <x:c r="B516" s="14" t="str">
        <x:f>$W$20</x:f>
        <x:v>橙子球</x:v>
      </x:c>
      <x:c r="C516" s="6" t="str">
        <x:f>$X$20</x:f>
        <x:v>普通</x:v>
      </x:c>
      <x:c r="D516" s="6">
        <x:v>4</x:v>
      </x:c>
      <x:c r="E516" s="6">
        <x:v>20</x:v>
      </x:c>
      <x:c r="F516" s="12">
        <x:f>ROUND(J516*$W$4*H516,0)</x:f>
        <x:v>456</x:v>
      </x:c>
      <x:c r="G516" s="12">
        <x:f>ROUND(J516*$W$4*$W$5*I516,0)</x:f>
        <x:v>114</x:v>
      </x:c>
      <x:c r="H516" s="11" t="n">
        <x:f>$Y$20</x:f>
        <x:v>1</x:v>
      </x:c>
      <x:c r="I516" s="11" t="n">
        <x:f>$Z$20</x:f>
        <x:v>3.3333333333333335</x:v>
      </x:c>
      <x:c r="J516" s="12">
        <x:f>英雄升级调参!$E$69</x:f>
        <x:v>114</x:v>
      </x:c>
      <x:c r="K516" s="12">
        <x:f>英雄升级调参!$F$69</x:f>
        <x:v>1140</x:v>
      </x:c>
      <x:c r="L516" s="6" t="n">
        <x:f>ROUNDUP(F516/J516,0)</x:f>
        <x:v>4</x:v>
      </x:c>
      <x:c r="M516" s="6" t="n">
        <x:f>IF(G516=0,"无伤害",ROUNDUP(K516/MAX(1,ROUND(G516*$AC$20,0)),0))</x:f>
        <x:v>10</x:v>
      </x:c>
      <x:c r="N516" s="6">
        <x:f>ROUNDUP(F516/英雄升级调参!$H$69,0)</x:f>
        <x:v>2</x:v>
      </x:c>
      <x:c r="O516" s="6">
        <x:f>ROUNDUP(F516/英雄升级调参!$K$69,0)</x:f>
        <x:v>1</x:v>
      </x:c>
      <x:c r="P516" s="6" t="str">
        <x:f>$AA$20</x:f>
        <x:v>普通：4次标准普攻击杀；10次主要攻击致死</x:v>
      </x:c>
      <x:c r="Q516" s="6"/>
      <x:c r="R516" s="6"/>
      <x:c r="S516" s="6"/>
      <x:c r="T516" s="6"/>
    </x:row>
    <x:row r="517" ht="21" customHeight="1">
      <x:c r="A517" s="14" t="n">
        <x:f>$V$20</x:f>
        <x:v>60007</x:v>
      </x:c>
      <x:c r="B517" s="14" t="str">
        <x:f>$W$20</x:f>
        <x:v>橙子球</x:v>
      </x:c>
      <x:c r="C517" s="6" t="str">
        <x:f>$X$20</x:f>
        <x:v>普通</x:v>
      </x:c>
      <x:c r="D517" s="6">
        <x:v>5</x:v>
      </x:c>
      <x:c r="E517" s="6">
        <x:v>20</x:v>
      </x:c>
      <x:c r="F517" s="12">
        <x:f>ROUND(J517*$W$4*H517,0)</x:f>
        <x:v>672</x:v>
      </x:c>
      <x:c r="G517" s="12">
        <x:f>ROUND(J517*$W$4*$W$5*I517,0)</x:f>
        <x:v>168</x:v>
      </x:c>
      <x:c r="H517" s="11" t="n">
        <x:f>$Y$20</x:f>
        <x:v>1</x:v>
      </x:c>
      <x:c r="I517" s="11" t="n">
        <x:f>$Z$20</x:f>
        <x:v>3.3333333333333335</x:v>
      </x:c>
      <x:c r="J517" s="12">
        <x:f>英雄升级调参!$E$70</x:f>
        <x:v>168</x:v>
      </x:c>
      <x:c r="K517" s="12">
        <x:f>英雄升级调参!$F$70</x:f>
        <x:v>1680</x:v>
      </x:c>
      <x:c r="L517" s="6" t="n">
        <x:f>ROUNDUP(F517/J517,0)</x:f>
        <x:v>4</x:v>
      </x:c>
      <x:c r="M517" s="6" t="n">
        <x:f>IF(G517=0,"无伤害",ROUNDUP(K517/MAX(1,ROUND(G517*$AC$20,0)),0))</x:f>
        <x:v>10</x:v>
      </x:c>
      <x:c r="N517" s="6">
        <x:f>ROUNDUP(F517/英雄升级调参!$H$70,0)</x:f>
        <x:v>2</x:v>
      </x:c>
      <x:c r="O517" s="6" t="n">
        <x:f>ROUNDUP(F517/英雄升级调参!$K$70,0)</x:f>
        <x:v>2</x:v>
      </x:c>
      <x:c r="P517" s="6" t="str">
        <x:f>$AA$20</x:f>
        <x:v>普通：4次标准普攻击杀；10次主要攻击致死</x:v>
      </x:c>
      <x:c r="Q517" s="6"/>
      <x:c r="R517" s="6"/>
      <x:c r="S517" s="6"/>
      <x:c r="T517" s="6"/>
    </x:row>
    <x:row r="518" ht="21" customHeight="1">
      <x:c r="A518" s="14" t="n">
        <x:f>$V$20</x:f>
        <x:v>60007</x:v>
      </x:c>
      <x:c r="B518" s="14" t="str">
        <x:f>$W$20</x:f>
        <x:v>橙子球</x:v>
      </x:c>
      <x:c r="C518" s="6" t="str">
        <x:f>$X$20</x:f>
        <x:v>普通</x:v>
      </x:c>
      <x:c r="D518" s="6">
        <x:v>6</x:v>
      </x:c>
      <x:c r="E518" s="6">
        <x:v>20</x:v>
      </x:c>
      <x:c r="F518" s="12">
        <x:f>ROUND(J518*$W$4*H518,0)</x:f>
        <x:v>780</x:v>
      </x:c>
      <x:c r="G518" s="12">
        <x:f>ROUND(J518*$W$4*$W$5*I518,0)</x:f>
        <x:v>195</x:v>
      </x:c>
      <x:c r="H518" s="11" t="n">
        <x:f>$Y$20</x:f>
        <x:v>1</x:v>
      </x:c>
      <x:c r="I518" s="11" t="n">
        <x:f>$Z$20</x:f>
        <x:v>3.3333333333333335</x:v>
      </x:c>
      <x:c r="J518" s="12">
        <x:f>英雄升级调参!$E$71</x:f>
        <x:v>195</x:v>
      </x:c>
      <x:c r="K518" s="12">
        <x:f>英雄升级调参!$F$71</x:f>
        <x:v>1950</x:v>
      </x:c>
      <x:c r="L518" s="6" t="n">
        <x:f>ROUNDUP(F518/J518,0)</x:f>
        <x:v>4</x:v>
      </x:c>
      <x:c r="M518" s="6" t="n">
        <x:f>IF(G518=0,"无伤害",ROUNDUP(K518/MAX(1,ROUND(G518*$AC$20,0)),0))</x:f>
        <x:v>10</x:v>
      </x:c>
      <x:c r="N518" s="6">
        <x:f>ROUNDUP(F518/英雄升级调参!$H$71,0)</x:f>
        <x:v>2</x:v>
      </x:c>
      <x:c r="O518" s="6" t="n">
        <x:f>ROUNDUP(F518/英雄升级调参!$K$71,0)</x:f>
        <x:v>2</x:v>
      </x:c>
      <x:c r="P518" s="6" t="str">
        <x:f>$AA$20</x:f>
        <x:v>普通：4次标准普攻击杀；10次主要攻击致死</x:v>
      </x:c>
      <x:c r="Q518" s="6"/>
      <x:c r="R518" s="6"/>
      <x:c r="S518" s="6"/>
      <x:c r="T518" s="6"/>
    </x:row>
    <x:row r="519" ht="21" customHeight="1">
      <x:c r="A519" s="14" t="n">
        <x:f>$V$20</x:f>
        <x:v>60007</x:v>
      </x:c>
      <x:c r="B519" s="14" t="str">
        <x:f>$W$20</x:f>
        <x:v>橙子球</x:v>
      </x:c>
      <x:c r="C519" s="6" t="str">
        <x:f>$X$20</x:f>
        <x:v>普通</x:v>
      </x:c>
      <x:c r="D519" s="6">
        <x:v>7</x:v>
      </x:c>
      <x:c r="E519" s="6">
        <x:v>20</x:v>
      </x:c>
      <x:c r="F519" s="12">
        <x:f>ROUND(J519*$W$4*H519,0)</x:f>
        <x:v>888</x:v>
      </x:c>
      <x:c r="G519" s="12">
        <x:f>ROUND(J519*$W$4*$W$5*I519,0)</x:f>
        <x:v>222</x:v>
      </x:c>
      <x:c r="H519" s="11" t="n">
        <x:f>$Y$20</x:f>
        <x:v>1</x:v>
      </x:c>
      <x:c r="I519" s="11" t="n">
        <x:f>$Z$20</x:f>
        <x:v>3.3333333333333335</x:v>
      </x:c>
      <x:c r="J519" s="12">
        <x:f>英雄升级调参!$E$72</x:f>
        <x:v>222</x:v>
      </x:c>
      <x:c r="K519" s="12">
        <x:f>英雄升级调参!$F$72</x:f>
        <x:v>2220</x:v>
      </x:c>
      <x:c r="L519" s="6" t="n">
        <x:f>ROUNDUP(F519/J519,0)</x:f>
        <x:v>4</x:v>
      </x:c>
      <x:c r="M519" s="6" t="n">
        <x:f>IF(G519=0,"无伤害",ROUNDUP(K519/MAX(1,ROUND(G519*$AC$20,0)),0))</x:f>
        <x:v>10</x:v>
      </x:c>
      <x:c r="N519" s="6" t="n">
        <x:f>ROUNDUP(F519/英雄升级调参!$H$72,0)</x:f>
        <x:v>3</x:v>
      </x:c>
      <x:c r="O519" s="6" t="n">
        <x:f>ROUNDUP(F519/英雄升级调参!$K$72,0)</x:f>
        <x:v>2</x:v>
      </x:c>
      <x:c r="P519" s="6" t="str">
        <x:f>$AA$20</x:f>
        <x:v>普通：4次标准普攻击杀；10次主要攻击致死</x:v>
      </x:c>
      <x:c r="Q519" s="6"/>
      <x:c r="R519" s="6"/>
      <x:c r="S519" s="6"/>
      <x:c r="T519" s="6"/>
    </x:row>
    <x:row r="520" ht="21" customHeight="1">
      <x:c r="A520" s="14" t="n">
        <x:f>$V$20</x:f>
        <x:v>60007</x:v>
      </x:c>
      <x:c r="B520" s="14" t="str">
        <x:f>$W$20</x:f>
        <x:v>橙子球</x:v>
      </x:c>
      <x:c r="C520" s="6" t="str">
        <x:f>$X$20</x:f>
        <x:v>普通</x:v>
      </x:c>
      <x:c r="D520" s="6">
        <x:v>8</x:v>
      </x:c>
      <x:c r="E520" s="6">
        <x:v>20</x:v>
      </x:c>
      <x:c r="F520" s="12">
        <x:f>ROUND(J520*$W$4*H520,0)</x:f>
        <x:v>996</x:v>
      </x:c>
      <x:c r="G520" s="12">
        <x:f>ROUND(J520*$W$4*$W$5*I520,0)</x:f>
        <x:v>249</x:v>
      </x:c>
      <x:c r="H520" s="11" t="n">
        <x:f>$Y$20</x:f>
        <x:v>1</x:v>
      </x:c>
      <x:c r="I520" s="11" t="n">
        <x:f>$Z$20</x:f>
        <x:v>3.3333333333333335</x:v>
      </x:c>
      <x:c r="J520" s="12">
        <x:f>英雄升级调参!$E$73</x:f>
        <x:v>249</x:v>
      </x:c>
      <x:c r="K520" s="12">
        <x:f>英雄升级调参!$F$73</x:f>
        <x:v>2490</x:v>
      </x:c>
      <x:c r="L520" s="6" t="n">
        <x:f>ROUNDUP(F520/J520,0)</x:f>
        <x:v>4</x:v>
      </x:c>
      <x:c r="M520" s="6" t="n">
        <x:f>IF(G520=0,"无伤害",ROUNDUP(K520/MAX(1,ROUND(G520*$AC$20,0)),0))</x:f>
        <x:v>10</x:v>
      </x:c>
      <x:c r="N520" s="6" t="n">
        <x:f>ROUNDUP(F520/英雄升级调参!$H$73,0)</x:f>
        <x:v>3</x:v>
      </x:c>
      <x:c r="O520" s="6" t="n">
        <x:f>ROUNDUP(F520/英雄升级调参!$K$73,0)</x:f>
        <x:v>2</x:v>
      </x:c>
      <x:c r="P520" s="6" t="str">
        <x:f>$AA$20</x:f>
        <x:v>普通：4次标准普攻击杀；10次主要攻击致死</x:v>
      </x:c>
      <x:c r="Q520" s="6"/>
      <x:c r="R520" s="6"/>
      <x:c r="S520" s="6"/>
      <x:c r="T520" s="6"/>
    </x:row>
    <x:row r="521" ht="21" customHeight="1">
      <x:c r="A521" s="14" t="n">
        <x:f>$V$20</x:f>
        <x:v>60007</x:v>
      </x:c>
      <x:c r="B521" s="14" t="str">
        <x:f>$W$20</x:f>
        <x:v>橙子球</x:v>
      </x:c>
      <x:c r="C521" s="6" t="str">
        <x:f>$X$20</x:f>
        <x:v>普通</x:v>
      </x:c>
      <x:c r="D521" s="6">
        <x:v>9</x:v>
      </x:c>
      <x:c r="E521" s="6">
        <x:v>20</x:v>
      </x:c>
      <x:c r="F521" s="12">
        <x:f>ROUND(J521*$W$4*H521,0)</x:f>
        <x:v>1104</x:v>
      </x:c>
      <x:c r="G521" s="12">
        <x:f>ROUND(J521*$W$4*$W$5*I521,0)</x:f>
        <x:v>276</x:v>
      </x:c>
      <x:c r="H521" s="11" t="n">
        <x:f>$Y$20</x:f>
        <x:v>1</x:v>
      </x:c>
      <x:c r="I521" s="11" t="n">
        <x:f>$Z$20</x:f>
        <x:v>3.3333333333333335</x:v>
      </x:c>
      <x:c r="J521" s="12">
        <x:f>英雄升级调参!$E$74</x:f>
        <x:v>276</x:v>
      </x:c>
      <x:c r="K521" s="12">
        <x:f>英雄升级调参!$F$74</x:f>
        <x:v>2760</x:v>
      </x:c>
      <x:c r="L521" s="6" t="n">
        <x:f>ROUNDUP(F521/J521,0)</x:f>
        <x:v>4</x:v>
      </x:c>
      <x:c r="M521" s="6" t="n">
        <x:f>IF(G521=0,"无伤害",ROUNDUP(K521/MAX(1,ROUND(G521*$AC$20,0)),0))</x:f>
        <x:v>10</x:v>
      </x:c>
      <x:c r="N521" s="6" t="n">
        <x:f>ROUNDUP(F521/英雄升级调参!$H$74,0)</x:f>
        <x:v>3</x:v>
      </x:c>
      <x:c r="O521" s="6" t="n">
        <x:f>ROUNDUP(F521/英雄升级调参!$K$74,0)</x:f>
        <x:v>2</x:v>
      </x:c>
      <x:c r="P521" s="6" t="str">
        <x:f>$AA$20</x:f>
        <x:v>普通：4次标准普攻击杀；10次主要攻击致死</x:v>
      </x:c>
      <x:c r="Q521" s="6"/>
      <x:c r="R521" s="6"/>
      <x:c r="S521" s="6"/>
      <x:c r="T521" s="6"/>
    </x:row>
    <x:row r="522" ht="21" customHeight="1">
      <x:c r="A522" s="14" t="n">
        <x:f>$V$20</x:f>
        <x:v>60007</x:v>
      </x:c>
      <x:c r="B522" s="14" t="str">
        <x:f>$W$20</x:f>
        <x:v>橙子球</x:v>
      </x:c>
      <x:c r="C522" s="6" t="str">
        <x:f>$X$20</x:f>
        <x:v>普通</x:v>
      </x:c>
      <x:c r="D522" s="6">
        <x:v>10</x:v>
      </x:c>
      <x:c r="E522" s="6">
        <x:v>20</x:v>
      </x:c>
      <x:c r="F522" s="12">
        <x:f>ROUND(J522*$W$4*H522,0)</x:f>
        <x:v>1428</x:v>
      </x:c>
      <x:c r="G522" s="12">
        <x:f>ROUND(J522*$W$4*$W$5*I522,0)</x:f>
        <x:v>357</x:v>
      </x:c>
      <x:c r="H522" s="11" t="n">
        <x:f>$Y$20</x:f>
        <x:v>1</x:v>
      </x:c>
      <x:c r="I522" s="11" t="n">
        <x:f>$Z$20</x:f>
        <x:v>3.3333333333333335</x:v>
      </x:c>
      <x:c r="J522" s="12">
        <x:f>英雄升级调参!$E$75</x:f>
        <x:v>357</x:v>
      </x:c>
      <x:c r="K522" s="12">
        <x:f>英雄升级调参!$F$75</x:f>
        <x:v>3570</x:v>
      </x:c>
      <x:c r="L522" s="6" t="n">
        <x:f>ROUNDUP(F522/J522,0)</x:f>
        <x:v>4</x:v>
      </x:c>
      <x:c r="M522" s="6" t="n">
        <x:f>IF(G522=0,"无伤害",ROUNDUP(K522/MAX(1,ROUND(G522*$AC$20,0)),0))</x:f>
        <x:v>10</x:v>
      </x:c>
      <x:c r="N522" s="6" t="n">
        <x:f>ROUNDUP(F522/英雄升级调参!$H$75,0)</x:f>
        <x:v>3</x:v>
      </x:c>
      <x:c r="O522" s="6" t="n">
        <x:f>ROUNDUP(F522/英雄升级调参!$K$75,0)</x:f>
        <x:v>2</x:v>
      </x:c>
      <x:c r="P522" s="6" t="str">
        <x:f>$AA$20</x:f>
        <x:v>普通：4次标准普攻击杀；10次主要攻击致死</x:v>
      </x:c>
      <x:c r="Q522" s="6"/>
      <x:c r="R522" s="6"/>
      <x:c r="S522" s="6"/>
      <x:c r="T522" s="6"/>
    </x:row>
    <x:row r="523" ht="21" customHeight="1">
      <x:c r="A523" s="14" t="n">
        <x:f>$V$20</x:f>
        <x:v>60007</x:v>
      </x:c>
      <x:c r="B523" s="14" t="str">
        <x:f>$W$20</x:f>
        <x:v>橙子球</x:v>
      </x:c>
      <x:c r="C523" s="6" t="str">
        <x:f>$X$20</x:f>
        <x:v>普通</x:v>
      </x:c>
      <x:c r="D523" s="6">
        <x:v>11</x:v>
      </x:c>
      <x:c r="E523" s="6">
        <x:v>20</x:v>
      </x:c>
      <x:c r="F523" s="12">
        <x:f>ROUND(J523*$W$4*H523,0)</x:f>
        <x:v>1572</x:v>
      </x:c>
      <x:c r="G523" s="12">
        <x:f>ROUND(J523*$W$4*$W$5*I523,0)</x:f>
        <x:v>393</x:v>
      </x:c>
      <x:c r="H523" s="11" t="n">
        <x:f>$Y$20</x:f>
        <x:v>1</x:v>
      </x:c>
      <x:c r="I523" s="11" t="n">
        <x:f>$Z$20</x:f>
        <x:v>3.3333333333333335</x:v>
      </x:c>
      <x:c r="J523" s="12">
        <x:f>英雄升级调参!$E$76</x:f>
        <x:v>393</x:v>
      </x:c>
      <x:c r="K523" s="12">
        <x:f>英雄升级调参!$F$76</x:f>
        <x:v>3930</x:v>
      </x:c>
      <x:c r="L523" s="6" t="n">
        <x:f>ROUNDUP(F523/J523,0)</x:f>
        <x:v>4</x:v>
      </x:c>
      <x:c r="M523" s="6" t="n">
        <x:f>IF(G523=0,"无伤害",ROUNDUP(K523/MAX(1,ROUND(G523*$AC$20,0)),0))</x:f>
        <x:v>10</x:v>
      </x:c>
      <x:c r="N523" s="6" t="n">
        <x:f>ROUNDUP(F523/英雄升级调参!$H$76,0)</x:f>
        <x:v>3</x:v>
      </x:c>
      <x:c r="O523" s="6" t="n">
        <x:f>ROUNDUP(F523/英雄升级调参!$K$76,0)</x:f>
        <x:v>2</x:v>
      </x:c>
      <x:c r="P523" s="6" t="str">
        <x:f>$AA$20</x:f>
        <x:v>普通：4次标准普攻击杀；10次主要攻击致死</x:v>
      </x:c>
      <x:c r="Q523" s="6"/>
      <x:c r="R523" s="6"/>
      <x:c r="S523" s="6"/>
      <x:c r="T523" s="6"/>
    </x:row>
    <x:row r="524" ht="21" customHeight="1">
      <x:c r="A524" s="14" t="n">
        <x:f>$V$20</x:f>
        <x:v>60007</x:v>
      </x:c>
      <x:c r="B524" s="14" t="str">
        <x:f>$W$20</x:f>
        <x:v>橙子球</x:v>
      </x:c>
      <x:c r="C524" s="6" t="str">
        <x:f>$X$20</x:f>
        <x:v>普通</x:v>
      </x:c>
      <x:c r="D524" s="6">
        <x:v>12</x:v>
      </x:c>
      <x:c r="E524" s="6">
        <x:v>20</x:v>
      </x:c>
      <x:c r="F524" s="12">
        <x:f>ROUND(J524*$W$4*H524,0)</x:f>
        <x:v>1716</x:v>
      </x:c>
      <x:c r="G524" s="12">
        <x:f>ROUND(J524*$W$4*$W$5*I524,0)</x:f>
        <x:v>429</x:v>
      </x:c>
      <x:c r="H524" s="11" t="n">
        <x:f>$Y$20</x:f>
        <x:v>1</x:v>
      </x:c>
      <x:c r="I524" s="11" t="n">
        <x:f>$Z$20</x:f>
        <x:v>3.3333333333333335</x:v>
      </x:c>
      <x:c r="J524" s="12">
        <x:f>英雄升级调参!$E$77</x:f>
        <x:v>429</x:v>
      </x:c>
      <x:c r="K524" s="12">
        <x:f>英雄升级调参!$F$77</x:f>
        <x:v>4290</x:v>
      </x:c>
      <x:c r="L524" s="6" t="n">
        <x:f>ROUNDUP(F524/J524,0)</x:f>
        <x:v>4</x:v>
      </x:c>
      <x:c r="M524" s="6" t="n">
        <x:f>IF(G524=0,"无伤害",ROUNDUP(K524/MAX(1,ROUND(G524*$AC$20,0)),0))</x:f>
        <x:v>10</x:v>
      </x:c>
      <x:c r="N524" s="6" t="n">
        <x:f>ROUNDUP(F524/英雄升级调参!$H$77,0)</x:f>
        <x:v>3</x:v>
      </x:c>
      <x:c r="O524" s="6" t="n">
        <x:f>ROUNDUP(F524/英雄升级调参!$K$77,0)</x:f>
        <x:v>2</x:v>
      </x:c>
      <x:c r="P524" s="6" t="str">
        <x:f>$AA$20</x:f>
        <x:v>普通：4次标准普攻击杀；10次主要攻击致死</x:v>
      </x:c>
      <x:c r="Q524" s="6"/>
      <x:c r="R524" s="6"/>
      <x:c r="S524" s="6"/>
      <x:c r="T524" s="6"/>
    </x:row>
    <x:row r="525" ht="21" customHeight="1">
      <x:c r="A525" s="14" t="n">
        <x:f>$V$20</x:f>
        <x:v>60007</x:v>
      </x:c>
      <x:c r="B525" s="14" t="str">
        <x:f>$W$20</x:f>
        <x:v>橙子球</x:v>
      </x:c>
      <x:c r="C525" s="6" t="str">
        <x:f>$X$20</x:f>
        <x:v>普通</x:v>
      </x:c>
      <x:c r="D525" s="6">
        <x:v>13</x:v>
      </x:c>
      <x:c r="E525" s="6">
        <x:v>20</x:v>
      </x:c>
      <x:c r="F525" s="12">
        <x:f>ROUND(J525*$W$4*H525,0)</x:f>
        <x:v>1860</x:v>
      </x:c>
      <x:c r="G525" s="12">
        <x:f>ROUND(J525*$W$4*$W$5*I525,0)</x:f>
        <x:v>465</x:v>
      </x:c>
      <x:c r="H525" s="11" t="n">
        <x:f>$Y$20</x:f>
        <x:v>1</x:v>
      </x:c>
      <x:c r="I525" s="11" t="n">
        <x:f>$Z$20</x:f>
        <x:v>3.3333333333333335</x:v>
      </x:c>
      <x:c r="J525" s="12">
        <x:f>英雄升级调参!$E$78</x:f>
        <x:v>465</x:v>
      </x:c>
      <x:c r="K525" s="12">
        <x:f>英雄升级调参!$F$78</x:f>
        <x:v>4650</x:v>
      </x:c>
      <x:c r="L525" s="6" t="n">
        <x:f>ROUNDUP(F525/J525,0)</x:f>
        <x:v>4</x:v>
      </x:c>
      <x:c r="M525" s="6" t="n">
        <x:f>IF(G525=0,"无伤害",ROUNDUP(K525/MAX(1,ROUND(G525*$AC$20,0)),0))</x:f>
        <x:v>10</x:v>
      </x:c>
      <x:c r="N525" s="6" t="n">
        <x:f>ROUNDUP(F525/英雄升级调参!$H$78,0)</x:f>
        <x:v>3</x:v>
      </x:c>
      <x:c r="O525" s="6" t="n">
        <x:f>ROUNDUP(F525/英雄升级调参!$K$78,0)</x:f>
        <x:v>2</x:v>
      </x:c>
      <x:c r="P525" s="6" t="str">
        <x:f>$AA$20</x:f>
        <x:v>普通：4次标准普攻击杀；10次主要攻击致死</x:v>
      </x:c>
      <x:c r="Q525" s="6"/>
      <x:c r="R525" s="6"/>
      <x:c r="S525" s="6"/>
      <x:c r="T525" s="6"/>
    </x:row>
    <x:row r="526" ht="21" customHeight="1">
      <x:c r="A526" s="14" t="n">
        <x:f>$V$20</x:f>
        <x:v>60007</x:v>
      </x:c>
      <x:c r="B526" s="14" t="str">
        <x:f>$W$20</x:f>
        <x:v>橙子球</x:v>
      </x:c>
      <x:c r="C526" s="6" t="str">
        <x:f>$X$20</x:f>
        <x:v>普通</x:v>
      </x:c>
      <x:c r="D526" s="6">
        <x:v>14</x:v>
      </x:c>
      <x:c r="E526" s="6">
        <x:v>20</x:v>
      </x:c>
      <x:c r="F526" s="12">
        <x:f>ROUND(J526*$W$4*H526,0)</x:f>
        <x:v>2004</x:v>
      </x:c>
      <x:c r="G526" s="12">
        <x:f>ROUND(J526*$W$4*$W$5*I526,0)</x:f>
        <x:v>501</x:v>
      </x:c>
      <x:c r="H526" s="11" t="n">
        <x:f>$Y$20</x:f>
        <x:v>1</x:v>
      </x:c>
      <x:c r="I526" s="11" t="n">
        <x:f>$Z$20</x:f>
        <x:v>3.3333333333333335</x:v>
      </x:c>
      <x:c r="J526" s="12">
        <x:f>英雄升级调参!$E$79</x:f>
        <x:v>501</x:v>
      </x:c>
      <x:c r="K526" s="12">
        <x:f>英雄升级调参!$F$79</x:f>
        <x:v>5010</x:v>
      </x:c>
      <x:c r="L526" s="6" t="n">
        <x:f>ROUNDUP(F526/J526,0)</x:f>
        <x:v>4</x:v>
      </x:c>
      <x:c r="M526" s="6" t="n">
        <x:f>IF(G526=0,"无伤害",ROUNDUP(K526/MAX(1,ROUND(G526*$AC$20,0)),0))</x:f>
        <x:v>10</x:v>
      </x:c>
      <x:c r="N526" s="6" t="n">
        <x:f>ROUNDUP(F526/英雄升级调参!$H$79,0)</x:f>
        <x:v>3</x:v>
      </x:c>
      <x:c r="O526" s="6" t="n">
        <x:f>ROUNDUP(F526/英雄升级调参!$K$79,0)</x:f>
        <x:v>2</x:v>
      </x:c>
      <x:c r="P526" s="6" t="str">
        <x:f>$AA$20</x:f>
        <x:v>普通：4次标准普攻击杀；10次主要攻击致死</x:v>
      </x:c>
      <x:c r="Q526" s="6"/>
      <x:c r="R526" s="6"/>
      <x:c r="S526" s="6"/>
      <x:c r="T526" s="6"/>
    </x:row>
    <x:row r="527" ht="21" customHeight="1">
      <x:c r="A527" s="14" t="n">
        <x:f>$V$20</x:f>
        <x:v>60007</x:v>
      </x:c>
      <x:c r="B527" s="14" t="str">
        <x:f>$W$20</x:f>
        <x:v>橙子球</x:v>
      </x:c>
      <x:c r="C527" s="6" t="str">
        <x:f>$X$20</x:f>
        <x:v>普通</x:v>
      </x:c>
      <x:c r="D527" s="6">
        <x:v>15</x:v>
      </x:c>
      <x:c r="E527" s="6">
        <x:v>20</x:v>
      </x:c>
      <x:c r="F527" s="12">
        <x:f>ROUND(J527*$W$4*H527,0)</x:f>
        <x:v>2436</x:v>
      </x:c>
      <x:c r="G527" s="12">
        <x:f>ROUND(J527*$W$4*$W$5*I527,0)</x:f>
        <x:v>609</x:v>
      </x:c>
      <x:c r="H527" s="11" t="n">
        <x:f>$Y$20</x:f>
        <x:v>1</x:v>
      </x:c>
      <x:c r="I527" s="11" t="n">
        <x:f>$Z$20</x:f>
        <x:v>3.3333333333333335</x:v>
      </x:c>
      <x:c r="J527" s="12">
        <x:f>英雄升级调参!$E$80</x:f>
        <x:v>609</x:v>
      </x:c>
      <x:c r="K527" s="12">
        <x:f>英雄升级调参!$F$80</x:f>
        <x:v>6090</x:v>
      </x:c>
      <x:c r="L527" s="6" t="n">
        <x:f>ROUNDUP(F527/J527,0)</x:f>
        <x:v>4</x:v>
      </x:c>
      <x:c r="M527" s="6" t="n">
        <x:f>IF(G527=0,"无伤害",ROUNDUP(K527/MAX(1,ROUND(G527*$AC$20,0)),0))</x:f>
        <x:v>10</x:v>
      </x:c>
      <x:c r="N527" s="6" t="n">
        <x:f>ROUNDUP(F527/英雄升级调参!$H$80,0)</x:f>
        <x:v>3</x:v>
      </x:c>
      <x:c r="O527" s="6" t="n">
        <x:f>ROUNDUP(F527/英雄升级调参!$K$80,0)</x:f>
        <x:v>2</x:v>
      </x:c>
      <x:c r="P527" s="6" t="str">
        <x:f>$AA$20</x:f>
        <x:v>普通：4次标准普攻击杀；10次主要攻击致死</x:v>
      </x:c>
      <x:c r="Q527" s="6"/>
      <x:c r="R527" s="6"/>
      <x:c r="S527" s="6"/>
      <x:c r="T527" s="6"/>
    </x:row>
    <x:row r="528" ht="21" customHeight="1">
      <x:c r="A528" s="14" t="n">
        <x:f>$V$20</x:f>
        <x:v>60007</x:v>
      </x:c>
      <x:c r="B528" s="14" t="str">
        <x:f>$W$20</x:f>
        <x:v>橙子球</x:v>
      </x:c>
      <x:c r="C528" s="6" t="str">
        <x:f>$X$20</x:f>
        <x:v>普通</x:v>
      </x:c>
      <x:c r="D528" s="6">
        <x:v>16</x:v>
      </x:c>
      <x:c r="E528" s="6">
        <x:v>20</x:v>
      </x:c>
      <x:c r="F528" s="12">
        <x:f>ROUND(J528*$W$4*H528,0)</x:f>
        <x:v>2616</x:v>
      </x:c>
      <x:c r="G528" s="12">
        <x:f>ROUND(J528*$W$4*$W$5*I528,0)</x:f>
        <x:v>654</x:v>
      </x:c>
      <x:c r="H528" s="11" t="n">
        <x:f>$Y$20</x:f>
        <x:v>1</x:v>
      </x:c>
      <x:c r="I528" s="11" t="n">
        <x:f>$Z$20</x:f>
        <x:v>3.3333333333333335</x:v>
      </x:c>
      <x:c r="J528" s="12">
        <x:f>英雄升级调参!$E$81</x:f>
        <x:v>654</x:v>
      </x:c>
      <x:c r="K528" s="12">
        <x:f>英雄升级调参!$F$81</x:f>
        <x:v>6540</x:v>
      </x:c>
      <x:c r="L528" s="6" t="n">
        <x:f>ROUNDUP(F528/J528,0)</x:f>
        <x:v>4</x:v>
      </x:c>
      <x:c r="M528" s="6" t="n">
        <x:f>IF(G528=0,"无伤害",ROUNDUP(K528/MAX(1,ROUND(G528*$AC$20,0)),0))</x:f>
        <x:v>10</x:v>
      </x:c>
      <x:c r="N528" s="6" t="n">
        <x:f>ROUNDUP(F528/英雄升级调参!$H$81,0)</x:f>
        <x:v>3</x:v>
      </x:c>
      <x:c r="O528" s="6" t="n">
        <x:f>ROUNDUP(F528/英雄升级调参!$K$81,0)</x:f>
        <x:v>2</x:v>
      </x:c>
      <x:c r="P528" s="6" t="str">
        <x:f>$AA$20</x:f>
        <x:v>普通：4次标准普攻击杀；10次主要攻击致死</x:v>
      </x:c>
      <x:c r="Q528" s="6"/>
      <x:c r="R528" s="6"/>
      <x:c r="S528" s="6"/>
      <x:c r="T528" s="6"/>
    </x:row>
    <x:row r="529" ht="21" customHeight="1">
      <x:c r="A529" s="14" t="n">
        <x:f>$V$20</x:f>
        <x:v>60007</x:v>
      </x:c>
      <x:c r="B529" s="14" t="str">
        <x:f>$W$20</x:f>
        <x:v>橙子球</x:v>
      </x:c>
      <x:c r="C529" s="6" t="str">
        <x:f>$X$20</x:f>
        <x:v>普通</x:v>
      </x:c>
      <x:c r="D529" s="6">
        <x:v>17</x:v>
      </x:c>
      <x:c r="E529" s="6">
        <x:v>20</x:v>
      </x:c>
      <x:c r="F529" s="12">
        <x:f>ROUND(J529*$W$4*H529,0)</x:f>
        <x:v>2796</x:v>
      </x:c>
      <x:c r="G529" s="12">
        <x:f>ROUND(J529*$W$4*$W$5*I529,0)</x:f>
        <x:v>699</x:v>
      </x:c>
      <x:c r="H529" s="11" t="n">
        <x:f>$Y$20</x:f>
        <x:v>1</x:v>
      </x:c>
      <x:c r="I529" s="11" t="n">
        <x:f>$Z$20</x:f>
        <x:v>3.3333333333333335</x:v>
      </x:c>
      <x:c r="J529" s="12">
        <x:f>英雄升级调参!$E$82</x:f>
        <x:v>699</x:v>
      </x:c>
      <x:c r="K529" s="12">
        <x:f>英雄升级调参!$F$82</x:f>
        <x:v>6990</x:v>
      </x:c>
      <x:c r="L529" s="6" t="n">
        <x:f>ROUNDUP(F529/J529,0)</x:f>
        <x:v>4</x:v>
      </x:c>
      <x:c r="M529" s="6" t="n">
        <x:f>IF(G529=0,"无伤害",ROUNDUP(K529/MAX(1,ROUND(G529*$AC$20,0)),0))</x:f>
        <x:v>10</x:v>
      </x:c>
      <x:c r="N529" s="6" t="n">
        <x:f>ROUNDUP(F529/英雄升级调参!$H$82,0)</x:f>
        <x:v>3</x:v>
      </x:c>
      <x:c r="O529" s="6" t="n">
        <x:f>ROUNDUP(F529/英雄升级调参!$K$82,0)</x:f>
        <x:v>2</x:v>
      </x:c>
      <x:c r="P529" s="6" t="str">
        <x:f>$AA$20</x:f>
        <x:v>普通：4次标准普攻击杀；10次主要攻击致死</x:v>
      </x:c>
      <x:c r="Q529" s="6"/>
      <x:c r="R529" s="6"/>
      <x:c r="S529" s="6"/>
      <x:c r="T529" s="6"/>
    </x:row>
    <x:row r="530" ht="21" customHeight="1">
      <x:c r="A530" s="14" t="n">
        <x:f>$V$20</x:f>
        <x:v>60007</x:v>
      </x:c>
      <x:c r="B530" s="14" t="str">
        <x:f>$W$20</x:f>
        <x:v>橙子球</x:v>
      </x:c>
      <x:c r="C530" s="6" t="str">
        <x:f>$X$20</x:f>
        <x:v>普通</x:v>
      </x:c>
      <x:c r="D530" s="6">
        <x:v>18</x:v>
      </x:c>
      <x:c r="E530" s="6">
        <x:v>20</x:v>
      </x:c>
      <x:c r="F530" s="12">
        <x:f>ROUND(J530*$W$4*H530,0)</x:f>
        <x:v>2976</x:v>
      </x:c>
      <x:c r="G530" s="12">
        <x:f>ROUND(J530*$W$4*$W$5*I530,0)</x:f>
        <x:v>744</x:v>
      </x:c>
      <x:c r="H530" s="11" t="n">
        <x:f>$Y$20</x:f>
        <x:v>1</x:v>
      </x:c>
      <x:c r="I530" s="11" t="n">
        <x:f>$Z$20</x:f>
        <x:v>3.3333333333333335</x:v>
      </x:c>
      <x:c r="J530" s="12">
        <x:f>英雄升级调参!$E$83</x:f>
        <x:v>744</x:v>
      </x:c>
      <x:c r="K530" s="12">
        <x:f>英雄升级调参!$F$83</x:f>
        <x:v>7440</x:v>
      </x:c>
      <x:c r="L530" s="6" t="n">
        <x:f>ROUNDUP(F530/J530,0)</x:f>
        <x:v>4</x:v>
      </x:c>
      <x:c r="M530" s="6" t="n">
        <x:f>IF(G530=0,"无伤害",ROUNDUP(K530/MAX(1,ROUND(G530*$AC$20,0)),0))</x:f>
        <x:v>10</x:v>
      </x:c>
      <x:c r="N530" s="6" t="n">
        <x:f>ROUNDUP(F530/英雄升级调参!$H$83,0)</x:f>
        <x:v>3</x:v>
      </x:c>
      <x:c r="O530" s="6" t="n">
        <x:f>ROUNDUP(F530/英雄升级调参!$K$83,0)</x:f>
        <x:v>2</x:v>
      </x:c>
      <x:c r="P530" s="6" t="str">
        <x:f>$AA$20</x:f>
        <x:v>普通：4次标准普攻击杀；10次主要攻击致死</x:v>
      </x:c>
      <x:c r="Q530" s="6"/>
      <x:c r="R530" s="6"/>
      <x:c r="S530" s="6"/>
      <x:c r="T530" s="6"/>
    </x:row>
    <x:row r="531" ht="21" customHeight="1">
      <x:c r="A531" s="14" t="n">
        <x:f>$V$20</x:f>
        <x:v>60007</x:v>
      </x:c>
      <x:c r="B531" s="14" t="str">
        <x:f>$W$20</x:f>
        <x:v>橙子球</x:v>
      </x:c>
      <x:c r="C531" s="6" t="str">
        <x:f>$X$20</x:f>
        <x:v>普通</x:v>
      </x:c>
      <x:c r="D531" s="6">
        <x:v>19</x:v>
      </x:c>
      <x:c r="E531" s="6">
        <x:v>20</x:v>
      </x:c>
      <x:c r="F531" s="12">
        <x:f>ROUND(J531*$W$4*H531,0)</x:f>
        <x:v>3156</x:v>
      </x:c>
      <x:c r="G531" s="12">
        <x:f>ROUND(J531*$W$4*$W$5*I531,0)</x:f>
        <x:v>789</x:v>
      </x:c>
      <x:c r="H531" s="11" t="n">
        <x:f>$Y$20</x:f>
        <x:v>1</x:v>
      </x:c>
      <x:c r="I531" s="11" t="n">
        <x:f>$Z$20</x:f>
        <x:v>3.3333333333333335</x:v>
      </x:c>
      <x:c r="J531" s="12">
        <x:f>英雄升级调参!$E$84</x:f>
        <x:v>789</x:v>
      </x:c>
      <x:c r="K531" s="12">
        <x:f>英雄升级调参!$F$84</x:f>
        <x:v>7890</x:v>
      </x:c>
      <x:c r="L531" s="6" t="n">
        <x:f>ROUNDUP(F531/J531,0)</x:f>
        <x:v>4</x:v>
      </x:c>
      <x:c r="M531" s="6" t="n">
        <x:f>IF(G531=0,"无伤害",ROUNDUP(K531/MAX(1,ROUND(G531*$AC$20,0)),0))</x:f>
        <x:v>10</x:v>
      </x:c>
      <x:c r="N531" s="6" t="n">
        <x:f>ROUNDUP(F531/英雄升级调参!$H$84,0)</x:f>
        <x:v>3</x:v>
      </x:c>
      <x:c r="O531" s="6" t="n">
        <x:f>ROUNDUP(F531/英雄升级调参!$K$84,0)</x:f>
        <x:v>2</x:v>
      </x:c>
      <x:c r="P531" s="6" t="str">
        <x:f>$AA$20</x:f>
        <x:v>普通：4次标准普攻击杀；10次主要攻击致死</x:v>
      </x:c>
      <x:c r="Q531" s="6"/>
      <x:c r="R531" s="6"/>
      <x:c r="S531" s="6"/>
      <x:c r="T531" s="6"/>
    </x:row>
    <x:row r="532" ht="21" customHeight="1">
      <x:c r="A532" s="14" t="n">
        <x:f>$V$20</x:f>
        <x:v>60007</x:v>
      </x:c>
      <x:c r="B532" s="14" t="str">
        <x:f>$W$20</x:f>
        <x:v>橙子球</x:v>
      </x:c>
      <x:c r="C532" s="6" t="str">
        <x:f>$X$20</x:f>
        <x:v>普通</x:v>
      </x:c>
      <x:c r="D532" s="6">
        <x:v>20</x:v>
      </x:c>
      <x:c r="E532" s="6">
        <x:v>20</x:v>
      </x:c>
      <x:c r="F532" s="12">
        <x:f>ROUND(J532*$W$4*H532,0)</x:f>
        <x:v>3696</x:v>
      </x:c>
      <x:c r="G532" s="12">
        <x:f>ROUND(J532*$W$4*$W$5*I532,0)</x:f>
        <x:v>924</x:v>
      </x:c>
      <x:c r="H532" s="11" t="n">
        <x:f>$Y$20</x:f>
        <x:v>1</x:v>
      </x:c>
      <x:c r="I532" s="11" t="n">
        <x:f>$Z$20</x:f>
        <x:v>3.3333333333333335</x:v>
      </x:c>
      <x:c r="J532" s="12">
        <x:f>英雄升级调参!$E$85</x:f>
        <x:v>924</x:v>
      </x:c>
      <x:c r="K532" s="12">
        <x:f>英雄升级调参!$F$85</x:f>
        <x:v>9240</x:v>
      </x:c>
      <x:c r="L532" s="6" t="n">
        <x:f>ROUNDUP(F532/J532,0)</x:f>
        <x:v>4</x:v>
      </x:c>
      <x:c r="M532" s="6" t="n">
        <x:f>IF(G532=0,"无伤害",ROUNDUP(K532/MAX(1,ROUND(G532*$AC$20,0)),0))</x:f>
        <x:v>10</x:v>
      </x:c>
      <x:c r="N532" s="6" t="n">
        <x:f>ROUNDUP(F532/英雄升级调参!$H$85,0)</x:f>
        <x:v>3</x:v>
      </x:c>
      <x:c r="O532" s="6" t="n">
        <x:f>ROUNDUP(F532/英雄升级调参!$K$85,0)</x:f>
        <x:v>2</x:v>
      </x:c>
      <x:c r="P532" s="6" t="str">
        <x:f>$AA$20</x:f>
        <x:v>普通：4次标准普攻击杀；10次主要攻击致死</x:v>
      </x:c>
      <x:c r="Q532" s="6"/>
      <x:c r="R532" s="6"/>
      <x:c r="S532" s="6"/>
      <x:c r="T532" s="6"/>
    </x:row>
    <x:row r="533" ht="21" customHeight="1">
      <x:c r="A533" s="14" t="n">
        <x:f>$V$20</x:f>
        <x:v>60007</x:v>
      </x:c>
      <x:c r="B533" s="14" t="str">
        <x:f>$W$20</x:f>
        <x:v>橙子球</x:v>
      </x:c>
      <x:c r="C533" s="6" t="str">
        <x:f>$X$20</x:f>
        <x:v>普通</x:v>
      </x:c>
      <x:c r="D533" s="6">
        <x:v>21</x:v>
      </x:c>
      <x:c r="E533" s="6">
        <x:v>20</x:v>
      </x:c>
      <x:c r="F533" s="12">
        <x:f>ROUND(J533*$W$4*H533,0)</x:f>
        <x:v>3912</x:v>
      </x:c>
      <x:c r="G533" s="12">
        <x:f>ROUND(J533*$W$4*$W$5*I533,0)</x:f>
        <x:v>978</x:v>
      </x:c>
      <x:c r="H533" s="11" t="n">
        <x:f>$Y$20</x:f>
        <x:v>1</x:v>
      </x:c>
      <x:c r="I533" s="11" t="n">
        <x:f>$Z$20</x:f>
        <x:v>3.3333333333333335</x:v>
      </x:c>
      <x:c r="J533" s="12">
        <x:f>英雄升级调参!$E$86</x:f>
        <x:v>978</x:v>
      </x:c>
      <x:c r="K533" s="12">
        <x:f>英雄升级调参!$F$86</x:f>
        <x:v>9780</x:v>
      </x:c>
      <x:c r="L533" s="6" t="n">
        <x:f>ROUNDUP(F533/J533,0)</x:f>
        <x:v>4</x:v>
      </x:c>
      <x:c r="M533" s="6" t="n">
        <x:f>IF(G533=0,"无伤害",ROUNDUP(K533/MAX(1,ROUND(G533*$AC$20,0)),0))</x:f>
        <x:v>10</x:v>
      </x:c>
      <x:c r="N533" s="6" t="n">
        <x:f>ROUNDUP(F533/英雄升级调参!$H$86,0)</x:f>
        <x:v>3</x:v>
      </x:c>
      <x:c r="O533" s="6" t="n">
        <x:f>ROUNDUP(F533/英雄升级调参!$K$86,0)</x:f>
        <x:v>2</x:v>
      </x:c>
      <x:c r="P533" s="6" t="str">
        <x:f>$AA$20</x:f>
        <x:v>普通：4次标准普攻击杀；10次主要攻击致死</x:v>
      </x:c>
      <x:c r="Q533" s="6"/>
      <x:c r="R533" s="6"/>
      <x:c r="S533" s="6"/>
      <x:c r="T533" s="6"/>
    </x:row>
    <x:row r="534" ht="21" customHeight="1">
      <x:c r="A534" s="14" t="n">
        <x:f>$V$20</x:f>
        <x:v>60007</x:v>
      </x:c>
      <x:c r="B534" s="14" t="str">
        <x:f>$W$20</x:f>
        <x:v>橙子球</x:v>
      </x:c>
      <x:c r="C534" s="6" t="str">
        <x:f>$X$20</x:f>
        <x:v>普通</x:v>
      </x:c>
      <x:c r="D534" s="6">
        <x:v>22</x:v>
      </x:c>
      <x:c r="E534" s="6">
        <x:v>20</x:v>
      </x:c>
      <x:c r="F534" s="12">
        <x:f>ROUND(J534*$W$4*H534,0)</x:f>
        <x:v>4128</x:v>
      </x:c>
      <x:c r="G534" s="12">
        <x:f>ROUND(J534*$W$4*$W$5*I534,0)</x:f>
        <x:v>1032</x:v>
      </x:c>
      <x:c r="H534" s="11" t="n">
        <x:f>$Y$20</x:f>
        <x:v>1</x:v>
      </x:c>
      <x:c r="I534" s="11" t="n">
        <x:f>$Z$20</x:f>
        <x:v>3.3333333333333335</x:v>
      </x:c>
      <x:c r="J534" s="12">
        <x:f>英雄升级调参!$E$87</x:f>
        <x:v>1032</x:v>
      </x:c>
      <x:c r="K534" s="12">
        <x:f>英雄升级调参!$F$87</x:f>
        <x:v>10320</x:v>
      </x:c>
      <x:c r="L534" s="6" t="n">
        <x:f>ROUNDUP(F534/J534,0)</x:f>
        <x:v>4</x:v>
      </x:c>
      <x:c r="M534" s="6" t="n">
        <x:f>IF(G534=0,"无伤害",ROUNDUP(K534/MAX(1,ROUND(G534*$AC$20,0)),0))</x:f>
        <x:v>10</x:v>
      </x:c>
      <x:c r="N534" s="6" t="n">
        <x:f>ROUNDUP(F534/英雄升级调参!$H$87,0)</x:f>
        <x:v>3</x:v>
      </x:c>
      <x:c r="O534" s="6" t="n">
        <x:f>ROUNDUP(F534/英雄升级调参!$K$87,0)</x:f>
        <x:v>2</x:v>
      </x:c>
      <x:c r="P534" s="6" t="str">
        <x:f>$AA$20</x:f>
        <x:v>普通：4次标准普攻击杀；10次主要攻击致死</x:v>
      </x:c>
      <x:c r="Q534" s="6"/>
      <x:c r="R534" s="6"/>
      <x:c r="S534" s="6"/>
      <x:c r="T534" s="6"/>
    </x:row>
    <x:row r="535" ht="21" customHeight="1">
      <x:c r="A535" s="14" t="n">
        <x:f>$V$20</x:f>
        <x:v>60007</x:v>
      </x:c>
      <x:c r="B535" s="14" t="str">
        <x:f>$W$20</x:f>
        <x:v>橙子球</x:v>
      </x:c>
      <x:c r="C535" s="6" t="str">
        <x:f>$X$20</x:f>
        <x:v>普通</x:v>
      </x:c>
      <x:c r="D535" s="6">
        <x:v>23</x:v>
      </x:c>
      <x:c r="E535" s="6">
        <x:v>20</x:v>
      </x:c>
      <x:c r="F535" s="12">
        <x:f>ROUND(J535*$W$4*H535,0)</x:f>
        <x:v>4344</x:v>
      </x:c>
      <x:c r="G535" s="12">
        <x:f>ROUND(J535*$W$4*$W$5*I535,0)</x:f>
        <x:v>1086</x:v>
      </x:c>
      <x:c r="H535" s="11" t="n">
        <x:f>$Y$20</x:f>
        <x:v>1</x:v>
      </x:c>
      <x:c r="I535" s="11" t="n">
        <x:f>$Z$20</x:f>
        <x:v>3.3333333333333335</x:v>
      </x:c>
      <x:c r="J535" s="12">
        <x:f>英雄升级调参!$E$88</x:f>
        <x:v>1086</x:v>
      </x:c>
      <x:c r="K535" s="12">
        <x:f>英雄升级调参!$F$88</x:f>
        <x:v>10860</x:v>
      </x:c>
      <x:c r="L535" s="6" t="n">
        <x:f>ROUNDUP(F535/J535,0)</x:f>
        <x:v>4</x:v>
      </x:c>
      <x:c r="M535" s="6" t="n">
        <x:f>IF(G535=0,"无伤害",ROUNDUP(K535/MAX(1,ROUND(G535*$AC$20,0)),0))</x:f>
        <x:v>10</x:v>
      </x:c>
      <x:c r="N535" s="6" t="n">
        <x:f>ROUNDUP(F535/英雄升级调参!$H$88,0)</x:f>
        <x:v>3</x:v>
      </x:c>
      <x:c r="O535" s="6" t="n">
        <x:f>ROUNDUP(F535/英雄升级调参!$K$88,0)</x:f>
        <x:v>2</x:v>
      </x:c>
      <x:c r="P535" s="6" t="str">
        <x:f>$AA$20</x:f>
        <x:v>普通：4次标准普攻击杀；10次主要攻击致死</x:v>
      </x:c>
      <x:c r="Q535" s="6"/>
      <x:c r="R535" s="6"/>
      <x:c r="S535" s="6"/>
      <x:c r="T535" s="6"/>
    </x:row>
    <x:row r="536" ht="21" customHeight="1">
      <x:c r="A536" s="14" t="n">
        <x:f>$V$20</x:f>
        <x:v>60007</x:v>
      </x:c>
      <x:c r="B536" s="14" t="str">
        <x:f>$W$20</x:f>
        <x:v>橙子球</x:v>
      </x:c>
      <x:c r="C536" s="6" t="str">
        <x:f>$X$20</x:f>
        <x:v>普通</x:v>
      </x:c>
      <x:c r="D536" s="6">
        <x:v>24</x:v>
      </x:c>
      <x:c r="E536" s="6">
        <x:v>20</x:v>
      </x:c>
      <x:c r="F536" s="12">
        <x:f>ROUND(J536*$W$4*H536,0)</x:f>
        <x:v>4560</x:v>
      </x:c>
      <x:c r="G536" s="12">
        <x:f>ROUND(J536*$W$4*$W$5*I536,0)</x:f>
        <x:v>1140</x:v>
      </x:c>
      <x:c r="H536" s="11" t="n">
        <x:f>$Y$20</x:f>
        <x:v>1</x:v>
      </x:c>
      <x:c r="I536" s="11" t="n">
        <x:f>$Z$20</x:f>
        <x:v>3.3333333333333335</x:v>
      </x:c>
      <x:c r="J536" s="12">
        <x:f>英雄升级调参!$E$89</x:f>
        <x:v>1140</x:v>
      </x:c>
      <x:c r="K536" s="12">
        <x:f>英雄升级调参!$F$89</x:f>
        <x:v>11400</x:v>
      </x:c>
      <x:c r="L536" s="6" t="n">
        <x:f>ROUNDUP(F536/J536,0)</x:f>
        <x:v>4</x:v>
      </x:c>
      <x:c r="M536" s="6" t="n">
        <x:f>IF(G536=0,"无伤害",ROUNDUP(K536/MAX(1,ROUND(G536*$AC$20,0)),0))</x:f>
        <x:v>10</x:v>
      </x:c>
      <x:c r="N536" s="6" t="n">
        <x:f>ROUNDUP(F536/英雄升级调参!$H$89,0)</x:f>
        <x:v>3</x:v>
      </x:c>
      <x:c r="O536" s="6" t="n">
        <x:f>ROUNDUP(F536/英雄升级调参!$K$89,0)</x:f>
        <x:v>2</x:v>
      </x:c>
      <x:c r="P536" s="6" t="str">
        <x:f>$AA$20</x:f>
        <x:v>普通：4次标准普攻击杀；10次主要攻击致死</x:v>
      </x:c>
      <x:c r="Q536" s="6"/>
      <x:c r="R536" s="6"/>
      <x:c r="S536" s="6"/>
      <x:c r="T536" s="6"/>
    </x:row>
    <x:row r="537" ht="21" customHeight="1">
      <x:c r="A537" s="14" t="n">
        <x:f>$V$20</x:f>
        <x:v>60007</x:v>
      </x:c>
      <x:c r="B537" s="14" t="str">
        <x:f>$W$20</x:f>
        <x:v>橙子球</x:v>
      </x:c>
      <x:c r="C537" s="6" t="str">
        <x:f>$X$20</x:f>
        <x:v>普通</x:v>
      </x:c>
      <x:c r="D537" s="6">
        <x:v>25</x:v>
      </x:c>
      <x:c r="E537" s="6">
        <x:v>20</x:v>
      </x:c>
      <x:c r="F537" s="12">
        <x:f>ROUND(J537*$W$4*H537,0)</x:f>
        <x:v>5208</x:v>
      </x:c>
      <x:c r="G537" s="12">
        <x:f>ROUND(J537*$W$4*$W$5*I537,0)</x:f>
        <x:v>1302</x:v>
      </x:c>
      <x:c r="H537" s="11" t="n">
        <x:f>$Y$20</x:f>
        <x:v>1</x:v>
      </x:c>
      <x:c r="I537" s="11" t="n">
        <x:f>$Z$20</x:f>
        <x:v>3.3333333333333335</x:v>
      </x:c>
      <x:c r="J537" s="12">
        <x:f>英雄升级调参!$E$90</x:f>
        <x:v>1302</x:v>
      </x:c>
      <x:c r="K537" s="12">
        <x:f>英雄升级调参!$F$90</x:f>
        <x:v>13020</x:v>
      </x:c>
      <x:c r="L537" s="6" t="n">
        <x:f>ROUNDUP(F537/J537,0)</x:f>
        <x:v>4</x:v>
      </x:c>
      <x:c r="M537" s="6" t="n">
        <x:f>IF(G537=0,"无伤害",ROUNDUP(K537/MAX(1,ROUND(G537*$AC$20,0)),0))</x:f>
        <x:v>10</x:v>
      </x:c>
      <x:c r="N537" s="6" t="n">
        <x:f>ROUNDUP(F537/英雄升级调参!$H$90,0)</x:f>
        <x:v>3</x:v>
      </x:c>
      <x:c r="O537" s="6" t="n">
        <x:f>ROUNDUP(F537/英雄升级调参!$K$90,0)</x:f>
        <x:v>2</x:v>
      </x:c>
      <x:c r="P537" s="6" t="str">
        <x:f>$AA$20</x:f>
        <x:v>普通：4次标准普攻击杀；10次主要攻击致死</x:v>
      </x:c>
      <x:c r="Q537" s="6"/>
      <x:c r="R537" s="6"/>
      <x:c r="S537" s="6"/>
      <x:c r="T537" s="6"/>
    </x:row>
    <x:row r="538" ht="21" customHeight="1">
      <x:c r="A538" s="14" t="n">
        <x:f>$V$20</x:f>
        <x:v>60007</x:v>
      </x:c>
      <x:c r="B538" s="14" t="str">
        <x:f>$W$20</x:f>
        <x:v>橙子球</x:v>
      </x:c>
      <x:c r="C538" s="6" t="str">
        <x:f>$X$20</x:f>
        <x:v>普通</x:v>
      </x:c>
      <x:c r="D538" s="6">
        <x:v>26</x:v>
      </x:c>
      <x:c r="E538" s="6">
        <x:v>20</x:v>
      </x:c>
      <x:c r="F538" s="12">
        <x:f>ROUND(J538*$W$4*H538,0)</x:f>
        <x:v>5460</x:v>
      </x:c>
      <x:c r="G538" s="12">
        <x:f>ROUND(J538*$W$4*$W$5*I538,0)</x:f>
        <x:v>1365</x:v>
      </x:c>
      <x:c r="H538" s="11" t="n">
        <x:f>$Y$20</x:f>
        <x:v>1</x:v>
      </x:c>
      <x:c r="I538" s="11" t="n">
        <x:f>$Z$20</x:f>
        <x:v>3.3333333333333335</x:v>
      </x:c>
      <x:c r="J538" s="12">
        <x:f>英雄升级调参!$E$91</x:f>
        <x:v>1365</x:v>
      </x:c>
      <x:c r="K538" s="12">
        <x:f>英雄升级调参!$F$91</x:f>
        <x:v>13650</x:v>
      </x:c>
      <x:c r="L538" s="6" t="n">
        <x:f>ROUNDUP(F538/J538,0)</x:f>
        <x:v>4</x:v>
      </x:c>
      <x:c r="M538" s="6" t="n">
        <x:f>IF(G538=0,"无伤害",ROUNDUP(K538/MAX(1,ROUND(G538*$AC$20,0)),0))</x:f>
        <x:v>10</x:v>
      </x:c>
      <x:c r="N538" s="6" t="n">
        <x:f>ROUNDUP(F538/英雄升级调参!$H$91,0)</x:f>
        <x:v>3</x:v>
      </x:c>
      <x:c r="O538" s="6" t="n">
        <x:f>ROUNDUP(F538/英雄升级调参!$K$91,0)</x:f>
        <x:v>2</x:v>
      </x:c>
      <x:c r="P538" s="6" t="str">
        <x:f>$AA$20</x:f>
        <x:v>普通：4次标准普攻击杀；10次主要攻击致死</x:v>
      </x:c>
      <x:c r="Q538" s="6"/>
      <x:c r="R538" s="6"/>
      <x:c r="S538" s="6"/>
      <x:c r="T538" s="6"/>
    </x:row>
    <x:row r="539" ht="21" customHeight="1">
      <x:c r="A539" s="14" t="n">
        <x:f>$V$20</x:f>
        <x:v>60007</x:v>
      </x:c>
      <x:c r="B539" s="14" t="str">
        <x:f>$W$20</x:f>
        <x:v>橙子球</x:v>
      </x:c>
      <x:c r="C539" s="6" t="str">
        <x:f>$X$20</x:f>
        <x:v>普通</x:v>
      </x:c>
      <x:c r="D539" s="6">
        <x:v>27</x:v>
      </x:c>
      <x:c r="E539" s="6">
        <x:v>20</x:v>
      </x:c>
      <x:c r="F539" s="12">
        <x:f>ROUND(J539*$W$4*H539,0)</x:f>
        <x:v>5712</x:v>
      </x:c>
      <x:c r="G539" s="12">
        <x:f>ROUND(J539*$W$4*$W$5*I539,0)</x:f>
        <x:v>1428</x:v>
      </x:c>
      <x:c r="H539" s="11" t="n">
        <x:f>$Y$20</x:f>
        <x:v>1</x:v>
      </x:c>
      <x:c r="I539" s="11" t="n">
        <x:f>$Z$20</x:f>
        <x:v>3.3333333333333335</x:v>
      </x:c>
      <x:c r="J539" s="12">
        <x:f>英雄升级调参!$E$92</x:f>
        <x:v>1428</x:v>
      </x:c>
      <x:c r="K539" s="12">
        <x:f>英雄升级调参!$F$92</x:f>
        <x:v>14280</x:v>
      </x:c>
      <x:c r="L539" s="6" t="n">
        <x:f>ROUNDUP(F539/J539,0)</x:f>
        <x:v>4</x:v>
      </x:c>
      <x:c r="M539" s="6" t="n">
        <x:f>IF(G539=0,"无伤害",ROUNDUP(K539/MAX(1,ROUND(G539*$AC$20,0)),0))</x:f>
        <x:v>10</x:v>
      </x:c>
      <x:c r="N539" s="6" t="n">
        <x:f>ROUNDUP(F539/英雄升级调参!$H$92,0)</x:f>
        <x:v>3</x:v>
      </x:c>
      <x:c r="O539" s="6" t="n">
        <x:f>ROUNDUP(F539/英雄升级调参!$K$92,0)</x:f>
        <x:v>2</x:v>
      </x:c>
      <x:c r="P539" s="6" t="str">
        <x:f>$AA$20</x:f>
        <x:v>普通：4次标准普攻击杀；10次主要攻击致死</x:v>
      </x:c>
      <x:c r="Q539" s="6"/>
      <x:c r="R539" s="6"/>
      <x:c r="S539" s="6"/>
      <x:c r="T539" s="6"/>
    </x:row>
    <x:row r="540" ht="21" customHeight="1">
      <x:c r="A540" s="14" t="n">
        <x:f>$V$20</x:f>
        <x:v>60007</x:v>
      </x:c>
      <x:c r="B540" s="14" t="str">
        <x:f>$W$20</x:f>
        <x:v>橙子球</x:v>
      </x:c>
      <x:c r="C540" s="6" t="str">
        <x:f>$X$20</x:f>
        <x:v>普通</x:v>
      </x:c>
      <x:c r="D540" s="6">
        <x:v>28</x:v>
      </x:c>
      <x:c r="E540" s="6">
        <x:v>20</x:v>
      </x:c>
      <x:c r="F540" s="12">
        <x:f>ROUND(J540*$W$4*H540,0)</x:f>
        <x:v>5964</x:v>
      </x:c>
      <x:c r="G540" s="12">
        <x:f>ROUND(J540*$W$4*$W$5*I540,0)</x:f>
        <x:v>1491</x:v>
      </x:c>
      <x:c r="H540" s="11" t="n">
        <x:f>$Y$20</x:f>
        <x:v>1</x:v>
      </x:c>
      <x:c r="I540" s="11" t="n">
        <x:f>$Z$20</x:f>
        <x:v>3.3333333333333335</x:v>
      </x:c>
      <x:c r="J540" s="12">
        <x:f>英雄升级调参!$E$93</x:f>
        <x:v>1491</x:v>
      </x:c>
      <x:c r="K540" s="12">
        <x:f>英雄升级调参!$F$93</x:f>
        <x:v>14910</x:v>
      </x:c>
      <x:c r="L540" s="6" t="n">
        <x:f>ROUNDUP(F540/J540,0)</x:f>
        <x:v>4</x:v>
      </x:c>
      <x:c r="M540" s="6" t="n">
        <x:f>IF(G540=0,"无伤害",ROUNDUP(K540/MAX(1,ROUND(G540*$AC$20,0)),0))</x:f>
        <x:v>10</x:v>
      </x:c>
      <x:c r="N540" s="6" t="n">
        <x:f>ROUNDUP(F540/英雄升级调参!$H$93,0)</x:f>
        <x:v>3</x:v>
      </x:c>
      <x:c r="O540" s="6" t="n">
        <x:f>ROUNDUP(F540/英雄升级调参!$K$93,0)</x:f>
        <x:v>2</x:v>
      </x:c>
      <x:c r="P540" s="6" t="str">
        <x:f>$AA$20</x:f>
        <x:v>普通：4次标准普攻击杀；10次主要攻击致死</x:v>
      </x:c>
      <x:c r="Q540" s="6"/>
      <x:c r="R540" s="6"/>
      <x:c r="S540" s="6"/>
      <x:c r="T540" s="6"/>
    </x:row>
    <x:row r="541" ht="21" customHeight="1">
      <x:c r="A541" s="14" t="n">
        <x:f>$V$20</x:f>
        <x:v>60007</x:v>
      </x:c>
      <x:c r="B541" s="14" t="str">
        <x:f>$W$20</x:f>
        <x:v>橙子球</x:v>
      </x:c>
      <x:c r="C541" s="6" t="str">
        <x:f>$X$20</x:f>
        <x:v>普通</x:v>
      </x:c>
      <x:c r="D541" s="6">
        <x:v>29</x:v>
      </x:c>
      <x:c r="E541" s="6">
        <x:v>20</x:v>
      </x:c>
      <x:c r="F541" s="12">
        <x:f>ROUND(J541*$W$4*H541,0)</x:f>
        <x:v>6216</x:v>
      </x:c>
      <x:c r="G541" s="12">
        <x:f>ROUND(J541*$W$4*$W$5*I541,0)</x:f>
        <x:v>1554</x:v>
      </x:c>
      <x:c r="H541" s="11" t="n">
        <x:f>$Y$20</x:f>
        <x:v>1</x:v>
      </x:c>
      <x:c r="I541" s="11" t="n">
        <x:f>$Z$20</x:f>
        <x:v>3.3333333333333335</x:v>
      </x:c>
      <x:c r="J541" s="12">
        <x:f>英雄升级调参!$E$94</x:f>
        <x:v>1554</x:v>
      </x:c>
      <x:c r="K541" s="12">
        <x:f>英雄升级调参!$F$94</x:f>
        <x:v>15540</x:v>
      </x:c>
      <x:c r="L541" s="6" t="n">
        <x:f>ROUNDUP(F541/J541,0)</x:f>
        <x:v>4</x:v>
      </x:c>
      <x:c r="M541" s="6" t="n">
        <x:f>IF(G541=0,"无伤害",ROUNDUP(K541/MAX(1,ROUND(G541*$AC$20,0)),0))</x:f>
        <x:v>10</x:v>
      </x:c>
      <x:c r="N541" s="6" t="n">
        <x:f>ROUNDUP(F541/英雄升级调参!$H$94,0)</x:f>
        <x:v>3</x:v>
      </x:c>
      <x:c r="O541" s="6" t="n">
        <x:f>ROUNDUP(F541/英雄升级调参!$K$94,0)</x:f>
        <x:v>2</x:v>
      </x:c>
      <x:c r="P541" s="6" t="str">
        <x:f>$AA$20</x:f>
        <x:v>普通：4次标准普攻击杀；10次主要攻击致死</x:v>
      </x:c>
      <x:c r="Q541" s="6"/>
      <x:c r="R541" s="6"/>
      <x:c r="S541" s="6"/>
      <x:c r="T541" s="6"/>
    </x:row>
    <x:row r="542" ht="21" customHeight="1">
      <x:c r="A542" s="14" t="n">
        <x:f>$V$20</x:f>
        <x:v>60007</x:v>
      </x:c>
      <x:c r="B542" s="14" t="str">
        <x:f>$W$20</x:f>
        <x:v>橙子球</x:v>
      </x:c>
      <x:c r="C542" s="6" t="str">
        <x:f>$X$20</x:f>
        <x:v>普通</x:v>
      </x:c>
      <x:c r="D542" s="6">
        <x:v>30</x:v>
      </x:c>
      <x:c r="E542" s="6">
        <x:v>20</x:v>
      </x:c>
      <x:c r="F542" s="12">
        <x:f>ROUND(J542*$W$4*H542,0)</x:f>
        <x:v>6972</x:v>
      </x:c>
      <x:c r="G542" s="12">
        <x:f>ROUND(J542*$W$4*$W$5*I542,0)</x:f>
        <x:v>1743</x:v>
      </x:c>
      <x:c r="H542" s="11" t="n">
        <x:f>$Y$20</x:f>
        <x:v>1</x:v>
      </x:c>
      <x:c r="I542" s="11" t="n">
        <x:f>$Z$20</x:f>
        <x:v>3.3333333333333335</x:v>
      </x:c>
      <x:c r="J542" s="12">
        <x:f>英雄升级调参!$E$95</x:f>
        <x:v>1743</x:v>
      </x:c>
      <x:c r="K542" s="12">
        <x:f>英雄升级调参!$F$95</x:f>
        <x:v>17430</x:v>
      </x:c>
      <x:c r="L542" s="6" t="n">
        <x:f>ROUNDUP(F542/J542,0)</x:f>
        <x:v>4</x:v>
      </x:c>
      <x:c r="M542" s="6" t="n">
        <x:f>IF(G542=0,"无伤害",ROUNDUP(K542/MAX(1,ROUND(G542*$AC$20,0)),0))</x:f>
        <x:v>10</x:v>
      </x:c>
      <x:c r="N542" s="6" t="n">
        <x:f>ROUNDUP(F542/英雄升级调参!$H$95,0)</x:f>
        <x:v>3</x:v>
      </x:c>
      <x:c r="O542" s="6" t="n">
        <x:f>ROUNDUP(F542/英雄升级调参!$K$95,0)</x:f>
        <x:v>2</x:v>
      </x:c>
      <x:c r="P542" s="6" t="str">
        <x:f>$AA$20</x:f>
        <x:v>普通：4次标准普攻击杀；10次主要攻击致死</x:v>
      </x:c>
      <x:c r="Q542" s="6"/>
      <x:c r="R542" s="6"/>
      <x:c r="S542" s="6"/>
      <x:c r="T542" s="6"/>
    </x:row>
    <x:row r="543" ht="21" customHeight="1">
      <x:c r="A543" s="14" t="n">
        <x:f>$V$20</x:f>
        <x:v>60007</x:v>
      </x:c>
      <x:c r="B543" s="14" t="str">
        <x:f>$W$20</x:f>
        <x:v>橙子球</x:v>
      </x:c>
      <x:c r="C543" s="6" t="str">
        <x:f>$X$20</x:f>
        <x:v>普通</x:v>
      </x:c>
      <x:c r="D543" s="6">
        <x:v>31</x:v>
      </x:c>
      <x:c r="E543" s="6">
        <x:v>20</x:v>
      </x:c>
      <x:c r="F543" s="12">
        <x:f>ROUND(J543*$W$4*H543,0)</x:f>
        <x:v>7260</x:v>
      </x:c>
      <x:c r="G543" s="12">
        <x:f>ROUND(J543*$W$4*$W$5*I543,0)</x:f>
        <x:v>1815</x:v>
      </x:c>
      <x:c r="H543" s="11" t="n">
        <x:f>$Y$20</x:f>
        <x:v>1</x:v>
      </x:c>
      <x:c r="I543" s="11" t="n">
        <x:f>$Z$20</x:f>
        <x:v>3.3333333333333335</x:v>
      </x:c>
      <x:c r="J543" s="12">
        <x:f>英雄升级调参!$E$96</x:f>
        <x:v>1815</x:v>
      </x:c>
      <x:c r="K543" s="12">
        <x:f>英雄升级调参!$F$96</x:f>
        <x:v>18150</x:v>
      </x:c>
      <x:c r="L543" s="6" t="n">
        <x:f>ROUNDUP(F543/J543,0)</x:f>
        <x:v>4</x:v>
      </x:c>
      <x:c r="M543" s="6" t="n">
        <x:f>IF(G543=0,"无伤害",ROUNDUP(K543/MAX(1,ROUND(G543*$AC$20,0)),0))</x:f>
        <x:v>10</x:v>
      </x:c>
      <x:c r="N543" s="6" t="n">
        <x:f>ROUNDUP(F543/英雄升级调参!$H$96,0)</x:f>
        <x:v>3</x:v>
      </x:c>
      <x:c r="O543" s="6" t="n">
        <x:f>ROUNDUP(F543/英雄升级调参!$K$96,0)</x:f>
        <x:v>2</x:v>
      </x:c>
      <x:c r="P543" s="6" t="str">
        <x:f>$AA$20</x:f>
        <x:v>普通：4次标准普攻击杀；10次主要攻击致死</x:v>
      </x:c>
      <x:c r="Q543" s="6"/>
      <x:c r="R543" s="6"/>
      <x:c r="S543" s="6"/>
      <x:c r="T543" s="6"/>
    </x:row>
    <x:row r="544" ht="21" customHeight="1">
      <x:c r="A544" s="14" t="n">
        <x:f>$V$20</x:f>
        <x:v>60007</x:v>
      </x:c>
      <x:c r="B544" s="14" t="str">
        <x:f>$W$20</x:f>
        <x:v>橙子球</x:v>
      </x:c>
      <x:c r="C544" s="6" t="str">
        <x:f>$X$20</x:f>
        <x:v>普通</x:v>
      </x:c>
      <x:c r="D544" s="6">
        <x:v>32</x:v>
      </x:c>
      <x:c r="E544" s="6">
        <x:v>20</x:v>
      </x:c>
      <x:c r="F544" s="12">
        <x:f>ROUND(J544*$W$4*H544,0)</x:f>
        <x:v>7548</x:v>
      </x:c>
      <x:c r="G544" s="12">
        <x:f>ROUND(J544*$W$4*$W$5*I544,0)</x:f>
        <x:v>1887</x:v>
      </x:c>
      <x:c r="H544" s="11" t="n">
        <x:f>$Y$20</x:f>
        <x:v>1</x:v>
      </x:c>
      <x:c r="I544" s="11" t="n">
        <x:f>$Z$20</x:f>
        <x:v>3.3333333333333335</x:v>
      </x:c>
      <x:c r="J544" s="12">
        <x:f>英雄升级调参!$E$97</x:f>
        <x:v>1887</x:v>
      </x:c>
      <x:c r="K544" s="12">
        <x:f>英雄升级调参!$F$97</x:f>
        <x:v>18870</x:v>
      </x:c>
      <x:c r="L544" s="6" t="n">
        <x:f>ROUNDUP(F544/J544,0)</x:f>
        <x:v>4</x:v>
      </x:c>
      <x:c r="M544" s="6" t="n">
        <x:f>IF(G544=0,"无伤害",ROUNDUP(K544/MAX(1,ROUND(G544*$AC$20,0)),0))</x:f>
        <x:v>10</x:v>
      </x:c>
      <x:c r="N544" s="6" t="n">
        <x:f>ROUNDUP(F544/英雄升级调参!$H$97,0)</x:f>
        <x:v>3</x:v>
      </x:c>
      <x:c r="O544" s="6" t="n">
        <x:f>ROUNDUP(F544/英雄升级调参!$K$97,0)</x:f>
        <x:v>2</x:v>
      </x:c>
      <x:c r="P544" s="6" t="str">
        <x:f>$AA$20</x:f>
        <x:v>普通：4次标准普攻击杀；10次主要攻击致死</x:v>
      </x:c>
      <x:c r="Q544" s="6"/>
      <x:c r="R544" s="6"/>
      <x:c r="S544" s="6"/>
      <x:c r="T544" s="6"/>
    </x:row>
    <x:row r="545" ht="21" customHeight="1">
      <x:c r="A545" s="14" t="n">
        <x:f>$V$20</x:f>
        <x:v>60007</x:v>
      </x:c>
      <x:c r="B545" s="14" t="str">
        <x:f>$W$20</x:f>
        <x:v>橙子球</x:v>
      </x:c>
      <x:c r="C545" s="6" t="str">
        <x:f>$X$20</x:f>
        <x:v>普通</x:v>
      </x:c>
      <x:c r="D545" s="6">
        <x:v>33</x:v>
      </x:c>
      <x:c r="E545" s="6">
        <x:v>20</x:v>
      </x:c>
      <x:c r="F545" s="12">
        <x:f>ROUND(J545*$W$4*H545,0)</x:f>
        <x:v>7836</x:v>
      </x:c>
      <x:c r="G545" s="12">
        <x:f>ROUND(J545*$W$4*$W$5*I545,0)</x:f>
        <x:v>1959</x:v>
      </x:c>
      <x:c r="H545" s="11" t="n">
        <x:f>$Y$20</x:f>
        <x:v>1</x:v>
      </x:c>
      <x:c r="I545" s="11" t="n">
        <x:f>$Z$20</x:f>
        <x:v>3.3333333333333335</x:v>
      </x:c>
      <x:c r="J545" s="12">
        <x:f>英雄升级调参!$E$98</x:f>
        <x:v>1959</x:v>
      </x:c>
      <x:c r="K545" s="12">
        <x:f>英雄升级调参!$F$98</x:f>
        <x:v>19590</x:v>
      </x:c>
      <x:c r="L545" s="6" t="n">
        <x:f>ROUNDUP(F545/J545,0)</x:f>
        <x:v>4</x:v>
      </x:c>
      <x:c r="M545" s="6" t="n">
        <x:f>IF(G545=0,"无伤害",ROUNDUP(K545/MAX(1,ROUND(G545*$AC$20,0)),0))</x:f>
        <x:v>10</x:v>
      </x:c>
      <x:c r="N545" s="6" t="n">
        <x:f>ROUNDUP(F545/英雄升级调参!$H$98,0)</x:f>
        <x:v>3</x:v>
      </x:c>
      <x:c r="O545" s="6" t="n">
        <x:f>ROUNDUP(F545/英雄升级调参!$K$98,0)</x:f>
        <x:v>2</x:v>
      </x:c>
      <x:c r="P545" s="6" t="str">
        <x:f>$AA$20</x:f>
        <x:v>普通：4次标准普攻击杀；10次主要攻击致死</x:v>
      </x:c>
      <x:c r="Q545" s="6"/>
      <x:c r="R545" s="6"/>
      <x:c r="S545" s="6"/>
      <x:c r="T545" s="6"/>
    </x:row>
    <x:row r="546" ht="21" customHeight="1">
      <x:c r="A546" s="14" t="n">
        <x:f>$V$20</x:f>
        <x:v>60007</x:v>
      </x:c>
      <x:c r="B546" s="14" t="str">
        <x:f>$W$20</x:f>
        <x:v>橙子球</x:v>
      </x:c>
      <x:c r="C546" s="6" t="str">
        <x:f>$X$20</x:f>
        <x:v>普通</x:v>
      </x:c>
      <x:c r="D546" s="6">
        <x:v>34</x:v>
      </x:c>
      <x:c r="E546" s="6">
        <x:v>20</x:v>
      </x:c>
      <x:c r="F546" s="12">
        <x:f>ROUND(J546*$W$4*H546,0)</x:f>
        <x:v>8124</x:v>
      </x:c>
      <x:c r="G546" s="12">
        <x:f>ROUND(J546*$W$4*$W$5*I546,0)</x:f>
        <x:v>2031</x:v>
      </x:c>
      <x:c r="H546" s="11" t="n">
        <x:f>$Y$20</x:f>
        <x:v>1</x:v>
      </x:c>
      <x:c r="I546" s="11" t="n">
        <x:f>$Z$20</x:f>
        <x:v>3.3333333333333335</x:v>
      </x:c>
      <x:c r="J546" s="12">
        <x:f>英雄升级调参!$E$99</x:f>
        <x:v>2031</x:v>
      </x:c>
      <x:c r="K546" s="12">
        <x:f>英雄升级调参!$F$99</x:f>
        <x:v>20310</x:v>
      </x:c>
      <x:c r="L546" s="6" t="n">
        <x:f>ROUNDUP(F546/J546,0)</x:f>
        <x:v>4</x:v>
      </x:c>
      <x:c r="M546" s="6" t="n">
        <x:f>IF(G546=0,"无伤害",ROUNDUP(K546/MAX(1,ROUND(G546*$AC$20,0)),0))</x:f>
        <x:v>10</x:v>
      </x:c>
      <x:c r="N546" s="6" t="n">
        <x:f>ROUNDUP(F546/英雄升级调参!$H$99,0)</x:f>
        <x:v>3</x:v>
      </x:c>
      <x:c r="O546" s="6" t="n">
        <x:f>ROUNDUP(F546/英雄升级调参!$K$99,0)</x:f>
        <x:v>2</x:v>
      </x:c>
      <x:c r="P546" s="6" t="str">
        <x:f>$AA$20</x:f>
        <x:v>普通：4次标准普攻击杀；10次主要攻击致死</x:v>
      </x:c>
      <x:c r="Q546" s="6"/>
      <x:c r="R546" s="6"/>
      <x:c r="S546" s="6"/>
      <x:c r="T546" s="6"/>
    </x:row>
    <x:row r="547" ht="21" customHeight="1">
      <x:c r="A547" s="14" t="n">
        <x:f>$V$20</x:f>
        <x:v>60007</x:v>
      </x:c>
      <x:c r="B547" s="14" t="str">
        <x:f>$W$20</x:f>
        <x:v>橙子球</x:v>
      </x:c>
      <x:c r="C547" s="6" t="str">
        <x:f>$X$20</x:f>
        <x:v>普通</x:v>
      </x:c>
      <x:c r="D547" s="6">
        <x:v>35</x:v>
      </x:c>
      <x:c r="E547" s="6">
        <x:v>20</x:v>
      </x:c>
      <x:c r="F547" s="12">
        <x:f>ROUND(J547*$W$4*H547,0)</x:f>
        <x:v>8988</x:v>
      </x:c>
      <x:c r="G547" s="12">
        <x:f>ROUND(J547*$W$4*$W$5*I547,0)</x:f>
        <x:v>2247</x:v>
      </x:c>
      <x:c r="H547" s="11" t="n">
        <x:f>$Y$20</x:f>
        <x:v>1</x:v>
      </x:c>
      <x:c r="I547" s="11" t="n">
        <x:f>$Z$20</x:f>
        <x:v>3.3333333333333335</x:v>
      </x:c>
      <x:c r="J547" s="12">
        <x:f>英雄升级调参!$E$100</x:f>
        <x:v>2247</x:v>
      </x:c>
      <x:c r="K547" s="12">
        <x:f>英雄升级调参!$F$100</x:f>
        <x:v>22470</x:v>
      </x:c>
      <x:c r="L547" s="6" t="n">
        <x:f>ROUNDUP(F547/J547,0)</x:f>
        <x:v>4</x:v>
      </x:c>
      <x:c r="M547" s="6" t="n">
        <x:f>IF(G547=0,"无伤害",ROUNDUP(K547/MAX(1,ROUND(G547*$AC$20,0)),0))</x:f>
        <x:v>10</x:v>
      </x:c>
      <x:c r="N547" s="6" t="n">
        <x:f>ROUNDUP(F547/英雄升级调参!$H$100,0)</x:f>
        <x:v>3</x:v>
      </x:c>
      <x:c r="O547" s="6" t="n">
        <x:f>ROUNDUP(F547/英雄升级调参!$K$100,0)</x:f>
        <x:v>2</x:v>
      </x:c>
      <x:c r="P547" s="6" t="str">
        <x:f>$AA$20</x:f>
        <x:v>普通：4次标准普攻击杀；10次主要攻击致死</x:v>
      </x:c>
      <x:c r="Q547" s="6"/>
      <x:c r="R547" s="6"/>
      <x:c r="S547" s="6"/>
      <x:c r="T547" s="6"/>
    </x:row>
    <x:row r="548" ht="21" customHeight="1">
      <x:c r="A548" s="14" t="n">
        <x:f>$V$20</x:f>
        <x:v>60007</x:v>
      </x:c>
      <x:c r="B548" s="14" t="str">
        <x:f>$W$20</x:f>
        <x:v>橙子球</x:v>
      </x:c>
      <x:c r="C548" s="6" t="str">
        <x:f>$X$20</x:f>
        <x:v>普通</x:v>
      </x:c>
      <x:c r="D548" s="6">
        <x:v>36</x:v>
      </x:c>
      <x:c r="E548" s="6">
        <x:v>20</x:v>
      </x:c>
      <x:c r="F548" s="12">
        <x:f>ROUND(J548*$W$4*H548,0)</x:f>
        <x:v>9312</x:v>
      </x:c>
      <x:c r="G548" s="12">
        <x:f>ROUND(J548*$W$4*$W$5*I548,0)</x:f>
        <x:v>2328</x:v>
      </x:c>
      <x:c r="H548" s="11" t="n">
        <x:f>$Y$20</x:f>
        <x:v>1</x:v>
      </x:c>
      <x:c r="I548" s="11" t="n">
        <x:f>$Z$20</x:f>
        <x:v>3.3333333333333335</x:v>
      </x:c>
      <x:c r="J548" s="12">
        <x:f>英雄升级调参!$E$101</x:f>
        <x:v>2328</x:v>
      </x:c>
      <x:c r="K548" s="12">
        <x:f>英雄升级调参!$F$101</x:f>
        <x:v>23280</x:v>
      </x:c>
      <x:c r="L548" s="6" t="n">
        <x:f>ROUNDUP(F548/J548,0)</x:f>
        <x:v>4</x:v>
      </x:c>
      <x:c r="M548" s="6" t="n">
        <x:f>IF(G548=0,"无伤害",ROUNDUP(K548/MAX(1,ROUND(G548*$AC$20,0)),0))</x:f>
        <x:v>10</x:v>
      </x:c>
      <x:c r="N548" s="6" t="n">
        <x:f>ROUNDUP(F548/英雄升级调参!$H$101,0)</x:f>
        <x:v>3</x:v>
      </x:c>
      <x:c r="O548" s="6" t="n">
        <x:f>ROUNDUP(F548/英雄升级调参!$K$101,0)</x:f>
        <x:v>2</x:v>
      </x:c>
      <x:c r="P548" s="6" t="str">
        <x:f>$AA$20</x:f>
        <x:v>普通：4次标准普攻击杀；10次主要攻击致死</x:v>
      </x:c>
      <x:c r="Q548" s="6"/>
      <x:c r="R548" s="6"/>
      <x:c r="S548" s="6"/>
      <x:c r="T548" s="6"/>
    </x:row>
    <x:row r="549" ht="21" customHeight="1">
      <x:c r="A549" s="14" t="n">
        <x:f>$V$20</x:f>
        <x:v>60007</x:v>
      </x:c>
      <x:c r="B549" s="14" t="str">
        <x:f>$W$20</x:f>
        <x:v>橙子球</x:v>
      </x:c>
      <x:c r="C549" s="6" t="str">
        <x:f>$X$20</x:f>
        <x:v>普通</x:v>
      </x:c>
      <x:c r="D549" s="6">
        <x:v>37</x:v>
      </x:c>
      <x:c r="E549" s="6">
        <x:v>20</x:v>
      </x:c>
      <x:c r="F549" s="12">
        <x:f>ROUND(J549*$W$4*H549,0)</x:f>
        <x:v>9636</x:v>
      </x:c>
      <x:c r="G549" s="12">
        <x:f>ROUND(J549*$W$4*$W$5*I549,0)</x:f>
        <x:v>2409</x:v>
      </x:c>
      <x:c r="H549" s="11" t="n">
        <x:f>$Y$20</x:f>
        <x:v>1</x:v>
      </x:c>
      <x:c r="I549" s="11" t="n">
        <x:f>$Z$20</x:f>
        <x:v>3.3333333333333335</x:v>
      </x:c>
      <x:c r="J549" s="12">
        <x:f>英雄升级调参!$E$102</x:f>
        <x:v>2409</x:v>
      </x:c>
      <x:c r="K549" s="12">
        <x:f>英雄升级调参!$F$102</x:f>
        <x:v>24090</x:v>
      </x:c>
      <x:c r="L549" s="6" t="n">
        <x:f>ROUNDUP(F549/J549,0)</x:f>
        <x:v>4</x:v>
      </x:c>
      <x:c r="M549" s="6" t="n">
        <x:f>IF(G549=0,"无伤害",ROUNDUP(K549/MAX(1,ROUND(G549*$AC$20,0)),0))</x:f>
        <x:v>10</x:v>
      </x:c>
      <x:c r="N549" s="6" t="n">
        <x:f>ROUNDUP(F549/英雄升级调参!$H$102,0)</x:f>
        <x:v>3</x:v>
      </x:c>
      <x:c r="O549" s="6" t="n">
        <x:f>ROUNDUP(F549/英雄升级调参!$K$102,0)</x:f>
        <x:v>2</x:v>
      </x:c>
      <x:c r="P549" s="6" t="str">
        <x:f>$AA$20</x:f>
        <x:v>普通：4次标准普攻击杀；10次主要攻击致死</x:v>
      </x:c>
      <x:c r="Q549" s="6"/>
      <x:c r="R549" s="6"/>
      <x:c r="S549" s="6"/>
      <x:c r="T549" s="6"/>
    </x:row>
    <x:row r="550" ht="21" customHeight="1">
      <x:c r="A550" s="14" t="n">
        <x:f>$V$20</x:f>
        <x:v>60007</x:v>
      </x:c>
      <x:c r="B550" s="14" t="str">
        <x:f>$W$20</x:f>
        <x:v>橙子球</x:v>
      </x:c>
      <x:c r="C550" s="6" t="str">
        <x:f>$X$20</x:f>
        <x:v>普通</x:v>
      </x:c>
      <x:c r="D550" s="6">
        <x:v>38</x:v>
      </x:c>
      <x:c r="E550" s="6">
        <x:v>20</x:v>
      </x:c>
      <x:c r="F550" s="12">
        <x:f>ROUND(J550*$W$4*H550,0)</x:f>
        <x:v>9960</x:v>
      </x:c>
      <x:c r="G550" s="12">
        <x:f>ROUND(J550*$W$4*$W$5*I550,0)</x:f>
        <x:v>2490</x:v>
      </x:c>
      <x:c r="H550" s="11" t="n">
        <x:f>$Y$20</x:f>
        <x:v>1</x:v>
      </x:c>
      <x:c r="I550" s="11" t="n">
        <x:f>$Z$20</x:f>
        <x:v>3.3333333333333335</x:v>
      </x:c>
      <x:c r="J550" s="12">
        <x:f>英雄升级调参!$E$103</x:f>
        <x:v>2490</x:v>
      </x:c>
      <x:c r="K550" s="12">
        <x:f>英雄升级调参!$F$103</x:f>
        <x:v>24900</x:v>
      </x:c>
      <x:c r="L550" s="6" t="n">
        <x:f>ROUNDUP(F550/J550,0)</x:f>
        <x:v>4</x:v>
      </x:c>
      <x:c r="M550" s="6" t="n">
        <x:f>IF(G550=0,"无伤害",ROUNDUP(K550/MAX(1,ROUND(G550*$AC$20,0)),0))</x:f>
        <x:v>10</x:v>
      </x:c>
      <x:c r="N550" s="6" t="n">
        <x:f>ROUNDUP(F550/英雄升级调参!$H$103,0)</x:f>
        <x:v>3</x:v>
      </x:c>
      <x:c r="O550" s="6" t="n">
        <x:f>ROUNDUP(F550/英雄升级调参!$K$103,0)</x:f>
        <x:v>2</x:v>
      </x:c>
      <x:c r="P550" s="6" t="str">
        <x:f>$AA$20</x:f>
        <x:v>普通：4次标准普攻击杀；10次主要攻击致死</x:v>
      </x:c>
      <x:c r="Q550" s="6"/>
      <x:c r="R550" s="6"/>
      <x:c r="S550" s="6"/>
      <x:c r="T550" s="6"/>
    </x:row>
    <x:row r="551" ht="21" customHeight="1">
      <x:c r="A551" s="14" t="n">
        <x:f>$V$20</x:f>
        <x:v>60007</x:v>
      </x:c>
      <x:c r="B551" s="14" t="str">
        <x:f>$W$20</x:f>
        <x:v>橙子球</x:v>
      </x:c>
      <x:c r="C551" s="6" t="str">
        <x:f>$X$20</x:f>
        <x:v>普通</x:v>
      </x:c>
      <x:c r="D551" s="6">
        <x:v>39</x:v>
      </x:c>
      <x:c r="E551" s="6">
        <x:v>20</x:v>
      </x:c>
      <x:c r="F551" s="12">
        <x:f>ROUND(J551*$W$4*H551,0)</x:f>
        <x:v>10284</x:v>
      </x:c>
      <x:c r="G551" s="12">
        <x:f>ROUND(J551*$W$4*$W$5*I551,0)</x:f>
        <x:v>2571</x:v>
      </x:c>
      <x:c r="H551" s="11" t="n">
        <x:f>$Y$20</x:f>
        <x:v>1</x:v>
      </x:c>
      <x:c r="I551" s="11" t="n">
        <x:f>$Z$20</x:f>
        <x:v>3.3333333333333335</x:v>
      </x:c>
      <x:c r="J551" s="12">
        <x:f>英雄升级调参!$E$104</x:f>
        <x:v>2571</x:v>
      </x:c>
      <x:c r="K551" s="12">
        <x:f>英雄升级调参!$F$104</x:f>
        <x:v>25710</x:v>
      </x:c>
      <x:c r="L551" s="6" t="n">
        <x:f>ROUNDUP(F551/J551,0)</x:f>
        <x:v>4</x:v>
      </x:c>
      <x:c r="M551" s="6" t="n">
        <x:f>IF(G551=0,"无伤害",ROUNDUP(K551/MAX(1,ROUND(G551*$AC$20,0)),0))</x:f>
        <x:v>10</x:v>
      </x:c>
      <x:c r="N551" s="6" t="n">
        <x:f>ROUNDUP(F551/英雄升级调参!$H$104,0)</x:f>
        <x:v>3</x:v>
      </x:c>
      <x:c r="O551" s="6" t="n">
        <x:f>ROUNDUP(F551/英雄升级调参!$K$104,0)</x:f>
        <x:v>2</x:v>
      </x:c>
      <x:c r="P551" s="6" t="str">
        <x:f>$AA$20</x:f>
        <x:v>普通：4次标准普攻击杀；10次主要攻击致死</x:v>
      </x:c>
      <x:c r="Q551" s="6"/>
      <x:c r="R551" s="6"/>
      <x:c r="S551" s="6"/>
      <x:c r="T551" s="6"/>
    </x:row>
    <x:row r="552" ht="21" customHeight="1">
      <x:c r="A552" s="14" t="n">
        <x:f>$V$20</x:f>
        <x:v>60007</x:v>
      </x:c>
      <x:c r="B552" s="14" t="str">
        <x:f>$W$20</x:f>
        <x:v>橙子球</x:v>
      </x:c>
      <x:c r="C552" s="6" t="str">
        <x:f>$X$20</x:f>
        <x:v>普通</x:v>
      </x:c>
      <x:c r="D552" s="6">
        <x:v>40</x:v>
      </x:c>
      <x:c r="E552" s="6">
        <x:v>20</x:v>
      </x:c>
      <x:c r="F552" s="12">
        <x:f>ROUND(J552*$W$4*H552,0)</x:f>
        <x:v>11256</x:v>
      </x:c>
      <x:c r="G552" s="12">
        <x:f>ROUND(J552*$W$4*$W$5*I552,0)</x:f>
        <x:v>2814</x:v>
      </x:c>
      <x:c r="H552" s="11" t="n">
        <x:f>$Y$20</x:f>
        <x:v>1</x:v>
      </x:c>
      <x:c r="I552" s="11" t="n">
        <x:f>$Z$20</x:f>
        <x:v>3.3333333333333335</x:v>
      </x:c>
      <x:c r="J552" s="12">
        <x:f>英雄升级调参!$E$105</x:f>
        <x:v>2814</x:v>
      </x:c>
      <x:c r="K552" s="12">
        <x:f>英雄升级调参!$F$105</x:f>
        <x:v>28140</x:v>
      </x:c>
      <x:c r="L552" s="6" t="n">
        <x:f>ROUNDUP(F552/J552,0)</x:f>
        <x:v>4</x:v>
      </x:c>
      <x:c r="M552" s="6" t="n">
        <x:f>IF(G552=0,"无伤害",ROUNDUP(K552/MAX(1,ROUND(G552*$AC$20,0)),0))</x:f>
        <x:v>10</x:v>
      </x:c>
      <x:c r="N552" s="6" t="n">
        <x:f>ROUNDUP(F552/英雄升级调参!$H$105,0)</x:f>
        <x:v>3</x:v>
      </x:c>
      <x:c r="O552" s="6" t="n">
        <x:f>ROUNDUP(F552/英雄升级调参!$K$105,0)</x:f>
        <x:v>2</x:v>
      </x:c>
      <x:c r="P552" s="6" t="str">
        <x:f>$AA$20</x:f>
        <x:v>普通：4次标准普攻击杀；10次主要攻击致死</x:v>
      </x:c>
      <x:c r="Q552" s="6"/>
      <x:c r="R552" s="6"/>
      <x:c r="S552" s="6"/>
      <x:c r="T552" s="6"/>
    </x:row>
    <x:row r="553" ht="21" customHeight="1">
      <x:c r="A553" s="14" t="n">
        <x:f>$V$20</x:f>
        <x:v>60007</x:v>
      </x:c>
      <x:c r="B553" s="14" t="str">
        <x:f>$W$20</x:f>
        <x:v>橙子球</x:v>
      </x:c>
      <x:c r="C553" s="6" t="str">
        <x:f>$X$20</x:f>
        <x:v>普通</x:v>
      </x:c>
      <x:c r="D553" s="6">
        <x:v>41</x:v>
      </x:c>
      <x:c r="E553" s="6">
        <x:v>20</x:v>
      </x:c>
      <x:c r="F553" s="12">
        <x:f>ROUND(J553*$W$4*H553,0)</x:f>
        <x:v>11616</x:v>
      </x:c>
      <x:c r="G553" s="12">
        <x:f>ROUND(J553*$W$4*$W$5*I553,0)</x:f>
        <x:v>2904</x:v>
      </x:c>
      <x:c r="H553" s="11" t="n">
        <x:f>$Y$20</x:f>
        <x:v>1</x:v>
      </x:c>
      <x:c r="I553" s="11" t="n">
        <x:f>$Z$20</x:f>
        <x:v>3.3333333333333335</x:v>
      </x:c>
      <x:c r="J553" s="12">
        <x:f>英雄升级调参!$E$106</x:f>
        <x:v>2904</x:v>
      </x:c>
      <x:c r="K553" s="12">
        <x:f>英雄升级调参!$F$106</x:f>
        <x:v>29040</x:v>
      </x:c>
      <x:c r="L553" s="6" t="n">
        <x:f>ROUNDUP(F553/J553,0)</x:f>
        <x:v>4</x:v>
      </x:c>
      <x:c r="M553" s="6" t="n">
        <x:f>IF(G553=0,"无伤害",ROUNDUP(K553/MAX(1,ROUND(G553*$AC$20,0)),0))</x:f>
        <x:v>10</x:v>
      </x:c>
      <x:c r="N553" s="6" t="n">
        <x:f>ROUNDUP(F553/英雄升级调参!$H$106,0)</x:f>
        <x:v>3</x:v>
      </x:c>
      <x:c r="O553" s="6" t="n">
        <x:f>ROUNDUP(F553/英雄升级调参!$K$106,0)</x:f>
        <x:v>2</x:v>
      </x:c>
      <x:c r="P553" s="6" t="str">
        <x:f>$AA$20</x:f>
        <x:v>普通：4次标准普攻击杀；10次主要攻击致死</x:v>
      </x:c>
      <x:c r="Q553" s="6"/>
      <x:c r="R553" s="6"/>
      <x:c r="S553" s="6"/>
      <x:c r="T553" s="6"/>
    </x:row>
    <x:row r="554" ht="21" customHeight="1">
      <x:c r="A554" s="14" t="n">
        <x:f>$V$20</x:f>
        <x:v>60007</x:v>
      </x:c>
      <x:c r="B554" s="14" t="str">
        <x:f>$W$20</x:f>
        <x:v>橙子球</x:v>
      </x:c>
      <x:c r="C554" s="6" t="str">
        <x:f>$X$20</x:f>
        <x:v>普通</x:v>
      </x:c>
      <x:c r="D554" s="6">
        <x:v>42</x:v>
      </x:c>
      <x:c r="E554" s="6">
        <x:v>20</x:v>
      </x:c>
      <x:c r="F554" s="12">
        <x:f>ROUND(J554*$W$4*H554,0)</x:f>
        <x:v>11976</x:v>
      </x:c>
      <x:c r="G554" s="12">
        <x:f>ROUND(J554*$W$4*$W$5*I554,0)</x:f>
        <x:v>2994</x:v>
      </x:c>
      <x:c r="H554" s="11" t="n">
        <x:f>$Y$20</x:f>
        <x:v>1</x:v>
      </x:c>
      <x:c r="I554" s="11" t="n">
        <x:f>$Z$20</x:f>
        <x:v>3.3333333333333335</x:v>
      </x:c>
      <x:c r="J554" s="12">
        <x:f>英雄升级调参!$E$107</x:f>
        <x:v>2994</x:v>
      </x:c>
      <x:c r="K554" s="12">
        <x:f>英雄升级调参!$F$107</x:f>
        <x:v>29940</x:v>
      </x:c>
      <x:c r="L554" s="6" t="n">
        <x:f>ROUNDUP(F554/J554,0)</x:f>
        <x:v>4</x:v>
      </x:c>
      <x:c r="M554" s="6" t="n">
        <x:f>IF(G554=0,"无伤害",ROUNDUP(K554/MAX(1,ROUND(G554*$AC$20,0)),0))</x:f>
        <x:v>10</x:v>
      </x:c>
      <x:c r="N554" s="6" t="n">
        <x:f>ROUNDUP(F554/英雄升级调参!$H$107,0)</x:f>
        <x:v>3</x:v>
      </x:c>
      <x:c r="O554" s="6" t="n">
        <x:f>ROUNDUP(F554/英雄升级调参!$K$107,0)</x:f>
        <x:v>2</x:v>
      </x:c>
      <x:c r="P554" s="6" t="str">
        <x:f>$AA$20</x:f>
        <x:v>普通：4次标准普攻击杀；10次主要攻击致死</x:v>
      </x:c>
      <x:c r="Q554" s="6"/>
      <x:c r="R554" s="6"/>
      <x:c r="S554" s="6"/>
      <x:c r="T554" s="6"/>
    </x:row>
    <x:row r="555" ht="21" customHeight="1">
      <x:c r="A555" s="14" t="n">
        <x:f>$V$20</x:f>
        <x:v>60007</x:v>
      </x:c>
      <x:c r="B555" s="14" t="str">
        <x:f>$W$20</x:f>
        <x:v>橙子球</x:v>
      </x:c>
      <x:c r="C555" s="6" t="str">
        <x:f>$X$20</x:f>
        <x:v>普通</x:v>
      </x:c>
      <x:c r="D555" s="6">
        <x:v>43</x:v>
      </x:c>
      <x:c r="E555" s="6">
        <x:v>20</x:v>
      </x:c>
      <x:c r="F555" s="12">
        <x:f>ROUND(J555*$W$4*H555,0)</x:f>
        <x:v>12336</x:v>
      </x:c>
      <x:c r="G555" s="12">
        <x:f>ROUND(J555*$W$4*$W$5*I555,0)</x:f>
        <x:v>3084</x:v>
      </x:c>
      <x:c r="H555" s="11" t="n">
        <x:f>$Y$20</x:f>
        <x:v>1</x:v>
      </x:c>
      <x:c r="I555" s="11" t="n">
        <x:f>$Z$20</x:f>
        <x:v>3.3333333333333335</x:v>
      </x:c>
      <x:c r="J555" s="12">
        <x:f>英雄升级调参!$E$108</x:f>
        <x:v>3084</x:v>
      </x:c>
      <x:c r="K555" s="12">
        <x:f>英雄升级调参!$F$108</x:f>
        <x:v>30840</x:v>
      </x:c>
      <x:c r="L555" s="6" t="n">
        <x:f>ROUNDUP(F555/J555,0)</x:f>
        <x:v>4</x:v>
      </x:c>
      <x:c r="M555" s="6" t="n">
        <x:f>IF(G555=0,"无伤害",ROUNDUP(K555/MAX(1,ROUND(G555*$AC$20,0)),0))</x:f>
        <x:v>10</x:v>
      </x:c>
      <x:c r="N555" s="6" t="n">
        <x:f>ROUNDUP(F555/英雄升级调参!$H$108,0)</x:f>
        <x:v>3</x:v>
      </x:c>
      <x:c r="O555" s="6" t="n">
        <x:f>ROUNDUP(F555/英雄升级调参!$K$108,0)</x:f>
        <x:v>2</x:v>
      </x:c>
      <x:c r="P555" s="6" t="str">
        <x:f>$AA$20</x:f>
        <x:v>普通：4次标准普攻击杀；10次主要攻击致死</x:v>
      </x:c>
      <x:c r="Q555" s="6"/>
      <x:c r="R555" s="6"/>
      <x:c r="S555" s="6"/>
      <x:c r="T555" s="6"/>
    </x:row>
    <x:row r="556" ht="21" customHeight="1">
      <x:c r="A556" s="14" t="n">
        <x:f>$V$20</x:f>
        <x:v>60007</x:v>
      </x:c>
      <x:c r="B556" s="14" t="str">
        <x:f>$W$20</x:f>
        <x:v>橙子球</x:v>
      </x:c>
      <x:c r="C556" s="6" t="str">
        <x:f>$X$20</x:f>
        <x:v>普通</x:v>
      </x:c>
      <x:c r="D556" s="6">
        <x:v>44</x:v>
      </x:c>
      <x:c r="E556" s="6">
        <x:v>20</x:v>
      </x:c>
      <x:c r="F556" s="12">
        <x:f>ROUND(J556*$W$4*H556,0)</x:f>
        <x:v>12696</x:v>
      </x:c>
      <x:c r="G556" s="12">
        <x:f>ROUND(J556*$W$4*$W$5*I556,0)</x:f>
        <x:v>3174</x:v>
      </x:c>
      <x:c r="H556" s="11" t="n">
        <x:f>$Y$20</x:f>
        <x:v>1</x:v>
      </x:c>
      <x:c r="I556" s="11" t="n">
        <x:f>$Z$20</x:f>
        <x:v>3.3333333333333335</x:v>
      </x:c>
      <x:c r="J556" s="12">
        <x:f>英雄升级调参!$E$109</x:f>
        <x:v>3174</x:v>
      </x:c>
      <x:c r="K556" s="12">
        <x:f>英雄升级调参!$F$109</x:f>
        <x:v>31740</x:v>
      </x:c>
      <x:c r="L556" s="6" t="n">
        <x:f>ROUNDUP(F556/J556,0)</x:f>
        <x:v>4</x:v>
      </x:c>
      <x:c r="M556" s="6" t="n">
        <x:f>IF(G556=0,"无伤害",ROUNDUP(K556/MAX(1,ROUND(G556*$AC$20,0)),0))</x:f>
        <x:v>10</x:v>
      </x:c>
      <x:c r="N556" s="6" t="n">
        <x:f>ROUNDUP(F556/英雄升级调参!$H$109,0)</x:f>
        <x:v>3</x:v>
      </x:c>
      <x:c r="O556" s="6" t="n">
        <x:f>ROUNDUP(F556/英雄升级调参!$K$109,0)</x:f>
        <x:v>2</x:v>
      </x:c>
      <x:c r="P556" s="6" t="str">
        <x:f>$AA$20</x:f>
        <x:v>普通：4次标准普攻击杀；10次主要攻击致死</x:v>
      </x:c>
      <x:c r="Q556" s="6"/>
      <x:c r="R556" s="6"/>
      <x:c r="S556" s="6"/>
      <x:c r="T556" s="6"/>
    </x:row>
    <x:row r="557" ht="21" customHeight="1">
      <x:c r="A557" s="14" t="n">
        <x:f>$V$20</x:f>
        <x:v>60007</x:v>
      </x:c>
      <x:c r="B557" s="14" t="str">
        <x:f>$W$20</x:f>
        <x:v>橙子球</x:v>
      </x:c>
      <x:c r="C557" s="6" t="str">
        <x:f>$X$20</x:f>
        <x:v>普通</x:v>
      </x:c>
      <x:c r="D557" s="6">
        <x:v>45</x:v>
      </x:c>
      <x:c r="E557" s="6">
        <x:v>20</x:v>
      </x:c>
      <x:c r="F557" s="12">
        <x:f>ROUND(J557*$W$4*H557,0)</x:f>
        <x:v>13776</x:v>
      </x:c>
      <x:c r="G557" s="12">
        <x:f>ROUND(J557*$W$4*$W$5*I557,0)</x:f>
        <x:v>3444</x:v>
      </x:c>
      <x:c r="H557" s="11" t="n">
        <x:f>$Y$20</x:f>
        <x:v>1</x:v>
      </x:c>
      <x:c r="I557" s="11" t="n">
        <x:f>$Z$20</x:f>
        <x:v>3.3333333333333335</x:v>
      </x:c>
      <x:c r="J557" s="12">
        <x:f>英雄升级调参!$E$110</x:f>
        <x:v>3444</x:v>
      </x:c>
      <x:c r="K557" s="12">
        <x:f>英雄升级调参!$F$110</x:f>
        <x:v>34440</x:v>
      </x:c>
      <x:c r="L557" s="6" t="n">
        <x:f>ROUNDUP(F557/J557,0)</x:f>
        <x:v>4</x:v>
      </x:c>
      <x:c r="M557" s="6" t="n">
        <x:f>IF(G557=0,"无伤害",ROUNDUP(K557/MAX(1,ROUND(G557*$AC$20,0)),0))</x:f>
        <x:v>10</x:v>
      </x:c>
      <x:c r="N557" s="6" t="n">
        <x:f>ROUNDUP(F557/英雄升级调参!$H$110,0)</x:f>
        <x:v>3</x:v>
      </x:c>
      <x:c r="O557" s="6" t="n">
        <x:f>ROUNDUP(F557/英雄升级调参!$K$110,0)</x:f>
        <x:v>2</x:v>
      </x:c>
      <x:c r="P557" s="6" t="str">
        <x:f>$AA$20</x:f>
        <x:v>普通：4次标准普攻击杀；10次主要攻击致死</x:v>
      </x:c>
      <x:c r="Q557" s="6"/>
      <x:c r="R557" s="6"/>
      <x:c r="S557" s="6"/>
      <x:c r="T557" s="6"/>
    </x:row>
    <x:row r="558" ht="21" customHeight="1">
      <x:c r="A558" s="14" t="n">
        <x:f>$V$20</x:f>
        <x:v>60007</x:v>
      </x:c>
      <x:c r="B558" s="14" t="str">
        <x:f>$W$20</x:f>
        <x:v>橙子球</x:v>
      </x:c>
      <x:c r="C558" s="6" t="str">
        <x:f>$X$20</x:f>
        <x:v>普通</x:v>
      </x:c>
      <x:c r="D558" s="6">
        <x:v>46</x:v>
      </x:c>
      <x:c r="E558" s="6">
        <x:v>20</x:v>
      </x:c>
      <x:c r="F558" s="12">
        <x:f>ROUND(J558*$W$4*H558,0)</x:f>
        <x:v>14172</x:v>
      </x:c>
      <x:c r="G558" s="12">
        <x:f>ROUND(J558*$W$4*$W$5*I558,0)</x:f>
        <x:v>3543</x:v>
      </x:c>
      <x:c r="H558" s="11" t="n">
        <x:f>$Y$20</x:f>
        <x:v>1</x:v>
      </x:c>
      <x:c r="I558" s="11" t="n">
        <x:f>$Z$20</x:f>
        <x:v>3.3333333333333335</x:v>
      </x:c>
      <x:c r="J558" s="12">
        <x:f>英雄升级调参!$E$111</x:f>
        <x:v>3543</x:v>
      </x:c>
      <x:c r="K558" s="12">
        <x:f>英雄升级调参!$F$111</x:f>
        <x:v>35430</x:v>
      </x:c>
      <x:c r="L558" s="6" t="n">
        <x:f>ROUNDUP(F558/J558,0)</x:f>
        <x:v>4</x:v>
      </x:c>
      <x:c r="M558" s="6" t="n">
        <x:f>IF(G558=0,"无伤害",ROUNDUP(K558/MAX(1,ROUND(G558*$AC$20,0)),0))</x:f>
        <x:v>10</x:v>
      </x:c>
      <x:c r="N558" s="6" t="n">
        <x:f>ROUNDUP(F558/英雄升级调参!$H$111,0)</x:f>
        <x:v>3</x:v>
      </x:c>
      <x:c r="O558" s="6" t="n">
        <x:f>ROUNDUP(F558/英雄升级调参!$K$111,0)</x:f>
        <x:v>2</x:v>
      </x:c>
      <x:c r="P558" s="6" t="str">
        <x:f>$AA$20</x:f>
        <x:v>普通：4次标准普攻击杀；10次主要攻击致死</x:v>
      </x:c>
      <x:c r="Q558" s="6"/>
      <x:c r="R558" s="6"/>
      <x:c r="S558" s="6"/>
      <x:c r="T558" s="6"/>
    </x:row>
    <x:row r="559" ht="21" customHeight="1">
      <x:c r="A559" s="14" t="n">
        <x:f>$V$20</x:f>
        <x:v>60007</x:v>
      </x:c>
      <x:c r="B559" s="14" t="str">
        <x:f>$W$20</x:f>
        <x:v>橙子球</x:v>
      </x:c>
      <x:c r="C559" s="6" t="str">
        <x:f>$X$20</x:f>
        <x:v>普通</x:v>
      </x:c>
      <x:c r="D559" s="6">
        <x:v>47</x:v>
      </x:c>
      <x:c r="E559" s="6">
        <x:v>20</x:v>
      </x:c>
      <x:c r="F559" s="12">
        <x:f>ROUND(J559*$W$4*H559,0)</x:f>
        <x:v>14568</x:v>
      </x:c>
      <x:c r="G559" s="12">
        <x:f>ROUND(J559*$W$4*$W$5*I559,0)</x:f>
        <x:v>3642</x:v>
      </x:c>
      <x:c r="H559" s="11" t="n">
        <x:f>$Y$20</x:f>
        <x:v>1</x:v>
      </x:c>
      <x:c r="I559" s="11" t="n">
        <x:f>$Z$20</x:f>
        <x:v>3.3333333333333335</x:v>
      </x:c>
      <x:c r="J559" s="12">
        <x:f>英雄升级调参!$E$112</x:f>
        <x:v>3642</x:v>
      </x:c>
      <x:c r="K559" s="12">
        <x:f>英雄升级调参!$F$112</x:f>
        <x:v>36420</x:v>
      </x:c>
      <x:c r="L559" s="6" t="n">
        <x:f>ROUNDUP(F559/J559,0)</x:f>
        <x:v>4</x:v>
      </x:c>
      <x:c r="M559" s="6" t="n">
        <x:f>IF(G559=0,"无伤害",ROUNDUP(K559/MAX(1,ROUND(G559*$AC$20,0)),0))</x:f>
        <x:v>10</x:v>
      </x:c>
      <x:c r="N559" s="6" t="n">
        <x:f>ROUNDUP(F559/英雄升级调参!$H$112,0)</x:f>
        <x:v>3</x:v>
      </x:c>
      <x:c r="O559" s="6" t="n">
        <x:f>ROUNDUP(F559/英雄升级调参!$K$112,0)</x:f>
        <x:v>2</x:v>
      </x:c>
      <x:c r="P559" s="6" t="str">
        <x:f>$AA$20</x:f>
        <x:v>普通：4次标准普攻击杀；10次主要攻击致死</x:v>
      </x:c>
      <x:c r="Q559" s="6"/>
      <x:c r="R559" s="6"/>
      <x:c r="S559" s="6"/>
      <x:c r="T559" s="6"/>
    </x:row>
    <x:row r="560" ht="21" customHeight="1">
      <x:c r="A560" s="14" t="n">
        <x:f>$V$20</x:f>
        <x:v>60007</x:v>
      </x:c>
      <x:c r="B560" s="14" t="str">
        <x:f>$W$20</x:f>
        <x:v>橙子球</x:v>
      </x:c>
      <x:c r="C560" s="6" t="str">
        <x:f>$X$20</x:f>
        <x:v>普通</x:v>
      </x:c>
      <x:c r="D560" s="6">
        <x:v>48</x:v>
      </x:c>
      <x:c r="E560" s="6">
        <x:v>20</x:v>
      </x:c>
      <x:c r="F560" s="12">
        <x:f>ROUND(J560*$W$4*H560,0)</x:f>
        <x:v>14964</x:v>
      </x:c>
      <x:c r="G560" s="12">
        <x:f>ROUND(J560*$W$4*$W$5*I560,0)</x:f>
        <x:v>3741</x:v>
      </x:c>
      <x:c r="H560" s="11" t="n">
        <x:f>$Y$20</x:f>
        <x:v>1</x:v>
      </x:c>
      <x:c r="I560" s="11" t="n">
        <x:f>$Z$20</x:f>
        <x:v>3.3333333333333335</x:v>
      </x:c>
      <x:c r="J560" s="12">
        <x:f>英雄升级调参!$E$113</x:f>
        <x:v>3741</x:v>
      </x:c>
      <x:c r="K560" s="12">
        <x:f>英雄升级调参!$F$113</x:f>
        <x:v>37410</x:v>
      </x:c>
      <x:c r="L560" s="6" t="n">
        <x:f>ROUNDUP(F560/J560,0)</x:f>
        <x:v>4</x:v>
      </x:c>
      <x:c r="M560" s="6" t="n">
        <x:f>IF(G560=0,"无伤害",ROUNDUP(K560/MAX(1,ROUND(G560*$AC$20,0)),0))</x:f>
        <x:v>10</x:v>
      </x:c>
      <x:c r="N560" s="6" t="n">
        <x:f>ROUNDUP(F560/英雄升级调参!$H$113,0)</x:f>
        <x:v>3</x:v>
      </x:c>
      <x:c r="O560" s="6" t="n">
        <x:f>ROUNDUP(F560/英雄升级调参!$K$113,0)</x:f>
        <x:v>2</x:v>
      </x:c>
      <x:c r="P560" s="6" t="str">
        <x:f>$AA$20</x:f>
        <x:v>普通：4次标准普攻击杀；10次主要攻击致死</x:v>
      </x:c>
      <x:c r="Q560" s="6"/>
      <x:c r="R560" s="6"/>
      <x:c r="S560" s="6"/>
      <x:c r="T560" s="6"/>
    </x:row>
    <x:row r="561" ht="21" customHeight="1">
      <x:c r="A561" s="14" t="n">
        <x:f>$V$20</x:f>
        <x:v>60007</x:v>
      </x:c>
      <x:c r="B561" s="14" t="str">
        <x:f>$W$20</x:f>
        <x:v>橙子球</x:v>
      </x:c>
      <x:c r="C561" s="6" t="str">
        <x:f>$X$20</x:f>
        <x:v>普通</x:v>
      </x:c>
      <x:c r="D561" s="6">
        <x:v>49</x:v>
      </x:c>
      <x:c r="E561" s="6">
        <x:v>20</x:v>
      </x:c>
      <x:c r="F561" s="12">
        <x:f>ROUND(J561*$W$4*H561,0)</x:f>
        <x:v>15360</x:v>
      </x:c>
      <x:c r="G561" s="12">
        <x:f>ROUND(J561*$W$4*$W$5*I561,0)</x:f>
        <x:v>3840</x:v>
      </x:c>
      <x:c r="H561" s="11" t="n">
        <x:f>$Y$20</x:f>
        <x:v>1</x:v>
      </x:c>
      <x:c r="I561" s="11" t="n">
        <x:f>$Z$20</x:f>
        <x:v>3.3333333333333335</x:v>
      </x:c>
      <x:c r="J561" s="12">
        <x:f>英雄升级调参!$E$114</x:f>
        <x:v>3840</x:v>
      </x:c>
      <x:c r="K561" s="12">
        <x:f>英雄升级调参!$F$114</x:f>
        <x:v>38400</x:v>
      </x:c>
      <x:c r="L561" s="6" t="n">
        <x:f>ROUNDUP(F561/J561,0)</x:f>
        <x:v>4</x:v>
      </x:c>
      <x:c r="M561" s="6" t="n">
        <x:f>IF(G561=0,"无伤害",ROUNDUP(K561/MAX(1,ROUND(G561*$AC$20,0)),0))</x:f>
        <x:v>10</x:v>
      </x:c>
      <x:c r="N561" s="6" t="n">
        <x:f>ROUNDUP(F561/英雄升级调参!$H$114,0)</x:f>
        <x:v>3</x:v>
      </x:c>
      <x:c r="O561" s="6" t="n">
        <x:f>ROUNDUP(F561/英雄升级调参!$K$114,0)</x:f>
        <x:v>2</x:v>
      </x:c>
      <x:c r="P561" s="6" t="str">
        <x:f>$AA$20</x:f>
        <x:v>普通：4次标准普攻击杀；10次主要攻击致死</x:v>
      </x:c>
      <x:c r="Q561" s="6"/>
      <x:c r="R561" s="6"/>
      <x:c r="S561" s="6"/>
      <x:c r="T561" s="6"/>
    </x:row>
    <x:row r="562" ht="21" customHeight="1">
      <x:c r="A562" s="14" t="n">
        <x:f>$V$20</x:f>
        <x:v>60007</x:v>
      </x:c>
      <x:c r="B562" s="14" t="str">
        <x:f>$W$20</x:f>
        <x:v>橙子球</x:v>
      </x:c>
      <x:c r="C562" s="6" t="str">
        <x:f>$X$20</x:f>
        <x:v>普通</x:v>
      </x:c>
      <x:c r="D562" s="6">
        <x:v>50</x:v>
      </x:c>
      <x:c r="E562" s="6">
        <x:v>20</x:v>
      </x:c>
      <x:c r="F562" s="12">
        <x:f>ROUND(J562*$W$4*H562,0)</x:f>
        <x:v>16548</x:v>
      </x:c>
      <x:c r="G562" s="12">
        <x:f>ROUND(J562*$W$4*$W$5*I562,0)</x:f>
        <x:v>4137</x:v>
      </x:c>
      <x:c r="H562" s="11" t="n">
        <x:f>$Y$20</x:f>
        <x:v>1</x:v>
      </x:c>
      <x:c r="I562" s="11" t="n">
        <x:f>$Z$20</x:f>
        <x:v>3.3333333333333335</x:v>
      </x:c>
      <x:c r="J562" s="12">
        <x:f>英雄升级调参!$E$115</x:f>
        <x:v>4137</x:v>
      </x:c>
      <x:c r="K562" s="12">
        <x:f>英雄升级调参!$F$115</x:f>
        <x:v>41370</x:v>
      </x:c>
      <x:c r="L562" s="6" t="n">
        <x:f>ROUNDUP(F562/J562,0)</x:f>
        <x:v>4</x:v>
      </x:c>
      <x:c r="M562" s="6" t="n">
        <x:f>IF(G562=0,"无伤害",ROUNDUP(K562/MAX(1,ROUND(G562*$AC$20,0)),0))</x:f>
        <x:v>10</x:v>
      </x:c>
      <x:c r="N562" s="6" t="n">
        <x:f>ROUNDUP(F562/英雄升级调参!$H$115,0)</x:f>
        <x:v>3</x:v>
      </x:c>
      <x:c r="O562" s="6" t="n">
        <x:f>ROUNDUP(F562/英雄升级调参!$K$115,0)</x:f>
        <x:v>2</x:v>
      </x:c>
      <x:c r="P562" s="6" t="str">
        <x:f>$AA$20</x:f>
        <x:v>普通：4次标准普攻击杀；10次主要攻击致死</x:v>
      </x:c>
      <x:c r="Q562" s="6"/>
      <x:c r="R562" s="6"/>
      <x:c r="S562" s="6"/>
      <x:c r="T562" s="6"/>
    </x:row>
    <x:row r="563" ht="21" customHeight="1">
      <x:c r="A563" s="14" t="n">
        <x:f>$V$21</x:f>
        <x:v>60008</x:v>
      </x:c>
      <x:c r="B563" s="14" t="str">
        <x:f>$W$21</x:f>
        <x:v>葡萄狗</x:v>
      </x:c>
      <x:c r="C563" s="6" t="str">
        <x:f>$X$21</x:f>
        <x:v>中等</x:v>
      </x:c>
      <x:c r="D563" s="6">
        <x:v>1</x:v>
      </x:c>
      <x:c r="E563" s="6">
        <x:v>21</x:v>
      </x:c>
      <x:c r="F563" s="12" t="n">
        <x:f>ROUND(J563*$W$4*H563,0)</x:f>
        <x:v>240</x:v>
      </x:c>
      <x:c r="G563" s="12">
        <x:f>ROUND((ROUND(J563*$W$4*$W$5*I563,0))*2/3,0)</x:f>
        <x:v>40</x:v>
      </x:c>
      <x:c r="H563" s="11" t="n">
        <x:f>$Y$21</x:f>
        <x:v>1</x:v>
      </x:c>
      <x:c r="I563" s="11" t="n">
        <x:f>$Z$21</x:f>
        <x:v>3.3333333333333335</x:v>
      </x:c>
      <x:c r="J563" s="12" t="n">
        <x:f>英雄升级调参!$E$66</x:f>
        <x:v>60</x:v>
      </x:c>
      <x:c r="K563" s="12" t="n">
        <x:f>英雄升级调参!$F$66</x:f>
        <x:v>600</x:v>
      </x:c>
      <x:c r="L563" s="6" t="n">
        <x:f>ROUNDUP(F563/J563,0)</x:f>
        <x:v>4</x:v>
      </x:c>
      <x:c r="M563" s="6">
        <x:f>IF(G563=0,"无伤害",ROUNDUP(K563/MAX(1,ROUND(G563*$AC$21,0)),0))</x:f>
        <x:v>15</x:v>
      </x:c>
      <x:c r="N563" s="6">
        <x:f>ROUNDUP(F563/英雄升级调参!$H$66,0)</x:f>
        <x:v>2</x:v>
      </x:c>
      <x:c r="O563" s="6">
        <x:f>ROUNDUP(F563/英雄升级调参!$K$66,0)</x:f>
        <x:v>1</x:v>
      </x:c>
      <x:c r="P563" s="6" t="str">
        <x:f>$AA$21</x:f>
        <x:v>普通：4次标准普攻击杀；10次主要攻击致死</x:v>
      </x:c>
      <x:c r="Q563" s="6"/>
      <x:c r="R563" s="6"/>
      <x:c r="S563" s="6"/>
      <x:c r="T563" s="6"/>
    </x:row>
    <x:row r="564" ht="21" customHeight="1">
      <x:c r="A564" s="14" t="n">
        <x:f>$V$21</x:f>
        <x:v>60008</x:v>
      </x:c>
      <x:c r="B564" s="14" t="str">
        <x:f>$W$21</x:f>
        <x:v>葡萄狗</x:v>
      </x:c>
      <x:c r="C564" s="6" t="str">
        <x:f>$X$21</x:f>
        <x:v>中等</x:v>
      </x:c>
      <x:c r="D564" s="6">
        <x:v>2</x:v>
      </x:c>
      <x:c r="E564" s="6">
        <x:v>21</x:v>
      </x:c>
      <x:c r="F564" s="12">
        <x:f>ROUND(J564*$W$4*H564,0)</x:f>
        <x:v>312</x:v>
      </x:c>
      <x:c r="G564" s="12">
        <x:f>ROUND(J564*$W$4*$W$5*I564,0)</x:f>
        <x:v>78</x:v>
      </x:c>
      <x:c r="H564" s="11" t="n">
        <x:f>$Y$21</x:f>
        <x:v>1</x:v>
      </x:c>
      <x:c r="I564" s="11" t="n">
        <x:f>$Z$21</x:f>
        <x:v>3.3333333333333335</x:v>
      </x:c>
      <x:c r="J564" s="12">
        <x:f>英雄升级调参!$E$67</x:f>
        <x:v>78</x:v>
      </x:c>
      <x:c r="K564" s="12">
        <x:f>英雄升级调参!$F$67</x:f>
        <x:v>780</x:v>
      </x:c>
      <x:c r="L564" s="6" t="n">
        <x:f>ROUNDUP(F564/J564,0)</x:f>
        <x:v>4</x:v>
      </x:c>
      <x:c r="M564" s="6" t="n">
        <x:f>IF(G564=0,"无伤害",ROUNDUP(K564/MAX(1,ROUND(G564*$AC$21,0)),0))</x:f>
        <x:v>10</x:v>
      </x:c>
      <x:c r="N564" s="6">
        <x:f>ROUNDUP(F564/英雄升级调参!$H$67,0)</x:f>
        <x:v>2</x:v>
      </x:c>
      <x:c r="O564" s="6">
        <x:f>ROUNDUP(F564/英雄升级调参!$K$67,0)</x:f>
        <x:v>1</x:v>
      </x:c>
      <x:c r="P564" s="6" t="str">
        <x:f>$AA$21</x:f>
        <x:v>普通：4次标准普攻击杀；10次主要攻击致死</x:v>
      </x:c>
      <x:c r="Q564" s="6"/>
      <x:c r="R564" s="6"/>
      <x:c r="S564" s="6"/>
      <x:c r="T564" s="6"/>
    </x:row>
    <x:row r="565" ht="21" customHeight="1">
      <x:c r="A565" s="14" t="n">
        <x:f>$V$21</x:f>
        <x:v>60008</x:v>
      </x:c>
      <x:c r="B565" s="14" t="str">
        <x:f>$W$21</x:f>
        <x:v>葡萄狗</x:v>
      </x:c>
      <x:c r="C565" s="6" t="str">
        <x:f>$X$21</x:f>
        <x:v>中等</x:v>
      </x:c>
      <x:c r="D565" s="6">
        <x:v>3</x:v>
      </x:c>
      <x:c r="E565" s="6">
        <x:v>21</x:v>
      </x:c>
      <x:c r="F565" s="12">
        <x:f>ROUND(J565*$W$4*H565,0)</x:f>
        <x:v>384</x:v>
      </x:c>
      <x:c r="G565" s="12">
        <x:f>ROUND(J565*$W$4*$W$5*I565,0)</x:f>
        <x:v>96</x:v>
      </x:c>
      <x:c r="H565" s="11" t="n">
        <x:f>$Y$21</x:f>
        <x:v>1</x:v>
      </x:c>
      <x:c r="I565" s="11" t="n">
        <x:f>$Z$21</x:f>
        <x:v>3.3333333333333335</x:v>
      </x:c>
      <x:c r="J565" s="12">
        <x:f>英雄升级调参!$E$68</x:f>
        <x:v>96</x:v>
      </x:c>
      <x:c r="K565" s="12">
        <x:f>英雄升级调参!$F$68</x:f>
        <x:v>960</x:v>
      </x:c>
      <x:c r="L565" s="6" t="n">
        <x:f>ROUNDUP(F565/J565,0)</x:f>
        <x:v>4</x:v>
      </x:c>
      <x:c r="M565" s="6" t="n">
        <x:f>IF(G565=0,"无伤害",ROUNDUP(K565/MAX(1,ROUND(G565*$AC$21,0)),0))</x:f>
        <x:v>10</x:v>
      </x:c>
      <x:c r="N565" s="6">
        <x:f>ROUNDUP(F565/英雄升级调参!$H$68,0)</x:f>
        <x:v>2</x:v>
      </x:c>
      <x:c r="O565" s="6">
        <x:f>ROUNDUP(F565/英雄升级调参!$K$68,0)</x:f>
        <x:v>1</x:v>
      </x:c>
      <x:c r="P565" s="6" t="str">
        <x:f>$AA$21</x:f>
        <x:v>普通：4次标准普攻击杀；10次主要攻击致死</x:v>
      </x:c>
      <x:c r="Q565" s="6"/>
      <x:c r="R565" s="6"/>
      <x:c r="S565" s="6"/>
      <x:c r="T565" s="6"/>
    </x:row>
    <x:row r="566" ht="21" customHeight="1">
      <x:c r="A566" s="14" t="n">
        <x:f>$V$21</x:f>
        <x:v>60008</x:v>
      </x:c>
      <x:c r="B566" s="14" t="str">
        <x:f>$W$21</x:f>
        <x:v>葡萄狗</x:v>
      </x:c>
      <x:c r="C566" s="6" t="str">
        <x:f>$X$21</x:f>
        <x:v>中等</x:v>
      </x:c>
      <x:c r="D566" s="6">
        <x:v>4</x:v>
      </x:c>
      <x:c r="E566" s="6">
        <x:v>21</x:v>
      </x:c>
      <x:c r="F566" s="12">
        <x:f>ROUND(J566*$W$4*H566,0)</x:f>
        <x:v>456</x:v>
      </x:c>
      <x:c r="G566" s="12">
        <x:f>ROUND(J566*$W$4*$W$5*I566,0)</x:f>
        <x:v>114</x:v>
      </x:c>
      <x:c r="H566" s="11" t="n">
        <x:f>$Y$21</x:f>
        <x:v>1</x:v>
      </x:c>
      <x:c r="I566" s="11" t="n">
        <x:f>$Z$21</x:f>
        <x:v>3.3333333333333335</x:v>
      </x:c>
      <x:c r="J566" s="12">
        <x:f>英雄升级调参!$E$69</x:f>
        <x:v>114</x:v>
      </x:c>
      <x:c r="K566" s="12">
        <x:f>英雄升级调参!$F$69</x:f>
        <x:v>1140</x:v>
      </x:c>
      <x:c r="L566" s="6" t="n">
        <x:f>ROUNDUP(F566/J566,0)</x:f>
        <x:v>4</x:v>
      </x:c>
      <x:c r="M566" s="6" t="n">
        <x:f>IF(G566=0,"无伤害",ROUNDUP(K566/MAX(1,ROUND(G566*$AC$21,0)),0))</x:f>
        <x:v>10</x:v>
      </x:c>
      <x:c r="N566" s="6">
        <x:f>ROUNDUP(F566/英雄升级调参!$H$69,0)</x:f>
        <x:v>2</x:v>
      </x:c>
      <x:c r="O566" s="6">
        <x:f>ROUNDUP(F566/英雄升级调参!$K$69,0)</x:f>
        <x:v>1</x:v>
      </x:c>
      <x:c r="P566" s="6" t="str">
        <x:f>$AA$21</x:f>
        <x:v>普通：4次标准普攻击杀；10次主要攻击致死</x:v>
      </x:c>
      <x:c r="Q566" s="6"/>
      <x:c r="R566" s="6"/>
      <x:c r="S566" s="6"/>
      <x:c r="T566" s="6"/>
    </x:row>
    <x:row r="567" ht="21" customHeight="1">
      <x:c r="A567" s="14" t="n">
        <x:f>$V$21</x:f>
        <x:v>60008</x:v>
      </x:c>
      <x:c r="B567" s="14" t="str">
        <x:f>$W$21</x:f>
        <x:v>葡萄狗</x:v>
      </x:c>
      <x:c r="C567" s="6" t="str">
        <x:f>$X$21</x:f>
        <x:v>中等</x:v>
      </x:c>
      <x:c r="D567" s="6">
        <x:v>5</x:v>
      </x:c>
      <x:c r="E567" s="6">
        <x:v>21</x:v>
      </x:c>
      <x:c r="F567" s="12">
        <x:f>ROUND(J567*$W$4*H567,0)</x:f>
        <x:v>672</x:v>
      </x:c>
      <x:c r="G567" s="12">
        <x:f>ROUND(J567*$W$4*$W$5*I567,0)</x:f>
        <x:v>168</x:v>
      </x:c>
      <x:c r="H567" s="11" t="n">
        <x:f>$Y$21</x:f>
        <x:v>1</x:v>
      </x:c>
      <x:c r="I567" s="11" t="n">
        <x:f>$Z$21</x:f>
        <x:v>3.3333333333333335</x:v>
      </x:c>
      <x:c r="J567" s="12">
        <x:f>英雄升级调参!$E$70</x:f>
        <x:v>168</x:v>
      </x:c>
      <x:c r="K567" s="12">
        <x:f>英雄升级调参!$F$70</x:f>
        <x:v>1680</x:v>
      </x:c>
      <x:c r="L567" s="6" t="n">
        <x:f>ROUNDUP(F567/J567,0)</x:f>
        <x:v>4</x:v>
      </x:c>
      <x:c r="M567" s="6" t="n">
        <x:f>IF(G567=0,"无伤害",ROUNDUP(K567/MAX(1,ROUND(G567*$AC$21,0)),0))</x:f>
        <x:v>10</x:v>
      </x:c>
      <x:c r="N567" s="6">
        <x:f>ROUNDUP(F567/英雄升级调参!$H$70,0)</x:f>
        <x:v>2</x:v>
      </x:c>
      <x:c r="O567" s="6" t="n">
        <x:f>ROUNDUP(F567/英雄升级调参!$K$70,0)</x:f>
        <x:v>2</x:v>
      </x:c>
      <x:c r="P567" s="6" t="str">
        <x:f>$AA$21</x:f>
        <x:v>普通：4次标准普攻击杀；10次主要攻击致死</x:v>
      </x:c>
      <x:c r="Q567" s="6"/>
      <x:c r="R567" s="6"/>
      <x:c r="S567" s="6"/>
      <x:c r="T567" s="6"/>
    </x:row>
    <x:row r="568" ht="21" customHeight="1">
      <x:c r="A568" s="14" t="n">
        <x:f>$V$21</x:f>
        <x:v>60008</x:v>
      </x:c>
      <x:c r="B568" s="14" t="str">
        <x:f>$W$21</x:f>
        <x:v>葡萄狗</x:v>
      </x:c>
      <x:c r="C568" s="6" t="str">
        <x:f>$X$21</x:f>
        <x:v>中等</x:v>
      </x:c>
      <x:c r="D568" s="6">
        <x:v>6</x:v>
      </x:c>
      <x:c r="E568" s="6">
        <x:v>21</x:v>
      </x:c>
      <x:c r="F568" s="12">
        <x:f>ROUND(J568*$W$4*H568,0)</x:f>
        <x:v>780</x:v>
      </x:c>
      <x:c r="G568" s="12">
        <x:f>ROUND(J568*$W$4*$W$5*I568,0)</x:f>
        <x:v>195</x:v>
      </x:c>
      <x:c r="H568" s="11" t="n">
        <x:f>$Y$21</x:f>
        <x:v>1</x:v>
      </x:c>
      <x:c r="I568" s="11" t="n">
        <x:f>$Z$21</x:f>
        <x:v>3.3333333333333335</x:v>
      </x:c>
      <x:c r="J568" s="12">
        <x:f>英雄升级调参!$E$71</x:f>
        <x:v>195</x:v>
      </x:c>
      <x:c r="K568" s="12">
        <x:f>英雄升级调参!$F$71</x:f>
        <x:v>1950</x:v>
      </x:c>
      <x:c r="L568" s="6" t="n">
        <x:f>ROUNDUP(F568/J568,0)</x:f>
        <x:v>4</x:v>
      </x:c>
      <x:c r="M568" s="6" t="n">
        <x:f>IF(G568=0,"无伤害",ROUNDUP(K568/MAX(1,ROUND(G568*$AC$21,0)),0))</x:f>
        <x:v>10</x:v>
      </x:c>
      <x:c r="N568" s="6">
        <x:f>ROUNDUP(F568/英雄升级调参!$H$71,0)</x:f>
        <x:v>2</x:v>
      </x:c>
      <x:c r="O568" s="6" t="n">
        <x:f>ROUNDUP(F568/英雄升级调参!$K$71,0)</x:f>
        <x:v>2</x:v>
      </x:c>
      <x:c r="P568" s="6" t="str">
        <x:f>$AA$21</x:f>
        <x:v>普通：4次标准普攻击杀；10次主要攻击致死</x:v>
      </x:c>
      <x:c r="Q568" s="6"/>
      <x:c r="R568" s="6"/>
      <x:c r="S568" s="6"/>
      <x:c r="T568" s="6"/>
    </x:row>
    <x:row r="569" ht="21" customHeight="1">
      <x:c r="A569" s="14" t="n">
        <x:f>$V$21</x:f>
        <x:v>60008</x:v>
      </x:c>
      <x:c r="B569" s="14" t="str">
        <x:f>$W$21</x:f>
        <x:v>葡萄狗</x:v>
      </x:c>
      <x:c r="C569" s="6" t="str">
        <x:f>$X$21</x:f>
        <x:v>中等</x:v>
      </x:c>
      <x:c r="D569" s="6">
        <x:v>7</x:v>
      </x:c>
      <x:c r="E569" s="6">
        <x:v>21</x:v>
      </x:c>
      <x:c r="F569" s="12">
        <x:f>ROUND(J569*$W$4*H569,0)</x:f>
        <x:v>888</x:v>
      </x:c>
      <x:c r="G569" s="12">
        <x:f>ROUND(J569*$W$4*$W$5*I569,0)</x:f>
        <x:v>222</x:v>
      </x:c>
      <x:c r="H569" s="11" t="n">
        <x:f>$Y$21</x:f>
        <x:v>1</x:v>
      </x:c>
      <x:c r="I569" s="11" t="n">
        <x:f>$Z$21</x:f>
        <x:v>3.3333333333333335</x:v>
      </x:c>
      <x:c r="J569" s="12">
        <x:f>英雄升级调参!$E$72</x:f>
        <x:v>222</x:v>
      </x:c>
      <x:c r="K569" s="12">
        <x:f>英雄升级调参!$F$72</x:f>
        <x:v>2220</x:v>
      </x:c>
      <x:c r="L569" s="6" t="n">
        <x:f>ROUNDUP(F569/J569,0)</x:f>
        <x:v>4</x:v>
      </x:c>
      <x:c r="M569" s="6" t="n">
        <x:f>IF(G569=0,"无伤害",ROUNDUP(K569/MAX(1,ROUND(G569*$AC$21,0)),0))</x:f>
        <x:v>10</x:v>
      </x:c>
      <x:c r="N569" s="6" t="n">
        <x:f>ROUNDUP(F569/英雄升级调参!$H$72,0)</x:f>
        <x:v>3</x:v>
      </x:c>
      <x:c r="O569" s="6" t="n">
        <x:f>ROUNDUP(F569/英雄升级调参!$K$72,0)</x:f>
        <x:v>2</x:v>
      </x:c>
      <x:c r="P569" s="6" t="str">
        <x:f>$AA$21</x:f>
        <x:v>普通：4次标准普攻击杀；10次主要攻击致死</x:v>
      </x:c>
      <x:c r="Q569" s="6"/>
      <x:c r="R569" s="6"/>
      <x:c r="S569" s="6"/>
      <x:c r="T569" s="6"/>
    </x:row>
    <x:row r="570" ht="21" customHeight="1">
      <x:c r="A570" s="14" t="n">
        <x:f>$V$21</x:f>
        <x:v>60008</x:v>
      </x:c>
      <x:c r="B570" s="14" t="str">
        <x:f>$W$21</x:f>
        <x:v>葡萄狗</x:v>
      </x:c>
      <x:c r="C570" s="6" t="str">
        <x:f>$X$21</x:f>
        <x:v>中等</x:v>
      </x:c>
      <x:c r="D570" s="6">
        <x:v>8</x:v>
      </x:c>
      <x:c r="E570" s="6">
        <x:v>21</x:v>
      </x:c>
      <x:c r="F570" s="12">
        <x:f>ROUND(J570*$W$4*H570,0)</x:f>
        <x:v>996</x:v>
      </x:c>
      <x:c r="G570" s="12">
        <x:f>ROUND(J570*$W$4*$W$5*I570,0)</x:f>
        <x:v>249</x:v>
      </x:c>
      <x:c r="H570" s="11" t="n">
        <x:f>$Y$21</x:f>
        <x:v>1</x:v>
      </x:c>
      <x:c r="I570" s="11" t="n">
        <x:f>$Z$21</x:f>
        <x:v>3.3333333333333335</x:v>
      </x:c>
      <x:c r="J570" s="12">
        <x:f>英雄升级调参!$E$73</x:f>
        <x:v>249</x:v>
      </x:c>
      <x:c r="K570" s="12">
        <x:f>英雄升级调参!$F$73</x:f>
        <x:v>2490</x:v>
      </x:c>
      <x:c r="L570" s="6" t="n">
        <x:f>ROUNDUP(F570/J570,0)</x:f>
        <x:v>4</x:v>
      </x:c>
      <x:c r="M570" s="6" t="n">
        <x:f>IF(G570=0,"无伤害",ROUNDUP(K570/MAX(1,ROUND(G570*$AC$21,0)),0))</x:f>
        <x:v>10</x:v>
      </x:c>
      <x:c r="N570" s="6" t="n">
        <x:f>ROUNDUP(F570/英雄升级调参!$H$73,0)</x:f>
        <x:v>3</x:v>
      </x:c>
      <x:c r="O570" s="6" t="n">
        <x:f>ROUNDUP(F570/英雄升级调参!$K$73,0)</x:f>
        <x:v>2</x:v>
      </x:c>
      <x:c r="P570" s="6" t="str">
        <x:f>$AA$21</x:f>
        <x:v>普通：4次标准普攻击杀；10次主要攻击致死</x:v>
      </x:c>
      <x:c r="Q570" s="6"/>
      <x:c r="R570" s="6"/>
      <x:c r="S570" s="6"/>
      <x:c r="T570" s="6"/>
    </x:row>
    <x:row r="571" ht="21" customHeight="1">
      <x:c r="A571" s="14" t="n">
        <x:f>$V$21</x:f>
        <x:v>60008</x:v>
      </x:c>
      <x:c r="B571" s="14" t="str">
        <x:f>$W$21</x:f>
        <x:v>葡萄狗</x:v>
      </x:c>
      <x:c r="C571" s="6" t="str">
        <x:f>$X$21</x:f>
        <x:v>中等</x:v>
      </x:c>
      <x:c r="D571" s="6">
        <x:v>9</x:v>
      </x:c>
      <x:c r="E571" s="6">
        <x:v>21</x:v>
      </x:c>
      <x:c r="F571" s="12">
        <x:f>ROUND(J571*$W$4*H571,0)</x:f>
        <x:v>1104</x:v>
      </x:c>
      <x:c r="G571" s="12">
        <x:f>ROUND(J571*$W$4*$W$5*I571,0)</x:f>
        <x:v>276</x:v>
      </x:c>
      <x:c r="H571" s="11" t="n">
        <x:f>$Y$21</x:f>
        <x:v>1</x:v>
      </x:c>
      <x:c r="I571" s="11" t="n">
        <x:f>$Z$21</x:f>
        <x:v>3.3333333333333335</x:v>
      </x:c>
      <x:c r="J571" s="12">
        <x:f>英雄升级调参!$E$74</x:f>
        <x:v>276</x:v>
      </x:c>
      <x:c r="K571" s="12">
        <x:f>英雄升级调参!$F$74</x:f>
        <x:v>2760</x:v>
      </x:c>
      <x:c r="L571" s="6" t="n">
        <x:f>ROUNDUP(F571/J571,0)</x:f>
        <x:v>4</x:v>
      </x:c>
      <x:c r="M571" s="6" t="n">
        <x:f>IF(G571=0,"无伤害",ROUNDUP(K571/MAX(1,ROUND(G571*$AC$21,0)),0))</x:f>
        <x:v>10</x:v>
      </x:c>
      <x:c r="N571" s="6" t="n">
        <x:f>ROUNDUP(F571/英雄升级调参!$H$74,0)</x:f>
        <x:v>3</x:v>
      </x:c>
      <x:c r="O571" s="6" t="n">
        <x:f>ROUNDUP(F571/英雄升级调参!$K$74,0)</x:f>
        <x:v>2</x:v>
      </x:c>
      <x:c r="P571" s="6" t="str">
        <x:f>$AA$21</x:f>
        <x:v>普通：4次标准普攻击杀；10次主要攻击致死</x:v>
      </x:c>
      <x:c r="Q571" s="6"/>
      <x:c r="R571" s="6"/>
      <x:c r="S571" s="6"/>
      <x:c r="T571" s="6"/>
    </x:row>
    <x:row r="572" ht="21" customHeight="1">
      <x:c r="A572" s="14" t="n">
        <x:f>$V$21</x:f>
        <x:v>60008</x:v>
      </x:c>
      <x:c r="B572" s="14" t="str">
        <x:f>$W$21</x:f>
        <x:v>葡萄狗</x:v>
      </x:c>
      <x:c r="C572" s="6" t="str">
        <x:f>$X$21</x:f>
        <x:v>中等</x:v>
      </x:c>
      <x:c r="D572" s="6">
        <x:v>10</x:v>
      </x:c>
      <x:c r="E572" s="6">
        <x:v>21</x:v>
      </x:c>
      <x:c r="F572" s="12">
        <x:f>ROUND(J572*$W$4*H572,0)</x:f>
        <x:v>1428</x:v>
      </x:c>
      <x:c r="G572" s="12">
        <x:f>ROUND(J572*$W$4*$W$5*I572,0)</x:f>
        <x:v>357</x:v>
      </x:c>
      <x:c r="H572" s="11" t="n">
        <x:f>$Y$21</x:f>
        <x:v>1</x:v>
      </x:c>
      <x:c r="I572" s="11" t="n">
        <x:f>$Z$21</x:f>
        <x:v>3.3333333333333335</x:v>
      </x:c>
      <x:c r="J572" s="12">
        <x:f>英雄升级调参!$E$75</x:f>
        <x:v>357</x:v>
      </x:c>
      <x:c r="K572" s="12">
        <x:f>英雄升级调参!$F$75</x:f>
        <x:v>3570</x:v>
      </x:c>
      <x:c r="L572" s="6" t="n">
        <x:f>ROUNDUP(F572/J572,0)</x:f>
        <x:v>4</x:v>
      </x:c>
      <x:c r="M572" s="6" t="n">
        <x:f>IF(G572=0,"无伤害",ROUNDUP(K572/MAX(1,ROUND(G572*$AC$21,0)),0))</x:f>
        <x:v>10</x:v>
      </x:c>
      <x:c r="N572" s="6" t="n">
        <x:f>ROUNDUP(F572/英雄升级调参!$H$75,0)</x:f>
        <x:v>3</x:v>
      </x:c>
      <x:c r="O572" s="6" t="n">
        <x:f>ROUNDUP(F572/英雄升级调参!$K$75,0)</x:f>
        <x:v>2</x:v>
      </x:c>
      <x:c r="P572" s="6" t="str">
        <x:f>$AA$21</x:f>
        <x:v>普通：4次标准普攻击杀；10次主要攻击致死</x:v>
      </x:c>
      <x:c r="Q572" s="6"/>
      <x:c r="R572" s="6"/>
      <x:c r="S572" s="6"/>
      <x:c r="T572" s="6"/>
    </x:row>
    <x:row r="573" ht="21" customHeight="1">
      <x:c r="A573" s="14" t="n">
        <x:f>$V$21</x:f>
        <x:v>60008</x:v>
      </x:c>
      <x:c r="B573" s="14" t="str">
        <x:f>$W$21</x:f>
        <x:v>葡萄狗</x:v>
      </x:c>
      <x:c r="C573" s="6" t="str">
        <x:f>$X$21</x:f>
        <x:v>中等</x:v>
      </x:c>
      <x:c r="D573" s="6">
        <x:v>11</x:v>
      </x:c>
      <x:c r="E573" s="6">
        <x:v>21</x:v>
      </x:c>
      <x:c r="F573" s="12">
        <x:f>ROUND(J573*$W$4*H573,0)</x:f>
        <x:v>1572</x:v>
      </x:c>
      <x:c r="G573" s="12">
        <x:f>ROUND(J573*$W$4*$W$5*I573,0)</x:f>
        <x:v>393</x:v>
      </x:c>
      <x:c r="H573" s="11" t="n">
        <x:f>$Y$21</x:f>
        <x:v>1</x:v>
      </x:c>
      <x:c r="I573" s="11" t="n">
        <x:f>$Z$21</x:f>
        <x:v>3.3333333333333335</x:v>
      </x:c>
      <x:c r="J573" s="12">
        <x:f>英雄升级调参!$E$76</x:f>
        <x:v>393</x:v>
      </x:c>
      <x:c r="K573" s="12">
        <x:f>英雄升级调参!$F$76</x:f>
        <x:v>3930</x:v>
      </x:c>
      <x:c r="L573" s="6" t="n">
        <x:f>ROUNDUP(F573/J573,0)</x:f>
        <x:v>4</x:v>
      </x:c>
      <x:c r="M573" s="6" t="n">
        <x:f>IF(G573=0,"无伤害",ROUNDUP(K573/MAX(1,ROUND(G573*$AC$21,0)),0))</x:f>
        <x:v>10</x:v>
      </x:c>
      <x:c r="N573" s="6" t="n">
        <x:f>ROUNDUP(F573/英雄升级调参!$H$76,0)</x:f>
        <x:v>3</x:v>
      </x:c>
      <x:c r="O573" s="6" t="n">
        <x:f>ROUNDUP(F573/英雄升级调参!$K$76,0)</x:f>
        <x:v>2</x:v>
      </x:c>
      <x:c r="P573" s="6" t="str">
        <x:f>$AA$21</x:f>
        <x:v>普通：4次标准普攻击杀；10次主要攻击致死</x:v>
      </x:c>
      <x:c r="Q573" s="6"/>
      <x:c r="R573" s="6"/>
      <x:c r="S573" s="6"/>
      <x:c r="T573" s="6"/>
    </x:row>
    <x:row r="574" ht="21" customHeight="1">
      <x:c r="A574" s="14" t="n">
        <x:f>$V$21</x:f>
        <x:v>60008</x:v>
      </x:c>
      <x:c r="B574" s="14" t="str">
        <x:f>$W$21</x:f>
        <x:v>葡萄狗</x:v>
      </x:c>
      <x:c r="C574" s="6" t="str">
        <x:f>$X$21</x:f>
        <x:v>中等</x:v>
      </x:c>
      <x:c r="D574" s="6">
        <x:v>12</x:v>
      </x:c>
      <x:c r="E574" s="6">
        <x:v>21</x:v>
      </x:c>
      <x:c r="F574" s="12">
        <x:f>ROUND(J574*$W$4*H574,0)</x:f>
        <x:v>1716</x:v>
      </x:c>
      <x:c r="G574" s="12">
        <x:f>ROUND(J574*$W$4*$W$5*I574,0)</x:f>
        <x:v>429</x:v>
      </x:c>
      <x:c r="H574" s="11" t="n">
        <x:f>$Y$21</x:f>
        <x:v>1</x:v>
      </x:c>
      <x:c r="I574" s="11" t="n">
        <x:f>$Z$21</x:f>
        <x:v>3.3333333333333335</x:v>
      </x:c>
      <x:c r="J574" s="12">
        <x:f>英雄升级调参!$E$77</x:f>
        <x:v>429</x:v>
      </x:c>
      <x:c r="K574" s="12">
        <x:f>英雄升级调参!$F$77</x:f>
        <x:v>4290</x:v>
      </x:c>
      <x:c r="L574" s="6" t="n">
        <x:f>ROUNDUP(F574/J574,0)</x:f>
        <x:v>4</x:v>
      </x:c>
      <x:c r="M574" s="6" t="n">
        <x:f>IF(G574=0,"无伤害",ROUNDUP(K574/MAX(1,ROUND(G574*$AC$21,0)),0))</x:f>
        <x:v>10</x:v>
      </x:c>
      <x:c r="N574" s="6" t="n">
        <x:f>ROUNDUP(F574/英雄升级调参!$H$77,0)</x:f>
        <x:v>3</x:v>
      </x:c>
      <x:c r="O574" s="6" t="n">
        <x:f>ROUNDUP(F574/英雄升级调参!$K$77,0)</x:f>
        <x:v>2</x:v>
      </x:c>
      <x:c r="P574" s="6" t="str">
        <x:f>$AA$21</x:f>
        <x:v>普通：4次标准普攻击杀；10次主要攻击致死</x:v>
      </x:c>
      <x:c r="Q574" s="6"/>
      <x:c r="R574" s="6"/>
      <x:c r="S574" s="6"/>
      <x:c r="T574" s="6"/>
    </x:row>
    <x:row r="575" ht="21" customHeight="1">
      <x:c r="A575" s="14" t="n">
        <x:f>$V$21</x:f>
        <x:v>60008</x:v>
      </x:c>
      <x:c r="B575" s="14" t="str">
        <x:f>$W$21</x:f>
        <x:v>葡萄狗</x:v>
      </x:c>
      <x:c r="C575" s="6" t="str">
        <x:f>$X$21</x:f>
        <x:v>中等</x:v>
      </x:c>
      <x:c r="D575" s="6">
        <x:v>13</x:v>
      </x:c>
      <x:c r="E575" s="6">
        <x:v>21</x:v>
      </x:c>
      <x:c r="F575" s="12">
        <x:f>ROUND(J575*$W$4*H575,0)</x:f>
        <x:v>1860</x:v>
      </x:c>
      <x:c r="G575" s="12">
        <x:f>ROUND(J575*$W$4*$W$5*I575,0)</x:f>
        <x:v>465</x:v>
      </x:c>
      <x:c r="H575" s="11" t="n">
        <x:f>$Y$21</x:f>
        <x:v>1</x:v>
      </x:c>
      <x:c r="I575" s="11" t="n">
        <x:f>$Z$21</x:f>
        <x:v>3.3333333333333335</x:v>
      </x:c>
      <x:c r="J575" s="12">
        <x:f>英雄升级调参!$E$78</x:f>
        <x:v>465</x:v>
      </x:c>
      <x:c r="K575" s="12">
        <x:f>英雄升级调参!$F$78</x:f>
        <x:v>4650</x:v>
      </x:c>
      <x:c r="L575" s="6" t="n">
        <x:f>ROUNDUP(F575/J575,0)</x:f>
        <x:v>4</x:v>
      </x:c>
      <x:c r="M575" s="6" t="n">
        <x:f>IF(G575=0,"无伤害",ROUNDUP(K575/MAX(1,ROUND(G575*$AC$21,0)),0))</x:f>
        <x:v>10</x:v>
      </x:c>
      <x:c r="N575" s="6" t="n">
        <x:f>ROUNDUP(F575/英雄升级调参!$H$78,0)</x:f>
        <x:v>3</x:v>
      </x:c>
      <x:c r="O575" s="6" t="n">
        <x:f>ROUNDUP(F575/英雄升级调参!$K$78,0)</x:f>
        <x:v>2</x:v>
      </x:c>
      <x:c r="P575" s="6" t="str">
        <x:f>$AA$21</x:f>
        <x:v>普通：4次标准普攻击杀；10次主要攻击致死</x:v>
      </x:c>
      <x:c r="Q575" s="6"/>
      <x:c r="R575" s="6"/>
      <x:c r="S575" s="6"/>
      <x:c r="T575" s="6"/>
    </x:row>
    <x:row r="576" ht="21" customHeight="1">
      <x:c r="A576" s="14" t="n">
        <x:f>$V$21</x:f>
        <x:v>60008</x:v>
      </x:c>
      <x:c r="B576" s="14" t="str">
        <x:f>$W$21</x:f>
        <x:v>葡萄狗</x:v>
      </x:c>
      <x:c r="C576" s="6" t="str">
        <x:f>$X$21</x:f>
        <x:v>中等</x:v>
      </x:c>
      <x:c r="D576" s="6">
        <x:v>14</x:v>
      </x:c>
      <x:c r="E576" s="6">
        <x:v>21</x:v>
      </x:c>
      <x:c r="F576" s="12">
        <x:f>ROUND(J576*$W$4*H576,0)</x:f>
        <x:v>2004</x:v>
      </x:c>
      <x:c r="G576" s="12">
        <x:f>ROUND(J576*$W$4*$W$5*I576,0)</x:f>
        <x:v>501</x:v>
      </x:c>
      <x:c r="H576" s="11" t="n">
        <x:f>$Y$21</x:f>
        <x:v>1</x:v>
      </x:c>
      <x:c r="I576" s="11" t="n">
        <x:f>$Z$21</x:f>
        <x:v>3.3333333333333335</x:v>
      </x:c>
      <x:c r="J576" s="12">
        <x:f>英雄升级调参!$E$79</x:f>
        <x:v>501</x:v>
      </x:c>
      <x:c r="K576" s="12">
        <x:f>英雄升级调参!$F$79</x:f>
        <x:v>5010</x:v>
      </x:c>
      <x:c r="L576" s="6" t="n">
        <x:f>ROUNDUP(F576/J576,0)</x:f>
        <x:v>4</x:v>
      </x:c>
      <x:c r="M576" s="6" t="n">
        <x:f>IF(G576=0,"无伤害",ROUNDUP(K576/MAX(1,ROUND(G576*$AC$21,0)),0))</x:f>
        <x:v>10</x:v>
      </x:c>
      <x:c r="N576" s="6" t="n">
        <x:f>ROUNDUP(F576/英雄升级调参!$H$79,0)</x:f>
        <x:v>3</x:v>
      </x:c>
      <x:c r="O576" s="6" t="n">
        <x:f>ROUNDUP(F576/英雄升级调参!$K$79,0)</x:f>
        <x:v>2</x:v>
      </x:c>
      <x:c r="P576" s="6" t="str">
        <x:f>$AA$21</x:f>
        <x:v>普通：4次标准普攻击杀；10次主要攻击致死</x:v>
      </x:c>
      <x:c r="Q576" s="6"/>
      <x:c r="R576" s="6"/>
      <x:c r="S576" s="6"/>
      <x:c r="T576" s="6"/>
    </x:row>
    <x:row r="577" ht="21" customHeight="1">
      <x:c r="A577" s="14" t="n">
        <x:f>$V$21</x:f>
        <x:v>60008</x:v>
      </x:c>
      <x:c r="B577" s="14" t="str">
        <x:f>$W$21</x:f>
        <x:v>葡萄狗</x:v>
      </x:c>
      <x:c r="C577" s="6" t="str">
        <x:f>$X$21</x:f>
        <x:v>中等</x:v>
      </x:c>
      <x:c r="D577" s="6">
        <x:v>15</x:v>
      </x:c>
      <x:c r="E577" s="6">
        <x:v>21</x:v>
      </x:c>
      <x:c r="F577" s="12">
        <x:f>ROUND(J577*$W$4*H577,0)</x:f>
        <x:v>2436</x:v>
      </x:c>
      <x:c r="G577" s="12">
        <x:f>ROUND(J577*$W$4*$W$5*I577,0)</x:f>
        <x:v>609</x:v>
      </x:c>
      <x:c r="H577" s="11" t="n">
        <x:f>$Y$21</x:f>
        <x:v>1</x:v>
      </x:c>
      <x:c r="I577" s="11" t="n">
        <x:f>$Z$21</x:f>
        <x:v>3.3333333333333335</x:v>
      </x:c>
      <x:c r="J577" s="12">
        <x:f>英雄升级调参!$E$80</x:f>
        <x:v>609</x:v>
      </x:c>
      <x:c r="K577" s="12">
        <x:f>英雄升级调参!$F$80</x:f>
        <x:v>6090</x:v>
      </x:c>
      <x:c r="L577" s="6" t="n">
        <x:f>ROUNDUP(F577/J577,0)</x:f>
        <x:v>4</x:v>
      </x:c>
      <x:c r="M577" s="6" t="n">
        <x:f>IF(G577=0,"无伤害",ROUNDUP(K577/MAX(1,ROUND(G577*$AC$21,0)),0))</x:f>
        <x:v>10</x:v>
      </x:c>
      <x:c r="N577" s="6" t="n">
        <x:f>ROUNDUP(F577/英雄升级调参!$H$80,0)</x:f>
        <x:v>3</x:v>
      </x:c>
      <x:c r="O577" s="6" t="n">
        <x:f>ROUNDUP(F577/英雄升级调参!$K$80,0)</x:f>
        <x:v>2</x:v>
      </x:c>
      <x:c r="P577" s="6" t="str">
        <x:f>$AA$21</x:f>
        <x:v>普通：4次标准普攻击杀；10次主要攻击致死</x:v>
      </x:c>
      <x:c r="Q577" s="6"/>
      <x:c r="R577" s="6"/>
      <x:c r="S577" s="6"/>
      <x:c r="T577" s="6"/>
    </x:row>
    <x:row r="578" ht="21" customHeight="1">
      <x:c r="A578" s="14" t="n">
        <x:f>$V$21</x:f>
        <x:v>60008</x:v>
      </x:c>
      <x:c r="B578" s="14" t="str">
        <x:f>$W$21</x:f>
        <x:v>葡萄狗</x:v>
      </x:c>
      <x:c r="C578" s="6" t="str">
        <x:f>$X$21</x:f>
        <x:v>中等</x:v>
      </x:c>
      <x:c r="D578" s="6">
        <x:v>16</x:v>
      </x:c>
      <x:c r="E578" s="6">
        <x:v>21</x:v>
      </x:c>
      <x:c r="F578" s="12">
        <x:f>ROUND(J578*$W$4*H578,0)</x:f>
        <x:v>2616</x:v>
      </x:c>
      <x:c r="G578" s="12">
        <x:f>ROUND(J578*$W$4*$W$5*I578,0)</x:f>
        <x:v>654</x:v>
      </x:c>
      <x:c r="H578" s="11" t="n">
        <x:f>$Y$21</x:f>
        <x:v>1</x:v>
      </x:c>
      <x:c r="I578" s="11" t="n">
        <x:f>$Z$21</x:f>
        <x:v>3.3333333333333335</x:v>
      </x:c>
      <x:c r="J578" s="12">
        <x:f>英雄升级调参!$E$81</x:f>
        <x:v>654</x:v>
      </x:c>
      <x:c r="K578" s="12">
        <x:f>英雄升级调参!$F$81</x:f>
        <x:v>6540</x:v>
      </x:c>
      <x:c r="L578" s="6" t="n">
        <x:f>ROUNDUP(F578/J578,0)</x:f>
        <x:v>4</x:v>
      </x:c>
      <x:c r="M578" s="6" t="n">
        <x:f>IF(G578=0,"无伤害",ROUNDUP(K578/MAX(1,ROUND(G578*$AC$21,0)),0))</x:f>
        <x:v>10</x:v>
      </x:c>
      <x:c r="N578" s="6" t="n">
        <x:f>ROUNDUP(F578/英雄升级调参!$H$81,0)</x:f>
        <x:v>3</x:v>
      </x:c>
      <x:c r="O578" s="6" t="n">
        <x:f>ROUNDUP(F578/英雄升级调参!$K$81,0)</x:f>
        <x:v>2</x:v>
      </x:c>
      <x:c r="P578" s="6" t="str">
        <x:f>$AA$21</x:f>
        <x:v>普通：4次标准普攻击杀；10次主要攻击致死</x:v>
      </x:c>
      <x:c r="Q578" s="6"/>
      <x:c r="R578" s="6"/>
      <x:c r="S578" s="6"/>
      <x:c r="T578" s="6"/>
    </x:row>
    <x:row r="579" ht="21" customHeight="1">
      <x:c r="A579" s="14" t="n">
        <x:f>$V$21</x:f>
        <x:v>60008</x:v>
      </x:c>
      <x:c r="B579" s="14" t="str">
        <x:f>$W$21</x:f>
        <x:v>葡萄狗</x:v>
      </x:c>
      <x:c r="C579" s="6" t="str">
        <x:f>$X$21</x:f>
        <x:v>中等</x:v>
      </x:c>
      <x:c r="D579" s="6">
        <x:v>17</x:v>
      </x:c>
      <x:c r="E579" s="6">
        <x:v>21</x:v>
      </x:c>
      <x:c r="F579" s="12">
        <x:f>ROUND(J579*$W$4*H579,0)</x:f>
        <x:v>2796</x:v>
      </x:c>
      <x:c r="G579" s="12">
        <x:f>ROUND(J579*$W$4*$W$5*I579,0)</x:f>
        <x:v>699</x:v>
      </x:c>
      <x:c r="H579" s="11" t="n">
        <x:f>$Y$21</x:f>
        <x:v>1</x:v>
      </x:c>
      <x:c r="I579" s="11" t="n">
        <x:f>$Z$21</x:f>
        <x:v>3.3333333333333335</x:v>
      </x:c>
      <x:c r="J579" s="12">
        <x:f>英雄升级调参!$E$82</x:f>
        <x:v>699</x:v>
      </x:c>
      <x:c r="K579" s="12">
        <x:f>英雄升级调参!$F$82</x:f>
        <x:v>6990</x:v>
      </x:c>
      <x:c r="L579" s="6" t="n">
        <x:f>ROUNDUP(F579/J579,0)</x:f>
        <x:v>4</x:v>
      </x:c>
      <x:c r="M579" s="6" t="n">
        <x:f>IF(G579=0,"无伤害",ROUNDUP(K579/MAX(1,ROUND(G579*$AC$21,0)),0))</x:f>
        <x:v>10</x:v>
      </x:c>
      <x:c r="N579" s="6" t="n">
        <x:f>ROUNDUP(F579/英雄升级调参!$H$82,0)</x:f>
        <x:v>3</x:v>
      </x:c>
      <x:c r="O579" s="6" t="n">
        <x:f>ROUNDUP(F579/英雄升级调参!$K$82,0)</x:f>
        <x:v>2</x:v>
      </x:c>
      <x:c r="P579" s="6" t="str">
        <x:f>$AA$21</x:f>
        <x:v>普通：4次标准普攻击杀；10次主要攻击致死</x:v>
      </x:c>
      <x:c r="Q579" s="6"/>
      <x:c r="R579" s="6"/>
      <x:c r="S579" s="6"/>
      <x:c r="T579" s="6"/>
    </x:row>
    <x:row r="580" ht="21" customHeight="1">
      <x:c r="A580" s="14" t="n">
        <x:f>$V$21</x:f>
        <x:v>60008</x:v>
      </x:c>
      <x:c r="B580" s="14" t="str">
        <x:f>$W$21</x:f>
        <x:v>葡萄狗</x:v>
      </x:c>
      <x:c r="C580" s="6" t="str">
        <x:f>$X$21</x:f>
        <x:v>中等</x:v>
      </x:c>
      <x:c r="D580" s="6">
        <x:v>18</x:v>
      </x:c>
      <x:c r="E580" s="6">
        <x:v>21</x:v>
      </x:c>
      <x:c r="F580" s="12">
        <x:f>ROUND(J580*$W$4*H580,0)</x:f>
        <x:v>2976</x:v>
      </x:c>
      <x:c r="G580" s="12">
        <x:f>ROUND(J580*$W$4*$W$5*I580,0)</x:f>
        <x:v>744</x:v>
      </x:c>
      <x:c r="H580" s="11" t="n">
        <x:f>$Y$21</x:f>
        <x:v>1</x:v>
      </x:c>
      <x:c r="I580" s="11" t="n">
        <x:f>$Z$21</x:f>
        <x:v>3.3333333333333335</x:v>
      </x:c>
      <x:c r="J580" s="12">
        <x:f>英雄升级调参!$E$83</x:f>
        <x:v>744</x:v>
      </x:c>
      <x:c r="K580" s="12">
        <x:f>英雄升级调参!$F$83</x:f>
        <x:v>7440</x:v>
      </x:c>
      <x:c r="L580" s="6" t="n">
        <x:f>ROUNDUP(F580/J580,0)</x:f>
        <x:v>4</x:v>
      </x:c>
      <x:c r="M580" s="6" t="n">
        <x:f>IF(G580=0,"无伤害",ROUNDUP(K580/MAX(1,ROUND(G580*$AC$21,0)),0))</x:f>
        <x:v>10</x:v>
      </x:c>
      <x:c r="N580" s="6" t="n">
        <x:f>ROUNDUP(F580/英雄升级调参!$H$83,0)</x:f>
        <x:v>3</x:v>
      </x:c>
      <x:c r="O580" s="6" t="n">
        <x:f>ROUNDUP(F580/英雄升级调参!$K$83,0)</x:f>
        <x:v>2</x:v>
      </x:c>
      <x:c r="P580" s="6" t="str">
        <x:f>$AA$21</x:f>
        <x:v>普通：4次标准普攻击杀；10次主要攻击致死</x:v>
      </x:c>
      <x:c r="Q580" s="6"/>
      <x:c r="R580" s="6"/>
      <x:c r="S580" s="6"/>
      <x:c r="T580" s="6"/>
    </x:row>
    <x:row r="581" ht="21" customHeight="1">
      <x:c r="A581" s="14" t="n">
        <x:f>$V$21</x:f>
        <x:v>60008</x:v>
      </x:c>
      <x:c r="B581" s="14" t="str">
        <x:f>$W$21</x:f>
        <x:v>葡萄狗</x:v>
      </x:c>
      <x:c r="C581" s="6" t="str">
        <x:f>$X$21</x:f>
        <x:v>中等</x:v>
      </x:c>
      <x:c r="D581" s="6">
        <x:v>19</x:v>
      </x:c>
      <x:c r="E581" s="6">
        <x:v>21</x:v>
      </x:c>
      <x:c r="F581" s="12">
        <x:f>ROUND(J581*$W$4*H581,0)</x:f>
        <x:v>3156</x:v>
      </x:c>
      <x:c r="G581" s="12">
        <x:f>ROUND(J581*$W$4*$W$5*I581,0)</x:f>
        <x:v>789</x:v>
      </x:c>
      <x:c r="H581" s="11" t="n">
        <x:f>$Y$21</x:f>
        <x:v>1</x:v>
      </x:c>
      <x:c r="I581" s="11" t="n">
        <x:f>$Z$21</x:f>
        <x:v>3.3333333333333335</x:v>
      </x:c>
      <x:c r="J581" s="12">
        <x:f>英雄升级调参!$E$84</x:f>
        <x:v>789</x:v>
      </x:c>
      <x:c r="K581" s="12">
        <x:f>英雄升级调参!$F$84</x:f>
        <x:v>7890</x:v>
      </x:c>
      <x:c r="L581" s="6" t="n">
        <x:f>ROUNDUP(F581/J581,0)</x:f>
        <x:v>4</x:v>
      </x:c>
      <x:c r="M581" s="6" t="n">
        <x:f>IF(G581=0,"无伤害",ROUNDUP(K581/MAX(1,ROUND(G581*$AC$21,0)),0))</x:f>
        <x:v>10</x:v>
      </x:c>
      <x:c r="N581" s="6" t="n">
        <x:f>ROUNDUP(F581/英雄升级调参!$H$84,0)</x:f>
        <x:v>3</x:v>
      </x:c>
      <x:c r="O581" s="6" t="n">
        <x:f>ROUNDUP(F581/英雄升级调参!$K$84,0)</x:f>
        <x:v>2</x:v>
      </x:c>
      <x:c r="P581" s="6" t="str">
        <x:f>$AA$21</x:f>
        <x:v>普通：4次标准普攻击杀；10次主要攻击致死</x:v>
      </x:c>
      <x:c r="Q581" s="6"/>
      <x:c r="R581" s="6"/>
      <x:c r="S581" s="6"/>
      <x:c r="T581" s="6"/>
    </x:row>
    <x:row r="582" ht="21" customHeight="1">
      <x:c r="A582" s="14" t="n">
        <x:f>$V$21</x:f>
        <x:v>60008</x:v>
      </x:c>
      <x:c r="B582" s="14" t="str">
        <x:f>$W$21</x:f>
        <x:v>葡萄狗</x:v>
      </x:c>
      <x:c r="C582" s="6" t="str">
        <x:f>$X$21</x:f>
        <x:v>中等</x:v>
      </x:c>
      <x:c r="D582" s="6">
        <x:v>20</x:v>
      </x:c>
      <x:c r="E582" s="6">
        <x:v>21</x:v>
      </x:c>
      <x:c r="F582" s="12">
        <x:f>ROUND(J582*$W$4*H582,0)</x:f>
        <x:v>3696</x:v>
      </x:c>
      <x:c r="G582" s="12">
        <x:f>ROUND(J582*$W$4*$W$5*I582,0)</x:f>
        <x:v>924</x:v>
      </x:c>
      <x:c r="H582" s="11" t="n">
        <x:f>$Y$21</x:f>
        <x:v>1</x:v>
      </x:c>
      <x:c r="I582" s="11" t="n">
        <x:f>$Z$21</x:f>
        <x:v>3.3333333333333335</x:v>
      </x:c>
      <x:c r="J582" s="12">
        <x:f>英雄升级调参!$E$85</x:f>
        <x:v>924</x:v>
      </x:c>
      <x:c r="K582" s="12">
        <x:f>英雄升级调参!$F$85</x:f>
        <x:v>9240</x:v>
      </x:c>
      <x:c r="L582" s="6" t="n">
        <x:f>ROUNDUP(F582/J582,0)</x:f>
        <x:v>4</x:v>
      </x:c>
      <x:c r="M582" s="6" t="n">
        <x:f>IF(G582=0,"无伤害",ROUNDUP(K582/MAX(1,ROUND(G582*$AC$21,0)),0))</x:f>
        <x:v>10</x:v>
      </x:c>
      <x:c r="N582" s="6" t="n">
        <x:f>ROUNDUP(F582/英雄升级调参!$H$85,0)</x:f>
        <x:v>3</x:v>
      </x:c>
      <x:c r="O582" s="6" t="n">
        <x:f>ROUNDUP(F582/英雄升级调参!$K$85,0)</x:f>
        <x:v>2</x:v>
      </x:c>
      <x:c r="P582" s="6" t="str">
        <x:f>$AA$21</x:f>
        <x:v>普通：4次标准普攻击杀；10次主要攻击致死</x:v>
      </x:c>
      <x:c r="Q582" s="6"/>
      <x:c r="R582" s="6"/>
      <x:c r="S582" s="6"/>
      <x:c r="T582" s="6"/>
    </x:row>
    <x:row r="583" ht="21" customHeight="1">
      <x:c r="A583" s="14" t="n">
        <x:f>$V$21</x:f>
        <x:v>60008</x:v>
      </x:c>
      <x:c r="B583" s="14" t="str">
        <x:f>$W$21</x:f>
        <x:v>葡萄狗</x:v>
      </x:c>
      <x:c r="C583" s="6" t="str">
        <x:f>$X$21</x:f>
        <x:v>中等</x:v>
      </x:c>
      <x:c r="D583" s="6">
        <x:v>21</x:v>
      </x:c>
      <x:c r="E583" s="6">
        <x:v>21</x:v>
      </x:c>
      <x:c r="F583" s="12">
        <x:f>ROUND(J583*$W$4*H583,0)</x:f>
        <x:v>3912</x:v>
      </x:c>
      <x:c r="G583" s="12">
        <x:f>ROUND(J583*$W$4*$W$5*I583,0)</x:f>
        <x:v>978</x:v>
      </x:c>
      <x:c r="H583" s="11" t="n">
        <x:f>$Y$21</x:f>
        <x:v>1</x:v>
      </x:c>
      <x:c r="I583" s="11" t="n">
        <x:f>$Z$21</x:f>
        <x:v>3.3333333333333335</x:v>
      </x:c>
      <x:c r="J583" s="12">
        <x:f>英雄升级调参!$E$86</x:f>
        <x:v>978</x:v>
      </x:c>
      <x:c r="K583" s="12">
        <x:f>英雄升级调参!$F$86</x:f>
        <x:v>9780</x:v>
      </x:c>
      <x:c r="L583" s="6" t="n">
        <x:f>ROUNDUP(F583/J583,0)</x:f>
        <x:v>4</x:v>
      </x:c>
      <x:c r="M583" s="6" t="n">
        <x:f>IF(G583=0,"无伤害",ROUNDUP(K583/MAX(1,ROUND(G583*$AC$21,0)),0))</x:f>
        <x:v>10</x:v>
      </x:c>
      <x:c r="N583" s="6" t="n">
        <x:f>ROUNDUP(F583/英雄升级调参!$H$86,0)</x:f>
        <x:v>3</x:v>
      </x:c>
      <x:c r="O583" s="6" t="n">
        <x:f>ROUNDUP(F583/英雄升级调参!$K$86,0)</x:f>
        <x:v>2</x:v>
      </x:c>
      <x:c r="P583" s="6" t="str">
        <x:f>$AA$21</x:f>
        <x:v>普通：4次标准普攻击杀；10次主要攻击致死</x:v>
      </x:c>
      <x:c r="Q583" s="6"/>
      <x:c r="R583" s="6"/>
      <x:c r="S583" s="6"/>
      <x:c r="T583" s="6"/>
    </x:row>
    <x:row r="584" ht="21" customHeight="1">
      <x:c r="A584" s="14" t="n">
        <x:f>$V$21</x:f>
        <x:v>60008</x:v>
      </x:c>
      <x:c r="B584" s="14" t="str">
        <x:f>$W$21</x:f>
        <x:v>葡萄狗</x:v>
      </x:c>
      <x:c r="C584" s="6" t="str">
        <x:f>$X$21</x:f>
        <x:v>中等</x:v>
      </x:c>
      <x:c r="D584" s="6">
        <x:v>22</x:v>
      </x:c>
      <x:c r="E584" s="6">
        <x:v>21</x:v>
      </x:c>
      <x:c r="F584" s="12">
        <x:f>ROUND(J584*$W$4*H584,0)</x:f>
        <x:v>4128</x:v>
      </x:c>
      <x:c r="G584" s="12">
        <x:f>ROUND(J584*$W$4*$W$5*I584,0)</x:f>
        <x:v>1032</x:v>
      </x:c>
      <x:c r="H584" s="11" t="n">
        <x:f>$Y$21</x:f>
        <x:v>1</x:v>
      </x:c>
      <x:c r="I584" s="11" t="n">
        <x:f>$Z$21</x:f>
        <x:v>3.3333333333333335</x:v>
      </x:c>
      <x:c r="J584" s="12">
        <x:f>英雄升级调参!$E$87</x:f>
        <x:v>1032</x:v>
      </x:c>
      <x:c r="K584" s="12">
        <x:f>英雄升级调参!$F$87</x:f>
        <x:v>10320</x:v>
      </x:c>
      <x:c r="L584" s="6" t="n">
        <x:f>ROUNDUP(F584/J584,0)</x:f>
        <x:v>4</x:v>
      </x:c>
      <x:c r="M584" s="6" t="n">
        <x:f>IF(G584=0,"无伤害",ROUNDUP(K584/MAX(1,ROUND(G584*$AC$21,0)),0))</x:f>
        <x:v>10</x:v>
      </x:c>
      <x:c r="N584" s="6" t="n">
        <x:f>ROUNDUP(F584/英雄升级调参!$H$87,0)</x:f>
        <x:v>3</x:v>
      </x:c>
      <x:c r="O584" s="6" t="n">
        <x:f>ROUNDUP(F584/英雄升级调参!$K$87,0)</x:f>
        <x:v>2</x:v>
      </x:c>
      <x:c r="P584" s="6" t="str">
        <x:f>$AA$21</x:f>
        <x:v>普通：4次标准普攻击杀；10次主要攻击致死</x:v>
      </x:c>
      <x:c r="Q584" s="6"/>
      <x:c r="R584" s="6"/>
      <x:c r="S584" s="6"/>
      <x:c r="T584" s="6"/>
    </x:row>
    <x:row r="585" ht="21" customHeight="1">
      <x:c r="A585" s="14" t="n">
        <x:f>$V$21</x:f>
        <x:v>60008</x:v>
      </x:c>
      <x:c r="B585" s="14" t="str">
        <x:f>$W$21</x:f>
        <x:v>葡萄狗</x:v>
      </x:c>
      <x:c r="C585" s="6" t="str">
        <x:f>$X$21</x:f>
        <x:v>中等</x:v>
      </x:c>
      <x:c r="D585" s="6">
        <x:v>23</x:v>
      </x:c>
      <x:c r="E585" s="6">
        <x:v>21</x:v>
      </x:c>
      <x:c r="F585" s="12">
        <x:f>ROUND(J585*$W$4*H585,0)</x:f>
        <x:v>4344</x:v>
      </x:c>
      <x:c r="G585" s="12">
        <x:f>ROUND(J585*$W$4*$W$5*I585,0)</x:f>
        <x:v>1086</x:v>
      </x:c>
      <x:c r="H585" s="11" t="n">
        <x:f>$Y$21</x:f>
        <x:v>1</x:v>
      </x:c>
      <x:c r="I585" s="11" t="n">
        <x:f>$Z$21</x:f>
        <x:v>3.3333333333333335</x:v>
      </x:c>
      <x:c r="J585" s="12">
        <x:f>英雄升级调参!$E$88</x:f>
        <x:v>1086</x:v>
      </x:c>
      <x:c r="K585" s="12">
        <x:f>英雄升级调参!$F$88</x:f>
        <x:v>10860</x:v>
      </x:c>
      <x:c r="L585" s="6" t="n">
        <x:f>ROUNDUP(F585/J585,0)</x:f>
        <x:v>4</x:v>
      </x:c>
      <x:c r="M585" s="6" t="n">
        <x:f>IF(G585=0,"无伤害",ROUNDUP(K585/MAX(1,ROUND(G585*$AC$21,0)),0))</x:f>
        <x:v>10</x:v>
      </x:c>
      <x:c r="N585" s="6" t="n">
        <x:f>ROUNDUP(F585/英雄升级调参!$H$88,0)</x:f>
        <x:v>3</x:v>
      </x:c>
      <x:c r="O585" s="6" t="n">
        <x:f>ROUNDUP(F585/英雄升级调参!$K$88,0)</x:f>
        <x:v>2</x:v>
      </x:c>
      <x:c r="P585" s="6" t="str">
        <x:f>$AA$21</x:f>
        <x:v>普通：4次标准普攻击杀；10次主要攻击致死</x:v>
      </x:c>
      <x:c r="Q585" s="6"/>
      <x:c r="R585" s="6"/>
      <x:c r="S585" s="6"/>
      <x:c r="T585" s="6"/>
    </x:row>
    <x:row r="586" ht="21" customHeight="1">
      <x:c r="A586" s="14" t="n">
        <x:f>$V$21</x:f>
        <x:v>60008</x:v>
      </x:c>
      <x:c r="B586" s="14" t="str">
        <x:f>$W$21</x:f>
        <x:v>葡萄狗</x:v>
      </x:c>
      <x:c r="C586" s="6" t="str">
        <x:f>$X$21</x:f>
        <x:v>中等</x:v>
      </x:c>
      <x:c r="D586" s="6">
        <x:v>24</x:v>
      </x:c>
      <x:c r="E586" s="6">
        <x:v>21</x:v>
      </x:c>
      <x:c r="F586" s="12">
        <x:f>ROUND(J586*$W$4*H586,0)</x:f>
        <x:v>4560</x:v>
      </x:c>
      <x:c r="G586" s="12">
        <x:f>ROUND(J586*$W$4*$W$5*I586,0)</x:f>
        <x:v>1140</x:v>
      </x:c>
      <x:c r="H586" s="11" t="n">
        <x:f>$Y$21</x:f>
        <x:v>1</x:v>
      </x:c>
      <x:c r="I586" s="11" t="n">
        <x:f>$Z$21</x:f>
        <x:v>3.3333333333333335</x:v>
      </x:c>
      <x:c r="J586" s="12">
        <x:f>英雄升级调参!$E$89</x:f>
        <x:v>1140</x:v>
      </x:c>
      <x:c r="K586" s="12">
        <x:f>英雄升级调参!$F$89</x:f>
        <x:v>11400</x:v>
      </x:c>
      <x:c r="L586" s="6" t="n">
        <x:f>ROUNDUP(F586/J586,0)</x:f>
        <x:v>4</x:v>
      </x:c>
      <x:c r="M586" s="6" t="n">
        <x:f>IF(G586=0,"无伤害",ROUNDUP(K586/MAX(1,ROUND(G586*$AC$21,0)),0))</x:f>
        <x:v>10</x:v>
      </x:c>
      <x:c r="N586" s="6" t="n">
        <x:f>ROUNDUP(F586/英雄升级调参!$H$89,0)</x:f>
        <x:v>3</x:v>
      </x:c>
      <x:c r="O586" s="6" t="n">
        <x:f>ROUNDUP(F586/英雄升级调参!$K$89,0)</x:f>
        <x:v>2</x:v>
      </x:c>
      <x:c r="P586" s="6" t="str">
        <x:f>$AA$21</x:f>
        <x:v>普通：4次标准普攻击杀；10次主要攻击致死</x:v>
      </x:c>
      <x:c r="Q586" s="6"/>
      <x:c r="R586" s="6"/>
      <x:c r="S586" s="6"/>
      <x:c r="T586" s="6"/>
    </x:row>
    <x:row r="587" ht="21" customHeight="1">
      <x:c r="A587" s="14" t="n">
        <x:f>$V$21</x:f>
        <x:v>60008</x:v>
      </x:c>
      <x:c r="B587" s="14" t="str">
        <x:f>$W$21</x:f>
        <x:v>葡萄狗</x:v>
      </x:c>
      <x:c r="C587" s="6" t="str">
        <x:f>$X$21</x:f>
        <x:v>中等</x:v>
      </x:c>
      <x:c r="D587" s="6">
        <x:v>25</x:v>
      </x:c>
      <x:c r="E587" s="6">
        <x:v>21</x:v>
      </x:c>
      <x:c r="F587" s="12">
        <x:f>ROUND(J587*$W$4*H587,0)</x:f>
        <x:v>5208</x:v>
      </x:c>
      <x:c r="G587" s="12">
        <x:f>ROUND(J587*$W$4*$W$5*I587,0)</x:f>
        <x:v>1302</x:v>
      </x:c>
      <x:c r="H587" s="11" t="n">
        <x:f>$Y$21</x:f>
        <x:v>1</x:v>
      </x:c>
      <x:c r="I587" s="11" t="n">
        <x:f>$Z$21</x:f>
        <x:v>3.3333333333333335</x:v>
      </x:c>
      <x:c r="J587" s="12">
        <x:f>英雄升级调参!$E$90</x:f>
        <x:v>1302</x:v>
      </x:c>
      <x:c r="K587" s="12">
        <x:f>英雄升级调参!$F$90</x:f>
        <x:v>13020</x:v>
      </x:c>
      <x:c r="L587" s="6" t="n">
        <x:f>ROUNDUP(F587/J587,0)</x:f>
        <x:v>4</x:v>
      </x:c>
      <x:c r="M587" s="6" t="n">
        <x:f>IF(G587=0,"无伤害",ROUNDUP(K587/MAX(1,ROUND(G587*$AC$21,0)),0))</x:f>
        <x:v>10</x:v>
      </x:c>
      <x:c r="N587" s="6" t="n">
        <x:f>ROUNDUP(F587/英雄升级调参!$H$90,0)</x:f>
        <x:v>3</x:v>
      </x:c>
      <x:c r="O587" s="6" t="n">
        <x:f>ROUNDUP(F587/英雄升级调参!$K$90,0)</x:f>
        <x:v>2</x:v>
      </x:c>
      <x:c r="P587" s="6" t="str">
        <x:f>$AA$21</x:f>
        <x:v>普通：4次标准普攻击杀；10次主要攻击致死</x:v>
      </x:c>
      <x:c r="Q587" s="6"/>
      <x:c r="R587" s="6"/>
      <x:c r="S587" s="6"/>
      <x:c r="T587" s="6"/>
    </x:row>
    <x:row r="588" ht="21" customHeight="1">
      <x:c r="A588" s="14" t="n">
        <x:f>$V$21</x:f>
        <x:v>60008</x:v>
      </x:c>
      <x:c r="B588" s="14" t="str">
        <x:f>$W$21</x:f>
        <x:v>葡萄狗</x:v>
      </x:c>
      <x:c r="C588" s="6" t="str">
        <x:f>$X$21</x:f>
        <x:v>中等</x:v>
      </x:c>
      <x:c r="D588" s="6">
        <x:v>26</x:v>
      </x:c>
      <x:c r="E588" s="6">
        <x:v>21</x:v>
      </x:c>
      <x:c r="F588" s="12">
        <x:f>ROUND(J588*$W$4*H588,0)</x:f>
        <x:v>5460</x:v>
      </x:c>
      <x:c r="G588" s="12">
        <x:f>ROUND(J588*$W$4*$W$5*I588,0)</x:f>
        <x:v>1365</x:v>
      </x:c>
      <x:c r="H588" s="11" t="n">
        <x:f>$Y$21</x:f>
        <x:v>1</x:v>
      </x:c>
      <x:c r="I588" s="11" t="n">
        <x:f>$Z$21</x:f>
        <x:v>3.3333333333333335</x:v>
      </x:c>
      <x:c r="J588" s="12">
        <x:f>英雄升级调参!$E$91</x:f>
        <x:v>1365</x:v>
      </x:c>
      <x:c r="K588" s="12">
        <x:f>英雄升级调参!$F$91</x:f>
        <x:v>13650</x:v>
      </x:c>
      <x:c r="L588" s="6" t="n">
        <x:f>ROUNDUP(F588/J588,0)</x:f>
        <x:v>4</x:v>
      </x:c>
      <x:c r="M588" s="6" t="n">
        <x:f>IF(G588=0,"无伤害",ROUNDUP(K588/MAX(1,ROUND(G588*$AC$21,0)),0))</x:f>
        <x:v>10</x:v>
      </x:c>
      <x:c r="N588" s="6" t="n">
        <x:f>ROUNDUP(F588/英雄升级调参!$H$91,0)</x:f>
        <x:v>3</x:v>
      </x:c>
      <x:c r="O588" s="6" t="n">
        <x:f>ROUNDUP(F588/英雄升级调参!$K$91,0)</x:f>
        <x:v>2</x:v>
      </x:c>
      <x:c r="P588" s="6" t="str">
        <x:f>$AA$21</x:f>
        <x:v>普通：4次标准普攻击杀；10次主要攻击致死</x:v>
      </x:c>
      <x:c r="Q588" s="6"/>
      <x:c r="R588" s="6"/>
      <x:c r="S588" s="6"/>
      <x:c r="T588" s="6"/>
    </x:row>
    <x:row r="589" ht="21" customHeight="1">
      <x:c r="A589" s="14" t="n">
        <x:f>$V$21</x:f>
        <x:v>60008</x:v>
      </x:c>
      <x:c r="B589" s="14" t="str">
        <x:f>$W$21</x:f>
        <x:v>葡萄狗</x:v>
      </x:c>
      <x:c r="C589" s="6" t="str">
        <x:f>$X$21</x:f>
        <x:v>中等</x:v>
      </x:c>
      <x:c r="D589" s="6">
        <x:v>27</x:v>
      </x:c>
      <x:c r="E589" s="6">
        <x:v>21</x:v>
      </x:c>
      <x:c r="F589" s="12">
        <x:f>ROUND(J589*$W$4*H589,0)</x:f>
        <x:v>5712</x:v>
      </x:c>
      <x:c r="G589" s="12">
        <x:f>ROUND(J589*$W$4*$W$5*I589,0)</x:f>
        <x:v>1428</x:v>
      </x:c>
      <x:c r="H589" s="11" t="n">
        <x:f>$Y$21</x:f>
        <x:v>1</x:v>
      </x:c>
      <x:c r="I589" s="11" t="n">
        <x:f>$Z$21</x:f>
        <x:v>3.3333333333333335</x:v>
      </x:c>
      <x:c r="J589" s="12">
        <x:f>英雄升级调参!$E$92</x:f>
        <x:v>1428</x:v>
      </x:c>
      <x:c r="K589" s="12">
        <x:f>英雄升级调参!$F$92</x:f>
        <x:v>14280</x:v>
      </x:c>
      <x:c r="L589" s="6" t="n">
        <x:f>ROUNDUP(F589/J589,0)</x:f>
        <x:v>4</x:v>
      </x:c>
      <x:c r="M589" s="6" t="n">
        <x:f>IF(G589=0,"无伤害",ROUNDUP(K589/MAX(1,ROUND(G589*$AC$21,0)),0))</x:f>
        <x:v>10</x:v>
      </x:c>
      <x:c r="N589" s="6" t="n">
        <x:f>ROUNDUP(F589/英雄升级调参!$H$92,0)</x:f>
        <x:v>3</x:v>
      </x:c>
      <x:c r="O589" s="6" t="n">
        <x:f>ROUNDUP(F589/英雄升级调参!$K$92,0)</x:f>
        <x:v>2</x:v>
      </x:c>
      <x:c r="P589" s="6" t="str">
        <x:f>$AA$21</x:f>
        <x:v>普通：4次标准普攻击杀；10次主要攻击致死</x:v>
      </x:c>
      <x:c r="Q589" s="6"/>
      <x:c r="R589" s="6"/>
      <x:c r="S589" s="6"/>
      <x:c r="T589" s="6"/>
    </x:row>
    <x:row r="590" ht="21" customHeight="1">
      <x:c r="A590" s="14" t="n">
        <x:f>$V$21</x:f>
        <x:v>60008</x:v>
      </x:c>
      <x:c r="B590" s="14" t="str">
        <x:f>$W$21</x:f>
        <x:v>葡萄狗</x:v>
      </x:c>
      <x:c r="C590" s="6" t="str">
        <x:f>$X$21</x:f>
        <x:v>中等</x:v>
      </x:c>
      <x:c r="D590" s="6">
        <x:v>28</x:v>
      </x:c>
      <x:c r="E590" s="6">
        <x:v>21</x:v>
      </x:c>
      <x:c r="F590" s="12">
        <x:f>ROUND(J590*$W$4*H590,0)</x:f>
        <x:v>5964</x:v>
      </x:c>
      <x:c r="G590" s="12">
        <x:f>ROUND(J590*$W$4*$W$5*I590,0)</x:f>
        <x:v>1491</x:v>
      </x:c>
      <x:c r="H590" s="11" t="n">
        <x:f>$Y$21</x:f>
        <x:v>1</x:v>
      </x:c>
      <x:c r="I590" s="11" t="n">
        <x:f>$Z$21</x:f>
        <x:v>3.3333333333333335</x:v>
      </x:c>
      <x:c r="J590" s="12">
        <x:f>英雄升级调参!$E$93</x:f>
        <x:v>1491</x:v>
      </x:c>
      <x:c r="K590" s="12">
        <x:f>英雄升级调参!$F$93</x:f>
        <x:v>14910</x:v>
      </x:c>
      <x:c r="L590" s="6" t="n">
        <x:f>ROUNDUP(F590/J590,0)</x:f>
        <x:v>4</x:v>
      </x:c>
      <x:c r="M590" s="6" t="n">
        <x:f>IF(G590=0,"无伤害",ROUNDUP(K590/MAX(1,ROUND(G590*$AC$21,0)),0))</x:f>
        <x:v>10</x:v>
      </x:c>
      <x:c r="N590" s="6" t="n">
        <x:f>ROUNDUP(F590/英雄升级调参!$H$93,0)</x:f>
        <x:v>3</x:v>
      </x:c>
      <x:c r="O590" s="6" t="n">
        <x:f>ROUNDUP(F590/英雄升级调参!$K$93,0)</x:f>
        <x:v>2</x:v>
      </x:c>
      <x:c r="P590" s="6" t="str">
        <x:f>$AA$21</x:f>
        <x:v>普通：4次标准普攻击杀；10次主要攻击致死</x:v>
      </x:c>
      <x:c r="Q590" s="6"/>
      <x:c r="R590" s="6"/>
      <x:c r="S590" s="6"/>
      <x:c r="T590" s="6"/>
    </x:row>
    <x:row r="591" ht="21" customHeight="1">
      <x:c r="A591" s="14" t="n">
        <x:f>$V$21</x:f>
        <x:v>60008</x:v>
      </x:c>
      <x:c r="B591" s="14" t="str">
        <x:f>$W$21</x:f>
        <x:v>葡萄狗</x:v>
      </x:c>
      <x:c r="C591" s="6" t="str">
        <x:f>$X$21</x:f>
        <x:v>中等</x:v>
      </x:c>
      <x:c r="D591" s="6">
        <x:v>29</x:v>
      </x:c>
      <x:c r="E591" s="6">
        <x:v>21</x:v>
      </x:c>
      <x:c r="F591" s="12">
        <x:f>ROUND(J591*$W$4*H591,0)</x:f>
        <x:v>6216</x:v>
      </x:c>
      <x:c r="G591" s="12">
        <x:f>ROUND(J591*$W$4*$W$5*I591,0)</x:f>
        <x:v>1554</x:v>
      </x:c>
      <x:c r="H591" s="11" t="n">
        <x:f>$Y$21</x:f>
        <x:v>1</x:v>
      </x:c>
      <x:c r="I591" s="11" t="n">
        <x:f>$Z$21</x:f>
        <x:v>3.3333333333333335</x:v>
      </x:c>
      <x:c r="J591" s="12">
        <x:f>英雄升级调参!$E$94</x:f>
        <x:v>1554</x:v>
      </x:c>
      <x:c r="K591" s="12">
        <x:f>英雄升级调参!$F$94</x:f>
        <x:v>15540</x:v>
      </x:c>
      <x:c r="L591" s="6" t="n">
        <x:f>ROUNDUP(F591/J591,0)</x:f>
        <x:v>4</x:v>
      </x:c>
      <x:c r="M591" s="6" t="n">
        <x:f>IF(G591=0,"无伤害",ROUNDUP(K591/MAX(1,ROUND(G591*$AC$21,0)),0))</x:f>
        <x:v>10</x:v>
      </x:c>
      <x:c r="N591" s="6" t="n">
        <x:f>ROUNDUP(F591/英雄升级调参!$H$94,0)</x:f>
        <x:v>3</x:v>
      </x:c>
      <x:c r="O591" s="6" t="n">
        <x:f>ROUNDUP(F591/英雄升级调参!$K$94,0)</x:f>
        <x:v>2</x:v>
      </x:c>
      <x:c r="P591" s="6" t="str">
        <x:f>$AA$21</x:f>
        <x:v>普通：4次标准普攻击杀；10次主要攻击致死</x:v>
      </x:c>
      <x:c r="Q591" s="6"/>
      <x:c r="R591" s="6"/>
      <x:c r="S591" s="6"/>
      <x:c r="T591" s="6"/>
    </x:row>
    <x:row r="592" ht="21" customHeight="1">
      <x:c r="A592" s="14" t="n">
        <x:f>$V$21</x:f>
        <x:v>60008</x:v>
      </x:c>
      <x:c r="B592" s="14" t="str">
        <x:f>$W$21</x:f>
        <x:v>葡萄狗</x:v>
      </x:c>
      <x:c r="C592" s="6" t="str">
        <x:f>$X$21</x:f>
        <x:v>中等</x:v>
      </x:c>
      <x:c r="D592" s="6">
        <x:v>30</x:v>
      </x:c>
      <x:c r="E592" s="6">
        <x:v>21</x:v>
      </x:c>
      <x:c r="F592" s="12">
        <x:f>ROUND(J592*$W$4*H592,0)</x:f>
        <x:v>6972</x:v>
      </x:c>
      <x:c r="G592" s="12">
        <x:f>ROUND(J592*$W$4*$W$5*I592,0)</x:f>
        <x:v>1743</x:v>
      </x:c>
      <x:c r="H592" s="11" t="n">
        <x:f>$Y$21</x:f>
        <x:v>1</x:v>
      </x:c>
      <x:c r="I592" s="11" t="n">
        <x:f>$Z$21</x:f>
        <x:v>3.3333333333333335</x:v>
      </x:c>
      <x:c r="J592" s="12">
        <x:f>英雄升级调参!$E$95</x:f>
        <x:v>1743</x:v>
      </x:c>
      <x:c r="K592" s="12">
        <x:f>英雄升级调参!$F$95</x:f>
        <x:v>17430</x:v>
      </x:c>
      <x:c r="L592" s="6" t="n">
        <x:f>ROUNDUP(F592/J592,0)</x:f>
        <x:v>4</x:v>
      </x:c>
      <x:c r="M592" s="6" t="n">
        <x:f>IF(G592=0,"无伤害",ROUNDUP(K592/MAX(1,ROUND(G592*$AC$21,0)),0))</x:f>
        <x:v>10</x:v>
      </x:c>
      <x:c r="N592" s="6" t="n">
        <x:f>ROUNDUP(F592/英雄升级调参!$H$95,0)</x:f>
        <x:v>3</x:v>
      </x:c>
      <x:c r="O592" s="6" t="n">
        <x:f>ROUNDUP(F592/英雄升级调参!$K$95,0)</x:f>
        <x:v>2</x:v>
      </x:c>
      <x:c r="P592" s="6" t="str">
        <x:f>$AA$21</x:f>
        <x:v>普通：4次标准普攻击杀；10次主要攻击致死</x:v>
      </x:c>
      <x:c r="Q592" s="6"/>
      <x:c r="R592" s="6"/>
      <x:c r="S592" s="6"/>
      <x:c r="T592" s="6"/>
    </x:row>
    <x:row r="593" ht="21" customHeight="1">
      <x:c r="A593" s="14" t="n">
        <x:f>$V$21</x:f>
        <x:v>60008</x:v>
      </x:c>
      <x:c r="B593" s="14" t="str">
        <x:f>$W$21</x:f>
        <x:v>葡萄狗</x:v>
      </x:c>
      <x:c r="C593" s="6" t="str">
        <x:f>$X$21</x:f>
        <x:v>中等</x:v>
      </x:c>
      <x:c r="D593" s="6">
        <x:v>31</x:v>
      </x:c>
      <x:c r="E593" s="6">
        <x:v>21</x:v>
      </x:c>
      <x:c r="F593" s="12">
        <x:f>ROUND(J593*$W$4*H593,0)</x:f>
        <x:v>7260</x:v>
      </x:c>
      <x:c r="G593" s="12">
        <x:f>ROUND(J593*$W$4*$W$5*I593,0)</x:f>
        <x:v>1815</x:v>
      </x:c>
      <x:c r="H593" s="11" t="n">
        <x:f>$Y$21</x:f>
        <x:v>1</x:v>
      </x:c>
      <x:c r="I593" s="11" t="n">
        <x:f>$Z$21</x:f>
        <x:v>3.3333333333333335</x:v>
      </x:c>
      <x:c r="J593" s="12">
        <x:f>英雄升级调参!$E$96</x:f>
        <x:v>1815</x:v>
      </x:c>
      <x:c r="K593" s="12">
        <x:f>英雄升级调参!$F$96</x:f>
        <x:v>18150</x:v>
      </x:c>
      <x:c r="L593" s="6" t="n">
        <x:f>ROUNDUP(F593/J593,0)</x:f>
        <x:v>4</x:v>
      </x:c>
      <x:c r="M593" s="6" t="n">
        <x:f>IF(G593=0,"无伤害",ROUNDUP(K593/MAX(1,ROUND(G593*$AC$21,0)),0))</x:f>
        <x:v>10</x:v>
      </x:c>
      <x:c r="N593" s="6" t="n">
        <x:f>ROUNDUP(F593/英雄升级调参!$H$96,0)</x:f>
        <x:v>3</x:v>
      </x:c>
      <x:c r="O593" s="6" t="n">
        <x:f>ROUNDUP(F593/英雄升级调参!$K$96,0)</x:f>
        <x:v>2</x:v>
      </x:c>
      <x:c r="P593" s="6" t="str">
        <x:f>$AA$21</x:f>
        <x:v>普通：4次标准普攻击杀；10次主要攻击致死</x:v>
      </x:c>
      <x:c r="Q593" s="6"/>
      <x:c r="R593" s="6"/>
      <x:c r="S593" s="6"/>
      <x:c r="T593" s="6"/>
    </x:row>
    <x:row r="594" ht="21" customHeight="1">
      <x:c r="A594" s="14" t="n">
        <x:f>$V$21</x:f>
        <x:v>60008</x:v>
      </x:c>
      <x:c r="B594" s="14" t="str">
        <x:f>$W$21</x:f>
        <x:v>葡萄狗</x:v>
      </x:c>
      <x:c r="C594" s="6" t="str">
        <x:f>$X$21</x:f>
        <x:v>中等</x:v>
      </x:c>
      <x:c r="D594" s="6">
        <x:v>32</x:v>
      </x:c>
      <x:c r="E594" s="6">
        <x:v>21</x:v>
      </x:c>
      <x:c r="F594" s="12">
        <x:f>ROUND(J594*$W$4*H594,0)</x:f>
        <x:v>7548</x:v>
      </x:c>
      <x:c r="G594" s="12">
        <x:f>ROUND(J594*$W$4*$W$5*I594,0)</x:f>
        <x:v>1887</x:v>
      </x:c>
      <x:c r="H594" s="11" t="n">
        <x:f>$Y$21</x:f>
        <x:v>1</x:v>
      </x:c>
      <x:c r="I594" s="11" t="n">
        <x:f>$Z$21</x:f>
        <x:v>3.3333333333333335</x:v>
      </x:c>
      <x:c r="J594" s="12">
        <x:f>英雄升级调参!$E$97</x:f>
        <x:v>1887</x:v>
      </x:c>
      <x:c r="K594" s="12">
        <x:f>英雄升级调参!$F$97</x:f>
        <x:v>18870</x:v>
      </x:c>
      <x:c r="L594" s="6" t="n">
        <x:f>ROUNDUP(F594/J594,0)</x:f>
        <x:v>4</x:v>
      </x:c>
      <x:c r="M594" s="6" t="n">
        <x:f>IF(G594=0,"无伤害",ROUNDUP(K594/MAX(1,ROUND(G594*$AC$21,0)),0))</x:f>
        <x:v>10</x:v>
      </x:c>
      <x:c r="N594" s="6" t="n">
        <x:f>ROUNDUP(F594/英雄升级调参!$H$97,0)</x:f>
        <x:v>3</x:v>
      </x:c>
      <x:c r="O594" s="6" t="n">
        <x:f>ROUNDUP(F594/英雄升级调参!$K$97,0)</x:f>
        <x:v>2</x:v>
      </x:c>
      <x:c r="P594" s="6" t="str">
        <x:f>$AA$21</x:f>
        <x:v>普通：4次标准普攻击杀；10次主要攻击致死</x:v>
      </x:c>
      <x:c r="Q594" s="6"/>
      <x:c r="R594" s="6"/>
      <x:c r="S594" s="6"/>
      <x:c r="T594" s="6"/>
    </x:row>
    <x:row r="595" ht="21" customHeight="1">
      <x:c r="A595" s="14" t="n">
        <x:f>$V$21</x:f>
        <x:v>60008</x:v>
      </x:c>
      <x:c r="B595" s="14" t="str">
        <x:f>$W$21</x:f>
        <x:v>葡萄狗</x:v>
      </x:c>
      <x:c r="C595" s="6" t="str">
        <x:f>$X$21</x:f>
        <x:v>中等</x:v>
      </x:c>
      <x:c r="D595" s="6">
        <x:v>33</x:v>
      </x:c>
      <x:c r="E595" s="6">
        <x:v>21</x:v>
      </x:c>
      <x:c r="F595" s="12">
        <x:f>ROUND(J595*$W$4*H595,0)</x:f>
        <x:v>7836</x:v>
      </x:c>
      <x:c r="G595" s="12">
        <x:f>ROUND(J595*$W$4*$W$5*I595,0)</x:f>
        <x:v>1959</x:v>
      </x:c>
      <x:c r="H595" s="11" t="n">
        <x:f>$Y$21</x:f>
        <x:v>1</x:v>
      </x:c>
      <x:c r="I595" s="11" t="n">
        <x:f>$Z$21</x:f>
        <x:v>3.3333333333333335</x:v>
      </x:c>
      <x:c r="J595" s="12">
        <x:f>英雄升级调参!$E$98</x:f>
        <x:v>1959</x:v>
      </x:c>
      <x:c r="K595" s="12">
        <x:f>英雄升级调参!$F$98</x:f>
        <x:v>19590</x:v>
      </x:c>
      <x:c r="L595" s="6" t="n">
        <x:f>ROUNDUP(F595/J595,0)</x:f>
        <x:v>4</x:v>
      </x:c>
      <x:c r="M595" s="6" t="n">
        <x:f>IF(G595=0,"无伤害",ROUNDUP(K595/MAX(1,ROUND(G595*$AC$21,0)),0))</x:f>
        <x:v>10</x:v>
      </x:c>
      <x:c r="N595" s="6" t="n">
        <x:f>ROUNDUP(F595/英雄升级调参!$H$98,0)</x:f>
        <x:v>3</x:v>
      </x:c>
      <x:c r="O595" s="6" t="n">
        <x:f>ROUNDUP(F595/英雄升级调参!$K$98,0)</x:f>
        <x:v>2</x:v>
      </x:c>
      <x:c r="P595" s="6" t="str">
        <x:f>$AA$21</x:f>
        <x:v>普通：4次标准普攻击杀；10次主要攻击致死</x:v>
      </x:c>
      <x:c r="Q595" s="6"/>
      <x:c r="R595" s="6"/>
      <x:c r="S595" s="6"/>
      <x:c r="T595" s="6"/>
    </x:row>
    <x:row r="596" ht="21" customHeight="1">
      <x:c r="A596" s="14" t="n">
        <x:f>$V$21</x:f>
        <x:v>60008</x:v>
      </x:c>
      <x:c r="B596" s="14" t="str">
        <x:f>$W$21</x:f>
        <x:v>葡萄狗</x:v>
      </x:c>
      <x:c r="C596" s="6" t="str">
        <x:f>$X$21</x:f>
        <x:v>中等</x:v>
      </x:c>
      <x:c r="D596" s="6">
        <x:v>34</x:v>
      </x:c>
      <x:c r="E596" s="6">
        <x:v>21</x:v>
      </x:c>
      <x:c r="F596" s="12">
        <x:f>ROUND(J596*$W$4*H596,0)</x:f>
        <x:v>8124</x:v>
      </x:c>
      <x:c r="G596" s="12">
        <x:f>ROUND(J596*$W$4*$W$5*I596,0)</x:f>
        <x:v>2031</x:v>
      </x:c>
      <x:c r="H596" s="11" t="n">
        <x:f>$Y$21</x:f>
        <x:v>1</x:v>
      </x:c>
      <x:c r="I596" s="11" t="n">
        <x:f>$Z$21</x:f>
        <x:v>3.3333333333333335</x:v>
      </x:c>
      <x:c r="J596" s="12">
        <x:f>英雄升级调参!$E$99</x:f>
        <x:v>2031</x:v>
      </x:c>
      <x:c r="K596" s="12">
        <x:f>英雄升级调参!$F$99</x:f>
        <x:v>20310</x:v>
      </x:c>
      <x:c r="L596" s="6" t="n">
        <x:f>ROUNDUP(F596/J596,0)</x:f>
        <x:v>4</x:v>
      </x:c>
      <x:c r="M596" s="6" t="n">
        <x:f>IF(G596=0,"无伤害",ROUNDUP(K596/MAX(1,ROUND(G596*$AC$21,0)),0))</x:f>
        <x:v>10</x:v>
      </x:c>
      <x:c r="N596" s="6" t="n">
        <x:f>ROUNDUP(F596/英雄升级调参!$H$99,0)</x:f>
        <x:v>3</x:v>
      </x:c>
      <x:c r="O596" s="6" t="n">
        <x:f>ROUNDUP(F596/英雄升级调参!$K$99,0)</x:f>
        <x:v>2</x:v>
      </x:c>
      <x:c r="P596" s="6" t="str">
        <x:f>$AA$21</x:f>
        <x:v>普通：4次标准普攻击杀；10次主要攻击致死</x:v>
      </x:c>
      <x:c r="Q596" s="6"/>
      <x:c r="R596" s="6"/>
      <x:c r="S596" s="6"/>
      <x:c r="T596" s="6"/>
    </x:row>
    <x:row r="597" ht="21" customHeight="1">
      <x:c r="A597" s="14" t="n">
        <x:f>$V$21</x:f>
        <x:v>60008</x:v>
      </x:c>
      <x:c r="B597" s="14" t="str">
        <x:f>$W$21</x:f>
        <x:v>葡萄狗</x:v>
      </x:c>
      <x:c r="C597" s="6" t="str">
        <x:f>$X$21</x:f>
        <x:v>中等</x:v>
      </x:c>
      <x:c r="D597" s="6">
        <x:v>35</x:v>
      </x:c>
      <x:c r="E597" s="6">
        <x:v>21</x:v>
      </x:c>
      <x:c r="F597" s="12">
        <x:f>ROUND(J597*$W$4*H597,0)</x:f>
        <x:v>8988</x:v>
      </x:c>
      <x:c r="G597" s="12">
        <x:f>ROUND(J597*$W$4*$W$5*I597,0)</x:f>
        <x:v>2247</x:v>
      </x:c>
      <x:c r="H597" s="11" t="n">
        <x:f>$Y$21</x:f>
        <x:v>1</x:v>
      </x:c>
      <x:c r="I597" s="11" t="n">
        <x:f>$Z$21</x:f>
        <x:v>3.3333333333333335</x:v>
      </x:c>
      <x:c r="J597" s="12">
        <x:f>英雄升级调参!$E$100</x:f>
        <x:v>2247</x:v>
      </x:c>
      <x:c r="K597" s="12">
        <x:f>英雄升级调参!$F$100</x:f>
        <x:v>22470</x:v>
      </x:c>
      <x:c r="L597" s="6" t="n">
        <x:f>ROUNDUP(F597/J597,0)</x:f>
        <x:v>4</x:v>
      </x:c>
      <x:c r="M597" s="6" t="n">
        <x:f>IF(G597=0,"无伤害",ROUNDUP(K597/MAX(1,ROUND(G597*$AC$21,0)),0))</x:f>
        <x:v>10</x:v>
      </x:c>
      <x:c r="N597" s="6" t="n">
        <x:f>ROUNDUP(F597/英雄升级调参!$H$100,0)</x:f>
        <x:v>3</x:v>
      </x:c>
      <x:c r="O597" s="6" t="n">
        <x:f>ROUNDUP(F597/英雄升级调参!$K$100,0)</x:f>
        <x:v>2</x:v>
      </x:c>
      <x:c r="P597" s="6" t="str">
        <x:f>$AA$21</x:f>
        <x:v>普通：4次标准普攻击杀；10次主要攻击致死</x:v>
      </x:c>
      <x:c r="Q597" s="6"/>
      <x:c r="R597" s="6"/>
      <x:c r="S597" s="6"/>
      <x:c r="T597" s="6"/>
    </x:row>
    <x:row r="598" ht="21" customHeight="1">
      <x:c r="A598" s="14" t="n">
        <x:f>$V$21</x:f>
        <x:v>60008</x:v>
      </x:c>
      <x:c r="B598" s="14" t="str">
        <x:f>$W$21</x:f>
        <x:v>葡萄狗</x:v>
      </x:c>
      <x:c r="C598" s="6" t="str">
        <x:f>$X$21</x:f>
        <x:v>中等</x:v>
      </x:c>
      <x:c r="D598" s="6">
        <x:v>36</x:v>
      </x:c>
      <x:c r="E598" s="6">
        <x:v>21</x:v>
      </x:c>
      <x:c r="F598" s="12">
        <x:f>ROUND(J598*$W$4*H598,0)</x:f>
        <x:v>9312</x:v>
      </x:c>
      <x:c r="G598" s="12">
        <x:f>ROUND(J598*$W$4*$W$5*I598,0)</x:f>
        <x:v>2328</x:v>
      </x:c>
      <x:c r="H598" s="11" t="n">
        <x:f>$Y$21</x:f>
        <x:v>1</x:v>
      </x:c>
      <x:c r="I598" s="11" t="n">
        <x:f>$Z$21</x:f>
        <x:v>3.3333333333333335</x:v>
      </x:c>
      <x:c r="J598" s="12">
        <x:f>英雄升级调参!$E$101</x:f>
        <x:v>2328</x:v>
      </x:c>
      <x:c r="K598" s="12">
        <x:f>英雄升级调参!$F$101</x:f>
        <x:v>23280</x:v>
      </x:c>
      <x:c r="L598" s="6" t="n">
        <x:f>ROUNDUP(F598/J598,0)</x:f>
        <x:v>4</x:v>
      </x:c>
      <x:c r="M598" s="6" t="n">
        <x:f>IF(G598=0,"无伤害",ROUNDUP(K598/MAX(1,ROUND(G598*$AC$21,0)),0))</x:f>
        <x:v>10</x:v>
      </x:c>
      <x:c r="N598" s="6" t="n">
        <x:f>ROUNDUP(F598/英雄升级调参!$H$101,0)</x:f>
        <x:v>3</x:v>
      </x:c>
      <x:c r="O598" s="6" t="n">
        <x:f>ROUNDUP(F598/英雄升级调参!$K$101,0)</x:f>
        <x:v>2</x:v>
      </x:c>
      <x:c r="P598" s="6" t="str">
        <x:f>$AA$21</x:f>
        <x:v>普通：4次标准普攻击杀；10次主要攻击致死</x:v>
      </x:c>
      <x:c r="Q598" s="6"/>
      <x:c r="R598" s="6"/>
      <x:c r="S598" s="6"/>
      <x:c r="T598" s="6"/>
    </x:row>
    <x:row r="599" ht="21" customHeight="1">
      <x:c r="A599" s="14" t="n">
        <x:f>$V$21</x:f>
        <x:v>60008</x:v>
      </x:c>
      <x:c r="B599" s="14" t="str">
        <x:f>$W$21</x:f>
        <x:v>葡萄狗</x:v>
      </x:c>
      <x:c r="C599" s="6" t="str">
        <x:f>$X$21</x:f>
        <x:v>中等</x:v>
      </x:c>
      <x:c r="D599" s="6">
        <x:v>37</x:v>
      </x:c>
      <x:c r="E599" s="6">
        <x:v>21</x:v>
      </x:c>
      <x:c r="F599" s="12">
        <x:f>ROUND(J599*$W$4*H599,0)</x:f>
        <x:v>9636</x:v>
      </x:c>
      <x:c r="G599" s="12">
        <x:f>ROUND(J599*$W$4*$W$5*I599,0)</x:f>
        <x:v>2409</x:v>
      </x:c>
      <x:c r="H599" s="11" t="n">
        <x:f>$Y$21</x:f>
        <x:v>1</x:v>
      </x:c>
      <x:c r="I599" s="11" t="n">
        <x:f>$Z$21</x:f>
        <x:v>3.3333333333333335</x:v>
      </x:c>
      <x:c r="J599" s="12">
        <x:f>英雄升级调参!$E$102</x:f>
        <x:v>2409</x:v>
      </x:c>
      <x:c r="K599" s="12">
        <x:f>英雄升级调参!$F$102</x:f>
        <x:v>24090</x:v>
      </x:c>
      <x:c r="L599" s="6" t="n">
        <x:f>ROUNDUP(F599/J599,0)</x:f>
        <x:v>4</x:v>
      </x:c>
      <x:c r="M599" s="6" t="n">
        <x:f>IF(G599=0,"无伤害",ROUNDUP(K599/MAX(1,ROUND(G599*$AC$21,0)),0))</x:f>
        <x:v>10</x:v>
      </x:c>
      <x:c r="N599" s="6" t="n">
        <x:f>ROUNDUP(F599/英雄升级调参!$H$102,0)</x:f>
        <x:v>3</x:v>
      </x:c>
      <x:c r="O599" s="6" t="n">
        <x:f>ROUNDUP(F599/英雄升级调参!$K$102,0)</x:f>
        <x:v>2</x:v>
      </x:c>
      <x:c r="P599" s="6" t="str">
        <x:f>$AA$21</x:f>
        <x:v>普通：4次标准普攻击杀；10次主要攻击致死</x:v>
      </x:c>
      <x:c r="Q599" s="6"/>
      <x:c r="R599" s="6"/>
      <x:c r="S599" s="6"/>
      <x:c r="T599" s="6"/>
    </x:row>
    <x:row r="600" ht="21" customHeight="1">
      <x:c r="A600" s="14" t="n">
        <x:f>$V$21</x:f>
        <x:v>60008</x:v>
      </x:c>
      <x:c r="B600" s="14" t="str">
        <x:f>$W$21</x:f>
        <x:v>葡萄狗</x:v>
      </x:c>
      <x:c r="C600" s="6" t="str">
        <x:f>$X$21</x:f>
        <x:v>中等</x:v>
      </x:c>
      <x:c r="D600" s="6">
        <x:v>38</x:v>
      </x:c>
      <x:c r="E600" s="6">
        <x:v>21</x:v>
      </x:c>
      <x:c r="F600" s="12">
        <x:f>ROUND(J600*$W$4*H600,0)</x:f>
        <x:v>9960</x:v>
      </x:c>
      <x:c r="G600" s="12">
        <x:f>ROUND(J600*$W$4*$W$5*I600,0)</x:f>
        <x:v>2490</x:v>
      </x:c>
      <x:c r="H600" s="11" t="n">
        <x:f>$Y$21</x:f>
        <x:v>1</x:v>
      </x:c>
      <x:c r="I600" s="11" t="n">
        <x:f>$Z$21</x:f>
        <x:v>3.3333333333333335</x:v>
      </x:c>
      <x:c r="J600" s="12">
        <x:f>英雄升级调参!$E$103</x:f>
        <x:v>2490</x:v>
      </x:c>
      <x:c r="K600" s="12">
        <x:f>英雄升级调参!$F$103</x:f>
        <x:v>24900</x:v>
      </x:c>
      <x:c r="L600" s="6" t="n">
        <x:f>ROUNDUP(F600/J600,0)</x:f>
        <x:v>4</x:v>
      </x:c>
      <x:c r="M600" s="6" t="n">
        <x:f>IF(G600=0,"无伤害",ROUNDUP(K600/MAX(1,ROUND(G600*$AC$21,0)),0))</x:f>
        <x:v>10</x:v>
      </x:c>
      <x:c r="N600" s="6" t="n">
        <x:f>ROUNDUP(F600/英雄升级调参!$H$103,0)</x:f>
        <x:v>3</x:v>
      </x:c>
      <x:c r="O600" s="6" t="n">
        <x:f>ROUNDUP(F600/英雄升级调参!$K$103,0)</x:f>
        <x:v>2</x:v>
      </x:c>
      <x:c r="P600" s="6" t="str">
        <x:f>$AA$21</x:f>
        <x:v>普通：4次标准普攻击杀；10次主要攻击致死</x:v>
      </x:c>
      <x:c r="Q600" s="6"/>
      <x:c r="R600" s="6"/>
      <x:c r="S600" s="6"/>
      <x:c r="T600" s="6"/>
    </x:row>
    <x:row r="601" ht="21" customHeight="1">
      <x:c r="A601" s="14" t="n">
        <x:f>$V$21</x:f>
        <x:v>60008</x:v>
      </x:c>
      <x:c r="B601" s="14" t="str">
        <x:f>$W$21</x:f>
        <x:v>葡萄狗</x:v>
      </x:c>
      <x:c r="C601" s="6" t="str">
        <x:f>$X$21</x:f>
        <x:v>中等</x:v>
      </x:c>
      <x:c r="D601" s="6">
        <x:v>39</x:v>
      </x:c>
      <x:c r="E601" s="6">
        <x:v>21</x:v>
      </x:c>
      <x:c r="F601" s="12">
        <x:f>ROUND(J601*$W$4*H601,0)</x:f>
        <x:v>10284</x:v>
      </x:c>
      <x:c r="G601" s="12">
        <x:f>ROUND(J601*$W$4*$W$5*I601,0)</x:f>
        <x:v>2571</x:v>
      </x:c>
      <x:c r="H601" s="11" t="n">
        <x:f>$Y$21</x:f>
        <x:v>1</x:v>
      </x:c>
      <x:c r="I601" s="11" t="n">
        <x:f>$Z$21</x:f>
        <x:v>3.3333333333333335</x:v>
      </x:c>
      <x:c r="J601" s="12">
        <x:f>英雄升级调参!$E$104</x:f>
        <x:v>2571</x:v>
      </x:c>
      <x:c r="K601" s="12">
        <x:f>英雄升级调参!$F$104</x:f>
        <x:v>25710</x:v>
      </x:c>
      <x:c r="L601" s="6" t="n">
        <x:f>ROUNDUP(F601/J601,0)</x:f>
        <x:v>4</x:v>
      </x:c>
      <x:c r="M601" s="6" t="n">
        <x:f>IF(G601=0,"无伤害",ROUNDUP(K601/MAX(1,ROUND(G601*$AC$21,0)),0))</x:f>
        <x:v>10</x:v>
      </x:c>
      <x:c r="N601" s="6" t="n">
        <x:f>ROUNDUP(F601/英雄升级调参!$H$104,0)</x:f>
        <x:v>3</x:v>
      </x:c>
      <x:c r="O601" s="6" t="n">
        <x:f>ROUNDUP(F601/英雄升级调参!$K$104,0)</x:f>
        <x:v>2</x:v>
      </x:c>
      <x:c r="P601" s="6" t="str">
        <x:f>$AA$21</x:f>
        <x:v>普通：4次标准普攻击杀；10次主要攻击致死</x:v>
      </x:c>
      <x:c r="Q601" s="6"/>
      <x:c r="R601" s="6"/>
      <x:c r="S601" s="6"/>
      <x:c r="T601" s="6"/>
    </x:row>
    <x:row r="602" ht="21" customHeight="1">
      <x:c r="A602" s="14" t="n">
        <x:f>$V$21</x:f>
        <x:v>60008</x:v>
      </x:c>
      <x:c r="B602" s="14" t="str">
        <x:f>$W$21</x:f>
        <x:v>葡萄狗</x:v>
      </x:c>
      <x:c r="C602" s="6" t="str">
        <x:f>$X$21</x:f>
        <x:v>中等</x:v>
      </x:c>
      <x:c r="D602" s="6">
        <x:v>40</x:v>
      </x:c>
      <x:c r="E602" s="6">
        <x:v>21</x:v>
      </x:c>
      <x:c r="F602" s="12">
        <x:f>ROUND(J602*$W$4*H602,0)</x:f>
        <x:v>11256</x:v>
      </x:c>
      <x:c r="G602" s="12">
        <x:f>ROUND(J602*$W$4*$W$5*I602,0)</x:f>
        <x:v>2814</x:v>
      </x:c>
      <x:c r="H602" s="11" t="n">
        <x:f>$Y$21</x:f>
        <x:v>1</x:v>
      </x:c>
      <x:c r="I602" s="11" t="n">
        <x:f>$Z$21</x:f>
        <x:v>3.3333333333333335</x:v>
      </x:c>
      <x:c r="J602" s="12">
        <x:f>英雄升级调参!$E$105</x:f>
        <x:v>2814</x:v>
      </x:c>
      <x:c r="K602" s="12">
        <x:f>英雄升级调参!$F$105</x:f>
        <x:v>28140</x:v>
      </x:c>
      <x:c r="L602" s="6" t="n">
        <x:f>ROUNDUP(F602/J602,0)</x:f>
        <x:v>4</x:v>
      </x:c>
      <x:c r="M602" s="6" t="n">
        <x:f>IF(G602=0,"无伤害",ROUNDUP(K602/MAX(1,ROUND(G602*$AC$21,0)),0))</x:f>
        <x:v>10</x:v>
      </x:c>
      <x:c r="N602" s="6" t="n">
        <x:f>ROUNDUP(F602/英雄升级调参!$H$105,0)</x:f>
        <x:v>3</x:v>
      </x:c>
      <x:c r="O602" s="6" t="n">
        <x:f>ROUNDUP(F602/英雄升级调参!$K$105,0)</x:f>
        <x:v>2</x:v>
      </x:c>
      <x:c r="P602" s="6" t="str">
        <x:f>$AA$21</x:f>
        <x:v>普通：4次标准普攻击杀；10次主要攻击致死</x:v>
      </x:c>
      <x:c r="Q602" s="6"/>
      <x:c r="R602" s="6"/>
      <x:c r="S602" s="6"/>
      <x:c r="T602" s="6"/>
    </x:row>
    <x:row r="603" ht="21" customHeight="1">
      <x:c r="A603" s="14" t="n">
        <x:f>$V$21</x:f>
        <x:v>60008</x:v>
      </x:c>
      <x:c r="B603" s="14" t="str">
        <x:f>$W$21</x:f>
        <x:v>葡萄狗</x:v>
      </x:c>
      <x:c r="C603" s="6" t="str">
        <x:f>$X$21</x:f>
        <x:v>中等</x:v>
      </x:c>
      <x:c r="D603" s="6">
        <x:v>41</x:v>
      </x:c>
      <x:c r="E603" s="6">
        <x:v>21</x:v>
      </x:c>
      <x:c r="F603" s="12">
        <x:f>ROUND(J603*$W$4*H603,0)</x:f>
        <x:v>11616</x:v>
      </x:c>
      <x:c r="G603" s="12">
        <x:f>ROUND(J603*$W$4*$W$5*I603,0)</x:f>
        <x:v>2904</x:v>
      </x:c>
      <x:c r="H603" s="11" t="n">
        <x:f>$Y$21</x:f>
        <x:v>1</x:v>
      </x:c>
      <x:c r="I603" s="11" t="n">
        <x:f>$Z$21</x:f>
        <x:v>3.3333333333333335</x:v>
      </x:c>
      <x:c r="J603" s="12">
        <x:f>英雄升级调参!$E$106</x:f>
        <x:v>2904</x:v>
      </x:c>
      <x:c r="K603" s="12">
        <x:f>英雄升级调参!$F$106</x:f>
        <x:v>29040</x:v>
      </x:c>
      <x:c r="L603" s="6" t="n">
        <x:f>ROUNDUP(F603/J603,0)</x:f>
        <x:v>4</x:v>
      </x:c>
      <x:c r="M603" s="6" t="n">
        <x:f>IF(G603=0,"无伤害",ROUNDUP(K603/MAX(1,ROUND(G603*$AC$21,0)),0))</x:f>
        <x:v>10</x:v>
      </x:c>
      <x:c r="N603" s="6" t="n">
        <x:f>ROUNDUP(F603/英雄升级调参!$H$106,0)</x:f>
        <x:v>3</x:v>
      </x:c>
      <x:c r="O603" s="6" t="n">
        <x:f>ROUNDUP(F603/英雄升级调参!$K$106,0)</x:f>
        <x:v>2</x:v>
      </x:c>
      <x:c r="P603" s="6" t="str">
        <x:f>$AA$21</x:f>
        <x:v>普通：4次标准普攻击杀；10次主要攻击致死</x:v>
      </x:c>
      <x:c r="Q603" s="6"/>
      <x:c r="R603" s="6"/>
      <x:c r="S603" s="6"/>
      <x:c r="T603" s="6"/>
    </x:row>
    <x:row r="604" ht="21" customHeight="1">
      <x:c r="A604" s="14" t="n">
        <x:f>$V$21</x:f>
        <x:v>60008</x:v>
      </x:c>
      <x:c r="B604" s="14" t="str">
        <x:f>$W$21</x:f>
        <x:v>葡萄狗</x:v>
      </x:c>
      <x:c r="C604" s="6" t="str">
        <x:f>$X$21</x:f>
        <x:v>中等</x:v>
      </x:c>
      <x:c r="D604" s="6">
        <x:v>42</x:v>
      </x:c>
      <x:c r="E604" s="6">
        <x:v>21</x:v>
      </x:c>
      <x:c r="F604" s="12">
        <x:f>ROUND(J604*$W$4*H604,0)</x:f>
        <x:v>11976</x:v>
      </x:c>
      <x:c r="G604" s="12">
        <x:f>ROUND(J604*$W$4*$W$5*I604,0)</x:f>
        <x:v>2994</x:v>
      </x:c>
      <x:c r="H604" s="11" t="n">
        <x:f>$Y$21</x:f>
        <x:v>1</x:v>
      </x:c>
      <x:c r="I604" s="11" t="n">
        <x:f>$Z$21</x:f>
        <x:v>3.3333333333333335</x:v>
      </x:c>
      <x:c r="J604" s="12">
        <x:f>英雄升级调参!$E$107</x:f>
        <x:v>2994</x:v>
      </x:c>
      <x:c r="K604" s="12">
        <x:f>英雄升级调参!$F$107</x:f>
        <x:v>29940</x:v>
      </x:c>
      <x:c r="L604" s="6" t="n">
        <x:f>ROUNDUP(F604/J604,0)</x:f>
        <x:v>4</x:v>
      </x:c>
      <x:c r="M604" s="6" t="n">
        <x:f>IF(G604=0,"无伤害",ROUNDUP(K604/MAX(1,ROUND(G604*$AC$21,0)),0))</x:f>
        <x:v>10</x:v>
      </x:c>
      <x:c r="N604" s="6" t="n">
        <x:f>ROUNDUP(F604/英雄升级调参!$H$107,0)</x:f>
        <x:v>3</x:v>
      </x:c>
      <x:c r="O604" s="6" t="n">
        <x:f>ROUNDUP(F604/英雄升级调参!$K$107,0)</x:f>
        <x:v>2</x:v>
      </x:c>
      <x:c r="P604" s="6" t="str">
        <x:f>$AA$21</x:f>
        <x:v>普通：4次标准普攻击杀；10次主要攻击致死</x:v>
      </x:c>
      <x:c r="Q604" s="6"/>
      <x:c r="R604" s="6"/>
      <x:c r="S604" s="6"/>
      <x:c r="T604" s="6"/>
    </x:row>
    <x:row r="605" ht="21" customHeight="1">
      <x:c r="A605" s="14" t="n">
        <x:f>$V$21</x:f>
        <x:v>60008</x:v>
      </x:c>
      <x:c r="B605" s="14" t="str">
        <x:f>$W$21</x:f>
        <x:v>葡萄狗</x:v>
      </x:c>
      <x:c r="C605" s="6" t="str">
        <x:f>$X$21</x:f>
        <x:v>中等</x:v>
      </x:c>
      <x:c r="D605" s="6">
        <x:v>43</x:v>
      </x:c>
      <x:c r="E605" s="6">
        <x:v>21</x:v>
      </x:c>
      <x:c r="F605" s="12">
        <x:f>ROUND(J605*$W$4*H605,0)</x:f>
        <x:v>12336</x:v>
      </x:c>
      <x:c r="G605" s="12">
        <x:f>ROUND(J605*$W$4*$W$5*I605,0)</x:f>
        <x:v>3084</x:v>
      </x:c>
      <x:c r="H605" s="11" t="n">
        <x:f>$Y$21</x:f>
        <x:v>1</x:v>
      </x:c>
      <x:c r="I605" s="11" t="n">
        <x:f>$Z$21</x:f>
        <x:v>3.3333333333333335</x:v>
      </x:c>
      <x:c r="J605" s="12">
        <x:f>英雄升级调参!$E$108</x:f>
        <x:v>3084</x:v>
      </x:c>
      <x:c r="K605" s="12">
        <x:f>英雄升级调参!$F$108</x:f>
        <x:v>30840</x:v>
      </x:c>
      <x:c r="L605" s="6" t="n">
        <x:f>ROUNDUP(F605/J605,0)</x:f>
        <x:v>4</x:v>
      </x:c>
      <x:c r="M605" s="6" t="n">
        <x:f>IF(G605=0,"无伤害",ROUNDUP(K605/MAX(1,ROUND(G605*$AC$21,0)),0))</x:f>
        <x:v>10</x:v>
      </x:c>
      <x:c r="N605" s="6" t="n">
        <x:f>ROUNDUP(F605/英雄升级调参!$H$108,0)</x:f>
        <x:v>3</x:v>
      </x:c>
      <x:c r="O605" s="6" t="n">
        <x:f>ROUNDUP(F605/英雄升级调参!$K$108,0)</x:f>
        <x:v>2</x:v>
      </x:c>
      <x:c r="P605" s="6" t="str">
        <x:f>$AA$21</x:f>
        <x:v>普通：4次标准普攻击杀；10次主要攻击致死</x:v>
      </x:c>
      <x:c r="Q605" s="6"/>
      <x:c r="R605" s="6"/>
      <x:c r="S605" s="6"/>
      <x:c r="T605" s="6"/>
    </x:row>
    <x:row r="606" ht="21" customHeight="1">
      <x:c r="A606" s="14" t="n">
        <x:f>$V$21</x:f>
        <x:v>60008</x:v>
      </x:c>
      <x:c r="B606" s="14" t="str">
        <x:f>$W$21</x:f>
        <x:v>葡萄狗</x:v>
      </x:c>
      <x:c r="C606" s="6" t="str">
        <x:f>$X$21</x:f>
        <x:v>中等</x:v>
      </x:c>
      <x:c r="D606" s="6">
        <x:v>44</x:v>
      </x:c>
      <x:c r="E606" s="6">
        <x:v>21</x:v>
      </x:c>
      <x:c r="F606" s="12">
        <x:f>ROUND(J606*$W$4*H606,0)</x:f>
        <x:v>12696</x:v>
      </x:c>
      <x:c r="G606" s="12">
        <x:f>ROUND(J606*$W$4*$W$5*I606,0)</x:f>
        <x:v>3174</x:v>
      </x:c>
      <x:c r="H606" s="11" t="n">
        <x:f>$Y$21</x:f>
        <x:v>1</x:v>
      </x:c>
      <x:c r="I606" s="11" t="n">
        <x:f>$Z$21</x:f>
        <x:v>3.3333333333333335</x:v>
      </x:c>
      <x:c r="J606" s="12">
        <x:f>英雄升级调参!$E$109</x:f>
        <x:v>3174</x:v>
      </x:c>
      <x:c r="K606" s="12">
        <x:f>英雄升级调参!$F$109</x:f>
        <x:v>31740</x:v>
      </x:c>
      <x:c r="L606" s="6" t="n">
        <x:f>ROUNDUP(F606/J606,0)</x:f>
        <x:v>4</x:v>
      </x:c>
      <x:c r="M606" s="6" t="n">
        <x:f>IF(G606=0,"无伤害",ROUNDUP(K606/MAX(1,ROUND(G606*$AC$21,0)),0))</x:f>
        <x:v>10</x:v>
      </x:c>
      <x:c r="N606" s="6" t="n">
        <x:f>ROUNDUP(F606/英雄升级调参!$H$109,0)</x:f>
        <x:v>3</x:v>
      </x:c>
      <x:c r="O606" s="6" t="n">
        <x:f>ROUNDUP(F606/英雄升级调参!$K$109,0)</x:f>
        <x:v>2</x:v>
      </x:c>
      <x:c r="P606" s="6" t="str">
        <x:f>$AA$21</x:f>
        <x:v>普通：4次标准普攻击杀；10次主要攻击致死</x:v>
      </x:c>
      <x:c r="Q606" s="6"/>
      <x:c r="R606" s="6"/>
      <x:c r="S606" s="6"/>
      <x:c r="T606" s="6"/>
    </x:row>
    <x:row r="607" ht="21" customHeight="1">
      <x:c r="A607" s="14" t="n">
        <x:f>$V$21</x:f>
        <x:v>60008</x:v>
      </x:c>
      <x:c r="B607" s="14" t="str">
        <x:f>$W$21</x:f>
        <x:v>葡萄狗</x:v>
      </x:c>
      <x:c r="C607" s="6" t="str">
        <x:f>$X$21</x:f>
        <x:v>中等</x:v>
      </x:c>
      <x:c r="D607" s="6">
        <x:v>45</x:v>
      </x:c>
      <x:c r="E607" s="6">
        <x:v>21</x:v>
      </x:c>
      <x:c r="F607" s="12">
        <x:f>ROUND(J607*$W$4*H607,0)</x:f>
        <x:v>13776</x:v>
      </x:c>
      <x:c r="G607" s="12">
        <x:f>ROUND(J607*$W$4*$W$5*I607,0)</x:f>
        <x:v>3444</x:v>
      </x:c>
      <x:c r="H607" s="11" t="n">
        <x:f>$Y$21</x:f>
        <x:v>1</x:v>
      </x:c>
      <x:c r="I607" s="11" t="n">
        <x:f>$Z$21</x:f>
        <x:v>3.3333333333333335</x:v>
      </x:c>
      <x:c r="J607" s="12">
        <x:f>英雄升级调参!$E$110</x:f>
        <x:v>3444</x:v>
      </x:c>
      <x:c r="K607" s="12">
        <x:f>英雄升级调参!$F$110</x:f>
        <x:v>34440</x:v>
      </x:c>
      <x:c r="L607" s="6" t="n">
        <x:f>ROUNDUP(F607/J607,0)</x:f>
        <x:v>4</x:v>
      </x:c>
      <x:c r="M607" s="6" t="n">
        <x:f>IF(G607=0,"无伤害",ROUNDUP(K607/MAX(1,ROUND(G607*$AC$21,0)),0))</x:f>
        <x:v>10</x:v>
      </x:c>
      <x:c r="N607" s="6" t="n">
        <x:f>ROUNDUP(F607/英雄升级调参!$H$110,0)</x:f>
        <x:v>3</x:v>
      </x:c>
      <x:c r="O607" s="6" t="n">
        <x:f>ROUNDUP(F607/英雄升级调参!$K$110,0)</x:f>
        <x:v>2</x:v>
      </x:c>
      <x:c r="P607" s="6" t="str">
        <x:f>$AA$21</x:f>
        <x:v>普通：4次标准普攻击杀；10次主要攻击致死</x:v>
      </x:c>
      <x:c r="Q607" s="6"/>
      <x:c r="R607" s="6"/>
      <x:c r="S607" s="6"/>
      <x:c r="T607" s="6"/>
    </x:row>
    <x:row r="608" ht="21" customHeight="1">
      <x:c r="A608" s="14" t="n">
        <x:f>$V$21</x:f>
        <x:v>60008</x:v>
      </x:c>
      <x:c r="B608" s="14" t="str">
        <x:f>$W$21</x:f>
        <x:v>葡萄狗</x:v>
      </x:c>
      <x:c r="C608" s="6" t="str">
        <x:f>$X$21</x:f>
        <x:v>中等</x:v>
      </x:c>
      <x:c r="D608" s="6">
        <x:v>46</x:v>
      </x:c>
      <x:c r="E608" s="6">
        <x:v>21</x:v>
      </x:c>
      <x:c r="F608" s="12">
        <x:f>ROUND(J608*$W$4*H608,0)</x:f>
        <x:v>14172</x:v>
      </x:c>
      <x:c r="G608" s="12">
        <x:f>ROUND(J608*$W$4*$W$5*I608,0)</x:f>
        <x:v>3543</x:v>
      </x:c>
      <x:c r="H608" s="11" t="n">
        <x:f>$Y$21</x:f>
        <x:v>1</x:v>
      </x:c>
      <x:c r="I608" s="11" t="n">
        <x:f>$Z$21</x:f>
        <x:v>3.3333333333333335</x:v>
      </x:c>
      <x:c r="J608" s="12">
        <x:f>英雄升级调参!$E$111</x:f>
        <x:v>3543</x:v>
      </x:c>
      <x:c r="K608" s="12">
        <x:f>英雄升级调参!$F$111</x:f>
        <x:v>35430</x:v>
      </x:c>
      <x:c r="L608" s="6" t="n">
        <x:f>ROUNDUP(F608/J608,0)</x:f>
        <x:v>4</x:v>
      </x:c>
      <x:c r="M608" s="6" t="n">
        <x:f>IF(G608=0,"无伤害",ROUNDUP(K608/MAX(1,ROUND(G608*$AC$21,0)),0))</x:f>
        <x:v>10</x:v>
      </x:c>
      <x:c r="N608" s="6" t="n">
        <x:f>ROUNDUP(F608/英雄升级调参!$H$111,0)</x:f>
        <x:v>3</x:v>
      </x:c>
      <x:c r="O608" s="6" t="n">
        <x:f>ROUNDUP(F608/英雄升级调参!$K$111,0)</x:f>
        <x:v>2</x:v>
      </x:c>
      <x:c r="P608" s="6" t="str">
        <x:f>$AA$21</x:f>
        <x:v>普通：4次标准普攻击杀；10次主要攻击致死</x:v>
      </x:c>
      <x:c r="Q608" s="6"/>
      <x:c r="R608" s="6"/>
      <x:c r="S608" s="6"/>
      <x:c r="T608" s="6"/>
    </x:row>
    <x:row r="609" ht="21" customHeight="1">
      <x:c r="A609" s="14" t="n">
        <x:f>$V$21</x:f>
        <x:v>60008</x:v>
      </x:c>
      <x:c r="B609" s="14" t="str">
        <x:f>$W$21</x:f>
        <x:v>葡萄狗</x:v>
      </x:c>
      <x:c r="C609" s="6" t="str">
        <x:f>$X$21</x:f>
        <x:v>中等</x:v>
      </x:c>
      <x:c r="D609" s="6">
        <x:v>47</x:v>
      </x:c>
      <x:c r="E609" s="6">
        <x:v>21</x:v>
      </x:c>
      <x:c r="F609" s="12">
        <x:f>ROUND(J609*$W$4*H609,0)</x:f>
        <x:v>14568</x:v>
      </x:c>
      <x:c r="G609" s="12">
        <x:f>ROUND(J609*$W$4*$W$5*I609,0)</x:f>
        <x:v>3642</x:v>
      </x:c>
      <x:c r="H609" s="11" t="n">
        <x:f>$Y$21</x:f>
        <x:v>1</x:v>
      </x:c>
      <x:c r="I609" s="11" t="n">
        <x:f>$Z$21</x:f>
        <x:v>3.3333333333333335</x:v>
      </x:c>
      <x:c r="J609" s="12">
        <x:f>英雄升级调参!$E$112</x:f>
        <x:v>3642</x:v>
      </x:c>
      <x:c r="K609" s="12">
        <x:f>英雄升级调参!$F$112</x:f>
        <x:v>36420</x:v>
      </x:c>
      <x:c r="L609" s="6" t="n">
        <x:f>ROUNDUP(F609/J609,0)</x:f>
        <x:v>4</x:v>
      </x:c>
      <x:c r="M609" s="6" t="n">
        <x:f>IF(G609=0,"无伤害",ROUNDUP(K609/MAX(1,ROUND(G609*$AC$21,0)),0))</x:f>
        <x:v>10</x:v>
      </x:c>
      <x:c r="N609" s="6" t="n">
        <x:f>ROUNDUP(F609/英雄升级调参!$H$112,0)</x:f>
        <x:v>3</x:v>
      </x:c>
      <x:c r="O609" s="6" t="n">
        <x:f>ROUNDUP(F609/英雄升级调参!$K$112,0)</x:f>
        <x:v>2</x:v>
      </x:c>
      <x:c r="P609" s="6" t="str">
        <x:f>$AA$21</x:f>
        <x:v>普通：4次标准普攻击杀；10次主要攻击致死</x:v>
      </x:c>
      <x:c r="Q609" s="6"/>
      <x:c r="R609" s="6"/>
      <x:c r="S609" s="6"/>
      <x:c r="T609" s="6"/>
    </x:row>
    <x:row r="610" ht="21" customHeight="1">
      <x:c r="A610" s="14" t="n">
        <x:f>$V$21</x:f>
        <x:v>60008</x:v>
      </x:c>
      <x:c r="B610" s="14" t="str">
        <x:f>$W$21</x:f>
        <x:v>葡萄狗</x:v>
      </x:c>
      <x:c r="C610" s="6" t="str">
        <x:f>$X$21</x:f>
        <x:v>中等</x:v>
      </x:c>
      <x:c r="D610" s="6">
        <x:v>48</x:v>
      </x:c>
      <x:c r="E610" s="6">
        <x:v>21</x:v>
      </x:c>
      <x:c r="F610" s="12">
        <x:f>ROUND(J610*$W$4*H610,0)</x:f>
        <x:v>14964</x:v>
      </x:c>
      <x:c r="G610" s="12">
        <x:f>ROUND(J610*$W$4*$W$5*I610,0)</x:f>
        <x:v>3741</x:v>
      </x:c>
      <x:c r="H610" s="11" t="n">
        <x:f>$Y$21</x:f>
        <x:v>1</x:v>
      </x:c>
      <x:c r="I610" s="11" t="n">
        <x:f>$Z$21</x:f>
        <x:v>3.3333333333333335</x:v>
      </x:c>
      <x:c r="J610" s="12">
        <x:f>英雄升级调参!$E$113</x:f>
        <x:v>3741</x:v>
      </x:c>
      <x:c r="K610" s="12">
        <x:f>英雄升级调参!$F$113</x:f>
        <x:v>37410</x:v>
      </x:c>
      <x:c r="L610" s="6" t="n">
        <x:f>ROUNDUP(F610/J610,0)</x:f>
        <x:v>4</x:v>
      </x:c>
      <x:c r="M610" s="6" t="n">
        <x:f>IF(G610=0,"无伤害",ROUNDUP(K610/MAX(1,ROUND(G610*$AC$21,0)),0))</x:f>
        <x:v>10</x:v>
      </x:c>
      <x:c r="N610" s="6" t="n">
        <x:f>ROUNDUP(F610/英雄升级调参!$H$113,0)</x:f>
        <x:v>3</x:v>
      </x:c>
      <x:c r="O610" s="6" t="n">
        <x:f>ROUNDUP(F610/英雄升级调参!$K$113,0)</x:f>
        <x:v>2</x:v>
      </x:c>
      <x:c r="P610" s="6" t="str">
        <x:f>$AA$21</x:f>
        <x:v>普通：4次标准普攻击杀；10次主要攻击致死</x:v>
      </x:c>
      <x:c r="Q610" s="6"/>
      <x:c r="R610" s="6"/>
      <x:c r="S610" s="6"/>
      <x:c r="T610" s="6"/>
    </x:row>
    <x:row r="611" ht="21" customHeight="1">
      <x:c r="A611" s="14" t="n">
        <x:f>$V$21</x:f>
        <x:v>60008</x:v>
      </x:c>
      <x:c r="B611" s="14" t="str">
        <x:f>$W$21</x:f>
        <x:v>葡萄狗</x:v>
      </x:c>
      <x:c r="C611" s="6" t="str">
        <x:f>$X$21</x:f>
        <x:v>中等</x:v>
      </x:c>
      <x:c r="D611" s="6">
        <x:v>49</x:v>
      </x:c>
      <x:c r="E611" s="6">
        <x:v>21</x:v>
      </x:c>
      <x:c r="F611" s="12">
        <x:f>ROUND(J611*$W$4*H611,0)</x:f>
        <x:v>15360</x:v>
      </x:c>
      <x:c r="G611" s="12">
        <x:f>ROUND(J611*$W$4*$W$5*I611,0)</x:f>
        <x:v>3840</x:v>
      </x:c>
      <x:c r="H611" s="11" t="n">
        <x:f>$Y$21</x:f>
        <x:v>1</x:v>
      </x:c>
      <x:c r="I611" s="11" t="n">
        <x:f>$Z$21</x:f>
        <x:v>3.3333333333333335</x:v>
      </x:c>
      <x:c r="J611" s="12">
        <x:f>英雄升级调参!$E$114</x:f>
        <x:v>3840</x:v>
      </x:c>
      <x:c r="K611" s="12">
        <x:f>英雄升级调参!$F$114</x:f>
        <x:v>38400</x:v>
      </x:c>
      <x:c r="L611" s="6" t="n">
        <x:f>ROUNDUP(F611/J611,0)</x:f>
        <x:v>4</x:v>
      </x:c>
      <x:c r="M611" s="6" t="n">
        <x:f>IF(G611=0,"无伤害",ROUNDUP(K611/MAX(1,ROUND(G611*$AC$21,0)),0))</x:f>
        <x:v>10</x:v>
      </x:c>
      <x:c r="N611" s="6" t="n">
        <x:f>ROUNDUP(F611/英雄升级调参!$H$114,0)</x:f>
        <x:v>3</x:v>
      </x:c>
      <x:c r="O611" s="6" t="n">
        <x:f>ROUNDUP(F611/英雄升级调参!$K$114,0)</x:f>
        <x:v>2</x:v>
      </x:c>
      <x:c r="P611" s="6" t="str">
        <x:f>$AA$21</x:f>
        <x:v>普通：4次标准普攻击杀；10次主要攻击致死</x:v>
      </x:c>
      <x:c r="Q611" s="6"/>
      <x:c r="R611" s="6"/>
      <x:c r="S611" s="6"/>
      <x:c r="T611" s="6"/>
    </x:row>
    <x:row r="612" ht="21" customHeight="1">
      <x:c r="A612" s="14" t="n">
        <x:f>$V$21</x:f>
        <x:v>60008</x:v>
      </x:c>
      <x:c r="B612" s="14" t="str">
        <x:f>$W$21</x:f>
        <x:v>葡萄狗</x:v>
      </x:c>
      <x:c r="C612" s="6" t="str">
        <x:f>$X$21</x:f>
        <x:v>中等</x:v>
      </x:c>
      <x:c r="D612" s="6">
        <x:v>50</x:v>
      </x:c>
      <x:c r="E612" s="6">
        <x:v>21</x:v>
      </x:c>
      <x:c r="F612" s="12">
        <x:f>ROUND(J612*$W$4*H612,0)</x:f>
        <x:v>16548</x:v>
      </x:c>
      <x:c r="G612" s="12">
        <x:f>ROUND(J612*$W$4*$W$5*I612,0)</x:f>
        <x:v>4137</x:v>
      </x:c>
      <x:c r="H612" s="11" t="n">
        <x:f>$Y$21</x:f>
        <x:v>1</x:v>
      </x:c>
      <x:c r="I612" s="11" t="n">
        <x:f>$Z$21</x:f>
        <x:v>3.3333333333333335</x:v>
      </x:c>
      <x:c r="J612" s="12">
        <x:f>英雄升级调参!$E$115</x:f>
        <x:v>4137</x:v>
      </x:c>
      <x:c r="K612" s="12">
        <x:f>英雄升级调参!$F$115</x:f>
        <x:v>41370</x:v>
      </x:c>
      <x:c r="L612" s="6" t="n">
        <x:f>ROUNDUP(F612/J612,0)</x:f>
        <x:v>4</x:v>
      </x:c>
      <x:c r="M612" s="6" t="n">
        <x:f>IF(G612=0,"无伤害",ROUNDUP(K612/MAX(1,ROUND(G612*$AC$21,0)),0))</x:f>
        <x:v>10</x:v>
      </x:c>
      <x:c r="N612" s="6" t="n">
        <x:f>ROUNDUP(F612/英雄升级调参!$H$115,0)</x:f>
        <x:v>3</x:v>
      </x:c>
      <x:c r="O612" s="6" t="n">
        <x:f>ROUNDUP(F612/英雄升级调参!$K$115,0)</x:f>
        <x:v>2</x:v>
      </x:c>
      <x:c r="P612" s="6" t="str">
        <x:f>$AA$21</x:f>
        <x:v>普通：4次标准普攻击杀；10次主要攻击致死</x:v>
      </x:c>
      <x:c r="Q612" s="6"/>
      <x:c r="R612" s="6"/>
      <x:c r="S612" s="6"/>
      <x:c r="T612" s="6"/>
    </x:row>
    <x:row r="613" ht="21" customHeight="1">
      <x:c r="A613" s="14" t="n">
        <x:f>$V$22</x:f>
        <x:v>60009</x:v>
      </x:c>
      <x:c r="B613" s="14" t="str">
        <x:f>$W$22</x:f>
        <x:v>荔枝滚滚</x:v>
      </x:c>
      <x:c r="C613" s="6" t="str">
        <x:f>$X$22</x:f>
        <x:v>精英</x:v>
      </x:c>
      <x:c r="D613" s="6">
        <x:v>1</x:v>
      </x:c>
      <x:c r="E613" s="6">
        <x:v>22</x:v>
      </x:c>
      <x:c r="F613" s="12" t="n">
        <x:f>ROUND(J613*$W$4*H613,0)</x:f>
        <x:v>900</x:v>
      </x:c>
      <x:c r="G613" s="12">
        <x:f>ROUND((ROUND(J613*$W$4*$W$5*I613,0))*2/3,0)</x:f>
        <x:v>267</x:v>
      </x:c>
      <x:c r="H613" s="11" t="n">
        <x:f>$Y$22</x:f>
        <x:v>3.75</x:v>
      </x:c>
      <x:c r="I613" s="11" t="n">
        <x:f>$Z$22</x:f>
        <x:v>22.22222222222222</x:v>
      </x:c>
      <x:c r="J613" s="12" t="n">
        <x:f>英雄升级调参!$E$66</x:f>
        <x:v>60</x:v>
      </x:c>
      <x:c r="K613" s="12" t="n">
        <x:f>英雄升级调参!$F$66</x:f>
        <x:v>600</x:v>
      </x:c>
      <x:c r="L613" s="6" t="n">
        <x:f>ROUNDUP(F613/J613,0)</x:f>
        <x:v>15</x:v>
      </x:c>
      <x:c r="M613" s="6">
        <x:f>IF(G613=0,"无伤害",ROUNDUP(K613/MAX(1,ROUND(G613*$AC$22,0)),0))</x:f>
        <x:v>12</x:v>
      </x:c>
      <x:c r="N613" s="6">
        <x:f>ROUNDUP(F613/英雄升级调参!$H$66,0)</x:f>
        <x:v>5</x:v>
      </x:c>
      <x:c r="O613" s="6">
        <x:f>ROUNDUP(F613/英雄升级调参!$K$66,0)</x:f>
        <x:v>3</x:v>
      </x:c>
      <x:c r="P613" s="6" t="str">
        <x:f>$AA$22</x:f>
        <x:v>精英：15次标准普攻击杀；7.5次主要攻击致死</x:v>
      </x:c>
      <x:c r="Q613" s="6"/>
      <x:c r="R613" s="6"/>
      <x:c r="S613" s="6"/>
      <x:c r="T613" s="6"/>
    </x:row>
    <x:row r="614" ht="21" customHeight="1">
      <x:c r="A614" s="14" t="n">
        <x:f>$V$22</x:f>
        <x:v>60009</x:v>
      </x:c>
      <x:c r="B614" s="14" t="str">
        <x:f>$W$22</x:f>
        <x:v>荔枝滚滚</x:v>
      </x:c>
      <x:c r="C614" s="6" t="str">
        <x:f>$X$22</x:f>
        <x:v>精英</x:v>
      </x:c>
      <x:c r="D614" s="6">
        <x:v>2</x:v>
      </x:c>
      <x:c r="E614" s="6">
        <x:v>22</x:v>
      </x:c>
      <x:c r="F614" s="12">
        <x:f>ROUND(J614*$W$4*H614,0)</x:f>
        <x:v>1170</x:v>
      </x:c>
      <x:c r="G614" s="12">
        <x:f>ROUND(J614*$W$4*$W$5*I614,0)</x:f>
        <x:v>520</x:v>
      </x:c>
      <x:c r="H614" s="11" t="n">
        <x:f>$Y$22</x:f>
        <x:v>3.75</x:v>
      </x:c>
      <x:c r="I614" s="11" t="n">
        <x:f>$Z$22</x:f>
        <x:v>22.22222222222222</x:v>
      </x:c>
      <x:c r="J614" s="12">
        <x:f>英雄升级调参!$E$67</x:f>
        <x:v>78</x:v>
      </x:c>
      <x:c r="K614" s="12">
        <x:f>英雄升级调参!$F$67</x:f>
        <x:v>780</x:v>
      </x:c>
      <x:c r="L614" s="6" t="n">
        <x:f>ROUNDUP(F614/J614,0)</x:f>
        <x:v>15</x:v>
      </x:c>
      <x:c r="M614" s="6" t="n">
        <x:f>IF(G614=0,"无伤害",ROUNDUP(K614/MAX(1,ROUND(G614*$AC$22,0)),0))</x:f>
        <x:v>8</x:v>
      </x:c>
      <x:c r="N614" s="6">
        <x:f>ROUNDUP(F614/英雄升级调参!$H$67,0)</x:f>
        <x:v>6</x:v>
      </x:c>
      <x:c r="O614" s="6">
        <x:f>ROUNDUP(F614/英雄升级调参!$K$67,0)</x:f>
        <x:v>3</x:v>
      </x:c>
      <x:c r="P614" s="6" t="str">
        <x:f>$AA$22</x:f>
        <x:v>精英：15次标准普攻击杀；7.5次主要攻击致死</x:v>
      </x:c>
      <x:c r="Q614" s="6"/>
      <x:c r="R614" s="6"/>
      <x:c r="S614" s="6"/>
      <x:c r="T614" s="6"/>
    </x:row>
    <x:row r="615" ht="21" customHeight="1">
      <x:c r="A615" s="14" t="n">
        <x:f>$V$22</x:f>
        <x:v>60009</x:v>
      </x:c>
      <x:c r="B615" s="14" t="str">
        <x:f>$W$22</x:f>
        <x:v>荔枝滚滚</x:v>
      </x:c>
      <x:c r="C615" s="6" t="str">
        <x:f>$X$22</x:f>
        <x:v>精英</x:v>
      </x:c>
      <x:c r="D615" s="6">
        <x:v>3</x:v>
      </x:c>
      <x:c r="E615" s="6">
        <x:v>22</x:v>
      </x:c>
      <x:c r="F615" s="12">
        <x:f>ROUND(J615*$W$4*H615,0)</x:f>
        <x:v>1440</x:v>
      </x:c>
      <x:c r="G615" s="12">
        <x:f>ROUND(J615*$W$4*$W$5*I615,0)</x:f>
        <x:v>640</x:v>
      </x:c>
      <x:c r="H615" s="11" t="n">
        <x:f>$Y$22</x:f>
        <x:v>3.75</x:v>
      </x:c>
      <x:c r="I615" s="11" t="n">
        <x:f>$Z$22</x:f>
        <x:v>22.22222222222222</x:v>
      </x:c>
      <x:c r="J615" s="12">
        <x:f>英雄升级调参!$E$68</x:f>
        <x:v>96</x:v>
      </x:c>
      <x:c r="K615" s="12">
        <x:f>英雄升级调参!$F$68</x:f>
        <x:v>960</x:v>
      </x:c>
      <x:c r="L615" s="6" t="n">
        <x:f>ROUNDUP(F615/J615,0)</x:f>
        <x:v>15</x:v>
      </x:c>
      <x:c r="M615" s="6" t="n">
        <x:f>IF(G615=0,"无伤害",ROUNDUP(K615/MAX(1,ROUND(G615*$AC$22,0)),0))</x:f>
        <x:v>8</x:v>
      </x:c>
      <x:c r="N615" s="6">
        <x:f>ROUNDUP(F615/英雄升级调参!$H$68,0)</x:f>
        <x:v>6</x:v>
      </x:c>
      <x:c r="O615" s="6">
        <x:f>ROUNDUP(F615/英雄升级调参!$K$68,0)</x:f>
        <x:v>4</x:v>
      </x:c>
      <x:c r="P615" s="6" t="str">
        <x:f>$AA$22</x:f>
        <x:v>精英：15次标准普攻击杀；7.5次主要攻击致死</x:v>
      </x:c>
      <x:c r="Q615" s="6"/>
      <x:c r="R615" s="6"/>
      <x:c r="S615" s="6"/>
      <x:c r="T615" s="6"/>
    </x:row>
    <x:row r="616" ht="21" customHeight="1">
      <x:c r="A616" s="14" t="n">
        <x:f>$V$22</x:f>
        <x:v>60009</x:v>
      </x:c>
      <x:c r="B616" s="14" t="str">
        <x:f>$W$22</x:f>
        <x:v>荔枝滚滚</x:v>
      </x:c>
      <x:c r="C616" s="6" t="str">
        <x:f>$X$22</x:f>
        <x:v>精英</x:v>
      </x:c>
      <x:c r="D616" s="6">
        <x:v>4</x:v>
      </x:c>
      <x:c r="E616" s="6">
        <x:v>22</x:v>
      </x:c>
      <x:c r="F616" s="12">
        <x:f>ROUND(J616*$W$4*H616,0)</x:f>
        <x:v>1710</x:v>
      </x:c>
      <x:c r="G616" s="12">
        <x:f>ROUND(J616*$W$4*$W$5*I616,0)</x:f>
        <x:v>760</x:v>
      </x:c>
      <x:c r="H616" s="11" t="n">
        <x:f>$Y$22</x:f>
        <x:v>3.75</x:v>
      </x:c>
      <x:c r="I616" s="11" t="n">
        <x:f>$Z$22</x:f>
        <x:v>22.22222222222222</x:v>
      </x:c>
      <x:c r="J616" s="12">
        <x:f>英雄升级调参!$E$69</x:f>
        <x:v>114</x:v>
      </x:c>
      <x:c r="K616" s="12">
        <x:f>英雄升级调参!$F$69</x:f>
        <x:v>1140</x:v>
      </x:c>
      <x:c r="L616" s="6" t="n">
        <x:f>ROUNDUP(F616/J616,0)</x:f>
        <x:v>15</x:v>
      </x:c>
      <x:c r="M616" s="6" t="n">
        <x:f>IF(G616=0,"无伤害",ROUNDUP(K616/MAX(1,ROUND(G616*$AC$22,0)),0))</x:f>
        <x:v>8</x:v>
      </x:c>
      <x:c r="N616" s="6">
        <x:f>ROUNDUP(F616/英雄升级调参!$H$69,0)</x:f>
        <x:v>7</x:v>
      </x:c>
      <x:c r="O616" s="6">
        <x:f>ROUNDUP(F616/英雄升级调参!$K$69,0)</x:f>
        <x:v>4</x:v>
      </x:c>
      <x:c r="P616" s="6" t="str">
        <x:f>$AA$22</x:f>
        <x:v>精英：15次标准普攻击杀；7.5次主要攻击致死</x:v>
      </x:c>
      <x:c r="Q616" s="6"/>
      <x:c r="R616" s="6"/>
      <x:c r="S616" s="6"/>
      <x:c r="T616" s="6"/>
    </x:row>
    <x:row r="617" ht="21" customHeight="1">
      <x:c r="A617" s="14" t="n">
        <x:f>$V$22</x:f>
        <x:v>60009</x:v>
      </x:c>
      <x:c r="B617" s="14" t="str">
        <x:f>$W$22</x:f>
        <x:v>荔枝滚滚</x:v>
      </x:c>
      <x:c r="C617" s="6" t="str">
        <x:f>$X$22</x:f>
        <x:v>精英</x:v>
      </x:c>
      <x:c r="D617" s="6">
        <x:v>5</x:v>
      </x:c>
      <x:c r="E617" s="6">
        <x:v>22</x:v>
      </x:c>
      <x:c r="F617" s="12">
        <x:f>ROUND(J617*$W$4*H617,0)</x:f>
        <x:v>2520</x:v>
      </x:c>
      <x:c r="G617" s="12">
        <x:f>ROUND(J617*$W$4*$W$5*I617,0)</x:f>
        <x:v>1120</x:v>
      </x:c>
      <x:c r="H617" s="11" t="n">
        <x:f>$Y$22</x:f>
        <x:v>3.75</x:v>
      </x:c>
      <x:c r="I617" s="11" t="n">
        <x:f>$Z$22</x:f>
        <x:v>22.22222222222222</x:v>
      </x:c>
      <x:c r="J617" s="12">
        <x:f>英雄升级调参!$E$70</x:f>
        <x:v>168</x:v>
      </x:c>
      <x:c r="K617" s="12">
        <x:f>英雄升级调参!$F$70</x:f>
        <x:v>1680</x:v>
      </x:c>
      <x:c r="L617" s="6" t="n">
        <x:f>ROUNDUP(F617/J617,0)</x:f>
        <x:v>15</x:v>
      </x:c>
      <x:c r="M617" s="6" t="n">
        <x:f>IF(G617=0,"无伤害",ROUNDUP(K617/MAX(1,ROUND(G617*$AC$22,0)),0))</x:f>
        <x:v>8</x:v>
      </x:c>
      <x:c r="N617" s="6">
        <x:f>ROUNDUP(F617/英雄升级调参!$H$70,0)</x:f>
        <x:v>8</x:v>
      </x:c>
      <x:c r="O617" s="6">
        <x:f>ROUNDUP(F617/英雄升级调参!$K$70,0)</x:f>
        <x:v>5</x:v>
      </x:c>
      <x:c r="P617" s="6" t="str">
        <x:f>$AA$22</x:f>
        <x:v>精英：15次标准普攻击杀；7.5次主要攻击致死</x:v>
      </x:c>
      <x:c r="Q617" s="6"/>
      <x:c r="R617" s="6"/>
      <x:c r="S617" s="6"/>
      <x:c r="T617" s="6"/>
    </x:row>
    <x:row r="618" ht="21" customHeight="1">
      <x:c r="A618" s="14" t="n">
        <x:f>$V$22</x:f>
        <x:v>60009</x:v>
      </x:c>
      <x:c r="B618" s="14" t="str">
        <x:f>$W$22</x:f>
        <x:v>荔枝滚滚</x:v>
      </x:c>
      <x:c r="C618" s="6" t="str">
        <x:f>$X$22</x:f>
        <x:v>精英</x:v>
      </x:c>
      <x:c r="D618" s="6">
        <x:v>6</x:v>
      </x:c>
      <x:c r="E618" s="6">
        <x:v>22</x:v>
      </x:c>
      <x:c r="F618" s="12">
        <x:f>ROUND(J618*$W$4*H618,0)</x:f>
        <x:v>2925</x:v>
      </x:c>
      <x:c r="G618" s="12">
        <x:f>ROUND(J618*$W$4*$W$5*I618,0)</x:f>
        <x:v>1300</x:v>
      </x:c>
      <x:c r="H618" s="11" t="n">
        <x:f>$Y$22</x:f>
        <x:v>3.75</x:v>
      </x:c>
      <x:c r="I618" s="11" t="n">
        <x:f>$Z$22</x:f>
        <x:v>22.22222222222222</x:v>
      </x:c>
      <x:c r="J618" s="12">
        <x:f>英雄升级调参!$E$71</x:f>
        <x:v>195</x:v>
      </x:c>
      <x:c r="K618" s="12">
        <x:f>英雄升级调参!$F$71</x:f>
        <x:v>1950</x:v>
      </x:c>
      <x:c r="L618" s="6" t="n">
        <x:f>ROUNDUP(F618/J618,0)</x:f>
        <x:v>15</x:v>
      </x:c>
      <x:c r="M618" s="6" t="n">
        <x:f>IF(G618=0,"无伤害",ROUNDUP(K618/MAX(1,ROUND(G618*$AC$22,0)),0))</x:f>
        <x:v>8</x:v>
      </x:c>
      <x:c r="N618" s="6">
        <x:f>ROUNDUP(F618/英雄升级调参!$H$71,0)</x:f>
        <x:v>8</x:v>
      </x:c>
      <x:c r="O618" s="6">
        <x:f>ROUNDUP(F618/英雄升级调参!$K$71,0)</x:f>
        <x:v>5</x:v>
      </x:c>
      <x:c r="P618" s="6" t="str">
        <x:f>$AA$22</x:f>
        <x:v>精英：15次标准普攻击杀；7.5次主要攻击致死</x:v>
      </x:c>
      <x:c r="Q618" s="6"/>
      <x:c r="R618" s="6"/>
      <x:c r="S618" s="6"/>
      <x:c r="T618" s="6"/>
    </x:row>
    <x:row r="619" ht="21" customHeight="1">
      <x:c r="A619" s="14" t="n">
        <x:f>$V$22</x:f>
        <x:v>60009</x:v>
      </x:c>
      <x:c r="B619" s="14" t="str">
        <x:f>$W$22</x:f>
        <x:v>荔枝滚滚</x:v>
      </x:c>
      <x:c r="C619" s="6" t="str">
        <x:f>$X$22</x:f>
        <x:v>精英</x:v>
      </x:c>
      <x:c r="D619" s="6">
        <x:v>7</x:v>
      </x:c>
      <x:c r="E619" s="6">
        <x:v>22</x:v>
      </x:c>
      <x:c r="F619" s="12">
        <x:f>ROUND(J619*$W$4*H619,0)</x:f>
        <x:v>3330</x:v>
      </x:c>
      <x:c r="G619" s="12">
        <x:f>ROUND(J619*$W$4*$W$5*I619,0)</x:f>
        <x:v>1480</x:v>
      </x:c>
      <x:c r="H619" s="11" t="n">
        <x:f>$Y$22</x:f>
        <x:v>3.75</x:v>
      </x:c>
      <x:c r="I619" s="11" t="n">
        <x:f>$Z$22</x:f>
        <x:v>22.22222222222222</x:v>
      </x:c>
      <x:c r="J619" s="12">
        <x:f>英雄升级调参!$E$72</x:f>
        <x:v>222</x:v>
      </x:c>
      <x:c r="K619" s="12">
        <x:f>英雄升级调参!$F$72</x:f>
        <x:v>2220</x:v>
      </x:c>
      <x:c r="L619" s="6" t="n">
        <x:f>ROUNDUP(F619/J619,0)</x:f>
        <x:v>15</x:v>
      </x:c>
      <x:c r="M619" s="6" t="n">
        <x:f>IF(G619=0,"无伤害",ROUNDUP(K619/MAX(1,ROUND(G619*$AC$22,0)),0))</x:f>
        <x:v>8</x:v>
      </x:c>
      <x:c r="N619" s="6">
        <x:f>ROUNDUP(F619/英雄升级调参!$H$72,0)</x:f>
        <x:v>8</x:v>
      </x:c>
      <x:c r="O619" s="6">
        <x:f>ROUNDUP(F619/英雄升级调参!$K$72,0)</x:f>
        <x:v>5</x:v>
      </x:c>
      <x:c r="P619" s="6" t="str">
        <x:f>$AA$22</x:f>
        <x:v>精英：15次标准普攻击杀；7.5次主要攻击致死</x:v>
      </x:c>
      <x:c r="Q619" s="6"/>
      <x:c r="R619" s="6"/>
      <x:c r="S619" s="6"/>
      <x:c r="T619" s="6"/>
    </x:row>
    <x:row r="620" ht="21" customHeight="1">
      <x:c r="A620" s="14" t="n">
        <x:f>$V$22</x:f>
        <x:v>60009</x:v>
      </x:c>
      <x:c r="B620" s="14" t="str">
        <x:f>$W$22</x:f>
        <x:v>荔枝滚滚</x:v>
      </x:c>
      <x:c r="C620" s="6" t="str">
        <x:f>$X$22</x:f>
        <x:v>精英</x:v>
      </x:c>
      <x:c r="D620" s="6">
        <x:v>8</x:v>
      </x:c>
      <x:c r="E620" s="6">
        <x:v>22</x:v>
      </x:c>
      <x:c r="F620" s="12">
        <x:f>ROUND(J620*$W$4*H620,0)</x:f>
        <x:v>3735</x:v>
      </x:c>
      <x:c r="G620" s="12">
        <x:f>ROUND(J620*$W$4*$W$5*I620,0)</x:f>
        <x:v>1660</x:v>
      </x:c>
      <x:c r="H620" s="11" t="n">
        <x:f>$Y$22</x:f>
        <x:v>3.75</x:v>
      </x:c>
      <x:c r="I620" s="11" t="n">
        <x:f>$Z$22</x:f>
        <x:v>22.22222222222222</x:v>
      </x:c>
      <x:c r="J620" s="12">
        <x:f>英雄升级调参!$E$73</x:f>
        <x:v>249</x:v>
      </x:c>
      <x:c r="K620" s="12">
        <x:f>英雄升级调参!$F$73</x:f>
        <x:v>2490</x:v>
      </x:c>
      <x:c r="L620" s="6" t="n">
        <x:f>ROUNDUP(F620/J620,0)</x:f>
        <x:v>15</x:v>
      </x:c>
      <x:c r="M620" s="6" t="n">
        <x:f>IF(G620=0,"无伤害",ROUNDUP(K620/MAX(1,ROUND(G620*$AC$22,0)),0))</x:f>
        <x:v>8</x:v>
      </x:c>
      <x:c r="N620" s="6">
        <x:f>ROUNDUP(F620/英雄升级调参!$H$73,0)</x:f>
        <x:v>8</x:v>
      </x:c>
      <x:c r="O620" s="6">
        <x:f>ROUNDUP(F620/英雄升级调参!$K$73,0)</x:f>
        <x:v>5</x:v>
      </x:c>
      <x:c r="P620" s="6" t="str">
        <x:f>$AA$22</x:f>
        <x:v>精英：15次标准普攻击杀；7.5次主要攻击致死</x:v>
      </x:c>
      <x:c r="Q620" s="6"/>
      <x:c r="R620" s="6"/>
      <x:c r="S620" s="6"/>
      <x:c r="T620" s="6"/>
    </x:row>
    <x:row r="621" ht="21" customHeight="1">
      <x:c r="A621" s="14" t="n">
        <x:f>$V$22</x:f>
        <x:v>60009</x:v>
      </x:c>
      <x:c r="B621" s="14" t="str">
        <x:f>$W$22</x:f>
        <x:v>荔枝滚滚</x:v>
      </x:c>
      <x:c r="C621" s="6" t="str">
        <x:f>$X$22</x:f>
        <x:v>精英</x:v>
      </x:c>
      <x:c r="D621" s="6">
        <x:v>9</x:v>
      </x:c>
      <x:c r="E621" s="6">
        <x:v>22</x:v>
      </x:c>
      <x:c r="F621" s="12">
        <x:f>ROUND(J621*$W$4*H621,0)</x:f>
        <x:v>4140</x:v>
      </x:c>
      <x:c r="G621" s="12">
        <x:f>ROUND(J621*$W$4*$W$5*I621,0)</x:f>
        <x:v>1840</x:v>
      </x:c>
      <x:c r="H621" s="11" t="n">
        <x:f>$Y$22</x:f>
        <x:v>3.75</x:v>
      </x:c>
      <x:c r="I621" s="11" t="n">
        <x:f>$Z$22</x:f>
        <x:v>22.22222222222222</x:v>
      </x:c>
      <x:c r="J621" s="12">
        <x:f>英雄升级调参!$E$74</x:f>
        <x:v>276</x:v>
      </x:c>
      <x:c r="K621" s="12">
        <x:f>英雄升级调参!$F$74</x:f>
        <x:v>2760</x:v>
      </x:c>
      <x:c r="L621" s="6" t="n">
        <x:f>ROUNDUP(F621/J621,0)</x:f>
        <x:v>15</x:v>
      </x:c>
      <x:c r="M621" s="6" t="n">
        <x:f>IF(G621=0,"无伤害",ROUNDUP(K621/MAX(1,ROUND(G621*$AC$22,0)),0))</x:f>
        <x:v>8</x:v>
      </x:c>
      <x:c r="N621" s="6">
        <x:f>ROUNDUP(F621/英雄升级调参!$H$74,0)</x:f>
        <x:v>8</x:v>
      </x:c>
      <x:c r="O621" s="6">
        <x:f>ROUNDUP(F621/英雄升级调参!$K$74,0)</x:f>
        <x:v>5</x:v>
      </x:c>
      <x:c r="P621" s="6" t="str">
        <x:f>$AA$22</x:f>
        <x:v>精英：15次标准普攻击杀；7.5次主要攻击致死</x:v>
      </x:c>
      <x:c r="Q621" s="6"/>
      <x:c r="R621" s="6"/>
      <x:c r="S621" s="6"/>
      <x:c r="T621" s="6"/>
    </x:row>
    <x:row r="622" ht="21" customHeight="1">
      <x:c r="A622" s="14" t="n">
        <x:f>$V$22</x:f>
        <x:v>60009</x:v>
      </x:c>
      <x:c r="B622" s="14" t="str">
        <x:f>$W$22</x:f>
        <x:v>荔枝滚滚</x:v>
      </x:c>
      <x:c r="C622" s="6" t="str">
        <x:f>$X$22</x:f>
        <x:v>精英</x:v>
      </x:c>
      <x:c r="D622" s="6">
        <x:v>10</x:v>
      </x:c>
      <x:c r="E622" s="6">
        <x:v>22</x:v>
      </x:c>
      <x:c r="F622" s="12">
        <x:f>ROUND(J622*$W$4*H622,0)</x:f>
        <x:v>5355</x:v>
      </x:c>
      <x:c r="G622" s="12">
        <x:f>ROUND(J622*$W$4*$W$5*I622,0)</x:f>
        <x:v>2380</x:v>
      </x:c>
      <x:c r="H622" s="11" t="n">
        <x:f>$Y$22</x:f>
        <x:v>3.75</x:v>
      </x:c>
      <x:c r="I622" s="11" t="n">
        <x:f>$Z$22</x:f>
        <x:v>22.22222222222222</x:v>
      </x:c>
      <x:c r="J622" s="12">
        <x:f>英雄升级调参!$E$75</x:f>
        <x:v>357</x:v>
      </x:c>
      <x:c r="K622" s="12">
        <x:f>英雄升级调参!$F$75</x:f>
        <x:v>3570</x:v>
      </x:c>
      <x:c r="L622" s="6" t="n">
        <x:f>ROUNDUP(F622/J622,0)</x:f>
        <x:v>15</x:v>
      </x:c>
      <x:c r="M622" s="6" t="n">
        <x:f>IF(G622=0,"无伤害",ROUNDUP(K622/MAX(1,ROUND(G622*$AC$22,0)),0))</x:f>
        <x:v>8</x:v>
      </x:c>
      <x:c r="N622" s="6">
        <x:f>ROUNDUP(F622/英雄升级调参!$H$75,0)</x:f>
        <x:v>9</x:v>
      </x:c>
      <x:c r="O622" s="6">
        <x:f>ROUNDUP(F622/英雄升级调参!$K$75,0)</x:f>
        <x:v>5</x:v>
      </x:c>
      <x:c r="P622" s="6" t="str">
        <x:f>$AA$22</x:f>
        <x:v>精英：15次标准普攻击杀；7.5次主要攻击致死</x:v>
      </x:c>
      <x:c r="Q622" s="6"/>
      <x:c r="R622" s="6"/>
      <x:c r="S622" s="6"/>
      <x:c r="T622" s="6"/>
    </x:row>
    <x:row r="623" ht="21" customHeight="1">
      <x:c r="A623" s="14" t="n">
        <x:f>$V$22</x:f>
        <x:v>60009</x:v>
      </x:c>
      <x:c r="B623" s="14" t="str">
        <x:f>$W$22</x:f>
        <x:v>荔枝滚滚</x:v>
      </x:c>
      <x:c r="C623" s="6" t="str">
        <x:f>$X$22</x:f>
        <x:v>精英</x:v>
      </x:c>
      <x:c r="D623" s="6">
        <x:v>11</x:v>
      </x:c>
      <x:c r="E623" s="6">
        <x:v>22</x:v>
      </x:c>
      <x:c r="F623" s="12">
        <x:f>ROUND(J623*$W$4*H623,0)</x:f>
        <x:v>5895</x:v>
      </x:c>
      <x:c r="G623" s="12">
        <x:f>ROUND(J623*$W$4*$W$5*I623,0)</x:f>
        <x:v>2620</x:v>
      </x:c>
      <x:c r="H623" s="11" t="n">
        <x:f>$Y$22</x:f>
        <x:v>3.75</x:v>
      </x:c>
      <x:c r="I623" s="11" t="n">
        <x:f>$Z$22</x:f>
        <x:v>22.22222222222222</x:v>
      </x:c>
      <x:c r="J623" s="12">
        <x:f>英雄升级调参!$E$76</x:f>
        <x:v>393</x:v>
      </x:c>
      <x:c r="K623" s="12">
        <x:f>英雄升级调参!$F$76</x:f>
        <x:v>3930</x:v>
      </x:c>
      <x:c r="L623" s="6" t="n">
        <x:f>ROUNDUP(F623/J623,0)</x:f>
        <x:v>15</x:v>
      </x:c>
      <x:c r="M623" s="6" t="n">
        <x:f>IF(G623=0,"无伤害",ROUNDUP(K623/MAX(1,ROUND(G623*$AC$22,0)),0))</x:f>
        <x:v>8</x:v>
      </x:c>
      <x:c r="N623" s="6">
        <x:f>ROUNDUP(F623/英雄升级调参!$H$76,0)</x:f>
        <x:v>9</x:v>
      </x:c>
      <x:c r="O623" s="6">
        <x:f>ROUNDUP(F623/英雄升级调参!$K$76,0)</x:f>
        <x:v>5</x:v>
      </x:c>
      <x:c r="P623" s="6" t="str">
        <x:f>$AA$22</x:f>
        <x:v>精英：15次标准普攻击杀；7.5次主要攻击致死</x:v>
      </x:c>
      <x:c r="Q623" s="6"/>
      <x:c r="R623" s="6"/>
      <x:c r="S623" s="6"/>
      <x:c r="T623" s="6"/>
    </x:row>
    <x:row r="624" ht="21" customHeight="1">
      <x:c r="A624" s="14" t="n">
        <x:f>$V$22</x:f>
        <x:v>60009</x:v>
      </x:c>
      <x:c r="B624" s="14" t="str">
        <x:f>$W$22</x:f>
        <x:v>荔枝滚滚</x:v>
      </x:c>
      <x:c r="C624" s="6" t="str">
        <x:f>$X$22</x:f>
        <x:v>精英</x:v>
      </x:c>
      <x:c r="D624" s="6">
        <x:v>12</x:v>
      </x:c>
      <x:c r="E624" s="6">
        <x:v>22</x:v>
      </x:c>
      <x:c r="F624" s="12">
        <x:f>ROUND(J624*$W$4*H624,0)</x:f>
        <x:v>6435</x:v>
      </x:c>
      <x:c r="G624" s="12">
        <x:f>ROUND(J624*$W$4*$W$5*I624,0)</x:f>
        <x:v>2860</x:v>
      </x:c>
      <x:c r="H624" s="11" t="n">
        <x:f>$Y$22</x:f>
        <x:v>3.75</x:v>
      </x:c>
      <x:c r="I624" s="11" t="n">
        <x:f>$Z$22</x:f>
        <x:v>22.22222222222222</x:v>
      </x:c>
      <x:c r="J624" s="12">
        <x:f>英雄升级调参!$E$77</x:f>
        <x:v>429</x:v>
      </x:c>
      <x:c r="K624" s="12">
        <x:f>英雄升级调参!$F$77</x:f>
        <x:v>4290</x:v>
      </x:c>
      <x:c r="L624" s="6" t="n">
        <x:f>ROUNDUP(F624/J624,0)</x:f>
        <x:v>15</x:v>
      </x:c>
      <x:c r="M624" s="6" t="n">
        <x:f>IF(G624=0,"无伤害",ROUNDUP(K624/MAX(1,ROUND(G624*$AC$22,0)),0))</x:f>
        <x:v>8</x:v>
      </x:c>
      <x:c r="N624" s="6">
        <x:f>ROUNDUP(F624/英雄升级调参!$H$77,0)</x:f>
        <x:v>9</x:v>
      </x:c>
      <x:c r="O624" s="6">
        <x:f>ROUNDUP(F624/英雄升级调参!$K$77,0)</x:f>
        <x:v>6</x:v>
      </x:c>
      <x:c r="P624" s="6" t="str">
        <x:f>$AA$22</x:f>
        <x:v>精英：15次标准普攻击杀；7.5次主要攻击致死</x:v>
      </x:c>
      <x:c r="Q624" s="6"/>
      <x:c r="R624" s="6"/>
      <x:c r="S624" s="6"/>
      <x:c r="T624" s="6"/>
    </x:row>
    <x:row r="625" ht="21" customHeight="1">
      <x:c r="A625" s="14" t="n">
        <x:f>$V$22</x:f>
        <x:v>60009</x:v>
      </x:c>
      <x:c r="B625" s="14" t="str">
        <x:f>$W$22</x:f>
        <x:v>荔枝滚滚</x:v>
      </x:c>
      <x:c r="C625" s="6" t="str">
        <x:f>$X$22</x:f>
        <x:v>精英</x:v>
      </x:c>
      <x:c r="D625" s="6">
        <x:v>13</x:v>
      </x:c>
      <x:c r="E625" s="6">
        <x:v>22</x:v>
      </x:c>
      <x:c r="F625" s="12">
        <x:f>ROUND(J625*$W$4*H625,0)</x:f>
        <x:v>6975</x:v>
      </x:c>
      <x:c r="G625" s="12">
        <x:f>ROUND(J625*$W$4*$W$5*I625,0)</x:f>
        <x:v>3100</x:v>
      </x:c>
      <x:c r="H625" s="11" t="n">
        <x:f>$Y$22</x:f>
        <x:v>3.75</x:v>
      </x:c>
      <x:c r="I625" s="11" t="n">
        <x:f>$Z$22</x:f>
        <x:v>22.22222222222222</x:v>
      </x:c>
      <x:c r="J625" s="12">
        <x:f>英雄升级调参!$E$78</x:f>
        <x:v>465</x:v>
      </x:c>
      <x:c r="K625" s="12">
        <x:f>英雄升级调参!$F$78</x:f>
        <x:v>4650</x:v>
      </x:c>
      <x:c r="L625" s="6" t="n">
        <x:f>ROUNDUP(F625/J625,0)</x:f>
        <x:v>15</x:v>
      </x:c>
      <x:c r="M625" s="6" t="n">
        <x:f>IF(G625=0,"无伤害",ROUNDUP(K625/MAX(1,ROUND(G625*$AC$22,0)),0))</x:f>
        <x:v>8</x:v>
      </x:c>
      <x:c r="N625" s="6">
        <x:f>ROUNDUP(F625/英雄升级调参!$H$78,0)</x:f>
        <x:v>9</x:v>
      </x:c>
      <x:c r="O625" s="6">
        <x:f>ROUNDUP(F625/英雄升级调参!$K$78,0)</x:f>
        <x:v>6</x:v>
      </x:c>
      <x:c r="P625" s="6" t="str">
        <x:f>$AA$22</x:f>
        <x:v>精英：15次标准普攻击杀；7.5次主要攻击致死</x:v>
      </x:c>
      <x:c r="Q625" s="6"/>
      <x:c r="R625" s="6"/>
      <x:c r="S625" s="6"/>
      <x:c r="T625" s="6"/>
    </x:row>
    <x:row r="626" ht="21" customHeight="1">
      <x:c r="A626" s="14" t="n">
        <x:f>$V$22</x:f>
        <x:v>60009</x:v>
      </x:c>
      <x:c r="B626" s="14" t="str">
        <x:f>$W$22</x:f>
        <x:v>荔枝滚滚</x:v>
      </x:c>
      <x:c r="C626" s="6" t="str">
        <x:f>$X$22</x:f>
        <x:v>精英</x:v>
      </x:c>
      <x:c r="D626" s="6">
        <x:v>14</x:v>
      </x:c>
      <x:c r="E626" s="6">
        <x:v>22</x:v>
      </x:c>
      <x:c r="F626" s="12">
        <x:f>ROUND(J626*$W$4*H626,0)</x:f>
        <x:v>7515</x:v>
      </x:c>
      <x:c r="G626" s="12">
        <x:f>ROUND(J626*$W$4*$W$5*I626,0)</x:f>
        <x:v>3340</x:v>
      </x:c>
      <x:c r="H626" s="11" t="n">
        <x:f>$Y$22</x:f>
        <x:v>3.75</x:v>
      </x:c>
      <x:c r="I626" s="11" t="n">
        <x:f>$Z$22</x:f>
        <x:v>22.22222222222222</x:v>
      </x:c>
      <x:c r="J626" s="12">
        <x:f>英雄升级调参!$E$79</x:f>
        <x:v>501</x:v>
      </x:c>
      <x:c r="K626" s="12">
        <x:f>英雄升级调参!$F$79</x:f>
        <x:v>5010</x:v>
      </x:c>
      <x:c r="L626" s="6" t="n">
        <x:f>ROUNDUP(F626/J626,0)</x:f>
        <x:v>15</x:v>
      </x:c>
      <x:c r="M626" s="6" t="n">
        <x:f>IF(G626=0,"无伤害",ROUNDUP(K626/MAX(1,ROUND(G626*$AC$22,0)),0))</x:f>
        <x:v>8</x:v>
      </x:c>
      <x:c r="N626" s="6">
        <x:f>ROUNDUP(F626/英雄升级调参!$H$79,0)</x:f>
        <x:v>9</x:v>
      </x:c>
      <x:c r="O626" s="6">
        <x:f>ROUNDUP(F626/英雄升级调参!$K$79,0)</x:f>
        <x:v>6</x:v>
      </x:c>
      <x:c r="P626" s="6" t="str">
        <x:f>$AA$22</x:f>
        <x:v>精英：15次标准普攻击杀；7.5次主要攻击致死</x:v>
      </x:c>
      <x:c r="Q626" s="6"/>
      <x:c r="R626" s="6"/>
      <x:c r="S626" s="6"/>
      <x:c r="T626" s="6"/>
    </x:row>
    <x:row r="627" ht="21" customHeight="1">
      <x:c r="A627" s="14" t="n">
        <x:f>$V$22</x:f>
        <x:v>60009</x:v>
      </x:c>
      <x:c r="B627" s="14" t="str">
        <x:f>$W$22</x:f>
        <x:v>荔枝滚滚</x:v>
      </x:c>
      <x:c r="C627" s="6" t="str">
        <x:f>$X$22</x:f>
        <x:v>精英</x:v>
      </x:c>
      <x:c r="D627" s="6">
        <x:v>15</x:v>
      </x:c>
      <x:c r="E627" s="6">
        <x:v>22</x:v>
      </x:c>
      <x:c r="F627" s="12">
        <x:f>ROUND(J627*$W$4*H627,0)</x:f>
        <x:v>9135</x:v>
      </x:c>
      <x:c r="G627" s="12">
        <x:f>ROUND(J627*$W$4*$W$5*I627,0)</x:f>
        <x:v>4060</x:v>
      </x:c>
      <x:c r="H627" s="11" t="n">
        <x:f>$Y$22</x:f>
        <x:v>3.75</x:v>
      </x:c>
      <x:c r="I627" s="11" t="n">
        <x:f>$Z$22</x:f>
        <x:v>22.22222222222222</x:v>
      </x:c>
      <x:c r="J627" s="12">
        <x:f>英雄升级调参!$E$80</x:f>
        <x:v>609</x:v>
      </x:c>
      <x:c r="K627" s="12">
        <x:f>英雄升级调参!$F$80</x:f>
        <x:v>6090</x:v>
      </x:c>
      <x:c r="L627" s="6" t="n">
        <x:f>ROUNDUP(F627/J627,0)</x:f>
        <x:v>15</x:v>
      </x:c>
      <x:c r="M627" s="6" t="n">
        <x:f>IF(G627=0,"无伤害",ROUNDUP(K627/MAX(1,ROUND(G627*$AC$22,0)),0))</x:f>
        <x:v>8</x:v>
      </x:c>
      <x:c r="N627" s="6">
        <x:f>ROUNDUP(F627/英雄升级调参!$H$80,0)</x:f>
        <x:v>9</x:v>
      </x:c>
      <x:c r="O627" s="6">
        <x:f>ROUNDUP(F627/英雄升级调参!$K$80,0)</x:f>
        <x:v>6</x:v>
      </x:c>
      <x:c r="P627" s="6" t="str">
        <x:f>$AA$22</x:f>
        <x:v>精英：15次标准普攻击杀；7.5次主要攻击致死</x:v>
      </x:c>
      <x:c r="Q627" s="6"/>
      <x:c r="R627" s="6"/>
      <x:c r="S627" s="6"/>
      <x:c r="T627" s="6"/>
    </x:row>
    <x:row r="628" ht="21" customHeight="1">
      <x:c r="A628" s="14" t="n">
        <x:f>$V$22</x:f>
        <x:v>60009</x:v>
      </x:c>
      <x:c r="B628" s="14" t="str">
        <x:f>$W$22</x:f>
        <x:v>荔枝滚滚</x:v>
      </x:c>
      <x:c r="C628" s="6" t="str">
        <x:f>$X$22</x:f>
        <x:v>精英</x:v>
      </x:c>
      <x:c r="D628" s="6">
        <x:v>16</x:v>
      </x:c>
      <x:c r="E628" s="6">
        <x:v>22</x:v>
      </x:c>
      <x:c r="F628" s="12">
        <x:f>ROUND(J628*$W$4*H628,0)</x:f>
        <x:v>9810</x:v>
      </x:c>
      <x:c r="G628" s="12">
        <x:f>ROUND(J628*$W$4*$W$5*I628,0)</x:f>
        <x:v>4360</x:v>
      </x:c>
      <x:c r="H628" s="11" t="n">
        <x:f>$Y$22</x:f>
        <x:v>3.75</x:v>
      </x:c>
      <x:c r="I628" s="11" t="n">
        <x:f>$Z$22</x:f>
        <x:v>22.22222222222222</x:v>
      </x:c>
      <x:c r="J628" s="12">
        <x:f>英雄升级调参!$E$81</x:f>
        <x:v>654</x:v>
      </x:c>
      <x:c r="K628" s="12">
        <x:f>英雄升级调参!$F$81</x:f>
        <x:v>6540</x:v>
      </x:c>
      <x:c r="L628" s="6" t="n">
        <x:f>ROUNDUP(F628/J628,0)</x:f>
        <x:v>15</x:v>
      </x:c>
      <x:c r="M628" s="6" t="n">
        <x:f>IF(G628=0,"无伤害",ROUNDUP(K628/MAX(1,ROUND(G628*$AC$22,0)),0))</x:f>
        <x:v>8</x:v>
      </x:c>
      <x:c r="N628" s="6">
        <x:f>ROUNDUP(F628/英雄升级调参!$H$81,0)</x:f>
        <x:v>9</x:v>
      </x:c>
      <x:c r="O628" s="6">
        <x:f>ROUNDUP(F628/英雄升级调参!$K$81,0)</x:f>
        <x:v>6</x:v>
      </x:c>
      <x:c r="P628" s="6" t="str">
        <x:f>$AA$22</x:f>
        <x:v>精英：15次标准普攻击杀；7.5次主要攻击致死</x:v>
      </x:c>
      <x:c r="Q628" s="6"/>
      <x:c r="R628" s="6"/>
      <x:c r="S628" s="6"/>
      <x:c r="T628" s="6"/>
    </x:row>
    <x:row r="629" ht="21" customHeight="1">
      <x:c r="A629" s="14" t="n">
        <x:f>$V$22</x:f>
        <x:v>60009</x:v>
      </x:c>
      <x:c r="B629" s="14" t="str">
        <x:f>$W$22</x:f>
        <x:v>荔枝滚滚</x:v>
      </x:c>
      <x:c r="C629" s="6" t="str">
        <x:f>$X$22</x:f>
        <x:v>精英</x:v>
      </x:c>
      <x:c r="D629" s="6">
        <x:v>17</x:v>
      </x:c>
      <x:c r="E629" s="6">
        <x:v>22</x:v>
      </x:c>
      <x:c r="F629" s="12">
        <x:f>ROUND(J629*$W$4*H629,0)</x:f>
        <x:v>10485</x:v>
      </x:c>
      <x:c r="G629" s="12">
        <x:f>ROUND(J629*$W$4*$W$5*I629,0)</x:f>
        <x:v>4660</x:v>
      </x:c>
      <x:c r="H629" s="11" t="n">
        <x:f>$Y$22</x:f>
        <x:v>3.75</x:v>
      </x:c>
      <x:c r="I629" s="11" t="n">
        <x:f>$Z$22</x:f>
        <x:v>22.22222222222222</x:v>
      </x:c>
      <x:c r="J629" s="12">
        <x:f>英雄升级调参!$E$82</x:f>
        <x:v>699</x:v>
      </x:c>
      <x:c r="K629" s="12">
        <x:f>英雄升级调参!$F$82</x:f>
        <x:v>6990</x:v>
      </x:c>
      <x:c r="L629" s="6" t="n">
        <x:f>ROUNDUP(F629/J629,0)</x:f>
        <x:v>15</x:v>
      </x:c>
      <x:c r="M629" s="6" t="n">
        <x:f>IF(G629=0,"无伤害",ROUNDUP(K629/MAX(1,ROUND(G629*$AC$22,0)),0))</x:f>
        <x:v>8</x:v>
      </x:c>
      <x:c r="N629" s="6" t="n">
        <x:f>ROUNDUP(F629/英雄升级调参!$H$82,0)</x:f>
        <x:v>10</x:v>
      </x:c>
      <x:c r="O629" s="6">
        <x:f>ROUNDUP(F629/英雄升级调参!$K$82,0)</x:f>
        <x:v>6</x:v>
      </x:c>
      <x:c r="P629" s="6" t="str">
        <x:f>$AA$22</x:f>
        <x:v>精英：15次标准普攻击杀；7.5次主要攻击致死</x:v>
      </x:c>
      <x:c r="Q629" s="6"/>
      <x:c r="R629" s="6"/>
      <x:c r="S629" s="6"/>
      <x:c r="T629" s="6"/>
    </x:row>
    <x:row r="630" ht="21" customHeight="1">
      <x:c r="A630" s="14" t="n">
        <x:f>$V$22</x:f>
        <x:v>60009</x:v>
      </x:c>
      <x:c r="B630" s="14" t="str">
        <x:f>$W$22</x:f>
        <x:v>荔枝滚滚</x:v>
      </x:c>
      <x:c r="C630" s="6" t="str">
        <x:f>$X$22</x:f>
        <x:v>精英</x:v>
      </x:c>
      <x:c r="D630" s="6">
        <x:v>18</x:v>
      </x:c>
      <x:c r="E630" s="6">
        <x:v>22</x:v>
      </x:c>
      <x:c r="F630" s="12">
        <x:f>ROUND(J630*$W$4*H630,0)</x:f>
        <x:v>11160</x:v>
      </x:c>
      <x:c r="G630" s="12">
        <x:f>ROUND(J630*$W$4*$W$5*I630,0)</x:f>
        <x:v>4960</x:v>
      </x:c>
      <x:c r="H630" s="11" t="n">
        <x:f>$Y$22</x:f>
        <x:v>3.75</x:v>
      </x:c>
      <x:c r="I630" s="11" t="n">
        <x:f>$Z$22</x:f>
        <x:v>22.22222222222222</x:v>
      </x:c>
      <x:c r="J630" s="12">
        <x:f>英雄升级调参!$E$83</x:f>
        <x:v>744</x:v>
      </x:c>
      <x:c r="K630" s="12">
        <x:f>英雄升级调参!$F$83</x:f>
        <x:v>7440</x:v>
      </x:c>
      <x:c r="L630" s="6" t="n">
        <x:f>ROUNDUP(F630/J630,0)</x:f>
        <x:v>15</x:v>
      </x:c>
      <x:c r="M630" s="6" t="n">
        <x:f>IF(G630=0,"无伤害",ROUNDUP(K630/MAX(1,ROUND(G630*$AC$22,0)),0))</x:f>
        <x:v>8</x:v>
      </x:c>
      <x:c r="N630" s="6" t="n">
        <x:f>ROUNDUP(F630/英雄升级调参!$H$83,0)</x:f>
        <x:v>10</x:v>
      </x:c>
      <x:c r="O630" s="6">
        <x:f>ROUNDUP(F630/英雄升级调参!$K$83,0)</x:f>
        <x:v>6</x:v>
      </x:c>
      <x:c r="P630" s="6" t="str">
        <x:f>$AA$22</x:f>
        <x:v>精英：15次标准普攻击杀；7.5次主要攻击致死</x:v>
      </x:c>
      <x:c r="Q630" s="6"/>
      <x:c r="R630" s="6"/>
      <x:c r="S630" s="6"/>
      <x:c r="T630" s="6"/>
    </x:row>
    <x:row r="631" ht="21" customHeight="1">
      <x:c r="A631" s="14" t="n">
        <x:f>$V$22</x:f>
        <x:v>60009</x:v>
      </x:c>
      <x:c r="B631" s="14" t="str">
        <x:f>$W$22</x:f>
        <x:v>荔枝滚滚</x:v>
      </x:c>
      <x:c r="C631" s="6" t="str">
        <x:f>$X$22</x:f>
        <x:v>精英</x:v>
      </x:c>
      <x:c r="D631" s="6">
        <x:v>19</x:v>
      </x:c>
      <x:c r="E631" s="6">
        <x:v>22</x:v>
      </x:c>
      <x:c r="F631" s="12">
        <x:f>ROUND(J631*$W$4*H631,0)</x:f>
        <x:v>11835</x:v>
      </x:c>
      <x:c r="G631" s="12">
        <x:f>ROUND(J631*$W$4*$W$5*I631,0)</x:f>
        <x:v>5260</x:v>
      </x:c>
      <x:c r="H631" s="11" t="n">
        <x:f>$Y$22</x:f>
        <x:v>3.75</x:v>
      </x:c>
      <x:c r="I631" s="11" t="n">
        <x:f>$Z$22</x:f>
        <x:v>22.22222222222222</x:v>
      </x:c>
      <x:c r="J631" s="12">
        <x:f>英雄升级调参!$E$84</x:f>
        <x:v>789</x:v>
      </x:c>
      <x:c r="K631" s="12">
        <x:f>英雄升级调参!$F$84</x:f>
        <x:v>7890</x:v>
      </x:c>
      <x:c r="L631" s="6" t="n">
        <x:f>ROUNDUP(F631/J631,0)</x:f>
        <x:v>15</x:v>
      </x:c>
      <x:c r="M631" s="6" t="n">
        <x:f>IF(G631=0,"无伤害",ROUNDUP(K631/MAX(1,ROUND(G631*$AC$22,0)),0))</x:f>
        <x:v>8</x:v>
      </x:c>
      <x:c r="N631" s="6" t="n">
        <x:f>ROUNDUP(F631/英雄升级调参!$H$84,0)</x:f>
        <x:v>10</x:v>
      </x:c>
      <x:c r="O631" s="6">
        <x:f>ROUNDUP(F631/英雄升级调参!$K$84,0)</x:f>
        <x:v>6</x:v>
      </x:c>
      <x:c r="P631" s="6" t="str">
        <x:f>$AA$22</x:f>
        <x:v>精英：15次标准普攻击杀；7.5次主要攻击致死</x:v>
      </x:c>
      <x:c r="Q631" s="6"/>
      <x:c r="R631" s="6"/>
      <x:c r="S631" s="6"/>
      <x:c r="T631" s="6"/>
    </x:row>
    <x:row r="632" ht="21" customHeight="1">
      <x:c r="A632" s="14" t="n">
        <x:f>$V$22</x:f>
        <x:v>60009</x:v>
      </x:c>
      <x:c r="B632" s="14" t="str">
        <x:f>$W$22</x:f>
        <x:v>荔枝滚滚</x:v>
      </x:c>
      <x:c r="C632" s="6" t="str">
        <x:f>$X$22</x:f>
        <x:v>精英</x:v>
      </x:c>
      <x:c r="D632" s="6">
        <x:v>20</x:v>
      </x:c>
      <x:c r="E632" s="6">
        <x:v>22</x:v>
      </x:c>
      <x:c r="F632" s="12">
        <x:f>ROUND(J632*$W$4*H632,0)</x:f>
        <x:v>13860</x:v>
      </x:c>
      <x:c r="G632" s="12">
        <x:f>ROUND(J632*$W$4*$W$5*I632,0)</x:f>
        <x:v>6160</x:v>
      </x:c>
      <x:c r="H632" s="11" t="n">
        <x:f>$Y$22</x:f>
        <x:v>3.75</x:v>
      </x:c>
      <x:c r="I632" s="11" t="n">
        <x:f>$Z$22</x:f>
        <x:v>22.22222222222222</x:v>
      </x:c>
      <x:c r="J632" s="12">
        <x:f>英雄升级调参!$E$85</x:f>
        <x:v>924</x:v>
      </x:c>
      <x:c r="K632" s="12">
        <x:f>英雄升级调参!$F$85</x:f>
        <x:v>9240</x:v>
      </x:c>
      <x:c r="L632" s="6" t="n">
        <x:f>ROUNDUP(F632/J632,0)</x:f>
        <x:v>15</x:v>
      </x:c>
      <x:c r="M632" s="6" t="n">
        <x:f>IF(G632=0,"无伤害",ROUNDUP(K632/MAX(1,ROUND(G632*$AC$22,0)),0))</x:f>
        <x:v>8</x:v>
      </x:c>
      <x:c r="N632" s="6" t="n">
        <x:f>ROUNDUP(F632/英雄升级调参!$H$85,0)</x:f>
        <x:v>10</x:v>
      </x:c>
      <x:c r="O632" s="6">
        <x:f>ROUNDUP(F632/英雄升级调参!$K$85,0)</x:f>
        <x:v>6</x:v>
      </x:c>
      <x:c r="P632" s="6" t="str">
        <x:f>$AA$22</x:f>
        <x:v>精英：15次标准普攻击杀；7.5次主要攻击致死</x:v>
      </x:c>
      <x:c r="Q632" s="6"/>
      <x:c r="R632" s="6"/>
      <x:c r="S632" s="6"/>
      <x:c r="T632" s="6"/>
    </x:row>
    <x:row r="633" ht="21" customHeight="1">
      <x:c r="A633" s="14" t="n">
        <x:f>$V$22</x:f>
        <x:v>60009</x:v>
      </x:c>
      <x:c r="B633" s="14" t="str">
        <x:f>$W$22</x:f>
        <x:v>荔枝滚滚</x:v>
      </x:c>
      <x:c r="C633" s="6" t="str">
        <x:f>$X$22</x:f>
        <x:v>精英</x:v>
      </x:c>
      <x:c r="D633" s="6">
        <x:v>21</x:v>
      </x:c>
      <x:c r="E633" s="6">
        <x:v>22</x:v>
      </x:c>
      <x:c r="F633" s="12">
        <x:f>ROUND(J633*$W$4*H633,0)</x:f>
        <x:v>14670</x:v>
      </x:c>
      <x:c r="G633" s="12">
        <x:f>ROUND(J633*$W$4*$W$5*I633,0)</x:f>
        <x:v>6520</x:v>
      </x:c>
      <x:c r="H633" s="11" t="n">
        <x:f>$Y$22</x:f>
        <x:v>3.75</x:v>
      </x:c>
      <x:c r="I633" s="11" t="n">
        <x:f>$Z$22</x:f>
        <x:v>22.22222222222222</x:v>
      </x:c>
      <x:c r="J633" s="12">
        <x:f>英雄升级调参!$E$86</x:f>
        <x:v>978</x:v>
      </x:c>
      <x:c r="K633" s="12">
        <x:f>英雄升级调参!$F$86</x:f>
        <x:v>9780</x:v>
      </x:c>
      <x:c r="L633" s="6" t="n">
        <x:f>ROUNDUP(F633/J633,0)</x:f>
        <x:v>15</x:v>
      </x:c>
      <x:c r="M633" s="6" t="n">
        <x:f>IF(G633=0,"无伤害",ROUNDUP(K633/MAX(1,ROUND(G633*$AC$22,0)),0))</x:f>
        <x:v>8</x:v>
      </x:c>
      <x:c r="N633" s="6" t="n">
        <x:f>ROUNDUP(F633/英雄升级调参!$H$86,0)</x:f>
        <x:v>10</x:v>
      </x:c>
      <x:c r="O633" s="6">
        <x:f>ROUNDUP(F633/英雄升级调参!$K$86,0)</x:f>
        <x:v>6</x:v>
      </x:c>
      <x:c r="P633" s="6" t="str">
        <x:f>$AA$22</x:f>
        <x:v>精英：15次标准普攻击杀；7.5次主要攻击致死</x:v>
      </x:c>
      <x:c r="Q633" s="6"/>
      <x:c r="R633" s="6"/>
      <x:c r="S633" s="6"/>
      <x:c r="T633" s="6"/>
    </x:row>
    <x:row r="634" ht="21" customHeight="1">
      <x:c r="A634" s="14" t="n">
        <x:f>$V$22</x:f>
        <x:v>60009</x:v>
      </x:c>
      <x:c r="B634" s="14" t="str">
        <x:f>$W$22</x:f>
        <x:v>荔枝滚滚</x:v>
      </x:c>
      <x:c r="C634" s="6" t="str">
        <x:f>$X$22</x:f>
        <x:v>精英</x:v>
      </x:c>
      <x:c r="D634" s="6">
        <x:v>22</x:v>
      </x:c>
      <x:c r="E634" s="6">
        <x:v>22</x:v>
      </x:c>
      <x:c r="F634" s="12">
        <x:f>ROUND(J634*$W$4*H634,0)</x:f>
        <x:v>15480</x:v>
      </x:c>
      <x:c r="G634" s="12">
        <x:f>ROUND(J634*$W$4*$W$5*I634,0)</x:f>
        <x:v>6880</x:v>
      </x:c>
      <x:c r="H634" s="11" t="n">
        <x:f>$Y$22</x:f>
        <x:v>3.75</x:v>
      </x:c>
      <x:c r="I634" s="11" t="n">
        <x:f>$Z$22</x:f>
        <x:v>22.22222222222222</x:v>
      </x:c>
      <x:c r="J634" s="12">
        <x:f>英雄升级调参!$E$87</x:f>
        <x:v>1032</x:v>
      </x:c>
      <x:c r="K634" s="12">
        <x:f>英雄升级调参!$F$87</x:f>
        <x:v>10320</x:v>
      </x:c>
      <x:c r="L634" s="6" t="n">
        <x:f>ROUNDUP(F634/J634,0)</x:f>
        <x:v>15</x:v>
      </x:c>
      <x:c r="M634" s="6" t="n">
        <x:f>IF(G634=0,"无伤害",ROUNDUP(K634/MAX(1,ROUND(G634*$AC$22,0)),0))</x:f>
        <x:v>8</x:v>
      </x:c>
      <x:c r="N634" s="6" t="n">
        <x:f>ROUNDUP(F634/英雄升级调参!$H$87,0)</x:f>
        <x:v>10</x:v>
      </x:c>
      <x:c r="O634" s="6">
        <x:f>ROUNDUP(F634/英雄升级调参!$K$87,0)</x:f>
        <x:v>6</x:v>
      </x:c>
      <x:c r="P634" s="6" t="str">
        <x:f>$AA$22</x:f>
        <x:v>精英：15次标准普攻击杀；7.5次主要攻击致死</x:v>
      </x:c>
      <x:c r="Q634" s="6"/>
      <x:c r="R634" s="6"/>
      <x:c r="S634" s="6"/>
      <x:c r="T634" s="6"/>
    </x:row>
    <x:row r="635" ht="21" customHeight="1">
      <x:c r="A635" s="14" t="n">
        <x:f>$V$22</x:f>
        <x:v>60009</x:v>
      </x:c>
      <x:c r="B635" s="14" t="str">
        <x:f>$W$22</x:f>
        <x:v>荔枝滚滚</x:v>
      </x:c>
      <x:c r="C635" s="6" t="str">
        <x:f>$X$22</x:f>
        <x:v>精英</x:v>
      </x:c>
      <x:c r="D635" s="6">
        <x:v>23</x:v>
      </x:c>
      <x:c r="E635" s="6">
        <x:v>22</x:v>
      </x:c>
      <x:c r="F635" s="12">
        <x:f>ROUND(J635*$W$4*H635,0)</x:f>
        <x:v>16290</x:v>
      </x:c>
      <x:c r="G635" s="12">
        <x:f>ROUND(J635*$W$4*$W$5*I635,0)</x:f>
        <x:v>7240</x:v>
      </x:c>
      <x:c r="H635" s="11" t="n">
        <x:f>$Y$22</x:f>
        <x:v>3.75</x:v>
      </x:c>
      <x:c r="I635" s="11" t="n">
        <x:f>$Z$22</x:f>
        <x:v>22.22222222222222</x:v>
      </x:c>
      <x:c r="J635" s="12">
        <x:f>英雄升级调参!$E$88</x:f>
        <x:v>1086</x:v>
      </x:c>
      <x:c r="K635" s="12">
        <x:f>英雄升级调参!$F$88</x:f>
        <x:v>10860</x:v>
      </x:c>
      <x:c r="L635" s="6" t="n">
        <x:f>ROUNDUP(F635/J635,0)</x:f>
        <x:v>15</x:v>
      </x:c>
      <x:c r="M635" s="6" t="n">
        <x:f>IF(G635=0,"无伤害",ROUNDUP(K635/MAX(1,ROUND(G635*$AC$22,0)),0))</x:f>
        <x:v>8</x:v>
      </x:c>
      <x:c r="N635" s="6" t="n">
        <x:f>ROUNDUP(F635/英雄升级调参!$H$88,0)</x:f>
        <x:v>10</x:v>
      </x:c>
      <x:c r="O635" s="6">
        <x:f>ROUNDUP(F635/英雄升级调参!$K$88,0)</x:f>
        <x:v>6</x:v>
      </x:c>
      <x:c r="P635" s="6" t="str">
        <x:f>$AA$22</x:f>
        <x:v>精英：15次标准普攻击杀；7.5次主要攻击致死</x:v>
      </x:c>
      <x:c r="Q635" s="6"/>
      <x:c r="R635" s="6"/>
      <x:c r="S635" s="6"/>
      <x:c r="T635" s="6"/>
    </x:row>
    <x:row r="636" ht="21" customHeight="1">
      <x:c r="A636" s="14" t="n">
        <x:f>$V$22</x:f>
        <x:v>60009</x:v>
      </x:c>
      <x:c r="B636" s="14" t="str">
        <x:f>$W$22</x:f>
        <x:v>荔枝滚滚</x:v>
      </x:c>
      <x:c r="C636" s="6" t="str">
        <x:f>$X$22</x:f>
        <x:v>精英</x:v>
      </x:c>
      <x:c r="D636" s="6">
        <x:v>24</x:v>
      </x:c>
      <x:c r="E636" s="6">
        <x:v>22</x:v>
      </x:c>
      <x:c r="F636" s="12">
        <x:f>ROUND(J636*$W$4*H636,0)</x:f>
        <x:v>17100</x:v>
      </x:c>
      <x:c r="G636" s="12">
        <x:f>ROUND(J636*$W$4*$W$5*I636,0)</x:f>
        <x:v>7600</x:v>
      </x:c>
      <x:c r="H636" s="11" t="n">
        <x:f>$Y$22</x:f>
        <x:v>3.75</x:v>
      </x:c>
      <x:c r="I636" s="11" t="n">
        <x:f>$Z$22</x:f>
        <x:v>22.22222222222222</x:v>
      </x:c>
      <x:c r="J636" s="12">
        <x:f>英雄升级调参!$E$89</x:f>
        <x:v>1140</x:v>
      </x:c>
      <x:c r="K636" s="12">
        <x:f>英雄升级调参!$F$89</x:f>
        <x:v>11400</x:v>
      </x:c>
      <x:c r="L636" s="6" t="n">
        <x:f>ROUNDUP(F636/J636,0)</x:f>
        <x:v>15</x:v>
      </x:c>
      <x:c r="M636" s="6" t="n">
        <x:f>IF(G636=0,"无伤害",ROUNDUP(K636/MAX(1,ROUND(G636*$AC$22,0)),0))</x:f>
        <x:v>8</x:v>
      </x:c>
      <x:c r="N636" s="6" t="n">
        <x:f>ROUNDUP(F636/英雄升级调参!$H$89,0)</x:f>
        <x:v>10</x:v>
      </x:c>
      <x:c r="O636" s="6">
        <x:f>ROUNDUP(F636/英雄升级调参!$K$89,0)</x:f>
        <x:v>6</x:v>
      </x:c>
      <x:c r="P636" s="6" t="str">
        <x:f>$AA$22</x:f>
        <x:v>精英：15次标准普攻击杀；7.5次主要攻击致死</x:v>
      </x:c>
      <x:c r="Q636" s="6"/>
      <x:c r="R636" s="6"/>
      <x:c r="S636" s="6"/>
      <x:c r="T636" s="6"/>
    </x:row>
    <x:row r="637" ht="21" customHeight="1">
      <x:c r="A637" s="14" t="n">
        <x:f>$V$22</x:f>
        <x:v>60009</x:v>
      </x:c>
      <x:c r="B637" s="14" t="str">
        <x:f>$W$22</x:f>
        <x:v>荔枝滚滚</x:v>
      </x:c>
      <x:c r="C637" s="6" t="str">
        <x:f>$X$22</x:f>
        <x:v>精英</x:v>
      </x:c>
      <x:c r="D637" s="6">
        <x:v>25</x:v>
      </x:c>
      <x:c r="E637" s="6">
        <x:v>22</x:v>
      </x:c>
      <x:c r="F637" s="12">
        <x:f>ROUND(J637*$W$4*H637,0)</x:f>
        <x:v>19530</x:v>
      </x:c>
      <x:c r="G637" s="12">
        <x:f>ROUND(J637*$W$4*$W$5*I637,0)</x:f>
        <x:v>8680</x:v>
      </x:c>
      <x:c r="H637" s="11" t="n">
        <x:f>$Y$22</x:f>
        <x:v>3.75</x:v>
      </x:c>
      <x:c r="I637" s="11" t="n">
        <x:f>$Z$22</x:f>
        <x:v>22.22222222222222</x:v>
      </x:c>
      <x:c r="J637" s="12">
        <x:f>英雄升级调参!$E$90</x:f>
        <x:v>1302</x:v>
      </x:c>
      <x:c r="K637" s="12">
        <x:f>英雄升级调参!$F$90</x:f>
        <x:v>13020</x:v>
      </x:c>
      <x:c r="L637" s="6" t="n">
        <x:f>ROUNDUP(F637/J637,0)</x:f>
        <x:v>15</x:v>
      </x:c>
      <x:c r="M637" s="6" t="n">
        <x:f>IF(G637=0,"无伤害",ROUNDUP(K637/MAX(1,ROUND(G637*$AC$22,0)),0))</x:f>
        <x:v>8</x:v>
      </x:c>
      <x:c r="N637" s="6" t="n">
        <x:f>ROUNDUP(F637/英雄升级调参!$H$90,0)</x:f>
        <x:v>10</x:v>
      </x:c>
      <x:c r="O637" s="6">
        <x:f>ROUNDUP(F637/英雄升级调参!$K$90,0)</x:f>
        <x:v>6</x:v>
      </x:c>
      <x:c r="P637" s="6" t="str">
        <x:f>$AA$22</x:f>
        <x:v>精英：15次标准普攻击杀；7.5次主要攻击致死</x:v>
      </x:c>
      <x:c r="Q637" s="6"/>
      <x:c r="R637" s="6"/>
      <x:c r="S637" s="6"/>
      <x:c r="T637" s="6"/>
    </x:row>
    <x:row r="638" ht="21" customHeight="1">
      <x:c r="A638" s="14" t="n">
        <x:f>$V$22</x:f>
        <x:v>60009</x:v>
      </x:c>
      <x:c r="B638" s="14" t="str">
        <x:f>$W$22</x:f>
        <x:v>荔枝滚滚</x:v>
      </x:c>
      <x:c r="C638" s="6" t="str">
        <x:f>$X$22</x:f>
        <x:v>精英</x:v>
      </x:c>
      <x:c r="D638" s="6">
        <x:v>26</x:v>
      </x:c>
      <x:c r="E638" s="6">
        <x:v>22</x:v>
      </x:c>
      <x:c r="F638" s="12">
        <x:f>ROUND(J638*$W$4*H638,0)</x:f>
        <x:v>20475</x:v>
      </x:c>
      <x:c r="G638" s="12">
        <x:f>ROUND(J638*$W$4*$W$5*I638,0)</x:f>
        <x:v>9100</x:v>
      </x:c>
      <x:c r="H638" s="11" t="n">
        <x:f>$Y$22</x:f>
        <x:v>3.75</x:v>
      </x:c>
      <x:c r="I638" s="11" t="n">
        <x:f>$Z$22</x:f>
        <x:v>22.22222222222222</x:v>
      </x:c>
      <x:c r="J638" s="12">
        <x:f>英雄升级调参!$E$91</x:f>
        <x:v>1365</x:v>
      </x:c>
      <x:c r="K638" s="12">
        <x:f>英雄升级调参!$F$91</x:f>
        <x:v>13650</x:v>
      </x:c>
      <x:c r="L638" s="6" t="n">
        <x:f>ROUNDUP(F638/J638,0)</x:f>
        <x:v>15</x:v>
      </x:c>
      <x:c r="M638" s="6" t="n">
        <x:f>IF(G638=0,"无伤害",ROUNDUP(K638/MAX(1,ROUND(G638*$AC$22,0)),0))</x:f>
        <x:v>8</x:v>
      </x:c>
      <x:c r="N638" s="6" t="n">
        <x:f>ROUNDUP(F638/英雄升级调参!$H$91,0)</x:f>
        <x:v>10</x:v>
      </x:c>
      <x:c r="O638" s="6">
        <x:f>ROUNDUP(F638/英雄升级调参!$K$91,0)</x:f>
        <x:v>6</x:v>
      </x:c>
      <x:c r="P638" s="6" t="str">
        <x:f>$AA$22</x:f>
        <x:v>精英：15次标准普攻击杀；7.5次主要攻击致死</x:v>
      </x:c>
      <x:c r="Q638" s="6"/>
      <x:c r="R638" s="6"/>
      <x:c r="S638" s="6"/>
      <x:c r="T638" s="6"/>
    </x:row>
    <x:row r="639" ht="21" customHeight="1">
      <x:c r="A639" s="14" t="n">
        <x:f>$V$22</x:f>
        <x:v>60009</x:v>
      </x:c>
      <x:c r="B639" s="14" t="str">
        <x:f>$W$22</x:f>
        <x:v>荔枝滚滚</x:v>
      </x:c>
      <x:c r="C639" s="6" t="str">
        <x:f>$X$22</x:f>
        <x:v>精英</x:v>
      </x:c>
      <x:c r="D639" s="6">
        <x:v>27</x:v>
      </x:c>
      <x:c r="E639" s="6">
        <x:v>22</x:v>
      </x:c>
      <x:c r="F639" s="12">
        <x:f>ROUND(J639*$W$4*H639,0)</x:f>
        <x:v>21420</x:v>
      </x:c>
      <x:c r="G639" s="12">
        <x:f>ROUND(J639*$W$4*$W$5*I639,0)</x:f>
        <x:v>9520</x:v>
      </x:c>
      <x:c r="H639" s="11" t="n">
        <x:f>$Y$22</x:f>
        <x:v>3.75</x:v>
      </x:c>
      <x:c r="I639" s="11" t="n">
        <x:f>$Z$22</x:f>
        <x:v>22.22222222222222</x:v>
      </x:c>
      <x:c r="J639" s="12">
        <x:f>英雄升级调参!$E$92</x:f>
        <x:v>1428</x:v>
      </x:c>
      <x:c r="K639" s="12">
        <x:f>英雄升级调参!$F$92</x:f>
        <x:v>14280</x:v>
      </x:c>
      <x:c r="L639" s="6" t="n">
        <x:f>ROUNDUP(F639/J639,0)</x:f>
        <x:v>15</x:v>
      </x:c>
      <x:c r="M639" s="6" t="n">
        <x:f>IF(G639=0,"无伤害",ROUNDUP(K639/MAX(1,ROUND(G639*$AC$22,0)),0))</x:f>
        <x:v>8</x:v>
      </x:c>
      <x:c r="N639" s="6" t="n">
        <x:f>ROUNDUP(F639/英雄升级调参!$H$92,0)</x:f>
        <x:v>10</x:v>
      </x:c>
      <x:c r="O639" s="6">
        <x:f>ROUNDUP(F639/英雄升级调参!$K$92,0)</x:f>
        <x:v>6</x:v>
      </x:c>
      <x:c r="P639" s="6" t="str">
        <x:f>$AA$22</x:f>
        <x:v>精英：15次标准普攻击杀；7.5次主要攻击致死</x:v>
      </x:c>
      <x:c r="Q639" s="6"/>
      <x:c r="R639" s="6"/>
      <x:c r="S639" s="6"/>
      <x:c r="T639" s="6"/>
    </x:row>
    <x:row r="640" ht="21" customHeight="1">
      <x:c r="A640" s="14" t="n">
        <x:f>$V$22</x:f>
        <x:v>60009</x:v>
      </x:c>
      <x:c r="B640" s="14" t="str">
        <x:f>$W$22</x:f>
        <x:v>荔枝滚滚</x:v>
      </x:c>
      <x:c r="C640" s="6" t="str">
        <x:f>$X$22</x:f>
        <x:v>精英</x:v>
      </x:c>
      <x:c r="D640" s="6">
        <x:v>28</x:v>
      </x:c>
      <x:c r="E640" s="6">
        <x:v>22</x:v>
      </x:c>
      <x:c r="F640" s="12">
        <x:f>ROUND(J640*$W$4*H640,0)</x:f>
        <x:v>22365</x:v>
      </x:c>
      <x:c r="G640" s="12">
        <x:f>ROUND(J640*$W$4*$W$5*I640,0)</x:f>
        <x:v>9940</x:v>
      </x:c>
      <x:c r="H640" s="11" t="n">
        <x:f>$Y$22</x:f>
        <x:v>3.75</x:v>
      </x:c>
      <x:c r="I640" s="11" t="n">
        <x:f>$Z$22</x:f>
        <x:v>22.22222222222222</x:v>
      </x:c>
      <x:c r="J640" s="12">
        <x:f>英雄升级调参!$E$93</x:f>
        <x:v>1491</x:v>
      </x:c>
      <x:c r="K640" s="12">
        <x:f>英雄升级调参!$F$93</x:f>
        <x:v>14910</x:v>
      </x:c>
      <x:c r="L640" s="6" t="n">
        <x:f>ROUNDUP(F640/J640,0)</x:f>
        <x:v>15</x:v>
      </x:c>
      <x:c r="M640" s="6" t="n">
        <x:f>IF(G640=0,"无伤害",ROUNDUP(K640/MAX(1,ROUND(G640*$AC$22,0)),0))</x:f>
        <x:v>8</x:v>
      </x:c>
      <x:c r="N640" s="6" t="n">
        <x:f>ROUNDUP(F640/英雄升级调参!$H$93,0)</x:f>
        <x:v>10</x:v>
      </x:c>
      <x:c r="O640" s="6">
        <x:f>ROUNDUP(F640/英雄升级调参!$K$93,0)</x:f>
        <x:v>6</x:v>
      </x:c>
      <x:c r="P640" s="6" t="str">
        <x:f>$AA$22</x:f>
        <x:v>精英：15次标准普攻击杀；7.5次主要攻击致死</x:v>
      </x:c>
      <x:c r="Q640" s="6"/>
      <x:c r="R640" s="6"/>
      <x:c r="S640" s="6"/>
      <x:c r="T640" s="6"/>
    </x:row>
    <x:row r="641" ht="21" customHeight="1">
      <x:c r="A641" s="14" t="n">
        <x:f>$V$22</x:f>
        <x:v>60009</x:v>
      </x:c>
      <x:c r="B641" s="14" t="str">
        <x:f>$W$22</x:f>
        <x:v>荔枝滚滚</x:v>
      </x:c>
      <x:c r="C641" s="6" t="str">
        <x:f>$X$22</x:f>
        <x:v>精英</x:v>
      </x:c>
      <x:c r="D641" s="6">
        <x:v>29</x:v>
      </x:c>
      <x:c r="E641" s="6">
        <x:v>22</x:v>
      </x:c>
      <x:c r="F641" s="12">
        <x:f>ROUND(J641*$W$4*H641,0)</x:f>
        <x:v>23310</x:v>
      </x:c>
      <x:c r="G641" s="12">
        <x:f>ROUND(J641*$W$4*$W$5*I641,0)</x:f>
        <x:v>10360</x:v>
      </x:c>
      <x:c r="H641" s="11" t="n">
        <x:f>$Y$22</x:f>
        <x:v>3.75</x:v>
      </x:c>
      <x:c r="I641" s="11" t="n">
        <x:f>$Z$22</x:f>
        <x:v>22.22222222222222</x:v>
      </x:c>
      <x:c r="J641" s="12">
        <x:f>英雄升级调参!$E$94</x:f>
        <x:v>1554</x:v>
      </x:c>
      <x:c r="K641" s="12">
        <x:f>英雄升级调参!$F$94</x:f>
        <x:v>15540</x:v>
      </x:c>
      <x:c r="L641" s="6" t="n">
        <x:f>ROUNDUP(F641/J641,0)</x:f>
        <x:v>15</x:v>
      </x:c>
      <x:c r="M641" s="6" t="n">
        <x:f>IF(G641=0,"无伤害",ROUNDUP(K641/MAX(1,ROUND(G641*$AC$22,0)),0))</x:f>
        <x:v>8</x:v>
      </x:c>
      <x:c r="N641" s="6" t="n">
        <x:f>ROUNDUP(F641/英雄升级调参!$H$94,0)</x:f>
        <x:v>10</x:v>
      </x:c>
      <x:c r="O641" s="6">
        <x:f>ROUNDUP(F641/英雄升级调参!$K$94,0)</x:f>
        <x:v>6</x:v>
      </x:c>
      <x:c r="P641" s="6" t="str">
        <x:f>$AA$22</x:f>
        <x:v>精英：15次标准普攻击杀；7.5次主要攻击致死</x:v>
      </x:c>
      <x:c r="Q641" s="6"/>
      <x:c r="R641" s="6"/>
      <x:c r="S641" s="6"/>
      <x:c r="T641" s="6"/>
    </x:row>
    <x:row r="642" ht="21" customHeight="1">
      <x:c r="A642" s="14" t="n">
        <x:f>$V$22</x:f>
        <x:v>60009</x:v>
      </x:c>
      <x:c r="B642" s="14" t="str">
        <x:f>$W$22</x:f>
        <x:v>荔枝滚滚</x:v>
      </x:c>
      <x:c r="C642" s="6" t="str">
        <x:f>$X$22</x:f>
        <x:v>精英</x:v>
      </x:c>
      <x:c r="D642" s="6">
        <x:v>30</x:v>
      </x:c>
      <x:c r="E642" s="6">
        <x:v>22</x:v>
      </x:c>
      <x:c r="F642" s="12">
        <x:f>ROUND(J642*$W$4*H642,0)</x:f>
        <x:v>26145</x:v>
      </x:c>
      <x:c r="G642" s="12">
        <x:f>ROUND(J642*$W$4*$W$5*I642,0)</x:f>
        <x:v>11620</x:v>
      </x:c>
      <x:c r="H642" s="11" t="n">
        <x:f>$Y$22</x:f>
        <x:v>3.75</x:v>
      </x:c>
      <x:c r="I642" s="11" t="n">
        <x:f>$Z$22</x:f>
        <x:v>22.22222222222222</x:v>
      </x:c>
      <x:c r="J642" s="12">
        <x:f>英雄升级调参!$E$95</x:f>
        <x:v>1743</x:v>
      </x:c>
      <x:c r="K642" s="12">
        <x:f>英雄升级调参!$F$95</x:f>
        <x:v>17430</x:v>
      </x:c>
      <x:c r="L642" s="6" t="n">
        <x:f>ROUNDUP(F642/J642,0)</x:f>
        <x:v>15</x:v>
      </x:c>
      <x:c r="M642" s="6" t="n">
        <x:f>IF(G642=0,"无伤害",ROUNDUP(K642/MAX(1,ROUND(G642*$AC$22,0)),0))</x:f>
        <x:v>8</x:v>
      </x:c>
      <x:c r="N642" s="6" t="n">
        <x:f>ROUNDUP(F642/英雄升级调参!$H$95,0)</x:f>
        <x:v>10</x:v>
      </x:c>
      <x:c r="O642" s="6">
        <x:f>ROUNDUP(F642/英雄升级调参!$K$95,0)</x:f>
        <x:v>6</x:v>
      </x:c>
      <x:c r="P642" s="6" t="str">
        <x:f>$AA$22</x:f>
        <x:v>精英：15次标准普攻击杀；7.5次主要攻击致死</x:v>
      </x:c>
      <x:c r="Q642" s="6"/>
      <x:c r="R642" s="6"/>
      <x:c r="S642" s="6"/>
      <x:c r="T642" s="6"/>
    </x:row>
    <x:row r="643" ht="21" customHeight="1">
      <x:c r="A643" s="14" t="n">
        <x:f>$V$22</x:f>
        <x:v>60009</x:v>
      </x:c>
      <x:c r="B643" s="14" t="str">
        <x:f>$W$22</x:f>
        <x:v>荔枝滚滚</x:v>
      </x:c>
      <x:c r="C643" s="6" t="str">
        <x:f>$X$22</x:f>
        <x:v>精英</x:v>
      </x:c>
      <x:c r="D643" s="6">
        <x:v>31</x:v>
      </x:c>
      <x:c r="E643" s="6">
        <x:v>22</x:v>
      </x:c>
      <x:c r="F643" s="12">
        <x:f>ROUND(J643*$W$4*H643,0)</x:f>
        <x:v>27225</x:v>
      </x:c>
      <x:c r="G643" s="12">
        <x:f>ROUND(J643*$W$4*$W$5*I643,0)</x:f>
        <x:v>12100</x:v>
      </x:c>
      <x:c r="H643" s="11" t="n">
        <x:f>$Y$22</x:f>
        <x:v>3.75</x:v>
      </x:c>
      <x:c r="I643" s="11" t="n">
        <x:f>$Z$22</x:f>
        <x:v>22.22222222222222</x:v>
      </x:c>
      <x:c r="J643" s="12">
        <x:f>英雄升级调参!$E$96</x:f>
        <x:v>1815</x:v>
      </x:c>
      <x:c r="K643" s="12">
        <x:f>英雄升级调参!$F$96</x:f>
        <x:v>18150</x:v>
      </x:c>
      <x:c r="L643" s="6" t="n">
        <x:f>ROUNDUP(F643/J643,0)</x:f>
        <x:v>15</x:v>
      </x:c>
      <x:c r="M643" s="6" t="n">
        <x:f>IF(G643=0,"无伤害",ROUNDUP(K643/MAX(1,ROUND(G643*$AC$22,0)),0))</x:f>
        <x:v>8</x:v>
      </x:c>
      <x:c r="N643" s="6" t="n">
        <x:f>ROUNDUP(F643/英雄升级调参!$H$96,0)</x:f>
        <x:v>10</x:v>
      </x:c>
      <x:c r="O643" s="6">
        <x:f>ROUNDUP(F643/英雄升级调参!$K$96,0)</x:f>
        <x:v>6</x:v>
      </x:c>
      <x:c r="P643" s="6" t="str">
        <x:f>$AA$22</x:f>
        <x:v>精英：15次标准普攻击杀；7.5次主要攻击致死</x:v>
      </x:c>
      <x:c r="Q643" s="6"/>
      <x:c r="R643" s="6"/>
      <x:c r="S643" s="6"/>
      <x:c r="T643" s="6"/>
    </x:row>
    <x:row r="644" ht="21" customHeight="1">
      <x:c r="A644" s="14" t="n">
        <x:f>$V$22</x:f>
        <x:v>60009</x:v>
      </x:c>
      <x:c r="B644" s="14" t="str">
        <x:f>$W$22</x:f>
        <x:v>荔枝滚滚</x:v>
      </x:c>
      <x:c r="C644" s="6" t="str">
        <x:f>$X$22</x:f>
        <x:v>精英</x:v>
      </x:c>
      <x:c r="D644" s="6">
        <x:v>32</x:v>
      </x:c>
      <x:c r="E644" s="6">
        <x:v>22</x:v>
      </x:c>
      <x:c r="F644" s="12">
        <x:f>ROUND(J644*$W$4*H644,0)</x:f>
        <x:v>28305</x:v>
      </x:c>
      <x:c r="G644" s="12">
        <x:f>ROUND(J644*$W$4*$W$5*I644,0)</x:f>
        <x:v>12580</x:v>
      </x:c>
      <x:c r="H644" s="11" t="n">
        <x:f>$Y$22</x:f>
        <x:v>3.75</x:v>
      </x:c>
      <x:c r="I644" s="11" t="n">
        <x:f>$Z$22</x:f>
        <x:v>22.22222222222222</x:v>
      </x:c>
      <x:c r="J644" s="12">
        <x:f>英雄升级调参!$E$97</x:f>
        <x:v>1887</x:v>
      </x:c>
      <x:c r="K644" s="12">
        <x:f>英雄升级调参!$F$97</x:f>
        <x:v>18870</x:v>
      </x:c>
      <x:c r="L644" s="6" t="n">
        <x:f>ROUNDUP(F644/J644,0)</x:f>
        <x:v>15</x:v>
      </x:c>
      <x:c r="M644" s="6" t="n">
        <x:f>IF(G644=0,"无伤害",ROUNDUP(K644/MAX(1,ROUND(G644*$AC$22,0)),0))</x:f>
        <x:v>8</x:v>
      </x:c>
      <x:c r="N644" s="6" t="n">
        <x:f>ROUNDUP(F644/英雄升级调参!$H$97,0)</x:f>
        <x:v>10</x:v>
      </x:c>
      <x:c r="O644" s="6">
        <x:f>ROUNDUP(F644/英雄升级调参!$K$97,0)</x:f>
        <x:v>6</x:v>
      </x:c>
      <x:c r="P644" s="6" t="str">
        <x:f>$AA$22</x:f>
        <x:v>精英：15次标准普攻击杀；7.5次主要攻击致死</x:v>
      </x:c>
      <x:c r="Q644" s="6"/>
      <x:c r="R644" s="6"/>
      <x:c r="S644" s="6"/>
      <x:c r="T644" s="6"/>
    </x:row>
    <x:row r="645" ht="21" customHeight="1">
      <x:c r="A645" s="14" t="n">
        <x:f>$V$22</x:f>
        <x:v>60009</x:v>
      </x:c>
      <x:c r="B645" s="14" t="str">
        <x:f>$W$22</x:f>
        <x:v>荔枝滚滚</x:v>
      </x:c>
      <x:c r="C645" s="6" t="str">
        <x:f>$X$22</x:f>
        <x:v>精英</x:v>
      </x:c>
      <x:c r="D645" s="6">
        <x:v>33</x:v>
      </x:c>
      <x:c r="E645" s="6">
        <x:v>22</x:v>
      </x:c>
      <x:c r="F645" s="12">
        <x:f>ROUND(J645*$W$4*H645,0)</x:f>
        <x:v>29385</x:v>
      </x:c>
      <x:c r="G645" s="12">
        <x:f>ROUND(J645*$W$4*$W$5*I645,0)</x:f>
        <x:v>13060</x:v>
      </x:c>
      <x:c r="H645" s="11" t="n">
        <x:f>$Y$22</x:f>
        <x:v>3.75</x:v>
      </x:c>
      <x:c r="I645" s="11" t="n">
        <x:f>$Z$22</x:f>
        <x:v>22.22222222222222</x:v>
      </x:c>
      <x:c r="J645" s="12">
        <x:f>英雄升级调参!$E$98</x:f>
        <x:v>1959</x:v>
      </x:c>
      <x:c r="K645" s="12">
        <x:f>英雄升级调参!$F$98</x:f>
        <x:v>19590</x:v>
      </x:c>
      <x:c r="L645" s="6" t="n">
        <x:f>ROUNDUP(F645/J645,0)</x:f>
        <x:v>15</x:v>
      </x:c>
      <x:c r="M645" s="6" t="n">
        <x:f>IF(G645=0,"无伤害",ROUNDUP(K645/MAX(1,ROUND(G645*$AC$22,0)),0))</x:f>
        <x:v>8</x:v>
      </x:c>
      <x:c r="N645" s="6" t="n">
        <x:f>ROUNDUP(F645/英雄升级调参!$H$98,0)</x:f>
        <x:v>10</x:v>
      </x:c>
      <x:c r="O645" s="6">
        <x:f>ROUNDUP(F645/英雄升级调参!$K$98,0)</x:f>
        <x:v>6</x:v>
      </x:c>
      <x:c r="P645" s="6" t="str">
        <x:f>$AA$22</x:f>
        <x:v>精英：15次标准普攻击杀；7.5次主要攻击致死</x:v>
      </x:c>
      <x:c r="Q645" s="6"/>
      <x:c r="R645" s="6"/>
      <x:c r="S645" s="6"/>
      <x:c r="T645" s="6"/>
    </x:row>
    <x:row r="646" ht="21" customHeight="1">
      <x:c r="A646" s="14" t="n">
        <x:f>$V$22</x:f>
        <x:v>60009</x:v>
      </x:c>
      <x:c r="B646" s="14" t="str">
        <x:f>$W$22</x:f>
        <x:v>荔枝滚滚</x:v>
      </x:c>
      <x:c r="C646" s="6" t="str">
        <x:f>$X$22</x:f>
        <x:v>精英</x:v>
      </x:c>
      <x:c r="D646" s="6">
        <x:v>34</x:v>
      </x:c>
      <x:c r="E646" s="6">
        <x:v>22</x:v>
      </x:c>
      <x:c r="F646" s="12">
        <x:f>ROUND(J646*$W$4*H646,0)</x:f>
        <x:v>30465</x:v>
      </x:c>
      <x:c r="G646" s="12">
        <x:f>ROUND(J646*$W$4*$W$5*I646,0)</x:f>
        <x:v>13540</x:v>
      </x:c>
      <x:c r="H646" s="11" t="n">
        <x:f>$Y$22</x:f>
        <x:v>3.75</x:v>
      </x:c>
      <x:c r="I646" s="11" t="n">
        <x:f>$Z$22</x:f>
        <x:v>22.22222222222222</x:v>
      </x:c>
      <x:c r="J646" s="12">
        <x:f>英雄升级调参!$E$99</x:f>
        <x:v>2031</x:v>
      </x:c>
      <x:c r="K646" s="12">
        <x:f>英雄升级调参!$F$99</x:f>
        <x:v>20310</x:v>
      </x:c>
      <x:c r="L646" s="6" t="n">
        <x:f>ROUNDUP(F646/J646,0)</x:f>
        <x:v>15</x:v>
      </x:c>
      <x:c r="M646" s="6" t="n">
        <x:f>IF(G646=0,"无伤害",ROUNDUP(K646/MAX(1,ROUND(G646*$AC$22,0)),0))</x:f>
        <x:v>8</x:v>
      </x:c>
      <x:c r="N646" s="6" t="n">
        <x:f>ROUNDUP(F646/英雄升级调参!$H$99,0)</x:f>
        <x:v>10</x:v>
      </x:c>
      <x:c r="O646" s="6">
        <x:f>ROUNDUP(F646/英雄升级调参!$K$99,0)</x:f>
        <x:v>6</x:v>
      </x:c>
      <x:c r="P646" s="6" t="str">
        <x:f>$AA$22</x:f>
        <x:v>精英：15次标准普攻击杀；7.5次主要攻击致死</x:v>
      </x:c>
      <x:c r="Q646" s="6"/>
      <x:c r="R646" s="6"/>
      <x:c r="S646" s="6"/>
      <x:c r="T646" s="6"/>
    </x:row>
    <x:row r="647" ht="21" customHeight="1">
      <x:c r="A647" s="14" t="n">
        <x:f>$V$22</x:f>
        <x:v>60009</x:v>
      </x:c>
      <x:c r="B647" s="14" t="str">
        <x:f>$W$22</x:f>
        <x:v>荔枝滚滚</x:v>
      </x:c>
      <x:c r="C647" s="6" t="str">
        <x:f>$X$22</x:f>
        <x:v>精英</x:v>
      </x:c>
      <x:c r="D647" s="6">
        <x:v>35</x:v>
      </x:c>
      <x:c r="E647" s="6">
        <x:v>22</x:v>
      </x:c>
      <x:c r="F647" s="12">
        <x:f>ROUND(J647*$W$4*H647,0)</x:f>
        <x:v>33705</x:v>
      </x:c>
      <x:c r="G647" s="12">
        <x:f>ROUND(J647*$W$4*$W$5*I647,0)</x:f>
        <x:v>14980</x:v>
      </x:c>
      <x:c r="H647" s="11" t="n">
        <x:f>$Y$22</x:f>
        <x:v>3.75</x:v>
      </x:c>
      <x:c r="I647" s="11" t="n">
        <x:f>$Z$22</x:f>
        <x:v>22.22222222222222</x:v>
      </x:c>
      <x:c r="J647" s="12">
        <x:f>英雄升级调参!$E$100</x:f>
        <x:v>2247</x:v>
      </x:c>
      <x:c r="K647" s="12">
        <x:f>英雄升级调参!$F$100</x:f>
        <x:v>22470</x:v>
      </x:c>
      <x:c r="L647" s="6" t="n">
        <x:f>ROUNDUP(F647/J647,0)</x:f>
        <x:v>15</x:v>
      </x:c>
      <x:c r="M647" s="6" t="n">
        <x:f>IF(G647=0,"无伤害",ROUNDUP(K647/MAX(1,ROUND(G647*$AC$22,0)),0))</x:f>
        <x:v>8</x:v>
      </x:c>
      <x:c r="N647" s="6" t="n">
        <x:f>ROUNDUP(F647/英雄升级调参!$H$100,0)</x:f>
        <x:v>10</x:v>
      </x:c>
      <x:c r="O647" s="6">
        <x:f>ROUNDUP(F647/英雄升级调参!$K$100,0)</x:f>
        <x:v>6</x:v>
      </x:c>
      <x:c r="P647" s="6" t="str">
        <x:f>$AA$22</x:f>
        <x:v>精英：15次标准普攻击杀；7.5次主要攻击致死</x:v>
      </x:c>
      <x:c r="Q647" s="6"/>
      <x:c r="R647" s="6"/>
      <x:c r="S647" s="6"/>
      <x:c r="T647" s="6"/>
    </x:row>
    <x:row r="648" ht="21" customHeight="1">
      <x:c r="A648" s="14" t="n">
        <x:f>$V$22</x:f>
        <x:v>60009</x:v>
      </x:c>
      <x:c r="B648" s="14" t="str">
        <x:f>$W$22</x:f>
        <x:v>荔枝滚滚</x:v>
      </x:c>
      <x:c r="C648" s="6" t="str">
        <x:f>$X$22</x:f>
        <x:v>精英</x:v>
      </x:c>
      <x:c r="D648" s="6">
        <x:v>36</x:v>
      </x:c>
      <x:c r="E648" s="6">
        <x:v>22</x:v>
      </x:c>
      <x:c r="F648" s="12">
        <x:f>ROUND(J648*$W$4*H648,0)</x:f>
        <x:v>34920</x:v>
      </x:c>
      <x:c r="G648" s="12">
        <x:f>ROUND(J648*$W$4*$W$5*I648,0)</x:f>
        <x:v>15520</x:v>
      </x:c>
      <x:c r="H648" s="11" t="n">
        <x:f>$Y$22</x:f>
        <x:v>3.75</x:v>
      </x:c>
      <x:c r="I648" s="11" t="n">
        <x:f>$Z$22</x:f>
        <x:v>22.22222222222222</x:v>
      </x:c>
      <x:c r="J648" s="12">
        <x:f>英雄升级调参!$E$101</x:f>
        <x:v>2328</x:v>
      </x:c>
      <x:c r="K648" s="12">
        <x:f>英雄升级调参!$F$101</x:f>
        <x:v>23280</x:v>
      </x:c>
      <x:c r="L648" s="6" t="n">
        <x:f>ROUNDUP(F648/J648,0)</x:f>
        <x:v>15</x:v>
      </x:c>
      <x:c r="M648" s="6" t="n">
        <x:f>IF(G648=0,"无伤害",ROUNDUP(K648/MAX(1,ROUND(G648*$AC$22,0)),0))</x:f>
        <x:v>8</x:v>
      </x:c>
      <x:c r="N648" s="6" t="n">
        <x:f>ROUNDUP(F648/英雄升级调参!$H$101,0)</x:f>
        <x:v>10</x:v>
      </x:c>
      <x:c r="O648" s="6">
        <x:f>ROUNDUP(F648/英雄升级调参!$K$101,0)</x:f>
        <x:v>6</x:v>
      </x:c>
      <x:c r="P648" s="6" t="str">
        <x:f>$AA$22</x:f>
        <x:v>精英：15次标准普攻击杀；7.5次主要攻击致死</x:v>
      </x:c>
      <x:c r="Q648" s="6"/>
      <x:c r="R648" s="6"/>
      <x:c r="S648" s="6"/>
      <x:c r="T648" s="6"/>
    </x:row>
    <x:row r="649" ht="21" customHeight="1">
      <x:c r="A649" s="14" t="n">
        <x:f>$V$22</x:f>
        <x:v>60009</x:v>
      </x:c>
      <x:c r="B649" s="14" t="str">
        <x:f>$W$22</x:f>
        <x:v>荔枝滚滚</x:v>
      </x:c>
      <x:c r="C649" s="6" t="str">
        <x:f>$X$22</x:f>
        <x:v>精英</x:v>
      </x:c>
      <x:c r="D649" s="6">
        <x:v>37</x:v>
      </x:c>
      <x:c r="E649" s="6">
        <x:v>22</x:v>
      </x:c>
      <x:c r="F649" s="12">
        <x:f>ROUND(J649*$W$4*H649,0)</x:f>
        <x:v>36135</x:v>
      </x:c>
      <x:c r="G649" s="12">
        <x:f>ROUND(J649*$W$4*$W$5*I649,0)</x:f>
        <x:v>16060</x:v>
      </x:c>
      <x:c r="H649" s="11" t="n">
        <x:f>$Y$22</x:f>
        <x:v>3.75</x:v>
      </x:c>
      <x:c r="I649" s="11" t="n">
        <x:f>$Z$22</x:f>
        <x:v>22.22222222222222</x:v>
      </x:c>
      <x:c r="J649" s="12">
        <x:f>英雄升级调参!$E$102</x:f>
        <x:v>2409</x:v>
      </x:c>
      <x:c r="K649" s="12">
        <x:f>英雄升级调参!$F$102</x:f>
        <x:v>24090</x:v>
      </x:c>
      <x:c r="L649" s="6" t="n">
        <x:f>ROUNDUP(F649/J649,0)</x:f>
        <x:v>15</x:v>
      </x:c>
      <x:c r="M649" s="6" t="n">
        <x:f>IF(G649=0,"无伤害",ROUNDUP(K649/MAX(1,ROUND(G649*$AC$22,0)),0))</x:f>
        <x:v>8</x:v>
      </x:c>
      <x:c r="N649" s="6" t="n">
        <x:f>ROUNDUP(F649/英雄升级调参!$H$102,0)</x:f>
        <x:v>10</x:v>
      </x:c>
      <x:c r="O649" s="6">
        <x:f>ROUNDUP(F649/英雄升级调参!$K$102,0)</x:f>
        <x:v>6</x:v>
      </x:c>
      <x:c r="P649" s="6" t="str">
        <x:f>$AA$22</x:f>
        <x:v>精英：15次标准普攻击杀；7.5次主要攻击致死</x:v>
      </x:c>
      <x:c r="Q649" s="6"/>
      <x:c r="R649" s="6"/>
      <x:c r="S649" s="6"/>
      <x:c r="T649" s="6"/>
    </x:row>
    <x:row r="650" ht="21" customHeight="1">
      <x:c r="A650" s="14" t="n">
        <x:f>$V$22</x:f>
        <x:v>60009</x:v>
      </x:c>
      <x:c r="B650" s="14" t="str">
        <x:f>$W$22</x:f>
        <x:v>荔枝滚滚</x:v>
      </x:c>
      <x:c r="C650" s="6" t="str">
        <x:f>$X$22</x:f>
        <x:v>精英</x:v>
      </x:c>
      <x:c r="D650" s="6">
        <x:v>38</x:v>
      </x:c>
      <x:c r="E650" s="6">
        <x:v>22</x:v>
      </x:c>
      <x:c r="F650" s="12">
        <x:f>ROUND(J650*$W$4*H650,0)</x:f>
        <x:v>37350</x:v>
      </x:c>
      <x:c r="G650" s="12">
        <x:f>ROUND(J650*$W$4*$W$5*I650,0)</x:f>
        <x:v>16600</x:v>
      </x:c>
      <x:c r="H650" s="11" t="n">
        <x:f>$Y$22</x:f>
        <x:v>3.75</x:v>
      </x:c>
      <x:c r="I650" s="11" t="n">
        <x:f>$Z$22</x:f>
        <x:v>22.22222222222222</x:v>
      </x:c>
      <x:c r="J650" s="12">
        <x:f>英雄升级调参!$E$103</x:f>
        <x:v>2490</x:v>
      </x:c>
      <x:c r="K650" s="12">
        <x:f>英雄升级调参!$F$103</x:f>
        <x:v>24900</x:v>
      </x:c>
      <x:c r="L650" s="6" t="n">
        <x:f>ROUNDUP(F650/J650,0)</x:f>
        <x:v>15</x:v>
      </x:c>
      <x:c r="M650" s="6" t="n">
        <x:f>IF(G650=0,"无伤害",ROUNDUP(K650/MAX(1,ROUND(G650*$AC$22,0)),0))</x:f>
        <x:v>8</x:v>
      </x:c>
      <x:c r="N650" s="6" t="n">
        <x:f>ROUNDUP(F650/英雄升级调参!$H$103,0)</x:f>
        <x:v>10</x:v>
      </x:c>
      <x:c r="O650" s="6">
        <x:f>ROUNDUP(F650/英雄升级调参!$K$103,0)</x:f>
        <x:v>6</x:v>
      </x:c>
      <x:c r="P650" s="6" t="str">
        <x:f>$AA$22</x:f>
        <x:v>精英：15次标准普攻击杀；7.5次主要攻击致死</x:v>
      </x:c>
      <x:c r="Q650" s="6"/>
      <x:c r="R650" s="6"/>
      <x:c r="S650" s="6"/>
      <x:c r="T650" s="6"/>
    </x:row>
    <x:row r="651" ht="21" customHeight="1">
      <x:c r="A651" s="14" t="n">
        <x:f>$V$22</x:f>
        <x:v>60009</x:v>
      </x:c>
      <x:c r="B651" s="14" t="str">
        <x:f>$W$22</x:f>
        <x:v>荔枝滚滚</x:v>
      </x:c>
      <x:c r="C651" s="6" t="str">
        <x:f>$X$22</x:f>
        <x:v>精英</x:v>
      </x:c>
      <x:c r="D651" s="6">
        <x:v>39</x:v>
      </x:c>
      <x:c r="E651" s="6">
        <x:v>22</x:v>
      </x:c>
      <x:c r="F651" s="12">
        <x:f>ROUND(J651*$W$4*H651,0)</x:f>
        <x:v>38565</x:v>
      </x:c>
      <x:c r="G651" s="12">
        <x:f>ROUND(J651*$W$4*$W$5*I651,0)</x:f>
        <x:v>17140</x:v>
      </x:c>
      <x:c r="H651" s="11" t="n">
        <x:f>$Y$22</x:f>
        <x:v>3.75</x:v>
      </x:c>
      <x:c r="I651" s="11" t="n">
        <x:f>$Z$22</x:f>
        <x:v>22.22222222222222</x:v>
      </x:c>
      <x:c r="J651" s="12">
        <x:f>英雄升级调参!$E$104</x:f>
        <x:v>2571</x:v>
      </x:c>
      <x:c r="K651" s="12">
        <x:f>英雄升级调参!$F$104</x:f>
        <x:v>25710</x:v>
      </x:c>
      <x:c r="L651" s="6" t="n">
        <x:f>ROUNDUP(F651/J651,0)</x:f>
        <x:v>15</x:v>
      </x:c>
      <x:c r="M651" s="6" t="n">
        <x:f>IF(G651=0,"无伤害",ROUNDUP(K651/MAX(1,ROUND(G651*$AC$22,0)),0))</x:f>
        <x:v>8</x:v>
      </x:c>
      <x:c r="N651" s="6" t="n">
        <x:f>ROUNDUP(F651/英雄升级调参!$H$104,0)</x:f>
        <x:v>10</x:v>
      </x:c>
      <x:c r="O651" s="6">
        <x:f>ROUNDUP(F651/英雄升级调参!$K$104,0)</x:f>
        <x:v>6</x:v>
      </x:c>
      <x:c r="P651" s="6" t="str">
        <x:f>$AA$22</x:f>
        <x:v>精英：15次标准普攻击杀；7.5次主要攻击致死</x:v>
      </x:c>
      <x:c r="Q651" s="6"/>
      <x:c r="R651" s="6"/>
      <x:c r="S651" s="6"/>
      <x:c r="T651" s="6"/>
    </x:row>
    <x:row r="652" ht="21" customHeight="1">
      <x:c r="A652" s="14" t="n">
        <x:f>$V$22</x:f>
        <x:v>60009</x:v>
      </x:c>
      <x:c r="B652" s="14" t="str">
        <x:f>$W$22</x:f>
        <x:v>荔枝滚滚</x:v>
      </x:c>
      <x:c r="C652" s="6" t="str">
        <x:f>$X$22</x:f>
        <x:v>精英</x:v>
      </x:c>
      <x:c r="D652" s="6">
        <x:v>40</x:v>
      </x:c>
      <x:c r="E652" s="6">
        <x:v>22</x:v>
      </x:c>
      <x:c r="F652" s="12">
        <x:f>ROUND(J652*$W$4*H652,0)</x:f>
        <x:v>42210</x:v>
      </x:c>
      <x:c r="G652" s="12">
        <x:f>ROUND(J652*$W$4*$W$5*I652,0)</x:f>
        <x:v>18760</x:v>
      </x:c>
      <x:c r="H652" s="11" t="n">
        <x:f>$Y$22</x:f>
        <x:v>3.75</x:v>
      </x:c>
      <x:c r="I652" s="11" t="n">
        <x:f>$Z$22</x:f>
        <x:v>22.22222222222222</x:v>
      </x:c>
      <x:c r="J652" s="12">
        <x:f>英雄升级调参!$E$105</x:f>
        <x:v>2814</x:v>
      </x:c>
      <x:c r="K652" s="12">
        <x:f>英雄升级调参!$F$105</x:f>
        <x:v>28140</x:v>
      </x:c>
      <x:c r="L652" s="6" t="n">
        <x:f>ROUNDUP(F652/J652,0)</x:f>
        <x:v>15</x:v>
      </x:c>
      <x:c r="M652" s="6" t="n">
        <x:f>IF(G652=0,"无伤害",ROUNDUP(K652/MAX(1,ROUND(G652*$AC$22,0)),0))</x:f>
        <x:v>8</x:v>
      </x:c>
      <x:c r="N652" s="6" t="n">
        <x:f>ROUNDUP(F652/英雄升级调参!$H$105,0)</x:f>
        <x:v>10</x:v>
      </x:c>
      <x:c r="O652" s="6">
        <x:f>ROUNDUP(F652/英雄升级调参!$K$105,0)</x:f>
        <x:v>6</x:v>
      </x:c>
      <x:c r="P652" s="6" t="str">
        <x:f>$AA$22</x:f>
        <x:v>精英：15次标准普攻击杀；7.5次主要攻击致死</x:v>
      </x:c>
      <x:c r="Q652" s="6"/>
      <x:c r="R652" s="6"/>
      <x:c r="S652" s="6"/>
      <x:c r="T652" s="6"/>
    </x:row>
    <x:row r="653" ht="21" customHeight="1">
      <x:c r="A653" s="14" t="n">
        <x:f>$V$22</x:f>
        <x:v>60009</x:v>
      </x:c>
      <x:c r="B653" s="14" t="str">
        <x:f>$W$22</x:f>
        <x:v>荔枝滚滚</x:v>
      </x:c>
      <x:c r="C653" s="6" t="str">
        <x:f>$X$22</x:f>
        <x:v>精英</x:v>
      </x:c>
      <x:c r="D653" s="6">
        <x:v>41</x:v>
      </x:c>
      <x:c r="E653" s="6">
        <x:v>22</x:v>
      </x:c>
      <x:c r="F653" s="12">
        <x:f>ROUND(J653*$W$4*H653,0)</x:f>
        <x:v>43560</x:v>
      </x:c>
      <x:c r="G653" s="12">
        <x:f>ROUND(J653*$W$4*$W$5*I653,0)</x:f>
        <x:v>19360</x:v>
      </x:c>
      <x:c r="H653" s="11" t="n">
        <x:f>$Y$22</x:f>
        <x:v>3.75</x:v>
      </x:c>
      <x:c r="I653" s="11" t="n">
        <x:f>$Z$22</x:f>
        <x:v>22.22222222222222</x:v>
      </x:c>
      <x:c r="J653" s="12">
        <x:f>英雄升级调参!$E$106</x:f>
        <x:v>2904</x:v>
      </x:c>
      <x:c r="K653" s="12">
        <x:f>英雄升级调参!$F$106</x:f>
        <x:v>29040</x:v>
      </x:c>
      <x:c r="L653" s="6" t="n">
        <x:f>ROUNDUP(F653/J653,0)</x:f>
        <x:v>15</x:v>
      </x:c>
      <x:c r="M653" s="6" t="n">
        <x:f>IF(G653=0,"无伤害",ROUNDUP(K653/MAX(1,ROUND(G653*$AC$22,0)),0))</x:f>
        <x:v>8</x:v>
      </x:c>
      <x:c r="N653" s="6" t="n">
        <x:f>ROUNDUP(F653/英雄升级调参!$H$106,0)</x:f>
        <x:v>10</x:v>
      </x:c>
      <x:c r="O653" s="6">
        <x:f>ROUNDUP(F653/英雄升级调参!$K$106,0)</x:f>
        <x:v>6</x:v>
      </x:c>
      <x:c r="P653" s="6" t="str">
        <x:f>$AA$22</x:f>
        <x:v>精英：15次标准普攻击杀；7.5次主要攻击致死</x:v>
      </x:c>
      <x:c r="Q653" s="6"/>
      <x:c r="R653" s="6"/>
      <x:c r="S653" s="6"/>
      <x:c r="T653" s="6"/>
    </x:row>
    <x:row r="654" ht="21" customHeight="1">
      <x:c r="A654" s="14" t="n">
        <x:f>$V$22</x:f>
        <x:v>60009</x:v>
      </x:c>
      <x:c r="B654" s="14" t="str">
        <x:f>$W$22</x:f>
        <x:v>荔枝滚滚</x:v>
      </x:c>
      <x:c r="C654" s="6" t="str">
        <x:f>$X$22</x:f>
        <x:v>精英</x:v>
      </x:c>
      <x:c r="D654" s="6">
        <x:v>42</x:v>
      </x:c>
      <x:c r="E654" s="6">
        <x:v>22</x:v>
      </x:c>
      <x:c r="F654" s="12">
        <x:f>ROUND(J654*$W$4*H654,0)</x:f>
        <x:v>44910</x:v>
      </x:c>
      <x:c r="G654" s="12">
        <x:f>ROUND(J654*$W$4*$W$5*I654,0)</x:f>
        <x:v>19960</x:v>
      </x:c>
      <x:c r="H654" s="11" t="n">
        <x:f>$Y$22</x:f>
        <x:v>3.75</x:v>
      </x:c>
      <x:c r="I654" s="11" t="n">
        <x:f>$Z$22</x:f>
        <x:v>22.22222222222222</x:v>
      </x:c>
      <x:c r="J654" s="12">
        <x:f>英雄升级调参!$E$107</x:f>
        <x:v>2994</x:v>
      </x:c>
      <x:c r="K654" s="12">
        <x:f>英雄升级调参!$F$107</x:f>
        <x:v>29940</x:v>
      </x:c>
      <x:c r="L654" s="6" t="n">
        <x:f>ROUNDUP(F654/J654,0)</x:f>
        <x:v>15</x:v>
      </x:c>
      <x:c r="M654" s="6" t="n">
        <x:f>IF(G654=0,"无伤害",ROUNDUP(K654/MAX(1,ROUND(G654*$AC$22,0)),0))</x:f>
        <x:v>8</x:v>
      </x:c>
      <x:c r="N654" s="6" t="n">
        <x:f>ROUNDUP(F654/英雄升级调参!$H$107,0)</x:f>
        <x:v>10</x:v>
      </x:c>
      <x:c r="O654" s="6">
        <x:f>ROUNDUP(F654/英雄升级调参!$K$107,0)</x:f>
        <x:v>6</x:v>
      </x:c>
      <x:c r="P654" s="6" t="str">
        <x:f>$AA$22</x:f>
        <x:v>精英：15次标准普攻击杀；7.5次主要攻击致死</x:v>
      </x:c>
      <x:c r="Q654" s="6"/>
      <x:c r="R654" s="6"/>
      <x:c r="S654" s="6"/>
      <x:c r="T654" s="6"/>
    </x:row>
    <x:row r="655" ht="21" customHeight="1">
      <x:c r="A655" s="14" t="n">
        <x:f>$V$22</x:f>
        <x:v>60009</x:v>
      </x:c>
      <x:c r="B655" s="14" t="str">
        <x:f>$W$22</x:f>
        <x:v>荔枝滚滚</x:v>
      </x:c>
      <x:c r="C655" s="6" t="str">
        <x:f>$X$22</x:f>
        <x:v>精英</x:v>
      </x:c>
      <x:c r="D655" s="6">
        <x:v>43</x:v>
      </x:c>
      <x:c r="E655" s="6">
        <x:v>22</x:v>
      </x:c>
      <x:c r="F655" s="12">
        <x:f>ROUND(J655*$W$4*H655,0)</x:f>
        <x:v>46260</x:v>
      </x:c>
      <x:c r="G655" s="12">
        <x:f>ROUND(J655*$W$4*$W$5*I655,0)</x:f>
        <x:v>20560</x:v>
      </x:c>
      <x:c r="H655" s="11" t="n">
        <x:f>$Y$22</x:f>
        <x:v>3.75</x:v>
      </x:c>
      <x:c r="I655" s="11" t="n">
        <x:f>$Z$22</x:f>
        <x:v>22.22222222222222</x:v>
      </x:c>
      <x:c r="J655" s="12">
        <x:f>英雄升级调参!$E$108</x:f>
        <x:v>3084</x:v>
      </x:c>
      <x:c r="K655" s="12">
        <x:f>英雄升级调参!$F$108</x:f>
        <x:v>30840</x:v>
      </x:c>
      <x:c r="L655" s="6" t="n">
        <x:f>ROUNDUP(F655/J655,0)</x:f>
        <x:v>15</x:v>
      </x:c>
      <x:c r="M655" s="6" t="n">
        <x:f>IF(G655=0,"无伤害",ROUNDUP(K655/MAX(1,ROUND(G655*$AC$22,0)),0))</x:f>
        <x:v>8</x:v>
      </x:c>
      <x:c r="N655" s="6" t="n">
        <x:f>ROUNDUP(F655/英雄升级调参!$H$108,0)</x:f>
        <x:v>10</x:v>
      </x:c>
      <x:c r="O655" s="6">
        <x:f>ROUNDUP(F655/英雄升级调参!$K$108,0)</x:f>
        <x:v>6</x:v>
      </x:c>
      <x:c r="P655" s="6" t="str">
        <x:f>$AA$22</x:f>
        <x:v>精英：15次标准普攻击杀；7.5次主要攻击致死</x:v>
      </x:c>
      <x:c r="Q655" s="6"/>
      <x:c r="R655" s="6"/>
      <x:c r="S655" s="6"/>
      <x:c r="T655" s="6"/>
    </x:row>
    <x:row r="656" ht="21" customHeight="1">
      <x:c r="A656" s="14" t="n">
        <x:f>$V$22</x:f>
        <x:v>60009</x:v>
      </x:c>
      <x:c r="B656" s="14" t="str">
        <x:f>$W$22</x:f>
        <x:v>荔枝滚滚</x:v>
      </x:c>
      <x:c r="C656" s="6" t="str">
        <x:f>$X$22</x:f>
        <x:v>精英</x:v>
      </x:c>
      <x:c r="D656" s="6">
        <x:v>44</x:v>
      </x:c>
      <x:c r="E656" s="6">
        <x:v>22</x:v>
      </x:c>
      <x:c r="F656" s="12">
        <x:f>ROUND(J656*$W$4*H656,0)</x:f>
        <x:v>47610</x:v>
      </x:c>
      <x:c r="G656" s="12">
        <x:f>ROUND(J656*$W$4*$W$5*I656,0)</x:f>
        <x:v>21160</x:v>
      </x:c>
      <x:c r="H656" s="11" t="n">
        <x:f>$Y$22</x:f>
        <x:v>3.75</x:v>
      </x:c>
      <x:c r="I656" s="11" t="n">
        <x:f>$Z$22</x:f>
        <x:v>22.22222222222222</x:v>
      </x:c>
      <x:c r="J656" s="12">
        <x:f>英雄升级调参!$E$109</x:f>
        <x:v>3174</x:v>
      </x:c>
      <x:c r="K656" s="12">
        <x:f>英雄升级调参!$F$109</x:f>
        <x:v>31740</x:v>
      </x:c>
      <x:c r="L656" s="6" t="n">
        <x:f>ROUNDUP(F656/J656,0)</x:f>
        <x:v>15</x:v>
      </x:c>
      <x:c r="M656" s="6" t="n">
        <x:f>IF(G656=0,"无伤害",ROUNDUP(K656/MAX(1,ROUND(G656*$AC$22,0)),0))</x:f>
        <x:v>8</x:v>
      </x:c>
      <x:c r="N656" s="6" t="n">
        <x:f>ROUNDUP(F656/英雄升级调参!$H$109,0)</x:f>
        <x:v>10</x:v>
      </x:c>
      <x:c r="O656" s="6">
        <x:f>ROUNDUP(F656/英雄升级调参!$K$109,0)</x:f>
        <x:v>6</x:v>
      </x:c>
      <x:c r="P656" s="6" t="str">
        <x:f>$AA$22</x:f>
        <x:v>精英：15次标准普攻击杀；7.5次主要攻击致死</x:v>
      </x:c>
      <x:c r="Q656" s="6"/>
      <x:c r="R656" s="6"/>
      <x:c r="S656" s="6"/>
      <x:c r="T656" s="6"/>
    </x:row>
    <x:row r="657" ht="21" customHeight="1">
      <x:c r="A657" s="14" t="n">
        <x:f>$V$22</x:f>
        <x:v>60009</x:v>
      </x:c>
      <x:c r="B657" s="14" t="str">
        <x:f>$W$22</x:f>
        <x:v>荔枝滚滚</x:v>
      </x:c>
      <x:c r="C657" s="6" t="str">
        <x:f>$X$22</x:f>
        <x:v>精英</x:v>
      </x:c>
      <x:c r="D657" s="6">
        <x:v>45</x:v>
      </x:c>
      <x:c r="E657" s="6">
        <x:v>22</x:v>
      </x:c>
      <x:c r="F657" s="12">
        <x:f>ROUND(J657*$W$4*H657,0)</x:f>
        <x:v>51660</x:v>
      </x:c>
      <x:c r="G657" s="12">
        <x:f>ROUND(J657*$W$4*$W$5*I657,0)</x:f>
        <x:v>22960</x:v>
      </x:c>
      <x:c r="H657" s="11" t="n">
        <x:f>$Y$22</x:f>
        <x:v>3.75</x:v>
      </x:c>
      <x:c r="I657" s="11" t="n">
        <x:f>$Z$22</x:f>
        <x:v>22.22222222222222</x:v>
      </x:c>
      <x:c r="J657" s="12">
        <x:f>英雄升级调参!$E$110</x:f>
        <x:v>3444</x:v>
      </x:c>
      <x:c r="K657" s="12">
        <x:f>英雄升级调参!$F$110</x:f>
        <x:v>34440</x:v>
      </x:c>
      <x:c r="L657" s="6" t="n">
        <x:f>ROUNDUP(F657/J657,0)</x:f>
        <x:v>15</x:v>
      </x:c>
      <x:c r="M657" s="6" t="n">
        <x:f>IF(G657=0,"无伤害",ROUNDUP(K657/MAX(1,ROUND(G657*$AC$22,0)),0))</x:f>
        <x:v>8</x:v>
      </x:c>
      <x:c r="N657" s="6" t="n">
        <x:f>ROUNDUP(F657/英雄升级调参!$H$110,0)</x:f>
        <x:v>10</x:v>
      </x:c>
      <x:c r="O657" s="6">
        <x:f>ROUNDUP(F657/英雄升级调参!$K$110,0)</x:f>
        <x:v>6</x:v>
      </x:c>
      <x:c r="P657" s="6" t="str">
        <x:f>$AA$22</x:f>
        <x:v>精英：15次标准普攻击杀；7.5次主要攻击致死</x:v>
      </x:c>
      <x:c r="Q657" s="6"/>
      <x:c r="R657" s="6"/>
      <x:c r="S657" s="6"/>
      <x:c r="T657" s="6"/>
    </x:row>
    <x:row r="658" ht="21" customHeight="1">
      <x:c r="A658" s="14" t="n">
        <x:f>$V$22</x:f>
        <x:v>60009</x:v>
      </x:c>
      <x:c r="B658" s="14" t="str">
        <x:f>$W$22</x:f>
        <x:v>荔枝滚滚</x:v>
      </x:c>
      <x:c r="C658" s="6" t="str">
        <x:f>$X$22</x:f>
        <x:v>精英</x:v>
      </x:c>
      <x:c r="D658" s="6">
        <x:v>46</x:v>
      </x:c>
      <x:c r="E658" s="6">
        <x:v>22</x:v>
      </x:c>
      <x:c r="F658" s="12">
        <x:f>ROUND(J658*$W$4*H658,0)</x:f>
        <x:v>53145</x:v>
      </x:c>
      <x:c r="G658" s="12">
        <x:f>ROUND(J658*$W$4*$W$5*I658,0)</x:f>
        <x:v>23620</x:v>
      </x:c>
      <x:c r="H658" s="11" t="n">
        <x:f>$Y$22</x:f>
        <x:v>3.75</x:v>
      </x:c>
      <x:c r="I658" s="11" t="n">
        <x:f>$Z$22</x:f>
        <x:v>22.22222222222222</x:v>
      </x:c>
      <x:c r="J658" s="12">
        <x:f>英雄升级调参!$E$111</x:f>
        <x:v>3543</x:v>
      </x:c>
      <x:c r="K658" s="12">
        <x:f>英雄升级调参!$F$111</x:f>
        <x:v>35430</x:v>
      </x:c>
      <x:c r="L658" s="6" t="n">
        <x:f>ROUNDUP(F658/J658,0)</x:f>
        <x:v>15</x:v>
      </x:c>
      <x:c r="M658" s="6" t="n">
        <x:f>IF(G658=0,"无伤害",ROUNDUP(K658/MAX(1,ROUND(G658*$AC$22,0)),0))</x:f>
        <x:v>8</x:v>
      </x:c>
      <x:c r="N658" s="6" t="n">
        <x:f>ROUNDUP(F658/英雄升级调参!$H$111,0)</x:f>
        <x:v>10</x:v>
      </x:c>
      <x:c r="O658" s="6">
        <x:f>ROUNDUP(F658/英雄升级调参!$K$111,0)</x:f>
        <x:v>6</x:v>
      </x:c>
      <x:c r="P658" s="6" t="str">
        <x:f>$AA$22</x:f>
        <x:v>精英：15次标准普攻击杀；7.5次主要攻击致死</x:v>
      </x:c>
      <x:c r="Q658" s="6"/>
      <x:c r="R658" s="6"/>
      <x:c r="S658" s="6"/>
      <x:c r="T658" s="6"/>
    </x:row>
    <x:row r="659" ht="21" customHeight="1">
      <x:c r="A659" s="14" t="n">
        <x:f>$V$22</x:f>
        <x:v>60009</x:v>
      </x:c>
      <x:c r="B659" s="14" t="str">
        <x:f>$W$22</x:f>
        <x:v>荔枝滚滚</x:v>
      </x:c>
      <x:c r="C659" s="6" t="str">
        <x:f>$X$22</x:f>
        <x:v>精英</x:v>
      </x:c>
      <x:c r="D659" s="6">
        <x:v>47</x:v>
      </x:c>
      <x:c r="E659" s="6">
        <x:v>22</x:v>
      </x:c>
      <x:c r="F659" s="12">
        <x:f>ROUND(J659*$W$4*H659,0)</x:f>
        <x:v>54630</x:v>
      </x:c>
      <x:c r="G659" s="12">
        <x:f>ROUND(J659*$W$4*$W$5*I659,0)</x:f>
        <x:v>24280</x:v>
      </x:c>
      <x:c r="H659" s="11" t="n">
        <x:f>$Y$22</x:f>
        <x:v>3.75</x:v>
      </x:c>
      <x:c r="I659" s="11" t="n">
        <x:f>$Z$22</x:f>
        <x:v>22.22222222222222</x:v>
      </x:c>
      <x:c r="J659" s="12">
        <x:f>英雄升级调参!$E$112</x:f>
        <x:v>3642</x:v>
      </x:c>
      <x:c r="K659" s="12">
        <x:f>英雄升级调参!$F$112</x:f>
        <x:v>36420</x:v>
      </x:c>
      <x:c r="L659" s="6" t="n">
        <x:f>ROUNDUP(F659/J659,0)</x:f>
        <x:v>15</x:v>
      </x:c>
      <x:c r="M659" s="6" t="n">
        <x:f>IF(G659=0,"无伤害",ROUNDUP(K659/MAX(1,ROUND(G659*$AC$22,0)),0))</x:f>
        <x:v>8</x:v>
      </x:c>
      <x:c r="N659" s="6" t="n">
        <x:f>ROUNDUP(F659/英雄升级调参!$H$112,0)</x:f>
        <x:v>10</x:v>
      </x:c>
      <x:c r="O659" s="6">
        <x:f>ROUNDUP(F659/英雄升级调参!$K$112,0)</x:f>
        <x:v>6</x:v>
      </x:c>
      <x:c r="P659" s="6" t="str">
        <x:f>$AA$22</x:f>
        <x:v>精英：15次标准普攻击杀；7.5次主要攻击致死</x:v>
      </x:c>
      <x:c r="Q659" s="6"/>
      <x:c r="R659" s="6"/>
      <x:c r="S659" s="6"/>
      <x:c r="T659" s="6"/>
    </x:row>
    <x:row r="660" ht="21" customHeight="1">
      <x:c r="A660" s="14" t="n">
        <x:f>$V$22</x:f>
        <x:v>60009</x:v>
      </x:c>
      <x:c r="B660" s="14" t="str">
        <x:f>$W$22</x:f>
        <x:v>荔枝滚滚</x:v>
      </x:c>
      <x:c r="C660" s="6" t="str">
        <x:f>$X$22</x:f>
        <x:v>精英</x:v>
      </x:c>
      <x:c r="D660" s="6">
        <x:v>48</x:v>
      </x:c>
      <x:c r="E660" s="6">
        <x:v>22</x:v>
      </x:c>
      <x:c r="F660" s="12">
        <x:f>ROUND(J660*$W$4*H660,0)</x:f>
        <x:v>56115</x:v>
      </x:c>
      <x:c r="G660" s="12">
        <x:f>ROUND(J660*$W$4*$W$5*I660,0)</x:f>
        <x:v>24940</x:v>
      </x:c>
      <x:c r="H660" s="11" t="n">
        <x:f>$Y$22</x:f>
        <x:v>3.75</x:v>
      </x:c>
      <x:c r="I660" s="11" t="n">
        <x:f>$Z$22</x:f>
        <x:v>22.22222222222222</x:v>
      </x:c>
      <x:c r="J660" s="12">
        <x:f>英雄升级调参!$E$113</x:f>
        <x:v>3741</x:v>
      </x:c>
      <x:c r="K660" s="12">
        <x:f>英雄升级调参!$F$113</x:f>
        <x:v>37410</x:v>
      </x:c>
      <x:c r="L660" s="6" t="n">
        <x:f>ROUNDUP(F660/J660,0)</x:f>
        <x:v>15</x:v>
      </x:c>
      <x:c r="M660" s="6" t="n">
        <x:f>IF(G660=0,"无伤害",ROUNDUP(K660/MAX(1,ROUND(G660*$AC$22,0)),0))</x:f>
        <x:v>8</x:v>
      </x:c>
      <x:c r="N660" s="6" t="n">
        <x:f>ROUNDUP(F660/英雄升级调参!$H$113,0)</x:f>
        <x:v>10</x:v>
      </x:c>
      <x:c r="O660" s="6">
        <x:f>ROUNDUP(F660/英雄升级调参!$K$113,0)</x:f>
        <x:v>6</x:v>
      </x:c>
      <x:c r="P660" s="6" t="str">
        <x:f>$AA$22</x:f>
        <x:v>精英：15次标准普攻击杀；7.5次主要攻击致死</x:v>
      </x:c>
      <x:c r="Q660" s="6"/>
      <x:c r="R660" s="6"/>
      <x:c r="S660" s="6"/>
      <x:c r="T660" s="6"/>
    </x:row>
    <x:row r="661" ht="21" customHeight="1">
      <x:c r="A661" s="14" t="n">
        <x:f>$V$22</x:f>
        <x:v>60009</x:v>
      </x:c>
      <x:c r="B661" s="14" t="str">
        <x:f>$W$22</x:f>
        <x:v>荔枝滚滚</x:v>
      </x:c>
      <x:c r="C661" s="6" t="str">
        <x:f>$X$22</x:f>
        <x:v>精英</x:v>
      </x:c>
      <x:c r="D661" s="6">
        <x:v>49</x:v>
      </x:c>
      <x:c r="E661" s="6">
        <x:v>22</x:v>
      </x:c>
      <x:c r="F661" s="12">
        <x:f>ROUND(J661*$W$4*H661,0)</x:f>
        <x:v>57600</x:v>
      </x:c>
      <x:c r="G661" s="12">
        <x:f>ROUND(J661*$W$4*$W$5*I661,0)</x:f>
        <x:v>25600</x:v>
      </x:c>
      <x:c r="H661" s="11" t="n">
        <x:f>$Y$22</x:f>
        <x:v>3.75</x:v>
      </x:c>
      <x:c r="I661" s="11" t="n">
        <x:f>$Z$22</x:f>
        <x:v>22.22222222222222</x:v>
      </x:c>
      <x:c r="J661" s="12">
        <x:f>英雄升级调参!$E$114</x:f>
        <x:v>3840</x:v>
      </x:c>
      <x:c r="K661" s="12">
        <x:f>英雄升级调参!$F$114</x:f>
        <x:v>38400</x:v>
      </x:c>
      <x:c r="L661" s="6" t="n">
        <x:f>ROUNDUP(F661/J661,0)</x:f>
        <x:v>15</x:v>
      </x:c>
      <x:c r="M661" s="6" t="n">
        <x:f>IF(G661=0,"无伤害",ROUNDUP(K661/MAX(1,ROUND(G661*$AC$22,0)),0))</x:f>
        <x:v>8</x:v>
      </x:c>
      <x:c r="N661" s="6" t="n">
        <x:f>ROUNDUP(F661/英雄升级调参!$H$114,0)</x:f>
        <x:v>10</x:v>
      </x:c>
      <x:c r="O661" s="6">
        <x:f>ROUNDUP(F661/英雄升级调参!$K$114,0)</x:f>
        <x:v>6</x:v>
      </x:c>
      <x:c r="P661" s="6" t="str">
        <x:f>$AA$22</x:f>
        <x:v>精英：15次标准普攻击杀；7.5次主要攻击致死</x:v>
      </x:c>
      <x:c r="Q661" s="6"/>
      <x:c r="R661" s="6"/>
      <x:c r="S661" s="6"/>
      <x:c r="T661" s="6"/>
    </x:row>
    <x:row r="662" ht="21" customHeight="1">
      <x:c r="A662" s="14" t="n">
        <x:f>$V$22</x:f>
        <x:v>60009</x:v>
      </x:c>
      <x:c r="B662" s="14" t="str">
        <x:f>$W$22</x:f>
        <x:v>荔枝滚滚</x:v>
      </x:c>
      <x:c r="C662" s="6" t="str">
        <x:f>$X$22</x:f>
        <x:v>精英</x:v>
      </x:c>
      <x:c r="D662" s="6">
        <x:v>50</x:v>
      </x:c>
      <x:c r="E662" s="6">
        <x:v>22</x:v>
      </x:c>
      <x:c r="F662" s="12">
        <x:f>ROUND(J662*$W$4*H662,0)</x:f>
        <x:v>62055</x:v>
      </x:c>
      <x:c r="G662" s="12">
        <x:f>ROUND(J662*$W$4*$W$5*I662,0)</x:f>
        <x:v>27580</x:v>
      </x:c>
      <x:c r="H662" s="11" t="n">
        <x:f>$Y$22</x:f>
        <x:v>3.75</x:v>
      </x:c>
      <x:c r="I662" s="11" t="n">
        <x:f>$Z$22</x:f>
        <x:v>22.22222222222222</x:v>
      </x:c>
      <x:c r="J662" s="12">
        <x:f>英雄升级调参!$E$115</x:f>
        <x:v>4137</x:v>
      </x:c>
      <x:c r="K662" s="12">
        <x:f>英雄升级调参!$F$115</x:f>
        <x:v>41370</x:v>
      </x:c>
      <x:c r="L662" s="6" t="n">
        <x:f>ROUNDUP(F662/J662,0)</x:f>
        <x:v>15</x:v>
      </x:c>
      <x:c r="M662" s="6" t="n">
        <x:f>IF(G662=0,"无伤害",ROUNDUP(K662/MAX(1,ROUND(G662*$AC$22,0)),0))</x:f>
        <x:v>8</x:v>
      </x:c>
      <x:c r="N662" s="6" t="n">
        <x:f>ROUNDUP(F662/英雄升级调参!$H$115,0)</x:f>
        <x:v>10</x:v>
      </x:c>
      <x:c r="O662" s="6">
        <x:f>ROUNDUP(F662/英雄升级调参!$K$115,0)</x:f>
        <x:v>6</x:v>
      </x:c>
      <x:c r="P662" s="6" t="str">
        <x:f>$AA$22</x:f>
        <x:v>精英：15次标准普攻击杀；7.5次主要攻击致死</x:v>
      </x:c>
      <x:c r="Q662" s="6"/>
      <x:c r="R662" s="6"/>
      <x:c r="S662" s="6"/>
      <x:c r="T662" s="6"/>
    </x:row>
    <x:row r="663" ht="21" customHeight="1">
      <x:c r="A663" s="14" t="n">
        <x:f>$V$23</x:f>
        <x:v>60010</x:v>
      </x:c>
      <x:c r="B663" s="14" t="str">
        <x:f>$W$23</x:f>
        <x:v>双刀西瓜</x:v>
      </x:c>
      <x:c r="C663" s="6" t="str">
        <x:f>$X$23</x:f>
        <x:v>精英</x:v>
      </x:c>
      <x:c r="D663" s="6">
        <x:v>1</x:v>
      </x:c>
      <x:c r="E663" s="6">
        <x:v>23</x:v>
      </x:c>
      <x:c r="F663" s="12" t="n">
        <x:f>ROUND(J663*$W$4*H663,0)</x:f>
        <x:v>900</x:v>
      </x:c>
      <x:c r="G663" s="12">
        <x:f>ROUND((ROUND(J663*$W$4*$W$5*I663,0))*2/3,0)</x:f>
        <x:v>53</x:v>
      </x:c>
      <x:c r="H663" s="11" t="n">
        <x:f>$Y$23</x:f>
        <x:v>3.75</x:v>
      </x:c>
      <x:c r="I663" s="11" t="n">
        <x:f>$Z$23</x:f>
        <x:v>4.444444444444445</x:v>
      </x:c>
      <x:c r="J663" s="12" t="n">
        <x:f>英雄升级调参!$E$66</x:f>
        <x:v>60</x:v>
      </x:c>
      <x:c r="K663" s="12" t="n">
        <x:f>英雄升级调参!$F$66</x:f>
        <x:v>600</x:v>
      </x:c>
      <x:c r="L663" s="6" t="n">
        <x:f>ROUNDUP(F663/J663,0)</x:f>
        <x:v>15</x:v>
      </x:c>
      <x:c r="M663" s="6">
        <x:f>IF(G663=0,"无伤害",ROUNDUP(K663/MAX(1,ROUND(G663*$AC$23,0)),0))</x:f>
        <x:v>12</x:v>
      </x:c>
      <x:c r="N663" s="6">
        <x:f>ROUNDUP(F663/英雄升级调参!$H$66,0)</x:f>
        <x:v>5</x:v>
      </x:c>
      <x:c r="O663" s="6">
        <x:f>ROUNDUP(F663/英雄升级调参!$K$66,0)</x:f>
        <x:v>3</x:v>
      </x:c>
      <x:c r="P663" s="6" t="str">
        <x:f>$AA$23</x:f>
        <x:v>精英：15次标准普攻击杀；7.5次主要攻击致死</x:v>
      </x:c>
      <x:c r="Q663" s="6"/>
      <x:c r="R663" s="6"/>
      <x:c r="S663" s="6"/>
      <x:c r="T663" s="6"/>
    </x:row>
    <x:row r="664" ht="21" customHeight="1">
      <x:c r="A664" s="14" t="n">
        <x:f>$V$23</x:f>
        <x:v>60010</x:v>
      </x:c>
      <x:c r="B664" s="14" t="str">
        <x:f>$W$23</x:f>
        <x:v>双刀西瓜</x:v>
      </x:c>
      <x:c r="C664" s="6" t="str">
        <x:f>$X$23</x:f>
        <x:v>精英</x:v>
      </x:c>
      <x:c r="D664" s="6">
        <x:v>2</x:v>
      </x:c>
      <x:c r="E664" s="6">
        <x:v>23</x:v>
      </x:c>
      <x:c r="F664" s="12">
        <x:f>ROUND(J664*$W$4*H664,0)</x:f>
        <x:v>1170</x:v>
      </x:c>
      <x:c r="G664" s="12">
        <x:f>ROUND(J664*$W$4*$W$5*I664,0)</x:f>
        <x:v>104</x:v>
      </x:c>
      <x:c r="H664" s="11" t="n">
        <x:f>$Y$23</x:f>
        <x:v>3.75</x:v>
      </x:c>
      <x:c r="I664" s="11" t="n">
        <x:f>$Z$23</x:f>
        <x:v>4.444444444444445</x:v>
      </x:c>
      <x:c r="J664" s="12">
        <x:f>英雄升级调参!$E$67</x:f>
        <x:v>78</x:v>
      </x:c>
      <x:c r="K664" s="12">
        <x:f>英雄升级调参!$F$67</x:f>
        <x:v>780</x:v>
      </x:c>
      <x:c r="L664" s="6" t="n">
        <x:f>ROUNDUP(F664/J664,0)</x:f>
        <x:v>15</x:v>
      </x:c>
      <x:c r="M664" s="6" t="n">
        <x:f>IF(G664=0,"无伤害",ROUNDUP(K664/MAX(1,ROUND(G664*$AC$23,0)),0))</x:f>
        <x:v>8</x:v>
      </x:c>
      <x:c r="N664" s="6">
        <x:f>ROUNDUP(F664/英雄升级调参!$H$67,0)</x:f>
        <x:v>6</x:v>
      </x:c>
      <x:c r="O664" s="6">
        <x:f>ROUNDUP(F664/英雄升级调参!$K$67,0)</x:f>
        <x:v>3</x:v>
      </x:c>
      <x:c r="P664" s="6" t="str">
        <x:f>$AA$23</x:f>
        <x:v>精英：15次标准普攻击杀；7.5次主要攻击致死</x:v>
      </x:c>
      <x:c r="Q664" s="6"/>
      <x:c r="R664" s="6"/>
      <x:c r="S664" s="6"/>
      <x:c r="T664" s="6"/>
    </x:row>
    <x:row r="665" ht="21" customHeight="1">
      <x:c r="A665" s="14" t="n">
        <x:f>$V$23</x:f>
        <x:v>60010</x:v>
      </x:c>
      <x:c r="B665" s="14" t="str">
        <x:f>$W$23</x:f>
        <x:v>双刀西瓜</x:v>
      </x:c>
      <x:c r="C665" s="6" t="str">
        <x:f>$X$23</x:f>
        <x:v>精英</x:v>
      </x:c>
      <x:c r="D665" s="6">
        <x:v>3</x:v>
      </x:c>
      <x:c r="E665" s="6">
        <x:v>23</x:v>
      </x:c>
      <x:c r="F665" s="12">
        <x:f>ROUND(J665*$W$4*H665,0)</x:f>
        <x:v>1440</x:v>
      </x:c>
      <x:c r="G665" s="12">
        <x:f>ROUND(J665*$W$4*$W$5*I665,0)</x:f>
        <x:v>128</x:v>
      </x:c>
      <x:c r="H665" s="11" t="n">
        <x:f>$Y$23</x:f>
        <x:v>3.75</x:v>
      </x:c>
      <x:c r="I665" s="11" t="n">
        <x:f>$Z$23</x:f>
        <x:v>4.444444444444445</x:v>
      </x:c>
      <x:c r="J665" s="12">
        <x:f>英雄升级调参!$E$68</x:f>
        <x:v>96</x:v>
      </x:c>
      <x:c r="K665" s="12">
        <x:f>英雄升级调参!$F$68</x:f>
        <x:v>960</x:v>
      </x:c>
      <x:c r="L665" s="6" t="n">
        <x:f>ROUNDUP(F665/J665,0)</x:f>
        <x:v>15</x:v>
      </x:c>
      <x:c r="M665" s="6" t="n">
        <x:f>IF(G665=0,"无伤害",ROUNDUP(K665/MAX(1,ROUND(G665*$AC$23,0)),0))</x:f>
        <x:v>8</x:v>
      </x:c>
      <x:c r="N665" s="6">
        <x:f>ROUNDUP(F665/英雄升级调参!$H$68,0)</x:f>
        <x:v>6</x:v>
      </x:c>
      <x:c r="O665" s="6">
        <x:f>ROUNDUP(F665/英雄升级调参!$K$68,0)</x:f>
        <x:v>4</x:v>
      </x:c>
      <x:c r="P665" s="6" t="str">
        <x:f>$AA$23</x:f>
        <x:v>精英：15次标准普攻击杀；7.5次主要攻击致死</x:v>
      </x:c>
      <x:c r="Q665" s="6"/>
      <x:c r="R665" s="6"/>
      <x:c r="S665" s="6"/>
      <x:c r="T665" s="6"/>
    </x:row>
    <x:row r="666" ht="21" customHeight="1">
      <x:c r="A666" s="14" t="n">
        <x:f>$V$23</x:f>
        <x:v>60010</x:v>
      </x:c>
      <x:c r="B666" s="14" t="str">
        <x:f>$W$23</x:f>
        <x:v>双刀西瓜</x:v>
      </x:c>
      <x:c r="C666" s="6" t="str">
        <x:f>$X$23</x:f>
        <x:v>精英</x:v>
      </x:c>
      <x:c r="D666" s="6">
        <x:v>4</x:v>
      </x:c>
      <x:c r="E666" s="6">
        <x:v>23</x:v>
      </x:c>
      <x:c r="F666" s="12">
        <x:f>ROUND(J666*$W$4*H666,0)</x:f>
        <x:v>1710</x:v>
      </x:c>
      <x:c r="G666" s="12">
        <x:f>ROUND(J666*$W$4*$W$5*I666,0)</x:f>
        <x:v>152</x:v>
      </x:c>
      <x:c r="H666" s="11" t="n">
        <x:f>$Y$23</x:f>
        <x:v>3.75</x:v>
      </x:c>
      <x:c r="I666" s="11" t="n">
        <x:f>$Z$23</x:f>
        <x:v>4.444444444444445</x:v>
      </x:c>
      <x:c r="J666" s="12">
        <x:f>英雄升级调参!$E$69</x:f>
        <x:v>114</x:v>
      </x:c>
      <x:c r="K666" s="12">
        <x:f>英雄升级调参!$F$69</x:f>
        <x:v>1140</x:v>
      </x:c>
      <x:c r="L666" s="6" t="n">
        <x:f>ROUNDUP(F666/J666,0)</x:f>
        <x:v>15</x:v>
      </x:c>
      <x:c r="M666" s="6" t="n">
        <x:f>IF(G666=0,"无伤害",ROUNDUP(K666/MAX(1,ROUND(G666*$AC$23,0)),0))</x:f>
        <x:v>8</x:v>
      </x:c>
      <x:c r="N666" s="6">
        <x:f>ROUNDUP(F666/英雄升级调参!$H$69,0)</x:f>
        <x:v>7</x:v>
      </x:c>
      <x:c r="O666" s="6">
        <x:f>ROUNDUP(F666/英雄升级调参!$K$69,0)</x:f>
        <x:v>4</x:v>
      </x:c>
      <x:c r="P666" s="6" t="str">
        <x:f>$AA$23</x:f>
        <x:v>精英：15次标准普攻击杀；7.5次主要攻击致死</x:v>
      </x:c>
      <x:c r="Q666" s="6"/>
      <x:c r="R666" s="6"/>
      <x:c r="S666" s="6"/>
      <x:c r="T666" s="6"/>
    </x:row>
    <x:row r="667" ht="21" customHeight="1">
      <x:c r="A667" s="14" t="n">
        <x:f>$V$23</x:f>
        <x:v>60010</x:v>
      </x:c>
      <x:c r="B667" s="14" t="str">
        <x:f>$W$23</x:f>
        <x:v>双刀西瓜</x:v>
      </x:c>
      <x:c r="C667" s="6" t="str">
        <x:f>$X$23</x:f>
        <x:v>精英</x:v>
      </x:c>
      <x:c r="D667" s="6">
        <x:v>5</x:v>
      </x:c>
      <x:c r="E667" s="6">
        <x:v>23</x:v>
      </x:c>
      <x:c r="F667" s="12">
        <x:f>ROUND(J667*$W$4*H667,0)</x:f>
        <x:v>2520</x:v>
      </x:c>
      <x:c r="G667" s="12">
        <x:f>ROUND(J667*$W$4*$W$5*I667,0)</x:f>
        <x:v>224</x:v>
      </x:c>
      <x:c r="H667" s="11" t="n">
        <x:f>$Y$23</x:f>
        <x:v>3.75</x:v>
      </x:c>
      <x:c r="I667" s="11" t="n">
        <x:f>$Z$23</x:f>
        <x:v>4.444444444444445</x:v>
      </x:c>
      <x:c r="J667" s="12">
        <x:f>英雄升级调参!$E$70</x:f>
        <x:v>168</x:v>
      </x:c>
      <x:c r="K667" s="12">
        <x:f>英雄升级调参!$F$70</x:f>
        <x:v>1680</x:v>
      </x:c>
      <x:c r="L667" s="6" t="n">
        <x:f>ROUNDUP(F667/J667,0)</x:f>
        <x:v>15</x:v>
      </x:c>
      <x:c r="M667" s="6" t="n">
        <x:f>IF(G667=0,"无伤害",ROUNDUP(K667/MAX(1,ROUND(G667*$AC$23,0)),0))</x:f>
        <x:v>8</x:v>
      </x:c>
      <x:c r="N667" s="6">
        <x:f>ROUNDUP(F667/英雄升级调参!$H$70,0)</x:f>
        <x:v>8</x:v>
      </x:c>
      <x:c r="O667" s="6">
        <x:f>ROUNDUP(F667/英雄升级调参!$K$70,0)</x:f>
        <x:v>5</x:v>
      </x:c>
      <x:c r="P667" s="6" t="str">
        <x:f>$AA$23</x:f>
        <x:v>精英：15次标准普攻击杀；7.5次主要攻击致死</x:v>
      </x:c>
      <x:c r="Q667" s="6"/>
      <x:c r="R667" s="6"/>
      <x:c r="S667" s="6"/>
      <x:c r="T667" s="6"/>
    </x:row>
    <x:row r="668" ht="21" customHeight="1">
      <x:c r="A668" s="14" t="n">
        <x:f>$V$23</x:f>
        <x:v>60010</x:v>
      </x:c>
      <x:c r="B668" s="14" t="str">
        <x:f>$W$23</x:f>
        <x:v>双刀西瓜</x:v>
      </x:c>
      <x:c r="C668" s="6" t="str">
        <x:f>$X$23</x:f>
        <x:v>精英</x:v>
      </x:c>
      <x:c r="D668" s="6">
        <x:v>6</x:v>
      </x:c>
      <x:c r="E668" s="6">
        <x:v>23</x:v>
      </x:c>
      <x:c r="F668" s="12">
        <x:f>ROUND(J668*$W$4*H668,0)</x:f>
        <x:v>2925</x:v>
      </x:c>
      <x:c r="G668" s="12">
        <x:f>ROUND(J668*$W$4*$W$5*I668,0)</x:f>
        <x:v>260</x:v>
      </x:c>
      <x:c r="H668" s="11" t="n">
        <x:f>$Y$23</x:f>
        <x:v>3.75</x:v>
      </x:c>
      <x:c r="I668" s="11" t="n">
        <x:f>$Z$23</x:f>
        <x:v>4.444444444444445</x:v>
      </x:c>
      <x:c r="J668" s="12">
        <x:f>英雄升级调参!$E$71</x:f>
        <x:v>195</x:v>
      </x:c>
      <x:c r="K668" s="12">
        <x:f>英雄升级调参!$F$71</x:f>
        <x:v>1950</x:v>
      </x:c>
      <x:c r="L668" s="6" t="n">
        <x:f>ROUNDUP(F668/J668,0)</x:f>
        <x:v>15</x:v>
      </x:c>
      <x:c r="M668" s="6" t="n">
        <x:f>IF(G668=0,"无伤害",ROUNDUP(K668/MAX(1,ROUND(G668*$AC$23,0)),0))</x:f>
        <x:v>8</x:v>
      </x:c>
      <x:c r="N668" s="6">
        <x:f>ROUNDUP(F668/英雄升级调参!$H$71,0)</x:f>
        <x:v>8</x:v>
      </x:c>
      <x:c r="O668" s="6">
        <x:f>ROUNDUP(F668/英雄升级调参!$K$71,0)</x:f>
        <x:v>5</x:v>
      </x:c>
      <x:c r="P668" s="6" t="str">
        <x:f>$AA$23</x:f>
        <x:v>精英：15次标准普攻击杀；7.5次主要攻击致死</x:v>
      </x:c>
      <x:c r="Q668" s="6"/>
      <x:c r="R668" s="6"/>
      <x:c r="S668" s="6"/>
      <x:c r="T668" s="6"/>
    </x:row>
    <x:row r="669" ht="21" customHeight="1">
      <x:c r="A669" s="14" t="n">
        <x:f>$V$23</x:f>
        <x:v>60010</x:v>
      </x:c>
      <x:c r="B669" s="14" t="str">
        <x:f>$W$23</x:f>
        <x:v>双刀西瓜</x:v>
      </x:c>
      <x:c r="C669" s="6" t="str">
        <x:f>$X$23</x:f>
        <x:v>精英</x:v>
      </x:c>
      <x:c r="D669" s="6">
        <x:v>7</x:v>
      </x:c>
      <x:c r="E669" s="6">
        <x:v>23</x:v>
      </x:c>
      <x:c r="F669" s="12">
        <x:f>ROUND(J669*$W$4*H669,0)</x:f>
        <x:v>3330</x:v>
      </x:c>
      <x:c r="G669" s="12">
        <x:f>ROUND(J669*$W$4*$W$5*I669,0)</x:f>
        <x:v>296</x:v>
      </x:c>
      <x:c r="H669" s="11" t="n">
        <x:f>$Y$23</x:f>
        <x:v>3.75</x:v>
      </x:c>
      <x:c r="I669" s="11" t="n">
        <x:f>$Z$23</x:f>
        <x:v>4.444444444444445</x:v>
      </x:c>
      <x:c r="J669" s="12">
        <x:f>英雄升级调参!$E$72</x:f>
        <x:v>222</x:v>
      </x:c>
      <x:c r="K669" s="12">
        <x:f>英雄升级调参!$F$72</x:f>
        <x:v>2220</x:v>
      </x:c>
      <x:c r="L669" s="6" t="n">
        <x:f>ROUNDUP(F669/J669,0)</x:f>
        <x:v>15</x:v>
      </x:c>
      <x:c r="M669" s="6" t="n">
        <x:f>IF(G669=0,"无伤害",ROUNDUP(K669/MAX(1,ROUND(G669*$AC$23,0)),0))</x:f>
        <x:v>8</x:v>
      </x:c>
      <x:c r="N669" s="6">
        <x:f>ROUNDUP(F669/英雄升级调参!$H$72,0)</x:f>
        <x:v>8</x:v>
      </x:c>
      <x:c r="O669" s="6">
        <x:f>ROUNDUP(F669/英雄升级调参!$K$72,0)</x:f>
        <x:v>5</x:v>
      </x:c>
      <x:c r="P669" s="6" t="str">
        <x:f>$AA$23</x:f>
        <x:v>精英：15次标准普攻击杀；7.5次主要攻击致死</x:v>
      </x:c>
      <x:c r="Q669" s="6"/>
      <x:c r="R669" s="6"/>
      <x:c r="S669" s="6"/>
      <x:c r="T669" s="6"/>
    </x:row>
    <x:row r="670" ht="21" customHeight="1">
      <x:c r="A670" s="14" t="n">
        <x:f>$V$23</x:f>
        <x:v>60010</x:v>
      </x:c>
      <x:c r="B670" s="14" t="str">
        <x:f>$W$23</x:f>
        <x:v>双刀西瓜</x:v>
      </x:c>
      <x:c r="C670" s="6" t="str">
        <x:f>$X$23</x:f>
        <x:v>精英</x:v>
      </x:c>
      <x:c r="D670" s="6">
        <x:v>8</x:v>
      </x:c>
      <x:c r="E670" s="6">
        <x:v>23</x:v>
      </x:c>
      <x:c r="F670" s="12">
        <x:f>ROUND(J670*$W$4*H670,0)</x:f>
        <x:v>3735</x:v>
      </x:c>
      <x:c r="G670" s="12">
        <x:f>ROUND(J670*$W$4*$W$5*I670,0)</x:f>
        <x:v>332</x:v>
      </x:c>
      <x:c r="H670" s="11" t="n">
        <x:f>$Y$23</x:f>
        <x:v>3.75</x:v>
      </x:c>
      <x:c r="I670" s="11" t="n">
        <x:f>$Z$23</x:f>
        <x:v>4.444444444444445</x:v>
      </x:c>
      <x:c r="J670" s="12">
        <x:f>英雄升级调参!$E$73</x:f>
        <x:v>249</x:v>
      </x:c>
      <x:c r="K670" s="12">
        <x:f>英雄升级调参!$F$73</x:f>
        <x:v>2490</x:v>
      </x:c>
      <x:c r="L670" s="6" t="n">
        <x:f>ROUNDUP(F670/J670,0)</x:f>
        <x:v>15</x:v>
      </x:c>
      <x:c r="M670" s="6" t="n">
        <x:f>IF(G670=0,"无伤害",ROUNDUP(K670/MAX(1,ROUND(G670*$AC$23,0)),0))</x:f>
        <x:v>8</x:v>
      </x:c>
      <x:c r="N670" s="6">
        <x:f>ROUNDUP(F670/英雄升级调参!$H$73,0)</x:f>
        <x:v>8</x:v>
      </x:c>
      <x:c r="O670" s="6">
        <x:f>ROUNDUP(F670/英雄升级调参!$K$73,0)</x:f>
        <x:v>5</x:v>
      </x:c>
      <x:c r="P670" s="6" t="str">
        <x:f>$AA$23</x:f>
        <x:v>精英：15次标准普攻击杀；7.5次主要攻击致死</x:v>
      </x:c>
      <x:c r="Q670" s="6"/>
      <x:c r="R670" s="6"/>
      <x:c r="S670" s="6"/>
      <x:c r="T670" s="6"/>
    </x:row>
    <x:row r="671" ht="21" customHeight="1">
      <x:c r="A671" s="14" t="n">
        <x:f>$V$23</x:f>
        <x:v>60010</x:v>
      </x:c>
      <x:c r="B671" s="14" t="str">
        <x:f>$W$23</x:f>
        <x:v>双刀西瓜</x:v>
      </x:c>
      <x:c r="C671" s="6" t="str">
        <x:f>$X$23</x:f>
        <x:v>精英</x:v>
      </x:c>
      <x:c r="D671" s="6">
        <x:v>9</x:v>
      </x:c>
      <x:c r="E671" s="6">
        <x:v>23</x:v>
      </x:c>
      <x:c r="F671" s="12">
        <x:f>ROUND(J671*$W$4*H671,0)</x:f>
        <x:v>4140</x:v>
      </x:c>
      <x:c r="G671" s="12">
        <x:f>ROUND(J671*$W$4*$W$5*I671,0)</x:f>
        <x:v>368</x:v>
      </x:c>
      <x:c r="H671" s="11" t="n">
        <x:f>$Y$23</x:f>
        <x:v>3.75</x:v>
      </x:c>
      <x:c r="I671" s="11" t="n">
        <x:f>$Z$23</x:f>
        <x:v>4.444444444444445</x:v>
      </x:c>
      <x:c r="J671" s="12">
        <x:f>英雄升级调参!$E$74</x:f>
        <x:v>276</x:v>
      </x:c>
      <x:c r="K671" s="12">
        <x:f>英雄升级调参!$F$74</x:f>
        <x:v>2760</x:v>
      </x:c>
      <x:c r="L671" s="6" t="n">
        <x:f>ROUNDUP(F671/J671,0)</x:f>
        <x:v>15</x:v>
      </x:c>
      <x:c r="M671" s="6" t="n">
        <x:f>IF(G671=0,"无伤害",ROUNDUP(K671/MAX(1,ROUND(G671*$AC$23,0)),0))</x:f>
        <x:v>8</x:v>
      </x:c>
      <x:c r="N671" s="6">
        <x:f>ROUNDUP(F671/英雄升级调参!$H$74,0)</x:f>
        <x:v>8</x:v>
      </x:c>
      <x:c r="O671" s="6">
        <x:f>ROUNDUP(F671/英雄升级调参!$K$74,0)</x:f>
        <x:v>5</x:v>
      </x:c>
      <x:c r="P671" s="6" t="str">
        <x:f>$AA$23</x:f>
        <x:v>精英：15次标准普攻击杀；7.5次主要攻击致死</x:v>
      </x:c>
      <x:c r="Q671" s="6"/>
      <x:c r="R671" s="6"/>
      <x:c r="S671" s="6"/>
      <x:c r="T671" s="6"/>
    </x:row>
    <x:row r="672" ht="21" customHeight="1">
      <x:c r="A672" s="14" t="n">
        <x:f>$V$23</x:f>
        <x:v>60010</x:v>
      </x:c>
      <x:c r="B672" s="14" t="str">
        <x:f>$W$23</x:f>
        <x:v>双刀西瓜</x:v>
      </x:c>
      <x:c r="C672" s="6" t="str">
        <x:f>$X$23</x:f>
        <x:v>精英</x:v>
      </x:c>
      <x:c r="D672" s="6">
        <x:v>10</x:v>
      </x:c>
      <x:c r="E672" s="6">
        <x:v>23</x:v>
      </x:c>
      <x:c r="F672" s="12">
        <x:f>ROUND(J672*$W$4*H672,0)</x:f>
        <x:v>5355</x:v>
      </x:c>
      <x:c r="G672" s="12">
        <x:f>ROUND(J672*$W$4*$W$5*I672,0)</x:f>
        <x:v>476</x:v>
      </x:c>
      <x:c r="H672" s="11" t="n">
        <x:f>$Y$23</x:f>
        <x:v>3.75</x:v>
      </x:c>
      <x:c r="I672" s="11" t="n">
        <x:f>$Z$23</x:f>
        <x:v>4.444444444444445</x:v>
      </x:c>
      <x:c r="J672" s="12">
        <x:f>英雄升级调参!$E$75</x:f>
        <x:v>357</x:v>
      </x:c>
      <x:c r="K672" s="12">
        <x:f>英雄升级调参!$F$75</x:f>
        <x:v>3570</x:v>
      </x:c>
      <x:c r="L672" s="6" t="n">
        <x:f>ROUNDUP(F672/J672,0)</x:f>
        <x:v>15</x:v>
      </x:c>
      <x:c r="M672" s="6" t="n">
        <x:f>IF(G672=0,"无伤害",ROUNDUP(K672/MAX(1,ROUND(G672*$AC$23,0)),0))</x:f>
        <x:v>8</x:v>
      </x:c>
      <x:c r="N672" s="6">
        <x:f>ROUNDUP(F672/英雄升级调参!$H$75,0)</x:f>
        <x:v>9</x:v>
      </x:c>
      <x:c r="O672" s="6">
        <x:f>ROUNDUP(F672/英雄升级调参!$K$75,0)</x:f>
        <x:v>5</x:v>
      </x:c>
      <x:c r="P672" s="6" t="str">
        <x:f>$AA$23</x:f>
        <x:v>精英：15次标准普攻击杀；7.5次主要攻击致死</x:v>
      </x:c>
      <x:c r="Q672" s="6"/>
      <x:c r="R672" s="6"/>
      <x:c r="S672" s="6"/>
      <x:c r="T672" s="6"/>
    </x:row>
    <x:row r="673" ht="21" customHeight="1">
      <x:c r="A673" s="14" t="n">
        <x:f>$V$23</x:f>
        <x:v>60010</x:v>
      </x:c>
      <x:c r="B673" s="14" t="str">
        <x:f>$W$23</x:f>
        <x:v>双刀西瓜</x:v>
      </x:c>
      <x:c r="C673" s="6" t="str">
        <x:f>$X$23</x:f>
        <x:v>精英</x:v>
      </x:c>
      <x:c r="D673" s="6">
        <x:v>11</x:v>
      </x:c>
      <x:c r="E673" s="6">
        <x:v>23</x:v>
      </x:c>
      <x:c r="F673" s="12">
        <x:f>ROUND(J673*$W$4*H673,0)</x:f>
        <x:v>5895</x:v>
      </x:c>
      <x:c r="G673" s="12">
        <x:f>ROUND(J673*$W$4*$W$5*I673,0)</x:f>
        <x:v>524</x:v>
      </x:c>
      <x:c r="H673" s="11" t="n">
        <x:f>$Y$23</x:f>
        <x:v>3.75</x:v>
      </x:c>
      <x:c r="I673" s="11" t="n">
        <x:f>$Z$23</x:f>
        <x:v>4.444444444444445</x:v>
      </x:c>
      <x:c r="J673" s="12">
        <x:f>英雄升级调参!$E$76</x:f>
        <x:v>393</x:v>
      </x:c>
      <x:c r="K673" s="12">
        <x:f>英雄升级调参!$F$76</x:f>
        <x:v>3930</x:v>
      </x:c>
      <x:c r="L673" s="6" t="n">
        <x:f>ROUNDUP(F673/J673,0)</x:f>
        <x:v>15</x:v>
      </x:c>
      <x:c r="M673" s="6" t="n">
        <x:f>IF(G673=0,"无伤害",ROUNDUP(K673/MAX(1,ROUND(G673*$AC$23,0)),0))</x:f>
        <x:v>8</x:v>
      </x:c>
      <x:c r="N673" s="6">
        <x:f>ROUNDUP(F673/英雄升级调参!$H$76,0)</x:f>
        <x:v>9</x:v>
      </x:c>
      <x:c r="O673" s="6">
        <x:f>ROUNDUP(F673/英雄升级调参!$K$76,0)</x:f>
        <x:v>5</x:v>
      </x:c>
      <x:c r="P673" s="6" t="str">
        <x:f>$AA$23</x:f>
        <x:v>精英：15次标准普攻击杀；7.5次主要攻击致死</x:v>
      </x:c>
      <x:c r="Q673" s="6"/>
      <x:c r="R673" s="6"/>
      <x:c r="S673" s="6"/>
      <x:c r="T673" s="6"/>
    </x:row>
    <x:row r="674" ht="21" customHeight="1">
      <x:c r="A674" s="14" t="n">
        <x:f>$V$23</x:f>
        <x:v>60010</x:v>
      </x:c>
      <x:c r="B674" s="14" t="str">
        <x:f>$W$23</x:f>
        <x:v>双刀西瓜</x:v>
      </x:c>
      <x:c r="C674" s="6" t="str">
        <x:f>$X$23</x:f>
        <x:v>精英</x:v>
      </x:c>
      <x:c r="D674" s="6">
        <x:v>12</x:v>
      </x:c>
      <x:c r="E674" s="6">
        <x:v>23</x:v>
      </x:c>
      <x:c r="F674" s="12">
        <x:f>ROUND(J674*$W$4*H674,0)</x:f>
        <x:v>6435</x:v>
      </x:c>
      <x:c r="G674" s="12">
        <x:f>ROUND(J674*$W$4*$W$5*I674,0)</x:f>
        <x:v>572</x:v>
      </x:c>
      <x:c r="H674" s="11" t="n">
        <x:f>$Y$23</x:f>
        <x:v>3.75</x:v>
      </x:c>
      <x:c r="I674" s="11" t="n">
        <x:f>$Z$23</x:f>
        <x:v>4.444444444444445</x:v>
      </x:c>
      <x:c r="J674" s="12">
        <x:f>英雄升级调参!$E$77</x:f>
        <x:v>429</x:v>
      </x:c>
      <x:c r="K674" s="12">
        <x:f>英雄升级调参!$F$77</x:f>
        <x:v>4290</x:v>
      </x:c>
      <x:c r="L674" s="6" t="n">
        <x:f>ROUNDUP(F674/J674,0)</x:f>
        <x:v>15</x:v>
      </x:c>
      <x:c r="M674" s="6" t="n">
        <x:f>IF(G674=0,"无伤害",ROUNDUP(K674/MAX(1,ROUND(G674*$AC$23,0)),0))</x:f>
        <x:v>8</x:v>
      </x:c>
      <x:c r="N674" s="6">
        <x:f>ROUNDUP(F674/英雄升级调参!$H$77,0)</x:f>
        <x:v>9</x:v>
      </x:c>
      <x:c r="O674" s="6">
        <x:f>ROUNDUP(F674/英雄升级调参!$K$77,0)</x:f>
        <x:v>6</x:v>
      </x:c>
      <x:c r="P674" s="6" t="str">
        <x:f>$AA$23</x:f>
        <x:v>精英：15次标准普攻击杀；7.5次主要攻击致死</x:v>
      </x:c>
      <x:c r="Q674" s="6"/>
      <x:c r="R674" s="6"/>
      <x:c r="S674" s="6"/>
      <x:c r="T674" s="6"/>
    </x:row>
    <x:row r="675" ht="21" customHeight="1">
      <x:c r="A675" s="14" t="n">
        <x:f>$V$23</x:f>
        <x:v>60010</x:v>
      </x:c>
      <x:c r="B675" s="14" t="str">
        <x:f>$W$23</x:f>
        <x:v>双刀西瓜</x:v>
      </x:c>
      <x:c r="C675" s="6" t="str">
        <x:f>$X$23</x:f>
        <x:v>精英</x:v>
      </x:c>
      <x:c r="D675" s="6">
        <x:v>13</x:v>
      </x:c>
      <x:c r="E675" s="6">
        <x:v>23</x:v>
      </x:c>
      <x:c r="F675" s="12">
        <x:f>ROUND(J675*$W$4*H675,0)</x:f>
        <x:v>6975</x:v>
      </x:c>
      <x:c r="G675" s="12">
        <x:f>ROUND(J675*$W$4*$W$5*I675,0)</x:f>
        <x:v>620</x:v>
      </x:c>
      <x:c r="H675" s="11" t="n">
        <x:f>$Y$23</x:f>
        <x:v>3.75</x:v>
      </x:c>
      <x:c r="I675" s="11" t="n">
        <x:f>$Z$23</x:f>
        <x:v>4.444444444444445</x:v>
      </x:c>
      <x:c r="J675" s="12">
        <x:f>英雄升级调参!$E$78</x:f>
        <x:v>465</x:v>
      </x:c>
      <x:c r="K675" s="12">
        <x:f>英雄升级调参!$F$78</x:f>
        <x:v>4650</x:v>
      </x:c>
      <x:c r="L675" s="6" t="n">
        <x:f>ROUNDUP(F675/J675,0)</x:f>
        <x:v>15</x:v>
      </x:c>
      <x:c r="M675" s="6" t="n">
        <x:f>IF(G675=0,"无伤害",ROUNDUP(K675/MAX(1,ROUND(G675*$AC$23,0)),0))</x:f>
        <x:v>8</x:v>
      </x:c>
      <x:c r="N675" s="6">
        <x:f>ROUNDUP(F675/英雄升级调参!$H$78,0)</x:f>
        <x:v>9</x:v>
      </x:c>
      <x:c r="O675" s="6">
        <x:f>ROUNDUP(F675/英雄升级调参!$K$78,0)</x:f>
        <x:v>6</x:v>
      </x:c>
      <x:c r="P675" s="6" t="str">
        <x:f>$AA$23</x:f>
        <x:v>精英：15次标准普攻击杀；7.5次主要攻击致死</x:v>
      </x:c>
      <x:c r="Q675" s="6"/>
      <x:c r="R675" s="6"/>
      <x:c r="S675" s="6"/>
      <x:c r="T675" s="6"/>
    </x:row>
    <x:row r="676" ht="21" customHeight="1">
      <x:c r="A676" s="14" t="n">
        <x:f>$V$23</x:f>
        <x:v>60010</x:v>
      </x:c>
      <x:c r="B676" s="14" t="str">
        <x:f>$W$23</x:f>
        <x:v>双刀西瓜</x:v>
      </x:c>
      <x:c r="C676" s="6" t="str">
        <x:f>$X$23</x:f>
        <x:v>精英</x:v>
      </x:c>
      <x:c r="D676" s="6">
        <x:v>14</x:v>
      </x:c>
      <x:c r="E676" s="6">
        <x:v>23</x:v>
      </x:c>
      <x:c r="F676" s="12">
        <x:f>ROUND(J676*$W$4*H676,0)</x:f>
        <x:v>7515</x:v>
      </x:c>
      <x:c r="G676" s="12">
        <x:f>ROUND(J676*$W$4*$W$5*I676,0)</x:f>
        <x:v>668</x:v>
      </x:c>
      <x:c r="H676" s="11" t="n">
        <x:f>$Y$23</x:f>
        <x:v>3.75</x:v>
      </x:c>
      <x:c r="I676" s="11" t="n">
        <x:f>$Z$23</x:f>
        <x:v>4.444444444444445</x:v>
      </x:c>
      <x:c r="J676" s="12">
        <x:f>英雄升级调参!$E$79</x:f>
        <x:v>501</x:v>
      </x:c>
      <x:c r="K676" s="12">
        <x:f>英雄升级调参!$F$79</x:f>
        <x:v>5010</x:v>
      </x:c>
      <x:c r="L676" s="6" t="n">
        <x:f>ROUNDUP(F676/J676,0)</x:f>
        <x:v>15</x:v>
      </x:c>
      <x:c r="M676" s="6" t="n">
        <x:f>IF(G676=0,"无伤害",ROUNDUP(K676/MAX(1,ROUND(G676*$AC$23,0)),0))</x:f>
        <x:v>8</x:v>
      </x:c>
      <x:c r="N676" s="6">
        <x:f>ROUNDUP(F676/英雄升级调参!$H$79,0)</x:f>
        <x:v>9</x:v>
      </x:c>
      <x:c r="O676" s="6">
        <x:f>ROUNDUP(F676/英雄升级调参!$K$79,0)</x:f>
        <x:v>6</x:v>
      </x:c>
      <x:c r="P676" s="6" t="str">
        <x:f>$AA$23</x:f>
        <x:v>精英：15次标准普攻击杀；7.5次主要攻击致死</x:v>
      </x:c>
      <x:c r="Q676" s="6"/>
      <x:c r="R676" s="6"/>
      <x:c r="S676" s="6"/>
      <x:c r="T676" s="6"/>
    </x:row>
    <x:row r="677" ht="21" customHeight="1">
      <x:c r="A677" s="14" t="n">
        <x:f>$V$23</x:f>
        <x:v>60010</x:v>
      </x:c>
      <x:c r="B677" s="14" t="str">
        <x:f>$W$23</x:f>
        <x:v>双刀西瓜</x:v>
      </x:c>
      <x:c r="C677" s="6" t="str">
        <x:f>$X$23</x:f>
        <x:v>精英</x:v>
      </x:c>
      <x:c r="D677" s="6">
        <x:v>15</x:v>
      </x:c>
      <x:c r="E677" s="6">
        <x:v>23</x:v>
      </x:c>
      <x:c r="F677" s="12">
        <x:f>ROUND(J677*$W$4*H677,0)</x:f>
        <x:v>9135</x:v>
      </x:c>
      <x:c r="G677" s="12">
        <x:f>ROUND(J677*$W$4*$W$5*I677,0)</x:f>
        <x:v>812</x:v>
      </x:c>
      <x:c r="H677" s="11" t="n">
        <x:f>$Y$23</x:f>
        <x:v>3.75</x:v>
      </x:c>
      <x:c r="I677" s="11" t="n">
        <x:f>$Z$23</x:f>
        <x:v>4.444444444444445</x:v>
      </x:c>
      <x:c r="J677" s="12">
        <x:f>英雄升级调参!$E$80</x:f>
        <x:v>609</x:v>
      </x:c>
      <x:c r="K677" s="12">
        <x:f>英雄升级调参!$F$80</x:f>
        <x:v>6090</x:v>
      </x:c>
      <x:c r="L677" s="6" t="n">
        <x:f>ROUNDUP(F677/J677,0)</x:f>
        <x:v>15</x:v>
      </x:c>
      <x:c r="M677" s="6" t="n">
        <x:f>IF(G677=0,"无伤害",ROUNDUP(K677/MAX(1,ROUND(G677*$AC$23,0)),0))</x:f>
        <x:v>8</x:v>
      </x:c>
      <x:c r="N677" s="6">
        <x:f>ROUNDUP(F677/英雄升级调参!$H$80,0)</x:f>
        <x:v>9</x:v>
      </x:c>
      <x:c r="O677" s="6">
        <x:f>ROUNDUP(F677/英雄升级调参!$K$80,0)</x:f>
        <x:v>6</x:v>
      </x:c>
      <x:c r="P677" s="6" t="str">
        <x:f>$AA$23</x:f>
        <x:v>精英：15次标准普攻击杀；7.5次主要攻击致死</x:v>
      </x:c>
      <x:c r="Q677" s="6"/>
      <x:c r="R677" s="6"/>
      <x:c r="S677" s="6"/>
      <x:c r="T677" s="6"/>
    </x:row>
    <x:row r="678" ht="21" customHeight="1">
      <x:c r="A678" s="14" t="n">
        <x:f>$V$23</x:f>
        <x:v>60010</x:v>
      </x:c>
      <x:c r="B678" s="14" t="str">
        <x:f>$W$23</x:f>
        <x:v>双刀西瓜</x:v>
      </x:c>
      <x:c r="C678" s="6" t="str">
        <x:f>$X$23</x:f>
        <x:v>精英</x:v>
      </x:c>
      <x:c r="D678" s="6">
        <x:v>16</x:v>
      </x:c>
      <x:c r="E678" s="6">
        <x:v>23</x:v>
      </x:c>
      <x:c r="F678" s="12">
        <x:f>ROUND(J678*$W$4*H678,0)</x:f>
        <x:v>9810</x:v>
      </x:c>
      <x:c r="G678" s="12">
        <x:f>ROUND(J678*$W$4*$W$5*I678,0)</x:f>
        <x:v>872</x:v>
      </x:c>
      <x:c r="H678" s="11" t="n">
        <x:f>$Y$23</x:f>
        <x:v>3.75</x:v>
      </x:c>
      <x:c r="I678" s="11" t="n">
        <x:f>$Z$23</x:f>
        <x:v>4.444444444444445</x:v>
      </x:c>
      <x:c r="J678" s="12">
        <x:f>英雄升级调参!$E$81</x:f>
        <x:v>654</x:v>
      </x:c>
      <x:c r="K678" s="12">
        <x:f>英雄升级调参!$F$81</x:f>
        <x:v>6540</x:v>
      </x:c>
      <x:c r="L678" s="6" t="n">
        <x:f>ROUNDUP(F678/J678,0)</x:f>
        <x:v>15</x:v>
      </x:c>
      <x:c r="M678" s="6" t="n">
        <x:f>IF(G678=0,"无伤害",ROUNDUP(K678/MAX(1,ROUND(G678*$AC$23,0)),0))</x:f>
        <x:v>8</x:v>
      </x:c>
      <x:c r="N678" s="6">
        <x:f>ROUNDUP(F678/英雄升级调参!$H$81,0)</x:f>
        <x:v>9</x:v>
      </x:c>
      <x:c r="O678" s="6">
        <x:f>ROUNDUP(F678/英雄升级调参!$K$81,0)</x:f>
        <x:v>6</x:v>
      </x:c>
      <x:c r="P678" s="6" t="str">
        <x:f>$AA$23</x:f>
        <x:v>精英：15次标准普攻击杀；7.5次主要攻击致死</x:v>
      </x:c>
      <x:c r="Q678" s="6"/>
      <x:c r="R678" s="6"/>
      <x:c r="S678" s="6"/>
      <x:c r="T678" s="6"/>
    </x:row>
    <x:row r="679" ht="21" customHeight="1">
      <x:c r="A679" s="14" t="n">
        <x:f>$V$23</x:f>
        <x:v>60010</x:v>
      </x:c>
      <x:c r="B679" s="14" t="str">
        <x:f>$W$23</x:f>
        <x:v>双刀西瓜</x:v>
      </x:c>
      <x:c r="C679" s="6" t="str">
        <x:f>$X$23</x:f>
        <x:v>精英</x:v>
      </x:c>
      <x:c r="D679" s="6">
        <x:v>17</x:v>
      </x:c>
      <x:c r="E679" s="6">
        <x:v>23</x:v>
      </x:c>
      <x:c r="F679" s="12">
        <x:f>ROUND(J679*$W$4*H679,0)</x:f>
        <x:v>10485</x:v>
      </x:c>
      <x:c r="G679" s="12">
        <x:f>ROUND(J679*$W$4*$W$5*I679,0)</x:f>
        <x:v>932</x:v>
      </x:c>
      <x:c r="H679" s="11" t="n">
        <x:f>$Y$23</x:f>
        <x:v>3.75</x:v>
      </x:c>
      <x:c r="I679" s="11" t="n">
        <x:f>$Z$23</x:f>
        <x:v>4.444444444444445</x:v>
      </x:c>
      <x:c r="J679" s="12">
        <x:f>英雄升级调参!$E$82</x:f>
        <x:v>699</x:v>
      </x:c>
      <x:c r="K679" s="12">
        <x:f>英雄升级调参!$F$82</x:f>
        <x:v>6990</x:v>
      </x:c>
      <x:c r="L679" s="6" t="n">
        <x:f>ROUNDUP(F679/J679,0)</x:f>
        <x:v>15</x:v>
      </x:c>
      <x:c r="M679" s="6" t="n">
        <x:f>IF(G679=0,"无伤害",ROUNDUP(K679/MAX(1,ROUND(G679*$AC$23,0)),0))</x:f>
        <x:v>8</x:v>
      </x:c>
      <x:c r="N679" s="6" t="n">
        <x:f>ROUNDUP(F679/英雄升级调参!$H$82,0)</x:f>
        <x:v>10</x:v>
      </x:c>
      <x:c r="O679" s="6">
        <x:f>ROUNDUP(F679/英雄升级调参!$K$82,0)</x:f>
        <x:v>6</x:v>
      </x:c>
      <x:c r="P679" s="6" t="str">
        <x:f>$AA$23</x:f>
        <x:v>精英：15次标准普攻击杀；7.5次主要攻击致死</x:v>
      </x:c>
      <x:c r="Q679" s="6"/>
      <x:c r="R679" s="6"/>
      <x:c r="S679" s="6"/>
      <x:c r="T679" s="6"/>
    </x:row>
    <x:row r="680" ht="21" customHeight="1">
      <x:c r="A680" s="14" t="n">
        <x:f>$V$23</x:f>
        <x:v>60010</x:v>
      </x:c>
      <x:c r="B680" s="14" t="str">
        <x:f>$W$23</x:f>
        <x:v>双刀西瓜</x:v>
      </x:c>
      <x:c r="C680" s="6" t="str">
        <x:f>$X$23</x:f>
        <x:v>精英</x:v>
      </x:c>
      <x:c r="D680" s="6">
        <x:v>18</x:v>
      </x:c>
      <x:c r="E680" s="6">
        <x:v>23</x:v>
      </x:c>
      <x:c r="F680" s="12">
        <x:f>ROUND(J680*$W$4*H680,0)</x:f>
        <x:v>11160</x:v>
      </x:c>
      <x:c r="G680" s="12">
        <x:f>ROUND(J680*$W$4*$W$5*I680,0)</x:f>
        <x:v>992</x:v>
      </x:c>
      <x:c r="H680" s="11" t="n">
        <x:f>$Y$23</x:f>
        <x:v>3.75</x:v>
      </x:c>
      <x:c r="I680" s="11" t="n">
        <x:f>$Z$23</x:f>
        <x:v>4.444444444444445</x:v>
      </x:c>
      <x:c r="J680" s="12">
        <x:f>英雄升级调参!$E$83</x:f>
        <x:v>744</x:v>
      </x:c>
      <x:c r="K680" s="12">
        <x:f>英雄升级调参!$F$83</x:f>
        <x:v>7440</x:v>
      </x:c>
      <x:c r="L680" s="6" t="n">
        <x:f>ROUNDUP(F680/J680,0)</x:f>
        <x:v>15</x:v>
      </x:c>
      <x:c r="M680" s="6" t="n">
        <x:f>IF(G680=0,"无伤害",ROUNDUP(K680/MAX(1,ROUND(G680*$AC$23,0)),0))</x:f>
        <x:v>8</x:v>
      </x:c>
      <x:c r="N680" s="6" t="n">
        <x:f>ROUNDUP(F680/英雄升级调参!$H$83,0)</x:f>
        <x:v>10</x:v>
      </x:c>
      <x:c r="O680" s="6">
        <x:f>ROUNDUP(F680/英雄升级调参!$K$83,0)</x:f>
        <x:v>6</x:v>
      </x:c>
      <x:c r="P680" s="6" t="str">
        <x:f>$AA$23</x:f>
        <x:v>精英：15次标准普攻击杀；7.5次主要攻击致死</x:v>
      </x:c>
      <x:c r="Q680" s="6"/>
      <x:c r="R680" s="6"/>
      <x:c r="S680" s="6"/>
      <x:c r="T680" s="6"/>
    </x:row>
    <x:row r="681" ht="21" customHeight="1">
      <x:c r="A681" s="14" t="n">
        <x:f>$V$23</x:f>
        <x:v>60010</x:v>
      </x:c>
      <x:c r="B681" s="14" t="str">
        <x:f>$W$23</x:f>
        <x:v>双刀西瓜</x:v>
      </x:c>
      <x:c r="C681" s="6" t="str">
        <x:f>$X$23</x:f>
        <x:v>精英</x:v>
      </x:c>
      <x:c r="D681" s="6">
        <x:v>19</x:v>
      </x:c>
      <x:c r="E681" s="6">
        <x:v>23</x:v>
      </x:c>
      <x:c r="F681" s="12">
        <x:f>ROUND(J681*$W$4*H681,0)</x:f>
        <x:v>11835</x:v>
      </x:c>
      <x:c r="G681" s="12">
        <x:f>ROUND(J681*$W$4*$W$5*I681,0)</x:f>
        <x:v>1052</x:v>
      </x:c>
      <x:c r="H681" s="11" t="n">
        <x:f>$Y$23</x:f>
        <x:v>3.75</x:v>
      </x:c>
      <x:c r="I681" s="11" t="n">
        <x:f>$Z$23</x:f>
        <x:v>4.444444444444445</x:v>
      </x:c>
      <x:c r="J681" s="12">
        <x:f>英雄升级调参!$E$84</x:f>
        <x:v>789</x:v>
      </x:c>
      <x:c r="K681" s="12">
        <x:f>英雄升级调参!$F$84</x:f>
        <x:v>7890</x:v>
      </x:c>
      <x:c r="L681" s="6" t="n">
        <x:f>ROUNDUP(F681/J681,0)</x:f>
        <x:v>15</x:v>
      </x:c>
      <x:c r="M681" s="6" t="n">
        <x:f>IF(G681=0,"无伤害",ROUNDUP(K681/MAX(1,ROUND(G681*$AC$23,0)),0))</x:f>
        <x:v>8</x:v>
      </x:c>
      <x:c r="N681" s="6" t="n">
        <x:f>ROUNDUP(F681/英雄升级调参!$H$84,0)</x:f>
        <x:v>10</x:v>
      </x:c>
      <x:c r="O681" s="6">
        <x:f>ROUNDUP(F681/英雄升级调参!$K$84,0)</x:f>
        <x:v>6</x:v>
      </x:c>
      <x:c r="P681" s="6" t="str">
        <x:f>$AA$23</x:f>
        <x:v>精英：15次标准普攻击杀；7.5次主要攻击致死</x:v>
      </x:c>
      <x:c r="Q681" s="6"/>
      <x:c r="R681" s="6"/>
      <x:c r="S681" s="6"/>
      <x:c r="T681" s="6"/>
    </x:row>
    <x:row r="682" ht="21" customHeight="1">
      <x:c r="A682" s="14" t="n">
        <x:f>$V$23</x:f>
        <x:v>60010</x:v>
      </x:c>
      <x:c r="B682" s="14" t="str">
        <x:f>$W$23</x:f>
        <x:v>双刀西瓜</x:v>
      </x:c>
      <x:c r="C682" s="6" t="str">
        <x:f>$X$23</x:f>
        <x:v>精英</x:v>
      </x:c>
      <x:c r="D682" s="6">
        <x:v>20</x:v>
      </x:c>
      <x:c r="E682" s="6">
        <x:v>23</x:v>
      </x:c>
      <x:c r="F682" s="12">
        <x:f>ROUND(J682*$W$4*H682,0)</x:f>
        <x:v>13860</x:v>
      </x:c>
      <x:c r="G682" s="12">
        <x:f>ROUND(J682*$W$4*$W$5*I682,0)</x:f>
        <x:v>1232</x:v>
      </x:c>
      <x:c r="H682" s="11" t="n">
        <x:f>$Y$23</x:f>
        <x:v>3.75</x:v>
      </x:c>
      <x:c r="I682" s="11" t="n">
        <x:f>$Z$23</x:f>
        <x:v>4.444444444444445</x:v>
      </x:c>
      <x:c r="J682" s="12">
        <x:f>英雄升级调参!$E$85</x:f>
        <x:v>924</x:v>
      </x:c>
      <x:c r="K682" s="12">
        <x:f>英雄升级调参!$F$85</x:f>
        <x:v>9240</x:v>
      </x:c>
      <x:c r="L682" s="6" t="n">
        <x:f>ROUNDUP(F682/J682,0)</x:f>
        <x:v>15</x:v>
      </x:c>
      <x:c r="M682" s="6" t="n">
        <x:f>IF(G682=0,"无伤害",ROUNDUP(K682/MAX(1,ROUND(G682*$AC$23,0)),0))</x:f>
        <x:v>8</x:v>
      </x:c>
      <x:c r="N682" s="6" t="n">
        <x:f>ROUNDUP(F682/英雄升级调参!$H$85,0)</x:f>
        <x:v>10</x:v>
      </x:c>
      <x:c r="O682" s="6">
        <x:f>ROUNDUP(F682/英雄升级调参!$K$85,0)</x:f>
        <x:v>6</x:v>
      </x:c>
      <x:c r="P682" s="6" t="str">
        <x:f>$AA$23</x:f>
        <x:v>精英：15次标准普攻击杀；7.5次主要攻击致死</x:v>
      </x:c>
      <x:c r="Q682" s="6"/>
      <x:c r="R682" s="6"/>
      <x:c r="S682" s="6"/>
      <x:c r="T682" s="6"/>
    </x:row>
    <x:row r="683" ht="21" customHeight="1">
      <x:c r="A683" s="14" t="n">
        <x:f>$V$23</x:f>
        <x:v>60010</x:v>
      </x:c>
      <x:c r="B683" s="14" t="str">
        <x:f>$W$23</x:f>
        <x:v>双刀西瓜</x:v>
      </x:c>
      <x:c r="C683" s="6" t="str">
        <x:f>$X$23</x:f>
        <x:v>精英</x:v>
      </x:c>
      <x:c r="D683" s="6">
        <x:v>21</x:v>
      </x:c>
      <x:c r="E683" s="6">
        <x:v>23</x:v>
      </x:c>
      <x:c r="F683" s="12">
        <x:f>ROUND(J683*$W$4*H683,0)</x:f>
        <x:v>14670</x:v>
      </x:c>
      <x:c r="G683" s="12">
        <x:f>ROUND(J683*$W$4*$W$5*I683,0)</x:f>
        <x:v>1304</x:v>
      </x:c>
      <x:c r="H683" s="11" t="n">
        <x:f>$Y$23</x:f>
        <x:v>3.75</x:v>
      </x:c>
      <x:c r="I683" s="11" t="n">
        <x:f>$Z$23</x:f>
        <x:v>4.444444444444445</x:v>
      </x:c>
      <x:c r="J683" s="12">
        <x:f>英雄升级调参!$E$86</x:f>
        <x:v>978</x:v>
      </x:c>
      <x:c r="K683" s="12">
        <x:f>英雄升级调参!$F$86</x:f>
        <x:v>9780</x:v>
      </x:c>
      <x:c r="L683" s="6" t="n">
        <x:f>ROUNDUP(F683/J683,0)</x:f>
        <x:v>15</x:v>
      </x:c>
      <x:c r="M683" s="6" t="n">
        <x:f>IF(G683=0,"无伤害",ROUNDUP(K683/MAX(1,ROUND(G683*$AC$23,0)),0))</x:f>
        <x:v>8</x:v>
      </x:c>
      <x:c r="N683" s="6" t="n">
        <x:f>ROUNDUP(F683/英雄升级调参!$H$86,0)</x:f>
        <x:v>10</x:v>
      </x:c>
      <x:c r="O683" s="6">
        <x:f>ROUNDUP(F683/英雄升级调参!$K$86,0)</x:f>
        <x:v>6</x:v>
      </x:c>
      <x:c r="P683" s="6" t="str">
        <x:f>$AA$23</x:f>
        <x:v>精英：15次标准普攻击杀；7.5次主要攻击致死</x:v>
      </x:c>
      <x:c r="Q683" s="6"/>
      <x:c r="R683" s="6"/>
      <x:c r="S683" s="6"/>
      <x:c r="T683" s="6"/>
    </x:row>
    <x:row r="684" ht="21" customHeight="1">
      <x:c r="A684" s="14" t="n">
        <x:f>$V$23</x:f>
        <x:v>60010</x:v>
      </x:c>
      <x:c r="B684" s="14" t="str">
        <x:f>$W$23</x:f>
        <x:v>双刀西瓜</x:v>
      </x:c>
      <x:c r="C684" s="6" t="str">
        <x:f>$X$23</x:f>
        <x:v>精英</x:v>
      </x:c>
      <x:c r="D684" s="6">
        <x:v>22</x:v>
      </x:c>
      <x:c r="E684" s="6">
        <x:v>23</x:v>
      </x:c>
      <x:c r="F684" s="12">
        <x:f>ROUND(J684*$W$4*H684,0)</x:f>
        <x:v>15480</x:v>
      </x:c>
      <x:c r="G684" s="12">
        <x:f>ROUND(J684*$W$4*$W$5*I684,0)</x:f>
        <x:v>1376</x:v>
      </x:c>
      <x:c r="H684" s="11" t="n">
        <x:f>$Y$23</x:f>
        <x:v>3.75</x:v>
      </x:c>
      <x:c r="I684" s="11" t="n">
        <x:f>$Z$23</x:f>
        <x:v>4.444444444444445</x:v>
      </x:c>
      <x:c r="J684" s="12">
        <x:f>英雄升级调参!$E$87</x:f>
        <x:v>1032</x:v>
      </x:c>
      <x:c r="K684" s="12">
        <x:f>英雄升级调参!$F$87</x:f>
        <x:v>10320</x:v>
      </x:c>
      <x:c r="L684" s="6" t="n">
        <x:f>ROUNDUP(F684/J684,0)</x:f>
        <x:v>15</x:v>
      </x:c>
      <x:c r="M684" s="6" t="n">
        <x:f>IF(G684=0,"无伤害",ROUNDUP(K684/MAX(1,ROUND(G684*$AC$23,0)),0))</x:f>
        <x:v>8</x:v>
      </x:c>
      <x:c r="N684" s="6" t="n">
        <x:f>ROUNDUP(F684/英雄升级调参!$H$87,0)</x:f>
        <x:v>10</x:v>
      </x:c>
      <x:c r="O684" s="6">
        <x:f>ROUNDUP(F684/英雄升级调参!$K$87,0)</x:f>
        <x:v>6</x:v>
      </x:c>
      <x:c r="P684" s="6" t="str">
        <x:f>$AA$23</x:f>
        <x:v>精英：15次标准普攻击杀；7.5次主要攻击致死</x:v>
      </x:c>
      <x:c r="Q684" s="6"/>
      <x:c r="R684" s="6"/>
      <x:c r="S684" s="6"/>
      <x:c r="T684" s="6"/>
    </x:row>
    <x:row r="685" ht="21" customHeight="1">
      <x:c r="A685" s="14" t="n">
        <x:f>$V$23</x:f>
        <x:v>60010</x:v>
      </x:c>
      <x:c r="B685" s="14" t="str">
        <x:f>$W$23</x:f>
        <x:v>双刀西瓜</x:v>
      </x:c>
      <x:c r="C685" s="6" t="str">
        <x:f>$X$23</x:f>
        <x:v>精英</x:v>
      </x:c>
      <x:c r="D685" s="6">
        <x:v>23</x:v>
      </x:c>
      <x:c r="E685" s="6">
        <x:v>23</x:v>
      </x:c>
      <x:c r="F685" s="12">
        <x:f>ROUND(J685*$W$4*H685,0)</x:f>
        <x:v>16290</x:v>
      </x:c>
      <x:c r="G685" s="12">
        <x:f>ROUND(J685*$W$4*$W$5*I685,0)</x:f>
        <x:v>1448</x:v>
      </x:c>
      <x:c r="H685" s="11" t="n">
        <x:f>$Y$23</x:f>
        <x:v>3.75</x:v>
      </x:c>
      <x:c r="I685" s="11" t="n">
        <x:f>$Z$23</x:f>
        <x:v>4.444444444444445</x:v>
      </x:c>
      <x:c r="J685" s="12">
        <x:f>英雄升级调参!$E$88</x:f>
        <x:v>1086</x:v>
      </x:c>
      <x:c r="K685" s="12">
        <x:f>英雄升级调参!$F$88</x:f>
        <x:v>10860</x:v>
      </x:c>
      <x:c r="L685" s="6" t="n">
        <x:f>ROUNDUP(F685/J685,0)</x:f>
        <x:v>15</x:v>
      </x:c>
      <x:c r="M685" s="6" t="n">
        <x:f>IF(G685=0,"无伤害",ROUNDUP(K685/MAX(1,ROUND(G685*$AC$23,0)),0))</x:f>
        <x:v>8</x:v>
      </x:c>
      <x:c r="N685" s="6" t="n">
        <x:f>ROUNDUP(F685/英雄升级调参!$H$88,0)</x:f>
        <x:v>10</x:v>
      </x:c>
      <x:c r="O685" s="6">
        <x:f>ROUNDUP(F685/英雄升级调参!$K$88,0)</x:f>
        <x:v>6</x:v>
      </x:c>
      <x:c r="P685" s="6" t="str">
        <x:f>$AA$23</x:f>
        <x:v>精英：15次标准普攻击杀；7.5次主要攻击致死</x:v>
      </x:c>
      <x:c r="Q685" s="6"/>
      <x:c r="R685" s="6"/>
      <x:c r="S685" s="6"/>
      <x:c r="T685" s="6"/>
    </x:row>
    <x:row r="686" ht="21" customHeight="1">
      <x:c r="A686" s="14" t="n">
        <x:f>$V$23</x:f>
        <x:v>60010</x:v>
      </x:c>
      <x:c r="B686" s="14" t="str">
        <x:f>$W$23</x:f>
        <x:v>双刀西瓜</x:v>
      </x:c>
      <x:c r="C686" s="6" t="str">
        <x:f>$X$23</x:f>
        <x:v>精英</x:v>
      </x:c>
      <x:c r="D686" s="6">
        <x:v>24</x:v>
      </x:c>
      <x:c r="E686" s="6">
        <x:v>23</x:v>
      </x:c>
      <x:c r="F686" s="12">
        <x:f>ROUND(J686*$W$4*H686,0)</x:f>
        <x:v>17100</x:v>
      </x:c>
      <x:c r="G686" s="12">
        <x:f>ROUND(J686*$W$4*$W$5*I686,0)</x:f>
        <x:v>1520</x:v>
      </x:c>
      <x:c r="H686" s="11" t="n">
        <x:f>$Y$23</x:f>
        <x:v>3.75</x:v>
      </x:c>
      <x:c r="I686" s="11" t="n">
        <x:f>$Z$23</x:f>
        <x:v>4.444444444444445</x:v>
      </x:c>
      <x:c r="J686" s="12">
        <x:f>英雄升级调参!$E$89</x:f>
        <x:v>1140</x:v>
      </x:c>
      <x:c r="K686" s="12">
        <x:f>英雄升级调参!$F$89</x:f>
        <x:v>11400</x:v>
      </x:c>
      <x:c r="L686" s="6" t="n">
        <x:f>ROUNDUP(F686/J686,0)</x:f>
        <x:v>15</x:v>
      </x:c>
      <x:c r="M686" s="6" t="n">
        <x:f>IF(G686=0,"无伤害",ROUNDUP(K686/MAX(1,ROUND(G686*$AC$23,0)),0))</x:f>
        <x:v>8</x:v>
      </x:c>
      <x:c r="N686" s="6" t="n">
        <x:f>ROUNDUP(F686/英雄升级调参!$H$89,0)</x:f>
        <x:v>10</x:v>
      </x:c>
      <x:c r="O686" s="6">
        <x:f>ROUNDUP(F686/英雄升级调参!$K$89,0)</x:f>
        <x:v>6</x:v>
      </x:c>
      <x:c r="P686" s="6" t="str">
        <x:f>$AA$23</x:f>
        <x:v>精英：15次标准普攻击杀；7.5次主要攻击致死</x:v>
      </x:c>
      <x:c r="Q686" s="6"/>
      <x:c r="R686" s="6"/>
      <x:c r="S686" s="6"/>
      <x:c r="T686" s="6"/>
    </x:row>
    <x:row r="687" ht="21" customHeight="1">
      <x:c r="A687" s="14" t="n">
        <x:f>$V$23</x:f>
        <x:v>60010</x:v>
      </x:c>
      <x:c r="B687" s="14" t="str">
        <x:f>$W$23</x:f>
        <x:v>双刀西瓜</x:v>
      </x:c>
      <x:c r="C687" s="6" t="str">
        <x:f>$X$23</x:f>
        <x:v>精英</x:v>
      </x:c>
      <x:c r="D687" s="6">
        <x:v>25</x:v>
      </x:c>
      <x:c r="E687" s="6">
        <x:v>23</x:v>
      </x:c>
      <x:c r="F687" s="12">
        <x:f>ROUND(J687*$W$4*H687,0)</x:f>
        <x:v>19530</x:v>
      </x:c>
      <x:c r="G687" s="12">
        <x:f>ROUND(J687*$W$4*$W$5*I687,0)</x:f>
        <x:v>1736</x:v>
      </x:c>
      <x:c r="H687" s="11" t="n">
        <x:f>$Y$23</x:f>
        <x:v>3.75</x:v>
      </x:c>
      <x:c r="I687" s="11" t="n">
        <x:f>$Z$23</x:f>
        <x:v>4.444444444444445</x:v>
      </x:c>
      <x:c r="J687" s="12">
        <x:f>英雄升级调参!$E$90</x:f>
        <x:v>1302</x:v>
      </x:c>
      <x:c r="K687" s="12">
        <x:f>英雄升级调参!$F$90</x:f>
        <x:v>13020</x:v>
      </x:c>
      <x:c r="L687" s="6" t="n">
        <x:f>ROUNDUP(F687/J687,0)</x:f>
        <x:v>15</x:v>
      </x:c>
      <x:c r="M687" s="6" t="n">
        <x:f>IF(G687=0,"无伤害",ROUNDUP(K687/MAX(1,ROUND(G687*$AC$23,0)),0))</x:f>
        <x:v>8</x:v>
      </x:c>
      <x:c r="N687" s="6" t="n">
        <x:f>ROUNDUP(F687/英雄升级调参!$H$90,0)</x:f>
        <x:v>10</x:v>
      </x:c>
      <x:c r="O687" s="6">
        <x:f>ROUNDUP(F687/英雄升级调参!$K$90,0)</x:f>
        <x:v>6</x:v>
      </x:c>
      <x:c r="P687" s="6" t="str">
        <x:f>$AA$23</x:f>
        <x:v>精英：15次标准普攻击杀；7.5次主要攻击致死</x:v>
      </x:c>
      <x:c r="Q687" s="6"/>
      <x:c r="R687" s="6"/>
      <x:c r="S687" s="6"/>
      <x:c r="T687" s="6"/>
    </x:row>
    <x:row r="688" ht="21" customHeight="1">
      <x:c r="A688" s="14" t="n">
        <x:f>$V$23</x:f>
        <x:v>60010</x:v>
      </x:c>
      <x:c r="B688" s="14" t="str">
        <x:f>$W$23</x:f>
        <x:v>双刀西瓜</x:v>
      </x:c>
      <x:c r="C688" s="6" t="str">
        <x:f>$X$23</x:f>
        <x:v>精英</x:v>
      </x:c>
      <x:c r="D688" s="6">
        <x:v>26</x:v>
      </x:c>
      <x:c r="E688" s="6">
        <x:v>23</x:v>
      </x:c>
      <x:c r="F688" s="12">
        <x:f>ROUND(J688*$W$4*H688,0)</x:f>
        <x:v>20475</x:v>
      </x:c>
      <x:c r="G688" s="12">
        <x:f>ROUND(J688*$W$4*$W$5*I688,0)</x:f>
        <x:v>1820</x:v>
      </x:c>
      <x:c r="H688" s="11" t="n">
        <x:f>$Y$23</x:f>
        <x:v>3.75</x:v>
      </x:c>
      <x:c r="I688" s="11" t="n">
        <x:f>$Z$23</x:f>
        <x:v>4.444444444444445</x:v>
      </x:c>
      <x:c r="J688" s="12">
        <x:f>英雄升级调参!$E$91</x:f>
        <x:v>1365</x:v>
      </x:c>
      <x:c r="K688" s="12">
        <x:f>英雄升级调参!$F$91</x:f>
        <x:v>13650</x:v>
      </x:c>
      <x:c r="L688" s="6" t="n">
        <x:f>ROUNDUP(F688/J688,0)</x:f>
        <x:v>15</x:v>
      </x:c>
      <x:c r="M688" s="6" t="n">
        <x:f>IF(G688=0,"无伤害",ROUNDUP(K688/MAX(1,ROUND(G688*$AC$23,0)),0))</x:f>
        <x:v>8</x:v>
      </x:c>
      <x:c r="N688" s="6" t="n">
        <x:f>ROUNDUP(F688/英雄升级调参!$H$91,0)</x:f>
        <x:v>10</x:v>
      </x:c>
      <x:c r="O688" s="6">
        <x:f>ROUNDUP(F688/英雄升级调参!$K$91,0)</x:f>
        <x:v>6</x:v>
      </x:c>
      <x:c r="P688" s="6" t="str">
        <x:f>$AA$23</x:f>
        <x:v>精英：15次标准普攻击杀；7.5次主要攻击致死</x:v>
      </x:c>
      <x:c r="Q688" s="6"/>
      <x:c r="R688" s="6"/>
      <x:c r="S688" s="6"/>
      <x:c r="T688" s="6"/>
    </x:row>
    <x:row r="689" ht="21" customHeight="1">
      <x:c r="A689" s="14" t="n">
        <x:f>$V$23</x:f>
        <x:v>60010</x:v>
      </x:c>
      <x:c r="B689" s="14" t="str">
        <x:f>$W$23</x:f>
        <x:v>双刀西瓜</x:v>
      </x:c>
      <x:c r="C689" s="6" t="str">
        <x:f>$X$23</x:f>
        <x:v>精英</x:v>
      </x:c>
      <x:c r="D689" s="6">
        <x:v>27</x:v>
      </x:c>
      <x:c r="E689" s="6">
        <x:v>23</x:v>
      </x:c>
      <x:c r="F689" s="12">
        <x:f>ROUND(J689*$W$4*H689,0)</x:f>
        <x:v>21420</x:v>
      </x:c>
      <x:c r="G689" s="12">
        <x:f>ROUND(J689*$W$4*$W$5*I689,0)</x:f>
        <x:v>1904</x:v>
      </x:c>
      <x:c r="H689" s="11" t="n">
        <x:f>$Y$23</x:f>
        <x:v>3.75</x:v>
      </x:c>
      <x:c r="I689" s="11" t="n">
        <x:f>$Z$23</x:f>
        <x:v>4.444444444444445</x:v>
      </x:c>
      <x:c r="J689" s="12">
        <x:f>英雄升级调参!$E$92</x:f>
        <x:v>1428</x:v>
      </x:c>
      <x:c r="K689" s="12">
        <x:f>英雄升级调参!$F$92</x:f>
        <x:v>14280</x:v>
      </x:c>
      <x:c r="L689" s="6" t="n">
        <x:f>ROUNDUP(F689/J689,0)</x:f>
        <x:v>15</x:v>
      </x:c>
      <x:c r="M689" s="6" t="n">
        <x:f>IF(G689=0,"无伤害",ROUNDUP(K689/MAX(1,ROUND(G689*$AC$23,0)),0))</x:f>
        <x:v>8</x:v>
      </x:c>
      <x:c r="N689" s="6" t="n">
        <x:f>ROUNDUP(F689/英雄升级调参!$H$92,0)</x:f>
        <x:v>10</x:v>
      </x:c>
      <x:c r="O689" s="6">
        <x:f>ROUNDUP(F689/英雄升级调参!$K$92,0)</x:f>
        <x:v>6</x:v>
      </x:c>
      <x:c r="P689" s="6" t="str">
        <x:f>$AA$23</x:f>
        <x:v>精英：15次标准普攻击杀；7.5次主要攻击致死</x:v>
      </x:c>
      <x:c r="Q689" s="6"/>
      <x:c r="R689" s="6"/>
      <x:c r="S689" s="6"/>
      <x:c r="T689" s="6"/>
    </x:row>
    <x:row r="690" ht="21" customHeight="1">
      <x:c r="A690" s="14" t="n">
        <x:f>$V$23</x:f>
        <x:v>60010</x:v>
      </x:c>
      <x:c r="B690" s="14" t="str">
        <x:f>$W$23</x:f>
        <x:v>双刀西瓜</x:v>
      </x:c>
      <x:c r="C690" s="6" t="str">
        <x:f>$X$23</x:f>
        <x:v>精英</x:v>
      </x:c>
      <x:c r="D690" s="6">
        <x:v>28</x:v>
      </x:c>
      <x:c r="E690" s="6">
        <x:v>23</x:v>
      </x:c>
      <x:c r="F690" s="12">
        <x:f>ROUND(J690*$W$4*H690,0)</x:f>
        <x:v>22365</x:v>
      </x:c>
      <x:c r="G690" s="12">
        <x:f>ROUND(J690*$W$4*$W$5*I690,0)</x:f>
        <x:v>1988</x:v>
      </x:c>
      <x:c r="H690" s="11" t="n">
        <x:f>$Y$23</x:f>
        <x:v>3.75</x:v>
      </x:c>
      <x:c r="I690" s="11" t="n">
        <x:f>$Z$23</x:f>
        <x:v>4.444444444444445</x:v>
      </x:c>
      <x:c r="J690" s="12">
        <x:f>英雄升级调参!$E$93</x:f>
        <x:v>1491</x:v>
      </x:c>
      <x:c r="K690" s="12">
        <x:f>英雄升级调参!$F$93</x:f>
        <x:v>14910</x:v>
      </x:c>
      <x:c r="L690" s="6" t="n">
        <x:f>ROUNDUP(F690/J690,0)</x:f>
        <x:v>15</x:v>
      </x:c>
      <x:c r="M690" s="6" t="n">
        <x:f>IF(G690=0,"无伤害",ROUNDUP(K690/MAX(1,ROUND(G690*$AC$23,0)),0))</x:f>
        <x:v>8</x:v>
      </x:c>
      <x:c r="N690" s="6" t="n">
        <x:f>ROUNDUP(F690/英雄升级调参!$H$93,0)</x:f>
        <x:v>10</x:v>
      </x:c>
      <x:c r="O690" s="6">
        <x:f>ROUNDUP(F690/英雄升级调参!$K$93,0)</x:f>
        <x:v>6</x:v>
      </x:c>
      <x:c r="P690" s="6" t="str">
        <x:f>$AA$23</x:f>
        <x:v>精英：15次标准普攻击杀；7.5次主要攻击致死</x:v>
      </x:c>
      <x:c r="Q690" s="6"/>
      <x:c r="R690" s="6"/>
      <x:c r="S690" s="6"/>
      <x:c r="T690" s="6"/>
    </x:row>
    <x:row r="691" ht="21" customHeight="1">
      <x:c r="A691" s="14" t="n">
        <x:f>$V$23</x:f>
        <x:v>60010</x:v>
      </x:c>
      <x:c r="B691" s="14" t="str">
        <x:f>$W$23</x:f>
        <x:v>双刀西瓜</x:v>
      </x:c>
      <x:c r="C691" s="6" t="str">
        <x:f>$X$23</x:f>
        <x:v>精英</x:v>
      </x:c>
      <x:c r="D691" s="6">
        <x:v>29</x:v>
      </x:c>
      <x:c r="E691" s="6">
        <x:v>23</x:v>
      </x:c>
      <x:c r="F691" s="12">
        <x:f>ROUND(J691*$W$4*H691,0)</x:f>
        <x:v>23310</x:v>
      </x:c>
      <x:c r="G691" s="12">
        <x:f>ROUND(J691*$W$4*$W$5*I691,0)</x:f>
        <x:v>2072</x:v>
      </x:c>
      <x:c r="H691" s="11" t="n">
        <x:f>$Y$23</x:f>
        <x:v>3.75</x:v>
      </x:c>
      <x:c r="I691" s="11" t="n">
        <x:f>$Z$23</x:f>
        <x:v>4.444444444444445</x:v>
      </x:c>
      <x:c r="J691" s="12">
        <x:f>英雄升级调参!$E$94</x:f>
        <x:v>1554</x:v>
      </x:c>
      <x:c r="K691" s="12">
        <x:f>英雄升级调参!$F$94</x:f>
        <x:v>15540</x:v>
      </x:c>
      <x:c r="L691" s="6" t="n">
        <x:f>ROUNDUP(F691/J691,0)</x:f>
        <x:v>15</x:v>
      </x:c>
      <x:c r="M691" s="6" t="n">
        <x:f>IF(G691=0,"无伤害",ROUNDUP(K691/MAX(1,ROUND(G691*$AC$23,0)),0))</x:f>
        <x:v>8</x:v>
      </x:c>
      <x:c r="N691" s="6" t="n">
        <x:f>ROUNDUP(F691/英雄升级调参!$H$94,0)</x:f>
        <x:v>10</x:v>
      </x:c>
      <x:c r="O691" s="6">
        <x:f>ROUNDUP(F691/英雄升级调参!$K$94,0)</x:f>
        <x:v>6</x:v>
      </x:c>
      <x:c r="P691" s="6" t="str">
        <x:f>$AA$23</x:f>
        <x:v>精英：15次标准普攻击杀；7.5次主要攻击致死</x:v>
      </x:c>
      <x:c r="Q691" s="6"/>
      <x:c r="R691" s="6"/>
      <x:c r="S691" s="6"/>
      <x:c r="T691" s="6"/>
    </x:row>
    <x:row r="692" ht="21" customHeight="1">
      <x:c r="A692" s="14" t="n">
        <x:f>$V$23</x:f>
        <x:v>60010</x:v>
      </x:c>
      <x:c r="B692" s="14" t="str">
        <x:f>$W$23</x:f>
        <x:v>双刀西瓜</x:v>
      </x:c>
      <x:c r="C692" s="6" t="str">
        <x:f>$X$23</x:f>
        <x:v>精英</x:v>
      </x:c>
      <x:c r="D692" s="6">
        <x:v>30</x:v>
      </x:c>
      <x:c r="E692" s="6">
        <x:v>23</x:v>
      </x:c>
      <x:c r="F692" s="12">
        <x:f>ROUND(J692*$W$4*H692,0)</x:f>
        <x:v>26145</x:v>
      </x:c>
      <x:c r="G692" s="12">
        <x:f>ROUND(J692*$W$4*$W$5*I692,0)</x:f>
        <x:v>2324</x:v>
      </x:c>
      <x:c r="H692" s="11" t="n">
        <x:f>$Y$23</x:f>
        <x:v>3.75</x:v>
      </x:c>
      <x:c r="I692" s="11" t="n">
        <x:f>$Z$23</x:f>
        <x:v>4.444444444444445</x:v>
      </x:c>
      <x:c r="J692" s="12">
        <x:f>英雄升级调参!$E$95</x:f>
        <x:v>1743</x:v>
      </x:c>
      <x:c r="K692" s="12">
        <x:f>英雄升级调参!$F$95</x:f>
        <x:v>17430</x:v>
      </x:c>
      <x:c r="L692" s="6" t="n">
        <x:f>ROUNDUP(F692/J692,0)</x:f>
        <x:v>15</x:v>
      </x:c>
      <x:c r="M692" s="6" t="n">
        <x:f>IF(G692=0,"无伤害",ROUNDUP(K692/MAX(1,ROUND(G692*$AC$23,0)),0))</x:f>
        <x:v>8</x:v>
      </x:c>
      <x:c r="N692" s="6" t="n">
        <x:f>ROUNDUP(F692/英雄升级调参!$H$95,0)</x:f>
        <x:v>10</x:v>
      </x:c>
      <x:c r="O692" s="6">
        <x:f>ROUNDUP(F692/英雄升级调参!$K$95,0)</x:f>
        <x:v>6</x:v>
      </x:c>
      <x:c r="P692" s="6" t="str">
        <x:f>$AA$23</x:f>
        <x:v>精英：15次标准普攻击杀；7.5次主要攻击致死</x:v>
      </x:c>
      <x:c r="Q692" s="6"/>
      <x:c r="R692" s="6"/>
      <x:c r="S692" s="6"/>
      <x:c r="T692" s="6"/>
    </x:row>
    <x:row r="693" ht="21" customHeight="1">
      <x:c r="A693" s="14" t="n">
        <x:f>$V$23</x:f>
        <x:v>60010</x:v>
      </x:c>
      <x:c r="B693" s="14" t="str">
        <x:f>$W$23</x:f>
        <x:v>双刀西瓜</x:v>
      </x:c>
      <x:c r="C693" s="6" t="str">
        <x:f>$X$23</x:f>
        <x:v>精英</x:v>
      </x:c>
      <x:c r="D693" s="6">
        <x:v>31</x:v>
      </x:c>
      <x:c r="E693" s="6">
        <x:v>23</x:v>
      </x:c>
      <x:c r="F693" s="12">
        <x:f>ROUND(J693*$W$4*H693,0)</x:f>
        <x:v>27225</x:v>
      </x:c>
      <x:c r="G693" s="12">
        <x:f>ROUND(J693*$W$4*$W$5*I693,0)</x:f>
        <x:v>2420</x:v>
      </x:c>
      <x:c r="H693" s="11" t="n">
        <x:f>$Y$23</x:f>
        <x:v>3.75</x:v>
      </x:c>
      <x:c r="I693" s="11" t="n">
        <x:f>$Z$23</x:f>
        <x:v>4.444444444444445</x:v>
      </x:c>
      <x:c r="J693" s="12">
        <x:f>英雄升级调参!$E$96</x:f>
        <x:v>1815</x:v>
      </x:c>
      <x:c r="K693" s="12">
        <x:f>英雄升级调参!$F$96</x:f>
        <x:v>18150</x:v>
      </x:c>
      <x:c r="L693" s="6" t="n">
        <x:f>ROUNDUP(F693/J693,0)</x:f>
        <x:v>15</x:v>
      </x:c>
      <x:c r="M693" s="6" t="n">
        <x:f>IF(G693=0,"无伤害",ROUNDUP(K693/MAX(1,ROUND(G693*$AC$23,0)),0))</x:f>
        <x:v>8</x:v>
      </x:c>
      <x:c r="N693" s="6" t="n">
        <x:f>ROUNDUP(F693/英雄升级调参!$H$96,0)</x:f>
        <x:v>10</x:v>
      </x:c>
      <x:c r="O693" s="6">
        <x:f>ROUNDUP(F693/英雄升级调参!$K$96,0)</x:f>
        <x:v>6</x:v>
      </x:c>
      <x:c r="P693" s="6" t="str">
        <x:f>$AA$23</x:f>
        <x:v>精英：15次标准普攻击杀；7.5次主要攻击致死</x:v>
      </x:c>
      <x:c r="Q693" s="6"/>
      <x:c r="R693" s="6"/>
      <x:c r="S693" s="6"/>
      <x:c r="T693" s="6"/>
    </x:row>
    <x:row r="694" ht="21" customHeight="1">
      <x:c r="A694" s="14" t="n">
        <x:f>$V$23</x:f>
        <x:v>60010</x:v>
      </x:c>
      <x:c r="B694" s="14" t="str">
        <x:f>$W$23</x:f>
        <x:v>双刀西瓜</x:v>
      </x:c>
      <x:c r="C694" s="6" t="str">
        <x:f>$X$23</x:f>
        <x:v>精英</x:v>
      </x:c>
      <x:c r="D694" s="6">
        <x:v>32</x:v>
      </x:c>
      <x:c r="E694" s="6">
        <x:v>23</x:v>
      </x:c>
      <x:c r="F694" s="12">
        <x:f>ROUND(J694*$W$4*H694,0)</x:f>
        <x:v>28305</x:v>
      </x:c>
      <x:c r="G694" s="12">
        <x:f>ROUND(J694*$W$4*$W$5*I694,0)</x:f>
        <x:v>2516</x:v>
      </x:c>
      <x:c r="H694" s="11" t="n">
        <x:f>$Y$23</x:f>
        <x:v>3.75</x:v>
      </x:c>
      <x:c r="I694" s="11" t="n">
        <x:f>$Z$23</x:f>
        <x:v>4.444444444444445</x:v>
      </x:c>
      <x:c r="J694" s="12">
        <x:f>英雄升级调参!$E$97</x:f>
        <x:v>1887</x:v>
      </x:c>
      <x:c r="K694" s="12">
        <x:f>英雄升级调参!$F$97</x:f>
        <x:v>18870</x:v>
      </x:c>
      <x:c r="L694" s="6" t="n">
        <x:f>ROUNDUP(F694/J694,0)</x:f>
        <x:v>15</x:v>
      </x:c>
      <x:c r="M694" s="6" t="n">
        <x:f>IF(G694=0,"无伤害",ROUNDUP(K694/MAX(1,ROUND(G694*$AC$23,0)),0))</x:f>
        <x:v>8</x:v>
      </x:c>
      <x:c r="N694" s="6" t="n">
        <x:f>ROUNDUP(F694/英雄升级调参!$H$97,0)</x:f>
        <x:v>10</x:v>
      </x:c>
      <x:c r="O694" s="6">
        <x:f>ROUNDUP(F694/英雄升级调参!$K$97,0)</x:f>
        <x:v>6</x:v>
      </x:c>
      <x:c r="P694" s="6" t="str">
        <x:f>$AA$23</x:f>
        <x:v>精英：15次标准普攻击杀；7.5次主要攻击致死</x:v>
      </x:c>
      <x:c r="Q694" s="6"/>
      <x:c r="R694" s="6"/>
      <x:c r="S694" s="6"/>
      <x:c r="T694" s="6"/>
    </x:row>
    <x:row r="695" ht="21" customHeight="1">
      <x:c r="A695" s="14" t="n">
        <x:f>$V$23</x:f>
        <x:v>60010</x:v>
      </x:c>
      <x:c r="B695" s="14" t="str">
        <x:f>$W$23</x:f>
        <x:v>双刀西瓜</x:v>
      </x:c>
      <x:c r="C695" s="6" t="str">
        <x:f>$X$23</x:f>
        <x:v>精英</x:v>
      </x:c>
      <x:c r="D695" s="6">
        <x:v>33</x:v>
      </x:c>
      <x:c r="E695" s="6">
        <x:v>23</x:v>
      </x:c>
      <x:c r="F695" s="12">
        <x:f>ROUND(J695*$W$4*H695,0)</x:f>
        <x:v>29385</x:v>
      </x:c>
      <x:c r="G695" s="12">
        <x:f>ROUND(J695*$W$4*$W$5*I695,0)</x:f>
        <x:v>2612</x:v>
      </x:c>
      <x:c r="H695" s="11" t="n">
        <x:f>$Y$23</x:f>
        <x:v>3.75</x:v>
      </x:c>
      <x:c r="I695" s="11" t="n">
        <x:f>$Z$23</x:f>
        <x:v>4.444444444444445</x:v>
      </x:c>
      <x:c r="J695" s="12">
        <x:f>英雄升级调参!$E$98</x:f>
        <x:v>1959</x:v>
      </x:c>
      <x:c r="K695" s="12">
        <x:f>英雄升级调参!$F$98</x:f>
        <x:v>19590</x:v>
      </x:c>
      <x:c r="L695" s="6" t="n">
        <x:f>ROUNDUP(F695/J695,0)</x:f>
        <x:v>15</x:v>
      </x:c>
      <x:c r="M695" s="6" t="n">
        <x:f>IF(G695=0,"无伤害",ROUNDUP(K695/MAX(1,ROUND(G695*$AC$23,0)),0))</x:f>
        <x:v>8</x:v>
      </x:c>
      <x:c r="N695" s="6" t="n">
        <x:f>ROUNDUP(F695/英雄升级调参!$H$98,0)</x:f>
        <x:v>10</x:v>
      </x:c>
      <x:c r="O695" s="6">
        <x:f>ROUNDUP(F695/英雄升级调参!$K$98,0)</x:f>
        <x:v>6</x:v>
      </x:c>
      <x:c r="P695" s="6" t="str">
        <x:f>$AA$23</x:f>
        <x:v>精英：15次标准普攻击杀；7.5次主要攻击致死</x:v>
      </x:c>
      <x:c r="Q695" s="6"/>
      <x:c r="R695" s="6"/>
      <x:c r="S695" s="6"/>
      <x:c r="T695" s="6"/>
    </x:row>
    <x:row r="696" ht="21" customHeight="1">
      <x:c r="A696" s="14" t="n">
        <x:f>$V$23</x:f>
        <x:v>60010</x:v>
      </x:c>
      <x:c r="B696" s="14" t="str">
        <x:f>$W$23</x:f>
        <x:v>双刀西瓜</x:v>
      </x:c>
      <x:c r="C696" s="6" t="str">
        <x:f>$X$23</x:f>
        <x:v>精英</x:v>
      </x:c>
      <x:c r="D696" s="6">
        <x:v>34</x:v>
      </x:c>
      <x:c r="E696" s="6">
        <x:v>23</x:v>
      </x:c>
      <x:c r="F696" s="12">
        <x:f>ROUND(J696*$W$4*H696,0)</x:f>
        <x:v>30465</x:v>
      </x:c>
      <x:c r="G696" s="12">
        <x:f>ROUND(J696*$W$4*$W$5*I696,0)</x:f>
        <x:v>2708</x:v>
      </x:c>
      <x:c r="H696" s="11" t="n">
        <x:f>$Y$23</x:f>
        <x:v>3.75</x:v>
      </x:c>
      <x:c r="I696" s="11" t="n">
        <x:f>$Z$23</x:f>
        <x:v>4.444444444444445</x:v>
      </x:c>
      <x:c r="J696" s="12">
        <x:f>英雄升级调参!$E$99</x:f>
        <x:v>2031</x:v>
      </x:c>
      <x:c r="K696" s="12">
        <x:f>英雄升级调参!$F$99</x:f>
        <x:v>20310</x:v>
      </x:c>
      <x:c r="L696" s="6" t="n">
        <x:f>ROUNDUP(F696/J696,0)</x:f>
        <x:v>15</x:v>
      </x:c>
      <x:c r="M696" s="6" t="n">
        <x:f>IF(G696=0,"无伤害",ROUNDUP(K696/MAX(1,ROUND(G696*$AC$23,0)),0))</x:f>
        <x:v>8</x:v>
      </x:c>
      <x:c r="N696" s="6" t="n">
        <x:f>ROUNDUP(F696/英雄升级调参!$H$99,0)</x:f>
        <x:v>10</x:v>
      </x:c>
      <x:c r="O696" s="6">
        <x:f>ROUNDUP(F696/英雄升级调参!$K$99,0)</x:f>
        <x:v>6</x:v>
      </x:c>
      <x:c r="P696" s="6" t="str">
        <x:f>$AA$23</x:f>
        <x:v>精英：15次标准普攻击杀；7.5次主要攻击致死</x:v>
      </x:c>
      <x:c r="Q696" s="6"/>
      <x:c r="R696" s="6"/>
      <x:c r="S696" s="6"/>
      <x:c r="T696" s="6"/>
    </x:row>
    <x:row r="697" ht="21" customHeight="1">
      <x:c r="A697" s="14" t="n">
        <x:f>$V$23</x:f>
        <x:v>60010</x:v>
      </x:c>
      <x:c r="B697" s="14" t="str">
        <x:f>$W$23</x:f>
        <x:v>双刀西瓜</x:v>
      </x:c>
      <x:c r="C697" s="6" t="str">
        <x:f>$X$23</x:f>
        <x:v>精英</x:v>
      </x:c>
      <x:c r="D697" s="6">
        <x:v>35</x:v>
      </x:c>
      <x:c r="E697" s="6">
        <x:v>23</x:v>
      </x:c>
      <x:c r="F697" s="12">
        <x:f>ROUND(J697*$W$4*H697,0)</x:f>
        <x:v>33705</x:v>
      </x:c>
      <x:c r="G697" s="12">
        <x:f>ROUND(J697*$W$4*$W$5*I697,0)</x:f>
        <x:v>2996</x:v>
      </x:c>
      <x:c r="H697" s="11" t="n">
        <x:f>$Y$23</x:f>
        <x:v>3.75</x:v>
      </x:c>
      <x:c r="I697" s="11" t="n">
        <x:f>$Z$23</x:f>
        <x:v>4.444444444444445</x:v>
      </x:c>
      <x:c r="J697" s="12">
        <x:f>英雄升级调参!$E$100</x:f>
        <x:v>2247</x:v>
      </x:c>
      <x:c r="K697" s="12">
        <x:f>英雄升级调参!$F$100</x:f>
        <x:v>22470</x:v>
      </x:c>
      <x:c r="L697" s="6" t="n">
        <x:f>ROUNDUP(F697/J697,0)</x:f>
        <x:v>15</x:v>
      </x:c>
      <x:c r="M697" s="6" t="n">
        <x:f>IF(G697=0,"无伤害",ROUNDUP(K697/MAX(1,ROUND(G697*$AC$23,0)),0))</x:f>
        <x:v>8</x:v>
      </x:c>
      <x:c r="N697" s="6" t="n">
        <x:f>ROUNDUP(F697/英雄升级调参!$H$100,0)</x:f>
        <x:v>10</x:v>
      </x:c>
      <x:c r="O697" s="6">
        <x:f>ROUNDUP(F697/英雄升级调参!$K$100,0)</x:f>
        <x:v>6</x:v>
      </x:c>
      <x:c r="P697" s="6" t="str">
        <x:f>$AA$23</x:f>
        <x:v>精英：15次标准普攻击杀；7.5次主要攻击致死</x:v>
      </x:c>
      <x:c r="Q697" s="6"/>
      <x:c r="R697" s="6"/>
      <x:c r="S697" s="6"/>
      <x:c r="T697" s="6"/>
    </x:row>
    <x:row r="698" ht="21" customHeight="1">
      <x:c r="A698" s="14" t="n">
        <x:f>$V$23</x:f>
        <x:v>60010</x:v>
      </x:c>
      <x:c r="B698" s="14" t="str">
        <x:f>$W$23</x:f>
        <x:v>双刀西瓜</x:v>
      </x:c>
      <x:c r="C698" s="6" t="str">
        <x:f>$X$23</x:f>
        <x:v>精英</x:v>
      </x:c>
      <x:c r="D698" s="6">
        <x:v>36</x:v>
      </x:c>
      <x:c r="E698" s="6">
        <x:v>23</x:v>
      </x:c>
      <x:c r="F698" s="12">
        <x:f>ROUND(J698*$W$4*H698,0)</x:f>
        <x:v>34920</x:v>
      </x:c>
      <x:c r="G698" s="12">
        <x:f>ROUND(J698*$W$4*$W$5*I698,0)</x:f>
        <x:v>3104</x:v>
      </x:c>
      <x:c r="H698" s="11" t="n">
        <x:f>$Y$23</x:f>
        <x:v>3.75</x:v>
      </x:c>
      <x:c r="I698" s="11" t="n">
        <x:f>$Z$23</x:f>
        <x:v>4.444444444444445</x:v>
      </x:c>
      <x:c r="J698" s="12">
        <x:f>英雄升级调参!$E$101</x:f>
        <x:v>2328</x:v>
      </x:c>
      <x:c r="K698" s="12">
        <x:f>英雄升级调参!$F$101</x:f>
        <x:v>23280</x:v>
      </x:c>
      <x:c r="L698" s="6" t="n">
        <x:f>ROUNDUP(F698/J698,0)</x:f>
        <x:v>15</x:v>
      </x:c>
      <x:c r="M698" s="6" t="n">
        <x:f>IF(G698=0,"无伤害",ROUNDUP(K698/MAX(1,ROUND(G698*$AC$23,0)),0))</x:f>
        <x:v>8</x:v>
      </x:c>
      <x:c r="N698" s="6" t="n">
        <x:f>ROUNDUP(F698/英雄升级调参!$H$101,0)</x:f>
        <x:v>10</x:v>
      </x:c>
      <x:c r="O698" s="6">
        <x:f>ROUNDUP(F698/英雄升级调参!$K$101,0)</x:f>
        <x:v>6</x:v>
      </x:c>
      <x:c r="P698" s="6" t="str">
        <x:f>$AA$23</x:f>
        <x:v>精英：15次标准普攻击杀；7.5次主要攻击致死</x:v>
      </x:c>
      <x:c r="Q698" s="6"/>
      <x:c r="R698" s="6"/>
      <x:c r="S698" s="6"/>
      <x:c r="T698" s="6"/>
    </x:row>
    <x:row r="699" ht="21" customHeight="1">
      <x:c r="A699" s="14" t="n">
        <x:f>$V$23</x:f>
        <x:v>60010</x:v>
      </x:c>
      <x:c r="B699" s="14" t="str">
        <x:f>$W$23</x:f>
        <x:v>双刀西瓜</x:v>
      </x:c>
      <x:c r="C699" s="6" t="str">
        <x:f>$X$23</x:f>
        <x:v>精英</x:v>
      </x:c>
      <x:c r="D699" s="6">
        <x:v>37</x:v>
      </x:c>
      <x:c r="E699" s="6">
        <x:v>23</x:v>
      </x:c>
      <x:c r="F699" s="12">
        <x:f>ROUND(J699*$W$4*H699,0)</x:f>
        <x:v>36135</x:v>
      </x:c>
      <x:c r="G699" s="12">
        <x:f>ROUND(J699*$W$4*$W$5*I699,0)</x:f>
        <x:v>3212</x:v>
      </x:c>
      <x:c r="H699" s="11" t="n">
        <x:f>$Y$23</x:f>
        <x:v>3.75</x:v>
      </x:c>
      <x:c r="I699" s="11" t="n">
        <x:f>$Z$23</x:f>
        <x:v>4.444444444444445</x:v>
      </x:c>
      <x:c r="J699" s="12">
        <x:f>英雄升级调参!$E$102</x:f>
        <x:v>2409</x:v>
      </x:c>
      <x:c r="K699" s="12">
        <x:f>英雄升级调参!$F$102</x:f>
        <x:v>24090</x:v>
      </x:c>
      <x:c r="L699" s="6" t="n">
        <x:f>ROUNDUP(F699/J699,0)</x:f>
        <x:v>15</x:v>
      </x:c>
      <x:c r="M699" s="6" t="n">
        <x:f>IF(G699=0,"无伤害",ROUNDUP(K699/MAX(1,ROUND(G699*$AC$23,0)),0))</x:f>
        <x:v>8</x:v>
      </x:c>
      <x:c r="N699" s="6" t="n">
        <x:f>ROUNDUP(F699/英雄升级调参!$H$102,0)</x:f>
        <x:v>10</x:v>
      </x:c>
      <x:c r="O699" s="6">
        <x:f>ROUNDUP(F699/英雄升级调参!$K$102,0)</x:f>
        <x:v>6</x:v>
      </x:c>
      <x:c r="P699" s="6" t="str">
        <x:f>$AA$23</x:f>
        <x:v>精英：15次标准普攻击杀；7.5次主要攻击致死</x:v>
      </x:c>
      <x:c r="Q699" s="6"/>
      <x:c r="R699" s="6"/>
      <x:c r="S699" s="6"/>
      <x:c r="T699" s="6"/>
    </x:row>
    <x:row r="700" ht="21" customHeight="1">
      <x:c r="A700" s="14" t="n">
        <x:f>$V$23</x:f>
        <x:v>60010</x:v>
      </x:c>
      <x:c r="B700" s="14" t="str">
        <x:f>$W$23</x:f>
        <x:v>双刀西瓜</x:v>
      </x:c>
      <x:c r="C700" s="6" t="str">
        <x:f>$X$23</x:f>
        <x:v>精英</x:v>
      </x:c>
      <x:c r="D700" s="6">
        <x:v>38</x:v>
      </x:c>
      <x:c r="E700" s="6">
        <x:v>23</x:v>
      </x:c>
      <x:c r="F700" s="12">
        <x:f>ROUND(J700*$W$4*H700,0)</x:f>
        <x:v>37350</x:v>
      </x:c>
      <x:c r="G700" s="12">
        <x:f>ROUND(J700*$W$4*$W$5*I700,0)</x:f>
        <x:v>3320</x:v>
      </x:c>
      <x:c r="H700" s="11" t="n">
        <x:f>$Y$23</x:f>
        <x:v>3.75</x:v>
      </x:c>
      <x:c r="I700" s="11" t="n">
        <x:f>$Z$23</x:f>
        <x:v>4.444444444444445</x:v>
      </x:c>
      <x:c r="J700" s="12">
        <x:f>英雄升级调参!$E$103</x:f>
        <x:v>2490</x:v>
      </x:c>
      <x:c r="K700" s="12">
        <x:f>英雄升级调参!$F$103</x:f>
        <x:v>24900</x:v>
      </x:c>
      <x:c r="L700" s="6" t="n">
        <x:f>ROUNDUP(F700/J700,0)</x:f>
        <x:v>15</x:v>
      </x:c>
      <x:c r="M700" s="6" t="n">
        <x:f>IF(G700=0,"无伤害",ROUNDUP(K700/MAX(1,ROUND(G700*$AC$23,0)),0))</x:f>
        <x:v>8</x:v>
      </x:c>
      <x:c r="N700" s="6" t="n">
        <x:f>ROUNDUP(F700/英雄升级调参!$H$103,0)</x:f>
        <x:v>10</x:v>
      </x:c>
      <x:c r="O700" s="6">
        <x:f>ROUNDUP(F700/英雄升级调参!$K$103,0)</x:f>
        <x:v>6</x:v>
      </x:c>
      <x:c r="P700" s="6" t="str">
        <x:f>$AA$23</x:f>
        <x:v>精英：15次标准普攻击杀；7.5次主要攻击致死</x:v>
      </x:c>
      <x:c r="Q700" s="6"/>
      <x:c r="R700" s="6"/>
      <x:c r="S700" s="6"/>
      <x:c r="T700" s="6"/>
    </x:row>
    <x:row r="701" ht="21" customHeight="1">
      <x:c r="A701" s="14" t="n">
        <x:f>$V$23</x:f>
        <x:v>60010</x:v>
      </x:c>
      <x:c r="B701" s="14" t="str">
        <x:f>$W$23</x:f>
        <x:v>双刀西瓜</x:v>
      </x:c>
      <x:c r="C701" s="6" t="str">
        <x:f>$X$23</x:f>
        <x:v>精英</x:v>
      </x:c>
      <x:c r="D701" s="6">
        <x:v>39</x:v>
      </x:c>
      <x:c r="E701" s="6">
        <x:v>23</x:v>
      </x:c>
      <x:c r="F701" s="12">
        <x:f>ROUND(J701*$W$4*H701,0)</x:f>
        <x:v>38565</x:v>
      </x:c>
      <x:c r="G701" s="12">
        <x:f>ROUND(J701*$W$4*$W$5*I701,0)</x:f>
        <x:v>3428</x:v>
      </x:c>
      <x:c r="H701" s="11" t="n">
        <x:f>$Y$23</x:f>
        <x:v>3.75</x:v>
      </x:c>
      <x:c r="I701" s="11" t="n">
        <x:f>$Z$23</x:f>
        <x:v>4.444444444444445</x:v>
      </x:c>
      <x:c r="J701" s="12">
        <x:f>英雄升级调参!$E$104</x:f>
        <x:v>2571</x:v>
      </x:c>
      <x:c r="K701" s="12">
        <x:f>英雄升级调参!$F$104</x:f>
        <x:v>25710</x:v>
      </x:c>
      <x:c r="L701" s="6" t="n">
        <x:f>ROUNDUP(F701/J701,0)</x:f>
        <x:v>15</x:v>
      </x:c>
      <x:c r="M701" s="6" t="n">
        <x:f>IF(G701=0,"无伤害",ROUNDUP(K701/MAX(1,ROUND(G701*$AC$23,0)),0))</x:f>
        <x:v>8</x:v>
      </x:c>
      <x:c r="N701" s="6" t="n">
        <x:f>ROUNDUP(F701/英雄升级调参!$H$104,0)</x:f>
        <x:v>10</x:v>
      </x:c>
      <x:c r="O701" s="6">
        <x:f>ROUNDUP(F701/英雄升级调参!$K$104,0)</x:f>
        <x:v>6</x:v>
      </x:c>
      <x:c r="P701" s="6" t="str">
        <x:f>$AA$23</x:f>
        <x:v>精英：15次标准普攻击杀；7.5次主要攻击致死</x:v>
      </x:c>
      <x:c r="Q701" s="6"/>
      <x:c r="R701" s="6"/>
      <x:c r="S701" s="6"/>
      <x:c r="T701" s="6"/>
    </x:row>
    <x:row r="702" ht="21" customHeight="1">
      <x:c r="A702" s="14" t="n">
        <x:f>$V$23</x:f>
        <x:v>60010</x:v>
      </x:c>
      <x:c r="B702" s="14" t="str">
        <x:f>$W$23</x:f>
        <x:v>双刀西瓜</x:v>
      </x:c>
      <x:c r="C702" s="6" t="str">
        <x:f>$X$23</x:f>
        <x:v>精英</x:v>
      </x:c>
      <x:c r="D702" s="6">
        <x:v>40</x:v>
      </x:c>
      <x:c r="E702" s="6">
        <x:v>23</x:v>
      </x:c>
      <x:c r="F702" s="12">
        <x:f>ROUND(J702*$W$4*H702,0)</x:f>
        <x:v>42210</x:v>
      </x:c>
      <x:c r="G702" s="12">
        <x:f>ROUND(J702*$W$4*$W$5*I702,0)</x:f>
        <x:v>3752</x:v>
      </x:c>
      <x:c r="H702" s="11" t="n">
        <x:f>$Y$23</x:f>
        <x:v>3.75</x:v>
      </x:c>
      <x:c r="I702" s="11" t="n">
        <x:f>$Z$23</x:f>
        <x:v>4.444444444444445</x:v>
      </x:c>
      <x:c r="J702" s="12">
        <x:f>英雄升级调参!$E$105</x:f>
        <x:v>2814</x:v>
      </x:c>
      <x:c r="K702" s="12">
        <x:f>英雄升级调参!$F$105</x:f>
        <x:v>28140</x:v>
      </x:c>
      <x:c r="L702" s="6" t="n">
        <x:f>ROUNDUP(F702/J702,0)</x:f>
        <x:v>15</x:v>
      </x:c>
      <x:c r="M702" s="6" t="n">
        <x:f>IF(G702=0,"无伤害",ROUNDUP(K702/MAX(1,ROUND(G702*$AC$23,0)),0))</x:f>
        <x:v>8</x:v>
      </x:c>
      <x:c r="N702" s="6" t="n">
        <x:f>ROUNDUP(F702/英雄升级调参!$H$105,0)</x:f>
        <x:v>10</x:v>
      </x:c>
      <x:c r="O702" s="6">
        <x:f>ROUNDUP(F702/英雄升级调参!$K$105,0)</x:f>
        <x:v>6</x:v>
      </x:c>
      <x:c r="P702" s="6" t="str">
        <x:f>$AA$23</x:f>
        <x:v>精英：15次标准普攻击杀；7.5次主要攻击致死</x:v>
      </x:c>
      <x:c r="Q702" s="6"/>
      <x:c r="R702" s="6"/>
      <x:c r="S702" s="6"/>
      <x:c r="T702" s="6"/>
    </x:row>
    <x:row r="703" ht="21" customHeight="1">
      <x:c r="A703" s="14" t="n">
        <x:f>$V$23</x:f>
        <x:v>60010</x:v>
      </x:c>
      <x:c r="B703" s="14" t="str">
        <x:f>$W$23</x:f>
        <x:v>双刀西瓜</x:v>
      </x:c>
      <x:c r="C703" s="6" t="str">
        <x:f>$X$23</x:f>
        <x:v>精英</x:v>
      </x:c>
      <x:c r="D703" s="6">
        <x:v>41</x:v>
      </x:c>
      <x:c r="E703" s="6">
        <x:v>23</x:v>
      </x:c>
      <x:c r="F703" s="12">
        <x:f>ROUND(J703*$W$4*H703,0)</x:f>
        <x:v>43560</x:v>
      </x:c>
      <x:c r="G703" s="12">
        <x:f>ROUND(J703*$W$4*$W$5*I703,0)</x:f>
        <x:v>3872</x:v>
      </x:c>
      <x:c r="H703" s="11" t="n">
        <x:f>$Y$23</x:f>
        <x:v>3.75</x:v>
      </x:c>
      <x:c r="I703" s="11" t="n">
        <x:f>$Z$23</x:f>
        <x:v>4.444444444444445</x:v>
      </x:c>
      <x:c r="J703" s="12">
        <x:f>英雄升级调参!$E$106</x:f>
        <x:v>2904</x:v>
      </x:c>
      <x:c r="K703" s="12">
        <x:f>英雄升级调参!$F$106</x:f>
        <x:v>29040</x:v>
      </x:c>
      <x:c r="L703" s="6" t="n">
        <x:f>ROUNDUP(F703/J703,0)</x:f>
        <x:v>15</x:v>
      </x:c>
      <x:c r="M703" s="6" t="n">
        <x:f>IF(G703=0,"无伤害",ROUNDUP(K703/MAX(1,ROUND(G703*$AC$23,0)),0))</x:f>
        <x:v>8</x:v>
      </x:c>
      <x:c r="N703" s="6" t="n">
        <x:f>ROUNDUP(F703/英雄升级调参!$H$106,0)</x:f>
        <x:v>10</x:v>
      </x:c>
      <x:c r="O703" s="6">
        <x:f>ROUNDUP(F703/英雄升级调参!$K$106,0)</x:f>
        <x:v>6</x:v>
      </x:c>
      <x:c r="P703" s="6" t="str">
        <x:f>$AA$23</x:f>
        <x:v>精英：15次标准普攻击杀；7.5次主要攻击致死</x:v>
      </x:c>
      <x:c r="Q703" s="6"/>
      <x:c r="R703" s="6"/>
      <x:c r="S703" s="6"/>
      <x:c r="T703" s="6"/>
    </x:row>
    <x:row r="704" ht="21" customHeight="1">
      <x:c r="A704" s="14" t="n">
        <x:f>$V$23</x:f>
        <x:v>60010</x:v>
      </x:c>
      <x:c r="B704" s="14" t="str">
        <x:f>$W$23</x:f>
        <x:v>双刀西瓜</x:v>
      </x:c>
      <x:c r="C704" s="6" t="str">
        <x:f>$X$23</x:f>
        <x:v>精英</x:v>
      </x:c>
      <x:c r="D704" s="6">
        <x:v>42</x:v>
      </x:c>
      <x:c r="E704" s="6">
        <x:v>23</x:v>
      </x:c>
      <x:c r="F704" s="12">
        <x:f>ROUND(J704*$W$4*H704,0)</x:f>
        <x:v>44910</x:v>
      </x:c>
      <x:c r="G704" s="12">
        <x:f>ROUND(J704*$W$4*$W$5*I704,0)</x:f>
        <x:v>3992</x:v>
      </x:c>
      <x:c r="H704" s="11" t="n">
        <x:f>$Y$23</x:f>
        <x:v>3.75</x:v>
      </x:c>
      <x:c r="I704" s="11" t="n">
        <x:f>$Z$23</x:f>
        <x:v>4.444444444444445</x:v>
      </x:c>
      <x:c r="J704" s="12">
        <x:f>英雄升级调参!$E$107</x:f>
        <x:v>2994</x:v>
      </x:c>
      <x:c r="K704" s="12">
        <x:f>英雄升级调参!$F$107</x:f>
        <x:v>29940</x:v>
      </x:c>
      <x:c r="L704" s="6" t="n">
        <x:f>ROUNDUP(F704/J704,0)</x:f>
        <x:v>15</x:v>
      </x:c>
      <x:c r="M704" s="6" t="n">
        <x:f>IF(G704=0,"无伤害",ROUNDUP(K704/MAX(1,ROUND(G704*$AC$23,0)),0))</x:f>
        <x:v>8</x:v>
      </x:c>
      <x:c r="N704" s="6" t="n">
        <x:f>ROUNDUP(F704/英雄升级调参!$H$107,0)</x:f>
        <x:v>10</x:v>
      </x:c>
      <x:c r="O704" s="6">
        <x:f>ROUNDUP(F704/英雄升级调参!$K$107,0)</x:f>
        <x:v>6</x:v>
      </x:c>
      <x:c r="P704" s="6" t="str">
        <x:f>$AA$23</x:f>
        <x:v>精英：15次标准普攻击杀；7.5次主要攻击致死</x:v>
      </x:c>
      <x:c r="Q704" s="6"/>
      <x:c r="R704" s="6"/>
      <x:c r="S704" s="6"/>
      <x:c r="T704" s="6"/>
    </x:row>
    <x:row r="705" ht="21" customHeight="1">
      <x:c r="A705" s="14" t="n">
        <x:f>$V$23</x:f>
        <x:v>60010</x:v>
      </x:c>
      <x:c r="B705" s="14" t="str">
        <x:f>$W$23</x:f>
        <x:v>双刀西瓜</x:v>
      </x:c>
      <x:c r="C705" s="6" t="str">
        <x:f>$X$23</x:f>
        <x:v>精英</x:v>
      </x:c>
      <x:c r="D705" s="6">
        <x:v>43</x:v>
      </x:c>
      <x:c r="E705" s="6">
        <x:v>23</x:v>
      </x:c>
      <x:c r="F705" s="12">
        <x:f>ROUND(J705*$W$4*H705,0)</x:f>
        <x:v>46260</x:v>
      </x:c>
      <x:c r="G705" s="12">
        <x:f>ROUND(J705*$W$4*$W$5*I705,0)</x:f>
        <x:v>4112</x:v>
      </x:c>
      <x:c r="H705" s="11" t="n">
        <x:f>$Y$23</x:f>
        <x:v>3.75</x:v>
      </x:c>
      <x:c r="I705" s="11" t="n">
        <x:f>$Z$23</x:f>
        <x:v>4.444444444444445</x:v>
      </x:c>
      <x:c r="J705" s="12">
        <x:f>英雄升级调参!$E$108</x:f>
        <x:v>3084</x:v>
      </x:c>
      <x:c r="K705" s="12">
        <x:f>英雄升级调参!$F$108</x:f>
        <x:v>30840</x:v>
      </x:c>
      <x:c r="L705" s="6" t="n">
        <x:f>ROUNDUP(F705/J705,0)</x:f>
        <x:v>15</x:v>
      </x:c>
      <x:c r="M705" s="6" t="n">
        <x:f>IF(G705=0,"无伤害",ROUNDUP(K705/MAX(1,ROUND(G705*$AC$23,0)),0))</x:f>
        <x:v>8</x:v>
      </x:c>
      <x:c r="N705" s="6" t="n">
        <x:f>ROUNDUP(F705/英雄升级调参!$H$108,0)</x:f>
        <x:v>10</x:v>
      </x:c>
      <x:c r="O705" s="6">
        <x:f>ROUNDUP(F705/英雄升级调参!$K$108,0)</x:f>
        <x:v>6</x:v>
      </x:c>
      <x:c r="P705" s="6" t="str">
        <x:f>$AA$23</x:f>
        <x:v>精英：15次标准普攻击杀；7.5次主要攻击致死</x:v>
      </x:c>
      <x:c r="Q705" s="6"/>
      <x:c r="R705" s="6"/>
      <x:c r="S705" s="6"/>
      <x:c r="T705" s="6"/>
    </x:row>
    <x:row r="706" ht="21" customHeight="1">
      <x:c r="A706" s="14" t="n">
        <x:f>$V$23</x:f>
        <x:v>60010</x:v>
      </x:c>
      <x:c r="B706" s="14" t="str">
        <x:f>$W$23</x:f>
        <x:v>双刀西瓜</x:v>
      </x:c>
      <x:c r="C706" s="6" t="str">
        <x:f>$X$23</x:f>
        <x:v>精英</x:v>
      </x:c>
      <x:c r="D706" s="6">
        <x:v>44</x:v>
      </x:c>
      <x:c r="E706" s="6">
        <x:v>23</x:v>
      </x:c>
      <x:c r="F706" s="12">
        <x:f>ROUND(J706*$W$4*H706,0)</x:f>
        <x:v>47610</x:v>
      </x:c>
      <x:c r="G706" s="12">
        <x:f>ROUND(J706*$W$4*$W$5*I706,0)</x:f>
        <x:v>4232</x:v>
      </x:c>
      <x:c r="H706" s="11" t="n">
        <x:f>$Y$23</x:f>
        <x:v>3.75</x:v>
      </x:c>
      <x:c r="I706" s="11" t="n">
        <x:f>$Z$23</x:f>
        <x:v>4.444444444444445</x:v>
      </x:c>
      <x:c r="J706" s="12">
        <x:f>英雄升级调参!$E$109</x:f>
        <x:v>3174</x:v>
      </x:c>
      <x:c r="K706" s="12">
        <x:f>英雄升级调参!$F$109</x:f>
        <x:v>31740</x:v>
      </x:c>
      <x:c r="L706" s="6" t="n">
        <x:f>ROUNDUP(F706/J706,0)</x:f>
        <x:v>15</x:v>
      </x:c>
      <x:c r="M706" s="6" t="n">
        <x:f>IF(G706=0,"无伤害",ROUNDUP(K706/MAX(1,ROUND(G706*$AC$23,0)),0))</x:f>
        <x:v>8</x:v>
      </x:c>
      <x:c r="N706" s="6" t="n">
        <x:f>ROUNDUP(F706/英雄升级调参!$H$109,0)</x:f>
        <x:v>10</x:v>
      </x:c>
      <x:c r="O706" s="6">
        <x:f>ROUNDUP(F706/英雄升级调参!$K$109,0)</x:f>
        <x:v>6</x:v>
      </x:c>
      <x:c r="P706" s="6" t="str">
        <x:f>$AA$23</x:f>
        <x:v>精英：15次标准普攻击杀；7.5次主要攻击致死</x:v>
      </x:c>
      <x:c r="Q706" s="6"/>
      <x:c r="R706" s="6"/>
      <x:c r="S706" s="6"/>
      <x:c r="T706" s="6"/>
    </x:row>
    <x:row r="707" ht="21" customHeight="1">
      <x:c r="A707" s="14" t="n">
        <x:f>$V$23</x:f>
        <x:v>60010</x:v>
      </x:c>
      <x:c r="B707" s="14" t="str">
        <x:f>$W$23</x:f>
        <x:v>双刀西瓜</x:v>
      </x:c>
      <x:c r="C707" s="6" t="str">
        <x:f>$X$23</x:f>
        <x:v>精英</x:v>
      </x:c>
      <x:c r="D707" s="6">
        <x:v>45</x:v>
      </x:c>
      <x:c r="E707" s="6">
        <x:v>23</x:v>
      </x:c>
      <x:c r="F707" s="12">
        <x:f>ROUND(J707*$W$4*H707,0)</x:f>
        <x:v>51660</x:v>
      </x:c>
      <x:c r="G707" s="12">
        <x:f>ROUND(J707*$W$4*$W$5*I707,0)</x:f>
        <x:v>4592</x:v>
      </x:c>
      <x:c r="H707" s="11" t="n">
        <x:f>$Y$23</x:f>
        <x:v>3.75</x:v>
      </x:c>
      <x:c r="I707" s="11" t="n">
        <x:f>$Z$23</x:f>
        <x:v>4.444444444444445</x:v>
      </x:c>
      <x:c r="J707" s="12">
        <x:f>英雄升级调参!$E$110</x:f>
        <x:v>3444</x:v>
      </x:c>
      <x:c r="K707" s="12">
        <x:f>英雄升级调参!$F$110</x:f>
        <x:v>34440</x:v>
      </x:c>
      <x:c r="L707" s="6" t="n">
        <x:f>ROUNDUP(F707/J707,0)</x:f>
        <x:v>15</x:v>
      </x:c>
      <x:c r="M707" s="6" t="n">
        <x:f>IF(G707=0,"无伤害",ROUNDUP(K707/MAX(1,ROUND(G707*$AC$23,0)),0))</x:f>
        <x:v>8</x:v>
      </x:c>
      <x:c r="N707" s="6" t="n">
        <x:f>ROUNDUP(F707/英雄升级调参!$H$110,0)</x:f>
        <x:v>10</x:v>
      </x:c>
      <x:c r="O707" s="6">
        <x:f>ROUNDUP(F707/英雄升级调参!$K$110,0)</x:f>
        <x:v>6</x:v>
      </x:c>
      <x:c r="P707" s="6" t="str">
        <x:f>$AA$23</x:f>
        <x:v>精英：15次标准普攻击杀；7.5次主要攻击致死</x:v>
      </x:c>
      <x:c r="Q707" s="6"/>
      <x:c r="R707" s="6"/>
      <x:c r="S707" s="6"/>
      <x:c r="T707" s="6"/>
    </x:row>
    <x:row r="708" ht="21" customHeight="1">
      <x:c r="A708" s="14" t="n">
        <x:f>$V$23</x:f>
        <x:v>60010</x:v>
      </x:c>
      <x:c r="B708" s="14" t="str">
        <x:f>$W$23</x:f>
        <x:v>双刀西瓜</x:v>
      </x:c>
      <x:c r="C708" s="6" t="str">
        <x:f>$X$23</x:f>
        <x:v>精英</x:v>
      </x:c>
      <x:c r="D708" s="6">
        <x:v>46</x:v>
      </x:c>
      <x:c r="E708" s="6">
        <x:v>23</x:v>
      </x:c>
      <x:c r="F708" s="12">
        <x:f>ROUND(J708*$W$4*H708,0)</x:f>
        <x:v>53145</x:v>
      </x:c>
      <x:c r="G708" s="12">
        <x:f>ROUND(J708*$W$4*$W$5*I708,0)</x:f>
        <x:v>4724</x:v>
      </x:c>
      <x:c r="H708" s="11" t="n">
        <x:f>$Y$23</x:f>
        <x:v>3.75</x:v>
      </x:c>
      <x:c r="I708" s="11" t="n">
        <x:f>$Z$23</x:f>
        <x:v>4.444444444444445</x:v>
      </x:c>
      <x:c r="J708" s="12">
        <x:f>英雄升级调参!$E$111</x:f>
        <x:v>3543</x:v>
      </x:c>
      <x:c r="K708" s="12">
        <x:f>英雄升级调参!$F$111</x:f>
        <x:v>35430</x:v>
      </x:c>
      <x:c r="L708" s="6" t="n">
        <x:f>ROUNDUP(F708/J708,0)</x:f>
        <x:v>15</x:v>
      </x:c>
      <x:c r="M708" s="6" t="n">
        <x:f>IF(G708=0,"无伤害",ROUNDUP(K708/MAX(1,ROUND(G708*$AC$23,0)),0))</x:f>
        <x:v>8</x:v>
      </x:c>
      <x:c r="N708" s="6" t="n">
        <x:f>ROUNDUP(F708/英雄升级调参!$H$111,0)</x:f>
        <x:v>10</x:v>
      </x:c>
      <x:c r="O708" s="6">
        <x:f>ROUNDUP(F708/英雄升级调参!$K$111,0)</x:f>
        <x:v>6</x:v>
      </x:c>
      <x:c r="P708" s="6" t="str">
        <x:f>$AA$23</x:f>
        <x:v>精英：15次标准普攻击杀；7.5次主要攻击致死</x:v>
      </x:c>
      <x:c r="Q708" s="6"/>
      <x:c r="R708" s="6"/>
      <x:c r="S708" s="6"/>
      <x:c r="T708" s="6"/>
    </x:row>
    <x:row r="709" ht="21" customHeight="1">
      <x:c r="A709" s="14" t="n">
        <x:f>$V$23</x:f>
        <x:v>60010</x:v>
      </x:c>
      <x:c r="B709" s="14" t="str">
        <x:f>$W$23</x:f>
        <x:v>双刀西瓜</x:v>
      </x:c>
      <x:c r="C709" s="6" t="str">
        <x:f>$X$23</x:f>
        <x:v>精英</x:v>
      </x:c>
      <x:c r="D709" s="6">
        <x:v>47</x:v>
      </x:c>
      <x:c r="E709" s="6">
        <x:v>23</x:v>
      </x:c>
      <x:c r="F709" s="12">
        <x:f>ROUND(J709*$W$4*H709,0)</x:f>
        <x:v>54630</x:v>
      </x:c>
      <x:c r="G709" s="12">
        <x:f>ROUND(J709*$W$4*$W$5*I709,0)</x:f>
        <x:v>4856</x:v>
      </x:c>
      <x:c r="H709" s="11" t="n">
        <x:f>$Y$23</x:f>
        <x:v>3.75</x:v>
      </x:c>
      <x:c r="I709" s="11" t="n">
        <x:f>$Z$23</x:f>
        <x:v>4.444444444444445</x:v>
      </x:c>
      <x:c r="J709" s="12">
        <x:f>英雄升级调参!$E$112</x:f>
        <x:v>3642</x:v>
      </x:c>
      <x:c r="K709" s="12">
        <x:f>英雄升级调参!$F$112</x:f>
        <x:v>36420</x:v>
      </x:c>
      <x:c r="L709" s="6" t="n">
        <x:f>ROUNDUP(F709/J709,0)</x:f>
        <x:v>15</x:v>
      </x:c>
      <x:c r="M709" s="6" t="n">
        <x:f>IF(G709=0,"无伤害",ROUNDUP(K709/MAX(1,ROUND(G709*$AC$23,0)),0))</x:f>
        <x:v>8</x:v>
      </x:c>
      <x:c r="N709" s="6" t="n">
        <x:f>ROUNDUP(F709/英雄升级调参!$H$112,0)</x:f>
        <x:v>10</x:v>
      </x:c>
      <x:c r="O709" s="6">
        <x:f>ROUNDUP(F709/英雄升级调参!$K$112,0)</x:f>
        <x:v>6</x:v>
      </x:c>
      <x:c r="P709" s="6" t="str">
        <x:f>$AA$23</x:f>
        <x:v>精英：15次标准普攻击杀；7.5次主要攻击致死</x:v>
      </x:c>
      <x:c r="Q709" s="6"/>
      <x:c r="R709" s="6"/>
      <x:c r="S709" s="6"/>
      <x:c r="T709" s="6"/>
    </x:row>
    <x:row r="710" ht="21" customHeight="1">
      <x:c r="A710" s="14" t="n">
        <x:f>$V$23</x:f>
        <x:v>60010</x:v>
      </x:c>
      <x:c r="B710" s="14" t="str">
        <x:f>$W$23</x:f>
        <x:v>双刀西瓜</x:v>
      </x:c>
      <x:c r="C710" s="6" t="str">
        <x:f>$X$23</x:f>
        <x:v>精英</x:v>
      </x:c>
      <x:c r="D710" s="6">
        <x:v>48</x:v>
      </x:c>
      <x:c r="E710" s="6">
        <x:v>23</x:v>
      </x:c>
      <x:c r="F710" s="12">
        <x:f>ROUND(J710*$W$4*H710,0)</x:f>
        <x:v>56115</x:v>
      </x:c>
      <x:c r="G710" s="12">
        <x:f>ROUND(J710*$W$4*$W$5*I710,0)</x:f>
        <x:v>4988</x:v>
      </x:c>
      <x:c r="H710" s="11" t="n">
        <x:f>$Y$23</x:f>
        <x:v>3.75</x:v>
      </x:c>
      <x:c r="I710" s="11" t="n">
        <x:f>$Z$23</x:f>
        <x:v>4.444444444444445</x:v>
      </x:c>
      <x:c r="J710" s="12">
        <x:f>英雄升级调参!$E$113</x:f>
        <x:v>3741</x:v>
      </x:c>
      <x:c r="K710" s="12">
        <x:f>英雄升级调参!$F$113</x:f>
        <x:v>37410</x:v>
      </x:c>
      <x:c r="L710" s="6" t="n">
        <x:f>ROUNDUP(F710/J710,0)</x:f>
        <x:v>15</x:v>
      </x:c>
      <x:c r="M710" s="6" t="n">
        <x:f>IF(G710=0,"无伤害",ROUNDUP(K710/MAX(1,ROUND(G710*$AC$23,0)),0))</x:f>
        <x:v>8</x:v>
      </x:c>
      <x:c r="N710" s="6" t="n">
        <x:f>ROUNDUP(F710/英雄升级调参!$H$113,0)</x:f>
        <x:v>10</x:v>
      </x:c>
      <x:c r="O710" s="6">
        <x:f>ROUNDUP(F710/英雄升级调参!$K$113,0)</x:f>
        <x:v>6</x:v>
      </x:c>
      <x:c r="P710" s="6" t="str">
        <x:f>$AA$23</x:f>
        <x:v>精英：15次标准普攻击杀；7.5次主要攻击致死</x:v>
      </x:c>
      <x:c r="Q710" s="6"/>
      <x:c r="R710" s="6"/>
      <x:c r="S710" s="6"/>
      <x:c r="T710" s="6"/>
    </x:row>
    <x:row r="711" ht="21" customHeight="1">
      <x:c r="A711" s="14" t="n">
        <x:f>$V$23</x:f>
        <x:v>60010</x:v>
      </x:c>
      <x:c r="B711" s="14" t="str">
        <x:f>$W$23</x:f>
        <x:v>双刀西瓜</x:v>
      </x:c>
      <x:c r="C711" s="6" t="str">
        <x:f>$X$23</x:f>
        <x:v>精英</x:v>
      </x:c>
      <x:c r="D711" s="6">
        <x:v>49</x:v>
      </x:c>
      <x:c r="E711" s="6">
        <x:v>23</x:v>
      </x:c>
      <x:c r="F711" s="12">
        <x:f>ROUND(J711*$W$4*H711,0)</x:f>
        <x:v>57600</x:v>
      </x:c>
      <x:c r="G711" s="12">
        <x:f>ROUND(J711*$W$4*$W$5*I711,0)</x:f>
        <x:v>5120</x:v>
      </x:c>
      <x:c r="H711" s="11" t="n">
        <x:f>$Y$23</x:f>
        <x:v>3.75</x:v>
      </x:c>
      <x:c r="I711" s="11" t="n">
        <x:f>$Z$23</x:f>
        <x:v>4.444444444444445</x:v>
      </x:c>
      <x:c r="J711" s="12">
        <x:f>英雄升级调参!$E$114</x:f>
        <x:v>3840</x:v>
      </x:c>
      <x:c r="K711" s="12">
        <x:f>英雄升级调参!$F$114</x:f>
        <x:v>38400</x:v>
      </x:c>
      <x:c r="L711" s="6" t="n">
        <x:f>ROUNDUP(F711/J711,0)</x:f>
        <x:v>15</x:v>
      </x:c>
      <x:c r="M711" s="6" t="n">
        <x:f>IF(G711=0,"无伤害",ROUNDUP(K711/MAX(1,ROUND(G711*$AC$23,0)),0))</x:f>
        <x:v>8</x:v>
      </x:c>
      <x:c r="N711" s="6" t="n">
        <x:f>ROUNDUP(F711/英雄升级调参!$H$114,0)</x:f>
        <x:v>10</x:v>
      </x:c>
      <x:c r="O711" s="6">
        <x:f>ROUNDUP(F711/英雄升级调参!$K$114,0)</x:f>
        <x:v>6</x:v>
      </x:c>
      <x:c r="P711" s="6" t="str">
        <x:f>$AA$23</x:f>
        <x:v>精英：15次标准普攻击杀；7.5次主要攻击致死</x:v>
      </x:c>
      <x:c r="Q711" s="6"/>
      <x:c r="R711" s="6"/>
      <x:c r="S711" s="6"/>
      <x:c r="T711" s="6"/>
    </x:row>
    <x:row r="712" ht="21" customHeight="1">
      <x:c r="A712" s="14" t="n">
        <x:f>$V$23</x:f>
        <x:v>60010</x:v>
      </x:c>
      <x:c r="B712" s="14" t="str">
        <x:f>$W$23</x:f>
        <x:v>双刀西瓜</x:v>
      </x:c>
      <x:c r="C712" s="6" t="str">
        <x:f>$X$23</x:f>
        <x:v>精英</x:v>
      </x:c>
      <x:c r="D712" s="6">
        <x:v>50</x:v>
      </x:c>
      <x:c r="E712" s="6">
        <x:v>23</x:v>
      </x:c>
      <x:c r="F712" s="12">
        <x:f>ROUND(J712*$W$4*H712,0)</x:f>
        <x:v>62055</x:v>
      </x:c>
      <x:c r="G712" s="12">
        <x:f>ROUND(J712*$W$4*$W$5*I712,0)</x:f>
        <x:v>5516</x:v>
      </x:c>
      <x:c r="H712" s="11" t="n">
        <x:f>$Y$23</x:f>
        <x:v>3.75</x:v>
      </x:c>
      <x:c r="I712" s="11" t="n">
        <x:f>$Z$23</x:f>
        <x:v>4.444444444444445</x:v>
      </x:c>
      <x:c r="J712" s="12">
        <x:f>英雄升级调参!$E$115</x:f>
        <x:v>4137</x:v>
      </x:c>
      <x:c r="K712" s="12">
        <x:f>英雄升级调参!$F$115</x:f>
        <x:v>41370</x:v>
      </x:c>
      <x:c r="L712" s="6" t="n">
        <x:f>ROUNDUP(F712/J712,0)</x:f>
        <x:v>15</x:v>
      </x:c>
      <x:c r="M712" s="6" t="n">
        <x:f>IF(G712=0,"无伤害",ROUNDUP(K712/MAX(1,ROUND(G712*$AC$23,0)),0))</x:f>
        <x:v>8</x:v>
      </x:c>
      <x:c r="N712" s="6" t="n">
        <x:f>ROUNDUP(F712/英雄升级调参!$H$115,0)</x:f>
        <x:v>10</x:v>
      </x:c>
      <x:c r="O712" s="6">
        <x:f>ROUNDUP(F712/英雄升级调参!$K$115,0)</x:f>
        <x:v>6</x:v>
      </x:c>
      <x:c r="P712" s="6" t="str">
        <x:f>$AA$23</x:f>
        <x:v>精英：15次标准普攻击杀；7.5次主要攻击致死</x:v>
      </x:c>
      <x:c r="Q712" s="6"/>
      <x:c r="R712" s="6"/>
      <x:c r="S712" s="6"/>
      <x:c r="T712" s="6"/>
    </x:row>
    <x:row r="713" ht="21" customHeight="1">
      <x:c r="A713" s="14" t="n">
        <x:f>$V$24</x:f>
        <x:v>60011</x:v>
      </x:c>
      <x:c r="B713" s="14" t="str">
        <x:f>$W$24</x:f>
        <x:v>仙人掌</x:v>
      </x:c>
      <x:c r="C713" s="6" t="str">
        <x:f>$X$24</x:f>
        <x:v>精英</x:v>
      </x:c>
      <x:c r="D713" s="6">
        <x:v>1</x:v>
      </x:c>
      <x:c r="E713" s="6">
        <x:v>24</x:v>
      </x:c>
      <x:c r="F713" s="12" t="n">
        <x:f>ROUND(J713*$W$4*H713,0)</x:f>
        <x:v>900</x:v>
      </x:c>
      <x:c r="G713" s="12" t="n">
        <x:f>ROUND(J713*$W$4*$W$5*I713,0)</x:f>
        <x:v>80</x:v>
      </x:c>
      <x:c r="H713" s="11" t="n">
        <x:f>$Y$24</x:f>
        <x:v>3.75</x:v>
      </x:c>
      <x:c r="I713" s="11" t="n">
        <x:f>$Z$24</x:f>
        <x:v>4.444444444444445</x:v>
      </x:c>
      <x:c r="J713" s="12" t="n">
        <x:f>英雄升级调参!$E$66</x:f>
        <x:v>60</x:v>
      </x:c>
      <x:c r="K713" s="12" t="n">
        <x:f>英雄升级调参!$F$66</x:f>
        <x:v>600</x:v>
      </x:c>
      <x:c r="L713" s="6" t="n">
        <x:f>ROUNDUP(F713/J713,0)</x:f>
        <x:v>15</x:v>
      </x:c>
      <x:c r="M713" s="6" t="n">
        <x:f>IF(G713=0,"无伤害",ROUNDUP(K713/MAX(1,ROUND(G713*$AC$24,0)),0))</x:f>
        <x:v>8</x:v>
      </x:c>
      <x:c r="N713" s="6">
        <x:f>ROUNDUP(F713/英雄升级调参!$H$66,0)</x:f>
        <x:v>5</x:v>
      </x:c>
      <x:c r="O713" s="6">
        <x:f>ROUNDUP(F713/英雄升级调参!$K$66,0)</x:f>
        <x:v>3</x:v>
      </x:c>
      <x:c r="P713" s="6" t="str">
        <x:f>$AA$24</x:f>
        <x:v>精英：15次标准普攻击杀；7.5次主要攻击致死</x:v>
      </x:c>
      <x:c r="Q713" s="6"/>
      <x:c r="R713" s="6"/>
      <x:c r="S713" s="6"/>
      <x:c r="T713" s="6"/>
    </x:row>
    <x:row r="714" ht="21" customHeight="1">
      <x:c r="A714" s="14" t="n">
        <x:f>$V$24</x:f>
        <x:v>60011</x:v>
      </x:c>
      <x:c r="B714" s="14" t="str">
        <x:f>$W$24</x:f>
        <x:v>仙人掌</x:v>
      </x:c>
      <x:c r="C714" s="6" t="str">
        <x:f>$X$24</x:f>
        <x:v>精英</x:v>
      </x:c>
      <x:c r="D714" s="6">
        <x:v>2</x:v>
      </x:c>
      <x:c r="E714" s="6">
        <x:v>24</x:v>
      </x:c>
      <x:c r="F714" s="12">
        <x:f>ROUND(J714*$W$4*H714,0)</x:f>
        <x:v>1170</x:v>
      </x:c>
      <x:c r="G714" s="12">
        <x:f>ROUND(J714*$W$4*$W$5*I714,0)</x:f>
        <x:v>104</x:v>
      </x:c>
      <x:c r="H714" s="11" t="n">
        <x:f>$Y$24</x:f>
        <x:v>3.75</x:v>
      </x:c>
      <x:c r="I714" s="11" t="n">
        <x:f>$Z$24</x:f>
        <x:v>4.444444444444445</x:v>
      </x:c>
      <x:c r="J714" s="12">
        <x:f>英雄升级调参!$E$67</x:f>
        <x:v>78</x:v>
      </x:c>
      <x:c r="K714" s="12">
        <x:f>英雄升级调参!$F$67</x:f>
        <x:v>780</x:v>
      </x:c>
      <x:c r="L714" s="6" t="n">
        <x:f>ROUNDUP(F714/J714,0)</x:f>
        <x:v>15</x:v>
      </x:c>
      <x:c r="M714" s="6" t="n">
        <x:f>IF(G714=0,"无伤害",ROUNDUP(K714/MAX(1,ROUND(G714*$AC$24,0)),0))</x:f>
        <x:v>8</x:v>
      </x:c>
      <x:c r="N714" s="6">
        <x:f>ROUNDUP(F714/英雄升级调参!$H$67,0)</x:f>
        <x:v>6</x:v>
      </x:c>
      <x:c r="O714" s="6">
        <x:f>ROUNDUP(F714/英雄升级调参!$K$67,0)</x:f>
        <x:v>3</x:v>
      </x:c>
      <x:c r="P714" s="6" t="str">
        <x:f>$AA$24</x:f>
        <x:v>精英：15次标准普攻击杀；7.5次主要攻击致死</x:v>
      </x:c>
      <x:c r="Q714" s="6"/>
      <x:c r="R714" s="6"/>
      <x:c r="S714" s="6"/>
      <x:c r="T714" s="6"/>
    </x:row>
    <x:row r="715" ht="21" customHeight="1">
      <x:c r="A715" s="14" t="n">
        <x:f>$V$24</x:f>
        <x:v>60011</x:v>
      </x:c>
      <x:c r="B715" s="14" t="str">
        <x:f>$W$24</x:f>
        <x:v>仙人掌</x:v>
      </x:c>
      <x:c r="C715" s="6" t="str">
        <x:f>$X$24</x:f>
        <x:v>精英</x:v>
      </x:c>
      <x:c r="D715" s="6">
        <x:v>3</x:v>
      </x:c>
      <x:c r="E715" s="6">
        <x:v>24</x:v>
      </x:c>
      <x:c r="F715" s="12">
        <x:f>ROUND(J715*$W$4*H715,0)</x:f>
        <x:v>1440</x:v>
      </x:c>
      <x:c r="G715" s="12">
        <x:f>ROUND(J715*$W$4*$W$5*I715,0)</x:f>
        <x:v>128</x:v>
      </x:c>
      <x:c r="H715" s="11" t="n">
        <x:f>$Y$24</x:f>
        <x:v>3.75</x:v>
      </x:c>
      <x:c r="I715" s="11" t="n">
        <x:f>$Z$24</x:f>
        <x:v>4.444444444444445</x:v>
      </x:c>
      <x:c r="J715" s="12">
        <x:f>英雄升级调参!$E$68</x:f>
        <x:v>96</x:v>
      </x:c>
      <x:c r="K715" s="12">
        <x:f>英雄升级调参!$F$68</x:f>
        <x:v>960</x:v>
      </x:c>
      <x:c r="L715" s="6" t="n">
        <x:f>ROUNDUP(F715/J715,0)</x:f>
        <x:v>15</x:v>
      </x:c>
      <x:c r="M715" s="6" t="n">
        <x:f>IF(G715=0,"无伤害",ROUNDUP(K715/MAX(1,ROUND(G715*$AC$24,0)),0))</x:f>
        <x:v>8</x:v>
      </x:c>
      <x:c r="N715" s="6">
        <x:f>ROUNDUP(F715/英雄升级调参!$H$68,0)</x:f>
        <x:v>6</x:v>
      </x:c>
      <x:c r="O715" s="6">
        <x:f>ROUNDUP(F715/英雄升级调参!$K$68,0)</x:f>
        <x:v>4</x:v>
      </x:c>
      <x:c r="P715" s="6" t="str">
        <x:f>$AA$24</x:f>
        <x:v>精英：15次标准普攻击杀；7.5次主要攻击致死</x:v>
      </x:c>
      <x:c r="Q715" s="6"/>
      <x:c r="R715" s="6"/>
      <x:c r="S715" s="6"/>
      <x:c r="T715" s="6"/>
    </x:row>
    <x:row r="716" ht="21" customHeight="1">
      <x:c r="A716" s="14" t="n">
        <x:f>$V$24</x:f>
        <x:v>60011</x:v>
      </x:c>
      <x:c r="B716" s="14" t="str">
        <x:f>$W$24</x:f>
        <x:v>仙人掌</x:v>
      </x:c>
      <x:c r="C716" s="6" t="str">
        <x:f>$X$24</x:f>
        <x:v>精英</x:v>
      </x:c>
      <x:c r="D716" s="6">
        <x:v>4</x:v>
      </x:c>
      <x:c r="E716" s="6">
        <x:v>24</x:v>
      </x:c>
      <x:c r="F716" s="12">
        <x:f>ROUND(J716*$W$4*H716,0)</x:f>
        <x:v>1710</x:v>
      </x:c>
      <x:c r="G716" s="12">
        <x:f>ROUND(J716*$W$4*$W$5*I716,0)</x:f>
        <x:v>152</x:v>
      </x:c>
      <x:c r="H716" s="11" t="n">
        <x:f>$Y$24</x:f>
        <x:v>3.75</x:v>
      </x:c>
      <x:c r="I716" s="11" t="n">
        <x:f>$Z$24</x:f>
        <x:v>4.444444444444445</x:v>
      </x:c>
      <x:c r="J716" s="12">
        <x:f>英雄升级调参!$E$69</x:f>
        <x:v>114</x:v>
      </x:c>
      <x:c r="K716" s="12">
        <x:f>英雄升级调参!$F$69</x:f>
        <x:v>1140</x:v>
      </x:c>
      <x:c r="L716" s="6" t="n">
        <x:f>ROUNDUP(F716/J716,0)</x:f>
        <x:v>15</x:v>
      </x:c>
      <x:c r="M716" s="6" t="n">
        <x:f>IF(G716=0,"无伤害",ROUNDUP(K716/MAX(1,ROUND(G716*$AC$24,0)),0))</x:f>
        <x:v>8</x:v>
      </x:c>
      <x:c r="N716" s="6">
        <x:f>ROUNDUP(F716/英雄升级调参!$H$69,0)</x:f>
        <x:v>7</x:v>
      </x:c>
      <x:c r="O716" s="6">
        <x:f>ROUNDUP(F716/英雄升级调参!$K$69,0)</x:f>
        <x:v>4</x:v>
      </x:c>
      <x:c r="P716" s="6" t="str">
        <x:f>$AA$24</x:f>
        <x:v>精英：15次标准普攻击杀；7.5次主要攻击致死</x:v>
      </x:c>
      <x:c r="Q716" s="6"/>
      <x:c r="R716" s="6"/>
      <x:c r="S716" s="6"/>
      <x:c r="T716" s="6"/>
    </x:row>
    <x:row r="717" ht="21" customHeight="1">
      <x:c r="A717" s="14" t="n">
        <x:f>$V$24</x:f>
        <x:v>60011</x:v>
      </x:c>
      <x:c r="B717" s="14" t="str">
        <x:f>$W$24</x:f>
        <x:v>仙人掌</x:v>
      </x:c>
      <x:c r="C717" s="6" t="str">
        <x:f>$X$24</x:f>
        <x:v>精英</x:v>
      </x:c>
      <x:c r="D717" s="6">
        <x:v>5</x:v>
      </x:c>
      <x:c r="E717" s="6">
        <x:v>24</x:v>
      </x:c>
      <x:c r="F717" s="12">
        <x:f>ROUND(J717*$W$4*H717,0)</x:f>
        <x:v>2520</x:v>
      </x:c>
      <x:c r="G717" s="12">
        <x:f>ROUND(J717*$W$4*$W$5*I717,0)</x:f>
        <x:v>224</x:v>
      </x:c>
      <x:c r="H717" s="11" t="n">
        <x:f>$Y$24</x:f>
        <x:v>3.75</x:v>
      </x:c>
      <x:c r="I717" s="11" t="n">
        <x:f>$Z$24</x:f>
        <x:v>4.444444444444445</x:v>
      </x:c>
      <x:c r="J717" s="12">
        <x:f>英雄升级调参!$E$70</x:f>
        <x:v>168</x:v>
      </x:c>
      <x:c r="K717" s="12">
        <x:f>英雄升级调参!$F$70</x:f>
        <x:v>1680</x:v>
      </x:c>
      <x:c r="L717" s="6" t="n">
        <x:f>ROUNDUP(F717/J717,0)</x:f>
        <x:v>15</x:v>
      </x:c>
      <x:c r="M717" s="6" t="n">
        <x:f>IF(G717=0,"无伤害",ROUNDUP(K717/MAX(1,ROUND(G717*$AC$24,0)),0))</x:f>
        <x:v>8</x:v>
      </x:c>
      <x:c r="N717" s="6">
        <x:f>ROUNDUP(F717/英雄升级调参!$H$70,0)</x:f>
        <x:v>8</x:v>
      </x:c>
      <x:c r="O717" s="6">
        <x:f>ROUNDUP(F717/英雄升级调参!$K$70,0)</x:f>
        <x:v>5</x:v>
      </x:c>
      <x:c r="P717" s="6" t="str">
        <x:f>$AA$24</x:f>
        <x:v>精英：15次标准普攻击杀；7.5次主要攻击致死</x:v>
      </x:c>
      <x:c r="Q717" s="6"/>
      <x:c r="R717" s="6"/>
      <x:c r="S717" s="6"/>
      <x:c r="T717" s="6"/>
    </x:row>
    <x:row r="718" ht="21" customHeight="1">
      <x:c r="A718" s="14" t="n">
        <x:f>$V$24</x:f>
        <x:v>60011</x:v>
      </x:c>
      <x:c r="B718" s="14" t="str">
        <x:f>$W$24</x:f>
        <x:v>仙人掌</x:v>
      </x:c>
      <x:c r="C718" s="6" t="str">
        <x:f>$X$24</x:f>
        <x:v>精英</x:v>
      </x:c>
      <x:c r="D718" s="6">
        <x:v>6</x:v>
      </x:c>
      <x:c r="E718" s="6">
        <x:v>24</x:v>
      </x:c>
      <x:c r="F718" s="12">
        <x:f>ROUND(J718*$W$4*H718,0)</x:f>
        <x:v>2925</x:v>
      </x:c>
      <x:c r="G718" s="12">
        <x:f>ROUND(J718*$W$4*$W$5*I718,0)</x:f>
        <x:v>260</x:v>
      </x:c>
      <x:c r="H718" s="11" t="n">
        <x:f>$Y$24</x:f>
        <x:v>3.75</x:v>
      </x:c>
      <x:c r="I718" s="11" t="n">
        <x:f>$Z$24</x:f>
        <x:v>4.444444444444445</x:v>
      </x:c>
      <x:c r="J718" s="12">
        <x:f>英雄升级调参!$E$71</x:f>
        <x:v>195</x:v>
      </x:c>
      <x:c r="K718" s="12">
        <x:f>英雄升级调参!$F$71</x:f>
        <x:v>1950</x:v>
      </x:c>
      <x:c r="L718" s="6" t="n">
        <x:f>ROUNDUP(F718/J718,0)</x:f>
        <x:v>15</x:v>
      </x:c>
      <x:c r="M718" s="6" t="n">
        <x:f>IF(G718=0,"无伤害",ROUNDUP(K718/MAX(1,ROUND(G718*$AC$24,0)),0))</x:f>
        <x:v>8</x:v>
      </x:c>
      <x:c r="N718" s="6">
        <x:f>ROUNDUP(F718/英雄升级调参!$H$71,0)</x:f>
        <x:v>8</x:v>
      </x:c>
      <x:c r="O718" s="6">
        <x:f>ROUNDUP(F718/英雄升级调参!$K$71,0)</x:f>
        <x:v>5</x:v>
      </x:c>
      <x:c r="P718" s="6" t="str">
        <x:f>$AA$24</x:f>
        <x:v>精英：15次标准普攻击杀；7.5次主要攻击致死</x:v>
      </x:c>
      <x:c r="Q718" s="6"/>
      <x:c r="R718" s="6"/>
      <x:c r="S718" s="6"/>
      <x:c r="T718" s="6"/>
    </x:row>
    <x:row r="719" ht="21" customHeight="1">
      <x:c r="A719" s="14" t="n">
        <x:f>$V$24</x:f>
        <x:v>60011</x:v>
      </x:c>
      <x:c r="B719" s="14" t="str">
        <x:f>$W$24</x:f>
        <x:v>仙人掌</x:v>
      </x:c>
      <x:c r="C719" s="6" t="str">
        <x:f>$X$24</x:f>
        <x:v>精英</x:v>
      </x:c>
      <x:c r="D719" s="6">
        <x:v>7</x:v>
      </x:c>
      <x:c r="E719" s="6">
        <x:v>24</x:v>
      </x:c>
      <x:c r="F719" s="12">
        <x:f>ROUND(J719*$W$4*H719,0)</x:f>
        <x:v>3330</x:v>
      </x:c>
      <x:c r="G719" s="12">
        <x:f>ROUND(J719*$W$4*$W$5*I719,0)</x:f>
        <x:v>296</x:v>
      </x:c>
      <x:c r="H719" s="11" t="n">
        <x:f>$Y$24</x:f>
        <x:v>3.75</x:v>
      </x:c>
      <x:c r="I719" s="11" t="n">
        <x:f>$Z$24</x:f>
        <x:v>4.444444444444445</x:v>
      </x:c>
      <x:c r="J719" s="12">
        <x:f>英雄升级调参!$E$72</x:f>
        <x:v>222</x:v>
      </x:c>
      <x:c r="K719" s="12">
        <x:f>英雄升级调参!$F$72</x:f>
        <x:v>2220</x:v>
      </x:c>
      <x:c r="L719" s="6" t="n">
        <x:f>ROUNDUP(F719/J719,0)</x:f>
        <x:v>15</x:v>
      </x:c>
      <x:c r="M719" s="6" t="n">
        <x:f>IF(G719=0,"无伤害",ROUNDUP(K719/MAX(1,ROUND(G719*$AC$24,0)),0))</x:f>
        <x:v>8</x:v>
      </x:c>
      <x:c r="N719" s="6">
        <x:f>ROUNDUP(F719/英雄升级调参!$H$72,0)</x:f>
        <x:v>8</x:v>
      </x:c>
      <x:c r="O719" s="6">
        <x:f>ROUNDUP(F719/英雄升级调参!$K$72,0)</x:f>
        <x:v>5</x:v>
      </x:c>
      <x:c r="P719" s="6" t="str">
        <x:f>$AA$24</x:f>
        <x:v>精英：15次标准普攻击杀；7.5次主要攻击致死</x:v>
      </x:c>
      <x:c r="Q719" s="6"/>
      <x:c r="R719" s="6"/>
      <x:c r="S719" s="6"/>
      <x:c r="T719" s="6"/>
    </x:row>
    <x:row r="720" ht="21" customHeight="1">
      <x:c r="A720" s="14" t="n">
        <x:f>$V$24</x:f>
        <x:v>60011</x:v>
      </x:c>
      <x:c r="B720" s="14" t="str">
        <x:f>$W$24</x:f>
        <x:v>仙人掌</x:v>
      </x:c>
      <x:c r="C720" s="6" t="str">
        <x:f>$X$24</x:f>
        <x:v>精英</x:v>
      </x:c>
      <x:c r="D720" s="6">
        <x:v>8</x:v>
      </x:c>
      <x:c r="E720" s="6">
        <x:v>24</x:v>
      </x:c>
      <x:c r="F720" s="12">
        <x:f>ROUND(J720*$W$4*H720,0)</x:f>
        <x:v>3735</x:v>
      </x:c>
      <x:c r="G720" s="12">
        <x:f>ROUND(J720*$W$4*$W$5*I720,0)</x:f>
        <x:v>332</x:v>
      </x:c>
      <x:c r="H720" s="11" t="n">
        <x:f>$Y$24</x:f>
        <x:v>3.75</x:v>
      </x:c>
      <x:c r="I720" s="11" t="n">
        <x:f>$Z$24</x:f>
        <x:v>4.444444444444445</x:v>
      </x:c>
      <x:c r="J720" s="12">
        <x:f>英雄升级调参!$E$73</x:f>
        <x:v>249</x:v>
      </x:c>
      <x:c r="K720" s="12">
        <x:f>英雄升级调参!$F$73</x:f>
        <x:v>2490</x:v>
      </x:c>
      <x:c r="L720" s="6" t="n">
        <x:f>ROUNDUP(F720/J720,0)</x:f>
        <x:v>15</x:v>
      </x:c>
      <x:c r="M720" s="6" t="n">
        <x:f>IF(G720=0,"无伤害",ROUNDUP(K720/MAX(1,ROUND(G720*$AC$24,0)),0))</x:f>
        <x:v>8</x:v>
      </x:c>
      <x:c r="N720" s="6">
        <x:f>ROUNDUP(F720/英雄升级调参!$H$73,0)</x:f>
        <x:v>8</x:v>
      </x:c>
      <x:c r="O720" s="6">
        <x:f>ROUNDUP(F720/英雄升级调参!$K$73,0)</x:f>
        <x:v>5</x:v>
      </x:c>
      <x:c r="P720" s="6" t="str">
        <x:f>$AA$24</x:f>
        <x:v>精英：15次标准普攻击杀；7.5次主要攻击致死</x:v>
      </x:c>
      <x:c r="Q720" s="6"/>
      <x:c r="R720" s="6"/>
      <x:c r="S720" s="6"/>
      <x:c r="T720" s="6"/>
    </x:row>
    <x:row r="721" ht="21" customHeight="1">
      <x:c r="A721" s="14" t="n">
        <x:f>$V$24</x:f>
        <x:v>60011</x:v>
      </x:c>
      <x:c r="B721" s="14" t="str">
        <x:f>$W$24</x:f>
        <x:v>仙人掌</x:v>
      </x:c>
      <x:c r="C721" s="6" t="str">
        <x:f>$X$24</x:f>
        <x:v>精英</x:v>
      </x:c>
      <x:c r="D721" s="6">
        <x:v>9</x:v>
      </x:c>
      <x:c r="E721" s="6">
        <x:v>24</x:v>
      </x:c>
      <x:c r="F721" s="12">
        <x:f>ROUND(J721*$W$4*H721,0)</x:f>
        <x:v>4140</x:v>
      </x:c>
      <x:c r="G721" s="12">
        <x:f>ROUND(J721*$W$4*$W$5*I721,0)</x:f>
        <x:v>368</x:v>
      </x:c>
      <x:c r="H721" s="11" t="n">
        <x:f>$Y$24</x:f>
        <x:v>3.75</x:v>
      </x:c>
      <x:c r="I721" s="11" t="n">
        <x:f>$Z$24</x:f>
        <x:v>4.444444444444445</x:v>
      </x:c>
      <x:c r="J721" s="12">
        <x:f>英雄升级调参!$E$74</x:f>
        <x:v>276</x:v>
      </x:c>
      <x:c r="K721" s="12">
        <x:f>英雄升级调参!$F$74</x:f>
        <x:v>2760</x:v>
      </x:c>
      <x:c r="L721" s="6" t="n">
        <x:f>ROUNDUP(F721/J721,0)</x:f>
        <x:v>15</x:v>
      </x:c>
      <x:c r="M721" s="6" t="n">
        <x:f>IF(G721=0,"无伤害",ROUNDUP(K721/MAX(1,ROUND(G721*$AC$24,0)),0))</x:f>
        <x:v>8</x:v>
      </x:c>
      <x:c r="N721" s="6">
        <x:f>ROUNDUP(F721/英雄升级调参!$H$74,0)</x:f>
        <x:v>8</x:v>
      </x:c>
      <x:c r="O721" s="6">
        <x:f>ROUNDUP(F721/英雄升级调参!$K$74,0)</x:f>
        <x:v>5</x:v>
      </x:c>
      <x:c r="P721" s="6" t="str">
        <x:f>$AA$24</x:f>
        <x:v>精英：15次标准普攻击杀；7.5次主要攻击致死</x:v>
      </x:c>
      <x:c r="Q721" s="6"/>
      <x:c r="R721" s="6"/>
      <x:c r="S721" s="6"/>
      <x:c r="T721" s="6"/>
    </x:row>
    <x:row r="722" ht="21" customHeight="1">
      <x:c r="A722" s="14" t="n">
        <x:f>$V$24</x:f>
        <x:v>60011</x:v>
      </x:c>
      <x:c r="B722" s="14" t="str">
        <x:f>$W$24</x:f>
        <x:v>仙人掌</x:v>
      </x:c>
      <x:c r="C722" s="6" t="str">
        <x:f>$X$24</x:f>
        <x:v>精英</x:v>
      </x:c>
      <x:c r="D722" s="6">
        <x:v>10</x:v>
      </x:c>
      <x:c r="E722" s="6">
        <x:v>24</x:v>
      </x:c>
      <x:c r="F722" s="12">
        <x:f>ROUND(J722*$W$4*H722,0)</x:f>
        <x:v>5355</x:v>
      </x:c>
      <x:c r="G722" s="12">
        <x:f>ROUND(J722*$W$4*$W$5*I722,0)</x:f>
        <x:v>476</x:v>
      </x:c>
      <x:c r="H722" s="11" t="n">
        <x:f>$Y$24</x:f>
        <x:v>3.75</x:v>
      </x:c>
      <x:c r="I722" s="11" t="n">
        <x:f>$Z$24</x:f>
        <x:v>4.444444444444445</x:v>
      </x:c>
      <x:c r="J722" s="12">
        <x:f>英雄升级调参!$E$75</x:f>
        <x:v>357</x:v>
      </x:c>
      <x:c r="K722" s="12">
        <x:f>英雄升级调参!$F$75</x:f>
        <x:v>3570</x:v>
      </x:c>
      <x:c r="L722" s="6" t="n">
        <x:f>ROUNDUP(F722/J722,0)</x:f>
        <x:v>15</x:v>
      </x:c>
      <x:c r="M722" s="6" t="n">
        <x:f>IF(G722=0,"无伤害",ROUNDUP(K722/MAX(1,ROUND(G722*$AC$24,0)),0))</x:f>
        <x:v>8</x:v>
      </x:c>
      <x:c r="N722" s="6">
        <x:f>ROUNDUP(F722/英雄升级调参!$H$75,0)</x:f>
        <x:v>9</x:v>
      </x:c>
      <x:c r="O722" s="6">
        <x:f>ROUNDUP(F722/英雄升级调参!$K$75,0)</x:f>
        <x:v>5</x:v>
      </x:c>
      <x:c r="P722" s="6" t="str">
        <x:f>$AA$24</x:f>
        <x:v>精英：15次标准普攻击杀；7.5次主要攻击致死</x:v>
      </x:c>
      <x:c r="Q722" s="6"/>
      <x:c r="R722" s="6"/>
      <x:c r="S722" s="6"/>
      <x:c r="T722" s="6"/>
    </x:row>
    <x:row r="723" ht="21" customHeight="1">
      <x:c r="A723" s="14" t="n">
        <x:f>$V$24</x:f>
        <x:v>60011</x:v>
      </x:c>
      <x:c r="B723" s="14" t="str">
        <x:f>$W$24</x:f>
        <x:v>仙人掌</x:v>
      </x:c>
      <x:c r="C723" s="6" t="str">
        <x:f>$X$24</x:f>
        <x:v>精英</x:v>
      </x:c>
      <x:c r="D723" s="6">
        <x:v>11</x:v>
      </x:c>
      <x:c r="E723" s="6">
        <x:v>24</x:v>
      </x:c>
      <x:c r="F723" s="12">
        <x:f>ROUND(J723*$W$4*H723,0)</x:f>
        <x:v>5895</x:v>
      </x:c>
      <x:c r="G723" s="12">
        <x:f>ROUND(J723*$W$4*$W$5*I723,0)</x:f>
        <x:v>524</x:v>
      </x:c>
      <x:c r="H723" s="11" t="n">
        <x:f>$Y$24</x:f>
        <x:v>3.75</x:v>
      </x:c>
      <x:c r="I723" s="11" t="n">
        <x:f>$Z$24</x:f>
        <x:v>4.444444444444445</x:v>
      </x:c>
      <x:c r="J723" s="12">
        <x:f>英雄升级调参!$E$76</x:f>
        <x:v>393</x:v>
      </x:c>
      <x:c r="K723" s="12">
        <x:f>英雄升级调参!$F$76</x:f>
        <x:v>3930</x:v>
      </x:c>
      <x:c r="L723" s="6" t="n">
        <x:f>ROUNDUP(F723/J723,0)</x:f>
        <x:v>15</x:v>
      </x:c>
      <x:c r="M723" s="6" t="n">
        <x:f>IF(G723=0,"无伤害",ROUNDUP(K723/MAX(1,ROUND(G723*$AC$24,0)),0))</x:f>
        <x:v>8</x:v>
      </x:c>
      <x:c r="N723" s="6">
        <x:f>ROUNDUP(F723/英雄升级调参!$H$76,0)</x:f>
        <x:v>9</x:v>
      </x:c>
      <x:c r="O723" s="6">
        <x:f>ROUNDUP(F723/英雄升级调参!$K$76,0)</x:f>
        <x:v>5</x:v>
      </x:c>
      <x:c r="P723" s="6" t="str">
        <x:f>$AA$24</x:f>
        <x:v>精英：15次标准普攻击杀；7.5次主要攻击致死</x:v>
      </x:c>
      <x:c r="Q723" s="6"/>
      <x:c r="R723" s="6"/>
      <x:c r="S723" s="6"/>
      <x:c r="T723" s="6"/>
    </x:row>
    <x:row r="724" ht="21" customHeight="1">
      <x:c r="A724" s="14" t="n">
        <x:f>$V$24</x:f>
        <x:v>60011</x:v>
      </x:c>
      <x:c r="B724" s="14" t="str">
        <x:f>$W$24</x:f>
        <x:v>仙人掌</x:v>
      </x:c>
      <x:c r="C724" s="6" t="str">
        <x:f>$X$24</x:f>
        <x:v>精英</x:v>
      </x:c>
      <x:c r="D724" s="6">
        <x:v>12</x:v>
      </x:c>
      <x:c r="E724" s="6">
        <x:v>24</x:v>
      </x:c>
      <x:c r="F724" s="12">
        <x:f>ROUND(J724*$W$4*H724,0)</x:f>
        <x:v>6435</x:v>
      </x:c>
      <x:c r="G724" s="12">
        <x:f>ROUND(J724*$W$4*$W$5*I724,0)</x:f>
        <x:v>572</x:v>
      </x:c>
      <x:c r="H724" s="11" t="n">
        <x:f>$Y$24</x:f>
        <x:v>3.75</x:v>
      </x:c>
      <x:c r="I724" s="11" t="n">
        <x:f>$Z$24</x:f>
        <x:v>4.444444444444445</x:v>
      </x:c>
      <x:c r="J724" s="12">
        <x:f>英雄升级调参!$E$77</x:f>
        <x:v>429</x:v>
      </x:c>
      <x:c r="K724" s="12">
        <x:f>英雄升级调参!$F$77</x:f>
        <x:v>4290</x:v>
      </x:c>
      <x:c r="L724" s="6" t="n">
        <x:f>ROUNDUP(F724/J724,0)</x:f>
        <x:v>15</x:v>
      </x:c>
      <x:c r="M724" s="6" t="n">
        <x:f>IF(G724=0,"无伤害",ROUNDUP(K724/MAX(1,ROUND(G724*$AC$24,0)),0))</x:f>
        <x:v>8</x:v>
      </x:c>
      <x:c r="N724" s="6">
        <x:f>ROUNDUP(F724/英雄升级调参!$H$77,0)</x:f>
        <x:v>9</x:v>
      </x:c>
      <x:c r="O724" s="6">
        <x:f>ROUNDUP(F724/英雄升级调参!$K$77,0)</x:f>
        <x:v>6</x:v>
      </x:c>
      <x:c r="P724" s="6" t="str">
        <x:f>$AA$24</x:f>
        <x:v>精英：15次标准普攻击杀；7.5次主要攻击致死</x:v>
      </x:c>
      <x:c r="Q724" s="6"/>
      <x:c r="R724" s="6"/>
      <x:c r="S724" s="6"/>
      <x:c r="T724" s="6"/>
    </x:row>
    <x:row r="725" ht="21" customHeight="1">
      <x:c r="A725" s="14" t="n">
        <x:f>$V$24</x:f>
        <x:v>60011</x:v>
      </x:c>
      <x:c r="B725" s="14" t="str">
        <x:f>$W$24</x:f>
        <x:v>仙人掌</x:v>
      </x:c>
      <x:c r="C725" s="6" t="str">
        <x:f>$X$24</x:f>
        <x:v>精英</x:v>
      </x:c>
      <x:c r="D725" s="6">
        <x:v>13</x:v>
      </x:c>
      <x:c r="E725" s="6">
        <x:v>24</x:v>
      </x:c>
      <x:c r="F725" s="12">
        <x:f>ROUND(J725*$W$4*H725,0)</x:f>
        <x:v>6975</x:v>
      </x:c>
      <x:c r="G725" s="12">
        <x:f>ROUND(J725*$W$4*$W$5*I725,0)</x:f>
        <x:v>620</x:v>
      </x:c>
      <x:c r="H725" s="11" t="n">
        <x:f>$Y$24</x:f>
        <x:v>3.75</x:v>
      </x:c>
      <x:c r="I725" s="11" t="n">
        <x:f>$Z$24</x:f>
        <x:v>4.444444444444445</x:v>
      </x:c>
      <x:c r="J725" s="12">
        <x:f>英雄升级调参!$E$78</x:f>
        <x:v>465</x:v>
      </x:c>
      <x:c r="K725" s="12">
        <x:f>英雄升级调参!$F$78</x:f>
        <x:v>4650</x:v>
      </x:c>
      <x:c r="L725" s="6" t="n">
        <x:f>ROUNDUP(F725/J725,0)</x:f>
        <x:v>15</x:v>
      </x:c>
      <x:c r="M725" s="6" t="n">
        <x:f>IF(G725=0,"无伤害",ROUNDUP(K725/MAX(1,ROUND(G725*$AC$24,0)),0))</x:f>
        <x:v>8</x:v>
      </x:c>
      <x:c r="N725" s="6">
        <x:f>ROUNDUP(F725/英雄升级调参!$H$78,0)</x:f>
        <x:v>9</x:v>
      </x:c>
      <x:c r="O725" s="6">
        <x:f>ROUNDUP(F725/英雄升级调参!$K$78,0)</x:f>
        <x:v>6</x:v>
      </x:c>
      <x:c r="P725" s="6" t="str">
        <x:f>$AA$24</x:f>
        <x:v>精英：15次标准普攻击杀；7.5次主要攻击致死</x:v>
      </x:c>
      <x:c r="Q725" s="6"/>
      <x:c r="R725" s="6"/>
      <x:c r="S725" s="6"/>
      <x:c r="T725" s="6"/>
    </x:row>
    <x:row r="726" ht="21" customHeight="1">
      <x:c r="A726" s="14" t="n">
        <x:f>$V$24</x:f>
        <x:v>60011</x:v>
      </x:c>
      <x:c r="B726" s="14" t="str">
        <x:f>$W$24</x:f>
        <x:v>仙人掌</x:v>
      </x:c>
      <x:c r="C726" s="6" t="str">
        <x:f>$X$24</x:f>
        <x:v>精英</x:v>
      </x:c>
      <x:c r="D726" s="6">
        <x:v>14</x:v>
      </x:c>
      <x:c r="E726" s="6">
        <x:v>24</x:v>
      </x:c>
      <x:c r="F726" s="12">
        <x:f>ROUND(J726*$W$4*H726,0)</x:f>
        <x:v>7515</x:v>
      </x:c>
      <x:c r="G726" s="12">
        <x:f>ROUND(J726*$W$4*$W$5*I726,0)</x:f>
        <x:v>668</x:v>
      </x:c>
      <x:c r="H726" s="11" t="n">
        <x:f>$Y$24</x:f>
        <x:v>3.75</x:v>
      </x:c>
      <x:c r="I726" s="11" t="n">
        <x:f>$Z$24</x:f>
        <x:v>4.444444444444445</x:v>
      </x:c>
      <x:c r="J726" s="12">
        <x:f>英雄升级调参!$E$79</x:f>
        <x:v>501</x:v>
      </x:c>
      <x:c r="K726" s="12">
        <x:f>英雄升级调参!$F$79</x:f>
        <x:v>5010</x:v>
      </x:c>
      <x:c r="L726" s="6" t="n">
        <x:f>ROUNDUP(F726/J726,0)</x:f>
        <x:v>15</x:v>
      </x:c>
      <x:c r="M726" s="6" t="n">
        <x:f>IF(G726=0,"无伤害",ROUNDUP(K726/MAX(1,ROUND(G726*$AC$24,0)),0))</x:f>
        <x:v>8</x:v>
      </x:c>
      <x:c r="N726" s="6">
        <x:f>ROUNDUP(F726/英雄升级调参!$H$79,0)</x:f>
        <x:v>9</x:v>
      </x:c>
      <x:c r="O726" s="6">
        <x:f>ROUNDUP(F726/英雄升级调参!$K$79,0)</x:f>
        <x:v>6</x:v>
      </x:c>
      <x:c r="P726" s="6" t="str">
        <x:f>$AA$24</x:f>
        <x:v>精英：15次标准普攻击杀；7.5次主要攻击致死</x:v>
      </x:c>
      <x:c r="Q726" s="6"/>
      <x:c r="R726" s="6"/>
      <x:c r="S726" s="6"/>
      <x:c r="T726" s="6"/>
    </x:row>
    <x:row r="727" ht="21" customHeight="1">
      <x:c r="A727" s="14" t="n">
        <x:f>$V$24</x:f>
        <x:v>60011</x:v>
      </x:c>
      <x:c r="B727" s="14" t="str">
        <x:f>$W$24</x:f>
        <x:v>仙人掌</x:v>
      </x:c>
      <x:c r="C727" s="6" t="str">
        <x:f>$X$24</x:f>
        <x:v>精英</x:v>
      </x:c>
      <x:c r="D727" s="6">
        <x:v>15</x:v>
      </x:c>
      <x:c r="E727" s="6">
        <x:v>24</x:v>
      </x:c>
      <x:c r="F727" s="12">
        <x:f>ROUND(J727*$W$4*H727,0)</x:f>
        <x:v>9135</x:v>
      </x:c>
      <x:c r="G727" s="12">
        <x:f>ROUND(J727*$W$4*$W$5*I727,0)</x:f>
        <x:v>812</x:v>
      </x:c>
      <x:c r="H727" s="11" t="n">
        <x:f>$Y$24</x:f>
        <x:v>3.75</x:v>
      </x:c>
      <x:c r="I727" s="11" t="n">
        <x:f>$Z$24</x:f>
        <x:v>4.444444444444445</x:v>
      </x:c>
      <x:c r="J727" s="12">
        <x:f>英雄升级调参!$E$80</x:f>
        <x:v>609</x:v>
      </x:c>
      <x:c r="K727" s="12">
        <x:f>英雄升级调参!$F$80</x:f>
        <x:v>6090</x:v>
      </x:c>
      <x:c r="L727" s="6" t="n">
        <x:f>ROUNDUP(F727/J727,0)</x:f>
        <x:v>15</x:v>
      </x:c>
      <x:c r="M727" s="6" t="n">
        <x:f>IF(G727=0,"无伤害",ROUNDUP(K727/MAX(1,ROUND(G727*$AC$24,0)),0))</x:f>
        <x:v>8</x:v>
      </x:c>
      <x:c r="N727" s="6">
        <x:f>ROUNDUP(F727/英雄升级调参!$H$80,0)</x:f>
        <x:v>9</x:v>
      </x:c>
      <x:c r="O727" s="6">
        <x:f>ROUNDUP(F727/英雄升级调参!$K$80,0)</x:f>
        <x:v>6</x:v>
      </x:c>
      <x:c r="P727" s="6" t="str">
        <x:f>$AA$24</x:f>
        <x:v>精英：15次标准普攻击杀；7.5次主要攻击致死</x:v>
      </x:c>
      <x:c r="Q727" s="6"/>
      <x:c r="R727" s="6"/>
      <x:c r="S727" s="6"/>
      <x:c r="T727" s="6"/>
    </x:row>
    <x:row r="728" ht="21" customHeight="1">
      <x:c r="A728" s="14" t="n">
        <x:f>$V$24</x:f>
        <x:v>60011</x:v>
      </x:c>
      <x:c r="B728" s="14" t="str">
        <x:f>$W$24</x:f>
        <x:v>仙人掌</x:v>
      </x:c>
      <x:c r="C728" s="6" t="str">
        <x:f>$X$24</x:f>
        <x:v>精英</x:v>
      </x:c>
      <x:c r="D728" s="6">
        <x:v>16</x:v>
      </x:c>
      <x:c r="E728" s="6">
        <x:v>24</x:v>
      </x:c>
      <x:c r="F728" s="12">
        <x:f>ROUND(J728*$W$4*H728,0)</x:f>
        <x:v>9810</x:v>
      </x:c>
      <x:c r="G728" s="12">
        <x:f>ROUND(J728*$W$4*$W$5*I728,0)</x:f>
        <x:v>872</x:v>
      </x:c>
      <x:c r="H728" s="11" t="n">
        <x:f>$Y$24</x:f>
        <x:v>3.75</x:v>
      </x:c>
      <x:c r="I728" s="11" t="n">
        <x:f>$Z$24</x:f>
        <x:v>4.444444444444445</x:v>
      </x:c>
      <x:c r="J728" s="12">
        <x:f>英雄升级调参!$E$81</x:f>
        <x:v>654</x:v>
      </x:c>
      <x:c r="K728" s="12">
        <x:f>英雄升级调参!$F$81</x:f>
        <x:v>6540</x:v>
      </x:c>
      <x:c r="L728" s="6" t="n">
        <x:f>ROUNDUP(F728/J728,0)</x:f>
        <x:v>15</x:v>
      </x:c>
      <x:c r="M728" s="6" t="n">
        <x:f>IF(G728=0,"无伤害",ROUNDUP(K728/MAX(1,ROUND(G728*$AC$24,0)),0))</x:f>
        <x:v>8</x:v>
      </x:c>
      <x:c r="N728" s="6">
        <x:f>ROUNDUP(F728/英雄升级调参!$H$81,0)</x:f>
        <x:v>9</x:v>
      </x:c>
      <x:c r="O728" s="6">
        <x:f>ROUNDUP(F728/英雄升级调参!$K$81,0)</x:f>
        <x:v>6</x:v>
      </x:c>
      <x:c r="P728" s="6" t="str">
        <x:f>$AA$24</x:f>
        <x:v>精英：15次标准普攻击杀；7.5次主要攻击致死</x:v>
      </x:c>
      <x:c r="Q728" s="6"/>
      <x:c r="R728" s="6"/>
      <x:c r="S728" s="6"/>
      <x:c r="T728" s="6"/>
    </x:row>
    <x:row r="729" ht="21" customHeight="1">
      <x:c r="A729" s="14" t="n">
        <x:f>$V$24</x:f>
        <x:v>60011</x:v>
      </x:c>
      <x:c r="B729" s="14" t="str">
        <x:f>$W$24</x:f>
        <x:v>仙人掌</x:v>
      </x:c>
      <x:c r="C729" s="6" t="str">
        <x:f>$X$24</x:f>
        <x:v>精英</x:v>
      </x:c>
      <x:c r="D729" s="6">
        <x:v>17</x:v>
      </x:c>
      <x:c r="E729" s="6">
        <x:v>24</x:v>
      </x:c>
      <x:c r="F729" s="12">
        <x:f>ROUND(J729*$W$4*H729,0)</x:f>
        <x:v>10485</x:v>
      </x:c>
      <x:c r="G729" s="12">
        <x:f>ROUND(J729*$W$4*$W$5*I729,0)</x:f>
        <x:v>932</x:v>
      </x:c>
      <x:c r="H729" s="11" t="n">
        <x:f>$Y$24</x:f>
        <x:v>3.75</x:v>
      </x:c>
      <x:c r="I729" s="11" t="n">
        <x:f>$Z$24</x:f>
        <x:v>4.444444444444445</x:v>
      </x:c>
      <x:c r="J729" s="12">
        <x:f>英雄升级调参!$E$82</x:f>
        <x:v>699</x:v>
      </x:c>
      <x:c r="K729" s="12">
        <x:f>英雄升级调参!$F$82</x:f>
        <x:v>6990</x:v>
      </x:c>
      <x:c r="L729" s="6" t="n">
        <x:f>ROUNDUP(F729/J729,0)</x:f>
        <x:v>15</x:v>
      </x:c>
      <x:c r="M729" s="6" t="n">
        <x:f>IF(G729=0,"无伤害",ROUNDUP(K729/MAX(1,ROUND(G729*$AC$24,0)),0))</x:f>
        <x:v>8</x:v>
      </x:c>
      <x:c r="N729" s="6" t="n">
        <x:f>ROUNDUP(F729/英雄升级调参!$H$82,0)</x:f>
        <x:v>10</x:v>
      </x:c>
      <x:c r="O729" s="6">
        <x:f>ROUNDUP(F729/英雄升级调参!$K$82,0)</x:f>
        <x:v>6</x:v>
      </x:c>
      <x:c r="P729" s="6" t="str">
        <x:f>$AA$24</x:f>
        <x:v>精英：15次标准普攻击杀；7.5次主要攻击致死</x:v>
      </x:c>
      <x:c r="Q729" s="6"/>
      <x:c r="R729" s="6"/>
      <x:c r="S729" s="6"/>
      <x:c r="T729" s="6"/>
    </x:row>
    <x:row r="730" ht="21" customHeight="1">
      <x:c r="A730" s="14" t="n">
        <x:f>$V$24</x:f>
        <x:v>60011</x:v>
      </x:c>
      <x:c r="B730" s="14" t="str">
        <x:f>$W$24</x:f>
        <x:v>仙人掌</x:v>
      </x:c>
      <x:c r="C730" s="6" t="str">
        <x:f>$X$24</x:f>
        <x:v>精英</x:v>
      </x:c>
      <x:c r="D730" s="6">
        <x:v>18</x:v>
      </x:c>
      <x:c r="E730" s="6">
        <x:v>24</x:v>
      </x:c>
      <x:c r="F730" s="12">
        <x:f>ROUND(J730*$W$4*H730,0)</x:f>
        <x:v>11160</x:v>
      </x:c>
      <x:c r="G730" s="12">
        <x:f>ROUND(J730*$W$4*$W$5*I730,0)</x:f>
        <x:v>992</x:v>
      </x:c>
      <x:c r="H730" s="11" t="n">
        <x:f>$Y$24</x:f>
        <x:v>3.75</x:v>
      </x:c>
      <x:c r="I730" s="11" t="n">
        <x:f>$Z$24</x:f>
        <x:v>4.444444444444445</x:v>
      </x:c>
      <x:c r="J730" s="12">
        <x:f>英雄升级调参!$E$83</x:f>
        <x:v>744</x:v>
      </x:c>
      <x:c r="K730" s="12">
        <x:f>英雄升级调参!$F$83</x:f>
        <x:v>7440</x:v>
      </x:c>
      <x:c r="L730" s="6" t="n">
        <x:f>ROUNDUP(F730/J730,0)</x:f>
        <x:v>15</x:v>
      </x:c>
      <x:c r="M730" s="6" t="n">
        <x:f>IF(G730=0,"无伤害",ROUNDUP(K730/MAX(1,ROUND(G730*$AC$24,0)),0))</x:f>
        <x:v>8</x:v>
      </x:c>
      <x:c r="N730" s="6" t="n">
        <x:f>ROUNDUP(F730/英雄升级调参!$H$83,0)</x:f>
        <x:v>10</x:v>
      </x:c>
      <x:c r="O730" s="6">
        <x:f>ROUNDUP(F730/英雄升级调参!$K$83,0)</x:f>
        <x:v>6</x:v>
      </x:c>
      <x:c r="P730" s="6" t="str">
        <x:f>$AA$24</x:f>
        <x:v>精英：15次标准普攻击杀；7.5次主要攻击致死</x:v>
      </x:c>
      <x:c r="Q730" s="6"/>
      <x:c r="R730" s="6"/>
      <x:c r="S730" s="6"/>
      <x:c r="T730" s="6"/>
    </x:row>
    <x:row r="731" ht="21" customHeight="1">
      <x:c r="A731" s="14" t="n">
        <x:f>$V$24</x:f>
        <x:v>60011</x:v>
      </x:c>
      <x:c r="B731" s="14" t="str">
        <x:f>$W$24</x:f>
        <x:v>仙人掌</x:v>
      </x:c>
      <x:c r="C731" s="6" t="str">
        <x:f>$X$24</x:f>
        <x:v>精英</x:v>
      </x:c>
      <x:c r="D731" s="6">
        <x:v>19</x:v>
      </x:c>
      <x:c r="E731" s="6">
        <x:v>24</x:v>
      </x:c>
      <x:c r="F731" s="12">
        <x:f>ROUND(J731*$W$4*H731,0)</x:f>
        <x:v>11835</x:v>
      </x:c>
      <x:c r="G731" s="12">
        <x:f>ROUND(J731*$W$4*$W$5*I731,0)</x:f>
        <x:v>1052</x:v>
      </x:c>
      <x:c r="H731" s="11" t="n">
        <x:f>$Y$24</x:f>
        <x:v>3.75</x:v>
      </x:c>
      <x:c r="I731" s="11" t="n">
        <x:f>$Z$24</x:f>
        <x:v>4.444444444444445</x:v>
      </x:c>
      <x:c r="J731" s="12">
        <x:f>英雄升级调参!$E$84</x:f>
        <x:v>789</x:v>
      </x:c>
      <x:c r="K731" s="12">
        <x:f>英雄升级调参!$F$84</x:f>
        <x:v>7890</x:v>
      </x:c>
      <x:c r="L731" s="6" t="n">
        <x:f>ROUNDUP(F731/J731,0)</x:f>
        <x:v>15</x:v>
      </x:c>
      <x:c r="M731" s="6" t="n">
        <x:f>IF(G731=0,"无伤害",ROUNDUP(K731/MAX(1,ROUND(G731*$AC$24,0)),0))</x:f>
        <x:v>8</x:v>
      </x:c>
      <x:c r="N731" s="6" t="n">
        <x:f>ROUNDUP(F731/英雄升级调参!$H$84,0)</x:f>
        <x:v>10</x:v>
      </x:c>
      <x:c r="O731" s="6">
        <x:f>ROUNDUP(F731/英雄升级调参!$K$84,0)</x:f>
        <x:v>6</x:v>
      </x:c>
      <x:c r="P731" s="6" t="str">
        <x:f>$AA$24</x:f>
        <x:v>精英：15次标准普攻击杀；7.5次主要攻击致死</x:v>
      </x:c>
      <x:c r="Q731" s="6"/>
      <x:c r="R731" s="6"/>
      <x:c r="S731" s="6"/>
      <x:c r="T731" s="6"/>
    </x:row>
    <x:row r="732" ht="21" customHeight="1">
      <x:c r="A732" s="14" t="n">
        <x:f>$V$24</x:f>
        <x:v>60011</x:v>
      </x:c>
      <x:c r="B732" s="14" t="str">
        <x:f>$W$24</x:f>
        <x:v>仙人掌</x:v>
      </x:c>
      <x:c r="C732" s="6" t="str">
        <x:f>$X$24</x:f>
        <x:v>精英</x:v>
      </x:c>
      <x:c r="D732" s="6">
        <x:v>20</x:v>
      </x:c>
      <x:c r="E732" s="6">
        <x:v>24</x:v>
      </x:c>
      <x:c r="F732" s="12">
        <x:f>ROUND(J732*$W$4*H732,0)</x:f>
        <x:v>13860</x:v>
      </x:c>
      <x:c r="G732" s="12">
        <x:f>ROUND(J732*$W$4*$W$5*I732,0)</x:f>
        <x:v>1232</x:v>
      </x:c>
      <x:c r="H732" s="11" t="n">
        <x:f>$Y$24</x:f>
        <x:v>3.75</x:v>
      </x:c>
      <x:c r="I732" s="11" t="n">
        <x:f>$Z$24</x:f>
        <x:v>4.444444444444445</x:v>
      </x:c>
      <x:c r="J732" s="12">
        <x:f>英雄升级调参!$E$85</x:f>
        <x:v>924</x:v>
      </x:c>
      <x:c r="K732" s="12">
        <x:f>英雄升级调参!$F$85</x:f>
        <x:v>9240</x:v>
      </x:c>
      <x:c r="L732" s="6" t="n">
        <x:f>ROUNDUP(F732/J732,0)</x:f>
        <x:v>15</x:v>
      </x:c>
      <x:c r="M732" s="6" t="n">
        <x:f>IF(G732=0,"无伤害",ROUNDUP(K732/MAX(1,ROUND(G732*$AC$24,0)),0))</x:f>
        <x:v>8</x:v>
      </x:c>
      <x:c r="N732" s="6" t="n">
        <x:f>ROUNDUP(F732/英雄升级调参!$H$85,0)</x:f>
        <x:v>10</x:v>
      </x:c>
      <x:c r="O732" s="6">
        <x:f>ROUNDUP(F732/英雄升级调参!$K$85,0)</x:f>
        <x:v>6</x:v>
      </x:c>
      <x:c r="P732" s="6" t="str">
        <x:f>$AA$24</x:f>
        <x:v>精英：15次标准普攻击杀；7.5次主要攻击致死</x:v>
      </x:c>
      <x:c r="Q732" s="6"/>
      <x:c r="R732" s="6"/>
      <x:c r="S732" s="6"/>
      <x:c r="T732" s="6"/>
    </x:row>
    <x:row r="733" ht="21" customHeight="1">
      <x:c r="A733" s="14" t="n">
        <x:f>$V$24</x:f>
        <x:v>60011</x:v>
      </x:c>
      <x:c r="B733" s="14" t="str">
        <x:f>$W$24</x:f>
        <x:v>仙人掌</x:v>
      </x:c>
      <x:c r="C733" s="6" t="str">
        <x:f>$X$24</x:f>
        <x:v>精英</x:v>
      </x:c>
      <x:c r="D733" s="6">
        <x:v>21</x:v>
      </x:c>
      <x:c r="E733" s="6">
        <x:v>24</x:v>
      </x:c>
      <x:c r="F733" s="12">
        <x:f>ROUND(J733*$W$4*H733,0)</x:f>
        <x:v>14670</x:v>
      </x:c>
      <x:c r="G733" s="12">
        <x:f>ROUND(J733*$W$4*$W$5*I733,0)</x:f>
        <x:v>1304</x:v>
      </x:c>
      <x:c r="H733" s="11" t="n">
        <x:f>$Y$24</x:f>
        <x:v>3.75</x:v>
      </x:c>
      <x:c r="I733" s="11" t="n">
        <x:f>$Z$24</x:f>
        <x:v>4.444444444444445</x:v>
      </x:c>
      <x:c r="J733" s="12">
        <x:f>英雄升级调参!$E$86</x:f>
        <x:v>978</x:v>
      </x:c>
      <x:c r="K733" s="12">
        <x:f>英雄升级调参!$F$86</x:f>
        <x:v>9780</x:v>
      </x:c>
      <x:c r="L733" s="6" t="n">
        <x:f>ROUNDUP(F733/J733,0)</x:f>
        <x:v>15</x:v>
      </x:c>
      <x:c r="M733" s="6" t="n">
        <x:f>IF(G733=0,"无伤害",ROUNDUP(K733/MAX(1,ROUND(G733*$AC$24,0)),0))</x:f>
        <x:v>8</x:v>
      </x:c>
      <x:c r="N733" s="6" t="n">
        <x:f>ROUNDUP(F733/英雄升级调参!$H$86,0)</x:f>
        <x:v>10</x:v>
      </x:c>
      <x:c r="O733" s="6">
        <x:f>ROUNDUP(F733/英雄升级调参!$K$86,0)</x:f>
        <x:v>6</x:v>
      </x:c>
      <x:c r="P733" s="6" t="str">
        <x:f>$AA$24</x:f>
        <x:v>精英：15次标准普攻击杀；7.5次主要攻击致死</x:v>
      </x:c>
      <x:c r="Q733" s="6"/>
      <x:c r="R733" s="6"/>
      <x:c r="S733" s="6"/>
      <x:c r="T733" s="6"/>
    </x:row>
    <x:row r="734" ht="21" customHeight="1">
      <x:c r="A734" s="14" t="n">
        <x:f>$V$24</x:f>
        <x:v>60011</x:v>
      </x:c>
      <x:c r="B734" s="14" t="str">
        <x:f>$W$24</x:f>
        <x:v>仙人掌</x:v>
      </x:c>
      <x:c r="C734" s="6" t="str">
        <x:f>$X$24</x:f>
        <x:v>精英</x:v>
      </x:c>
      <x:c r="D734" s="6">
        <x:v>22</x:v>
      </x:c>
      <x:c r="E734" s="6">
        <x:v>24</x:v>
      </x:c>
      <x:c r="F734" s="12">
        <x:f>ROUND(J734*$W$4*H734,0)</x:f>
        <x:v>15480</x:v>
      </x:c>
      <x:c r="G734" s="12">
        <x:f>ROUND(J734*$W$4*$W$5*I734,0)</x:f>
        <x:v>1376</x:v>
      </x:c>
      <x:c r="H734" s="11" t="n">
        <x:f>$Y$24</x:f>
        <x:v>3.75</x:v>
      </x:c>
      <x:c r="I734" s="11" t="n">
        <x:f>$Z$24</x:f>
        <x:v>4.444444444444445</x:v>
      </x:c>
      <x:c r="J734" s="12">
        <x:f>英雄升级调参!$E$87</x:f>
        <x:v>1032</x:v>
      </x:c>
      <x:c r="K734" s="12">
        <x:f>英雄升级调参!$F$87</x:f>
        <x:v>10320</x:v>
      </x:c>
      <x:c r="L734" s="6" t="n">
        <x:f>ROUNDUP(F734/J734,0)</x:f>
        <x:v>15</x:v>
      </x:c>
      <x:c r="M734" s="6" t="n">
        <x:f>IF(G734=0,"无伤害",ROUNDUP(K734/MAX(1,ROUND(G734*$AC$24,0)),0))</x:f>
        <x:v>8</x:v>
      </x:c>
      <x:c r="N734" s="6" t="n">
        <x:f>ROUNDUP(F734/英雄升级调参!$H$87,0)</x:f>
        <x:v>10</x:v>
      </x:c>
      <x:c r="O734" s="6">
        <x:f>ROUNDUP(F734/英雄升级调参!$K$87,0)</x:f>
        <x:v>6</x:v>
      </x:c>
      <x:c r="P734" s="6" t="str">
        <x:f>$AA$24</x:f>
        <x:v>精英：15次标准普攻击杀；7.5次主要攻击致死</x:v>
      </x:c>
      <x:c r="Q734" s="6"/>
      <x:c r="R734" s="6"/>
      <x:c r="S734" s="6"/>
      <x:c r="T734" s="6"/>
    </x:row>
    <x:row r="735" ht="21" customHeight="1">
      <x:c r="A735" s="14" t="n">
        <x:f>$V$24</x:f>
        <x:v>60011</x:v>
      </x:c>
      <x:c r="B735" s="14" t="str">
        <x:f>$W$24</x:f>
        <x:v>仙人掌</x:v>
      </x:c>
      <x:c r="C735" s="6" t="str">
        <x:f>$X$24</x:f>
        <x:v>精英</x:v>
      </x:c>
      <x:c r="D735" s="6">
        <x:v>23</x:v>
      </x:c>
      <x:c r="E735" s="6">
        <x:v>24</x:v>
      </x:c>
      <x:c r="F735" s="12">
        <x:f>ROUND(J735*$W$4*H735,0)</x:f>
        <x:v>16290</x:v>
      </x:c>
      <x:c r="G735" s="12">
        <x:f>ROUND(J735*$W$4*$W$5*I735,0)</x:f>
        <x:v>1448</x:v>
      </x:c>
      <x:c r="H735" s="11" t="n">
        <x:f>$Y$24</x:f>
        <x:v>3.75</x:v>
      </x:c>
      <x:c r="I735" s="11" t="n">
        <x:f>$Z$24</x:f>
        <x:v>4.444444444444445</x:v>
      </x:c>
      <x:c r="J735" s="12">
        <x:f>英雄升级调参!$E$88</x:f>
        <x:v>1086</x:v>
      </x:c>
      <x:c r="K735" s="12">
        <x:f>英雄升级调参!$F$88</x:f>
        <x:v>10860</x:v>
      </x:c>
      <x:c r="L735" s="6" t="n">
        <x:f>ROUNDUP(F735/J735,0)</x:f>
        <x:v>15</x:v>
      </x:c>
      <x:c r="M735" s="6" t="n">
        <x:f>IF(G735=0,"无伤害",ROUNDUP(K735/MAX(1,ROUND(G735*$AC$24,0)),0))</x:f>
        <x:v>8</x:v>
      </x:c>
      <x:c r="N735" s="6" t="n">
        <x:f>ROUNDUP(F735/英雄升级调参!$H$88,0)</x:f>
        <x:v>10</x:v>
      </x:c>
      <x:c r="O735" s="6">
        <x:f>ROUNDUP(F735/英雄升级调参!$K$88,0)</x:f>
        <x:v>6</x:v>
      </x:c>
      <x:c r="P735" s="6" t="str">
        <x:f>$AA$24</x:f>
        <x:v>精英：15次标准普攻击杀；7.5次主要攻击致死</x:v>
      </x:c>
      <x:c r="Q735" s="6"/>
      <x:c r="R735" s="6"/>
      <x:c r="S735" s="6"/>
      <x:c r="T735" s="6"/>
    </x:row>
    <x:row r="736" ht="21" customHeight="1">
      <x:c r="A736" s="14" t="n">
        <x:f>$V$24</x:f>
        <x:v>60011</x:v>
      </x:c>
      <x:c r="B736" s="14" t="str">
        <x:f>$W$24</x:f>
        <x:v>仙人掌</x:v>
      </x:c>
      <x:c r="C736" s="6" t="str">
        <x:f>$X$24</x:f>
        <x:v>精英</x:v>
      </x:c>
      <x:c r="D736" s="6">
        <x:v>24</x:v>
      </x:c>
      <x:c r="E736" s="6">
        <x:v>24</x:v>
      </x:c>
      <x:c r="F736" s="12">
        <x:f>ROUND(J736*$W$4*H736,0)</x:f>
        <x:v>17100</x:v>
      </x:c>
      <x:c r="G736" s="12">
        <x:f>ROUND(J736*$W$4*$W$5*I736,0)</x:f>
        <x:v>1520</x:v>
      </x:c>
      <x:c r="H736" s="11" t="n">
        <x:f>$Y$24</x:f>
        <x:v>3.75</x:v>
      </x:c>
      <x:c r="I736" s="11" t="n">
        <x:f>$Z$24</x:f>
        <x:v>4.444444444444445</x:v>
      </x:c>
      <x:c r="J736" s="12">
        <x:f>英雄升级调参!$E$89</x:f>
        <x:v>1140</x:v>
      </x:c>
      <x:c r="K736" s="12">
        <x:f>英雄升级调参!$F$89</x:f>
        <x:v>11400</x:v>
      </x:c>
      <x:c r="L736" s="6" t="n">
        <x:f>ROUNDUP(F736/J736,0)</x:f>
        <x:v>15</x:v>
      </x:c>
      <x:c r="M736" s="6" t="n">
        <x:f>IF(G736=0,"无伤害",ROUNDUP(K736/MAX(1,ROUND(G736*$AC$24,0)),0))</x:f>
        <x:v>8</x:v>
      </x:c>
      <x:c r="N736" s="6" t="n">
        <x:f>ROUNDUP(F736/英雄升级调参!$H$89,0)</x:f>
        <x:v>10</x:v>
      </x:c>
      <x:c r="O736" s="6">
        <x:f>ROUNDUP(F736/英雄升级调参!$K$89,0)</x:f>
        <x:v>6</x:v>
      </x:c>
      <x:c r="P736" s="6" t="str">
        <x:f>$AA$24</x:f>
        <x:v>精英：15次标准普攻击杀；7.5次主要攻击致死</x:v>
      </x:c>
      <x:c r="Q736" s="6"/>
      <x:c r="R736" s="6"/>
      <x:c r="S736" s="6"/>
      <x:c r="T736" s="6"/>
    </x:row>
    <x:row r="737" ht="21" customHeight="1">
      <x:c r="A737" s="14" t="n">
        <x:f>$V$24</x:f>
        <x:v>60011</x:v>
      </x:c>
      <x:c r="B737" s="14" t="str">
        <x:f>$W$24</x:f>
        <x:v>仙人掌</x:v>
      </x:c>
      <x:c r="C737" s="6" t="str">
        <x:f>$X$24</x:f>
        <x:v>精英</x:v>
      </x:c>
      <x:c r="D737" s="6">
        <x:v>25</x:v>
      </x:c>
      <x:c r="E737" s="6">
        <x:v>24</x:v>
      </x:c>
      <x:c r="F737" s="12">
        <x:f>ROUND(J737*$W$4*H737,0)</x:f>
        <x:v>19530</x:v>
      </x:c>
      <x:c r="G737" s="12">
        <x:f>ROUND(J737*$W$4*$W$5*I737,0)</x:f>
        <x:v>1736</x:v>
      </x:c>
      <x:c r="H737" s="11" t="n">
        <x:f>$Y$24</x:f>
        <x:v>3.75</x:v>
      </x:c>
      <x:c r="I737" s="11" t="n">
        <x:f>$Z$24</x:f>
        <x:v>4.444444444444445</x:v>
      </x:c>
      <x:c r="J737" s="12">
        <x:f>英雄升级调参!$E$90</x:f>
        <x:v>1302</x:v>
      </x:c>
      <x:c r="K737" s="12">
        <x:f>英雄升级调参!$F$90</x:f>
        <x:v>13020</x:v>
      </x:c>
      <x:c r="L737" s="6" t="n">
        <x:f>ROUNDUP(F737/J737,0)</x:f>
        <x:v>15</x:v>
      </x:c>
      <x:c r="M737" s="6" t="n">
        <x:f>IF(G737=0,"无伤害",ROUNDUP(K737/MAX(1,ROUND(G737*$AC$24,0)),0))</x:f>
        <x:v>8</x:v>
      </x:c>
      <x:c r="N737" s="6" t="n">
        <x:f>ROUNDUP(F737/英雄升级调参!$H$90,0)</x:f>
        <x:v>10</x:v>
      </x:c>
      <x:c r="O737" s="6">
        <x:f>ROUNDUP(F737/英雄升级调参!$K$90,0)</x:f>
        <x:v>6</x:v>
      </x:c>
      <x:c r="P737" s="6" t="str">
        <x:f>$AA$24</x:f>
        <x:v>精英：15次标准普攻击杀；7.5次主要攻击致死</x:v>
      </x:c>
      <x:c r="Q737" s="6"/>
      <x:c r="R737" s="6"/>
      <x:c r="S737" s="6"/>
      <x:c r="T737" s="6"/>
    </x:row>
    <x:row r="738" ht="21" customHeight="1">
      <x:c r="A738" s="14" t="n">
        <x:f>$V$24</x:f>
        <x:v>60011</x:v>
      </x:c>
      <x:c r="B738" s="14" t="str">
        <x:f>$W$24</x:f>
        <x:v>仙人掌</x:v>
      </x:c>
      <x:c r="C738" s="6" t="str">
        <x:f>$X$24</x:f>
        <x:v>精英</x:v>
      </x:c>
      <x:c r="D738" s="6">
        <x:v>26</x:v>
      </x:c>
      <x:c r="E738" s="6">
        <x:v>24</x:v>
      </x:c>
      <x:c r="F738" s="12">
        <x:f>ROUND(J738*$W$4*H738,0)</x:f>
        <x:v>20475</x:v>
      </x:c>
      <x:c r="G738" s="12">
        <x:f>ROUND(J738*$W$4*$W$5*I738,0)</x:f>
        <x:v>1820</x:v>
      </x:c>
      <x:c r="H738" s="11" t="n">
        <x:f>$Y$24</x:f>
        <x:v>3.75</x:v>
      </x:c>
      <x:c r="I738" s="11" t="n">
        <x:f>$Z$24</x:f>
        <x:v>4.444444444444445</x:v>
      </x:c>
      <x:c r="J738" s="12">
        <x:f>英雄升级调参!$E$91</x:f>
        <x:v>1365</x:v>
      </x:c>
      <x:c r="K738" s="12">
        <x:f>英雄升级调参!$F$91</x:f>
        <x:v>13650</x:v>
      </x:c>
      <x:c r="L738" s="6" t="n">
        <x:f>ROUNDUP(F738/J738,0)</x:f>
        <x:v>15</x:v>
      </x:c>
      <x:c r="M738" s="6" t="n">
        <x:f>IF(G738=0,"无伤害",ROUNDUP(K738/MAX(1,ROUND(G738*$AC$24,0)),0))</x:f>
        <x:v>8</x:v>
      </x:c>
      <x:c r="N738" s="6" t="n">
        <x:f>ROUNDUP(F738/英雄升级调参!$H$91,0)</x:f>
        <x:v>10</x:v>
      </x:c>
      <x:c r="O738" s="6">
        <x:f>ROUNDUP(F738/英雄升级调参!$K$91,0)</x:f>
        <x:v>6</x:v>
      </x:c>
      <x:c r="P738" s="6" t="str">
        <x:f>$AA$24</x:f>
        <x:v>精英：15次标准普攻击杀；7.5次主要攻击致死</x:v>
      </x:c>
      <x:c r="Q738" s="6"/>
      <x:c r="R738" s="6"/>
      <x:c r="S738" s="6"/>
      <x:c r="T738" s="6"/>
    </x:row>
    <x:row r="739" ht="21" customHeight="1">
      <x:c r="A739" s="14" t="n">
        <x:f>$V$24</x:f>
        <x:v>60011</x:v>
      </x:c>
      <x:c r="B739" s="14" t="str">
        <x:f>$W$24</x:f>
        <x:v>仙人掌</x:v>
      </x:c>
      <x:c r="C739" s="6" t="str">
        <x:f>$X$24</x:f>
        <x:v>精英</x:v>
      </x:c>
      <x:c r="D739" s="6">
        <x:v>27</x:v>
      </x:c>
      <x:c r="E739" s="6">
        <x:v>24</x:v>
      </x:c>
      <x:c r="F739" s="12">
        <x:f>ROUND(J739*$W$4*H739,0)</x:f>
        <x:v>21420</x:v>
      </x:c>
      <x:c r="G739" s="12">
        <x:f>ROUND(J739*$W$4*$W$5*I739,0)</x:f>
        <x:v>1904</x:v>
      </x:c>
      <x:c r="H739" s="11" t="n">
        <x:f>$Y$24</x:f>
        <x:v>3.75</x:v>
      </x:c>
      <x:c r="I739" s="11" t="n">
        <x:f>$Z$24</x:f>
        <x:v>4.444444444444445</x:v>
      </x:c>
      <x:c r="J739" s="12">
        <x:f>英雄升级调参!$E$92</x:f>
        <x:v>1428</x:v>
      </x:c>
      <x:c r="K739" s="12">
        <x:f>英雄升级调参!$F$92</x:f>
        <x:v>14280</x:v>
      </x:c>
      <x:c r="L739" s="6" t="n">
        <x:f>ROUNDUP(F739/J739,0)</x:f>
        <x:v>15</x:v>
      </x:c>
      <x:c r="M739" s="6" t="n">
        <x:f>IF(G739=0,"无伤害",ROUNDUP(K739/MAX(1,ROUND(G739*$AC$24,0)),0))</x:f>
        <x:v>8</x:v>
      </x:c>
      <x:c r="N739" s="6" t="n">
        <x:f>ROUNDUP(F739/英雄升级调参!$H$92,0)</x:f>
        <x:v>10</x:v>
      </x:c>
      <x:c r="O739" s="6">
        <x:f>ROUNDUP(F739/英雄升级调参!$K$92,0)</x:f>
        <x:v>6</x:v>
      </x:c>
      <x:c r="P739" s="6" t="str">
        <x:f>$AA$24</x:f>
        <x:v>精英：15次标准普攻击杀；7.5次主要攻击致死</x:v>
      </x:c>
      <x:c r="Q739" s="6"/>
      <x:c r="R739" s="6"/>
      <x:c r="S739" s="6"/>
      <x:c r="T739" s="6"/>
    </x:row>
    <x:row r="740" ht="21" customHeight="1">
      <x:c r="A740" s="14" t="n">
        <x:f>$V$24</x:f>
        <x:v>60011</x:v>
      </x:c>
      <x:c r="B740" s="14" t="str">
        <x:f>$W$24</x:f>
        <x:v>仙人掌</x:v>
      </x:c>
      <x:c r="C740" s="6" t="str">
        <x:f>$X$24</x:f>
        <x:v>精英</x:v>
      </x:c>
      <x:c r="D740" s="6">
        <x:v>28</x:v>
      </x:c>
      <x:c r="E740" s="6">
        <x:v>24</x:v>
      </x:c>
      <x:c r="F740" s="12">
        <x:f>ROUND(J740*$W$4*H740,0)</x:f>
        <x:v>22365</x:v>
      </x:c>
      <x:c r="G740" s="12">
        <x:f>ROUND(J740*$W$4*$W$5*I740,0)</x:f>
        <x:v>1988</x:v>
      </x:c>
      <x:c r="H740" s="11" t="n">
        <x:f>$Y$24</x:f>
        <x:v>3.75</x:v>
      </x:c>
      <x:c r="I740" s="11" t="n">
        <x:f>$Z$24</x:f>
        <x:v>4.444444444444445</x:v>
      </x:c>
      <x:c r="J740" s="12">
        <x:f>英雄升级调参!$E$93</x:f>
        <x:v>1491</x:v>
      </x:c>
      <x:c r="K740" s="12">
        <x:f>英雄升级调参!$F$93</x:f>
        <x:v>14910</x:v>
      </x:c>
      <x:c r="L740" s="6" t="n">
        <x:f>ROUNDUP(F740/J740,0)</x:f>
        <x:v>15</x:v>
      </x:c>
      <x:c r="M740" s="6" t="n">
        <x:f>IF(G740=0,"无伤害",ROUNDUP(K740/MAX(1,ROUND(G740*$AC$24,0)),0))</x:f>
        <x:v>8</x:v>
      </x:c>
      <x:c r="N740" s="6" t="n">
        <x:f>ROUNDUP(F740/英雄升级调参!$H$93,0)</x:f>
        <x:v>10</x:v>
      </x:c>
      <x:c r="O740" s="6">
        <x:f>ROUNDUP(F740/英雄升级调参!$K$93,0)</x:f>
        <x:v>6</x:v>
      </x:c>
      <x:c r="P740" s="6" t="str">
        <x:f>$AA$24</x:f>
        <x:v>精英：15次标准普攻击杀；7.5次主要攻击致死</x:v>
      </x:c>
      <x:c r="Q740" s="6"/>
      <x:c r="R740" s="6"/>
      <x:c r="S740" s="6"/>
      <x:c r="T740" s="6"/>
    </x:row>
    <x:row r="741" ht="21" customHeight="1">
      <x:c r="A741" s="14" t="n">
        <x:f>$V$24</x:f>
        <x:v>60011</x:v>
      </x:c>
      <x:c r="B741" s="14" t="str">
        <x:f>$W$24</x:f>
        <x:v>仙人掌</x:v>
      </x:c>
      <x:c r="C741" s="6" t="str">
        <x:f>$X$24</x:f>
        <x:v>精英</x:v>
      </x:c>
      <x:c r="D741" s="6">
        <x:v>29</x:v>
      </x:c>
      <x:c r="E741" s="6">
        <x:v>24</x:v>
      </x:c>
      <x:c r="F741" s="12">
        <x:f>ROUND(J741*$W$4*H741,0)</x:f>
        <x:v>23310</x:v>
      </x:c>
      <x:c r="G741" s="12">
        <x:f>ROUND(J741*$W$4*$W$5*I741,0)</x:f>
        <x:v>2072</x:v>
      </x:c>
      <x:c r="H741" s="11" t="n">
        <x:f>$Y$24</x:f>
        <x:v>3.75</x:v>
      </x:c>
      <x:c r="I741" s="11" t="n">
        <x:f>$Z$24</x:f>
        <x:v>4.444444444444445</x:v>
      </x:c>
      <x:c r="J741" s="12">
        <x:f>英雄升级调参!$E$94</x:f>
        <x:v>1554</x:v>
      </x:c>
      <x:c r="K741" s="12">
        <x:f>英雄升级调参!$F$94</x:f>
        <x:v>15540</x:v>
      </x:c>
      <x:c r="L741" s="6" t="n">
        <x:f>ROUNDUP(F741/J741,0)</x:f>
        <x:v>15</x:v>
      </x:c>
      <x:c r="M741" s="6" t="n">
        <x:f>IF(G741=0,"无伤害",ROUNDUP(K741/MAX(1,ROUND(G741*$AC$24,0)),0))</x:f>
        <x:v>8</x:v>
      </x:c>
      <x:c r="N741" s="6" t="n">
        <x:f>ROUNDUP(F741/英雄升级调参!$H$94,0)</x:f>
        <x:v>10</x:v>
      </x:c>
      <x:c r="O741" s="6">
        <x:f>ROUNDUP(F741/英雄升级调参!$K$94,0)</x:f>
        <x:v>6</x:v>
      </x:c>
      <x:c r="P741" s="6" t="str">
        <x:f>$AA$24</x:f>
        <x:v>精英：15次标准普攻击杀；7.5次主要攻击致死</x:v>
      </x:c>
      <x:c r="Q741" s="6"/>
      <x:c r="R741" s="6"/>
      <x:c r="S741" s="6"/>
      <x:c r="T741" s="6"/>
    </x:row>
    <x:row r="742" ht="21" customHeight="1">
      <x:c r="A742" s="14" t="n">
        <x:f>$V$24</x:f>
        <x:v>60011</x:v>
      </x:c>
      <x:c r="B742" s="14" t="str">
        <x:f>$W$24</x:f>
        <x:v>仙人掌</x:v>
      </x:c>
      <x:c r="C742" s="6" t="str">
        <x:f>$X$24</x:f>
        <x:v>精英</x:v>
      </x:c>
      <x:c r="D742" s="6">
        <x:v>30</x:v>
      </x:c>
      <x:c r="E742" s="6">
        <x:v>24</x:v>
      </x:c>
      <x:c r="F742" s="12">
        <x:f>ROUND(J742*$W$4*H742,0)</x:f>
        <x:v>26145</x:v>
      </x:c>
      <x:c r="G742" s="12">
        <x:f>ROUND(J742*$W$4*$W$5*I742,0)</x:f>
        <x:v>2324</x:v>
      </x:c>
      <x:c r="H742" s="11" t="n">
        <x:f>$Y$24</x:f>
        <x:v>3.75</x:v>
      </x:c>
      <x:c r="I742" s="11" t="n">
        <x:f>$Z$24</x:f>
        <x:v>4.444444444444445</x:v>
      </x:c>
      <x:c r="J742" s="12">
        <x:f>英雄升级调参!$E$95</x:f>
        <x:v>1743</x:v>
      </x:c>
      <x:c r="K742" s="12">
        <x:f>英雄升级调参!$F$95</x:f>
        <x:v>17430</x:v>
      </x:c>
      <x:c r="L742" s="6" t="n">
        <x:f>ROUNDUP(F742/J742,0)</x:f>
        <x:v>15</x:v>
      </x:c>
      <x:c r="M742" s="6" t="n">
        <x:f>IF(G742=0,"无伤害",ROUNDUP(K742/MAX(1,ROUND(G742*$AC$24,0)),0))</x:f>
        <x:v>8</x:v>
      </x:c>
      <x:c r="N742" s="6" t="n">
        <x:f>ROUNDUP(F742/英雄升级调参!$H$95,0)</x:f>
        <x:v>10</x:v>
      </x:c>
      <x:c r="O742" s="6">
        <x:f>ROUNDUP(F742/英雄升级调参!$K$95,0)</x:f>
        <x:v>6</x:v>
      </x:c>
      <x:c r="P742" s="6" t="str">
        <x:f>$AA$24</x:f>
        <x:v>精英：15次标准普攻击杀；7.5次主要攻击致死</x:v>
      </x:c>
      <x:c r="Q742" s="6"/>
      <x:c r="R742" s="6"/>
      <x:c r="S742" s="6"/>
      <x:c r="T742" s="6"/>
    </x:row>
    <x:row r="743" ht="21" customHeight="1">
      <x:c r="A743" s="14" t="n">
        <x:f>$V$24</x:f>
        <x:v>60011</x:v>
      </x:c>
      <x:c r="B743" s="14" t="str">
        <x:f>$W$24</x:f>
        <x:v>仙人掌</x:v>
      </x:c>
      <x:c r="C743" s="6" t="str">
        <x:f>$X$24</x:f>
        <x:v>精英</x:v>
      </x:c>
      <x:c r="D743" s="6">
        <x:v>31</x:v>
      </x:c>
      <x:c r="E743" s="6">
        <x:v>24</x:v>
      </x:c>
      <x:c r="F743" s="12">
        <x:f>ROUND(J743*$W$4*H743,0)</x:f>
        <x:v>27225</x:v>
      </x:c>
      <x:c r="G743" s="12">
        <x:f>ROUND(J743*$W$4*$W$5*I743,0)</x:f>
        <x:v>2420</x:v>
      </x:c>
      <x:c r="H743" s="11" t="n">
        <x:f>$Y$24</x:f>
        <x:v>3.75</x:v>
      </x:c>
      <x:c r="I743" s="11" t="n">
        <x:f>$Z$24</x:f>
        <x:v>4.444444444444445</x:v>
      </x:c>
      <x:c r="J743" s="12">
        <x:f>英雄升级调参!$E$96</x:f>
        <x:v>1815</x:v>
      </x:c>
      <x:c r="K743" s="12">
        <x:f>英雄升级调参!$F$96</x:f>
        <x:v>18150</x:v>
      </x:c>
      <x:c r="L743" s="6" t="n">
        <x:f>ROUNDUP(F743/J743,0)</x:f>
        <x:v>15</x:v>
      </x:c>
      <x:c r="M743" s="6" t="n">
        <x:f>IF(G743=0,"无伤害",ROUNDUP(K743/MAX(1,ROUND(G743*$AC$24,0)),0))</x:f>
        <x:v>8</x:v>
      </x:c>
      <x:c r="N743" s="6" t="n">
        <x:f>ROUNDUP(F743/英雄升级调参!$H$96,0)</x:f>
        <x:v>10</x:v>
      </x:c>
      <x:c r="O743" s="6">
        <x:f>ROUNDUP(F743/英雄升级调参!$K$96,0)</x:f>
        <x:v>6</x:v>
      </x:c>
      <x:c r="P743" s="6" t="str">
        <x:f>$AA$24</x:f>
        <x:v>精英：15次标准普攻击杀；7.5次主要攻击致死</x:v>
      </x:c>
      <x:c r="Q743" s="6"/>
      <x:c r="R743" s="6"/>
      <x:c r="S743" s="6"/>
      <x:c r="T743" s="6"/>
    </x:row>
    <x:row r="744" ht="21" customHeight="1">
      <x:c r="A744" s="14" t="n">
        <x:f>$V$24</x:f>
        <x:v>60011</x:v>
      </x:c>
      <x:c r="B744" s="14" t="str">
        <x:f>$W$24</x:f>
        <x:v>仙人掌</x:v>
      </x:c>
      <x:c r="C744" s="6" t="str">
        <x:f>$X$24</x:f>
        <x:v>精英</x:v>
      </x:c>
      <x:c r="D744" s="6">
        <x:v>32</x:v>
      </x:c>
      <x:c r="E744" s="6">
        <x:v>24</x:v>
      </x:c>
      <x:c r="F744" s="12">
        <x:f>ROUND(J744*$W$4*H744,0)</x:f>
        <x:v>28305</x:v>
      </x:c>
      <x:c r="G744" s="12">
        <x:f>ROUND(J744*$W$4*$W$5*I744,0)</x:f>
        <x:v>2516</x:v>
      </x:c>
      <x:c r="H744" s="11" t="n">
        <x:f>$Y$24</x:f>
        <x:v>3.75</x:v>
      </x:c>
      <x:c r="I744" s="11" t="n">
        <x:f>$Z$24</x:f>
        <x:v>4.444444444444445</x:v>
      </x:c>
      <x:c r="J744" s="12">
        <x:f>英雄升级调参!$E$97</x:f>
        <x:v>1887</x:v>
      </x:c>
      <x:c r="K744" s="12">
        <x:f>英雄升级调参!$F$97</x:f>
        <x:v>18870</x:v>
      </x:c>
      <x:c r="L744" s="6" t="n">
        <x:f>ROUNDUP(F744/J744,0)</x:f>
        <x:v>15</x:v>
      </x:c>
      <x:c r="M744" s="6" t="n">
        <x:f>IF(G744=0,"无伤害",ROUNDUP(K744/MAX(1,ROUND(G744*$AC$24,0)),0))</x:f>
        <x:v>8</x:v>
      </x:c>
      <x:c r="N744" s="6" t="n">
        <x:f>ROUNDUP(F744/英雄升级调参!$H$97,0)</x:f>
        <x:v>10</x:v>
      </x:c>
      <x:c r="O744" s="6">
        <x:f>ROUNDUP(F744/英雄升级调参!$K$97,0)</x:f>
        <x:v>6</x:v>
      </x:c>
      <x:c r="P744" s="6" t="str">
        <x:f>$AA$24</x:f>
        <x:v>精英：15次标准普攻击杀；7.5次主要攻击致死</x:v>
      </x:c>
      <x:c r="Q744" s="6"/>
      <x:c r="R744" s="6"/>
      <x:c r="S744" s="6"/>
      <x:c r="T744" s="6"/>
    </x:row>
    <x:row r="745" ht="21" customHeight="1">
      <x:c r="A745" s="14" t="n">
        <x:f>$V$24</x:f>
        <x:v>60011</x:v>
      </x:c>
      <x:c r="B745" s="14" t="str">
        <x:f>$W$24</x:f>
        <x:v>仙人掌</x:v>
      </x:c>
      <x:c r="C745" s="6" t="str">
        <x:f>$X$24</x:f>
        <x:v>精英</x:v>
      </x:c>
      <x:c r="D745" s="6">
        <x:v>33</x:v>
      </x:c>
      <x:c r="E745" s="6">
        <x:v>24</x:v>
      </x:c>
      <x:c r="F745" s="12">
        <x:f>ROUND(J745*$W$4*H745,0)</x:f>
        <x:v>29385</x:v>
      </x:c>
      <x:c r="G745" s="12">
        <x:f>ROUND(J745*$W$4*$W$5*I745,0)</x:f>
        <x:v>2612</x:v>
      </x:c>
      <x:c r="H745" s="11" t="n">
        <x:f>$Y$24</x:f>
        <x:v>3.75</x:v>
      </x:c>
      <x:c r="I745" s="11" t="n">
        <x:f>$Z$24</x:f>
        <x:v>4.444444444444445</x:v>
      </x:c>
      <x:c r="J745" s="12">
        <x:f>英雄升级调参!$E$98</x:f>
        <x:v>1959</x:v>
      </x:c>
      <x:c r="K745" s="12">
        <x:f>英雄升级调参!$F$98</x:f>
        <x:v>19590</x:v>
      </x:c>
      <x:c r="L745" s="6" t="n">
        <x:f>ROUNDUP(F745/J745,0)</x:f>
        <x:v>15</x:v>
      </x:c>
      <x:c r="M745" s="6" t="n">
        <x:f>IF(G745=0,"无伤害",ROUNDUP(K745/MAX(1,ROUND(G745*$AC$24,0)),0))</x:f>
        <x:v>8</x:v>
      </x:c>
      <x:c r="N745" s="6" t="n">
        <x:f>ROUNDUP(F745/英雄升级调参!$H$98,0)</x:f>
        <x:v>10</x:v>
      </x:c>
      <x:c r="O745" s="6">
        <x:f>ROUNDUP(F745/英雄升级调参!$K$98,0)</x:f>
        <x:v>6</x:v>
      </x:c>
      <x:c r="P745" s="6" t="str">
        <x:f>$AA$24</x:f>
        <x:v>精英：15次标准普攻击杀；7.5次主要攻击致死</x:v>
      </x:c>
      <x:c r="Q745" s="6"/>
      <x:c r="R745" s="6"/>
      <x:c r="S745" s="6"/>
      <x:c r="T745" s="6"/>
    </x:row>
    <x:row r="746" ht="21" customHeight="1">
      <x:c r="A746" s="14" t="n">
        <x:f>$V$24</x:f>
        <x:v>60011</x:v>
      </x:c>
      <x:c r="B746" s="14" t="str">
        <x:f>$W$24</x:f>
        <x:v>仙人掌</x:v>
      </x:c>
      <x:c r="C746" s="6" t="str">
        <x:f>$X$24</x:f>
        <x:v>精英</x:v>
      </x:c>
      <x:c r="D746" s="6">
        <x:v>34</x:v>
      </x:c>
      <x:c r="E746" s="6">
        <x:v>24</x:v>
      </x:c>
      <x:c r="F746" s="12">
        <x:f>ROUND(J746*$W$4*H746,0)</x:f>
        <x:v>30465</x:v>
      </x:c>
      <x:c r="G746" s="12">
        <x:f>ROUND(J746*$W$4*$W$5*I746,0)</x:f>
        <x:v>2708</x:v>
      </x:c>
      <x:c r="H746" s="11" t="n">
        <x:f>$Y$24</x:f>
        <x:v>3.75</x:v>
      </x:c>
      <x:c r="I746" s="11" t="n">
        <x:f>$Z$24</x:f>
        <x:v>4.444444444444445</x:v>
      </x:c>
      <x:c r="J746" s="12">
        <x:f>英雄升级调参!$E$99</x:f>
        <x:v>2031</x:v>
      </x:c>
      <x:c r="K746" s="12">
        <x:f>英雄升级调参!$F$99</x:f>
        <x:v>20310</x:v>
      </x:c>
      <x:c r="L746" s="6" t="n">
        <x:f>ROUNDUP(F746/J746,0)</x:f>
        <x:v>15</x:v>
      </x:c>
      <x:c r="M746" s="6" t="n">
        <x:f>IF(G746=0,"无伤害",ROUNDUP(K746/MAX(1,ROUND(G746*$AC$24,0)),0))</x:f>
        <x:v>8</x:v>
      </x:c>
      <x:c r="N746" s="6" t="n">
        <x:f>ROUNDUP(F746/英雄升级调参!$H$99,0)</x:f>
        <x:v>10</x:v>
      </x:c>
      <x:c r="O746" s="6">
        <x:f>ROUNDUP(F746/英雄升级调参!$K$99,0)</x:f>
        <x:v>6</x:v>
      </x:c>
      <x:c r="P746" s="6" t="str">
        <x:f>$AA$24</x:f>
        <x:v>精英：15次标准普攻击杀；7.5次主要攻击致死</x:v>
      </x:c>
      <x:c r="Q746" s="6"/>
      <x:c r="R746" s="6"/>
      <x:c r="S746" s="6"/>
      <x:c r="T746" s="6"/>
    </x:row>
    <x:row r="747" ht="21" customHeight="1">
      <x:c r="A747" s="14" t="n">
        <x:f>$V$24</x:f>
        <x:v>60011</x:v>
      </x:c>
      <x:c r="B747" s="14" t="str">
        <x:f>$W$24</x:f>
        <x:v>仙人掌</x:v>
      </x:c>
      <x:c r="C747" s="6" t="str">
        <x:f>$X$24</x:f>
        <x:v>精英</x:v>
      </x:c>
      <x:c r="D747" s="6">
        <x:v>35</x:v>
      </x:c>
      <x:c r="E747" s="6">
        <x:v>24</x:v>
      </x:c>
      <x:c r="F747" s="12">
        <x:f>ROUND(J747*$W$4*H747,0)</x:f>
        <x:v>33705</x:v>
      </x:c>
      <x:c r="G747" s="12">
        <x:f>ROUND(J747*$W$4*$W$5*I747,0)</x:f>
        <x:v>2996</x:v>
      </x:c>
      <x:c r="H747" s="11" t="n">
        <x:f>$Y$24</x:f>
        <x:v>3.75</x:v>
      </x:c>
      <x:c r="I747" s="11" t="n">
        <x:f>$Z$24</x:f>
        <x:v>4.444444444444445</x:v>
      </x:c>
      <x:c r="J747" s="12">
        <x:f>英雄升级调参!$E$100</x:f>
        <x:v>2247</x:v>
      </x:c>
      <x:c r="K747" s="12">
        <x:f>英雄升级调参!$F$100</x:f>
        <x:v>22470</x:v>
      </x:c>
      <x:c r="L747" s="6" t="n">
        <x:f>ROUNDUP(F747/J747,0)</x:f>
        <x:v>15</x:v>
      </x:c>
      <x:c r="M747" s="6" t="n">
        <x:f>IF(G747=0,"无伤害",ROUNDUP(K747/MAX(1,ROUND(G747*$AC$24,0)),0))</x:f>
        <x:v>8</x:v>
      </x:c>
      <x:c r="N747" s="6" t="n">
        <x:f>ROUNDUP(F747/英雄升级调参!$H$100,0)</x:f>
        <x:v>10</x:v>
      </x:c>
      <x:c r="O747" s="6">
        <x:f>ROUNDUP(F747/英雄升级调参!$K$100,0)</x:f>
        <x:v>6</x:v>
      </x:c>
      <x:c r="P747" s="6" t="str">
        <x:f>$AA$24</x:f>
        <x:v>精英：15次标准普攻击杀；7.5次主要攻击致死</x:v>
      </x:c>
      <x:c r="Q747" s="6"/>
      <x:c r="R747" s="6"/>
      <x:c r="S747" s="6"/>
      <x:c r="T747" s="6"/>
    </x:row>
    <x:row r="748" ht="21" customHeight="1">
      <x:c r="A748" s="14" t="n">
        <x:f>$V$24</x:f>
        <x:v>60011</x:v>
      </x:c>
      <x:c r="B748" s="14" t="str">
        <x:f>$W$24</x:f>
        <x:v>仙人掌</x:v>
      </x:c>
      <x:c r="C748" s="6" t="str">
        <x:f>$X$24</x:f>
        <x:v>精英</x:v>
      </x:c>
      <x:c r="D748" s="6">
        <x:v>36</x:v>
      </x:c>
      <x:c r="E748" s="6">
        <x:v>24</x:v>
      </x:c>
      <x:c r="F748" s="12">
        <x:f>ROUND(J748*$W$4*H748,0)</x:f>
        <x:v>34920</x:v>
      </x:c>
      <x:c r="G748" s="12">
        <x:f>ROUND(J748*$W$4*$W$5*I748,0)</x:f>
        <x:v>3104</x:v>
      </x:c>
      <x:c r="H748" s="11" t="n">
        <x:f>$Y$24</x:f>
        <x:v>3.75</x:v>
      </x:c>
      <x:c r="I748" s="11" t="n">
        <x:f>$Z$24</x:f>
        <x:v>4.444444444444445</x:v>
      </x:c>
      <x:c r="J748" s="12">
        <x:f>英雄升级调参!$E$101</x:f>
        <x:v>2328</x:v>
      </x:c>
      <x:c r="K748" s="12">
        <x:f>英雄升级调参!$F$101</x:f>
        <x:v>23280</x:v>
      </x:c>
      <x:c r="L748" s="6" t="n">
        <x:f>ROUNDUP(F748/J748,0)</x:f>
        <x:v>15</x:v>
      </x:c>
      <x:c r="M748" s="6" t="n">
        <x:f>IF(G748=0,"无伤害",ROUNDUP(K748/MAX(1,ROUND(G748*$AC$24,0)),0))</x:f>
        <x:v>8</x:v>
      </x:c>
      <x:c r="N748" s="6" t="n">
        <x:f>ROUNDUP(F748/英雄升级调参!$H$101,0)</x:f>
        <x:v>10</x:v>
      </x:c>
      <x:c r="O748" s="6">
        <x:f>ROUNDUP(F748/英雄升级调参!$K$101,0)</x:f>
        <x:v>6</x:v>
      </x:c>
      <x:c r="P748" s="6" t="str">
        <x:f>$AA$24</x:f>
        <x:v>精英：15次标准普攻击杀；7.5次主要攻击致死</x:v>
      </x:c>
      <x:c r="Q748" s="6"/>
      <x:c r="R748" s="6"/>
      <x:c r="S748" s="6"/>
      <x:c r="T748" s="6"/>
    </x:row>
    <x:row r="749" ht="21" customHeight="1">
      <x:c r="A749" s="14" t="n">
        <x:f>$V$24</x:f>
        <x:v>60011</x:v>
      </x:c>
      <x:c r="B749" s="14" t="str">
        <x:f>$W$24</x:f>
        <x:v>仙人掌</x:v>
      </x:c>
      <x:c r="C749" s="6" t="str">
        <x:f>$X$24</x:f>
        <x:v>精英</x:v>
      </x:c>
      <x:c r="D749" s="6">
        <x:v>37</x:v>
      </x:c>
      <x:c r="E749" s="6">
        <x:v>24</x:v>
      </x:c>
      <x:c r="F749" s="12">
        <x:f>ROUND(J749*$W$4*H749,0)</x:f>
        <x:v>36135</x:v>
      </x:c>
      <x:c r="G749" s="12">
        <x:f>ROUND(J749*$W$4*$W$5*I749,0)</x:f>
        <x:v>3212</x:v>
      </x:c>
      <x:c r="H749" s="11" t="n">
        <x:f>$Y$24</x:f>
        <x:v>3.75</x:v>
      </x:c>
      <x:c r="I749" s="11" t="n">
        <x:f>$Z$24</x:f>
        <x:v>4.444444444444445</x:v>
      </x:c>
      <x:c r="J749" s="12">
        <x:f>英雄升级调参!$E$102</x:f>
        <x:v>2409</x:v>
      </x:c>
      <x:c r="K749" s="12">
        <x:f>英雄升级调参!$F$102</x:f>
        <x:v>24090</x:v>
      </x:c>
      <x:c r="L749" s="6" t="n">
        <x:f>ROUNDUP(F749/J749,0)</x:f>
        <x:v>15</x:v>
      </x:c>
      <x:c r="M749" s="6" t="n">
        <x:f>IF(G749=0,"无伤害",ROUNDUP(K749/MAX(1,ROUND(G749*$AC$24,0)),0))</x:f>
        <x:v>8</x:v>
      </x:c>
      <x:c r="N749" s="6" t="n">
        <x:f>ROUNDUP(F749/英雄升级调参!$H$102,0)</x:f>
        <x:v>10</x:v>
      </x:c>
      <x:c r="O749" s="6">
        <x:f>ROUNDUP(F749/英雄升级调参!$K$102,0)</x:f>
        <x:v>6</x:v>
      </x:c>
      <x:c r="P749" s="6" t="str">
        <x:f>$AA$24</x:f>
        <x:v>精英：15次标准普攻击杀；7.5次主要攻击致死</x:v>
      </x:c>
      <x:c r="Q749" s="6"/>
      <x:c r="R749" s="6"/>
      <x:c r="S749" s="6"/>
      <x:c r="T749" s="6"/>
    </x:row>
    <x:row r="750" ht="21" customHeight="1">
      <x:c r="A750" s="14" t="n">
        <x:f>$V$24</x:f>
        <x:v>60011</x:v>
      </x:c>
      <x:c r="B750" s="14" t="str">
        <x:f>$W$24</x:f>
        <x:v>仙人掌</x:v>
      </x:c>
      <x:c r="C750" s="6" t="str">
        <x:f>$X$24</x:f>
        <x:v>精英</x:v>
      </x:c>
      <x:c r="D750" s="6">
        <x:v>38</x:v>
      </x:c>
      <x:c r="E750" s="6">
        <x:v>24</x:v>
      </x:c>
      <x:c r="F750" s="12">
        <x:f>ROUND(J750*$W$4*H750,0)</x:f>
        <x:v>37350</x:v>
      </x:c>
      <x:c r="G750" s="12">
        <x:f>ROUND(J750*$W$4*$W$5*I750,0)</x:f>
        <x:v>3320</x:v>
      </x:c>
      <x:c r="H750" s="11" t="n">
        <x:f>$Y$24</x:f>
        <x:v>3.75</x:v>
      </x:c>
      <x:c r="I750" s="11" t="n">
        <x:f>$Z$24</x:f>
        <x:v>4.444444444444445</x:v>
      </x:c>
      <x:c r="J750" s="12">
        <x:f>英雄升级调参!$E$103</x:f>
        <x:v>2490</x:v>
      </x:c>
      <x:c r="K750" s="12">
        <x:f>英雄升级调参!$F$103</x:f>
        <x:v>24900</x:v>
      </x:c>
      <x:c r="L750" s="6" t="n">
        <x:f>ROUNDUP(F750/J750,0)</x:f>
        <x:v>15</x:v>
      </x:c>
      <x:c r="M750" s="6" t="n">
        <x:f>IF(G750=0,"无伤害",ROUNDUP(K750/MAX(1,ROUND(G750*$AC$24,0)),0))</x:f>
        <x:v>8</x:v>
      </x:c>
      <x:c r="N750" s="6" t="n">
        <x:f>ROUNDUP(F750/英雄升级调参!$H$103,0)</x:f>
        <x:v>10</x:v>
      </x:c>
      <x:c r="O750" s="6">
        <x:f>ROUNDUP(F750/英雄升级调参!$K$103,0)</x:f>
        <x:v>6</x:v>
      </x:c>
      <x:c r="P750" s="6" t="str">
        <x:f>$AA$24</x:f>
        <x:v>精英：15次标准普攻击杀；7.5次主要攻击致死</x:v>
      </x:c>
      <x:c r="Q750" s="6"/>
      <x:c r="R750" s="6"/>
      <x:c r="S750" s="6"/>
      <x:c r="T750" s="6"/>
    </x:row>
    <x:row r="751" ht="21" customHeight="1">
      <x:c r="A751" s="14" t="n">
        <x:f>$V$24</x:f>
        <x:v>60011</x:v>
      </x:c>
      <x:c r="B751" s="14" t="str">
        <x:f>$W$24</x:f>
        <x:v>仙人掌</x:v>
      </x:c>
      <x:c r="C751" s="6" t="str">
        <x:f>$X$24</x:f>
        <x:v>精英</x:v>
      </x:c>
      <x:c r="D751" s="6">
        <x:v>39</x:v>
      </x:c>
      <x:c r="E751" s="6">
        <x:v>24</x:v>
      </x:c>
      <x:c r="F751" s="12">
        <x:f>ROUND(J751*$W$4*H751,0)</x:f>
        <x:v>38565</x:v>
      </x:c>
      <x:c r="G751" s="12">
        <x:f>ROUND(J751*$W$4*$W$5*I751,0)</x:f>
        <x:v>3428</x:v>
      </x:c>
      <x:c r="H751" s="11" t="n">
        <x:f>$Y$24</x:f>
        <x:v>3.75</x:v>
      </x:c>
      <x:c r="I751" s="11" t="n">
        <x:f>$Z$24</x:f>
        <x:v>4.444444444444445</x:v>
      </x:c>
      <x:c r="J751" s="12">
        <x:f>英雄升级调参!$E$104</x:f>
        <x:v>2571</x:v>
      </x:c>
      <x:c r="K751" s="12">
        <x:f>英雄升级调参!$F$104</x:f>
        <x:v>25710</x:v>
      </x:c>
      <x:c r="L751" s="6" t="n">
        <x:f>ROUNDUP(F751/J751,0)</x:f>
        <x:v>15</x:v>
      </x:c>
      <x:c r="M751" s="6" t="n">
        <x:f>IF(G751=0,"无伤害",ROUNDUP(K751/MAX(1,ROUND(G751*$AC$24,0)),0))</x:f>
        <x:v>8</x:v>
      </x:c>
      <x:c r="N751" s="6" t="n">
        <x:f>ROUNDUP(F751/英雄升级调参!$H$104,0)</x:f>
        <x:v>10</x:v>
      </x:c>
      <x:c r="O751" s="6">
        <x:f>ROUNDUP(F751/英雄升级调参!$K$104,0)</x:f>
        <x:v>6</x:v>
      </x:c>
      <x:c r="P751" s="6" t="str">
        <x:f>$AA$24</x:f>
        <x:v>精英：15次标准普攻击杀；7.5次主要攻击致死</x:v>
      </x:c>
      <x:c r="Q751" s="6"/>
      <x:c r="R751" s="6"/>
      <x:c r="S751" s="6"/>
      <x:c r="T751" s="6"/>
    </x:row>
    <x:row r="752" ht="21" customHeight="1">
      <x:c r="A752" s="14" t="n">
        <x:f>$V$24</x:f>
        <x:v>60011</x:v>
      </x:c>
      <x:c r="B752" s="14" t="str">
        <x:f>$W$24</x:f>
        <x:v>仙人掌</x:v>
      </x:c>
      <x:c r="C752" s="6" t="str">
        <x:f>$X$24</x:f>
        <x:v>精英</x:v>
      </x:c>
      <x:c r="D752" s="6">
        <x:v>40</x:v>
      </x:c>
      <x:c r="E752" s="6">
        <x:v>24</x:v>
      </x:c>
      <x:c r="F752" s="12">
        <x:f>ROUND(J752*$W$4*H752,0)</x:f>
        <x:v>42210</x:v>
      </x:c>
      <x:c r="G752" s="12">
        <x:f>ROUND(J752*$W$4*$W$5*I752,0)</x:f>
        <x:v>3752</x:v>
      </x:c>
      <x:c r="H752" s="11" t="n">
        <x:f>$Y$24</x:f>
        <x:v>3.75</x:v>
      </x:c>
      <x:c r="I752" s="11" t="n">
        <x:f>$Z$24</x:f>
        <x:v>4.444444444444445</x:v>
      </x:c>
      <x:c r="J752" s="12">
        <x:f>英雄升级调参!$E$105</x:f>
        <x:v>2814</x:v>
      </x:c>
      <x:c r="K752" s="12">
        <x:f>英雄升级调参!$F$105</x:f>
        <x:v>28140</x:v>
      </x:c>
      <x:c r="L752" s="6" t="n">
        <x:f>ROUNDUP(F752/J752,0)</x:f>
        <x:v>15</x:v>
      </x:c>
      <x:c r="M752" s="6" t="n">
        <x:f>IF(G752=0,"无伤害",ROUNDUP(K752/MAX(1,ROUND(G752*$AC$24,0)),0))</x:f>
        <x:v>8</x:v>
      </x:c>
      <x:c r="N752" s="6" t="n">
        <x:f>ROUNDUP(F752/英雄升级调参!$H$105,0)</x:f>
        <x:v>10</x:v>
      </x:c>
      <x:c r="O752" s="6">
        <x:f>ROUNDUP(F752/英雄升级调参!$K$105,0)</x:f>
        <x:v>6</x:v>
      </x:c>
      <x:c r="P752" s="6" t="str">
        <x:f>$AA$24</x:f>
        <x:v>精英：15次标准普攻击杀；7.5次主要攻击致死</x:v>
      </x:c>
      <x:c r="Q752" s="6"/>
      <x:c r="R752" s="6"/>
      <x:c r="S752" s="6"/>
      <x:c r="T752" s="6"/>
    </x:row>
    <x:row r="753" ht="21" customHeight="1">
      <x:c r="A753" s="14" t="n">
        <x:f>$V$24</x:f>
        <x:v>60011</x:v>
      </x:c>
      <x:c r="B753" s="14" t="str">
        <x:f>$W$24</x:f>
        <x:v>仙人掌</x:v>
      </x:c>
      <x:c r="C753" s="6" t="str">
        <x:f>$X$24</x:f>
        <x:v>精英</x:v>
      </x:c>
      <x:c r="D753" s="6">
        <x:v>41</x:v>
      </x:c>
      <x:c r="E753" s="6">
        <x:v>24</x:v>
      </x:c>
      <x:c r="F753" s="12">
        <x:f>ROUND(J753*$W$4*H753,0)</x:f>
        <x:v>43560</x:v>
      </x:c>
      <x:c r="G753" s="12">
        <x:f>ROUND(J753*$W$4*$W$5*I753,0)</x:f>
        <x:v>3872</x:v>
      </x:c>
      <x:c r="H753" s="11" t="n">
        <x:f>$Y$24</x:f>
        <x:v>3.75</x:v>
      </x:c>
      <x:c r="I753" s="11" t="n">
        <x:f>$Z$24</x:f>
        <x:v>4.444444444444445</x:v>
      </x:c>
      <x:c r="J753" s="12">
        <x:f>英雄升级调参!$E$106</x:f>
        <x:v>2904</x:v>
      </x:c>
      <x:c r="K753" s="12">
        <x:f>英雄升级调参!$F$106</x:f>
        <x:v>29040</x:v>
      </x:c>
      <x:c r="L753" s="6" t="n">
        <x:f>ROUNDUP(F753/J753,0)</x:f>
        <x:v>15</x:v>
      </x:c>
      <x:c r="M753" s="6" t="n">
        <x:f>IF(G753=0,"无伤害",ROUNDUP(K753/MAX(1,ROUND(G753*$AC$24,0)),0))</x:f>
        <x:v>8</x:v>
      </x:c>
      <x:c r="N753" s="6" t="n">
        <x:f>ROUNDUP(F753/英雄升级调参!$H$106,0)</x:f>
        <x:v>10</x:v>
      </x:c>
      <x:c r="O753" s="6">
        <x:f>ROUNDUP(F753/英雄升级调参!$K$106,0)</x:f>
        <x:v>6</x:v>
      </x:c>
      <x:c r="P753" s="6" t="str">
        <x:f>$AA$24</x:f>
        <x:v>精英：15次标准普攻击杀；7.5次主要攻击致死</x:v>
      </x:c>
      <x:c r="Q753" s="6"/>
      <x:c r="R753" s="6"/>
      <x:c r="S753" s="6"/>
      <x:c r="T753" s="6"/>
    </x:row>
    <x:row r="754" ht="21" customHeight="1">
      <x:c r="A754" s="14" t="n">
        <x:f>$V$24</x:f>
        <x:v>60011</x:v>
      </x:c>
      <x:c r="B754" s="14" t="str">
        <x:f>$W$24</x:f>
        <x:v>仙人掌</x:v>
      </x:c>
      <x:c r="C754" s="6" t="str">
        <x:f>$X$24</x:f>
        <x:v>精英</x:v>
      </x:c>
      <x:c r="D754" s="6">
        <x:v>42</x:v>
      </x:c>
      <x:c r="E754" s="6">
        <x:v>24</x:v>
      </x:c>
      <x:c r="F754" s="12">
        <x:f>ROUND(J754*$W$4*H754,0)</x:f>
        <x:v>44910</x:v>
      </x:c>
      <x:c r="G754" s="12">
        <x:f>ROUND(J754*$W$4*$W$5*I754,0)</x:f>
        <x:v>3992</x:v>
      </x:c>
      <x:c r="H754" s="11" t="n">
        <x:f>$Y$24</x:f>
        <x:v>3.75</x:v>
      </x:c>
      <x:c r="I754" s="11" t="n">
        <x:f>$Z$24</x:f>
        <x:v>4.444444444444445</x:v>
      </x:c>
      <x:c r="J754" s="12">
        <x:f>英雄升级调参!$E$107</x:f>
        <x:v>2994</x:v>
      </x:c>
      <x:c r="K754" s="12">
        <x:f>英雄升级调参!$F$107</x:f>
        <x:v>29940</x:v>
      </x:c>
      <x:c r="L754" s="6" t="n">
        <x:f>ROUNDUP(F754/J754,0)</x:f>
        <x:v>15</x:v>
      </x:c>
      <x:c r="M754" s="6" t="n">
        <x:f>IF(G754=0,"无伤害",ROUNDUP(K754/MAX(1,ROUND(G754*$AC$24,0)),0))</x:f>
        <x:v>8</x:v>
      </x:c>
      <x:c r="N754" s="6" t="n">
        <x:f>ROUNDUP(F754/英雄升级调参!$H$107,0)</x:f>
        <x:v>10</x:v>
      </x:c>
      <x:c r="O754" s="6">
        <x:f>ROUNDUP(F754/英雄升级调参!$K$107,0)</x:f>
        <x:v>6</x:v>
      </x:c>
      <x:c r="P754" s="6" t="str">
        <x:f>$AA$24</x:f>
        <x:v>精英：15次标准普攻击杀；7.5次主要攻击致死</x:v>
      </x:c>
      <x:c r="Q754" s="6"/>
      <x:c r="R754" s="6"/>
      <x:c r="S754" s="6"/>
      <x:c r="T754" s="6"/>
    </x:row>
    <x:row r="755" ht="21" customHeight="1">
      <x:c r="A755" s="14" t="n">
        <x:f>$V$24</x:f>
        <x:v>60011</x:v>
      </x:c>
      <x:c r="B755" s="14" t="str">
        <x:f>$W$24</x:f>
        <x:v>仙人掌</x:v>
      </x:c>
      <x:c r="C755" s="6" t="str">
        <x:f>$X$24</x:f>
        <x:v>精英</x:v>
      </x:c>
      <x:c r="D755" s="6">
        <x:v>43</x:v>
      </x:c>
      <x:c r="E755" s="6">
        <x:v>24</x:v>
      </x:c>
      <x:c r="F755" s="12">
        <x:f>ROUND(J755*$W$4*H755,0)</x:f>
        <x:v>46260</x:v>
      </x:c>
      <x:c r="G755" s="12">
        <x:f>ROUND(J755*$W$4*$W$5*I755,0)</x:f>
        <x:v>4112</x:v>
      </x:c>
      <x:c r="H755" s="11" t="n">
        <x:f>$Y$24</x:f>
        <x:v>3.75</x:v>
      </x:c>
      <x:c r="I755" s="11" t="n">
        <x:f>$Z$24</x:f>
        <x:v>4.444444444444445</x:v>
      </x:c>
      <x:c r="J755" s="12">
        <x:f>英雄升级调参!$E$108</x:f>
        <x:v>3084</x:v>
      </x:c>
      <x:c r="K755" s="12">
        <x:f>英雄升级调参!$F$108</x:f>
        <x:v>30840</x:v>
      </x:c>
      <x:c r="L755" s="6" t="n">
        <x:f>ROUNDUP(F755/J755,0)</x:f>
        <x:v>15</x:v>
      </x:c>
      <x:c r="M755" s="6" t="n">
        <x:f>IF(G755=0,"无伤害",ROUNDUP(K755/MAX(1,ROUND(G755*$AC$24,0)),0))</x:f>
        <x:v>8</x:v>
      </x:c>
      <x:c r="N755" s="6" t="n">
        <x:f>ROUNDUP(F755/英雄升级调参!$H$108,0)</x:f>
        <x:v>10</x:v>
      </x:c>
      <x:c r="O755" s="6">
        <x:f>ROUNDUP(F755/英雄升级调参!$K$108,0)</x:f>
        <x:v>6</x:v>
      </x:c>
      <x:c r="P755" s="6" t="str">
        <x:f>$AA$24</x:f>
        <x:v>精英：15次标准普攻击杀；7.5次主要攻击致死</x:v>
      </x:c>
      <x:c r="Q755" s="6"/>
      <x:c r="R755" s="6"/>
      <x:c r="S755" s="6"/>
      <x:c r="T755" s="6"/>
    </x:row>
    <x:row r="756" ht="21" customHeight="1">
      <x:c r="A756" s="14" t="n">
        <x:f>$V$24</x:f>
        <x:v>60011</x:v>
      </x:c>
      <x:c r="B756" s="14" t="str">
        <x:f>$W$24</x:f>
        <x:v>仙人掌</x:v>
      </x:c>
      <x:c r="C756" s="6" t="str">
        <x:f>$X$24</x:f>
        <x:v>精英</x:v>
      </x:c>
      <x:c r="D756" s="6">
        <x:v>44</x:v>
      </x:c>
      <x:c r="E756" s="6">
        <x:v>24</x:v>
      </x:c>
      <x:c r="F756" s="12">
        <x:f>ROUND(J756*$W$4*H756,0)</x:f>
        <x:v>47610</x:v>
      </x:c>
      <x:c r="G756" s="12">
        <x:f>ROUND(J756*$W$4*$W$5*I756,0)</x:f>
        <x:v>4232</x:v>
      </x:c>
      <x:c r="H756" s="11" t="n">
        <x:f>$Y$24</x:f>
        <x:v>3.75</x:v>
      </x:c>
      <x:c r="I756" s="11" t="n">
        <x:f>$Z$24</x:f>
        <x:v>4.444444444444445</x:v>
      </x:c>
      <x:c r="J756" s="12">
        <x:f>英雄升级调参!$E$109</x:f>
        <x:v>3174</x:v>
      </x:c>
      <x:c r="K756" s="12">
        <x:f>英雄升级调参!$F$109</x:f>
        <x:v>31740</x:v>
      </x:c>
      <x:c r="L756" s="6" t="n">
        <x:f>ROUNDUP(F756/J756,0)</x:f>
        <x:v>15</x:v>
      </x:c>
      <x:c r="M756" s="6" t="n">
        <x:f>IF(G756=0,"无伤害",ROUNDUP(K756/MAX(1,ROUND(G756*$AC$24,0)),0))</x:f>
        <x:v>8</x:v>
      </x:c>
      <x:c r="N756" s="6" t="n">
        <x:f>ROUNDUP(F756/英雄升级调参!$H$109,0)</x:f>
        <x:v>10</x:v>
      </x:c>
      <x:c r="O756" s="6">
        <x:f>ROUNDUP(F756/英雄升级调参!$K$109,0)</x:f>
        <x:v>6</x:v>
      </x:c>
      <x:c r="P756" s="6" t="str">
        <x:f>$AA$24</x:f>
        <x:v>精英：15次标准普攻击杀；7.5次主要攻击致死</x:v>
      </x:c>
      <x:c r="Q756" s="6"/>
      <x:c r="R756" s="6"/>
      <x:c r="S756" s="6"/>
      <x:c r="T756" s="6"/>
    </x:row>
    <x:row r="757" ht="21" customHeight="1">
      <x:c r="A757" s="14" t="n">
        <x:f>$V$24</x:f>
        <x:v>60011</x:v>
      </x:c>
      <x:c r="B757" s="14" t="str">
        <x:f>$W$24</x:f>
        <x:v>仙人掌</x:v>
      </x:c>
      <x:c r="C757" s="6" t="str">
        <x:f>$X$24</x:f>
        <x:v>精英</x:v>
      </x:c>
      <x:c r="D757" s="6">
        <x:v>45</x:v>
      </x:c>
      <x:c r="E757" s="6">
        <x:v>24</x:v>
      </x:c>
      <x:c r="F757" s="12">
        <x:f>ROUND(J757*$W$4*H757,0)</x:f>
        <x:v>51660</x:v>
      </x:c>
      <x:c r="G757" s="12">
        <x:f>ROUND(J757*$W$4*$W$5*I757,0)</x:f>
        <x:v>4592</x:v>
      </x:c>
      <x:c r="H757" s="11" t="n">
        <x:f>$Y$24</x:f>
        <x:v>3.75</x:v>
      </x:c>
      <x:c r="I757" s="11" t="n">
        <x:f>$Z$24</x:f>
        <x:v>4.444444444444445</x:v>
      </x:c>
      <x:c r="J757" s="12">
        <x:f>英雄升级调参!$E$110</x:f>
        <x:v>3444</x:v>
      </x:c>
      <x:c r="K757" s="12">
        <x:f>英雄升级调参!$F$110</x:f>
        <x:v>34440</x:v>
      </x:c>
      <x:c r="L757" s="6" t="n">
        <x:f>ROUNDUP(F757/J757,0)</x:f>
        <x:v>15</x:v>
      </x:c>
      <x:c r="M757" s="6" t="n">
        <x:f>IF(G757=0,"无伤害",ROUNDUP(K757/MAX(1,ROUND(G757*$AC$24,0)),0))</x:f>
        <x:v>8</x:v>
      </x:c>
      <x:c r="N757" s="6" t="n">
        <x:f>ROUNDUP(F757/英雄升级调参!$H$110,0)</x:f>
        <x:v>10</x:v>
      </x:c>
      <x:c r="O757" s="6">
        <x:f>ROUNDUP(F757/英雄升级调参!$K$110,0)</x:f>
        <x:v>6</x:v>
      </x:c>
      <x:c r="P757" s="6" t="str">
        <x:f>$AA$24</x:f>
        <x:v>精英：15次标准普攻击杀；7.5次主要攻击致死</x:v>
      </x:c>
      <x:c r="Q757" s="6"/>
      <x:c r="R757" s="6"/>
      <x:c r="S757" s="6"/>
      <x:c r="T757" s="6"/>
    </x:row>
    <x:row r="758" ht="21" customHeight="1">
      <x:c r="A758" s="14" t="n">
        <x:f>$V$24</x:f>
        <x:v>60011</x:v>
      </x:c>
      <x:c r="B758" s="14" t="str">
        <x:f>$W$24</x:f>
        <x:v>仙人掌</x:v>
      </x:c>
      <x:c r="C758" s="6" t="str">
        <x:f>$X$24</x:f>
        <x:v>精英</x:v>
      </x:c>
      <x:c r="D758" s="6">
        <x:v>46</x:v>
      </x:c>
      <x:c r="E758" s="6">
        <x:v>24</x:v>
      </x:c>
      <x:c r="F758" s="12">
        <x:f>ROUND(J758*$W$4*H758,0)</x:f>
        <x:v>53145</x:v>
      </x:c>
      <x:c r="G758" s="12">
        <x:f>ROUND(J758*$W$4*$W$5*I758,0)</x:f>
        <x:v>4724</x:v>
      </x:c>
      <x:c r="H758" s="11" t="n">
        <x:f>$Y$24</x:f>
        <x:v>3.75</x:v>
      </x:c>
      <x:c r="I758" s="11" t="n">
        <x:f>$Z$24</x:f>
        <x:v>4.444444444444445</x:v>
      </x:c>
      <x:c r="J758" s="12">
        <x:f>英雄升级调参!$E$111</x:f>
        <x:v>3543</x:v>
      </x:c>
      <x:c r="K758" s="12">
        <x:f>英雄升级调参!$F$111</x:f>
        <x:v>35430</x:v>
      </x:c>
      <x:c r="L758" s="6" t="n">
        <x:f>ROUNDUP(F758/J758,0)</x:f>
        <x:v>15</x:v>
      </x:c>
      <x:c r="M758" s="6" t="n">
        <x:f>IF(G758=0,"无伤害",ROUNDUP(K758/MAX(1,ROUND(G758*$AC$24,0)),0))</x:f>
        <x:v>8</x:v>
      </x:c>
      <x:c r="N758" s="6" t="n">
        <x:f>ROUNDUP(F758/英雄升级调参!$H$111,0)</x:f>
        <x:v>10</x:v>
      </x:c>
      <x:c r="O758" s="6">
        <x:f>ROUNDUP(F758/英雄升级调参!$K$111,0)</x:f>
        <x:v>6</x:v>
      </x:c>
      <x:c r="P758" s="6" t="str">
        <x:f>$AA$24</x:f>
        <x:v>精英：15次标准普攻击杀；7.5次主要攻击致死</x:v>
      </x:c>
      <x:c r="Q758" s="6"/>
      <x:c r="R758" s="6"/>
      <x:c r="S758" s="6"/>
      <x:c r="T758" s="6"/>
    </x:row>
    <x:row r="759" ht="21" customHeight="1">
      <x:c r="A759" s="14" t="n">
        <x:f>$V$24</x:f>
        <x:v>60011</x:v>
      </x:c>
      <x:c r="B759" s="14" t="str">
        <x:f>$W$24</x:f>
        <x:v>仙人掌</x:v>
      </x:c>
      <x:c r="C759" s="6" t="str">
        <x:f>$X$24</x:f>
        <x:v>精英</x:v>
      </x:c>
      <x:c r="D759" s="6">
        <x:v>47</x:v>
      </x:c>
      <x:c r="E759" s="6">
        <x:v>24</x:v>
      </x:c>
      <x:c r="F759" s="12">
        <x:f>ROUND(J759*$W$4*H759,0)</x:f>
        <x:v>54630</x:v>
      </x:c>
      <x:c r="G759" s="12">
        <x:f>ROUND(J759*$W$4*$W$5*I759,0)</x:f>
        <x:v>4856</x:v>
      </x:c>
      <x:c r="H759" s="11" t="n">
        <x:f>$Y$24</x:f>
        <x:v>3.75</x:v>
      </x:c>
      <x:c r="I759" s="11" t="n">
        <x:f>$Z$24</x:f>
        <x:v>4.444444444444445</x:v>
      </x:c>
      <x:c r="J759" s="12">
        <x:f>英雄升级调参!$E$112</x:f>
        <x:v>3642</x:v>
      </x:c>
      <x:c r="K759" s="12">
        <x:f>英雄升级调参!$F$112</x:f>
        <x:v>36420</x:v>
      </x:c>
      <x:c r="L759" s="6" t="n">
        <x:f>ROUNDUP(F759/J759,0)</x:f>
        <x:v>15</x:v>
      </x:c>
      <x:c r="M759" s="6" t="n">
        <x:f>IF(G759=0,"无伤害",ROUNDUP(K759/MAX(1,ROUND(G759*$AC$24,0)),0))</x:f>
        <x:v>8</x:v>
      </x:c>
      <x:c r="N759" s="6" t="n">
        <x:f>ROUNDUP(F759/英雄升级调参!$H$112,0)</x:f>
        <x:v>10</x:v>
      </x:c>
      <x:c r="O759" s="6">
        <x:f>ROUNDUP(F759/英雄升级调参!$K$112,0)</x:f>
        <x:v>6</x:v>
      </x:c>
      <x:c r="P759" s="6" t="str">
        <x:f>$AA$24</x:f>
        <x:v>精英：15次标准普攻击杀；7.5次主要攻击致死</x:v>
      </x:c>
      <x:c r="Q759" s="6"/>
      <x:c r="R759" s="6"/>
      <x:c r="S759" s="6"/>
      <x:c r="T759" s="6"/>
    </x:row>
    <x:row r="760" ht="21" customHeight="1">
      <x:c r="A760" s="14" t="n">
        <x:f>$V$24</x:f>
        <x:v>60011</x:v>
      </x:c>
      <x:c r="B760" s="14" t="str">
        <x:f>$W$24</x:f>
        <x:v>仙人掌</x:v>
      </x:c>
      <x:c r="C760" s="6" t="str">
        <x:f>$X$24</x:f>
        <x:v>精英</x:v>
      </x:c>
      <x:c r="D760" s="6">
        <x:v>48</x:v>
      </x:c>
      <x:c r="E760" s="6">
        <x:v>24</x:v>
      </x:c>
      <x:c r="F760" s="12">
        <x:f>ROUND(J760*$W$4*H760,0)</x:f>
        <x:v>56115</x:v>
      </x:c>
      <x:c r="G760" s="12">
        <x:f>ROUND(J760*$W$4*$W$5*I760,0)</x:f>
        <x:v>4988</x:v>
      </x:c>
      <x:c r="H760" s="11" t="n">
        <x:f>$Y$24</x:f>
        <x:v>3.75</x:v>
      </x:c>
      <x:c r="I760" s="11" t="n">
        <x:f>$Z$24</x:f>
        <x:v>4.444444444444445</x:v>
      </x:c>
      <x:c r="J760" s="12">
        <x:f>英雄升级调参!$E$113</x:f>
        <x:v>3741</x:v>
      </x:c>
      <x:c r="K760" s="12">
        <x:f>英雄升级调参!$F$113</x:f>
        <x:v>37410</x:v>
      </x:c>
      <x:c r="L760" s="6" t="n">
        <x:f>ROUNDUP(F760/J760,0)</x:f>
        <x:v>15</x:v>
      </x:c>
      <x:c r="M760" s="6" t="n">
        <x:f>IF(G760=0,"无伤害",ROUNDUP(K760/MAX(1,ROUND(G760*$AC$24,0)),0))</x:f>
        <x:v>8</x:v>
      </x:c>
      <x:c r="N760" s="6" t="n">
        <x:f>ROUNDUP(F760/英雄升级调参!$H$113,0)</x:f>
        <x:v>10</x:v>
      </x:c>
      <x:c r="O760" s="6">
        <x:f>ROUNDUP(F760/英雄升级调参!$K$113,0)</x:f>
        <x:v>6</x:v>
      </x:c>
      <x:c r="P760" s="6" t="str">
        <x:f>$AA$24</x:f>
        <x:v>精英：15次标准普攻击杀；7.5次主要攻击致死</x:v>
      </x:c>
      <x:c r="Q760" s="6"/>
      <x:c r="R760" s="6"/>
      <x:c r="S760" s="6"/>
      <x:c r="T760" s="6"/>
    </x:row>
    <x:row r="761" ht="21" customHeight="1">
      <x:c r="A761" s="14" t="n">
        <x:f>$V$24</x:f>
        <x:v>60011</x:v>
      </x:c>
      <x:c r="B761" s="14" t="str">
        <x:f>$W$24</x:f>
        <x:v>仙人掌</x:v>
      </x:c>
      <x:c r="C761" s="6" t="str">
        <x:f>$X$24</x:f>
        <x:v>精英</x:v>
      </x:c>
      <x:c r="D761" s="6">
        <x:v>49</x:v>
      </x:c>
      <x:c r="E761" s="6">
        <x:v>24</x:v>
      </x:c>
      <x:c r="F761" s="12">
        <x:f>ROUND(J761*$W$4*H761,0)</x:f>
        <x:v>57600</x:v>
      </x:c>
      <x:c r="G761" s="12">
        <x:f>ROUND(J761*$W$4*$W$5*I761,0)</x:f>
        <x:v>5120</x:v>
      </x:c>
      <x:c r="H761" s="11" t="n">
        <x:f>$Y$24</x:f>
        <x:v>3.75</x:v>
      </x:c>
      <x:c r="I761" s="11" t="n">
        <x:f>$Z$24</x:f>
        <x:v>4.444444444444445</x:v>
      </x:c>
      <x:c r="J761" s="12">
        <x:f>英雄升级调参!$E$114</x:f>
        <x:v>3840</x:v>
      </x:c>
      <x:c r="K761" s="12">
        <x:f>英雄升级调参!$F$114</x:f>
        <x:v>38400</x:v>
      </x:c>
      <x:c r="L761" s="6" t="n">
        <x:f>ROUNDUP(F761/J761,0)</x:f>
        <x:v>15</x:v>
      </x:c>
      <x:c r="M761" s="6" t="n">
        <x:f>IF(G761=0,"无伤害",ROUNDUP(K761/MAX(1,ROUND(G761*$AC$24,0)),0))</x:f>
        <x:v>8</x:v>
      </x:c>
      <x:c r="N761" s="6" t="n">
        <x:f>ROUNDUP(F761/英雄升级调参!$H$114,0)</x:f>
        <x:v>10</x:v>
      </x:c>
      <x:c r="O761" s="6">
        <x:f>ROUNDUP(F761/英雄升级调参!$K$114,0)</x:f>
        <x:v>6</x:v>
      </x:c>
      <x:c r="P761" s="6" t="str">
        <x:f>$AA$24</x:f>
        <x:v>精英：15次标准普攻击杀；7.5次主要攻击致死</x:v>
      </x:c>
      <x:c r="Q761" s="6"/>
      <x:c r="R761" s="6"/>
      <x:c r="S761" s="6"/>
      <x:c r="T761" s="6"/>
    </x:row>
    <x:row r="762" ht="21" customHeight="1">
      <x:c r="A762" s="14" t="n">
        <x:f>$V$24</x:f>
        <x:v>60011</x:v>
      </x:c>
      <x:c r="B762" s="14" t="str">
        <x:f>$W$24</x:f>
        <x:v>仙人掌</x:v>
      </x:c>
      <x:c r="C762" s="6" t="str">
        <x:f>$X$24</x:f>
        <x:v>精英</x:v>
      </x:c>
      <x:c r="D762" s="6">
        <x:v>50</x:v>
      </x:c>
      <x:c r="E762" s="6">
        <x:v>24</x:v>
      </x:c>
      <x:c r="F762" s="12">
        <x:f>ROUND(J762*$W$4*H762,0)</x:f>
        <x:v>62055</x:v>
      </x:c>
      <x:c r="G762" s="12">
        <x:f>ROUND(J762*$W$4*$W$5*I762,0)</x:f>
        <x:v>5516</x:v>
      </x:c>
      <x:c r="H762" s="11" t="n">
        <x:f>$Y$24</x:f>
        <x:v>3.75</x:v>
      </x:c>
      <x:c r="I762" s="11" t="n">
        <x:f>$Z$24</x:f>
        <x:v>4.444444444444445</x:v>
      </x:c>
      <x:c r="J762" s="12">
        <x:f>英雄升级调参!$E$115</x:f>
        <x:v>4137</x:v>
      </x:c>
      <x:c r="K762" s="12">
        <x:f>英雄升级调参!$F$115</x:f>
        <x:v>41370</x:v>
      </x:c>
      <x:c r="L762" s="6" t="n">
        <x:f>ROUNDUP(F762/J762,0)</x:f>
        <x:v>15</x:v>
      </x:c>
      <x:c r="M762" s="6" t="n">
        <x:f>IF(G762=0,"无伤害",ROUNDUP(K762/MAX(1,ROUND(G762*$AC$24,0)),0))</x:f>
        <x:v>8</x:v>
      </x:c>
      <x:c r="N762" s="6" t="n">
        <x:f>ROUNDUP(F762/英雄升级调参!$H$115,0)</x:f>
        <x:v>10</x:v>
      </x:c>
      <x:c r="O762" s="6">
        <x:f>ROUNDUP(F762/英雄升级调参!$K$115,0)</x:f>
        <x:v>6</x:v>
      </x:c>
      <x:c r="P762" s="6" t="str">
        <x:f>$AA$24</x:f>
        <x:v>精英：15次标准普攻击杀；7.5次主要攻击致死</x:v>
      </x:c>
      <x:c r="Q762" s="6"/>
      <x:c r="R762" s="6"/>
      <x:c r="S762" s="6"/>
      <x:c r="T762" s="6"/>
    </x:row>
    <x:row r="763" ht="21" customHeight="1">
      <x:c r="A763" s="14" t="n">
        <x:f>$V$25</x:f>
        <x:v>60012</x:v>
      </x:c>
      <x:c r="B763" s="14" t="str">
        <x:f>$W$25</x:f>
        <x:v>自爆石榴</x:v>
      </x:c>
      <x:c r="C763" s="6" t="str">
        <x:f>$X$25</x:f>
        <x:v>中等</x:v>
      </x:c>
      <x:c r="D763" s="6">
        <x:v>1</x:v>
      </x:c>
      <x:c r="E763" s="6">
        <x:v>25</x:v>
      </x:c>
      <x:c r="F763" s="12" t="n">
        <x:f>ROUND(J763*$W$4*H763,0)</x:f>
        <x:v>240</x:v>
      </x:c>
      <x:c r="G763" s="12" t="n">
        <x:f>ROUND(J763*$W$4*$W$5*I763,0)</x:f>
        <x:v>20</x:v>
      </x:c>
      <x:c r="H763" s="11" t="n">
        <x:f>$Y$25</x:f>
        <x:v>1</x:v>
      </x:c>
      <x:c r="I763" s="11" t="n">
        <x:f>$Z$25</x:f>
        <x:v>1.1111111111111112</x:v>
      </x:c>
      <x:c r="J763" s="12" t="n">
        <x:f>英雄升级调参!$E$66</x:f>
        <x:v>60</x:v>
      </x:c>
      <x:c r="K763" s="12" t="n">
        <x:f>英雄升级调参!$F$66</x:f>
        <x:v>600</x:v>
      </x:c>
      <x:c r="L763" s="6" t="n">
        <x:f>ROUNDUP(F763/J763,0)</x:f>
        <x:v>4</x:v>
      </x:c>
      <x:c r="M763" s="6" t="n">
        <x:f>IF(G763=0,"无伤害",ROUNDUP(K763/MAX(1,ROUND(G763*$AC$25,0)),0))</x:f>
        <x:v>10</x:v>
      </x:c>
      <x:c r="N763" s="6">
        <x:f>ROUNDUP(F763/英雄升级调参!$H$66,0)</x:f>
        <x:v>2</x:v>
      </x:c>
      <x:c r="O763" s="6">
        <x:f>ROUNDUP(F763/英雄升级调参!$K$66,0)</x:f>
        <x:v>1</x:v>
      </x:c>
      <x:c r="P763" s="6" t="str">
        <x:f>$AA$25</x:f>
        <x:v>普通：4次标准普攻击杀；10次主要攻击致死</x:v>
      </x:c>
      <x:c r="Q763" s="6"/>
      <x:c r="R763" s="6"/>
      <x:c r="S763" s="6"/>
      <x:c r="T763" s="6"/>
    </x:row>
    <x:row r="764" ht="21" customHeight="1">
      <x:c r="A764" s="14" t="n">
        <x:f>$V$25</x:f>
        <x:v>60012</x:v>
      </x:c>
      <x:c r="B764" s="14" t="str">
        <x:f>$W$25</x:f>
        <x:v>自爆石榴</x:v>
      </x:c>
      <x:c r="C764" s="6" t="str">
        <x:f>$X$25</x:f>
        <x:v>中等</x:v>
      </x:c>
      <x:c r="D764" s="6">
        <x:v>2</x:v>
      </x:c>
      <x:c r="E764" s="6">
        <x:v>25</x:v>
      </x:c>
      <x:c r="F764" s="12">
        <x:f>ROUND(J764*$W$4*H764,0)</x:f>
        <x:v>312</x:v>
      </x:c>
      <x:c r="G764" s="12">
        <x:f>ROUND(J764*$W$4*$W$5*I764,0)</x:f>
        <x:v>26</x:v>
      </x:c>
      <x:c r="H764" s="11" t="n">
        <x:f>$Y$25</x:f>
        <x:v>1</x:v>
      </x:c>
      <x:c r="I764" s="11" t="n">
        <x:f>$Z$25</x:f>
        <x:v>1.1111111111111112</x:v>
      </x:c>
      <x:c r="J764" s="12">
        <x:f>英雄升级调参!$E$67</x:f>
        <x:v>78</x:v>
      </x:c>
      <x:c r="K764" s="12">
        <x:f>英雄升级调参!$F$67</x:f>
        <x:v>780</x:v>
      </x:c>
      <x:c r="L764" s="6" t="n">
        <x:f>ROUNDUP(F764/J764,0)</x:f>
        <x:v>4</x:v>
      </x:c>
      <x:c r="M764" s="6" t="n">
        <x:f>IF(G764=0,"无伤害",ROUNDUP(K764/MAX(1,ROUND(G764*$AC$25,0)),0))</x:f>
        <x:v>10</x:v>
      </x:c>
      <x:c r="N764" s="6">
        <x:f>ROUNDUP(F764/英雄升级调参!$H$67,0)</x:f>
        <x:v>2</x:v>
      </x:c>
      <x:c r="O764" s="6">
        <x:f>ROUNDUP(F764/英雄升级调参!$K$67,0)</x:f>
        <x:v>1</x:v>
      </x:c>
      <x:c r="P764" s="6" t="str">
        <x:f>$AA$25</x:f>
        <x:v>普通：4次标准普攻击杀；10次主要攻击致死</x:v>
      </x:c>
      <x:c r="Q764" s="6"/>
      <x:c r="R764" s="6"/>
      <x:c r="S764" s="6"/>
      <x:c r="T764" s="6"/>
    </x:row>
    <x:row r="765" ht="21" customHeight="1">
      <x:c r="A765" s="14" t="n">
        <x:f>$V$25</x:f>
        <x:v>60012</x:v>
      </x:c>
      <x:c r="B765" s="14" t="str">
        <x:f>$W$25</x:f>
        <x:v>自爆石榴</x:v>
      </x:c>
      <x:c r="C765" s="6" t="str">
        <x:f>$X$25</x:f>
        <x:v>中等</x:v>
      </x:c>
      <x:c r="D765" s="6">
        <x:v>3</x:v>
      </x:c>
      <x:c r="E765" s="6">
        <x:v>25</x:v>
      </x:c>
      <x:c r="F765" s="12">
        <x:f>ROUND(J765*$W$4*H765,0)</x:f>
        <x:v>384</x:v>
      </x:c>
      <x:c r="G765" s="12">
        <x:f>ROUND(J765*$W$4*$W$5*I765,0)</x:f>
        <x:v>32</x:v>
      </x:c>
      <x:c r="H765" s="11" t="n">
        <x:f>$Y$25</x:f>
        <x:v>1</x:v>
      </x:c>
      <x:c r="I765" s="11" t="n">
        <x:f>$Z$25</x:f>
        <x:v>1.1111111111111112</x:v>
      </x:c>
      <x:c r="J765" s="12">
        <x:f>英雄升级调参!$E$68</x:f>
        <x:v>96</x:v>
      </x:c>
      <x:c r="K765" s="12">
        <x:f>英雄升级调参!$F$68</x:f>
        <x:v>960</x:v>
      </x:c>
      <x:c r="L765" s="6" t="n">
        <x:f>ROUNDUP(F765/J765,0)</x:f>
        <x:v>4</x:v>
      </x:c>
      <x:c r="M765" s="6" t="n">
        <x:f>IF(G765=0,"无伤害",ROUNDUP(K765/MAX(1,ROUND(G765*$AC$25,0)),0))</x:f>
        <x:v>10</x:v>
      </x:c>
      <x:c r="N765" s="6">
        <x:f>ROUNDUP(F765/英雄升级调参!$H$68,0)</x:f>
        <x:v>2</x:v>
      </x:c>
      <x:c r="O765" s="6">
        <x:f>ROUNDUP(F765/英雄升级调参!$K$68,0)</x:f>
        <x:v>1</x:v>
      </x:c>
      <x:c r="P765" s="6" t="str">
        <x:f>$AA$25</x:f>
        <x:v>普通：4次标准普攻击杀；10次主要攻击致死</x:v>
      </x:c>
      <x:c r="Q765" s="6"/>
      <x:c r="R765" s="6"/>
      <x:c r="S765" s="6"/>
      <x:c r="T765" s="6"/>
    </x:row>
    <x:row r="766" ht="21" customHeight="1">
      <x:c r="A766" s="14" t="n">
        <x:f>$V$25</x:f>
        <x:v>60012</x:v>
      </x:c>
      <x:c r="B766" s="14" t="str">
        <x:f>$W$25</x:f>
        <x:v>自爆石榴</x:v>
      </x:c>
      <x:c r="C766" s="6" t="str">
        <x:f>$X$25</x:f>
        <x:v>中等</x:v>
      </x:c>
      <x:c r="D766" s="6">
        <x:v>4</x:v>
      </x:c>
      <x:c r="E766" s="6">
        <x:v>25</x:v>
      </x:c>
      <x:c r="F766" s="12">
        <x:f>ROUND(J766*$W$4*H766,0)</x:f>
        <x:v>456</x:v>
      </x:c>
      <x:c r="G766" s="12">
        <x:f>ROUND(J766*$W$4*$W$5*I766,0)</x:f>
        <x:v>38</x:v>
      </x:c>
      <x:c r="H766" s="11" t="n">
        <x:f>$Y$25</x:f>
        <x:v>1</x:v>
      </x:c>
      <x:c r="I766" s="11" t="n">
        <x:f>$Z$25</x:f>
        <x:v>1.1111111111111112</x:v>
      </x:c>
      <x:c r="J766" s="12">
        <x:f>英雄升级调参!$E$69</x:f>
        <x:v>114</x:v>
      </x:c>
      <x:c r="K766" s="12">
        <x:f>英雄升级调参!$F$69</x:f>
        <x:v>1140</x:v>
      </x:c>
      <x:c r="L766" s="6" t="n">
        <x:f>ROUNDUP(F766/J766,0)</x:f>
        <x:v>4</x:v>
      </x:c>
      <x:c r="M766" s="6" t="n">
        <x:f>IF(G766=0,"无伤害",ROUNDUP(K766/MAX(1,ROUND(G766*$AC$25,0)),0))</x:f>
        <x:v>10</x:v>
      </x:c>
      <x:c r="N766" s="6">
        <x:f>ROUNDUP(F766/英雄升级调参!$H$69,0)</x:f>
        <x:v>2</x:v>
      </x:c>
      <x:c r="O766" s="6">
        <x:f>ROUNDUP(F766/英雄升级调参!$K$69,0)</x:f>
        <x:v>1</x:v>
      </x:c>
      <x:c r="P766" s="6" t="str">
        <x:f>$AA$25</x:f>
        <x:v>普通：4次标准普攻击杀；10次主要攻击致死</x:v>
      </x:c>
      <x:c r="Q766" s="6"/>
      <x:c r="R766" s="6"/>
      <x:c r="S766" s="6"/>
      <x:c r="T766" s="6"/>
    </x:row>
    <x:row r="767" ht="21" customHeight="1">
      <x:c r="A767" s="14" t="n">
        <x:f>$V$25</x:f>
        <x:v>60012</x:v>
      </x:c>
      <x:c r="B767" s="14" t="str">
        <x:f>$W$25</x:f>
        <x:v>自爆石榴</x:v>
      </x:c>
      <x:c r="C767" s="6" t="str">
        <x:f>$X$25</x:f>
        <x:v>中等</x:v>
      </x:c>
      <x:c r="D767" s="6">
        <x:v>5</x:v>
      </x:c>
      <x:c r="E767" s="6">
        <x:v>25</x:v>
      </x:c>
      <x:c r="F767" s="12">
        <x:f>ROUND(J767*$W$4*H767,0)</x:f>
        <x:v>672</x:v>
      </x:c>
      <x:c r="G767" s="12">
        <x:f>ROUND(J767*$W$4*$W$5*I767,0)</x:f>
        <x:v>56</x:v>
      </x:c>
      <x:c r="H767" s="11" t="n">
        <x:f>$Y$25</x:f>
        <x:v>1</x:v>
      </x:c>
      <x:c r="I767" s="11" t="n">
        <x:f>$Z$25</x:f>
        <x:v>1.1111111111111112</x:v>
      </x:c>
      <x:c r="J767" s="12">
        <x:f>英雄升级调参!$E$70</x:f>
        <x:v>168</x:v>
      </x:c>
      <x:c r="K767" s="12">
        <x:f>英雄升级调参!$F$70</x:f>
        <x:v>1680</x:v>
      </x:c>
      <x:c r="L767" s="6" t="n">
        <x:f>ROUNDUP(F767/J767,0)</x:f>
        <x:v>4</x:v>
      </x:c>
      <x:c r="M767" s="6" t="n">
        <x:f>IF(G767=0,"无伤害",ROUNDUP(K767/MAX(1,ROUND(G767*$AC$25,0)),0))</x:f>
        <x:v>10</x:v>
      </x:c>
      <x:c r="N767" s="6">
        <x:f>ROUNDUP(F767/英雄升级调参!$H$70,0)</x:f>
        <x:v>2</x:v>
      </x:c>
      <x:c r="O767" s="6" t="n">
        <x:f>ROUNDUP(F767/英雄升级调参!$K$70,0)</x:f>
        <x:v>2</x:v>
      </x:c>
      <x:c r="P767" s="6" t="str">
        <x:f>$AA$25</x:f>
        <x:v>普通：4次标准普攻击杀；10次主要攻击致死</x:v>
      </x:c>
      <x:c r="Q767" s="6"/>
      <x:c r="R767" s="6"/>
      <x:c r="S767" s="6"/>
      <x:c r="T767" s="6"/>
    </x:row>
    <x:row r="768" ht="21" customHeight="1">
      <x:c r="A768" s="14" t="n">
        <x:f>$V$25</x:f>
        <x:v>60012</x:v>
      </x:c>
      <x:c r="B768" s="14" t="str">
        <x:f>$W$25</x:f>
        <x:v>自爆石榴</x:v>
      </x:c>
      <x:c r="C768" s="6" t="str">
        <x:f>$X$25</x:f>
        <x:v>中等</x:v>
      </x:c>
      <x:c r="D768" s="6">
        <x:v>6</x:v>
      </x:c>
      <x:c r="E768" s="6">
        <x:v>25</x:v>
      </x:c>
      <x:c r="F768" s="12">
        <x:f>ROUND(J768*$W$4*H768,0)</x:f>
        <x:v>780</x:v>
      </x:c>
      <x:c r="G768" s="12">
        <x:f>ROUND(J768*$W$4*$W$5*I768,0)</x:f>
        <x:v>65</x:v>
      </x:c>
      <x:c r="H768" s="11" t="n">
        <x:f>$Y$25</x:f>
        <x:v>1</x:v>
      </x:c>
      <x:c r="I768" s="11" t="n">
        <x:f>$Z$25</x:f>
        <x:v>1.1111111111111112</x:v>
      </x:c>
      <x:c r="J768" s="12">
        <x:f>英雄升级调参!$E$71</x:f>
        <x:v>195</x:v>
      </x:c>
      <x:c r="K768" s="12">
        <x:f>英雄升级调参!$F$71</x:f>
        <x:v>1950</x:v>
      </x:c>
      <x:c r="L768" s="6" t="n">
        <x:f>ROUNDUP(F768/J768,0)</x:f>
        <x:v>4</x:v>
      </x:c>
      <x:c r="M768" s="6" t="n">
        <x:f>IF(G768=0,"无伤害",ROUNDUP(K768/MAX(1,ROUND(G768*$AC$25,0)),0))</x:f>
        <x:v>10</x:v>
      </x:c>
      <x:c r="N768" s="6">
        <x:f>ROUNDUP(F768/英雄升级调参!$H$71,0)</x:f>
        <x:v>2</x:v>
      </x:c>
      <x:c r="O768" s="6" t="n">
        <x:f>ROUNDUP(F768/英雄升级调参!$K$71,0)</x:f>
        <x:v>2</x:v>
      </x:c>
      <x:c r="P768" s="6" t="str">
        <x:f>$AA$25</x:f>
        <x:v>普通：4次标准普攻击杀；10次主要攻击致死</x:v>
      </x:c>
      <x:c r="Q768" s="6"/>
      <x:c r="R768" s="6"/>
      <x:c r="S768" s="6"/>
      <x:c r="T768" s="6"/>
    </x:row>
    <x:row r="769" ht="21" customHeight="1">
      <x:c r="A769" s="14" t="n">
        <x:f>$V$25</x:f>
        <x:v>60012</x:v>
      </x:c>
      <x:c r="B769" s="14" t="str">
        <x:f>$W$25</x:f>
        <x:v>自爆石榴</x:v>
      </x:c>
      <x:c r="C769" s="6" t="str">
        <x:f>$X$25</x:f>
        <x:v>中等</x:v>
      </x:c>
      <x:c r="D769" s="6">
        <x:v>7</x:v>
      </x:c>
      <x:c r="E769" s="6">
        <x:v>25</x:v>
      </x:c>
      <x:c r="F769" s="12">
        <x:f>ROUND(J769*$W$4*H769,0)</x:f>
        <x:v>888</x:v>
      </x:c>
      <x:c r="G769" s="12">
        <x:f>ROUND(J769*$W$4*$W$5*I769,0)</x:f>
        <x:v>74</x:v>
      </x:c>
      <x:c r="H769" s="11" t="n">
        <x:f>$Y$25</x:f>
        <x:v>1</x:v>
      </x:c>
      <x:c r="I769" s="11" t="n">
        <x:f>$Z$25</x:f>
        <x:v>1.1111111111111112</x:v>
      </x:c>
      <x:c r="J769" s="12">
        <x:f>英雄升级调参!$E$72</x:f>
        <x:v>222</x:v>
      </x:c>
      <x:c r="K769" s="12">
        <x:f>英雄升级调参!$F$72</x:f>
        <x:v>2220</x:v>
      </x:c>
      <x:c r="L769" s="6" t="n">
        <x:f>ROUNDUP(F769/J769,0)</x:f>
        <x:v>4</x:v>
      </x:c>
      <x:c r="M769" s="6" t="n">
        <x:f>IF(G769=0,"无伤害",ROUNDUP(K769/MAX(1,ROUND(G769*$AC$25,0)),0))</x:f>
        <x:v>10</x:v>
      </x:c>
      <x:c r="N769" s="6" t="n">
        <x:f>ROUNDUP(F769/英雄升级调参!$H$72,0)</x:f>
        <x:v>3</x:v>
      </x:c>
      <x:c r="O769" s="6" t="n">
        <x:f>ROUNDUP(F769/英雄升级调参!$K$72,0)</x:f>
        <x:v>2</x:v>
      </x:c>
      <x:c r="P769" s="6" t="str">
        <x:f>$AA$25</x:f>
        <x:v>普通：4次标准普攻击杀；10次主要攻击致死</x:v>
      </x:c>
      <x:c r="Q769" s="6"/>
      <x:c r="R769" s="6"/>
      <x:c r="S769" s="6"/>
      <x:c r="T769" s="6"/>
    </x:row>
    <x:row r="770" ht="21" customHeight="1">
      <x:c r="A770" s="14" t="n">
        <x:f>$V$25</x:f>
        <x:v>60012</x:v>
      </x:c>
      <x:c r="B770" s="14" t="str">
        <x:f>$W$25</x:f>
        <x:v>自爆石榴</x:v>
      </x:c>
      <x:c r="C770" s="6" t="str">
        <x:f>$X$25</x:f>
        <x:v>中等</x:v>
      </x:c>
      <x:c r="D770" s="6">
        <x:v>8</x:v>
      </x:c>
      <x:c r="E770" s="6">
        <x:v>25</x:v>
      </x:c>
      <x:c r="F770" s="12">
        <x:f>ROUND(J770*$W$4*H770,0)</x:f>
        <x:v>996</x:v>
      </x:c>
      <x:c r="G770" s="12">
        <x:f>ROUND(J770*$W$4*$W$5*I770,0)</x:f>
        <x:v>83</x:v>
      </x:c>
      <x:c r="H770" s="11" t="n">
        <x:f>$Y$25</x:f>
        <x:v>1</x:v>
      </x:c>
      <x:c r="I770" s="11" t="n">
        <x:f>$Z$25</x:f>
        <x:v>1.1111111111111112</x:v>
      </x:c>
      <x:c r="J770" s="12">
        <x:f>英雄升级调参!$E$73</x:f>
        <x:v>249</x:v>
      </x:c>
      <x:c r="K770" s="12">
        <x:f>英雄升级调参!$F$73</x:f>
        <x:v>2490</x:v>
      </x:c>
      <x:c r="L770" s="6" t="n">
        <x:f>ROUNDUP(F770/J770,0)</x:f>
        <x:v>4</x:v>
      </x:c>
      <x:c r="M770" s="6" t="n">
        <x:f>IF(G770=0,"无伤害",ROUNDUP(K770/MAX(1,ROUND(G770*$AC$25,0)),0))</x:f>
        <x:v>10</x:v>
      </x:c>
      <x:c r="N770" s="6" t="n">
        <x:f>ROUNDUP(F770/英雄升级调参!$H$73,0)</x:f>
        <x:v>3</x:v>
      </x:c>
      <x:c r="O770" s="6" t="n">
        <x:f>ROUNDUP(F770/英雄升级调参!$K$73,0)</x:f>
        <x:v>2</x:v>
      </x:c>
      <x:c r="P770" s="6" t="str">
        <x:f>$AA$25</x:f>
        <x:v>普通：4次标准普攻击杀；10次主要攻击致死</x:v>
      </x:c>
      <x:c r="Q770" s="6"/>
      <x:c r="R770" s="6"/>
      <x:c r="S770" s="6"/>
      <x:c r="T770" s="6"/>
    </x:row>
    <x:row r="771" ht="21" customHeight="1">
      <x:c r="A771" s="14" t="n">
        <x:f>$V$25</x:f>
        <x:v>60012</x:v>
      </x:c>
      <x:c r="B771" s="14" t="str">
        <x:f>$W$25</x:f>
        <x:v>自爆石榴</x:v>
      </x:c>
      <x:c r="C771" s="6" t="str">
        <x:f>$X$25</x:f>
        <x:v>中等</x:v>
      </x:c>
      <x:c r="D771" s="6">
        <x:v>9</x:v>
      </x:c>
      <x:c r="E771" s="6">
        <x:v>25</x:v>
      </x:c>
      <x:c r="F771" s="12">
        <x:f>ROUND(J771*$W$4*H771,0)</x:f>
        <x:v>1104</x:v>
      </x:c>
      <x:c r="G771" s="12">
        <x:f>ROUND(J771*$W$4*$W$5*I771,0)</x:f>
        <x:v>92</x:v>
      </x:c>
      <x:c r="H771" s="11" t="n">
        <x:f>$Y$25</x:f>
        <x:v>1</x:v>
      </x:c>
      <x:c r="I771" s="11" t="n">
        <x:f>$Z$25</x:f>
        <x:v>1.1111111111111112</x:v>
      </x:c>
      <x:c r="J771" s="12">
        <x:f>英雄升级调参!$E$74</x:f>
        <x:v>276</x:v>
      </x:c>
      <x:c r="K771" s="12">
        <x:f>英雄升级调参!$F$74</x:f>
        <x:v>2760</x:v>
      </x:c>
      <x:c r="L771" s="6" t="n">
        <x:f>ROUNDUP(F771/J771,0)</x:f>
        <x:v>4</x:v>
      </x:c>
      <x:c r="M771" s="6" t="n">
        <x:f>IF(G771=0,"无伤害",ROUNDUP(K771/MAX(1,ROUND(G771*$AC$25,0)),0))</x:f>
        <x:v>10</x:v>
      </x:c>
      <x:c r="N771" s="6" t="n">
        <x:f>ROUNDUP(F771/英雄升级调参!$H$74,0)</x:f>
        <x:v>3</x:v>
      </x:c>
      <x:c r="O771" s="6" t="n">
        <x:f>ROUNDUP(F771/英雄升级调参!$K$74,0)</x:f>
        <x:v>2</x:v>
      </x:c>
      <x:c r="P771" s="6" t="str">
        <x:f>$AA$25</x:f>
        <x:v>普通：4次标准普攻击杀；10次主要攻击致死</x:v>
      </x:c>
      <x:c r="Q771" s="6"/>
      <x:c r="R771" s="6"/>
      <x:c r="S771" s="6"/>
      <x:c r="T771" s="6"/>
    </x:row>
    <x:row r="772" ht="21" customHeight="1">
      <x:c r="A772" s="14" t="n">
        <x:f>$V$25</x:f>
        <x:v>60012</x:v>
      </x:c>
      <x:c r="B772" s="14" t="str">
        <x:f>$W$25</x:f>
        <x:v>自爆石榴</x:v>
      </x:c>
      <x:c r="C772" s="6" t="str">
        <x:f>$X$25</x:f>
        <x:v>中等</x:v>
      </x:c>
      <x:c r="D772" s="6">
        <x:v>10</x:v>
      </x:c>
      <x:c r="E772" s="6">
        <x:v>25</x:v>
      </x:c>
      <x:c r="F772" s="12">
        <x:f>ROUND(J772*$W$4*H772,0)</x:f>
        <x:v>1428</x:v>
      </x:c>
      <x:c r="G772" s="12">
        <x:f>ROUND(J772*$W$4*$W$5*I772,0)</x:f>
        <x:v>119</x:v>
      </x:c>
      <x:c r="H772" s="11" t="n">
        <x:f>$Y$25</x:f>
        <x:v>1</x:v>
      </x:c>
      <x:c r="I772" s="11" t="n">
        <x:f>$Z$25</x:f>
        <x:v>1.1111111111111112</x:v>
      </x:c>
      <x:c r="J772" s="12">
        <x:f>英雄升级调参!$E$75</x:f>
        <x:v>357</x:v>
      </x:c>
      <x:c r="K772" s="12">
        <x:f>英雄升级调参!$F$75</x:f>
        <x:v>3570</x:v>
      </x:c>
      <x:c r="L772" s="6" t="n">
        <x:f>ROUNDUP(F772/J772,0)</x:f>
        <x:v>4</x:v>
      </x:c>
      <x:c r="M772" s="6" t="n">
        <x:f>IF(G772=0,"无伤害",ROUNDUP(K772/MAX(1,ROUND(G772*$AC$25,0)),0))</x:f>
        <x:v>10</x:v>
      </x:c>
      <x:c r="N772" s="6" t="n">
        <x:f>ROUNDUP(F772/英雄升级调参!$H$75,0)</x:f>
        <x:v>3</x:v>
      </x:c>
      <x:c r="O772" s="6" t="n">
        <x:f>ROUNDUP(F772/英雄升级调参!$K$75,0)</x:f>
        <x:v>2</x:v>
      </x:c>
      <x:c r="P772" s="6" t="str">
        <x:f>$AA$25</x:f>
        <x:v>普通：4次标准普攻击杀；10次主要攻击致死</x:v>
      </x:c>
      <x:c r="Q772" s="6"/>
      <x:c r="R772" s="6"/>
      <x:c r="S772" s="6"/>
      <x:c r="T772" s="6"/>
    </x:row>
    <x:row r="773" ht="21" customHeight="1">
      <x:c r="A773" s="14" t="n">
        <x:f>$V$25</x:f>
        <x:v>60012</x:v>
      </x:c>
      <x:c r="B773" s="14" t="str">
        <x:f>$W$25</x:f>
        <x:v>自爆石榴</x:v>
      </x:c>
      <x:c r="C773" s="6" t="str">
        <x:f>$X$25</x:f>
        <x:v>中等</x:v>
      </x:c>
      <x:c r="D773" s="6">
        <x:v>11</x:v>
      </x:c>
      <x:c r="E773" s="6">
        <x:v>25</x:v>
      </x:c>
      <x:c r="F773" s="12">
        <x:f>ROUND(J773*$W$4*H773,0)</x:f>
        <x:v>1572</x:v>
      </x:c>
      <x:c r="G773" s="12">
        <x:f>ROUND(J773*$W$4*$W$5*I773,0)</x:f>
        <x:v>131</x:v>
      </x:c>
      <x:c r="H773" s="11" t="n">
        <x:f>$Y$25</x:f>
        <x:v>1</x:v>
      </x:c>
      <x:c r="I773" s="11" t="n">
        <x:f>$Z$25</x:f>
        <x:v>1.1111111111111112</x:v>
      </x:c>
      <x:c r="J773" s="12">
        <x:f>英雄升级调参!$E$76</x:f>
        <x:v>393</x:v>
      </x:c>
      <x:c r="K773" s="12">
        <x:f>英雄升级调参!$F$76</x:f>
        <x:v>3930</x:v>
      </x:c>
      <x:c r="L773" s="6" t="n">
        <x:f>ROUNDUP(F773/J773,0)</x:f>
        <x:v>4</x:v>
      </x:c>
      <x:c r="M773" s="6" t="n">
        <x:f>IF(G773=0,"无伤害",ROUNDUP(K773/MAX(1,ROUND(G773*$AC$25,0)),0))</x:f>
        <x:v>10</x:v>
      </x:c>
      <x:c r="N773" s="6" t="n">
        <x:f>ROUNDUP(F773/英雄升级调参!$H$76,0)</x:f>
        <x:v>3</x:v>
      </x:c>
      <x:c r="O773" s="6" t="n">
        <x:f>ROUNDUP(F773/英雄升级调参!$K$76,0)</x:f>
        <x:v>2</x:v>
      </x:c>
      <x:c r="P773" s="6" t="str">
        <x:f>$AA$25</x:f>
        <x:v>普通：4次标准普攻击杀；10次主要攻击致死</x:v>
      </x:c>
      <x:c r="Q773" s="6"/>
      <x:c r="R773" s="6"/>
      <x:c r="S773" s="6"/>
      <x:c r="T773" s="6"/>
    </x:row>
    <x:row r="774" ht="21" customHeight="1">
      <x:c r="A774" s="14" t="n">
        <x:f>$V$25</x:f>
        <x:v>60012</x:v>
      </x:c>
      <x:c r="B774" s="14" t="str">
        <x:f>$W$25</x:f>
        <x:v>自爆石榴</x:v>
      </x:c>
      <x:c r="C774" s="6" t="str">
        <x:f>$X$25</x:f>
        <x:v>中等</x:v>
      </x:c>
      <x:c r="D774" s="6">
        <x:v>12</x:v>
      </x:c>
      <x:c r="E774" s="6">
        <x:v>25</x:v>
      </x:c>
      <x:c r="F774" s="12">
        <x:f>ROUND(J774*$W$4*H774,0)</x:f>
        <x:v>1716</x:v>
      </x:c>
      <x:c r="G774" s="12">
        <x:f>ROUND(J774*$W$4*$W$5*I774,0)</x:f>
        <x:v>143</x:v>
      </x:c>
      <x:c r="H774" s="11" t="n">
        <x:f>$Y$25</x:f>
        <x:v>1</x:v>
      </x:c>
      <x:c r="I774" s="11" t="n">
        <x:f>$Z$25</x:f>
        <x:v>1.1111111111111112</x:v>
      </x:c>
      <x:c r="J774" s="12">
        <x:f>英雄升级调参!$E$77</x:f>
        <x:v>429</x:v>
      </x:c>
      <x:c r="K774" s="12">
        <x:f>英雄升级调参!$F$77</x:f>
        <x:v>4290</x:v>
      </x:c>
      <x:c r="L774" s="6" t="n">
        <x:f>ROUNDUP(F774/J774,0)</x:f>
        <x:v>4</x:v>
      </x:c>
      <x:c r="M774" s="6" t="n">
        <x:f>IF(G774=0,"无伤害",ROUNDUP(K774/MAX(1,ROUND(G774*$AC$25,0)),0))</x:f>
        <x:v>10</x:v>
      </x:c>
      <x:c r="N774" s="6" t="n">
        <x:f>ROUNDUP(F774/英雄升级调参!$H$77,0)</x:f>
        <x:v>3</x:v>
      </x:c>
      <x:c r="O774" s="6" t="n">
        <x:f>ROUNDUP(F774/英雄升级调参!$K$77,0)</x:f>
        <x:v>2</x:v>
      </x:c>
      <x:c r="P774" s="6" t="str">
        <x:f>$AA$25</x:f>
        <x:v>普通：4次标准普攻击杀；10次主要攻击致死</x:v>
      </x:c>
      <x:c r="Q774" s="6"/>
      <x:c r="R774" s="6"/>
      <x:c r="S774" s="6"/>
      <x:c r="T774" s="6"/>
    </x:row>
    <x:row r="775" ht="21" customHeight="1">
      <x:c r="A775" s="14" t="n">
        <x:f>$V$25</x:f>
        <x:v>60012</x:v>
      </x:c>
      <x:c r="B775" s="14" t="str">
        <x:f>$W$25</x:f>
        <x:v>自爆石榴</x:v>
      </x:c>
      <x:c r="C775" s="6" t="str">
        <x:f>$X$25</x:f>
        <x:v>中等</x:v>
      </x:c>
      <x:c r="D775" s="6">
        <x:v>13</x:v>
      </x:c>
      <x:c r="E775" s="6">
        <x:v>25</x:v>
      </x:c>
      <x:c r="F775" s="12">
        <x:f>ROUND(J775*$W$4*H775,0)</x:f>
        <x:v>1860</x:v>
      </x:c>
      <x:c r="G775" s="12">
        <x:f>ROUND(J775*$W$4*$W$5*I775,0)</x:f>
        <x:v>155</x:v>
      </x:c>
      <x:c r="H775" s="11" t="n">
        <x:f>$Y$25</x:f>
        <x:v>1</x:v>
      </x:c>
      <x:c r="I775" s="11" t="n">
        <x:f>$Z$25</x:f>
        <x:v>1.1111111111111112</x:v>
      </x:c>
      <x:c r="J775" s="12">
        <x:f>英雄升级调参!$E$78</x:f>
        <x:v>465</x:v>
      </x:c>
      <x:c r="K775" s="12">
        <x:f>英雄升级调参!$F$78</x:f>
        <x:v>4650</x:v>
      </x:c>
      <x:c r="L775" s="6" t="n">
        <x:f>ROUNDUP(F775/J775,0)</x:f>
        <x:v>4</x:v>
      </x:c>
      <x:c r="M775" s="6" t="n">
        <x:f>IF(G775=0,"无伤害",ROUNDUP(K775/MAX(1,ROUND(G775*$AC$25,0)),0))</x:f>
        <x:v>10</x:v>
      </x:c>
      <x:c r="N775" s="6" t="n">
        <x:f>ROUNDUP(F775/英雄升级调参!$H$78,0)</x:f>
        <x:v>3</x:v>
      </x:c>
      <x:c r="O775" s="6" t="n">
        <x:f>ROUNDUP(F775/英雄升级调参!$K$78,0)</x:f>
        <x:v>2</x:v>
      </x:c>
      <x:c r="P775" s="6" t="str">
        <x:f>$AA$25</x:f>
        <x:v>普通：4次标准普攻击杀；10次主要攻击致死</x:v>
      </x:c>
      <x:c r="Q775" s="6"/>
      <x:c r="R775" s="6"/>
      <x:c r="S775" s="6"/>
      <x:c r="T775" s="6"/>
    </x:row>
    <x:row r="776" ht="21" customHeight="1">
      <x:c r="A776" s="14" t="n">
        <x:f>$V$25</x:f>
        <x:v>60012</x:v>
      </x:c>
      <x:c r="B776" s="14" t="str">
        <x:f>$W$25</x:f>
        <x:v>自爆石榴</x:v>
      </x:c>
      <x:c r="C776" s="6" t="str">
        <x:f>$X$25</x:f>
        <x:v>中等</x:v>
      </x:c>
      <x:c r="D776" s="6">
        <x:v>14</x:v>
      </x:c>
      <x:c r="E776" s="6">
        <x:v>25</x:v>
      </x:c>
      <x:c r="F776" s="12">
        <x:f>ROUND(J776*$W$4*H776,0)</x:f>
        <x:v>2004</x:v>
      </x:c>
      <x:c r="G776" s="12">
        <x:f>ROUND(J776*$W$4*$W$5*I776,0)</x:f>
        <x:v>167</x:v>
      </x:c>
      <x:c r="H776" s="11" t="n">
        <x:f>$Y$25</x:f>
        <x:v>1</x:v>
      </x:c>
      <x:c r="I776" s="11" t="n">
        <x:f>$Z$25</x:f>
        <x:v>1.1111111111111112</x:v>
      </x:c>
      <x:c r="J776" s="12">
        <x:f>英雄升级调参!$E$79</x:f>
        <x:v>501</x:v>
      </x:c>
      <x:c r="K776" s="12">
        <x:f>英雄升级调参!$F$79</x:f>
        <x:v>5010</x:v>
      </x:c>
      <x:c r="L776" s="6" t="n">
        <x:f>ROUNDUP(F776/J776,0)</x:f>
        <x:v>4</x:v>
      </x:c>
      <x:c r="M776" s="6" t="n">
        <x:f>IF(G776=0,"无伤害",ROUNDUP(K776/MAX(1,ROUND(G776*$AC$25,0)),0))</x:f>
        <x:v>10</x:v>
      </x:c>
      <x:c r="N776" s="6" t="n">
        <x:f>ROUNDUP(F776/英雄升级调参!$H$79,0)</x:f>
        <x:v>3</x:v>
      </x:c>
      <x:c r="O776" s="6" t="n">
        <x:f>ROUNDUP(F776/英雄升级调参!$K$79,0)</x:f>
        <x:v>2</x:v>
      </x:c>
      <x:c r="P776" s="6" t="str">
        <x:f>$AA$25</x:f>
        <x:v>普通：4次标准普攻击杀；10次主要攻击致死</x:v>
      </x:c>
      <x:c r="Q776" s="6"/>
      <x:c r="R776" s="6"/>
      <x:c r="S776" s="6"/>
      <x:c r="T776" s="6"/>
    </x:row>
    <x:row r="777" ht="21" customHeight="1">
      <x:c r="A777" s="14" t="n">
        <x:f>$V$25</x:f>
        <x:v>60012</x:v>
      </x:c>
      <x:c r="B777" s="14" t="str">
        <x:f>$W$25</x:f>
        <x:v>自爆石榴</x:v>
      </x:c>
      <x:c r="C777" s="6" t="str">
        <x:f>$X$25</x:f>
        <x:v>中等</x:v>
      </x:c>
      <x:c r="D777" s="6">
        <x:v>15</x:v>
      </x:c>
      <x:c r="E777" s="6">
        <x:v>25</x:v>
      </x:c>
      <x:c r="F777" s="12">
        <x:f>ROUND(J777*$W$4*H777,0)</x:f>
        <x:v>2436</x:v>
      </x:c>
      <x:c r="G777" s="12">
        <x:f>ROUND(J777*$W$4*$W$5*I777,0)</x:f>
        <x:v>203</x:v>
      </x:c>
      <x:c r="H777" s="11" t="n">
        <x:f>$Y$25</x:f>
        <x:v>1</x:v>
      </x:c>
      <x:c r="I777" s="11" t="n">
        <x:f>$Z$25</x:f>
        <x:v>1.1111111111111112</x:v>
      </x:c>
      <x:c r="J777" s="12">
        <x:f>英雄升级调参!$E$80</x:f>
        <x:v>609</x:v>
      </x:c>
      <x:c r="K777" s="12">
        <x:f>英雄升级调参!$F$80</x:f>
        <x:v>6090</x:v>
      </x:c>
      <x:c r="L777" s="6" t="n">
        <x:f>ROUNDUP(F777/J777,0)</x:f>
        <x:v>4</x:v>
      </x:c>
      <x:c r="M777" s="6" t="n">
        <x:f>IF(G777=0,"无伤害",ROUNDUP(K777/MAX(1,ROUND(G777*$AC$25,0)),0))</x:f>
        <x:v>10</x:v>
      </x:c>
      <x:c r="N777" s="6" t="n">
        <x:f>ROUNDUP(F777/英雄升级调参!$H$80,0)</x:f>
        <x:v>3</x:v>
      </x:c>
      <x:c r="O777" s="6" t="n">
        <x:f>ROUNDUP(F777/英雄升级调参!$K$80,0)</x:f>
        <x:v>2</x:v>
      </x:c>
      <x:c r="P777" s="6" t="str">
        <x:f>$AA$25</x:f>
        <x:v>普通：4次标准普攻击杀；10次主要攻击致死</x:v>
      </x:c>
      <x:c r="Q777" s="6"/>
      <x:c r="R777" s="6"/>
      <x:c r="S777" s="6"/>
      <x:c r="T777" s="6"/>
    </x:row>
    <x:row r="778" ht="21" customHeight="1">
      <x:c r="A778" s="14" t="n">
        <x:f>$V$25</x:f>
        <x:v>60012</x:v>
      </x:c>
      <x:c r="B778" s="14" t="str">
        <x:f>$W$25</x:f>
        <x:v>自爆石榴</x:v>
      </x:c>
      <x:c r="C778" s="6" t="str">
        <x:f>$X$25</x:f>
        <x:v>中等</x:v>
      </x:c>
      <x:c r="D778" s="6">
        <x:v>16</x:v>
      </x:c>
      <x:c r="E778" s="6">
        <x:v>25</x:v>
      </x:c>
      <x:c r="F778" s="12">
        <x:f>ROUND(J778*$W$4*H778,0)</x:f>
        <x:v>2616</x:v>
      </x:c>
      <x:c r="G778" s="12">
        <x:f>ROUND(J778*$W$4*$W$5*I778,0)</x:f>
        <x:v>218</x:v>
      </x:c>
      <x:c r="H778" s="11" t="n">
        <x:f>$Y$25</x:f>
        <x:v>1</x:v>
      </x:c>
      <x:c r="I778" s="11" t="n">
        <x:f>$Z$25</x:f>
        <x:v>1.1111111111111112</x:v>
      </x:c>
      <x:c r="J778" s="12">
        <x:f>英雄升级调参!$E$81</x:f>
        <x:v>654</x:v>
      </x:c>
      <x:c r="K778" s="12">
        <x:f>英雄升级调参!$F$81</x:f>
        <x:v>6540</x:v>
      </x:c>
      <x:c r="L778" s="6" t="n">
        <x:f>ROUNDUP(F778/J778,0)</x:f>
        <x:v>4</x:v>
      </x:c>
      <x:c r="M778" s="6" t="n">
        <x:f>IF(G778=0,"无伤害",ROUNDUP(K778/MAX(1,ROUND(G778*$AC$25,0)),0))</x:f>
        <x:v>10</x:v>
      </x:c>
      <x:c r="N778" s="6" t="n">
        <x:f>ROUNDUP(F778/英雄升级调参!$H$81,0)</x:f>
        <x:v>3</x:v>
      </x:c>
      <x:c r="O778" s="6" t="n">
        <x:f>ROUNDUP(F778/英雄升级调参!$K$81,0)</x:f>
        <x:v>2</x:v>
      </x:c>
      <x:c r="P778" s="6" t="str">
        <x:f>$AA$25</x:f>
        <x:v>普通：4次标准普攻击杀；10次主要攻击致死</x:v>
      </x:c>
      <x:c r="Q778" s="6"/>
      <x:c r="R778" s="6"/>
      <x:c r="S778" s="6"/>
      <x:c r="T778" s="6"/>
    </x:row>
    <x:row r="779" ht="21" customHeight="1">
      <x:c r="A779" s="14" t="n">
        <x:f>$V$25</x:f>
        <x:v>60012</x:v>
      </x:c>
      <x:c r="B779" s="14" t="str">
        <x:f>$W$25</x:f>
        <x:v>自爆石榴</x:v>
      </x:c>
      <x:c r="C779" s="6" t="str">
        <x:f>$X$25</x:f>
        <x:v>中等</x:v>
      </x:c>
      <x:c r="D779" s="6">
        <x:v>17</x:v>
      </x:c>
      <x:c r="E779" s="6">
        <x:v>25</x:v>
      </x:c>
      <x:c r="F779" s="12">
        <x:f>ROUND(J779*$W$4*H779,0)</x:f>
        <x:v>2796</x:v>
      </x:c>
      <x:c r="G779" s="12">
        <x:f>ROUND(J779*$W$4*$W$5*I779,0)</x:f>
        <x:v>233</x:v>
      </x:c>
      <x:c r="H779" s="11" t="n">
        <x:f>$Y$25</x:f>
        <x:v>1</x:v>
      </x:c>
      <x:c r="I779" s="11" t="n">
        <x:f>$Z$25</x:f>
        <x:v>1.1111111111111112</x:v>
      </x:c>
      <x:c r="J779" s="12">
        <x:f>英雄升级调参!$E$82</x:f>
        <x:v>699</x:v>
      </x:c>
      <x:c r="K779" s="12">
        <x:f>英雄升级调参!$F$82</x:f>
        <x:v>6990</x:v>
      </x:c>
      <x:c r="L779" s="6" t="n">
        <x:f>ROUNDUP(F779/J779,0)</x:f>
        <x:v>4</x:v>
      </x:c>
      <x:c r="M779" s="6" t="n">
        <x:f>IF(G779=0,"无伤害",ROUNDUP(K779/MAX(1,ROUND(G779*$AC$25,0)),0))</x:f>
        <x:v>10</x:v>
      </x:c>
      <x:c r="N779" s="6" t="n">
        <x:f>ROUNDUP(F779/英雄升级调参!$H$82,0)</x:f>
        <x:v>3</x:v>
      </x:c>
      <x:c r="O779" s="6" t="n">
        <x:f>ROUNDUP(F779/英雄升级调参!$K$82,0)</x:f>
        <x:v>2</x:v>
      </x:c>
      <x:c r="P779" s="6" t="str">
        <x:f>$AA$25</x:f>
        <x:v>普通：4次标准普攻击杀；10次主要攻击致死</x:v>
      </x:c>
      <x:c r="Q779" s="6"/>
      <x:c r="R779" s="6"/>
      <x:c r="S779" s="6"/>
      <x:c r="T779" s="6"/>
    </x:row>
    <x:row r="780" ht="21" customHeight="1">
      <x:c r="A780" s="14" t="n">
        <x:f>$V$25</x:f>
        <x:v>60012</x:v>
      </x:c>
      <x:c r="B780" s="14" t="str">
        <x:f>$W$25</x:f>
        <x:v>自爆石榴</x:v>
      </x:c>
      <x:c r="C780" s="6" t="str">
        <x:f>$X$25</x:f>
        <x:v>中等</x:v>
      </x:c>
      <x:c r="D780" s="6">
        <x:v>18</x:v>
      </x:c>
      <x:c r="E780" s="6">
        <x:v>25</x:v>
      </x:c>
      <x:c r="F780" s="12">
        <x:f>ROUND(J780*$W$4*H780,0)</x:f>
        <x:v>2976</x:v>
      </x:c>
      <x:c r="G780" s="12">
        <x:f>ROUND(J780*$W$4*$W$5*I780,0)</x:f>
        <x:v>248</x:v>
      </x:c>
      <x:c r="H780" s="11" t="n">
        <x:f>$Y$25</x:f>
        <x:v>1</x:v>
      </x:c>
      <x:c r="I780" s="11" t="n">
        <x:f>$Z$25</x:f>
        <x:v>1.1111111111111112</x:v>
      </x:c>
      <x:c r="J780" s="12">
        <x:f>英雄升级调参!$E$83</x:f>
        <x:v>744</x:v>
      </x:c>
      <x:c r="K780" s="12">
        <x:f>英雄升级调参!$F$83</x:f>
        <x:v>7440</x:v>
      </x:c>
      <x:c r="L780" s="6" t="n">
        <x:f>ROUNDUP(F780/J780,0)</x:f>
        <x:v>4</x:v>
      </x:c>
      <x:c r="M780" s="6" t="n">
        <x:f>IF(G780=0,"无伤害",ROUNDUP(K780/MAX(1,ROUND(G780*$AC$25,0)),0))</x:f>
        <x:v>10</x:v>
      </x:c>
      <x:c r="N780" s="6" t="n">
        <x:f>ROUNDUP(F780/英雄升级调参!$H$83,0)</x:f>
        <x:v>3</x:v>
      </x:c>
      <x:c r="O780" s="6" t="n">
        <x:f>ROUNDUP(F780/英雄升级调参!$K$83,0)</x:f>
        <x:v>2</x:v>
      </x:c>
      <x:c r="P780" s="6" t="str">
        <x:f>$AA$25</x:f>
        <x:v>普通：4次标准普攻击杀；10次主要攻击致死</x:v>
      </x:c>
      <x:c r="Q780" s="6"/>
      <x:c r="R780" s="6"/>
      <x:c r="S780" s="6"/>
      <x:c r="T780" s="6"/>
    </x:row>
    <x:row r="781" ht="21" customHeight="1">
      <x:c r="A781" s="14" t="n">
        <x:f>$V$25</x:f>
        <x:v>60012</x:v>
      </x:c>
      <x:c r="B781" s="14" t="str">
        <x:f>$W$25</x:f>
        <x:v>自爆石榴</x:v>
      </x:c>
      <x:c r="C781" s="6" t="str">
        <x:f>$X$25</x:f>
        <x:v>中等</x:v>
      </x:c>
      <x:c r="D781" s="6">
        <x:v>19</x:v>
      </x:c>
      <x:c r="E781" s="6">
        <x:v>25</x:v>
      </x:c>
      <x:c r="F781" s="12">
        <x:f>ROUND(J781*$W$4*H781,0)</x:f>
        <x:v>3156</x:v>
      </x:c>
      <x:c r="G781" s="12">
        <x:f>ROUND(J781*$W$4*$W$5*I781,0)</x:f>
        <x:v>263</x:v>
      </x:c>
      <x:c r="H781" s="11" t="n">
        <x:f>$Y$25</x:f>
        <x:v>1</x:v>
      </x:c>
      <x:c r="I781" s="11" t="n">
        <x:f>$Z$25</x:f>
        <x:v>1.1111111111111112</x:v>
      </x:c>
      <x:c r="J781" s="12">
        <x:f>英雄升级调参!$E$84</x:f>
        <x:v>789</x:v>
      </x:c>
      <x:c r="K781" s="12">
        <x:f>英雄升级调参!$F$84</x:f>
        <x:v>7890</x:v>
      </x:c>
      <x:c r="L781" s="6" t="n">
        <x:f>ROUNDUP(F781/J781,0)</x:f>
        <x:v>4</x:v>
      </x:c>
      <x:c r="M781" s="6" t="n">
        <x:f>IF(G781=0,"无伤害",ROUNDUP(K781/MAX(1,ROUND(G781*$AC$25,0)),0))</x:f>
        <x:v>10</x:v>
      </x:c>
      <x:c r="N781" s="6" t="n">
        <x:f>ROUNDUP(F781/英雄升级调参!$H$84,0)</x:f>
        <x:v>3</x:v>
      </x:c>
      <x:c r="O781" s="6" t="n">
        <x:f>ROUNDUP(F781/英雄升级调参!$K$84,0)</x:f>
        <x:v>2</x:v>
      </x:c>
      <x:c r="P781" s="6" t="str">
        <x:f>$AA$25</x:f>
        <x:v>普通：4次标准普攻击杀；10次主要攻击致死</x:v>
      </x:c>
      <x:c r="Q781" s="6"/>
      <x:c r="R781" s="6"/>
      <x:c r="S781" s="6"/>
      <x:c r="T781" s="6"/>
    </x:row>
    <x:row r="782" ht="21" customHeight="1">
      <x:c r="A782" s="14" t="n">
        <x:f>$V$25</x:f>
        <x:v>60012</x:v>
      </x:c>
      <x:c r="B782" s="14" t="str">
        <x:f>$W$25</x:f>
        <x:v>自爆石榴</x:v>
      </x:c>
      <x:c r="C782" s="6" t="str">
        <x:f>$X$25</x:f>
        <x:v>中等</x:v>
      </x:c>
      <x:c r="D782" s="6">
        <x:v>20</x:v>
      </x:c>
      <x:c r="E782" s="6">
        <x:v>25</x:v>
      </x:c>
      <x:c r="F782" s="12">
        <x:f>ROUND(J782*$W$4*H782,0)</x:f>
        <x:v>3696</x:v>
      </x:c>
      <x:c r="G782" s="12">
        <x:f>ROUND(J782*$W$4*$W$5*I782,0)</x:f>
        <x:v>308</x:v>
      </x:c>
      <x:c r="H782" s="11" t="n">
        <x:f>$Y$25</x:f>
        <x:v>1</x:v>
      </x:c>
      <x:c r="I782" s="11" t="n">
        <x:f>$Z$25</x:f>
        <x:v>1.1111111111111112</x:v>
      </x:c>
      <x:c r="J782" s="12">
        <x:f>英雄升级调参!$E$85</x:f>
        <x:v>924</x:v>
      </x:c>
      <x:c r="K782" s="12">
        <x:f>英雄升级调参!$F$85</x:f>
        <x:v>9240</x:v>
      </x:c>
      <x:c r="L782" s="6" t="n">
        <x:f>ROUNDUP(F782/J782,0)</x:f>
        <x:v>4</x:v>
      </x:c>
      <x:c r="M782" s="6" t="n">
        <x:f>IF(G782=0,"无伤害",ROUNDUP(K782/MAX(1,ROUND(G782*$AC$25,0)),0))</x:f>
        <x:v>10</x:v>
      </x:c>
      <x:c r="N782" s="6" t="n">
        <x:f>ROUNDUP(F782/英雄升级调参!$H$85,0)</x:f>
        <x:v>3</x:v>
      </x:c>
      <x:c r="O782" s="6" t="n">
        <x:f>ROUNDUP(F782/英雄升级调参!$K$85,0)</x:f>
        <x:v>2</x:v>
      </x:c>
      <x:c r="P782" s="6" t="str">
        <x:f>$AA$25</x:f>
        <x:v>普通：4次标准普攻击杀；10次主要攻击致死</x:v>
      </x:c>
      <x:c r="Q782" s="6"/>
      <x:c r="R782" s="6"/>
      <x:c r="S782" s="6"/>
      <x:c r="T782" s="6"/>
    </x:row>
    <x:row r="783" ht="21" customHeight="1">
      <x:c r="A783" s="14" t="n">
        <x:f>$V$25</x:f>
        <x:v>60012</x:v>
      </x:c>
      <x:c r="B783" s="14" t="str">
        <x:f>$W$25</x:f>
        <x:v>自爆石榴</x:v>
      </x:c>
      <x:c r="C783" s="6" t="str">
        <x:f>$X$25</x:f>
        <x:v>中等</x:v>
      </x:c>
      <x:c r="D783" s="6">
        <x:v>21</x:v>
      </x:c>
      <x:c r="E783" s="6">
        <x:v>25</x:v>
      </x:c>
      <x:c r="F783" s="12">
        <x:f>ROUND(J783*$W$4*H783,0)</x:f>
        <x:v>3912</x:v>
      </x:c>
      <x:c r="G783" s="12">
        <x:f>ROUND(J783*$W$4*$W$5*I783,0)</x:f>
        <x:v>326</x:v>
      </x:c>
      <x:c r="H783" s="11" t="n">
        <x:f>$Y$25</x:f>
        <x:v>1</x:v>
      </x:c>
      <x:c r="I783" s="11" t="n">
        <x:f>$Z$25</x:f>
        <x:v>1.1111111111111112</x:v>
      </x:c>
      <x:c r="J783" s="12">
        <x:f>英雄升级调参!$E$86</x:f>
        <x:v>978</x:v>
      </x:c>
      <x:c r="K783" s="12">
        <x:f>英雄升级调参!$F$86</x:f>
        <x:v>9780</x:v>
      </x:c>
      <x:c r="L783" s="6" t="n">
        <x:f>ROUNDUP(F783/J783,0)</x:f>
        <x:v>4</x:v>
      </x:c>
      <x:c r="M783" s="6" t="n">
        <x:f>IF(G783=0,"无伤害",ROUNDUP(K783/MAX(1,ROUND(G783*$AC$25,0)),0))</x:f>
        <x:v>10</x:v>
      </x:c>
      <x:c r="N783" s="6" t="n">
        <x:f>ROUNDUP(F783/英雄升级调参!$H$86,0)</x:f>
        <x:v>3</x:v>
      </x:c>
      <x:c r="O783" s="6" t="n">
        <x:f>ROUNDUP(F783/英雄升级调参!$K$86,0)</x:f>
        <x:v>2</x:v>
      </x:c>
      <x:c r="P783" s="6" t="str">
        <x:f>$AA$25</x:f>
        <x:v>普通：4次标准普攻击杀；10次主要攻击致死</x:v>
      </x:c>
      <x:c r="Q783" s="6"/>
      <x:c r="R783" s="6"/>
      <x:c r="S783" s="6"/>
      <x:c r="T783" s="6"/>
    </x:row>
    <x:row r="784" ht="21" customHeight="1">
      <x:c r="A784" s="14" t="n">
        <x:f>$V$25</x:f>
        <x:v>60012</x:v>
      </x:c>
      <x:c r="B784" s="14" t="str">
        <x:f>$W$25</x:f>
        <x:v>自爆石榴</x:v>
      </x:c>
      <x:c r="C784" s="6" t="str">
        <x:f>$X$25</x:f>
        <x:v>中等</x:v>
      </x:c>
      <x:c r="D784" s="6">
        <x:v>22</x:v>
      </x:c>
      <x:c r="E784" s="6">
        <x:v>25</x:v>
      </x:c>
      <x:c r="F784" s="12">
        <x:f>ROUND(J784*$W$4*H784,0)</x:f>
        <x:v>4128</x:v>
      </x:c>
      <x:c r="G784" s="12">
        <x:f>ROUND(J784*$W$4*$W$5*I784,0)</x:f>
        <x:v>344</x:v>
      </x:c>
      <x:c r="H784" s="11" t="n">
        <x:f>$Y$25</x:f>
        <x:v>1</x:v>
      </x:c>
      <x:c r="I784" s="11" t="n">
        <x:f>$Z$25</x:f>
        <x:v>1.1111111111111112</x:v>
      </x:c>
      <x:c r="J784" s="12">
        <x:f>英雄升级调参!$E$87</x:f>
        <x:v>1032</x:v>
      </x:c>
      <x:c r="K784" s="12">
        <x:f>英雄升级调参!$F$87</x:f>
        <x:v>10320</x:v>
      </x:c>
      <x:c r="L784" s="6" t="n">
        <x:f>ROUNDUP(F784/J784,0)</x:f>
        <x:v>4</x:v>
      </x:c>
      <x:c r="M784" s="6" t="n">
        <x:f>IF(G784=0,"无伤害",ROUNDUP(K784/MAX(1,ROUND(G784*$AC$25,0)),0))</x:f>
        <x:v>10</x:v>
      </x:c>
      <x:c r="N784" s="6" t="n">
        <x:f>ROUNDUP(F784/英雄升级调参!$H$87,0)</x:f>
        <x:v>3</x:v>
      </x:c>
      <x:c r="O784" s="6" t="n">
        <x:f>ROUNDUP(F784/英雄升级调参!$K$87,0)</x:f>
        <x:v>2</x:v>
      </x:c>
      <x:c r="P784" s="6" t="str">
        <x:f>$AA$25</x:f>
        <x:v>普通：4次标准普攻击杀；10次主要攻击致死</x:v>
      </x:c>
      <x:c r="Q784" s="6"/>
      <x:c r="R784" s="6"/>
      <x:c r="S784" s="6"/>
      <x:c r="T784" s="6"/>
    </x:row>
    <x:row r="785" ht="21" customHeight="1">
      <x:c r="A785" s="14" t="n">
        <x:f>$V$25</x:f>
        <x:v>60012</x:v>
      </x:c>
      <x:c r="B785" s="14" t="str">
        <x:f>$W$25</x:f>
        <x:v>自爆石榴</x:v>
      </x:c>
      <x:c r="C785" s="6" t="str">
        <x:f>$X$25</x:f>
        <x:v>中等</x:v>
      </x:c>
      <x:c r="D785" s="6">
        <x:v>23</x:v>
      </x:c>
      <x:c r="E785" s="6">
        <x:v>25</x:v>
      </x:c>
      <x:c r="F785" s="12">
        <x:f>ROUND(J785*$W$4*H785,0)</x:f>
        <x:v>4344</x:v>
      </x:c>
      <x:c r="G785" s="12">
        <x:f>ROUND(J785*$W$4*$W$5*I785,0)</x:f>
        <x:v>362</x:v>
      </x:c>
      <x:c r="H785" s="11" t="n">
        <x:f>$Y$25</x:f>
        <x:v>1</x:v>
      </x:c>
      <x:c r="I785" s="11" t="n">
        <x:f>$Z$25</x:f>
        <x:v>1.1111111111111112</x:v>
      </x:c>
      <x:c r="J785" s="12">
        <x:f>英雄升级调参!$E$88</x:f>
        <x:v>1086</x:v>
      </x:c>
      <x:c r="K785" s="12">
        <x:f>英雄升级调参!$F$88</x:f>
        <x:v>10860</x:v>
      </x:c>
      <x:c r="L785" s="6" t="n">
        <x:f>ROUNDUP(F785/J785,0)</x:f>
        <x:v>4</x:v>
      </x:c>
      <x:c r="M785" s="6" t="n">
        <x:f>IF(G785=0,"无伤害",ROUNDUP(K785/MAX(1,ROUND(G785*$AC$25,0)),0))</x:f>
        <x:v>10</x:v>
      </x:c>
      <x:c r="N785" s="6" t="n">
        <x:f>ROUNDUP(F785/英雄升级调参!$H$88,0)</x:f>
        <x:v>3</x:v>
      </x:c>
      <x:c r="O785" s="6" t="n">
        <x:f>ROUNDUP(F785/英雄升级调参!$K$88,0)</x:f>
        <x:v>2</x:v>
      </x:c>
      <x:c r="P785" s="6" t="str">
        <x:f>$AA$25</x:f>
        <x:v>普通：4次标准普攻击杀；10次主要攻击致死</x:v>
      </x:c>
      <x:c r="Q785" s="6"/>
      <x:c r="R785" s="6"/>
      <x:c r="S785" s="6"/>
      <x:c r="T785" s="6"/>
    </x:row>
    <x:row r="786" ht="21" customHeight="1">
      <x:c r="A786" s="14" t="n">
        <x:f>$V$25</x:f>
        <x:v>60012</x:v>
      </x:c>
      <x:c r="B786" s="14" t="str">
        <x:f>$W$25</x:f>
        <x:v>自爆石榴</x:v>
      </x:c>
      <x:c r="C786" s="6" t="str">
        <x:f>$X$25</x:f>
        <x:v>中等</x:v>
      </x:c>
      <x:c r="D786" s="6">
        <x:v>24</x:v>
      </x:c>
      <x:c r="E786" s="6">
        <x:v>25</x:v>
      </x:c>
      <x:c r="F786" s="12">
        <x:f>ROUND(J786*$W$4*H786,0)</x:f>
        <x:v>4560</x:v>
      </x:c>
      <x:c r="G786" s="12">
        <x:f>ROUND(J786*$W$4*$W$5*I786,0)</x:f>
        <x:v>380</x:v>
      </x:c>
      <x:c r="H786" s="11" t="n">
        <x:f>$Y$25</x:f>
        <x:v>1</x:v>
      </x:c>
      <x:c r="I786" s="11" t="n">
        <x:f>$Z$25</x:f>
        <x:v>1.1111111111111112</x:v>
      </x:c>
      <x:c r="J786" s="12">
        <x:f>英雄升级调参!$E$89</x:f>
        <x:v>1140</x:v>
      </x:c>
      <x:c r="K786" s="12">
        <x:f>英雄升级调参!$F$89</x:f>
        <x:v>11400</x:v>
      </x:c>
      <x:c r="L786" s="6" t="n">
        <x:f>ROUNDUP(F786/J786,0)</x:f>
        <x:v>4</x:v>
      </x:c>
      <x:c r="M786" s="6" t="n">
        <x:f>IF(G786=0,"无伤害",ROUNDUP(K786/MAX(1,ROUND(G786*$AC$25,0)),0))</x:f>
        <x:v>10</x:v>
      </x:c>
      <x:c r="N786" s="6" t="n">
        <x:f>ROUNDUP(F786/英雄升级调参!$H$89,0)</x:f>
        <x:v>3</x:v>
      </x:c>
      <x:c r="O786" s="6" t="n">
        <x:f>ROUNDUP(F786/英雄升级调参!$K$89,0)</x:f>
        <x:v>2</x:v>
      </x:c>
      <x:c r="P786" s="6" t="str">
        <x:f>$AA$25</x:f>
        <x:v>普通：4次标准普攻击杀；10次主要攻击致死</x:v>
      </x:c>
      <x:c r="Q786" s="6"/>
      <x:c r="R786" s="6"/>
      <x:c r="S786" s="6"/>
      <x:c r="T786" s="6"/>
    </x:row>
    <x:row r="787" ht="21" customHeight="1">
      <x:c r="A787" s="14" t="n">
        <x:f>$V$25</x:f>
        <x:v>60012</x:v>
      </x:c>
      <x:c r="B787" s="14" t="str">
        <x:f>$W$25</x:f>
        <x:v>自爆石榴</x:v>
      </x:c>
      <x:c r="C787" s="6" t="str">
        <x:f>$X$25</x:f>
        <x:v>中等</x:v>
      </x:c>
      <x:c r="D787" s="6">
        <x:v>25</x:v>
      </x:c>
      <x:c r="E787" s="6">
        <x:v>25</x:v>
      </x:c>
      <x:c r="F787" s="12">
        <x:f>ROUND(J787*$W$4*H787,0)</x:f>
        <x:v>5208</x:v>
      </x:c>
      <x:c r="G787" s="12">
        <x:f>ROUND(J787*$W$4*$W$5*I787,0)</x:f>
        <x:v>434</x:v>
      </x:c>
      <x:c r="H787" s="11" t="n">
        <x:f>$Y$25</x:f>
        <x:v>1</x:v>
      </x:c>
      <x:c r="I787" s="11" t="n">
        <x:f>$Z$25</x:f>
        <x:v>1.1111111111111112</x:v>
      </x:c>
      <x:c r="J787" s="12">
        <x:f>英雄升级调参!$E$90</x:f>
        <x:v>1302</x:v>
      </x:c>
      <x:c r="K787" s="12">
        <x:f>英雄升级调参!$F$90</x:f>
        <x:v>13020</x:v>
      </x:c>
      <x:c r="L787" s="6" t="n">
        <x:f>ROUNDUP(F787/J787,0)</x:f>
        <x:v>4</x:v>
      </x:c>
      <x:c r="M787" s="6" t="n">
        <x:f>IF(G787=0,"无伤害",ROUNDUP(K787/MAX(1,ROUND(G787*$AC$25,0)),0))</x:f>
        <x:v>10</x:v>
      </x:c>
      <x:c r="N787" s="6" t="n">
        <x:f>ROUNDUP(F787/英雄升级调参!$H$90,0)</x:f>
        <x:v>3</x:v>
      </x:c>
      <x:c r="O787" s="6" t="n">
        <x:f>ROUNDUP(F787/英雄升级调参!$K$90,0)</x:f>
        <x:v>2</x:v>
      </x:c>
      <x:c r="P787" s="6" t="str">
        <x:f>$AA$25</x:f>
        <x:v>普通：4次标准普攻击杀；10次主要攻击致死</x:v>
      </x:c>
      <x:c r="Q787" s="6"/>
      <x:c r="R787" s="6"/>
      <x:c r="S787" s="6"/>
      <x:c r="T787" s="6"/>
    </x:row>
    <x:row r="788" ht="21" customHeight="1">
      <x:c r="A788" s="14" t="n">
        <x:f>$V$25</x:f>
        <x:v>60012</x:v>
      </x:c>
      <x:c r="B788" s="14" t="str">
        <x:f>$W$25</x:f>
        <x:v>自爆石榴</x:v>
      </x:c>
      <x:c r="C788" s="6" t="str">
        <x:f>$X$25</x:f>
        <x:v>中等</x:v>
      </x:c>
      <x:c r="D788" s="6">
        <x:v>26</x:v>
      </x:c>
      <x:c r="E788" s="6">
        <x:v>25</x:v>
      </x:c>
      <x:c r="F788" s="12">
        <x:f>ROUND(J788*$W$4*H788,0)</x:f>
        <x:v>5460</x:v>
      </x:c>
      <x:c r="G788" s="12">
        <x:f>ROUND(J788*$W$4*$W$5*I788,0)</x:f>
        <x:v>455</x:v>
      </x:c>
      <x:c r="H788" s="11" t="n">
        <x:f>$Y$25</x:f>
        <x:v>1</x:v>
      </x:c>
      <x:c r="I788" s="11" t="n">
        <x:f>$Z$25</x:f>
        <x:v>1.1111111111111112</x:v>
      </x:c>
      <x:c r="J788" s="12">
        <x:f>英雄升级调参!$E$91</x:f>
        <x:v>1365</x:v>
      </x:c>
      <x:c r="K788" s="12">
        <x:f>英雄升级调参!$F$91</x:f>
        <x:v>13650</x:v>
      </x:c>
      <x:c r="L788" s="6" t="n">
        <x:f>ROUNDUP(F788/J788,0)</x:f>
        <x:v>4</x:v>
      </x:c>
      <x:c r="M788" s="6" t="n">
        <x:f>IF(G788=0,"无伤害",ROUNDUP(K788/MAX(1,ROUND(G788*$AC$25,0)),0))</x:f>
        <x:v>10</x:v>
      </x:c>
      <x:c r="N788" s="6" t="n">
        <x:f>ROUNDUP(F788/英雄升级调参!$H$91,0)</x:f>
        <x:v>3</x:v>
      </x:c>
      <x:c r="O788" s="6" t="n">
        <x:f>ROUNDUP(F788/英雄升级调参!$K$91,0)</x:f>
        <x:v>2</x:v>
      </x:c>
      <x:c r="P788" s="6" t="str">
        <x:f>$AA$25</x:f>
        <x:v>普通：4次标准普攻击杀；10次主要攻击致死</x:v>
      </x:c>
      <x:c r="Q788" s="6"/>
      <x:c r="R788" s="6"/>
      <x:c r="S788" s="6"/>
      <x:c r="T788" s="6"/>
    </x:row>
    <x:row r="789" ht="21" customHeight="1">
      <x:c r="A789" s="14" t="n">
        <x:f>$V$25</x:f>
        <x:v>60012</x:v>
      </x:c>
      <x:c r="B789" s="14" t="str">
        <x:f>$W$25</x:f>
        <x:v>自爆石榴</x:v>
      </x:c>
      <x:c r="C789" s="6" t="str">
        <x:f>$X$25</x:f>
        <x:v>中等</x:v>
      </x:c>
      <x:c r="D789" s="6">
        <x:v>27</x:v>
      </x:c>
      <x:c r="E789" s="6">
        <x:v>25</x:v>
      </x:c>
      <x:c r="F789" s="12">
        <x:f>ROUND(J789*$W$4*H789,0)</x:f>
        <x:v>5712</x:v>
      </x:c>
      <x:c r="G789" s="12">
        <x:f>ROUND(J789*$W$4*$W$5*I789,0)</x:f>
        <x:v>476</x:v>
      </x:c>
      <x:c r="H789" s="11" t="n">
        <x:f>$Y$25</x:f>
        <x:v>1</x:v>
      </x:c>
      <x:c r="I789" s="11" t="n">
        <x:f>$Z$25</x:f>
        <x:v>1.1111111111111112</x:v>
      </x:c>
      <x:c r="J789" s="12">
        <x:f>英雄升级调参!$E$92</x:f>
        <x:v>1428</x:v>
      </x:c>
      <x:c r="K789" s="12">
        <x:f>英雄升级调参!$F$92</x:f>
        <x:v>14280</x:v>
      </x:c>
      <x:c r="L789" s="6" t="n">
        <x:f>ROUNDUP(F789/J789,0)</x:f>
        <x:v>4</x:v>
      </x:c>
      <x:c r="M789" s="6" t="n">
        <x:f>IF(G789=0,"无伤害",ROUNDUP(K789/MAX(1,ROUND(G789*$AC$25,0)),0))</x:f>
        <x:v>10</x:v>
      </x:c>
      <x:c r="N789" s="6" t="n">
        <x:f>ROUNDUP(F789/英雄升级调参!$H$92,0)</x:f>
        <x:v>3</x:v>
      </x:c>
      <x:c r="O789" s="6" t="n">
        <x:f>ROUNDUP(F789/英雄升级调参!$K$92,0)</x:f>
        <x:v>2</x:v>
      </x:c>
      <x:c r="P789" s="6" t="str">
        <x:f>$AA$25</x:f>
        <x:v>普通：4次标准普攻击杀；10次主要攻击致死</x:v>
      </x:c>
      <x:c r="Q789" s="6"/>
      <x:c r="R789" s="6"/>
      <x:c r="S789" s="6"/>
      <x:c r="T789" s="6"/>
    </x:row>
    <x:row r="790" ht="21" customHeight="1">
      <x:c r="A790" s="14" t="n">
        <x:f>$V$25</x:f>
        <x:v>60012</x:v>
      </x:c>
      <x:c r="B790" s="14" t="str">
        <x:f>$W$25</x:f>
        <x:v>自爆石榴</x:v>
      </x:c>
      <x:c r="C790" s="6" t="str">
        <x:f>$X$25</x:f>
        <x:v>中等</x:v>
      </x:c>
      <x:c r="D790" s="6">
        <x:v>28</x:v>
      </x:c>
      <x:c r="E790" s="6">
        <x:v>25</x:v>
      </x:c>
      <x:c r="F790" s="12">
        <x:f>ROUND(J790*$W$4*H790,0)</x:f>
        <x:v>5964</x:v>
      </x:c>
      <x:c r="G790" s="12">
        <x:f>ROUND(J790*$W$4*$W$5*I790,0)</x:f>
        <x:v>497</x:v>
      </x:c>
      <x:c r="H790" s="11" t="n">
        <x:f>$Y$25</x:f>
        <x:v>1</x:v>
      </x:c>
      <x:c r="I790" s="11" t="n">
        <x:f>$Z$25</x:f>
        <x:v>1.1111111111111112</x:v>
      </x:c>
      <x:c r="J790" s="12">
        <x:f>英雄升级调参!$E$93</x:f>
        <x:v>1491</x:v>
      </x:c>
      <x:c r="K790" s="12">
        <x:f>英雄升级调参!$F$93</x:f>
        <x:v>14910</x:v>
      </x:c>
      <x:c r="L790" s="6" t="n">
        <x:f>ROUNDUP(F790/J790,0)</x:f>
        <x:v>4</x:v>
      </x:c>
      <x:c r="M790" s="6" t="n">
        <x:f>IF(G790=0,"无伤害",ROUNDUP(K790/MAX(1,ROUND(G790*$AC$25,0)),0))</x:f>
        <x:v>10</x:v>
      </x:c>
      <x:c r="N790" s="6" t="n">
        <x:f>ROUNDUP(F790/英雄升级调参!$H$93,0)</x:f>
        <x:v>3</x:v>
      </x:c>
      <x:c r="O790" s="6" t="n">
        <x:f>ROUNDUP(F790/英雄升级调参!$K$93,0)</x:f>
        <x:v>2</x:v>
      </x:c>
      <x:c r="P790" s="6" t="str">
        <x:f>$AA$25</x:f>
        <x:v>普通：4次标准普攻击杀；10次主要攻击致死</x:v>
      </x:c>
      <x:c r="Q790" s="6"/>
      <x:c r="R790" s="6"/>
      <x:c r="S790" s="6"/>
      <x:c r="T790" s="6"/>
    </x:row>
    <x:row r="791" ht="21" customHeight="1">
      <x:c r="A791" s="14" t="n">
        <x:f>$V$25</x:f>
        <x:v>60012</x:v>
      </x:c>
      <x:c r="B791" s="14" t="str">
        <x:f>$W$25</x:f>
        <x:v>自爆石榴</x:v>
      </x:c>
      <x:c r="C791" s="6" t="str">
        <x:f>$X$25</x:f>
        <x:v>中等</x:v>
      </x:c>
      <x:c r="D791" s="6">
        <x:v>29</x:v>
      </x:c>
      <x:c r="E791" s="6">
        <x:v>25</x:v>
      </x:c>
      <x:c r="F791" s="12">
        <x:f>ROUND(J791*$W$4*H791,0)</x:f>
        <x:v>6216</x:v>
      </x:c>
      <x:c r="G791" s="12">
        <x:f>ROUND(J791*$W$4*$W$5*I791,0)</x:f>
        <x:v>518</x:v>
      </x:c>
      <x:c r="H791" s="11" t="n">
        <x:f>$Y$25</x:f>
        <x:v>1</x:v>
      </x:c>
      <x:c r="I791" s="11" t="n">
        <x:f>$Z$25</x:f>
        <x:v>1.1111111111111112</x:v>
      </x:c>
      <x:c r="J791" s="12">
        <x:f>英雄升级调参!$E$94</x:f>
        <x:v>1554</x:v>
      </x:c>
      <x:c r="K791" s="12">
        <x:f>英雄升级调参!$F$94</x:f>
        <x:v>15540</x:v>
      </x:c>
      <x:c r="L791" s="6" t="n">
        <x:f>ROUNDUP(F791/J791,0)</x:f>
        <x:v>4</x:v>
      </x:c>
      <x:c r="M791" s="6" t="n">
        <x:f>IF(G791=0,"无伤害",ROUNDUP(K791/MAX(1,ROUND(G791*$AC$25,0)),0))</x:f>
        <x:v>10</x:v>
      </x:c>
      <x:c r="N791" s="6" t="n">
        <x:f>ROUNDUP(F791/英雄升级调参!$H$94,0)</x:f>
        <x:v>3</x:v>
      </x:c>
      <x:c r="O791" s="6" t="n">
        <x:f>ROUNDUP(F791/英雄升级调参!$K$94,0)</x:f>
        <x:v>2</x:v>
      </x:c>
      <x:c r="P791" s="6" t="str">
        <x:f>$AA$25</x:f>
        <x:v>普通：4次标准普攻击杀；10次主要攻击致死</x:v>
      </x:c>
      <x:c r="Q791" s="6"/>
      <x:c r="R791" s="6"/>
      <x:c r="S791" s="6"/>
      <x:c r="T791" s="6"/>
    </x:row>
    <x:row r="792" ht="21" customHeight="1">
      <x:c r="A792" s="14" t="n">
        <x:f>$V$25</x:f>
        <x:v>60012</x:v>
      </x:c>
      <x:c r="B792" s="14" t="str">
        <x:f>$W$25</x:f>
        <x:v>自爆石榴</x:v>
      </x:c>
      <x:c r="C792" s="6" t="str">
        <x:f>$X$25</x:f>
        <x:v>中等</x:v>
      </x:c>
      <x:c r="D792" s="6">
        <x:v>30</x:v>
      </x:c>
      <x:c r="E792" s="6">
        <x:v>25</x:v>
      </x:c>
      <x:c r="F792" s="12">
        <x:f>ROUND(J792*$W$4*H792,0)</x:f>
        <x:v>6972</x:v>
      </x:c>
      <x:c r="G792" s="12">
        <x:f>ROUND(J792*$W$4*$W$5*I792,0)</x:f>
        <x:v>581</x:v>
      </x:c>
      <x:c r="H792" s="11" t="n">
        <x:f>$Y$25</x:f>
        <x:v>1</x:v>
      </x:c>
      <x:c r="I792" s="11" t="n">
        <x:f>$Z$25</x:f>
        <x:v>1.1111111111111112</x:v>
      </x:c>
      <x:c r="J792" s="12">
        <x:f>英雄升级调参!$E$95</x:f>
        <x:v>1743</x:v>
      </x:c>
      <x:c r="K792" s="12">
        <x:f>英雄升级调参!$F$95</x:f>
        <x:v>17430</x:v>
      </x:c>
      <x:c r="L792" s="6" t="n">
        <x:f>ROUNDUP(F792/J792,0)</x:f>
        <x:v>4</x:v>
      </x:c>
      <x:c r="M792" s="6" t="n">
        <x:f>IF(G792=0,"无伤害",ROUNDUP(K792/MAX(1,ROUND(G792*$AC$25,0)),0))</x:f>
        <x:v>10</x:v>
      </x:c>
      <x:c r="N792" s="6" t="n">
        <x:f>ROUNDUP(F792/英雄升级调参!$H$95,0)</x:f>
        <x:v>3</x:v>
      </x:c>
      <x:c r="O792" s="6" t="n">
        <x:f>ROUNDUP(F792/英雄升级调参!$K$95,0)</x:f>
        <x:v>2</x:v>
      </x:c>
      <x:c r="P792" s="6" t="str">
        <x:f>$AA$25</x:f>
        <x:v>普通：4次标准普攻击杀；10次主要攻击致死</x:v>
      </x:c>
      <x:c r="Q792" s="6"/>
      <x:c r="R792" s="6"/>
      <x:c r="S792" s="6"/>
      <x:c r="T792" s="6"/>
    </x:row>
    <x:row r="793" ht="21" customHeight="1">
      <x:c r="A793" s="14" t="n">
        <x:f>$V$25</x:f>
        <x:v>60012</x:v>
      </x:c>
      <x:c r="B793" s="14" t="str">
        <x:f>$W$25</x:f>
        <x:v>自爆石榴</x:v>
      </x:c>
      <x:c r="C793" s="6" t="str">
        <x:f>$X$25</x:f>
        <x:v>中等</x:v>
      </x:c>
      <x:c r="D793" s="6">
        <x:v>31</x:v>
      </x:c>
      <x:c r="E793" s="6">
        <x:v>25</x:v>
      </x:c>
      <x:c r="F793" s="12">
        <x:f>ROUND(J793*$W$4*H793,0)</x:f>
        <x:v>7260</x:v>
      </x:c>
      <x:c r="G793" s="12">
        <x:f>ROUND(J793*$W$4*$W$5*I793,0)</x:f>
        <x:v>605</x:v>
      </x:c>
      <x:c r="H793" s="11" t="n">
        <x:f>$Y$25</x:f>
        <x:v>1</x:v>
      </x:c>
      <x:c r="I793" s="11" t="n">
        <x:f>$Z$25</x:f>
        <x:v>1.1111111111111112</x:v>
      </x:c>
      <x:c r="J793" s="12">
        <x:f>英雄升级调参!$E$96</x:f>
        <x:v>1815</x:v>
      </x:c>
      <x:c r="K793" s="12">
        <x:f>英雄升级调参!$F$96</x:f>
        <x:v>18150</x:v>
      </x:c>
      <x:c r="L793" s="6" t="n">
        <x:f>ROUNDUP(F793/J793,0)</x:f>
        <x:v>4</x:v>
      </x:c>
      <x:c r="M793" s="6" t="n">
        <x:f>IF(G793=0,"无伤害",ROUNDUP(K793/MAX(1,ROUND(G793*$AC$25,0)),0))</x:f>
        <x:v>10</x:v>
      </x:c>
      <x:c r="N793" s="6" t="n">
        <x:f>ROUNDUP(F793/英雄升级调参!$H$96,0)</x:f>
        <x:v>3</x:v>
      </x:c>
      <x:c r="O793" s="6" t="n">
        <x:f>ROUNDUP(F793/英雄升级调参!$K$96,0)</x:f>
        <x:v>2</x:v>
      </x:c>
      <x:c r="P793" s="6" t="str">
        <x:f>$AA$25</x:f>
        <x:v>普通：4次标准普攻击杀；10次主要攻击致死</x:v>
      </x:c>
      <x:c r="Q793" s="6"/>
      <x:c r="R793" s="6"/>
      <x:c r="S793" s="6"/>
      <x:c r="T793" s="6"/>
    </x:row>
    <x:row r="794" ht="21" customHeight="1">
      <x:c r="A794" s="14" t="n">
        <x:f>$V$25</x:f>
        <x:v>60012</x:v>
      </x:c>
      <x:c r="B794" s="14" t="str">
        <x:f>$W$25</x:f>
        <x:v>自爆石榴</x:v>
      </x:c>
      <x:c r="C794" s="6" t="str">
        <x:f>$X$25</x:f>
        <x:v>中等</x:v>
      </x:c>
      <x:c r="D794" s="6">
        <x:v>32</x:v>
      </x:c>
      <x:c r="E794" s="6">
        <x:v>25</x:v>
      </x:c>
      <x:c r="F794" s="12">
        <x:f>ROUND(J794*$W$4*H794,0)</x:f>
        <x:v>7548</x:v>
      </x:c>
      <x:c r="G794" s="12">
        <x:f>ROUND(J794*$W$4*$W$5*I794,0)</x:f>
        <x:v>629</x:v>
      </x:c>
      <x:c r="H794" s="11" t="n">
        <x:f>$Y$25</x:f>
        <x:v>1</x:v>
      </x:c>
      <x:c r="I794" s="11" t="n">
        <x:f>$Z$25</x:f>
        <x:v>1.1111111111111112</x:v>
      </x:c>
      <x:c r="J794" s="12">
        <x:f>英雄升级调参!$E$97</x:f>
        <x:v>1887</x:v>
      </x:c>
      <x:c r="K794" s="12">
        <x:f>英雄升级调参!$F$97</x:f>
        <x:v>18870</x:v>
      </x:c>
      <x:c r="L794" s="6" t="n">
        <x:f>ROUNDUP(F794/J794,0)</x:f>
        <x:v>4</x:v>
      </x:c>
      <x:c r="M794" s="6" t="n">
        <x:f>IF(G794=0,"无伤害",ROUNDUP(K794/MAX(1,ROUND(G794*$AC$25,0)),0))</x:f>
        <x:v>10</x:v>
      </x:c>
      <x:c r="N794" s="6" t="n">
        <x:f>ROUNDUP(F794/英雄升级调参!$H$97,0)</x:f>
        <x:v>3</x:v>
      </x:c>
      <x:c r="O794" s="6" t="n">
        <x:f>ROUNDUP(F794/英雄升级调参!$K$97,0)</x:f>
        <x:v>2</x:v>
      </x:c>
      <x:c r="P794" s="6" t="str">
        <x:f>$AA$25</x:f>
        <x:v>普通：4次标准普攻击杀；10次主要攻击致死</x:v>
      </x:c>
      <x:c r="Q794" s="6"/>
      <x:c r="R794" s="6"/>
      <x:c r="S794" s="6"/>
      <x:c r="T794" s="6"/>
    </x:row>
    <x:row r="795" ht="21" customHeight="1">
      <x:c r="A795" s="14" t="n">
        <x:f>$V$25</x:f>
        <x:v>60012</x:v>
      </x:c>
      <x:c r="B795" s="14" t="str">
        <x:f>$W$25</x:f>
        <x:v>自爆石榴</x:v>
      </x:c>
      <x:c r="C795" s="6" t="str">
        <x:f>$X$25</x:f>
        <x:v>中等</x:v>
      </x:c>
      <x:c r="D795" s="6">
        <x:v>33</x:v>
      </x:c>
      <x:c r="E795" s="6">
        <x:v>25</x:v>
      </x:c>
      <x:c r="F795" s="12">
        <x:f>ROUND(J795*$W$4*H795,0)</x:f>
        <x:v>7836</x:v>
      </x:c>
      <x:c r="G795" s="12">
        <x:f>ROUND(J795*$W$4*$W$5*I795,0)</x:f>
        <x:v>653</x:v>
      </x:c>
      <x:c r="H795" s="11" t="n">
        <x:f>$Y$25</x:f>
        <x:v>1</x:v>
      </x:c>
      <x:c r="I795" s="11" t="n">
        <x:f>$Z$25</x:f>
        <x:v>1.1111111111111112</x:v>
      </x:c>
      <x:c r="J795" s="12">
        <x:f>英雄升级调参!$E$98</x:f>
        <x:v>1959</x:v>
      </x:c>
      <x:c r="K795" s="12">
        <x:f>英雄升级调参!$F$98</x:f>
        <x:v>19590</x:v>
      </x:c>
      <x:c r="L795" s="6" t="n">
        <x:f>ROUNDUP(F795/J795,0)</x:f>
        <x:v>4</x:v>
      </x:c>
      <x:c r="M795" s="6" t="n">
        <x:f>IF(G795=0,"无伤害",ROUNDUP(K795/MAX(1,ROUND(G795*$AC$25,0)),0))</x:f>
        <x:v>10</x:v>
      </x:c>
      <x:c r="N795" s="6" t="n">
        <x:f>ROUNDUP(F795/英雄升级调参!$H$98,0)</x:f>
        <x:v>3</x:v>
      </x:c>
      <x:c r="O795" s="6" t="n">
        <x:f>ROUNDUP(F795/英雄升级调参!$K$98,0)</x:f>
        <x:v>2</x:v>
      </x:c>
      <x:c r="P795" s="6" t="str">
        <x:f>$AA$25</x:f>
        <x:v>普通：4次标准普攻击杀；10次主要攻击致死</x:v>
      </x:c>
      <x:c r="Q795" s="6"/>
      <x:c r="R795" s="6"/>
      <x:c r="S795" s="6"/>
      <x:c r="T795" s="6"/>
    </x:row>
    <x:row r="796" ht="21" customHeight="1">
      <x:c r="A796" s="14" t="n">
        <x:f>$V$25</x:f>
        <x:v>60012</x:v>
      </x:c>
      <x:c r="B796" s="14" t="str">
        <x:f>$W$25</x:f>
        <x:v>自爆石榴</x:v>
      </x:c>
      <x:c r="C796" s="6" t="str">
        <x:f>$X$25</x:f>
        <x:v>中等</x:v>
      </x:c>
      <x:c r="D796" s="6">
        <x:v>34</x:v>
      </x:c>
      <x:c r="E796" s="6">
        <x:v>25</x:v>
      </x:c>
      <x:c r="F796" s="12">
        <x:f>ROUND(J796*$W$4*H796,0)</x:f>
        <x:v>8124</x:v>
      </x:c>
      <x:c r="G796" s="12">
        <x:f>ROUND(J796*$W$4*$W$5*I796,0)</x:f>
        <x:v>677</x:v>
      </x:c>
      <x:c r="H796" s="11" t="n">
        <x:f>$Y$25</x:f>
        <x:v>1</x:v>
      </x:c>
      <x:c r="I796" s="11" t="n">
        <x:f>$Z$25</x:f>
        <x:v>1.1111111111111112</x:v>
      </x:c>
      <x:c r="J796" s="12">
        <x:f>英雄升级调参!$E$99</x:f>
        <x:v>2031</x:v>
      </x:c>
      <x:c r="K796" s="12">
        <x:f>英雄升级调参!$F$99</x:f>
        <x:v>20310</x:v>
      </x:c>
      <x:c r="L796" s="6" t="n">
        <x:f>ROUNDUP(F796/J796,0)</x:f>
        <x:v>4</x:v>
      </x:c>
      <x:c r="M796" s="6" t="n">
        <x:f>IF(G796=0,"无伤害",ROUNDUP(K796/MAX(1,ROUND(G796*$AC$25,0)),0))</x:f>
        <x:v>10</x:v>
      </x:c>
      <x:c r="N796" s="6" t="n">
        <x:f>ROUNDUP(F796/英雄升级调参!$H$99,0)</x:f>
        <x:v>3</x:v>
      </x:c>
      <x:c r="O796" s="6" t="n">
        <x:f>ROUNDUP(F796/英雄升级调参!$K$99,0)</x:f>
        <x:v>2</x:v>
      </x:c>
      <x:c r="P796" s="6" t="str">
        <x:f>$AA$25</x:f>
        <x:v>普通：4次标准普攻击杀；10次主要攻击致死</x:v>
      </x:c>
      <x:c r="Q796" s="6"/>
      <x:c r="R796" s="6"/>
      <x:c r="S796" s="6"/>
      <x:c r="T796" s="6"/>
    </x:row>
    <x:row r="797" ht="21" customHeight="1">
      <x:c r="A797" s="14" t="n">
        <x:f>$V$25</x:f>
        <x:v>60012</x:v>
      </x:c>
      <x:c r="B797" s="14" t="str">
        <x:f>$W$25</x:f>
        <x:v>自爆石榴</x:v>
      </x:c>
      <x:c r="C797" s="6" t="str">
        <x:f>$X$25</x:f>
        <x:v>中等</x:v>
      </x:c>
      <x:c r="D797" s="6">
        <x:v>35</x:v>
      </x:c>
      <x:c r="E797" s="6">
        <x:v>25</x:v>
      </x:c>
      <x:c r="F797" s="12">
        <x:f>ROUND(J797*$W$4*H797,0)</x:f>
        <x:v>8988</x:v>
      </x:c>
      <x:c r="G797" s="12">
        <x:f>ROUND(J797*$W$4*$W$5*I797,0)</x:f>
        <x:v>749</x:v>
      </x:c>
      <x:c r="H797" s="11" t="n">
        <x:f>$Y$25</x:f>
        <x:v>1</x:v>
      </x:c>
      <x:c r="I797" s="11" t="n">
        <x:f>$Z$25</x:f>
        <x:v>1.1111111111111112</x:v>
      </x:c>
      <x:c r="J797" s="12">
        <x:f>英雄升级调参!$E$100</x:f>
        <x:v>2247</x:v>
      </x:c>
      <x:c r="K797" s="12">
        <x:f>英雄升级调参!$F$100</x:f>
        <x:v>22470</x:v>
      </x:c>
      <x:c r="L797" s="6" t="n">
        <x:f>ROUNDUP(F797/J797,0)</x:f>
        <x:v>4</x:v>
      </x:c>
      <x:c r="M797" s="6" t="n">
        <x:f>IF(G797=0,"无伤害",ROUNDUP(K797/MAX(1,ROUND(G797*$AC$25,0)),0))</x:f>
        <x:v>10</x:v>
      </x:c>
      <x:c r="N797" s="6" t="n">
        <x:f>ROUNDUP(F797/英雄升级调参!$H$100,0)</x:f>
        <x:v>3</x:v>
      </x:c>
      <x:c r="O797" s="6" t="n">
        <x:f>ROUNDUP(F797/英雄升级调参!$K$100,0)</x:f>
        <x:v>2</x:v>
      </x:c>
      <x:c r="P797" s="6" t="str">
        <x:f>$AA$25</x:f>
        <x:v>普通：4次标准普攻击杀；10次主要攻击致死</x:v>
      </x:c>
      <x:c r="Q797" s="6"/>
      <x:c r="R797" s="6"/>
      <x:c r="S797" s="6"/>
      <x:c r="T797" s="6"/>
    </x:row>
    <x:row r="798" ht="21" customHeight="1">
      <x:c r="A798" s="14" t="n">
        <x:f>$V$25</x:f>
        <x:v>60012</x:v>
      </x:c>
      <x:c r="B798" s="14" t="str">
        <x:f>$W$25</x:f>
        <x:v>自爆石榴</x:v>
      </x:c>
      <x:c r="C798" s="6" t="str">
        <x:f>$X$25</x:f>
        <x:v>中等</x:v>
      </x:c>
      <x:c r="D798" s="6">
        <x:v>36</x:v>
      </x:c>
      <x:c r="E798" s="6">
        <x:v>25</x:v>
      </x:c>
      <x:c r="F798" s="12">
        <x:f>ROUND(J798*$W$4*H798,0)</x:f>
        <x:v>9312</x:v>
      </x:c>
      <x:c r="G798" s="12">
        <x:f>ROUND(J798*$W$4*$W$5*I798,0)</x:f>
        <x:v>776</x:v>
      </x:c>
      <x:c r="H798" s="11" t="n">
        <x:f>$Y$25</x:f>
        <x:v>1</x:v>
      </x:c>
      <x:c r="I798" s="11" t="n">
        <x:f>$Z$25</x:f>
        <x:v>1.1111111111111112</x:v>
      </x:c>
      <x:c r="J798" s="12">
        <x:f>英雄升级调参!$E$101</x:f>
        <x:v>2328</x:v>
      </x:c>
      <x:c r="K798" s="12">
        <x:f>英雄升级调参!$F$101</x:f>
        <x:v>23280</x:v>
      </x:c>
      <x:c r="L798" s="6" t="n">
        <x:f>ROUNDUP(F798/J798,0)</x:f>
        <x:v>4</x:v>
      </x:c>
      <x:c r="M798" s="6" t="n">
        <x:f>IF(G798=0,"无伤害",ROUNDUP(K798/MAX(1,ROUND(G798*$AC$25,0)),0))</x:f>
        <x:v>10</x:v>
      </x:c>
      <x:c r="N798" s="6" t="n">
        <x:f>ROUNDUP(F798/英雄升级调参!$H$101,0)</x:f>
        <x:v>3</x:v>
      </x:c>
      <x:c r="O798" s="6" t="n">
        <x:f>ROUNDUP(F798/英雄升级调参!$K$101,0)</x:f>
        <x:v>2</x:v>
      </x:c>
      <x:c r="P798" s="6" t="str">
        <x:f>$AA$25</x:f>
        <x:v>普通：4次标准普攻击杀；10次主要攻击致死</x:v>
      </x:c>
      <x:c r="Q798" s="6"/>
      <x:c r="R798" s="6"/>
      <x:c r="S798" s="6"/>
      <x:c r="T798" s="6"/>
    </x:row>
    <x:row r="799" ht="21" customHeight="1">
      <x:c r="A799" s="14" t="n">
        <x:f>$V$25</x:f>
        <x:v>60012</x:v>
      </x:c>
      <x:c r="B799" s="14" t="str">
        <x:f>$W$25</x:f>
        <x:v>自爆石榴</x:v>
      </x:c>
      <x:c r="C799" s="6" t="str">
        <x:f>$X$25</x:f>
        <x:v>中等</x:v>
      </x:c>
      <x:c r="D799" s="6">
        <x:v>37</x:v>
      </x:c>
      <x:c r="E799" s="6">
        <x:v>25</x:v>
      </x:c>
      <x:c r="F799" s="12">
        <x:f>ROUND(J799*$W$4*H799,0)</x:f>
        <x:v>9636</x:v>
      </x:c>
      <x:c r="G799" s="12">
        <x:f>ROUND(J799*$W$4*$W$5*I799,0)</x:f>
        <x:v>803</x:v>
      </x:c>
      <x:c r="H799" s="11" t="n">
        <x:f>$Y$25</x:f>
        <x:v>1</x:v>
      </x:c>
      <x:c r="I799" s="11" t="n">
        <x:f>$Z$25</x:f>
        <x:v>1.1111111111111112</x:v>
      </x:c>
      <x:c r="J799" s="12">
        <x:f>英雄升级调参!$E$102</x:f>
        <x:v>2409</x:v>
      </x:c>
      <x:c r="K799" s="12">
        <x:f>英雄升级调参!$F$102</x:f>
        <x:v>24090</x:v>
      </x:c>
      <x:c r="L799" s="6" t="n">
        <x:f>ROUNDUP(F799/J799,0)</x:f>
        <x:v>4</x:v>
      </x:c>
      <x:c r="M799" s="6" t="n">
        <x:f>IF(G799=0,"无伤害",ROUNDUP(K799/MAX(1,ROUND(G799*$AC$25,0)),0))</x:f>
        <x:v>10</x:v>
      </x:c>
      <x:c r="N799" s="6" t="n">
        <x:f>ROUNDUP(F799/英雄升级调参!$H$102,0)</x:f>
        <x:v>3</x:v>
      </x:c>
      <x:c r="O799" s="6" t="n">
        <x:f>ROUNDUP(F799/英雄升级调参!$K$102,0)</x:f>
        <x:v>2</x:v>
      </x:c>
      <x:c r="P799" s="6" t="str">
        <x:f>$AA$25</x:f>
        <x:v>普通：4次标准普攻击杀；10次主要攻击致死</x:v>
      </x:c>
      <x:c r="Q799" s="6"/>
      <x:c r="R799" s="6"/>
      <x:c r="S799" s="6"/>
      <x:c r="T799" s="6"/>
    </x:row>
    <x:row r="800" ht="21" customHeight="1">
      <x:c r="A800" s="14" t="n">
        <x:f>$V$25</x:f>
        <x:v>60012</x:v>
      </x:c>
      <x:c r="B800" s="14" t="str">
        <x:f>$W$25</x:f>
        <x:v>自爆石榴</x:v>
      </x:c>
      <x:c r="C800" s="6" t="str">
        <x:f>$X$25</x:f>
        <x:v>中等</x:v>
      </x:c>
      <x:c r="D800" s="6">
        <x:v>38</x:v>
      </x:c>
      <x:c r="E800" s="6">
        <x:v>25</x:v>
      </x:c>
      <x:c r="F800" s="12">
        <x:f>ROUND(J800*$W$4*H800,0)</x:f>
        <x:v>9960</x:v>
      </x:c>
      <x:c r="G800" s="12">
        <x:f>ROUND(J800*$W$4*$W$5*I800,0)</x:f>
        <x:v>830</x:v>
      </x:c>
      <x:c r="H800" s="11" t="n">
        <x:f>$Y$25</x:f>
        <x:v>1</x:v>
      </x:c>
      <x:c r="I800" s="11" t="n">
        <x:f>$Z$25</x:f>
        <x:v>1.1111111111111112</x:v>
      </x:c>
      <x:c r="J800" s="12">
        <x:f>英雄升级调参!$E$103</x:f>
        <x:v>2490</x:v>
      </x:c>
      <x:c r="K800" s="12">
        <x:f>英雄升级调参!$F$103</x:f>
        <x:v>24900</x:v>
      </x:c>
      <x:c r="L800" s="6" t="n">
        <x:f>ROUNDUP(F800/J800,0)</x:f>
        <x:v>4</x:v>
      </x:c>
      <x:c r="M800" s="6" t="n">
        <x:f>IF(G800=0,"无伤害",ROUNDUP(K800/MAX(1,ROUND(G800*$AC$25,0)),0))</x:f>
        <x:v>10</x:v>
      </x:c>
      <x:c r="N800" s="6" t="n">
        <x:f>ROUNDUP(F800/英雄升级调参!$H$103,0)</x:f>
        <x:v>3</x:v>
      </x:c>
      <x:c r="O800" s="6" t="n">
        <x:f>ROUNDUP(F800/英雄升级调参!$K$103,0)</x:f>
        <x:v>2</x:v>
      </x:c>
      <x:c r="P800" s="6" t="str">
        <x:f>$AA$25</x:f>
        <x:v>普通：4次标准普攻击杀；10次主要攻击致死</x:v>
      </x:c>
      <x:c r="Q800" s="6"/>
      <x:c r="R800" s="6"/>
      <x:c r="S800" s="6"/>
      <x:c r="T800" s="6"/>
    </x:row>
    <x:row r="801" ht="21" customHeight="1">
      <x:c r="A801" s="14" t="n">
        <x:f>$V$25</x:f>
        <x:v>60012</x:v>
      </x:c>
      <x:c r="B801" s="14" t="str">
        <x:f>$W$25</x:f>
        <x:v>自爆石榴</x:v>
      </x:c>
      <x:c r="C801" s="6" t="str">
        <x:f>$X$25</x:f>
        <x:v>中等</x:v>
      </x:c>
      <x:c r="D801" s="6">
        <x:v>39</x:v>
      </x:c>
      <x:c r="E801" s="6">
        <x:v>25</x:v>
      </x:c>
      <x:c r="F801" s="12">
        <x:f>ROUND(J801*$W$4*H801,0)</x:f>
        <x:v>10284</x:v>
      </x:c>
      <x:c r="G801" s="12">
        <x:f>ROUND(J801*$W$4*$W$5*I801,0)</x:f>
        <x:v>857</x:v>
      </x:c>
      <x:c r="H801" s="11" t="n">
        <x:f>$Y$25</x:f>
        <x:v>1</x:v>
      </x:c>
      <x:c r="I801" s="11" t="n">
        <x:f>$Z$25</x:f>
        <x:v>1.1111111111111112</x:v>
      </x:c>
      <x:c r="J801" s="12">
        <x:f>英雄升级调参!$E$104</x:f>
        <x:v>2571</x:v>
      </x:c>
      <x:c r="K801" s="12">
        <x:f>英雄升级调参!$F$104</x:f>
        <x:v>25710</x:v>
      </x:c>
      <x:c r="L801" s="6" t="n">
        <x:f>ROUNDUP(F801/J801,0)</x:f>
        <x:v>4</x:v>
      </x:c>
      <x:c r="M801" s="6" t="n">
        <x:f>IF(G801=0,"无伤害",ROUNDUP(K801/MAX(1,ROUND(G801*$AC$25,0)),0))</x:f>
        <x:v>10</x:v>
      </x:c>
      <x:c r="N801" s="6" t="n">
        <x:f>ROUNDUP(F801/英雄升级调参!$H$104,0)</x:f>
        <x:v>3</x:v>
      </x:c>
      <x:c r="O801" s="6" t="n">
        <x:f>ROUNDUP(F801/英雄升级调参!$K$104,0)</x:f>
        <x:v>2</x:v>
      </x:c>
      <x:c r="P801" s="6" t="str">
        <x:f>$AA$25</x:f>
        <x:v>普通：4次标准普攻击杀；10次主要攻击致死</x:v>
      </x:c>
      <x:c r="Q801" s="6"/>
      <x:c r="R801" s="6"/>
      <x:c r="S801" s="6"/>
      <x:c r="T801" s="6"/>
    </x:row>
    <x:row r="802" ht="21" customHeight="1">
      <x:c r="A802" s="14" t="n">
        <x:f>$V$25</x:f>
        <x:v>60012</x:v>
      </x:c>
      <x:c r="B802" s="14" t="str">
        <x:f>$W$25</x:f>
        <x:v>自爆石榴</x:v>
      </x:c>
      <x:c r="C802" s="6" t="str">
        <x:f>$X$25</x:f>
        <x:v>中等</x:v>
      </x:c>
      <x:c r="D802" s="6">
        <x:v>40</x:v>
      </x:c>
      <x:c r="E802" s="6">
        <x:v>25</x:v>
      </x:c>
      <x:c r="F802" s="12">
        <x:f>ROUND(J802*$W$4*H802,0)</x:f>
        <x:v>11256</x:v>
      </x:c>
      <x:c r="G802" s="12">
        <x:f>ROUND(J802*$W$4*$W$5*I802,0)</x:f>
        <x:v>938</x:v>
      </x:c>
      <x:c r="H802" s="11" t="n">
        <x:f>$Y$25</x:f>
        <x:v>1</x:v>
      </x:c>
      <x:c r="I802" s="11" t="n">
        <x:f>$Z$25</x:f>
        <x:v>1.1111111111111112</x:v>
      </x:c>
      <x:c r="J802" s="12">
        <x:f>英雄升级调参!$E$105</x:f>
        <x:v>2814</x:v>
      </x:c>
      <x:c r="K802" s="12">
        <x:f>英雄升级调参!$F$105</x:f>
        <x:v>28140</x:v>
      </x:c>
      <x:c r="L802" s="6" t="n">
        <x:f>ROUNDUP(F802/J802,0)</x:f>
        <x:v>4</x:v>
      </x:c>
      <x:c r="M802" s="6" t="n">
        <x:f>IF(G802=0,"无伤害",ROUNDUP(K802/MAX(1,ROUND(G802*$AC$25,0)),0))</x:f>
        <x:v>10</x:v>
      </x:c>
      <x:c r="N802" s="6" t="n">
        <x:f>ROUNDUP(F802/英雄升级调参!$H$105,0)</x:f>
        <x:v>3</x:v>
      </x:c>
      <x:c r="O802" s="6" t="n">
        <x:f>ROUNDUP(F802/英雄升级调参!$K$105,0)</x:f>
        <x:v>2</x:v>
      </x:c>
      <x:c r="P802" s="6" t="str">
        <x:f>$AA$25</x:f>
        <x:v>普通：4次标准普攻击杀；10次主要攻击致死</x:v>
      </x:c>
      <x:c r="Q802" s="6"/>
      <x:c r="R802" s="6"/>
      <x:c r="S802" s="6"/>
      <x:c r="T802" s="6"/>
    </x:row>
    <x:row r="803" ht="21" customHeight="1">
      <x:c r="A803" s="14" t="n">
        <x:f>$V$25</x:f>
        <x:v>60012</x:v>
      </x:c>
      <x:c r="B803" s="14" t="str">
        <x:f>$W$25</x:f>
        <x:v>自爆石榴</x:v>
      </x:c>
      <x:c r="C803" s="6" t="str">
        <x:f>$X$25</x:f>
        <x:v>中等</x:v>
      </x:c>
      <x:c r="D803" s="6">
        <x:v>41</x:v>
      </x:c>
      <x:c r="E803" s="6">
        <x:v>25</x:v>
      </x:c>
      <x:c r="F803" s="12">
        <x:f>ROUND(J803*$W$4*H803,0)</x:f>
        <x:v>11616</x:v>
      </x:c>
      <x:c r="G803" s="12">
        <x:f>ROUND(J803*$W$4*$W$5*I803,0)</x:f>
        <x:v>968</x:v>
      </x:c>
      <x:c r="H803" s="11" t="n">
        <x:f>$Y$25</x:f>
        <x:v>1</x:v>
      </x:c>
      <x:c r="I803" s="11" t="n">
        <x:f>$Z$25</x:f>
        <x:v>1.1111111111111112</x:v>
      </x:c>
      <x:c r="J803" s="12">
        <x:f>英雄升级调参!$E$106</x:f>
        <x:v>2904</x:v>
      </x:c>
      <x:c r="K803" s="12">
        <x:f>英雄升级调参!$F$106</x:f>
        <x:v>29040</x:v>
      </x:c>
      <x:c r="L803" s="6" t="n">
        <x:f>ROUNDUP(F803/J803,0)</x:f>
        <x:v>4</x:v>
      </x:c>
      <x:c r="M803" s="6" t="n">
        <x:f>IF(G803=0,"无伤害",ROUNDUP(K803/MAX(1,ROUND(G803*$AC$25,0)),0))</x:f>
        <x:v>10</x:v>
      </x:c>
      <x:c r="N803" s="6" t="n">
        <x:f>ROUNDUP(F803/英雄升级调参!$H$106,0)</x:f>
        <x:v>3</x:v>
      </x:c>
      <x:c r="O803" s="6" t="n">
        <x:f>ROUNDUP(F803/英雄升级调参!$K$106,0)</x:f>
        <x:v>2</x:v>
      </x:c>
      <x:c r="P803" s="6" t="str">
        <x:f>$AA$25</x:f>
        <x:v>普通：4次标准普攻击杀；10次主要攻击致死</x:v>
      </x:c>
      <x:c r="Q803" s="6"/>
      <x:c r="R803" s="6"/>
      <x:c r="S803" s="6"/>
      <x:c r="T803" s="6"/>
    </x:row>
    <x:row r="804" ht="21" customHeight="1">
      <x:c r="A804" s="14" t="n">
        <x:f>$V$25</x:f>
        <x:v>60012</x:v>
      </x:c>
      <x:c r="B804" s="14" t="str">
        <x:f>$W$25</x:f>
        <x:v>自爆石榴</x:v>
      </x:c>
      <x:c r="C804" s="6" t="str">
        <x:f>$X$25</x:f>
        <x:v>中等</x:v>
      </x:c>
      <x:c r="D804" s="6">
        <x:v>42</x:v>
      </x:c>
      <x:c r="E804" s="6">
        <x:v>25</x:v>
      </x:c>
      <x:c r="F804" s="12">
        <x:f>ROUND(J804*$W$4*H804,0)</x:f>
        <x:v>11976</x:v>
      </x:c>
      <x:c r="G804" s="12">
        <x:f>ROUND(J804*$W$4*$W$5*I804,0)</x:f>
        <x:v>998</x:v>
      </x:c>
      <x:c r="H804" s="11" t="n">
        <x:f>$Y$25</x:f>
        <x:v>1</x:v>
      </x:c>
      <x:c r="I804" s="11" t="n">
        <x:f>$Z$25</x:f>
        <x:v>1.1111111111111112</x:v>
      </x:c>
      <x:c r="J804" s="12">
        <x:f>英雄升级调参!$E$107</x:f>
        <x:v>2994</x:v>
      </x:c>
      <x:c r="K804" s="12">
        <x:f>英雄升级调参!$F$107</x:f>
        <x:v>29940</x:v>
      </x:c>
      <x:c r="L804" s="6" t="n">
        <x:f>ROUNDUP(F804/J804,0)</x:f>
        <x:v>4</x:v>
      </x:c>
      <x:c r="M804" s="6" t="n">
        <x:f>IF(G804=0,"无伤害",ROUNDUP(K804/MAX(1,ROUND(G804*$AC$25,0)),0))</x:f>
        <x:v>10</x:v>
      </x:c>
      <x:c r="N804" s="6" t="n">
        <x:f>ROUNDUP(F804/英雄升级调参!$H$107,0)</x:f>
        <x:v>3</x:v>
      </x:c>
      <x:c r="O804" s="6" t="n">
        <x:f>ROUNDUP(F804/英雄升级调参!$K$107,0)</x:f>
        <x:v>2</x:v>
      </x:c>
      <x:c r="P804" s="6" t="str">
        <x:f>$AA$25</x:f>
        <x:v>普通：4次标准普攻击杀；10次主要攻击致死</x:v>
      </x:c>
      <x:c r="Q804" s="6"/>
      <x:c r="R804" s="6"/>
      <x:c r="S804" s="6"/>
      <x:c r="T804" s="6"/>
    </x:row>
    <x:row r="805" ht="21" customHeight="1">
      <x:c r="A805" s="14" t="n">
        <x:f>$V$25</x:f>
        <x:v>60012</x:v>
      </x:c>
      <x:c r="B805" s="14" t="str">
        <x:f>$W$25</x:f>
        <x:v>自爆石榴</x:v>
      </x:c>
      <x:c r="C805" s="6" t="str">
        <x:f>$X$25</x:f>
        <x:v>中等</x:v>
      </x:c>
      <x:c r="D805" s="6">
        <x:v>43</x:v>
      </x:c>
      <x:c r="E805" s="6">
        <x:v>25</x:v>
      </x:c>
      <x:c r="F805" s="12">
        <x:f>ROUND(J805*$W$4*H805,0)</x:f>
        <x:v>12336</x:v>
      </x:c>
      <x:c r="G805" s="12">
        <x:f>ROUND(J805*$W$4*$W$5*I805,0)</x:f>
        <x:v>1028</x:v>
      </x:c>
      <x:c r="H805" s="11" t="n">
        <x:f>$Y$25</x:f>
        <x:v>1</x:v>
      </x:c>
      <x:c r="I805" s="11" t="n">
        <x:f>$Z$25</x:f>
        <x:v>1.1111111111111112</x:v>
      </x:c>
      <x:c r="J805" s="12">
        <x:f>英雄升级调参!$E$108</x:f>
        <x:v>3084</x:v>
      </x:c>
      <x:c r="K805" s="12">
        <x:f>英雄升级调参!$F$108</x:f>
        <x:v>30840</x:v>
      </x:c>
      <x:c r="L805" s="6" t="n">
        <x:f>ROUNDUP(F805/J805,0)</x:f>
        <x:v>4</x:v>
      </x:c>
      <x:c r="M805" s="6" t="n">
        <x:f>IF(G805=0,"无伤害",ROUNDUP(K805/MAX(1,ROUND(G805*$AC$25,0)),0))</x:f>
        <x:v>10</x:v>
      </x:c>
      <x:c r="N805" s="6" t="n">
        <x:f>ROUNDUP(F805/英雄升级调参!$H$108,0)</x:f>
        <x:v>3</x:v>
      </x:c>
      <x:c r="O805" s="6" t="n">
        <x:f>ROUNDUP(F805/英雄升级调参!$K$108,0)</x:f>
        <x:v>2</x:v>
      </x:c>
      <x:c r="P805" s="6" t="str">
        <x:f>$AA$25</x:f>
        <x:v>普通：4次标准普攻击杀；10次主要攻击致死</x:v>
      </x:c>
      <x:c r="Q805" s="6"/>
      <x:c r="R805" s="6"/>
      <x:c r="S805" s="6"/>
      <x:c r="T805" s="6"/>
    </x:row>
    <x:row r="806" ht="21" customHeight="1">
      <x:c r="A806" s="14" t="n">
        <x:f>$V$25</x:f>
        <x:v>60012</x:v>
      </x:c>
      <x:c r="B806" s="14" t="str">
        <x:f>$W$25</x:f>
        <x:v>自爆石榴</x:v>
      </x:c>
      <x:c r="C806" s="6" t="str">
        <x:f>$X$25</x:f>
        <x:v>中等</x:v>
      </x:c>
      <x:c r="D806" s="6">
        <x:v>44</x:v>
      </x:c>
      <x:c r="E806" s="6">
        <x:v>25</x:v>
      </x:c>
      <x:c r="F806" s="12">
        <x:f>ROUND(J806*$W$4*H806,0)</x:f>
        <x:v>12696</x:v>
      </x:c>
      <x:c r="G806" s="12">
        <x:f>ROUND(J806*$W$4*$W$5*I806,0)</x:f>
        <x:v>1058</x:v>
      </x:c>
      <x:c r="H806" s="11" t="n">
        <x:f>$Y$25</x:f>
        <x:v>1</x:v>
      </x:c>
      <x:c r="I806" s="11" t="n">
        <x:f>$Z$25</x:f>
        <x:v>1.1111111111111112</x:v>
      </x:c>
      <x:c r="J806" s="12">
        <x:f>英雄升级调参!$E$109</x:f>
        <x:v>3174</x:v>
      </x:c>
      <x:c r="K806" s="12">
        <x:f>英雄升级调参!$F$109</x:f>
        <x:v>31740</x:v>
      </x:c>
      <x:c r="L806" s="6" t="n">
        <x:f>ROUNDUP(F806/J806,0)</x:f>
        <x:v>4</x:v>
      </x:c>
      <x:c r="M806" s="6" t="n">
        <x:f>IF(G806=0,"无伤害",ROUNDUP(K806/MAX(1,ROUND(G806*$AC$25,0)),0))</x:f>
        <x:v>10</x:v>
      </x:c>
      <x:c r="N806" s="6" t="n">
        <x:f>ROUNDUP(F806/英雄升级调参!$H$109,0)</x:f>
        <x:v>3</x:v>
      </x:c>
      <x:c r="O806" s="6" t="n">
        <x:f>ROUNDUP(F806/英雄升级调参!$K$109,0)</x:f>
        <x:v>2</x:v>
      </x:c>
      <x:c r="P806" s="6" t="str">
        <x:f>$AA$25</x:f>
        <x:v>普通：4次标准普攻击杀；10次主要攻击致死</x:v>
      </x:c>
      <x:c r="Q806" s="6"/>
      <x:c r="R806" s="6"/>
      <x:c r="S806" s="6"/>
      <x:c r="T806" s="6"/>
    </x:row>
    <x:row r="807" ht="21" customHeight="1">
      <x:c r="A807" s="14" t="n">
        <x:f>$V$25</x:f>
        <x:v>60012</x:v>
      </x:c>
      <x:c r="B807" s="14" t="str">
        <x:f>$W$25</x:f>
        <x:v>自爆石榴</x:v>
      </x:c>
      <x:c r="C807" s="6" t="str">
        <x:f>$X$25</x:f>
        <x:v>中等</x:v>
      </x:c>
      <x:c r="D807" s="6">
        <x:v>45</x:v>
      </x:c>
      <x:c r="E807" s="6">
        <x:v>25</x:v>
      </x:c>
      <x:c r="F807" s="12">
        <x:f>ROUND(J807*$W$4*H807,0)</x:f>
        <x:v>13776</x:v>
      </x:c>
      <x:c r="G807" s="12">
        <x:f>ROUND(J807*$W$4*$W$5*I807,0)</x:f>
        <x:v>1148</x:v>
      </x:c>
      <x:c r="H807" s="11" t="n">
        <x:f>$Y$25</x:f>
        <x:v>1</x:v>
      </x:c>
      <x:c r="I807" s="11" t="n">
        <x:f>$Z$25</x:f>
        <x:v>1.1111111111111112</x:v>
      </x:c>
      <x:c r="J807" s="12">
        <x:f>英雄升级调参!$E$110</x:f>
        <x:v>3444</x:v>
      </x:c>
      <x:c r="K807" s="12">
        <x:f>英雄升级调参!$F$110</x:f>
        <x:v>34440</x:v>
      </x:c>
      <x:c r="L807" s="6" t="n">
        <x:f>ROUNDUP(F807/J807,0)</x:f>
        <x:v>4</x:v>
      </x:c>
      <x:c r="M807" s="6" t="n">
        <x:f>IF(G807=0,"无伤害",ROUNDUP(K807/MAX(1,ROUND(G807*$AC$25,0)),0))</x:f>
        <x:v>10</x:v>
      </x:c>
      <x:c r="N807" s="6" t="n">
        <x:f>ROUNDUP(F807/英雄升级调参!$H$110,0)</x:f>
        <x:v>3</x:v>
      </x:c>
      <x:c r="O807" s="6" t="n">
        <x:f>ROUNDUP(F807/英雄升级调参!$K$110,0)</x:f>
        <x:v>2</x:v>
      </x:c>
      <x:c r="P807" s="6" t="str">
        <x:f>$AA$25</x:f>
        <x:v>普通：4次标准普攻击杀；10次主要攻击致死</x:v>
      </x:c>
      <x:c r="Q807" s="6"/>
      <x:c r="R807" s="6"/>
      <x:c r="S807" s="6"/>
      <x:c r="T807" s="6"/>
    </x:row>
    <x:row r="808" ht="21" customHeight="1">
      <x:c r="A808" s="14" t="n">
        <x:f>$V$25</x:f>
        <x:v>60012</x:v>
      </x:c>
      <x:c r="B808" s="14" t="str">
        <x:f>$W$25</x:f>
        <x:v>自爆石榴</x:v>
      </x:c>
      <x:c r="C808" s="6" t="str">
        <x:f>$X$25</x:f>
        <x:v>中等</x:v>
      </x:c>
      <x:c r="D808" s="6">
        <x:v>46</x:v>
      </x:c>
      <x:c r="E808" s="6">
        <x:v>25</x:v>
      </x:c>
      <x:c r="F808" s="12">
        <x:f>ROUND(J808*$W$4*H808,0)</x:f>
        <x:v>14172</x:v>
      </x:c>
      <x:c r="G808" s="12">
        <x:f>ROUND(J808*$W$4*$W$5*I808,0)</x:f>
        <x:v>1181</x:v>
      </x:c>
      <x:c r="H808" s="11" t="n">
        <x:f>$Y$25</x:f>
        <x:v>1</x:v>
      </x:c>
      <x:c r="I808" s="11" t="n">
        <x:f>$Z$25</x:f>
        <x:v>1.1111111111111112</x:v>
      </x:c>
      <x:c r="J808" s="12">
        <x:f>英雄升级调参!$E$111</x:f>
        <x:v>3543</x:v>
      </x:c>
      <x:c r="K808" s="12">
        <x:f>英雄升级调参!$F$111</x:f>
        <x:v>35430</x:v>
      </x:c>
      <x:c r="L808" s="6" t="n">
        <x:f>ROUNDUP(F808/J808,0)</x:f>
        <x:v>4</x:v>
      </x:c>
      <x:c r="M808" s="6" t="n">
        <x:f>IF(G808=0,"无伤害",ROUNDUP(K808/MAX(1,ROUND(G808*$AC$25,0)),0))</x:f>
        <x:v>10</x:v>
      </x:c>
      <x:c r="N808" s="6" t="n">
        <x:f>ROUNDUP(F808/英雄升级调参!$H$111,0)</x:f>
        <x:v>3</x:v>
      </x:c>
      <x:c r="O808" s="6" t="n">
        <x:f>ROUNDUP(F808/英雄升级调参!$K$111,0)</x:f>
        <x:v>2</x:v>
      </x:c>
      <x:c r="P808" s="6" t="str">
        <x:f>$AA$25</x:f>
        <x:v>普通：4次标准普攻击杀；10次主要攻击致死</x:v>
      </x:c>
      <x:c r="Q808" s="6"/>
      <x:c r="R808" s="6"/>
      <x:c r="S808" s="6"/>
      <x:c r="T808" s="6"/>
    </x:row>
    <x:row r="809" ht="21" customHeight="1">
      <x:c r="A809" s="14" t="n">
        <x:f>$V$25</x:f>
        <x:v>60012</x:v>
      </x:c>
      <x:c r="B809" s="14" t="str">
        <x:f>$W$25</x:f>
        <x:v>自爆石榴</x:v>
      </x:c>
      <x:c r="C809" s="6" t="str">
        <x:f>$X$25</x:f>
        <x:v>中等</x:v>
      </x:c>
      <x:c r="D809" s="6">
        <x:v>47</x:v>
      </x:c>
      <x:c r="E809" s="6">
        <x:v>25</x:v>
      </x:c>
      <x:c r="F809" s="12">
        <x:f>ROUND(J809*$W$4*H809,0)</x:f>
        <x:v>14568</x:v>
      </x:c>
      <x:c r="G809" s="12">
        <x:f>ROUND(J809*$W$4*$W$5*I809,0)</x:f>
        <x:v>1214</x:v>
      </x:c>
      <x:c r="H809" s="11" t="n">
        <x:f>$Y$25</x:f>
        <x:v>1</x:v>
      </x:c>
      <x:c r="I809" s="11" t="n">
        <x:f>$Z$25</x:f>
        <x:v>1.1111111111111112</x:v>
      </x:c>
      <x:c r="J809" s="12">
        <x:f>英雄升级调参!$E$112</x:f>
        <x:v>3642</x:v>
      </x:c>
      <x:c r="K809" s="12">
        <x:f>英雄升级调参!$F$112</x:f>
        <x:v>36420</x:v>
      </x:c>
      <x:c r="L809" s="6" t="n">
        <x:f>ROUNDUP(F809/J809,0)</x:f>
        <x:v>4</x:v>
      </x:c>
      <x:c r="M809" s="6" t="n">
        <x:f>IF(G809=0,"无伤害",ROUNDUP(K809/MAX(1,ROUND(G809*$AC$25,0)),0))</x:f>
        <x:v>10</x:v>
      </x:c>
      <x:c r="N809" s="6" t="n">
        <x:f>ROUNDUP(F809/英雄升级调参!$H$112,0)</x:f>
        <x:v>3</x:v>
      </x:c>
      <x:c r="O809" s="6" t="n">
        <x:f>ROUNDUP(F809/英雄升级调参!$K$112,0)</x:f>
        <x:v>2</x:v>
      </x:c>
      <x:c r="P809" s="6" t="str">
        <x:f>$AA$25</x:f>
        <x:v>普通：4次标准普攻击杀；10次主要攻击致死</x:v>
      </x:c>
      <x:c r="Q809" s="6"/>
      <x:c r="R809" s="6"/>
      <x:c r="S809" s="6"/>
      <x:c r="T809" s="6"/>
    </x:row>
    <x:row r="810" ht="21" customHeight="1">
      <x:c r="A810" s="14" t="n">
        <x:f>$V$25</x:f>
        <x:v>60012</x:v>
      </x:c>
      <x:c r="B810" s="14" t="str">
        <x:f>$W$25</x:f>
        <x:v>自爆石榴</x:v>
      </x:c>
      <x:c r="C810" s="6" t="str">
        <x:f>$X$25</x:f>
        <x:v>中等</x:v>
      </x:c>
      <x:c r="D810" s="6">
        <x:v>48</x:v>
      </x:c>
      <x:c r="E810" s="6">
        <x:v>25</x:v>
      </x:c>
      <x:c r="F810" s="12">
        <x:f>ROUND(J810*$W$4*H810,0)</x:f>
        <x:v>14964</x:v>
      </x:c>
      <x:c r="G810" s="12">
        <x:f>ROUND(J810*$W$4*$W$5*I810,0)</x:f>
        <x:v>1247</x:v>
      </x:c>
      <x:c r="H810" s="11" t="n">
        <x:f>$Y$25</x:f>
        <x:v>1</x:v>
      </x:c>
      <x:c r="I810" s="11" t="n">
        <x:f>$Z$25</x:f>
        <x:v>1.1111111111111112</x:v>
      </x:c>
      <x:c r="J810" s="12">
        <x:f>英雄升级调参!$E$113</x:f>
        <x:v>3741</x:v>
      </x:c>
      <x:c r="K810" s="12">
        <x:f>英雄升级调参!$F$113</x:f>
        <x:v>37410</x:v>
      </x:c>
      <x:c r="L810" s="6" t="n">
        <x:f>ROUNDUP(F810/J810,0)</x:f>
        <x:v>4</x:v>
      </x:c>
      <x:c r="M810" s="6" t="n">
        <x:f>IF(G810=0,"无伤害",ROUNDUP(K810/MAX(1,ROUND(G810*$AC$25,0)),0))</x:f>
        <x:v>10</x:v>
      </x:c>
      <x:c r="N810" s="6" t="n">
        <x:f>ROUNDUP(F810/英雄升级调参!$H$113,0)</x:f>
        <x:v>3</x:v>
      </x:c>
      <x:c r="O810" s="6" t="n">
        <x:f>ROUNDUP(F810/英雄升级调参!$K$113,0)</x:f>
        <x:v>2</x:v>
      </x:c>
      <x:c r="P810" s="6" t="str">
        <x:f>$AA$25</x:f>
        <x:v>普通：4次标准普攻击杀；10次主要攻击致死</x:v>
      </x:c>
      <x:c r="Q810" s="6"/>
      <x:c r="R810" s="6"/>
      <x:c r="S810" s="6"/>
      <x:c r="T810" s="6"/>
    </x:row>
    <x:row r="811" ht="21" customHeight="1">
      <x:c r="A811" s="14" t="n">
        <x:f>$V$25</x:f>
        <x:v>60012</x:v>
      </x:c>
      <x:c r="B811" s="14" t="str">
        <x:f>$W$25</x:f>
        <x:v>自爆石榴</x:v>
      </x:c>
      <x:c r="C811" s="6" t="str">
        <x:f>$X$25</x:f>
        <x:v>中等</x:v>
      </x:c>
      <x:c r="D811" s="6">
        <x:v>49</x:v>
      </x:c>
      <x:c r="E811" s="6">
        <x:v>25</x:v>
      </x:c>
      <x:c r="F811" s="12">
        <x:f>ROUND(J811*$W$4*H811,0)</x:f>
        <x:v>15360</x:v>
      </x:c>
      <x:c r="G811" s="12">
        <x:f>ROUND(J811*$W$4*$W$5*I811,0)</x:f>
        <x:v>1280</x:v>
      </x:c>
      <x:c r="H811" s="11" t="n">
        <x:f>$Y$25</x:f>
        <x:v>1</x:v>
      </x:c>
      <x:c r="I811" s="11" t="n">
        <x:f>$Z$25</x:f>
        <x:v>1.1111111111111112</x:v>
      </x:c>
      <x:c r="J811" s="12">
        <x:f>英雄升级调参!$E$114</x:f>
        <x:v>3840</x:v>
      </x:c>
      <x:c r="K811" s="12">
        <x:f>英雄升级调参!$F$114</x:f>
        <x:v>38400</x:v>
      </x:c>
      <x:c r="L811" s="6" t="n">
        <x:f>ROUNDUP(F811/J811,0)</x:f>
        <x:v>4</x:v>
      </x:c>
      <x:c r="M811" s="6" t="n">
        <x:f>IF(G811=0,"无伤害",ROUNDUP(K811/MAX(1,ROUND(G811*$AC$25,0)),0))</x:f>
        <x:v>10</x:v>
      </x:c>
      <x:c r="N811" s="6" t="n">
        <x:f>ROUNDUP(F811/英雄升级调参!$H$114,0)</x:f>
        <x:v>3</x:v>
      </x:c>
      <x:c r="O811" s="6" t="n">
        <x:f>ROUNDUP(F811/英雄升级调参!$K$114,0)</x:f>
        <x:v>2</x:v>
      </x:c>
      <x:c r="P811" s="6" t="str">
        <x:f>$AA$25</x:f>
        <x:v>普通：4次标准普攻击杀；10次主要攻击致死</x:v>
      </x:c>
      <x:c r="Q811" s="6"/>
      <x:c r="R811" s="6"/>
      <x:c r="S811" s="6"/>
      <x:c r="T811" s="6"/>
    </x:row>
    <x:row r="812" ht="21" customHeight="1">
      <x:c r="A812" s="14" t="n">
        <x:f>$V$25</x:f>
        <x:v>60012</x:v>
      </x:c>
      <x:c r="B812" s="14" t="str">
        <x:f>$W$25</x:f>
        <x:v>自爆石榴</x:v>
      </x:c>
      <x:c r="C812" s="6" t="str">
        <x:f>$X$25</x:f>
        <x:v>中等</x:v>
      </x:c>
      <x:c r="D812" s="6">
        <x:v>50</x:v>
      </x:c>
      <x:c r="E812" s="6">
        <x:v>25</x:v>
      </x:c>
      <x:c r="F812" s="12">
        <x:f>ROUND(J812*$W$4*H812,0)</x:f>
        <x:v>16548</x:v>
      </x:c>
      <x:c r="G812" s="12">
        <x:f>ROUND(J812*$W$4*$W$5*I812,0)</x:f>
        <x:v>1379</x:v>
      </x:c>
      <x:c r="H812" s="11" t="n">
        <x:f>$Y$25</x:f>
        <x:v>1</x:v>
      </x:c>
      <x:c r="I812" s="11" t="n">
        <x:f>$Z$25</x:f>
        <x:v>1.1111111111111112</x:v>
      </x:c>
      <x:c r="J812" s="12">
        <x:f>英雄升级调参!$E$115</x:f>
        <x:v>4137</x:v>
      </x:c>
      <x:c r="K812" s="12">
        <x:f>英雄升级调参!$F$115</x:f>
        <x:v>41370</x:v>
      </x:c>
      <x:c r="L812" s="6" t="n">
        <x:f>ROUNDUP(F812/J812,0)</x:f>
        <x:v>4</x:v>
      </x:c>
      <x:c r="M812" s="6" t="n">
        <x:f>IF(G812=0,"无伤害",ROUNDUP(K812/MAX(1,ROUND(G812*$AC$25,0)),0))</x:f>
        <x:v>10</x:v>
      </x:c>
      <x:c r="N812" s="6" t="n">
        <x:f>ROUNDUP(F812/英雄升级调参!$H$115,0)</x:f>
        <x:v>3</x:v>
      </x:c>
      <x:c r="O812" s="6" t="n">
        <x:f>ROUNDUP(F812/英雄升级调参!$K$115,0)</x:f>
        <x:v>2</x:v>
      </x:c>
      <x:c r="P812" s="6" t="str">
        <x:f>$AA$25</x:f>
        <x:v>普通：4次标准普攻击杀；10次主要攻击致死</x:v>
      </x:c>
      <x:c r="Q812" s="6"/>
      <x:c r="R812" s="6"/>
      <x:c r="S812" s="6"/>
      <x:c r="T812" s="6"/>
    </x:row>
    <x:row r="813" ht="21" customHeight="1">
      <x:c r="A813" s="14" t="n">
        <x:f>$V$26</x:f>
        <x:v>60013</x:v>
      </x:c>
      <x:c r="B813" s="14" t="str">
        <x:f>$W$26</x:f>
        <x:v>炮弹鸭梨</x:v>
      </x:c>
      <x:c r="C813" s="6" t="str">
        <x:f>$X$26</x:f>
        <x:v>远程</x:v>
      </x:c>
      <x:c r="D813" s="6">
        <x:v>1</x:v>
      </x:c>
      <x:c r="E813" s="6">
        <x:v>26</x:v>
      </x:c>
      <x:c r="F813" s="12" t="n">
        <x:f>ROUND(J813*$W$4*H813,0)</x:f>
        <x:v>180</x:v>
      </x:c>
      <x:c r="G813" s="12" t="n">
        <x:f>ROUND(J813*$W$4*$W$5*I813,0)</x:f>
        <x:v>60</x:v>
      </x:c>
      <x:c r="H813" s="11" t="n">
        <x:f>$Y$26</x:f>
        <x:v>0.75</x:v>
      </x:c>
      <x:c r="I813" s="11" t="n">
        <x:f>$Z$26</x:f>
        <x:v>3.3333333333333335</x:v>
      </x:c>
      <x:c r="J813" s="12" t="n">
        <x:f>英雄升级调参!$E$66</x:f>
        <x:v>60</x:v>
      </x:c>
      <x:c r="K813" s="12" t="n">
        <x:f>英雄升级调参!$F$66</x:f>
        <x:v>600</x:v>
      </x:c>
      <x:c r="L813" s="6" t="n">
        <x:f>ROUNDUP(F813/J813,0)</x:f>
        <x:v>3</x:v>
      </x:c>
      <x:c r="M813" s="6" t="n">
        <x:f>IF(G813=0,"无伤害",ROUNDUP(K813/MAX(1,ROUND(G813*$AC$26,0)),0))</x:f>
        <x:v>10</x:v>
      </x:c>
      <x:c r="N813" s="6">
        <x:f>ROUNDUP(F813/英雄升级调参!$H$66,0)</x:f>
        <x:v>1</x:v>
      </x:c>
      <x:c r="O813" s="6">
        <x:f>ROUNDUP(F813/英雄升级调参!$K$66,0)</x:f>
        <x:v>1</x:v>
      </x:c>
      <x:c r="P813" s="6" t="str">
        <x:f>$AA$26</x:f>
        <x:v>普通：3次标准普攻击杀；10次主要攻击致死</x:v>
      </x:c>
      <x:c r="Q813" s="6"/>
      <x:c r="R813" s="6"/>
      <x:c r="S813" s="6"/>
      <x:c r="T813" s="6"/>
    </x:row>
    <x:row r="814" ht="21" customHeight="1">
      <x:c r="A814" s="14" t="n">
        <x:f>$V$26</x:f>
        <x:v>60013</x:v>
      </x:c>
      <x:c r="B814" s="14" t="str">
        <x:f>$W$26</x:f>
        <x:v>炮弹鸭梨</x:v>
      </x:c>
      <x:c r="C814" s="6" t="str">
        <x:f>$X$26</x:f>
        <x:v>远程</x:v>
      </x:c>
      <x:c r="D814" s="6">
        <x:v>2</x:v>
      </x:c>
      <x:c r="E814" s="6">
        <x:v>26</x:v>
      </x:c>
      <x:c r="F814" s="12">
        <x:f>ROUND(J814*$W$4*H814,0)</x:f>
        <x:v>234</x:v>
      </x:c>
      <x:c r="G814" s="12">
        <x:f>ROUND(J814*$W$4*$W$5*I814,0)</x:f>
        <x:v>78</x:v>
      </x:c>
      <x:c r="H814" s="11" t="n">
        <x:f>$Y$26</x:f>
        <x:v>0.75</x:v>
      </x:c>
      <x:c r="I814" s="11" t="n">
        <x:f>$Z$26</x:f>
        <x:v>3.3333333333333335</x:v>
      </x:c>
      <x:c r="J814" s="12">
        <x:f>英雄升级调参!$E$67</x:f>
        <x:v>78</x:v>
      </x:c>
      <x:c r="K814" s="12">
        <x:f>英雄升级调参!$F$67</x:f>
        <x:v>780</x:v>
      </x:c>
      <x:c r="L814" s="6" t="n">
        <x:f>ROUNDUP(F814/J814,0)</x:f>
        <x:v>3</x:v>
      </x:c>
      <x:c r="M814" s="6" t="n">
        <x:f>IF(G814=0,"无伤害",ROUNDUP(K814/MAX(1,ROUND(G814*$AC$26,0)),0))</x:f>
        <x:v>10</x:v>
      </x:c>
      <x:c r="N814" s="6" t="n">
        <x:f>ROUNDUP(F814/英雄升级调参!$H$67,0)</x:f>
        <x:v>2</x:v>
      </x:c>
      <x:c r="O814" s="6">
        <x:f>ROUNDUP(F814/英雄升级调参!$K$67,0)</x:f>
        <x:v>1</x:v>
      </x:c>
      <x:c r="P814" s="6" t="str">
        <x:f>$AA$26</x:f>
        <x:v>普通：3次标准普攻击杀；10次主要攻击致死</x:v>
      </x:c>
      <x:c r="Q814" s="6"/>
      <x:c r="R814" s="6"/>
      <x:c r="S814" s="6"/>
      <x:c r="T814" s="6"/>
    </x:row>
    <x:row r="815" ht="21" customHeight="1">
      <x:c r="A815" s="14" t="n">
        <x:f>$V$26</x:f>
        <x:v>60013</x:v>
      </x:c>
      <x:c r="B815" s="14" t="str">
        <x:f>$W$26</x:f>
        <x:v>炮弹鸭梨</x:v>
      </x:c>
      <x:c r="C815" s="6" t="str">
        <x:f>$X$26</x:f>
        <x:v>远程</x:v>
      </x:c>
      <x:c r="D815" s="6">
        <x:v>3</x:v>
      </x:c>
      <x:c r="E815" s="6">
        <x:v>26</x:v>
      </x:c>
      <x:c r="F815" s="12">
        <x:f>ROUND(J815*$W$4*H815,0)</x:f>
        <x:v>288</x:v>
      </x:c>
      <x:c r="G815" s="12">
        <x:f>ROUND(J815*$W$4*$W$5*I815,0)</x:f>
        <x:v>96</x:v>
      </x:c>
      <x:c r="H815" s="11" t="n">
        <x:f>$Y$26</x:f>
        <x:v>0.75</x:v>
      </x:c>
      <x:c r="I815" s="11" t="n">
        <x:f>$Z$26</x:f>
        <x:v>3.3333333333333335</x:v>
      </x:c>
      <x:c r="J815" s="12">
        <x:f>英雄升级调参!$E$68</x:f>
        <x:v>96</x:v>
      </x:c>
      <x:c r="K815" s="12">
        <x:f>英雄升级调参!$F$68</x:f>
        <x:v>960</x:v>
      </x:c>
      <x:c r="L815" s="6" t="n">
        <x:f>ROUNDUP(F815/J815,0)</x:f>
        <x:v>3</x:v>
      </x:c>
      <x:c r="M815" s="6" t="n">
        <x:f>IF(G815=0,"无伤害",ROUNDUP(K815/MAX(1,ROUND(G815*$AC$26,0)),0))</x:f>
        <x:v>10</x:v>
      </x:c>
      <x:c r="N815" s="6" t="n">
        <x:f>ROUNDUP(F815/英雄升级调参!$H$68,0)</x:f>
        <x:v>2</x:v>
      </x:c>
      <x:c r="O815" s="6">
        <x:f>ROUNDUP(F815/英雄升级调参!$K$68,0)</x:f>
        <x:v>1</x:v>
      </x:c>
      <x:c r="P815" s="6" t="str">
        <x:f>$AA$26</x:f>
        <x:v>普通：3次标准普攻击杀；10次主要攻击致死</x:v>
      </x:c>
      <x:c r="Q815" s="6"/>
      <x:c r="R815" s="6"/>
      <x:c r="S815" s="6"/>
      <x:c r="T815" s="6"/>
    </x:row>
    <x:row r="816" ht="21" customHeight="1">
      <x:c r="A816" s="14" t="n">
        <x:f>$V$26</x:f>
        <x:v>60013</x:v>
      </x:c>
      <x:c r="B816" s="14" t="str">
        <x:f>$W$26</x:f>
        <x:v>炮弹鸭梨</x:v>
      </x:c>
      <x:c r="C816" s="6" t="str">
        <x:f>$X$26</x:f>
        <x:v>远程</x:v>
      </x:c>
      <x:c r="D816" s="6">
        <x:v>4</x:v>
      </x:c>
      <x:c r="E816" s="6">
        <x:v>26</x:v>
      </x:c>
      <x:c r="F816" s="12">
        <x:f>ROUND(J816*$W$4*H816,0)</x:f>
        <x:v>342</x:v>
      </x:c>
      <x:c r="G816" s="12">
        <x:f>ROUND(J816*$W$4*$W$5*I816,0)</x:f>
        <x:v>114</x:v>
      </x:c>
      <x:c r="H816" s="11" t="n">
        <x:f>$Y$26</x:f>
        <x:v>0.75</x:v>
      </x:c>
      <x:c r="I816" s="11" t="n">
        <x:f>$Z$26</x:f>
        <x:v>3.3333333333333335</x:v>
      </x:c>
      <x:c r="J816" s="12">
        <x:f>英雄升级调参!$E$69</x:f>
        <x:v>114</x:v>
      </x:c>
      <x:c r="K816" s="12">
        <x:f>英雄升级调参!$F$69</x:f>
        <x:v>1140</x:v>
      </x:c>
      <x:c r="L816" s="6" t="n">
        <x:f>ROUNDUP(F816/J816,0)</x:f>
        <x:v>3</x:v>
      </x:c>
      <x:c r="M816" s="6" t="n">
        <x:f>IF(G816=0,"无伤害",ROUNDUP(K816/MAX(1,ROUND(G816*$AC$26,0)),0))</x:f>
        <x:v>10</x:v>
      </x:c>
      <x:c r="N816" s="6" t="n">
        <x:f>ROUNDUP(F816/英雄升级调参!$H$69,0)</x:f>
        <x:v>2</x:v>
      </x:c>
      <x:c r="O816" s="6">
        <x:f>ROUNDUP(F816/英雄升级调参!$K$69,0)</x:f>
        <x:v>1</x:v>
      </x:c>
      <x:c r="P816" s="6" t="str">
        <x:f>$AA$26</x:f>
        <x:v>普通：3次标准普攻击杀；10次主要攻击致死</x:v>
      </x:c>
      <x:c r="Q816" s="6"/>
      <x:c r="R816" s="6"/>
      <x:c r="S816" s="6"/>
      <x:c r="T816" s="6"/>
    </x:row>
    <x:row r="817" ht="21" customHeight="1">
      <x:c r="A817" s="14" t="n">
        <x:f>$V$26</x:f>
        <x:v>60013</x:v>
      </x:c>
      <x:c r="B817" s="14" t="str">
        <x:f>$W$26</x:f>
        <x:v>炮弹鸭梨</x:v>
      </x:c>
      <x:c r="C817" s="6" t="str">
        <x:f>$X$26</x:f>
        <x:v>远程</x:v>
      </x:c>
      <x:c r="D817" s="6">
        <x:v>5</x:v>
      </x:c>
      <x:c r="E817" s="6">
        <x:v>26</x:v>
      </x:c>
      <x:c r="F817" s="12">
        <x:f>ROUND(J817*$W$4*H817,0)</x:f>
        <x:v>504</x:v>
      </x:c>
      <x:c r="G817" s="12">
        <x:f>ROUND(J817*$W$4*$W$5*I817,0)</x:f>
        <x:v>168</x:v>
      </x:c>
      <x:c r="H817" s="11" t="n">
        <x:f>$Y$26</x:f>
        <x:v>0.75</x:v>
      </x:c>
      <x:c r="I817" s="11" t="n">
        <x:f>$Z$26</x:f>
        <x:v>3.3333333333333335</x:v>
      </x:c>
      <x:c r="J817" s="12">
        <x:f>英雄升级调参!$E$70</x:f>
        <x:v>168</x:v>
      </x:c>
      <x:c r="K817" s="12">
        <x:f>英雄升级调参!$F$70</x:f>
        <x:v>1680</x:v>
      </x:c>
      <x:c r="L817" s="6" t="n">
        <x:f>ROUNDUP(F817/J817,0)</x:f>
        <x:v>3</x:v>
      </x:c>
      <x:c r="M817" s="6" t="n">
        <x:f>IF(G817=0,"无伤害",ROUNDUP(K817/MAX(1,ROUND(G817*$AC$26,0)),0))</x:f>
        <x:v>10</x:v>
      </x:c>
      <x:c r="N817" s="6" t="n">
        <x:f>ROUNDUP(F817/英雄升级调参!$H$70,0)</x:f>
        <x:v>2</x:v>
      </x:c>
      <x:c r="O817" s="6">
        <x:f>ROUNDUP(F817/英雄升级调参!$K$70,0)</x:f>
        <x:v>1</x:v>
      </x:c>
      <x:c r="P817" s="6" t="str">
        <x:f>$AA$26</x:f>
        <x:v>普通：3次标准普攻击杀；10次主要攻击致死</x:v>
      </x:c>
      <x:c r="Q817" s="6"/>
      <x:c r="R817" s="6"/>
      <x:c r="S817" s="6"/>
      <x:c r="T817" s="6"/>
    </x:row>
    <x:row r="818" ht="21" customHeight="1">
      <x:c r="A818" s="14" t="n">
        <x:f>$V$26</x:f>
        <x:v>60013</x:v>
      </x:c>
      <x:c r="B818" s="14" t="str">
        <x:f>$W$26</x:f>
        <x:v>炮弹鸭梨</x:v>
      </x:c>
      <x:c r="C818" s="6" t="str">
        <x:f>$X$26</x:f>
        <x:v>远程</x:v>
      </x:c>
      <x:c r="D818" s="6">
        <x:v>6</x:v>
      </x:c>
      <x:c r="E818" s="6">
        <x:v>26</x:v>
      </x:c>
      <x:c r="F818" s="12">
        <x:f>ROUND(J818*$W$4*H818,0)</x:f>
        <x:v>585</x:v>
      </x:c>
      <x:c r="G818" s="12">
        <x:f>ROUND(J818*$W$4*$W$5*I818,0)</x:f>
        <x:v>195</x:v>
      </x:c>
      <x:c r="H818" s="11" t="n">
        <x:f>$Y$26</x:f>
        <x:v>0.75</x:v>
      </x:c>
      <x:c r="I818" s="11" t="n">
        <x:f>$Z$26</x:f>
        <x:v>3.3333333333333335</x:v>
      </x:c>
      <x:c r="J818" s="12">
        <x:f>英雄升级调参!$E$71</x:f>
        <x:v>195</x:v>
      </x:c>
      <x:c r="K818" s="12">
        <x:f>英雄升级调参!$F$71</x:f>
        <x:v>1950</x:v>
      </x:c>
      <x:c r="L818" s="6" t="n">
        <x:f>ROUNDUP(F818/J818,0)</x:f>
        <x:v>3</x:v>
      </x:c>
      <x:c r="M818" s="6" t="n">
        <x:f>IF(G818=0,"无伤害",ROUNDUP(K818/MAX(1,ROUND(G818*$AC$26,0)),0))</x:f>
        <x:v>10</x:v>
      </x:c>
      <x:c r="N818" s="6" t="n">
        <x:f>ROUNDUP(F818/英雄升级调参!$H$71,0)</x:f>
        <x:v>2</x:v>
      </x:c>
      <x:c r="O818" s="6">
        <x:f>ROUNDUP(F818/英雄升级调参!$K$71,0)</x:f>
        <x:v>1</x:v>
      </x:c>
      <x:c r="P818" s="6" t="str">
        <x:f>$AA$26</x:f>
        <x:v>普通：3次标准普攻击杀；10次主要攻击致死</x:v>
      </x:c>
      <x:c r="Q818" s="6"/>
      <x:c r="R818" s="6"/>
      <x:c r="S818" s="6"/>
      <x:c r="T818" s="6"/>
    </x:row>
    <x:row r="819" ht="21" customHeight="1">
      <x:c r="A819" s="14" t="n">
        <x:f>$V$26</x:f>
        <x:v>60013</x:v>
      </x:c>
      <x:c r="B819" s="14" t="str">
        <x:f>$W$26</x:f>
        <x:v>炮弹鸭梨</x:v>
      </x:c>
      <x:c r="C819" s="6" t="str">
        <x:f>$X$26</x:f>
        <x:v>远程</x:v>
      </x:c>
      <x:c r="D819" s="6">
        <x:v>7</x:v>
      </x:c>
      <x:c r="E819" s="6">
        <x:v>26</x:v>
      </x:c>
      <x:c r="F819" s="12">
        <x:f>ROUND(J819*$W$4*H819,0)</x:f>
        <x:v>666</x:v>
      </x:c>
      <x:c r="G819" s="12">
        <x:f>ROUND(J819*$W$4*$W$5*I819,0)</x:f>
        <x:v>222</x:v>
      </x:c>
      <x:c r="H819" s="11" t="n">
        <x:f>$Y$26</x:f>
        <x:v>0.75</x:v>
      </x:c>
      <x:c r="I819" s="11" t="n">
        <x:f>$Z$26</x:f>
        <x:v>3.3333333333333335</x:v>
      </x:c>
      <x:c r="J819" s="12">
        <x:f>英雄升级调参!$E$72</x:f>
        <x:v>222</x:v>
      </x:c>
      <x:c r="K819" s="12">
        <x:f>英雄升级调参!$F$72</x:f>
        <x:v>2220</x:v>
      </x:c>
      <x:c r="L819" s="6" t="n">
        <x:f>ROUNDUP(F819/J819,0)</x:f>
        <x:v>3</x:v>
      </x:c>
      <x:c r="M819" s="6" t="n">
        <x:f>IF(G819=0,"无伤害",ROUNDUP(K819/MAX(1,ROUND(G819*$AC$26,0)),0))</x:f>
        <x:v>10</x:v>
      </x:c>
      <x:c r="N819" s="6" t="n">
        <x:f>ROUNDUP(F819/英雄升级调参!$H$72,0)</x:f>
        <x:v>2</x:v>
      </x:c>
      <x:c r="O819" s="6">
        <x:f>ROUNDUP(F819/英雄升级调参!$K$72,0)</x:f>
        <x:v>1</x:v>
      </x:c>
      <x:c r="P819" s="6" t="str">
        <x:f>$AA$26</x:f>
        <x:v>普通：3次标准普攻击杀；10次主要攻击致死</x:v>
      </x:c>
      <x:c r="Q819" s="6"/>
      <x:c r="R819" s="6"/>
      <x:c r="S819" s="6"/>
      <x:c r="T819" s="6"/>
    </x:row>
    <x:row r="820" ht="21" customHeight="1">
      <x:c r="A820" s="14" t="n">
        <x:f>$V$26</x:f>
        <x:v>60013</x:v>
      </x:c>
      <x:c r="B820" s="14" t="str">
        <x:f>$W$26</x:f>
        <x:v>炮弹鸭梨</x:v>
      </x:c>
      <x:c r="C820" s="6" t="str">
        <x:f>$X$26</x:f>
        <x:v>远程</x:v>
      </x:c>
      <x:c r="D820" s="6">
        <x:v>8</x:v>
      </x:c>
      <x:c r="E820" s="6">
        <x:v>26</x:v>
      </x:c>
      <x:c r="F820" s="12">
        <x:f>ROUND(J820*$W$4*H820,0)</x:f>
        <x:v>747</x:v>
      </x:c>
      <x:c r="G820" s="12">
        <x:f>ROUND(J820*$W$4*$W$5*I820,0)</x:f>
        <x:v>249</x:v>
      </x:c>
      <x:c r="H820" s="11" t="n">
        <x:f>$Y$26</x:f>
        <x:v>0.75</x:v>
      </x:c>
      <x:c r="I820" s="11" t="n">
        <x:f>$Z$26</x:f>
        <x:v>3.3333333333333335</x:v>
      </x:c>
      <x:c r="J820" s="12">
        <x:f>英雄升级调参!$E$73</x:f>
        <x:v>249</x:v>
      </x:c>
      <x:c r="K820" s="12">
        <x:f>英雄升级调参!$F$73</x:f>
        <x:v>2490</x:v>
      </x:c>
      <x:c r="L820" s="6" t="n">
        <x:f>ROUNDUP(F820/J820,0)</x:f>
        <x:v>3</x:v>
      </x:c>
      <x:c r="M820" s="6" t="n">
        <x:f>IF(G820=0,"无伤害",ROUNDUP(K820/MAX(1,ROUND(G820*$AC$26,0)),0))</x:f>
        <x:v>10</x:v>
      </x:c>
      <x:c r="N820" s="6" t="n">
        <x:f>ROUNDUP(F820/英雄升级调参!$H$73,0)</x:f>
        <x:v>2</x:v>
      </x:c>
      <x:c r="O820" s="6">
        <x:f>ROUNDUP(F820/英雄升级调参!$K$73,0)</x:f>
        <x:v>1</x:v>
      </x:c>
      <x:c r="P820" s="6" t="str">
        <x:f>$AA$26</x:f>
        <x:v>普通：3次标准普攻击杀；10次主要攻击致死</x:v>
      </x:c>
      <x:c r="Q820" s="6"/>
      <x:c r="R820" s="6"/>
      <x:c r="S820" s="6"/>
      <x:c r="T820" s="6"/>
    </x:row>
    <x:row r="821" ht="21" customHeight="1">
      <x:c r="A821" s="14" t="n">
        <x:f>$V$26</x:f>
        <x:v>60013</x:v>
      </x:c>
      <x:c r="B821" s="14" t="str">
        <x:f>$W$26</x:f>
        <x:v>炮弹鸭梨</x:v>
      </x:c>
      <x:c r="C821" s="6" t="str">
        <x:f>$X$26</x:f>
        <x:v>远程</x:v>
      </x:c>
      <x:c r="D821" s="6">
        <x:v>9</x:v>
      </x:c>
      <x:c r="E821" s="6">
        <x:v>26</x:v>
      </x:c>
      <x:c r="F821" s="12">
        <x:f>ROUND(J821*$W$4*H821,0)</x:f>
        <x:v>828</x:v>
      </x:c>
      <x:c r="G821" s="12">
        <x:f>ROUND(J821*$W$4*$W$5*I821,0)</x:f>
        <x:v>276</x:v>
      </x:c>
      <x:c r="H821" s="11" t="n">
        <x:f>$Y$26</x:f>
        <x:v>0.75</x:v>
      </x:c>
      <x:c r="I821" s="11" t="n">
        <x:f>$Z$26</x:f>
        <x:v>3.3333333333333335</x:v>
      </x:c>
      <x:c r="J821" s="12">
        <x:f>英雄升级调参!$E$74</x:f>
        <x:v>276</x:v>
      </x:c>
      <x:c r="K821" s="12">
        <x:f>英雄升级调参!$F$74</x:f>
        <x:v>2760</x:v>
      </x:c>
      <x:c r="L821" s="6" t="n">
        <x:f>ROUNDUP(F821/J821,0)</x:f>
        <x:v>3</x:v>
      </x:c>
      <x:c r="M821" s="6" t="n">
        <x:f>IF(G821=0,"无伤害",ROUNDUP(K821/MAX(1,ROUND(G821*$AC$26,0)),0))</x:f>
        <x:v>10</x:v>
      </x:c>
      <x:c r="N821" s="6" t="n">
        <x:f>ROUNDUP(F821/英雄升级调参!$H$74,0)</x:f>
        <x:v>2</x:v>
      </x:c>
      <x:c r="O821" s="6">
        <x:f>ROUNDUP(F821/英雄升级调参!$K$74,0)</x:f>
        <x:v>1</x:v>
      </x:c>
      <x:c r="P821" s="6" t="str">
        <x:f>$AA$26</x:f>
        <x:v>普通：3次标准普攻击杀；10次主要攻击致死</x:v>
      </x:c>
      <x:c r="Q821" s="6"/>
      <x:c r="R821" s="6"/>
      <x:c r="S821" s="6"/>
      <x:c r="T821" s="6"/>
    </x:row>
    <x:row r="822" ht="21" customHeight="1">
      <x:c r="A822" s="14" t="n">
        <x:f>$V$26</x:f>
        <x:v>60013</x:v>
      </x:c>
      <x:c r="B822" s="14" t="str">
        <x:f>$W$26</x:f>
        <x:v>炮弹鸭梨</x:v>
      </x:c>
      <x:c r="C822" s="6" t="str">
        <x:f>$X$26</x:f>
        <x:v>远程</x:v>
      </x:c>
      <x:c r="D822" s="6">
        <x:v>10</x:v>
      </x:c>
      <x:c r="E822" s="6">
        <x:v>26</x:v>
      </x:c>
      <x:c r="F822" s="12">
        <x:f>ROUND(J822*$W$4*H822,0)</x:f>
        <x:v>1071</x:v>
      </x:c>
      <x:c r="G822" s="12">
        <x:f>ROUND(J822*$W$4*$W$5*I822,0)</x:f>
        <x:v>357</x:v>
      </x:c>
      <x:c r="H822" s="11" t="n">
        <x:f>$Y$26</x:f>
        <x:v>0.75</x:v>
      </x:c>
      <x:c r="I822" s="11" t="n">
        <x:f>$Z$26</x:f>
        <x:v>3.3333333333333335</x:v>
      </x:c>
      <x:c r="J822" s="12">
        <x:f>英雄升级调参!$E$75</x:f>
        <x:v>357</x:v>
      </x:c>
      <x:c r="K822" s="12">
        <x:f>英雄升级调参!$F$75</x:f>
        <x:v>3570</x:v>
      </x:c>
      <x:c r="L822" s="6" t="n">
        <x:f>ROUNDUP(F822/J822,0)</x:f>
        <x:v>3</x:v>
      </x:c>
      <x:c r="M822" s="6" t="n">
        <x:f>IF(G822=0,"无伤害",ROUNDUP(K822/MAX(1,ROUND(G822*$AC$26,0)),0))</x:f>
        <x:v>10</x:v>
      </x:c>
      <x:c r="N822" s="6" t="n">
        <x:f>ROUNDUP(F822/英雄升级调参!$H$75,0)</x:f>
        <x:v>2</x:v>
      </x:c>
      <x:c r="O822" s="6">
        <x:f>ROUNDUP(F822/英雄升级调参!$K$75,0)</x:f>
        <x:v>1</x:v>
      </x:c>
      <x:c r="P822" s="6" t="str">
        <x:f>$AA$26</x:f>
        <x:v>普通：3次标准普攻击杀；10次主要攻击致死</x:v>
      </x:c>
      <x:c r="Q822" s="6"/>
      <x:c r="R822" s="6"/>
      <x:c r="S822" s="6"/>
      <x:c r="T822" s="6"/>
    </x:row>
    <x:row r="823" ht="21" customHeight="1">
      <x:c r="A823" s="14" t="n">
        <x:f>$V$26</x:f>
        <x:v>60013</x:v>
      </x:c>
      <x:c r="B823" s="14" t="str">
        <x:f>$W$26</x:f>
        <x:v>炮弹鸭梨</x:v>
      </x:c>
      <x:c r="C823" s="6" t="str">
        <x:f>$X$26</x:f>
        <x:v>远程</x:v>
      </x:c>
      <x:c r="D823" s="6">
        <x:v>11</x:v>
      </x:c>
      <x:c r="E823" s="6">
        <x:v>26</x:v>
      </x:c>
      <x:c r="F823" s="12">
        <x:f>ROUND(J823*$W$4*H823,0)</x:f>
        <x:v>1179</x:v>
      </x:c>
      <x:c r="G823" s="12">
        <x:f>ROUND(J823*$W$4*$W$5*I823,0)</x:f>
        <x:v>393</x:v>
      </x:c>
      <x:c r="H823" s="11" t="n">
        <x:f>$Y$26</x:f>
        <x:v>0.75</x:v>
      </x:c>
      <x:c r="I823" s="11" t="n">
        <x:f>$Z$26</x:f>
        <x:v>3.3333333333333335</x:v>
      </x:c>
      <x:c r="J823" s="12">
        <x:f>英雄升级调参!$E$76</x:f>
        <x:v>393</x:v>
      </x:c>
      <x:c r="K823" s="12">
        <x:f>英雄升级调参!$F$76</x:f>
        <x:v>3930</x:v>
      </x:c>
      <x:c r="L823" s="6" t="n">
        <x:f>ROUNDUP(F823/J823,0)</x:f>
        <x:v>3</x:v>
      </x:c>
      <x:c r="M823" s="6" t="n">
        <x:f>IF(G823=0,"无伤害",ROUNDUP(K823/MAX(1,ROUND(G823*$AC$26,0)),0))</x:f>
        <x:v>10</x:v>
      </x:c>
      <x:c r="N823" s="6" t="n">
        <x:f>ROUNDUP(F823/英雄升级调参!$H$76,0)</x:f>
        <x:v>2</x:v>
      </x:c>
      <x:c r="O823" s="6">
        <x:f>ROUNDUP(F823/英雄升级调参!$K$76,0)</x:f>
        <x:v>1</x:v>
      </x:c>
      <x:c r="P823" s="6" t="str">
        <x:f>$AA$26</x:f>
        <x:v>普通：3次标准普攻击杀；10次主要攻击致死</x:v>
      </x:c>
      <x:c r="Q823" s="6"/>
      <x:c r="R823" s="6"/>
      <x:c r="S823" s="6"/>
      <x:c r="T823" s="6"/>
    </x:row>
    <x:row r="824" ht="21" customHeight="1">
      <x:c r="A824" s="14" t="n">
        <x:f>$V$26</x:f>
        <x:v>60013</x:v>
      </x:c>
      <x:c r="B824" s="14" t="str">
        <x:f>$W$26</x:f>
        <x:v>炮弹鸭梨</x:v>
      </x:c>
      <x:c r="C824" s="6" t="str">
        <x:f>$X$26</x:f>
        <x:v>远程</x:v>
      </x:c>
      <x:c r="D824" s="6">
        <x:v>12</x:v>
      </x:c>
      <x:c r="E824" s="6">
        <x:v>26</x:v>
      </x:c>
      <x:c r="F824" s="12">
        <x:f>ROUND(J824*$W$4*H824,0)</x:f>
        <x:v>1287</x:v>
      </x:c>
      <x:c r="G824" s="12">
        <x:f>ROUND(J824*$W$4*$W$5*I824,0)</x:f>
        <x:v>429</x:v>
      </x:c>
      <x:c r="H824" s="11" t="n">
        <x:f>$Y$26</x:f>
        <x:v>0.75</x:v>
      </x:c>
      <x:c r="I824" s="11" t="n">
        <x:f>$Z$26</x:f>
        <x:v>3.3333333333333335</x:v>
      </x:c>
      <x:c r="J824" s="12">
        <x:f>英雄升级调参!$E$77</x:f>
        <x:v>429</x:v>
      </x:c>
      <x:c r="K824" s="12">
        <x:f>英雄升级调参!$F$77</x:f>
        <x:v>4290</x:v>
      </x:c>
      <x:c r="L824" s="6" t="n">
        <x:f>ROUNDUP(F824/J824,0)</x:f>
        <x:v>3</x:v>
      </x:c>
      <x:c r="M824" s="6" t="n">
        <x:f>IF(G824=0,"无伤害",ROUNDUP(K824/MAX(1,ROUND(G824*$AC$26,0)),0))</x:f>
        <x:v>10</x:v>
      </x:c>
      <x:c r="N824" s="6" t="n">
        <x:f>ROUNDUP(F824/英雄升级调参!$H$77,0)</x:f>
        <x:v>2</x:v>
      </x:c>
      <x:c r="O824" s="6" t="n">
        <x:f>ROUNDUP(F824/英雄升级调参!$K$77,0)</x:f>
        <x:v>2</x:v>
      </x:c>
      <x:c r="P824" s="6" t="str">
        <x:f>$AA$26</x:f>
        <x:v>普通：3次标准普攻击杀；10次主要攻击致死</x:v>
      </x:c>
      <x:c r="Q824" s="6"/>
      <x:c r="R824" s="6"/>
      <x:c r="S824" s="6"/>
      <x:c r="T824" s="6"/>
    </x:row>
    <x:row r="825" ht="21" customHeight="1">
      <x:c r="A825" s="14" t="n">
        <x:f>$V$26</x:f>
        <x:v>60013</x:v>
      </x:c>
      <x:c r="B825" s="14" t="str">
        <x:f>$W$26</x:f>
        <x:v>炮弹鸭梨</x:v>
      </x:c>
      <x:c r="C825" s="6" t="str">
        <x:f>$X$26</x:f>
        <x:v>远程</x:v>
      </x:c>
      <x:c r="D825" s="6">
        <x:v>13</x:v>
      </x:c>
      <x:c r="E825" s="6">
        <x:v>26</x:v>
      </x:c>
      <x:c r="F825" s="12">
        <x:f>ROUND(J825*$W$4*H825,0)</x:f>
        <x:v>1395</x:v>
      </x:c>
      <x:c r="G825" s="12">
        <x:f>ROUND(J825*$W$4*$W$5*I825,0)</x:f>
        <x:v>465</x:v>
      </x:c>
      <x:c r="H825" s="11" t="n">
        <x:f>$Y$26</x:f>
        <x:v>0.75</x:v>
      </x:c>
      <x:c r="I825" s="11" t="n">
        <x:f>$Z$26</x:f>
        <x:v>3.3333333333333335</x:v>
      </x:c>
      <x:c r="J825" s="12">
        <x:f>英雄升级调参!$E$78</x:f>
        <x:v>465</x:v>
      </x:c>
      <x:c r="K825" s="12">
        <x:f>英雄升级调参!$F$78</x:f>
        <x:v>4650</x:v>
      </x:c>
      <x:c r="L825" s="6" t="n">
        <x:f>ROUNDUP(F825/J825,0)</x:f>
        <x:v>3</x:v>
      </x:c>
      <x:c r="M825" s="6" t="n">
        <x:f>IF(G825=0,"无伤害",ROUNDUP(K825/MAX(1,ROUND(G825*$AC$26,0)),0))</x:f>
        <x:v>10</x:v>
      </x:c>
      <x:c r="N825" s="6" t="n">
        <x:f>ROUNDUP(F825/英雄升级调参!$H$78,0)</x:f>
        <x:v>2</x:v>
      </x:c>
      <x:c r="O825" s="6" t="n">
        <x:f>ROUNDUP(F825/英雄升级调参!$K$78,0)</x:f>
        <x:v>2</x:v>
      </x:c>
      <x:c r="P825" s="6" t="str">
        <x:f>$AA$26</x:f>
        <x:v>普通：3次标准普攻击杀；10次主要攻击致死</x:v>
      </x:c>
      <x:c r="Q825" s="6"/>
      <x:c r="R825" s="6"/>
      <x:c r="S825" s="6"/>
      <x:c r="T825" s="6"/>
    </x:row>
    <x:row r="826" ht="21" customHeight="1">
      <x:c r="A826" s="14" t="n">
        <x:f>$V$26</x:f>
        <x:v>60013</x:v>
      </x:c>
      <x:c r="B826" s="14" t="str">
        <x:f>$W$26</x:f>
        <x:v>炮弹鸭梨</x:v>
      </x:c>
      <x:c r="C826" s="6" t="str">
        <x:f>$X$26</x:f>
        <x:v>远程</x:v>
      </x:c>
      <x:c r="D826" s="6">
        <x:v>14</x:v>
      </x:c>
      <x:c r="E826" s="6">
        <x:v>26</x:v>
      </x:c>
      <x:c r="F826" s="12">
        <x:f>ROUND(J826*$W$4*H826,0)</x:f>
        <x:v>1503</x:v>
      </x:c>
      <x:c r="G826" s="12">
        <x:f>ROUND(J826*$W$4*$W$5*I826,0)</x:f>
        <x:v>501</x:v>
      </x:c>
      <x:c r="H826" s="11" t="n">
        <x:f>$Y$26</x:f>
        <x:v>0.75</x:v>
      </x:c>
      <x:c r="I826" s="11" t="n">
        <x:f>$Z$26</x:f>
        <x:v>3.3333333333333335</x:v>
      </x:c>
      <x:c r="J826" s="12">
        <x:f>英雄升级调参!$E$79</x:f>
        <x:v>501</x:v>
      </x:c>
      <x:c r="K826" s="12">
        <x:f>英雄升级调参!$F$79</x:f>
        <x:v>5010</x:v>
      </x:c>
      <x:c r="L826" s="6" t="n">
        <x:f>ROUNDUP(F826/J826,0)</x:f>
        <x:v>3</x:v>
      </x:c>
      <x:c r="M826" s="6" t="n">
        <x:f>IF(G826=0,"无伤害",ROUNDUP(K826/MAX(1,ROUND(G826*$AC$26,0)),0))</x:f>
        <x:v>10</x:v>
      </x:c>
      <x:c r="N826" s="6" t="n">
        <x:f>ROUNDUP(F826/英雄升级调参!$H$79,0)</x:f>
        <x:v>2</x:v>
      </x:c>
      <x:c r="O826" s="6" t="n">
        <x:f>ROUNDUP(F826/英雄升级调参!$K$79,0)</x:f>
        <x:v>2</x:v>
      </x:c>
      <x:c r="P826" s="6" t="str">
        <x:f>$AA$26</x:f>
        <x:v>普通：3次标准普攻击杀；10次主要攻击致死</x:v>
      </x:c>
      <x:c r="Q826" s="6"/>
      <x:c r="R826" s="6"/>
      <x:c r="S826" s="6"/>
      <x:c r="T826" s="6"/>
    </x:row>
    <x:row r="827" ht="21" customHeight="1">
      <x:c r="A827" s="14" t="n">
        <x:f>$V$26</x:f>
        <x:v>60013</x:v>
      </x:c>
      <x:c r="B827" s="14" t="str">
        <x:f>$W$26</x:f>
        <x:v>炮弹鸭梨</x:v>
      </x:c>
      <x:c r="C827" s="6" t="str">
        <x:f>$X$26</x:f>
        <x:v>远程</x:v>
      </x:c>
      <x:c r="D827" s="6">
        <x:v>15</x:v>
      </x:c>
      <x:c r="E827" s="6">
        <x:v>26</x:v>
      </x:c>
      <x:c r="F827" s="12">
        <x:f>ROUND(J827*$W$4*H827,0)</x:f>
        <x:v>1827</x:v>
      </x:c>
      <x:c r="G827" s="12">
        <x:f>ROUND(J827*$W$4*$W$5*I827,0)</x:f>
        <x:v>609</x:v>
      </x:c>
      <x:c r="H827" s="11" t="n">
        <x:f>$Y$26</x:f>
        <x:v>0.75</x:v>
      </x:c>
      <x:c r="I827" s="11" t="n">
        <x:f>$Z$26</x:f>
        <x:v>3.3333333333333335</x:v>
      </x:c>
      <x:c r="J827" s="12">
        <x:f>英雄升级调参!$E$80</x:f>
        <x:v>609</x:v>
      </x:c>
      <x:c r="K827" s="12">
        <x:f>英雄升级调参!$F$80</x:f>
        <x:v>6090</x:v>
      </x:c>
      <x:c r="L827" s="6" t="n">
        <x:f>ROUNDUP(F827/J827,0)</x:f>
        <x:v>3</x:v>
      </x:c>
      <x:c r="M827" s="6" t="n">
        <x:f>IF(G827=0,"无伤害",ROUNDUP(K827/MAX(1,ROUND(G827*$AC$26,0)),0))</x:f>
        <x:v>10</x:v>
      </x:c>
      <x:c r="N827" s="6" t="n">
        <x:f>ROUNDUP(F827/英雄升级调参!$H$80,0)</x:f>
        <x:v>2</x:v>
      </x:c>
      <x:c r="O827" s="6" t="n">
        <x:f>ROUNDUP(F827/英雄升级调参!$K$80,0)</x:f>
        <x:v>2</x:v>
      </x:c>
      <x:c r="P827" s="6" t="str">
        <x:f>$AA$26</x:f>
        <x:v>普通：3次标准普攻击杀；10次主要攻击致死</x:v>
      </x:c>
      <x:c r="Q827" s="6"/>
      <x:c r="R827" s="6"/>
      <x:c r="S827" s="6"/>
      <x:c r="T827" s="6"/>
    </x:row>
    <x:row r="828" ht="21" customHeight="1">
      <x:c r="A828" s="14" t="n">
        <x:f>$V$26</x:f>
        <x:v>60013</x:v>
      </x:c>
      <x:c r="B828" s="14" t="str">
        <x:f>$W$26</x:f>
        <x:v>炮弹鸭梨</x:v>
      </x:c>
      <x:c r="C828" s="6" t="str">
        <x:f>$X$26</x:f>
        <x:v>远程</x:v>
      </x:c>
      <x:c r="D828" s="6">
        <x:v>16</x:v>
      </x:c>
      <x:c r="E828" s="6">
        <x:v>26</x:v>
      </x:c>
      <x:c r="F828" s="12">
        <x:f>ROUND(J828*$W$4*H828,0)</x:f>
        <x:v>1962</x:v>
      </x:c>
      <x:c r="G828" s="12">
        <x:f>ROUND(J828*$W$4*$W$5*I828,0)</x:f>
        <x:v>654</x:v>
      </x:c>
      <x:c r="H828" s="11" t="n">
        <x:f>$Y$26</x:f>
        <x:v>0.75</x:v>
      </x:c>
      <x:c r="I828" s="11" t="n">
        <x:f>$Z$26</x:f>
        <x:v>3.3333333333333335</x:v>
      </x:c>
      <x:c r="J828" s="12">
        <x:f>英雄升级调参!$E$81</x:f>
        <x:v>654</x:v>
      </x:c>
      <x:c r="K828" s="12">
        <x:f>英雄升级调参!$F$81</x:f>
        <x:v>6540</x:v>
      </x:c>
      <x:c r="L828" s="6" t="n">
        <x:f>ROUNDUP(F828/J828,0)</x:f>
        <x:v>3</x:v>
      </x:c>
      <x:c r="M828" s="6" t="n">
        <x:f>IF(G828=0,"无伤害",ROUNDUP(K828/MAX(1,ROUND(G828*$AC$26,0)),0))</x:f>
        <x:v>10</x:v>
      </x:c>
      <x:c r="N828" s="6" t="n">
        <x:f>ROUNDUP(F828/英雄升级调参!$H$81,0)</x:f>
        <x:v>2</x:v>
      </x:c>
      <x:c r="O828" s="6" t="n">
        <x:f>ROUNDUP(F828/英雄升级调参!$K$81,0)</x:f>
        <x:v>2</x:v>
      </x:c>
      <x:c r="P828" s="6" t="str">
        <x:f>$AA$26</x:f>
        <x:v>普通：3次标准普攻击杀；10次主要攻击致死</x:v>
      </x:c>
      <x:c r="Q828" s="6"/>
      <x:c r="R828" s="6"/>
      <x:c r="S828" s="6"/>
      <x:c r="T828" s="6"/>
    </x:row>
    <x:row r="829" ht="21" customHeight="1">
      <x:c r="A829" s="14" t="n">
        <x:f>$V$26</x:f>
        <x:v>60013</x:v>
      </x:c>
      <x:c r="B829" s="14" t="str">
        <x:f>$W$26</x:f>
        <x:v>炮弹鸭梨</x:v>
      </x:c>
      <x:c r="C829" s="6" t="str">
        <x:f>$X$26</x:f>
        <x:v>远程</x:v>
      </x:c>
      <x:c r="D829" s="6">
        <x:v>17</x:v>
      </x:c>
      <x:c r="E829" s="6">
        <x:v>26</x:v>
      </x:c>
      <x:c r="F829" s="12">
        <x:f>ROUND(J829*$W$4*H829,0)</x:f>
        <x:v>2097</x:v>
      </x:c>
      <x:c r="G829" s="12">
        <x:f>ROUND(J829*$W$4*$W$5*I829,0)</x:f>
        <x:v>699</x:v>
      </x:c>
      <x:c r="H829" s="11" t="n">
        <x:f>$Y$26</x:f>
        <x:v>0.75</x:v>
      </x:c>
      <x:c r="I829" s="11" t="n">
        <x:f>$Z$26</x:f>
        <x:v>3.3333333333333335</x:v>
      </x:c>
      <x:c r="J829" s="12">
        <x:f>英雄升级调参!$E$82</x:f>
        <x:v>699</x:v>
      </x:c>
      <x:c r="K829" s="12">
        <x:f>英雄升级调参!$F$82</x:f>
        <x:v>6990</x:v>
      </x:c>
      <x:c r="L829" s="6" t="n">
        <x:f>ROUNDUP(F829/J829,0)</x:f>
        <x:v>3</x:v>
      </x:c>
      <x:c r="M829" s="6" t="n">
        <x:f>IF(G829=0,"无伤害",ROUNDUP(K829/MAX(1,ROUND(G829*$AC$26,0)),0))</x:f>
        <x:v>10</x:v>
      </x:c>
      <x:c r="N829" s="6" t="n">
        <x:f>ROUNDUP(F829/英雄升级调参!$H$82,0)</x:f>
        <x:v>2</x:v>
      </x:c>
      <x:c r="O829" s="6" t="n">
        <x:f>ROUNDUP(F829/英雄升级调参!$K$82,0)</x:f>
        <x:v>2</x:v>
      </x:c>
      <x:c r="P829" s="6" t="str">
        <x:f>$AA$26</x:f>
        <x:v>普通：3次标准普攻击杀；10次主要攻击致死</x:v>
      </x:c>
      <x:c r="Q829" s="6"/>
      <x:c r="R829" s="6"/>
      <x:c r="S829" s="6"/>
      <x:c r="T829" s="6"/>
    </x:row>
    <x:row r="830" ht="21" customHeight="1">
      <x:c r="A830" s="14" t="n">
        <x:f>$V$26</x:f>
        <x:v>60013</x:v>
      </x:c>
      <x:c r="B830" s="14" t="str">
        <x:f>$W$26</x:f>
        <x:v>炮弹鸭梨</x:v>
      </x:c>
      <x:c r="C830" s="6" t="str">
        <x:f>$X$26</x:f>
        <x:v>远程</x:v>
      </x:c>
      <x:c r="D830" s="6">
        <x:v>18</x:v>
      </x:c>
      <x:c r="E830" s="6">
        <x:v>26</x:v>
      </x:c>
      <x:c r="F830" s="12">
        <x:f>ROUND(J830*$W$4*H830,0)</x:f>
        <x:v>2232</x:v>
      </x:c>
      <x:c r="G830" s="12">
        <x:f>ROUND(J830*$W$4*$W$5*I830,0)</x:f>
        <x:v>744</x:v>
      </x:c>
      <x:c r="H830" s="11" t="n">
        <x:f>$Y$26</x:f>
        <x:v>0.75</x:v>
      </x:c>
      <x:c r="I830" s="11" t="n">
        <x:f>$Z$26</x:f>
        <x:v>3.3333333333333335</x:v>
      </x:c>
      <x:c r="J830" s="12">
        <x:f>英雄升级调参!$E$83</x:f>
        <x:v>744</x:v>
      </x:c>
      <x:c r="K830" s="12">
        <x:f>英雄升级调参!$F$83</x:f>
        <x:v>7440</x:v>
      </x:c>
      <x:c r="L830" s="6" t="n">
        <x:f>ROUNDUP(F830/J830,0)</x:f>
        <x:v>3</x:v>
      </x:c>
      <x:c r="M830" s="6" t="n">
        <x:f>IF(G830=0,"无伤害",ROUNDUP(K830/MAX(1,ROUND(G830*$AC$26,0)),0))</x:f>
        <x:v>10</x:v>
      </x:c>
      <x:c r="N830" s="6" t="n">
        <x:f>ROUNDUP(F830/英雄升级调参!$H$83,0)</x:f>
        <x:v>2</x:v>
      </x:c>
      <x:c r="O830" s="6" t="n">
        <x:f>ROUNDUP(F830/英雄升级调参!$K$83,0)</x:f>
        <x:v>2</x:v>
      </x:c>
      <x:c r="P830" s="6" t="str">
        <x:f>$AA$26</x:f>
        <x:v>普通：3次标准普攻击杀；10次主要攻击致死</x:v>
      </x:c>
      <x:c r="Q830" s="6"/>
      <x:c r="R830" s="6"/>
      <x:c r="S830" s="6"/>
      <x:c r="T830" s="6"/>
    </x:row>
    <x:row r="831" ht="21" customHeight="1">
      <x:c r="A831" s="14" t="n">
        <x:f>$V$26</x:f>
        <x:v>60013</x:v>
      </x:c>
      <x:c r="B831" s="14" t="str">
        <x:f>$W$26</x:f>
        <x:v>炮弹鸭梨</x:v>
      </x:c>
      <x:c r="C831" s="6" t="str">
        <x:f>$X$26</x:f>
        <x:v>远程</x:v>
      </x:c>
      <x:c r="D831" s="6">
        <x:v>19</x:v>
      </x:c>
      <x:c r="E831" s="6">
        <x:v>26</x:v>
      </x:c>
      <x:c r="F831" s="12">
        <x:f>ROUND(J831*$W$4*H831,0)</x:f>
        <x:v>2367</x:v>
      </x:c>
      <x:c r="G831" s="12">
        <x:f>ROUND(J831*$W$4*$W$5*I831,0)</x:f>
        <x:v>789</x:v>
      </x:c>
      <x:c r="H831" s="11" t="n">
        <x:f>$Y$26</x:f>
        <x:v>0.75</x:v>
      </x:c>
      <x:c r="I831" s="11" t="n">
        <x:f>$Z$26</x:f>
        <x:v>3.3333333333333335</x:v>
      </x:c>
      <x:c r="J831" s="12">
        <x:f>英雄升级调参!$E$84</x:f>
        <x:v>789</x:v>
      </x:c>
      <x:c r="K831" s="12">
        <x:f>英雄升级调参!$F$84</x:f>
        <x:v>7890</x:v>
      </x:c>
      <x:c r="L831" s="6" t="n">
        <x:f>ROUNDUP(F831/J831,0)</x:f>
        <x:v>3</x:v>
      </x:c>
      <x:c r="M831" s="6" t="n">
        <x:f>IF(G831=0,"无伤害",ROUNDUP(K831/MAX(1,ROUND(G831*$AC$26,0)),0))</x:f>
        <x:v>10</x:v>
      </x:c>
      <x:c r="N831" s="6" t="n">
        <x:f>ROUNDUP(F831/英雄升级调参!$H$84,0)</x:f>
        <x:v>2</x:v>
      </x:c>
      <x:c r="O831" s="6" t="n">
        <x:f>ROUNDUP(F831/英雄升级调参!$K$84,0)</x:f>
        <x:v>2</x:v>
      </x:c>
      <x:c r="P831" s="6" t="str">
        <x:f>$AA$26</x:f>
        <x:v>普通：3次标准普攻击杀；10次主要攻击致死</x:v>
      </x:c>
      <x:c r="Q831" s="6"/>
      <x:c r="R831" s="6"/>
      <x:c r="S831" s="6"/>
      <x:c r="T831" s="6"/>
    </x:row>
    <x:row r="832" ht="21" customHeight="1">
      <x:c r="A832" s="14" t="n">
        <x:f>$V$26</x:f>
        <x:v>60013</x:v>
      </x:c>
      <x:c r="B832" s="14" t="str">
        <x:f>$W$26</x:f>
        <x:v>炮弹鸭梨</x:v>
      </x:c>
      <x:c r="C832" s="6" t="str">
        <x:f>$X$26</x:f>
        <x:v>远程</x:v>
      </x:c>
      <x:c r="D832" s="6">
        <x:v>20</x:v>
      </x:c>
      <x:c r="E832" s="6">
        <x:v>26</x:v>
      </x:c>
      <x:c r="F832" s="12">
        <x:f>ROUND(J832*$W$4*H832,0)</x:f>
        <x:v>2772</x:v>
      </x:c>
      <x:c r="G832" s="12">
        <x:f>ROUND(J832*$W$4*$W$5*I832,0)</x:f>
        <x:v>924</x:v>
      </x:c>
      <x:c r="H832" s="11" t="n">
        <x:f>$Y$26</x:f>
        <x:v>0.75</x:v>
      </x:c>
      <x:c r="I832" s="11" t="n">
        <x:f>$Z$26</x:f>
        <x:v>3.3333333333333335</x:v>
      </x:c>
      <x:c r="J832" s="12">
        <x:f>英雄升级调参!$E$85</x:f>
        <x:v>924</x:v>
      </x:c>
      <x:c r="K832" s="12">
        <x:f>英雄升级调参!$F$85</x:f>
        <x:v>9240</x:v>
      </x:c>
      <x:c r="L832" s="6" t="n">
        <x:f>ROUNDUP(F832/J832,0)</x:f>
        <x:v>3</x:v>
      </x:c>
      <x:c r="M832" s="6" t="n">
        <x:f>IF(G832=0,"无伤害",ROUNDUP(K832/MAX(1,ROUND(G832*$AC$26,0)),0))</x:f>
        <x:v>10</x:v>
      </x:c>
      <x:c r="N832" s="6" t="n">
        <x:f>ROUNDUP(F832/英雄升级调参!$H$85,0)</x:f>
        <x:v>2</x:v>
      </x:c>
      <x:c r="O832" s="6" t="n">
        <x:f>ROUNDUP(F832/英雄升级调参!$K$85,0)</x:f>
        <x:v>2</x:v>
      </x:c>
      <x:c r="P832" s="6" t="str">
        <x:f>$AA$26</x:f>
        <x:v>普通：3次标准普攻击杀；10次主要攻击致死</x:v>
      </x:c>
      <x:c r="Q832" s="6"/>
      <x:c r="R832" s="6"/>
      <x:c r="S832" s="6"/>
      <x:c r="T832" s="6"/>
    </x:row>
    <x:row r="833" ht="21" customHeight="1">
      <x:c r="A833" s="14" t="n">
        <x:f>$V$26</x:f>
        <x:v>60013</x:v>
      </x:c>
      <x:c r="B833" s="14" t="str">
        <x:f>$W$26</x:f>
        <x:v>炮弹鸭梨</x:v>
      </x:c>
      <x:c r="C833" s="6" t="str">
        <x:f>$X$26</x:f>
        <x:v>远程</x:v>
      </x:c>
      <x:c r="D833" s="6">
        <x:v>21</x:v>
      </x:c>
      <x:c r="E833" s="6">
        <x:v>26</x:v>
      </x:c>
      <x:c r="F833" s="12">
        <x:f>ROUND(J833*$W$4*H833,0)</x:f>
        <x:v>2934</x:v>
      </x:c>
      <x:c r="G833" s="12">
        <x:f>ROUND(J833*$W$4*$W$5*I833,0)</x:f>
        <x:v>978</x:v>
      </x:c>
      <x:c r="H833" s="11" t="n">
        <x:f>$Y$26</x:f>
        <x:v>0.75</x:v>
      </x:c>
      <x:c r="I833" s="11" t="n">
        <x:f>$Z$26</x:f>
        <x:v>3.3333333333333335</x:v>
      </x:c>
      <x:c r="J833" s="12">
        <x:f>英雄升级调参!$E$86</x:f>
        <x:v>978</x:v>
      </x:c>
      <x:c r="K833" s="12">
        <x:f>英雄升级调参!$F$86</x:f>
        <x:v>9780</x:v>
      </x:c>
      <x:c r="L833" s="6" t="n">
        <x:f>ROUNDUP(F833/J833,0)</x:f>
        <x:v>3</x:v>
      </x:c>
      <x:c r="M833" s="6" t="n">
        <x:f>IF(G833=0,"无伤害",ROUNDUP(K833/MAX(1,ROUND(G833*$AC$26,0)),0))</x:f>
        <x:v>10</x:v>
      </x:c>
      <x:c r="N833" s="6" t="n">
        <x:f>ROUNDUP(F833/英雄升级调参!$H$86,0)</x:f>
        <x:v>2</x:v>
      </x:c>
      <x:c r="O833" s="6" t="n">
        <x:f>ROUNDUP(F833/英雄升级调参!$K$86,0)</x:f>
        <x:v>2</x:v>
      </x:c>
      <x:c r="P833" s="6" t="str">
        <x:f>$AA$26</x:f>
        <x:v>普通：3次标准普攻击杀；10次主要攻击致死</x:v>
      </x:c>
      <x:c r="Q833" s="6"/>
      <x:c r="R833" s="6"/>
      <x:c r="S833" s="6"/>
      <x:c r="T833" s="6"/>
    </x:row>
    <x:row r="834" ht="21" customHeight="1">
      <x:c r="A834" s="14" t="n">
        <x:f>$V$26</x:f>
        <x:v>60013</x:v>
      </x:c>
      <x:c r="B834" s="14" t="str">
        <x:f>$W$26</x:f>
        <x:v>炮弹鸭梨</x:v>
      </x:c>
      <x:c r="C834" s="6" t="str">
        <x:f>$X$26</x:f>
        <x:v>远程</x:v>
      </x:c>
      <x:c r="D834" s="6">
        <x:v>22</x:v>
      </x:c>
      <x:c r="E834" s="6">
        <x:v>26</x:v>
      </x:c>
      <x:c r="F834" s="12">
        <x:f>ROUND(J834*$W$4*H834,0)</x:f>
        <x:v>3096</x:v>
      </x:c>
      <x:c r="G834" s="12">
        <x:f>ROUND(J834*$W$4*$W$5*I834,0)</x:f>
        <x:v>1032</x:v>
      </x:c>
      <x:c r="H834" s="11" t="n">
        <x:f>$Y$26</x:f>
        <x:v>0.75</x:v>
      </x:c>
      <x:c r="I834" s="11" t="n">
        <x:f>$Z$26</x:f>
        <x:v>3.3333333333333335</x:v>
      </x:c>
      <x:c r="J834" s="12">
        <x:f>英雄升级调参!$E$87</x:f>
        <x:v>1032</x:v>
      </x:c>
      <x:c r="K834" s="12">
        <x:f>英雄升级调参!$F$87</x:f>
        <x:v>10320</x:v>
      </x:c>
      <x:c r="L834" s="6" t="n">
        <x:f>ROUNDUP(F834/J834,0)</x:f>
        <x:v>3</x:v>
      </x:c>
      <x:c r="M834" s="6" t="n">
        <x:f>IF(G834=0,"无伤害",ROUNDUP(K834/MAX(1,ROUND(G834*$AC$26,0)),0))</x:f>
        <x:v>10</x:v>
      </x:c>
      <x:c r="N834" s="6" t="n">
        <x:f>ROUNDUP(F834/英雄升级调参!$H$87,0)</x:f>
        <x:v>2</x:v>
      </x:c>
      <x:c r="O834" s="6" t="n">
        <x:f>ROUNDUP(F834/英雄升级调参!$K$87,0)</x:f>
        <x:v>2</x:v>
      </x:c>
      <x:c r="P834" s="6" t="str">
        <x:f>$AA$26</x:f>
        <x:v>普通：3次标准普攻击杀；10次主要攻击致死</x:v>
      </x:c>
      <x:c r="Q834" s="6"/>
      <x:c r="R834" s="6"/>
      <x:c r="S834" s="6"/>
      <x:c r="T834" s="6"/>
    </x:row>
    <x:row r="835" ht="21" customHeight="1">
      <x:c r="A835" s="14" t="n">
        <x:f>$V$26</x:f>
        <x:v>60013</x:v>
      </x:c>
      <x:c r="B835" s="14" t="str">
        <x:f>$W$26</x:f>
        <x:v>炮弹鸭梨</x:v>
      </x:c>
      <x:c r="C835" s="6" t="str">
        <x:f>$X$26</x:f>
        <x:v>远程</x:v>
      </x:c>
      <x:c r="D835" s="6">
        <x:v>23</x:v>
      </x:c>
      <x:c r="E835" s="6">
        <x:v>26</x:v>
      </x:c>
      <x:c r="F835" s="12">
        <x:f>ROUND(J835*$W$4*H835,0)</x:f>
        <x:v>3258</x:v>
      </x:c>
      <x:c r="G835" s="12">
        <x:f>ROUND(J835*$W$4*$W$5*I835,0)</x:f>
        <x:v>1086</x:v>
      </x:c>
      <x:c r="H835" s="11" t="n">
        <x:f>$Y$26</x:f>
        <x:v>0.75</x:v>
      </x:c>
      <x:c r="I835" s="11" t="n">
        <x:f>$Z$26</x:f>
        <x:v>3.3333333333333335</x:v>
      </x:c>
      <x:c r="J835" s="12">
        <x:f>英雄升级调参!$E$88</x:f>
        <x:v>1086</x:v>
      </x:c>
      <x:c r="K835" s="12">
        <x:f>英雄升级调参!$F$88</x:f>
        <x:v>10860</x:v>
      </x:c>
      <x:c r="L835" s="6" t="n">
        <x:f>ROUNDUP(F835/J835,0)</x:f>
        <x:v>3</x:v>
      </x:c>
      <x:c r="M835" s="6" t="n">
        <x:f>IF(G835=0,"无伤害",ROUNDUP(K835/MAX(1,ROUND(G835*$AC$26,0)),0))</x:f>
        <x:v>10</x:v>
      </x:c>
      <x:c r="N835" s="6" t="n">
        <x:f>ROUNDUP(F835/英雄升级调参!$H$88,0)</x:f>
        <x:v>2</x:v>
      </x:c>
      <x:c r="O835" s="6" t="n">
        <x:f>ROUNDUP(F835/英雄升级调参!$K$88,0)</x:f>
        <x:v>2</x:v>
      </x:c>
      <x:c r="P835" s="6" t="str">
        <x:f>$AA$26</x:f>
        <x:v>普通：3次标准普攻击杀；10次主要攻击致死</x:v>
      </x:c>
      <x:c r="Q835" s="6"/>
      <x:c r="R835" s="6"/>
      <x:c r="S835" s="6"/>
      <x:c r="T835" s="6"/>
    </x:row>
    <x:row r="836" ht="21" customHeight="1">
      <x:c r="A836" s="14" t="n">
        <x:f>$V$26</x:f>
        <x:v>60013</x:v>
      </x:c>
      <x:c r="B836" s="14" t="str">
        <x:f>$W$26</x:f>
        <x:v>炮弹鸭梨</x:v>
      </x:c>
      <x:c r="C836" s="6" t="str">
        <x:f>$X$26</x:f>
        <x:v>远程</x:v>
      </x:c>
      <x:c r="D836" s="6">
        <x:v>24</x:v>
      </x:c>
      <x:c r="E836" s="6">
        <x:v>26</x:v>
      </x:c>
      <x:c r="F836" s="12">
        <x:f>ROUND(J836*$W$4*H836,0)</x:f>
        <x:v>3420</x:v>
      </x:c>
      <x:c r="G836" s="12">
        <x:f>ROUND(J836*$W$4*$W$5*I836,0)</x:f>
        <x:v>1140</x:v>
      </x:c>
      <x:c r="H836" s="11" t="n">
        <x:f>$Y$26</x:f>
        <x:v>0.75</x:v>
      </x:c>
      <x:c r="I836" s="11" t="n">
        <x:f>$Z$26</x:f>
        <x:v>3.3333333333333335</x:v>
      </x:c>
      <x:c r="J836" s="12">
        <x:f>英雄升级调参!$E$89</x:f>
        <x:v>1140</x:v>
      </x:c>
      <x:c r="K836" s="12">
        <x:f>英雄升级调参!$F$89</x:f>
        <x:v>11400</x:v>
      </x:c>
      <x:c r="L836" s="6" t="n">
        <x:f>ROUNDUP(F836/J836,0)</x:f>
        <x:v>3</x:v>
      </x:c>
      <x:c r="M836" s="6" t="n">
        <x:f>IF(G836=0,"无伤害",ROUNDUP(K836/MAX(1,ROUND(G836*$AC$26,0)),0))</x:f>
        <x:v>10</x:v>
      </x:c>
      <x:c r="N836" s="6" t="n">
        <x:f>ROUNDUP(F836/英雄升级调参!$H$89,0)</x:f>
        <x:v>2</x:v>
      </x:c>
      <x:c r="O836" s="6" t="n">
        <x:f>ROUNDUP(F836/英雄升级调参!$K$89,0)</x:f>
        <x:v>2</x:v>
      </x:c>
      <x:c r="P836" s="6" t="str">
        <x:f>$AA$26</x:f>
        <x:v>普通：3次标准普攻击杀；10次主要攻击致死</x:v>
      </x:c>
      <x:c r="Q836" s="6"/>
      <x:c r="R836" s="6"/>
      <x:c r="S836" s="6"/>
      <x:c r="T836" s="6"/>
    </x:row>
    <x:row r="837" ht="21" customHeight="1">
      <x:c r="A837" s="14" t="n">
        <x:f>$V$26</x:f>
        <x:v>60013</x:v>
      </x:c>
      <x:c r="B837" s="14" t="str">
        <x:f>$W$26</x:f>
        <x:v>炮弹鸭梨</x:v>
      </x:c>
      <x:c r="C837" s="6" t="str">
        <x:f>$X$26</x:f>
        <x:v>远程</x:v>
      </x:c>
      <x:c r="D837" s="6">
        <x:v>25</x:v>
      </x:c>
      <x:c r="E837" s="6">
        <x:v>26</x:v>
      </x:c>
      <x:c r="F837" s="12">
        <x:f>ROUND(J837*$W$4*H837,0)</x:f>
        <x:v>3906</x:v>
      </x:c>
      <x:c r="G837" s="12">
        <x:f>ROUND(J837*$W$4*$W$5*I837,0)</x:f>
        <x:v>1302</x:v>
      </x:c>
      <x:c r="H837" s="11" t="n">
        <x:f>$Y$26</x:f>
        <x:v>0.75</x:v>
      </x:c>
      <x:c r="I837" s="11" t="n">
        <x:f>$Z$26</x:f>
        <x:v>3.3333333333333335</x:v>
      </x:c>
      <x:c r="J837" s="12">
        <x:f>英雄升级调参!$E$90</x:f>
        <x:v>1302</x:v>
      </x:c>
      <x:c r="K837" s="12">
        <x:f>英雄升级调参!$F$90</x:f>
        <x:v>13020</x:v>
      </x:c>
      <x:c r="L837" s="6" t="n">
        <x:f>ROUNDUP(F837/J837,0)</x:f>
        <x:v>3</x:v>
      </x:c>
      <x:c r="M837" s="6" t="n">
        <x:f>IF(G837=0,"无伤害",ROUNDUP(K837/MAX(1,ROUND(G837*$AC$26,0)),0))</x:f>
        <x:v>10</x:v>
      </x:c>
      <x:c r="N837" s="6" t="n">
        <x:f>ROUNDUP(F837/英雄升级调参!$H$90,0)</x:f>
        <x:v>2</x:v>
      </x:c>
      <x:c r="O837" s="6" t="n">
        <x:f>ROUNDUP(F837/英雄升级调参!$K$90,0)</x:f>
        <x:v>2</x:v>
      </x:c>
      <x:c r="P837" s="6" t="str">
        <x:f>$AA$26</x:f>
        <x:v>普通：3次标准普攻击杀；10次主要攻击致死</x:v>
      </x:c>
      <x:c r="Q837" s="6"/>
      <x:c r="R837" s="6"/>
      <x:c r="S837" s="6"/>
      <x:c r="T837" s="6"/>
    </x:row>
    <x:row r="838" ht="21" customHeight="1">
      <x:c r="A838" s="14" t="n">
        <x:f>$V$26</x:f>
        <x:v>60013</x:v>
      </x:c>
      <x:c r="B838" s="14" t="str">
        <x:f>$W$26</x:f>
        <x:v>炮弹鸭梨</x:v>
      </x:c>
      <x:c r="C838" s="6" t="str">
        <x:f>$X$26</x:f>
        <x:v>远程</x:v>
      </x:c>
      <x:c r="D838" s="6">
        <x:v>26</x:v>
      </x:c>
      <x:c r="E838" s="6">
        <x:v>26</x:v>
      </x:c>
      <x:c r="F838" s="12">
        <x:f>ROUND(J838*$W$4*H838,0)</x:f>
        <x:v>4095</x:v>
      </x:c>
      <x:c r="G838" s="12">
        <x:f>ROUND(J838*$W$4*$W$5*I838,0)</x:f>
        <x:v>1365</x:v>
      </x:c>
      <x:c r="H838" s="11" t="n">
        <x:f>$Y$26</x:f>
        <x:v>0.75</x:v>
      </x:c>
      <x:c r="I838" s="11" t="n">
        <x:f>$Z$26</x:f>
        <x:v>3.3333333333333335</x:v>
      </x:c>
      <x:c r="J838" s="12">
        <x:f>英雄升级调参!$E$91</x:f>
        <x:v>1365</x:v>
      </x:c>
      <x:c r="K838" s="12">
        <x:f>英雄升级调参!$F$91</x:f>
        <x:v>13650</x:v>
      </x:c>
      <x:c r="L838" s="6" t="n">
        <x:f>ROUNDUP(F838/J838,0)</x:f>
        <x:v>3</x:v>
      </x:c>
      <x:c r="M838" s="6" t="n">
        <x:f>IF(G838=0,"无伤害",ROUNDUP(K838/MAX(1,ROUND(G838*$AC$26,0)),0))</x:f>
        <x:v>10</x:v>
      </x:c>
      <x:c r="N838" s="6" t="n">
        <x:f>ROUNDUP(F838/英雄升级调参!$H$91,0)</x:f>
        <x:v>2</x:v>
      </x:c>
      <x:c r="O838" s="6" t="n">
        <x:f>ROUNDUP(F838/英雄升级调参!$K$91,0)</x:f>
        <x:v>2</x:v>
      </x:c>
      <x:c r="P838" s="6" t="str">
        <x:f>$AA$26</x:f>
        <x:v>普通：3次标准普攻击杀；10次主要攻击致死</x:v>
      </x:c>
      <x:c r="Q838" s="6"/>
      <x:c r="R838" s="6"/>
      <x:c r="S838" s="6"/>
      <x:c r="T838" s="6"/>
    </x:row>
    <x:row r="839" ht="21" customHeight="1">
      <x:c r="A839" s="14" t="n">
        <x:f>$V$26</x:f>
        <x:v>60013</x:v>
      </x:c>
      <x:c r="B839" s="14" t="str">
        <x:f>$W$26</x:f>
        <x:v>炮弹鸭梨</x:v>
      </x:c>
      <x:c r="C839" s="6" t="str">
        <x:f>$X$26</x:f>
        <x:v>远程</x:v>
      </x:c>
      <x:c r="D839" s="6">
        <x:v>27</x:v>
      </x:c>
      <x:c r="E839" s="6">
        <x:v>26</x:v>
      </x:c>
      <x:c r="F839" s="12">
        <x:f>ROUND(J839*$W$4*H839,0)</x:f>
        <x:v>4284</x:v>
      </x:c>
      <x:c r="G839" s="12">
        <x:f>ROUND(J839*$W$4*$W$5*I839,0)</x:f>
        <x:v>1428</x:v>
      </x:c>
      <x:c r="H839" s="11" t="n">
        <x:f>$Y$26</x:f>
        <x:v>0.75</x:v>
      </x:c>
      <x:c r="I839" s="11" t="n">
        <x:f>$Z$26</x:f>
        <x:v>3.3333333333333335</x:v>
      </x:c>
      <x:c r="J839" s="12">
        <x:f>英雄升级调参!$E$92</x:f>
        <x:v>1428</x:v>
      </x:c>
      <x:c r="K839" s="12">
        <x:f>英雄升级调参!$F$92</x:f>
        <x:v>14280</x:v>
      </x:c>
      <x:c r="L839" s="6" t="n">
        <x:f>ROUNDUP(F839/J839,0)</x:f>
        <x:v>3</x:v>
      </x:c>
      <x:c r="M839" s="6" t="n">
        <x:f>IF(G839=0,"无伤害",ROUNDUP(K839/MAX(1,ROUND(G839*$AC$26,0)),0))</x:f>
        <x:v>10</x:v>
      </x:c>
      <x:c r="N839" s="6" t="n">
        <x:f>ROUNDUP(F839/英雄升级调参!$H$92,0)</x:f>
        <x:v>2</x:v>
      </x:c>
      <x:c r="O839" s="6" t="n">
        <x:f>ROUNDUP(F839/英雄升级调参!$K$92,0)</x:f>
        <x:v>2</x:v>
      </x:c>
      <x:c r="P839" s="6" t="str">
        <x:f>$AA$26</x:f>
        <x:v>普通：3次标准普攻击杀；10次主要攻击致死</x:v>
      </x:c>
      <x:c r="Q839" s="6"/>
      <x:c r="R839" s="6"/>
      <x:c r="S839" s="6"/>
      <x:c r="T839" s="6"/>
    </x:row>
    <x:row r="840" ht="21" customHeight="1">
      <x:c r="A840" s="14" t="n">
        <x:f>$V$26</x:f>
        <x:v>60013</x:v>
      </x:c>
      <x:c r="B840" s="14" t="str">
        <x:f>$W$26</x:f>
        <x:v>炮弹鸭梨</x:v>
      </x:c>
      <x:c r="C840" s="6" t="str">
        <x:f>$X$26</x:f>
        <x:v>远程</x:v>
      </x:c>
      <x:c r="D840" s="6">
        <x:v>28</x:v>
      </x:c>
      <x:c r="E840" s="6">
        <x:v>26</x:v>
      </x:c>
      <x:c r="F840" s="12">
        <x:f>ROUND(J840*$W$4*H840,0)</x:f>
        <x:v>4473</x:v>
      </x:c>
      <x:c r="G840" s="12">
        <x:f>ROUND(J840*$W$4*$W$5*I840,0)</x:f>
        <x:v>1491</x:v>
      </x:c>
      <x:c r="H840" s="11" t="n">
        <x:f>$Y$26</x:f>
        <x:v>0.75</x:v>
      </x:c>
      <x:c r="I840" s="11" t="n">
        <x:f>$Z$26</x:f>
        <x:v>3.3333333333333335</x:v>
      </x:c>
      <x:c r="J840" s="12">
        <x:f>英雄升级调参!$E$93</x:f>
        <x:v>1491</x:v>
      </x:c>
      <x:c r="K840" s="12">
        <x:f>英雄升级调参!$F$93</x:f>
        <x:v>14910</x:v>
      </x:c>
      <x:c r="L840" s="6" t="n">
        <x:f>ROUNDUP(F840/J840,0)</x:f>
        <x:v>3</x:v>
      </x:c>
      <x:c r="M840" s="6" t="n">
        <x:f>IF(G840=0,"无伤害",ROUNDUP(K840/MAX(1,ROUND(G840*$AC$26,0)),0))</x:f>
        <x:v>10</x:v>
      </x:c>
      <x:c r="N840" s="6" t="n">
        <x:f>ROUNDUP(F840/英雄升级调参!$H$93,0)</x:f>
        <x:v>2</x:v>
      </x:c>
      <x:c r="O840" s="6" t="n">
        <x:f>ROUNDUP(F840/英雄升级调参!$K$93,0)</x:f>
        <x:v>2</x:v>
      </x:c>
      <x:c r="P840" s="6" t="str">
        <x:f>$AA$26</x:f>
        <x:v>普通：3次标准普攻击杀；10次主要攻击致死</x:v>
      </x:c>
      <x:c r="Q840" s="6"/>
      <x:c r="R840" s="6"/>
      <x:c r="S840" s="6"/>
      <x:c r="T840" s="6"/>
    </x:row>
    <x:row r="841" ht="21" customHeight="1">
      <x:c r="A841" s="14" t="n">
        <x:f>$V$26</x:f>
        <x:v>60013</x:v>
      </x:c>
      <x:c r="B841" s="14" t="str">
        <x:f>$W$26</x:f>
        <x:v>炮弹鸭梨</x:v>
      </x:c>
      <x:c r="C841" s="6" t="str">
        <x:f>$X$26</x:f>
        <x:v>远程</x:v>
      </x:c>
      <x:c r="D841" s="6">
        <x:v>29</x:v>
      </x:c>
      <x:c r="E841" s="6">
        <x:v>26</x:v>
      </x:c>
      <x:c r="F841" s="12">
        <x:f>ROUND(J841*$W$4*H841,0)</x:f>
        <x:v>4662</x:v>
      </x:c>
      <x:c r="G841" s="12">
        <x:f>ROUND(J841*$W$4*$W$5*I841,0)</x:f>
        <x:v>1554</x:v>
      </x:c>
      <x:c r="H841" s="11" t="n">
        <x:f>$Y$26</x:f>
        <x:v>0.75</x:v>
      </x:c>
      <x:c r="I841" s="11" t="n">
        <x:f>$Z$26</x:f>
        <x:v>3.3333333333333335</x:v>
      </x:c>
      <x:c r="J841" s="12">
        <x:f>英雄升级调参!$E$94</x:f>
        <x:v>1554</x:v>
      </x:c>
      <x:c r="K841" s="12">
        <x:f>英雄升级调参!$F$94</x:f>
        <x:v>15540</x:v>
      </x:c>
      <x:c r="L841" s="6" t="n">
        <x:f>ROUNDUP(F841/J841,0)</x:f>
        <x:v>3</x:v>
      </x:c>
      <x:c r="M841" s="6" t="n">
        <x:f>IF(G841=0,"无伤害",ROUNDUP(K841/MAX(1,ROUND(G841*$AC$26,0)),0))</x:f>
        <x:v>10</x:v>
      </x:c>
      <x:c r="N841" s="6" t="n">
        <x:f>ROUNDUP(F841/英雄升级调参!$H$94,0)</x:f>
        <x:v>2</x:v>
      </x:c>
      <x:c r="O841" s="6" t="n">
        <x:f>ROUNDUP(F841/英雄升级调参!$K$94,0)</x:f>
        <x:v>2</x:v>
      </x:c>
      <x:c r="P841" s="6" t="str">
        <x:f>$AA$26</x:f>
        <x:v>普通：3次标准普攻击杀；10次主要攻击致死</x:v>
      </x:c>
      <x:c r="Q841" s="6"/>
      <x:c r="R841" s="6"/>
      <x:c r="S841" s="6"/>
      <x:c r="T841" s="6"/>
    </x:row>
    <x:row r="842" ht="21" customHeight="1">
      <x:c r="A842" s="14" t="n">
        <x:f>$V$26</x:f>
        <x:v>60013</x:v>
      </x:c>
      <x:c r="B842" s="14" t="str">
        <x:f>$W$26</x:f>
        <x:v>炮弹鸭梨</x:v>
      </x:c>
      <x:c r="C842" s="6" t="str">
        <x:f>$X$26</x:f>
        <x:v>远程</x:v>
      </x:c>
      <x:c r="D842" s="6">
        <x:v>30</x:v>
      </x:c>
      <x:c r="E842" s="6">
        <x:v>26</x:v>
      </x:c>
      <x:c r="F842" s="12">
        <x:f>ROUND(J842*$W$4*H842,0)</x:f>
        <x:v>5229</x:v>
      </x:c>
      <x:c r="G842" s="12">
        <x:f>ROUND(J842*$W$4*$W$5*I842,0)</x:f>
        <x:v>1743</x:v>
      </x:c>
      <x:c r="H842" s="11" t="n">
        <x:f>$Y$26</x:f>
        <x:v>0.75</x:v>
      </x:c>
      <x:c r="I842" s="11" t="n">
        <x:f>$Z$26</x:f>
        <x:v>3.3333333333333335</x:v>
      </x:c>
      <x:c r="J842" s="12">
        <x:f>英雄升级调参!$E$95</x:f>
        <x:v>1743</x:v>
      </x:c>
      <x:c r="K842" s="12">
        <x:f>英雄升级调参!$F$95</x:f>
        <x:v>17430</x:v>
      </x:c>
      <x:c r="L842" s="6" t="n">
        <x:f>ROUNDUP(F842/J842,0)</x:f>
        <x:v>3</x:v>
      </x:c>
      <x:c r="M842" s="6" t="n">
        <x:f>IF(G842=0,"无伤害",ROUNDUP(K842/MAX(1,ROUND(G842*$AC$26,0)),0))</x:f>
        <x:v>10</x:v>
      </x:c>
      <x:c r="N842" s="6" t="n">
        <x:f>ROUNDUP(F842/英雄升级调参!$H$95,0)</x:f>
        <x:v>2</x:v>
      </x:c>
      <x:c r="O842" s="6" t="n">
        <x:f>ROUNDUP(F842/英雄升级调参!$K$95,0)</x:f>
        <x:v>2</x:v>
      </x:c>
      <x:c r="P842" s="6" t="str">
        <x:f>$AA$26</x:f>
        <x:v>普通：3次标准普攻击杀；10次主要攻击致死</x:v>
      </x:c>
      <x:c r="Q842" s="6"/>
      <x:c r="R842" s="6"/>
      <x:c r="S842" s="6"/>
      <x:c r="T842" s="6"/>
    </x:row>
    <x:row r="843" ht="21" customHeight="1">
      <x:c r="A843" s="14" t="n">
        <x:f>$V$26</x:f>
        <x:v>60013</x:v>
      </x:c>
      <x:c r="B843" s="14" t="str">
        <x:f>$W$26</x:f>
        <x:v>炮弹鸭梨</x:v>
      </x:c>
      <x:c r="C843" s="6" t="str">
        <x:f>$X$26</x:f>
        <x:v>远程</x:v>
      </x:c>
      <x:c r="D843" s="6">
        <x:v>31</x:v>
      </x:c>
      <x:c r="E843" s="6">
        <x:v>26</x:v>
      </x:c>
      <x:c r="F843" s="12">
        <x:f>ROUND(J843*$W$4*H843,0)</x:f>
        <x:v>5445</x:v>
      </x:c>
      <x:c r="G843" s="12">
        <x:f>ROUND(J843*$W$4*$W$5*I843,0)</x:f>
        <x:v>1815</x:v>
      </x:c>
      <x:c r="H843" s="11" t="n">
        <x:f>$Y$26</x:f>
        <x:v>0.75</x:v>
      </x:c>
      <x:c r="I843" s="11" t="n">
        <x:f>$Z$26</x:f>
        <x:v>3.3333333333333335</x:v>
      </x:c>
      <x:c r="J843" s="12">
        <x:f>英雄升级调参!$E$96</x:f>
        <x:v>1815</x:v>
      </x:c>
      <x:c r="K843" s="12">
        <x:f>英雄升级调参!$F$96</x:f>
        <x:v>18150</x:v>
      </x:c>
      <x:c r="L843" s="6" t="n">
        <x:f>ROUNDUP(F843/J843,0)</x:f>
        <x:v>3</x:v>
      </x:c>
      <x:c r="M843" s="6" t="n">
        <x:f>IF(G843=0,"无伤害",ROUNDUP(K843/MAX(1,ROUND(G843*$AC$26,0)),0))</x:f>
        <x:v>10</x:v>
      </x:c>
      <x:c r="N843" s="6" t="n">
        <x:f>ROUNDUP(F843/英雄升级调参!$H$96,0)</x:f>
        <x:v>2</x:v>
      </x:c>
      <x:c r="O843" s="6" t="n">
        <x:f>ROUNDUP(F843/英雄升级调参!$K$96,0)</x:f>
        <x:v>2</x:v>
      </x:c>
      <x:c r="P843" s="6" t="str">
        <x:f>$AA$26</x:f>
        <x:v>普通：3次标准普攻击杀；10次主要攻击致死</x:v>
      </x:c>
      <x:c r="Q843" s="6"/>
      <x:c r="R843" s="6"/>
      <x:c r="S843" s="6"/>
      <x:c r="T843" s="6"/>
    </x:row>
    <x:row r="844" ht="21" customHeight="1">
      <x:c r="A844" s="14" t="n">
        <x:f>$V$26</x:f>
        <x:v>60013</x:v>
      </x:c>
      <x:c r="B844" s="14" t="str">
        <x:f>$W$26</x:f>
        <x:v>炮弹鸭梨</x:v>
      </x:c>
      <x:c r="C844" s="6" t="str">
        <x:f>$X$26</x:f>
        <x:v>远程</x:v>
      </x:c>
      <x:c r="D844" s="6">
        <x:v>32</x:v>
      </x:c>
      <x:c r="E844" s="6">
        <x:v>26</x:v>
      </x:c>
      <x:c r="F844" s="12">
        <x:f>ROUND(J844*$W$4*H844,0)</x:f>
        <x:v>5661</x:v>
      </x:c>
      <x:c r="G844" s="12">
        <x:f>ROUND(J844*$W$4*$W$5*I844,0)</x:f>
        <x:v>1887</x:v>
      </x:c>
      <x:c r="H844" s="11" t="n">
        <x:f>$Y$26</x:f>
        <x:v>0.75</x:v>
      </x:c>
      <x:c r="I844" s="11" t="n">
        <x:f>$Z$26</x:f>
        <x:v>3.3333333333333335</x:v>
      </x:c>
      <x:c r="J844" s="12">
        <x:f>英雄升级调参!$E$97</x:f>
        <x:v>1887</x:v>
      </x:c>
      <x:c r="K844" s="12">
        <x:f>英雄升级调参!$F$97</x:f>
        <x:v>18870</x:v>
      </x:c>
      <x:c r="L844" s="6" t="n">
        <x:f>ROUNDUP(F844/J844,0)</x:f>
        <x:v>3</x:v>
      </x:c>
      <x:c r="M844" s="6" t="n">
        <x:f>IF(G844=0,"无伤害",ROUNDUP(K844/MAX(1,ROUND(G844*$AC$26,0)),0))</x:f>
        <x:v>10</x:v>
      </x:c>
      <x:c r="N844" s="6" t="n">
        <x:f>ROUNDUP(F844/英雄升级调参!$H$97,0)</x:f>
        <x:v>2</x:v>
      </x:c>
      <x:c r="O844" s="6" t="n">
        <x:f>ROUNDUP(F844/英雄升级调参!$K$97,0)</x:f>
        <x:v>2</x:v>
      </x:c>
      <x:c r="P844" s="6" t="str">
        <x:f>$AA$26</x:f>
        <x:v>普通：3次标准普攻击杀；10次主要攻击致死</x:v>
      </x:c>
      <x:c r="Q844" s="6"/>
      <x:c r="R844" s="6"/>
      <x:c r="S844" s="6"/>
      <x:c r="T844" s="6"/>
    </x:row>
    <x:row r="845" ht="21" customHeight="1">
      <x:c r="A845" s="14" t="n">
        <x:f>$V$26</x:f>
        <x:v>60013</x:v>
      </x:c>
      <x:c r="B845" s="14" t="str">
        <x:f>$W$26</x:f>
        <x:v>炮弹鸭梨</x:v>
      </x:c>
      <x:c r="C845" s="6" t="str">
        <x:f>$X$26</x:f>
        <x:v>远程</x:v>
      </x:c>
      <x:c r="D845" s="6">
        <x:v>33</x:v>
      </x:c>
      <x:c r="E845" s="6">
        <x:v>26</x:v>
      </x:c>
      <x:c r="F845" s="12">
        <x:f>ROUND(J845*$W$4*H845,0)</x:f>
        <x:v>5877</x:v>
      </x:c>
      <x:c r="G845" s="12">
        <x:f>ROUND(J845*$W$4*$W$5*I845,0)</x:f>
        <x:v>1959</x:v>
      </x:c>
      <x:c r="H845" s="11" t="n">
        <x:f>$Y$26</x:f>
        <x:v>0.75</x:v>
      </x:c>
      <x:c r="I845" s="11" t="n">
        <x:f>$Z$26</x:f>
        <x:v>3.3333333333333335</x:v>
      </x:c>
      <x:c r="J845" s="12">
        <x:f>英雄升级调参!$E$98</x:f>
        <x:v>1959</x:v>
      </x:c>
      <x:c r="K845" s="12">
        <x:f>英雄升级调参!$F$98</x:f>
        <x:v>19590</x:v>
      </x:c>
      <x:c r="L845" s="6" t="n">
        <x:f>ROUNDUP(F845/J845,0)</x:f>
        <x:v>3</x:v>
      </x:c>
      <x:c r="M845" s="6" t="n">
        <x:f>IF(G845=0,"无伤害",ROUNDUP(K845/MAX(1,ROUND(G845*$AC$26,0)),0))</x:f>
        <x:v>10</x:v>
      </x:c>
      <x:c r="N845" s="6" t="n">
        <x:f>ROUNDUP(F845/英雄升级调参!$H$98,0)</x:f>
        <x:v>2</x:v>
      </x:c>
      <x:c r="O845" s="6" t="n">
        <x:f>ROUNDUP(F845/英雄升级调参!$K$98,0)</x:f>
        <x:v>2</x:v>
      </x:c>
      <x:c r="P845" s="6" t="str">
        <x:f>$AA$26</x:f>
        <x:v>普通：3次标准普攻击杀；10次主要攻击致死</x:v>
      </x:c>
      <x:c r="Q845" s="6"/>
      <x:c r="R845" s="6"/>
      <x:c r="S845" s="6"/>
      <x:c r="T845" s="6"/>
    </x:row>
    <x:row r="846" ht="21" customHeight="1">
      <x:c r="A846" s="14" t="n">
        <x:f>$V$26</x:f>
        <x:v>60013</x:v>
      </x:c>
      <x:c r="B846" s="14" t="str">
        <x:f>$W$26</x:f>
        <x:v>炮弹鸭梨</x:v>
      </x:c>
      <x:c r="C846" s="6" t="str">
        <x:f>$X$26</x:f>
        <x:v>远程</x:v>
      </x:c>
      <x:c r="D846" s="6">
        <x:v>34</x:v>
      </x:c>
      <x:c r="E846" s="6">
        <x:v>26</x:v>
      </x:c>
      <x:c r="F846" s="12">
        <x:f>ROUND(J846*$W$4*H846,0)</x:f>
        <x:v>6093</x:v>
      </x:c>
      <x:c r="G846" s="12">
        <x:f>ROUND(J846*$W$4*$W$5*I846,0)</x:f>
        <x:v>2031</x:v>
      </x:c>
      <x:c r="H846" s="11" t="n">
        <x:f>$Y$26</x:f>
        <x:v>0.75</x:v>
      </x:c>
      <x:c r="I846" s="11" t="n">
        <x:f>$Z$26</x:f>
        <x:v>3.3333333333333335</x:v>
      </x:c>
      <x:c r="J846" s="12">
        <x:f>英雄升级调参!$E$99</x:f>
        <x:v>2031</x:v>
      </x:c>
      <x:c r="K846" s="12">
        <x:f>英雄升级调参!$F$99</x:f>
        <x:v>20310</x:v>
      </x:c>
      <x:c r="L846" s="6" t="n">
        <x:f>ROUNDUP(F846/J846,0)</x:f>
        <x:v>3</x:v>
      </x:c>
      <x:c r="M846" s="6" t="n">
        <x:f>IF(G846=0,"无伤害",ROUNDUP(K846/MAX(1,ROUND(G846*$AC$26,0)),0))</x:f>
        <x:v>10</x:v>
      </x:c>
      <x:c r="N846" s="6" t="n">
        <x:f>ROUNDUP(F846/英雄升级调参!$H$99,0)</x:f>
        <x:v>2</x:v>
      </x:c>
      <x:c r="O846" s="6" t="n">
        <x:f>ROUNDUP(F846/英雄升级调参!$K$99,0)</x:f>
        <x:v>2</x:v>
      </x:c>
      <x:c r="P846" s="6" t="str">
        <x:f>$AA$26</x:f>
        <x:v>普通：3次标准普攻击杀；10次主要攻击致死</x:v>
      </x:c>
      <x:c r="Q846" s="6"/>
      <x:c r="R846" s="6"/>
      <x:c r="S846" s="6"/>
      <x:c r="T846" s="6"/>
    </x:row>
    <x:row r="847" ht="21" customHeight="1">
      <x:c r="A847" s="14" t="n">
        <x:f>$V$26</x:f>
        <x:v>60013</x:v>
      </x:c>
      <x:c r="B847" s="14" t="str">
        <x:f>$W$26</x:f>
        <x:v>炮弹鸭梨</x:v>
      </x:c>
      <x:c r="C847" s="6" t="str">
        <x:f>$X$26</x:f>
        <x:v>远程</x:v>
      </x:c>
      <x:c r="D847" s="6">
        <x:v>35</x:v>
      </x:c>
      <x:c r="E847" s="6">
        <x:v>26</x:v>
      </x:c>
      <x:c r="F847" s="12">
        <x:f>ROUND(J847*$W$4*H847,0)</x:f>
        <x:v>6741</x:v>
      </x:c>
      <x:c r="G847" s="12">
        <x:f>ROUND(J847*$W$4*$W$5*I847,0)</x:f>
        <x:v>2247</x:v>
      </x:c>
      <x:c r="H847" s="11" t="n">
        <x:f>$Y$26</x:f>
        <x:v>0.75</x:v>
      </x:c>
      <x:c r="I847" s="11" t="n">
        <x:f>$Z$26</x:f>
        <x:v>3.3333333333333335</x:v>
      </x:c>
      <x:c r="J847" s="12">
        <x:f>英雄升级调参!$E$100</x:f>
        <x:v>2247</x:v>
      </x:c>
      <x:c r="K847" s="12">
        <x:f>英雄升级调参!$F$100</x:f>
        <x:v>22470</x:v>
      </x:c>
      <x:c r="L847" s="6" t="n">
        <x:f>ROUNDUP(F847/J847,0)</x:f>
        <x:v>3</x:v>
      </x:c>
      <x:c r="M847" s="6" t="n">
        <x:f>IF(G847=0,"无伤害",ROUNDUP(K847/MAX(1,ROUND(G847*$AC$26,0)),0))</x:f>
        <x:v>10</x:v>
      </x:c>
      <x:c r="N847" s="6" t="n">
        <x:f>ROUNDUP(F847/英雄升级调参!$H$100,0)</x:f>
        <x:v>2</x:v>
      </x:c>
      <x:c r="O847" s="6" t="n">
        <x:f>ROUNDUP(F847/英雄升级调参!$K$100,0)</x:f>
        <x:v>2</x:v>
      </x:c>
      <x:c r="P847" s="6" t="str">
        <x:f>$AA$26</x:f>
        <x:v>普通：3次标准普攻击杀；10次主要攻击致死</x:v>
      </x:c>
      <x:c r="Q847" s="6"/>
      <x:c r="R847" s="6"/>
      <x:c r="S847" s="6"/>
      <x:c r="T847" s="6"/>
    </x:row>
    <x:row r="848" ht="21" customHeight="1">
      <x:c r="A848" s="14" t="n">
        <x:f>$V$26</x:f>
        <x:v>60013</x:v>
      </x:c>
      <x:c r="B848" s="14" t="str">
        <x:f>$W$26</x:f>
        <x:v>炮弹鸭梨</x:v>
      </x:c>
      <x:c r="C848" s="6" t="str">
        <x:f>$X$26</x:f>
        <x:v>远程</x:v>
      </x:c>
      <x:c r="D848" s="6">
        <x:v>36</x:v>
      </x:c>
      <x:c r="E848" s="6">
        <x:v>26</x:v>
      </x:c>
      <x:c r="F848" s="12">
        <x:f>ROUND(J848*$W$4*H848,0)</x:f>
        <x:v>6984</x:v>
      </x:c>
      <x:c r="G848" s="12">
        <x:f>ROUND(J848*$W$4*$W$5*I848,0)</x:f>
        <x:v>2328</x:v>
      </x:c>
      <x:c r="H848" s="11" t="n">
        <x:f>$Y$26</x:f>
        <x:v>0.75</x:v>
      </x:c>
      <x:c r="I848" s="11" t="n">
        <x:f>$Z$26</x:f>
        <x:v>3.3333333333333335</x:v>
      </x:c>
      <x:c r="J848" s="12">
        <x:f>英雄升级调参!$E$101</x:f>
        <x:v>2328</x:v>
      </x:c>
      <x:c r="K848" s="12">
        <x:f>英雄升级调参!$F$101</x:f>
        <x:v>23280</x:v>
      </x:c>
      <x:c r="L848" s="6" t="n">
        <x:f>ROUNDUP(F848/J848,0)</x:f>
        <x:v>3</x:v>
      </x:c>
      <x:c r="M848" s="6" t="n">
        <x:f>IF(G848=0,"无伤害",ROUNDUP(K848/MAX(1,ROUND(G848*$AC$26,0)),0))</x:f>
        <x:v>10</x:v>
      </x:c>
      <x:c r="N848" s="6" t="n">
        <x:f>ROUNDUP(F848/英雄升级调参!$H$101,0)</x:f>
        <x:v>2</x:v>
      </x:c>
      <x:c r="O848" s="6" t="n">
        <x:f>ROUNDUP(F848/英雄升级调参!$K$101,0)</x:f>
        <x:v>2</x:v>
      </x:c>
      <x:c r="P848" s="6" t="str">
        <x:f>$AA$26</x:f>
        <x:v>普通：3次标准普攻击杀；10次主要攻击致死</x:v>
      </x:c>
      <x:c r="Q848" s="6"/>
      <x:c r="R848" s="6"/>
      <x:c r="S848" s="6"/>
      <x:c r="T848" s="6"/>
    </x:row>
    <x:row r="849" ht="21" customHeight="1">
      <x:c r="A849" s="14" t="n">
        <x:f>$V$26</x:f>
        <x:v>60013</x:v>
      </x:c>
      <x:c r="B849" s="14" t="str">
        <x:f>$W$26</x:f>
        <x:v>炮弹鸭梨</x:v>
      </x:c>
      <x:c r="C849" s="6" t="str">
        <x:f>$X$26</x:f>
        <x:v>远程</x:v>
      </x:c>
      <x:c r="D849" s="6">
        <x:v>37</x:v>
      </x:c>
      <x:c r="E849" s="6">
        <x:v>26</x:v>
      </x:c>
      <x:c r="F849" s="12">
        <x:f>ROUND(J849*$W$4*H849,0)</x:f>
        <x:v>7227</x:v>
      </x:c>
      <x:c r="G849" s="12">
        <x:f>ROUND(J849*$W$4*$W$5*I849,0)</x:f>
        <x:v>2409</x:v>
      </x:c>
      <x:c r="H849" s="11" t="n">
        <x:f>$Y$26</x:f>
        <x:v>0.75</x:v>
      </x:c>
      <x:c r="I849" s="11" t="n">
        <x:f>$Z$26</x:f>
        <x:v>3.3333333333333335</x:v>
      </x:c>
      <x:c r="J849" s="12">
        <x:f>英雄升级调参!$E$102</x:f>
        <x:v>2409</x:v>
      </x:c>
      <x:c r="K849" s="12">
        <x:f>英雄升级调参!$F$102</x:f>
        <x:v>24090</x:v>
      </x:c>
      <x:c r="L849" s="6" t="n">
        <x:f>ROUNDUP(F849/J849,0)</x:f>
        <x:v>3</x:v>
      </x:c>
      <x:c r="M849" s="6" t="n">
        <x:f>IF(G849=0,"无伤害",ROUNDUP(K849/MAX(1,ROUND(G849*$AC$26,0)),0))</x:f>
        <x:v>10</x:v>
      </x:c>
      <x:c r="N849" s="6" t="n">
        <x:f>ROUNDUP(F849/英雄升级调参!$H$102,0)</x:f>
        <x:v>2</x:v>
      </x:c>
      <x:c r="O849" s="6" t="n">
        <x:f>ROUNDUP(F849/英雄升级调参!$K$102,0)</x:f>
        <x:v>2</x:v>
      </x:c>
      <x:c r="P849" s="6" t="str">
        <x:f>$AA$26</x:f>
        <x:v>普通：3次标准普攻击杀；10次主要攻击致死</x:v>
      </x:c>
      <x:c r="Q849" s="6"/>
      <x:c r="R849" s="6"/>
      <x:c r="S849" s="6"/>
      <x:c r="T849" s="6"/>
    </x:row>
    <x:row r="850" ht="21" customHeight="1">
      <x:c r="A850" s="14" t="n">
        <x:f>$V$26</x:f>
        <x:v>60013</x:v>
      </x:c>
      <x:c r="B850" s="14" t="str">
        <x:f>$W$26</x:f>
        <x:v>炮弹鸭梨</x:v>
      </x:c>
      <x:c r="C850" s="6" t="str">
        <x:f>$X$26</x:f>
        <x:v>远程</x:v>
      </x:c>
      <x:c r="D850" s="6">
        <x:v>38</x:v>
      </x:c>
      <x:c r="E850" s="6">
        <x:v>26</x:v>
      </x:c>
      <x:c r="F850" s="12">
        <x:f>ROUND(J850*$W$4*H850,0)</x:f>
        <x:v>7470</x:v>
      </x:c>
      <x:c r="G850" s="12">
        <x:f>ROUND(J850*$W$4*$W$5*I850,0)</x:f>
        <x:v>2490</x:v>
      </x:c>
      <x:c r="H850" s="11" t="n">
        <x:f>$Y$26</x:f>
        <x:v>0.75</x:v>
      </x:c>
      <x:c r="I850" s="11" t="n">
        <x:f>$Z$26</x:f>
        <x:v>3.3333333333333335</x:v>
      </x:c>
      <x:c r="J850" s="12">
        <x:f>英雄升级调参!$E$103</x:f>
        <x:v>2490</x:v>
      </x:c>
      <x:c r="K850" s="12">
        <x:f>英雄升级调参!$F$103</x:f>
        <x:v>24900</x:v>
      </x:c>
      <x:c r="L850" s="6" t="n">
        <x:f>ROUNDUP(F850/J850,0)</x:f>
        <x:v>3</x:v>
      </x:c>
      <x:c r="M850" s="6" t="n">
        <x:f>IF(G850=0,"无伤害",ROUNDUP(K850/MAX(1,ROUND(G850*$AC$26,0)),0))</x:f>
        <x:v>10</x:v>
      </x:c>
      <x:c r="N850" s="6" t="n">
        <x:f>ROUNDUP(F850/英雄升级调参!$H$103,0)</x:f>
        <x:v>2</x:v>
      </x:c>
      <x:c r="O850" s="6" t="n">
        <x:f>ROUNDUP(F850/英雄升级调参!$K$103,0)</x:f>
        <x:v>2</x:v>
      </x:c>
      <x:c r="P850" s="6" t="str">
        <x:f>$AA$26</x:f>
        <x:v>普通：3次标准普攻击杀；10次主要攻击致死</x:v>
      </x:c>
      <x:c r="Q850" s="6"/>
      <x:c r="R850" s="6"/>
      <x:c r="S850" s="6"/>
      <x:c r="T850" s="6"/>
    </x:row>
    <x:row r="851" ht="21" customHeight="1">
      <x:c r="A851" s="14" t="n">
        <x:f>$V$26</x:f>
        <x:v>60013</x:v>
      </x:c>
      <x:c r="B851" s="14" t="str">
        <x:f>$W$26</x:f>
        <x:v>炮弹鸭梨</x:v>
      </x:c>
      <x:c r="C851" s="6" t="str">
        <x:f>$X$26</x:f>
        <x:v>远程</x:v>
      </x:c>
      <x:c r="D851" s="6">
        <x:v>39</x:v>
      </x:c>
      <x:c r="E851" s="6">
        <x:v>26</x:v>
      </x:c>
      <x:c r="F851" s="12">
        <x:f>ROUND(J851*$W$4*H851,0)</x:f>
        <x:v>7713</x:v>
      </x:c>
      <x:c r="G851" s="12">
        <x:f>ROUND(J851*$W$4*$W$5*I851,0)</x:f>
        <x:v>2571</x:v>
      </x:c>
      <x:c r="H851" s="11" t="n">
        <x:f>$Y$26</x:f>
        <x:v>0.75</x:v>
      </x:c>
      <x:c r="I851" s="11" t="n">
        <x:f>$Z$26</x:f>
        <x:v>3.3333333333333335</x:v>
      </x:c>
      <x:c r="J851" s="12">
        <x:f>英雄升级调参!$E$104</x:f>
        <x:v>2571</x:v>
      </x:c>
      <x:c r="K851" s="12">
        <x:f>英雄升级调参!$F$104</x:f>
        <x:v>25710</x:v>
      </x:c>
      <x:c r="L851" s="6" t="n">
        <x:f>ROUNDUP(F851/J851,0)</x:f>
        <x:v>3</x:v>
      </x:c>
      <x:c r="M851" s="6" t="n">
        <x:f>IF(G851=0,"无伤害",ROUNDUP(K851/MAX(1,ROUND(G851*$AC$26,0)),0))</x:f>
        <x:v>10</x:v>
      </x:c>
      <x:c r="N851" s="6" t="n">
        <x:f>ROUNDUP(F851/英雄升级调参!$H$104,0)</x:f>
        <x:v>2</x:v>
      </x:c>
      <x:c r="O851" s="6" t="n">
        <x:f>ROUNDUP(F851/英雄升级调参!$K$104,0)</x:f>
        <x:v>2</x:v>
      </x:c>
      <x:c r="P851" s="6" t="str">
        <x:f>$AA$26</x:f>
        <x:v>普通：3次标准普攻击杀；10次主要攻击致死</x:v>
      </x:c>
      <x:c r="Q851" s="6"/>
      <x:c r="R851" s="6"/>
      <x:c r="S851" s="6"/>
      <x:c r="T851" s="6"/>
    </x:row>
    <x:row r="852" ht="21" customHeight="1">
      <x:c r="A852" s="14" t="n">
        <x:f>$V$26</x:f>
        <x:v>60013</x:v>
      </x:c>
      <x:c r="B852" s="14" t="str">
        <x:f>$W$26</x:f>
        <x:v>炮弹鸭梨</x:v>
      </x:c>
      <x:c r="C852" s="6" t="str">
        <x:f>$X$26</x:f>
        <x:v>远程</x:v>
      </x:c>
      <x:c r="D852" s="6">
        <x:v>40</x:v>
      </x:c>
      <x:c r="E852" s="6">
        <x:v>26</x:v>
      </x:c>
      <x:c r="F852" s="12">
        <x:f>ROUND(J852*$W$4*H852,0)</x:f>
        <x:v>8442</x:v>
      </x:c>
      <x:c r="G852" s="12">
        <x:f>ROUND(J852*$W$4*$W$5*I852,0)</x:f>
        <x:v>2814</x:v>
      </x:c>
      <x:c r="H852" s="11" t="n">
        <x:f>$Y$26</x:f>
        <x:v>0.75</x:v>
      </x:c>
      <x:c r="I852" s="11" t="n">
        <x:f>$Z$26</x:f>
        <x:v>3.3333333333333335</x:v>
      </x:c>
      <x:c r="J852" s="12">
        <x:f>英雄升级调参!$E$105</x:f>
        <x:v>2814</x:v>
      </x:c>
      <x:c r="K852" s="12">
        <x:f>英雄升级调参!$F$105</x:f>
        <x:v>28140</x:v>
      </x:c>
      <x:c r="L852" s="6" t="n">
        <x:f>ROUNDUP(F852/J852,0)</x:f>
        <x:v>3</x:v>
      </x:c>
      <x:c r="M852" s="6" t="n">
        <x:f>IF(G852=0,"无伤害",ROUNDUP(K852/MAX(1,ROUND(G852*$AC$26,0)),0))</x:f>
        <x:v>10</x:v>
      </x:c>
      <x:c r="N852" s="6" t="n">
        <x:f>ROUNDUP(F852/英雄升级调参!$H$105,0)</x:f>
        <x:v>2</x:v>
      </x:c>
      <x:c r="O852" s="6" t="n">
        <x:f>ROUNDUP(F852/英雄升级调参!$K$105,0)</x:f>
        <x:v>2</x:v>
      </x:c>
      <x:c r="P852" s="6" t="str">
        <x:f>$AA$26</x:f>
        <x:v>普通：3次标准普攻击杀；10次主要攻击致死</x:v>
      </x:c>
      <x:c r="Q852" s="6"/>
      <x:c r="R852" s="6"/>
      <x:c r="S852" s="6"/>
      <x:c r="T852" s="6"/>
    </x:row>
    <x:row r="853" ht="21" customHeight="1">
      <x:c r="A853" s="14" t="n">
        <x:f>$V$26</x:f>
        <x:v>60013</x:v>
      </x:c>
      <x:c r="B853" s="14" t="str">
        <x:f>$W$26</x:f>
        <x:v>炮弹鸭梨</x:v>
      </x:c>
      <x:c r="C853" s="6" t="str">
        <x:f>$X$26</x:f>
        <x:v>远程</x:v>
      </x:c>
      <x:c r="D853" s="6">
        <x:v>41</x:v>
      </x:c>
      <x:c r="E853" s="6">
        <x:v>26</x:v>
      </x:c>
      <x:c r="F853" s="12">
        <x:f>ROUND(J853*$W$4*H853,0)</x:f>
        <x:v>8712</x:v>
      </x:c>
      <x:c r="G853" s="12">
        <x:f>ROUND(J853*$W$4*$W$5*I853,0)</x:f>
        <x:v>2904</x:v>
      </x:c>
      <x:c r="H853" s="11" t="n">
        <x:f>$Y$26</x:f>
        <x:v>0.75</x:v>
      </x:c>
      <x:c r="I853" s="11" t="n">
        <x:f>$Z$26</x:f>
        <x:v>3.3333333333333335</x:v>
      </x:c>
      <x:c r="J853" s="12">
        <x:f>英雄升级调参!$E$106</x:f>
        <x:v>2904</x:v>
      </x:c>
      <x:c r="K853" s="12">
        <x:f>英雄升级调参!$F$106</x:f>
        <x:v>29040</x:v>
      </x:c>
      <x:c r="L853" s="6" t="n">
        <x:f>ROUNDUP(F853/J853,0)</x:f>
        <x:v>3</x:v>
      </x:c>
      <x:c r="M853" s="6" t="n">
        <x:f>IF(G853=0,"无伤害",ROUNDUP(K853/MAX(1,ROUND(G853*$AC$26,0)),0))</x:f>
        <x:v>10</x:v>
      </x:c>
      <x:c r="N853" s="6" t="n">
        <x:f>ROUNDUP(F853/英雄升级调参!$H$106,0)</x:f>
        <x:v>2</x:v>
      </x:c>
      <x:c r="O853" s="6" t="n">
        <x:f>ROUNDUP(F853/英雄升级调参!$K$106,0)</x:f>
        <x:v>2</x:v>
      </x:c>
      <x:c r="P853" s="6" t="str">
        <x:f>$AA$26</x:f>
        <x:v>普通：3次标准普攻击杀；10次主要攻击致死</x:v>
      </x:c>
      <x:c r="Q853" s="6"/>
      <x:c r="R853" s="6"/>
      <x:c r="S853" s="6"/>
      <x:c r="T853" s="6"/>
    </x:row>
    <x:row r="854" ht="21" customHeight="1">
      <x:c r="A854" s="14" t="n">
        <x:f>$V$26</x:f>
        <x:v>60013</x:v>
      </x:c>
      <x:c r="B854" s="14" t="str">
        <x:f>$W$26</x:f>
        <x:v>炮弹鸭梨</x:v>
      </x:c>
      <x:c r="C854" s="6" t="str">
        <x:f>$X$26</x:f>
        <x:v>远程</x:v>
      </x:c>
      <x:c r="D854" s="6">
        <x:v>42</x:v>
      </x:c>
      <x:c r="E854" s="6">
        <x:v>26</x:v>
      </x:c>
      <x:c r="F854" s="12">
        <x:f>ROUND(J854*$W$4*H854,0)</x:f>
        <x:v>8982</x:v>
      </x:c>
      <x:c r="G854" s="12">
        <x:f>ROUND(J854*$W$4*$W$5*I854,0)</x:f>
        <x:v>2994</x:v>
      </x:c>
      <x:c r="H854" s="11" t="n">
        <x:f>$Y$26</x:f>
        <x:v>0.75</x:v>
      </x:c>
      <x:c r="I854" s="11" t="n">
        <x:f>$Z$26</x:f>
        <x:v>3.3333333333333335</x:v>
      </x:c>
      <x:c r="J854" s="12">
        <x:f>英雄升级调参!$E$107</x:f>
        <x:v>2994</x:v>
      </x:c>
      <x:c r="K854" s="12">
        <x:f>英雄升级调参!$F$107</x:f>
        <x:v>29940</x:v>
      </x:c>
      <x:c r="L854" s="6" t="n">
        <x:f>ROUNDUP(F854/J854,0)</x:f>
        <x:v>3</x:v>
      </x:c>
      <x:c r="M854" s="6" t="n">
        <x:f>IF(G854=0,"无伤害",ROUNDUP(K854/MAX(1,ROUND(G854*$AC$26,0)),0))</x:f>
        <x:v>10</x:v>
      </x:c>
      <x:c r="N854" s="6" t="n">
        <x:f>ROUNDUP(F854/英雄升级调参!$H$107,0)</x:f>
        <x:v>2</x:v>
      </x:c>
      <x:c r="O854" s="6" t="n">
        <x:f>ROUNDUP(F854/英雄升级调参!$K$107,0)</x:f>
        <x:v>2</x:v>
      </x:c>
      <x:c r="P854" s="6" t="str">
        <x:f>$AA$26</x:f>
        <x:v>普通：3次标准普攻击杀；10次主要攻击致死</x:v>
      </x:c>
      <x:c r="Q854" s="6"/>
      <x:c r="R854" s="6"/>
      <x:c r="S854" s="6"/>
      <x:c r="T854" s="6"/>
    </x:row>
    <x:row r="855" ht="21" customHeight="1">
      <x:c r="A855" s="14" t="n">
        <x:f>$V$26</x:f>
        <x:v>60013</x:v>
      </x:c>
      <x:c r="B855" s="14" t="str">
        <x:f>$W$26</x:f>
        <x:v>炮弹鸭梨</x:v>
      </x:c>
      <x:c r="C855" s="6" t="str">
        <x:f>$X$26</x:f>
        <x:v>远程</x:v>
      </x:c>
      <x:c r="D855" s="6">
        <x:v>43</x:v>
      </x:c>
      <x:c r="E855" s="6">
        <x:v>26</x:v>
      </x:c>
      <x:c r="F855" s="12">
        <x:f>ROUND(J855*$W$4*H855,0)</x:f>
        <x:v>9252</x:v>
      </x:c>
      <x:c r="G855" s="12">
        <x:f>ROUND(J855*$W$4*$W$5*I855,0)</x:f>
        <x:v>3084</x:v>
      </x:c>
      <x:c r="H855" s="11" t="n">
        <x:f>$Y$26</x:f>
        <x:v>0.75</x:v>
      </x:c>
      <x:c r="I855" s="11" t="n">
        <x:f>$Z$26</x:f>
        <x:v>3.3333333333333335</x:v>
      </x:c>
      <x:c r="J855" s="12">
        <x:f>英雄升级调参!$E$108</x:f>
        <x:v>3084</x:v>
      </x:c>
      <x:c r="K855" s="12">
        <x:f>英雄升级调参!$F$108</x:f>
        <x:v>30840</x:v>
      </x:c>
      <x:c r="L855" s="6" t="n">
        <x:f>ROUNDUP(F855/J855,0)</x:f>
        <x:v>3</x:v>
      </x:c>
      <x:c r="M855" s="6" t="n">
        <x:f>IF(G855=0,"无伤害",ROUNDUP(K855/MAX(1,ROUND(G855*$AC$26,0)),0))</x:f>
        <x:v>10</x:v>
      </x:c>
      <x:c r="N855" s="6" t="n">
        <x:f>ROUNDUP(F855/英雄升级调参!$H$108,0)</x:f>
        <x:v>2</x:v>
      </x:c>
      <x:c r="O855" s="6" t="n">
        <x:f>ROUNDUP(F855/英雄升级调参!$K$108,0)</x:f>
        <x:v>2</x:v>
      </x:c>
      <x:c r="P855" s="6" t="str">
        <x:f>$AA$26</x:f>
        <x:v>普通：3次标准普攻击杀；10次主要攻击致死</x:v>
      </x:c>
      <x:c r="Q855" s="6"/>
      <x:c r="R855" s="6"/>
      <x:c r="S855" s="6"/>
      <x:c r="T855" s="6"/>
    </x:row>
    <x:row r="856" ht="21" customHeight="1">
      <x:c r="A856" s="14" t="n">
        <x:f>$V$26</x:f>
        <x:v>60013</x:v>
      </x:c>
      <x:c r="B856" s="14" t="str">
        <x:f>$W$26</x:f>
        <x:v>炮弹鸭梨</x:v>
      </x:c>
      <x:c r="C856" s="6" t="str">
        <x:f>$X$26</x:f>
        <x:v>远程</x:v>
      </x:c>
      <x:c r="D856" s="6">
        <x:v>44</x:v>
      </x:c>
      <x:c r="E856" s="6">
        <x:v>26</x:v>
      </x:c>
      <x:c r="F856" s="12">
        <x:f>ROUND(J856*$W$4*H856,0)</x:f>
        <x:v>9522</x:v>
      </x:c>
      <x:c r="G856" s="12">
        <x:f>ROUND(J856*$W$4*$W$5*I856,0)</x:f>
        <x:v>3174</x:v>
      </x:c>
      <x:c r="H856" s="11" t="n">
        <x:f>$Y$26</x:f>
        <x:v>0.75</x:v>
      </x:c>
      <x:c r="I856" s="11" t="n">
        <x:f>$Z$26</x:f>
        <x:v>3.3333333333333335</x:v>
      </x:c>
      <x:c r="J856" s="12">
        <x:f>英雄升级调参!$E$109</x:f>
        <x:v>3174</x:v>
      </x:c>
      <x:c r="K856" s="12">
        <x:f>英雄升级调参!$F$109</x:f>
        <x:v>31740</x:v>
      </x:c>
      <x:c r="L856" s="6" t="n">
        <x:f>ROUNDUP(F856/J856,0)</x:f>
        <x:v>3</x:v>
      </x:c>
      <x:c r="M856" s="6" t="n">
        <x:f>IF(G856=0,"无伤害",ROUNDUP(K856/MAX(1,ROUND(G856*$AC$26,0)),0))</x:f>
        <x:v>10</x:v>
      </x:c>
      <x:c r="N856" s="6" t="n">
        <x:f>ROUNDUP(F856/英雄升级调参!$H$109,0)</x:f>
        <x:v>2</x:v>
      </x:c>
      <x:c r="O856" s="6" t="n">
        <x:f>ROUNDUP(F856/英雄升级调参!$K$109,0)</x:f>
        <x:v>2</x:v>
      </x:c>
      <x:c r="P856" s="6" t="str">
        <x:f>$AA$26</x:f>
        <x:v>普通：3次标准普攻击杀；10次主要攻击致死</x:v>
      </x:c>
      <x:c r="Q856" s="6"/>
      <x:c r="R856" s="6"/>
      <x:c r="S856" s="6"/>
      <x:c r="T856" s="6"/>
    </x:row>
    <x:row r="857" ht="21" customHeight="1">
      <x:c r="A857" s="14" t="n">
        <x:f>$V$26</x:f>
        <x:v>60013</x:v>
      </x:c>
      <x:c r="B857" s="14" t="str">
        <x:f>$W$26</x:f>
        <x:v>炮弹鸭梨</x:v>
      </x:c>
      <x:c r="C857" s="6" t="str">
        <x:f>$X$26</x:f>
        <x:v>远程</x:v>
      </x:c>
      <x:c r="D857" s="6">
        <x:v>45</x:v>
      </x:c>
      <x:c r="E857" s="6">
        <x:v>26</x:v>
      </x:c>
      <x:c r="F857" s="12">
        <x:f>ROUND(J857*$W$4*H857,0)</x:f>
        <x:v>10332</x:v>
      </x:c>
      <x:c r="G857" s="12">
        <x:f>ROUND(J857*$W$4*$W$5*I857,0)</x:f>
        <x:v>3444</x:v>
      </x:c>
      <x:c r="H857" s="11" t="n">
        <x:f>$Y$26</x:f>
        <x:v>0.75</x:v>
      </x:c>
      <x:c r="I857" s="11" t="n">
        <x:f>$Z$26</x:f>
        <x:v>3.3333333333333335</x:v>
      </x:c>
      <x:c r="J857" s="12">
        <x:f>英雄升级调参!$E$110</x:f>
        <x:v>3444</x:v>
      </x:c>
      <x:c r="K857" s="12">
        <x:f>英雄升级调参!$F$110</x:f>
        <x:v>34440</x:v>
      </x:c>
      <x:c r="L857" s="6" t="n">
        <x:f>ROUNDUP(F857/J857,0)</x:f>
        <x:v>3</x:v>
      </x:c>
      <x:c r="M857" s="6" t="n">
        <x:f>IF(G857=0,"无伤害",ROUNDUP(K857/MAX(1,ROUND(G857*$AC$26,0)),0))</x:f>
        <x:v>10</x:v>
      </x:c>
      <x:c r="N857" s="6" t="n">
        <x:f>ROUNDUP(F857/英雄升级调参!$H$110,0)</x:f>
        <x:v>2</x:v>
      </x:c>
      <x:c r="O857" s="6" t="n">
        <x:f>ROUNDUP(F857/英雄升级调参!$K$110,0)</x:f>
        <x:v>2</x:v>
      </x:c>
      <x:c r="P857" s="6" t="str">
        <x:f>$AA$26</x:f>
        <x:v>普通：3次标准普攻击杀；10次主要攻击致死</x:v>
      </x:c>
      <x:c r="Q857" s="6"/>
      <x:c r="R857" s="6"/>
      <x:c r="S857" s="6"/>
      <x:c r="T857" s="6"/>
    </x:row>
    <x:row r="858" ht="21" customHeight="1">
      <x:c r="A858" s="14" t="n">
        <x:f>$V$26</x:f>
        <x:v>60013</x:v>
      </x:c>
      <x:c r="B858" s="14" t="str">
        <x:f>$W$26</x:f>
        <x:v>炮弹鸭梨</x:v>
      </x:c>
      <x:c r="C858" s="6" t="str">
        <x:f>$X$26</x:f>
        <x:v>远程</x:v>
      </x:c>
      <x:c r="D858" s="6">
        <x:v>46</x:v>
      </x:c>
      <x:c r="E858" s="6">
        <x:v>26</x:v>
      </x:c>
      <x:c r="F858" s="12">
        <x:f>ROUND(J858*$W$4*H858,0)</x:f>
        <x:v>10629</x:v>
      </x:c>
      <x:c r="G858" s="12">
        <x:f>ROUND(J858*$W$4*$W$5*I858,0)</x:f>
        <x:v>3543</x:v>
      </x:c>
      <x:c r="H858" s="11" t="n">
        <x:f>$Y$26</x:f>
        <x:v>0.75</x:v>
      </x:c>
      <x:c r="I858" s="11" t="n">
        <x:f>$Z$26</x:f>
        <x:v>3.3333333333333335</x:v>
      </x:c>
      <x:c r="J858" s="12">
        <x:f>英雄升级调参!$E$111</x:f>
        <x:v>3543</x:v>
      </x:c>
      <x:c r="K858" s="12">
        <x:f>英雄升级调参!$F$111</x:f>
        <x:v>35430</x:v>
      </x:c>
      <x:c r="L858" s="6" t="n">
        <x:f>ROUNDUP(F858/J858,0)</x:f>
        <x:v>3</x:v>
      </x:c>
      <x:c r="M858" s="6" t="n">
        <x:f>IF(G858=0,"无伤害",ROUNDUP(K858/MAX(1,ROUND(G858*$AC$26,0)),0))</x:f>
        <x:v>10</x:v>
      </x:c>
      <x:c r="N858" s="6" t="n">
        <x:f>ROUNDUP(F858/英雄升级调参!$H$111,0)</x:f>
        <x:v>2</x:v>
      </x:c>
      <x:c r="O858" s="6" t="n">
        <x:f>ROUNDUP(F858/英雄升级调参!$K$111,0)</x:f>
        <x:v>2</x:v>
      </x:c>
      <x:c r="P858" s="6" t="str">
        <x:f>$AA$26</x:f>
        <x:v>普通：3次标准普攻击杀；10次主要攻击致死</x:v>
      </x:c>
      <x:c r="Q858" s="6"/>
      <x:c r="R858" s="6"/>
      <x:c r="S858" s="6"/>
      <x:c r="T858" s="6"/>
    </x:row>
    <x:row r="859" ht="21" customHeight="1">
      <x:c r="A859" s="14" t="n">
        <x:f>$V$26</x:f>
        <x:v>60013</x:v>
      </x:c>
      <x:c r="B859" s="14" t="str">
        <x:f>$W$26</x:f>
        <x:v>炮弹鸭梨</x:v>
      </x:c>
      <x:c r="C859" s="6" t="str">
        <x:f>$X$26</x:f>
        <x:v>远程</x:v>
      </x:c>
      <x:c r="D859" s="6">
        <x:v>47</x:v>
      </x:c>
      <x:c r="E859" s="6">
        <x:v>26</x:v>
      </x:c>
      <x:c r="F859" s="12">
        <x:f>ROUND(J859*$W$4*H859,0)</x:f>
        <x:v>10926</x:v>
      </x:c>
      <x:c r="G859" s="12">
        <x:f>ROUND(J859*$W$4*$W$5*I859,0)</x:f>
        <x:v>3642</x:v>
      </x:c>
      <x:c r="H859" s="11" t="n">
        <x:f>$Y$26</x:f>
        <x:v>0.75</x:v>
      </x:c>
      <x:c r="I859" s="11" t="n">
        <x:f>$Z$26</x:f>
        <x:v>3.3333333333333335</x:v>
      </x:c>
      <x:c r="J859" s="12">
        <x:f>英雄升级调参!$E$112</x:f>
        <x:v>3642</x:v>
      </x:c>
      <x:c r="K859" s="12">
        <x:f>英雄升级调参!$F$112</x:f>
        <x:v>36420</x:v>
      </x:c>
      <x:c r="L859" s="6" t="n">
        <x:f>ROUNDUP(F859/J859,0)</x:f>
        <x:v>3</x:v>
      </x:c>
      <x:c r="M859" s="6" t="n">
        <x:f>IF(G859=0,"无伤害",ROUNDUP(K859/MAX(1,ROUND(G859*$AC$26,0)),0))</x:f>
        <x:v>10</x:v>
      </x:c>
      <x:c r="N859" s="6" t="n">
        <x:f>ROUNDUP(F859/英雄升级调参!$H$112,0)</x:f>
        <x:v>2</x:v>
      </x:c>
      <x:c r="O859" s="6" t="n">
        <x:f>ROUNDUP(F859/英雄升级调参!$K$112,0)</x:f>
        <x:v>2</x:v>
      </x:c>
      <x:c r="P859" s="6" t="str">
        <x:f>$AA$26</x:f>
        <x:v>普通：3次标准普攻击杀；10次主要攻击致死</x:v>
      </x:c>
      <x:c r="Q859" s="6"/>
      <x:c r="R859" s="6"/>
      <x:c r="S859" s="6"/>
      <x:c r="T859" s="6"/>
    </x:row>
    <x:row r="860" ht="21" customHeight="1">
      <x:c r="A860" s="14" t="n">
        <x:f>$V$26</x:f>
        <x:v>60013</x:v>
      </x:c>
      <x:c r="B860" s="14" t="str">
        <x:f>$W$26</x:f>
        <x:v>炮弹鸭梨</x:v>
      </x:c>
      <x:c r="C860" s="6" t="str">
        <x:f>$X$26</x:f>
        <x:v>远程</x:v>
      </x:c>
      <x:c r="D860" s="6">
        <x:v>48</x:v>
      </x:c>
      <x:c r="E860" s="6">
        <x:v>26</x:v>
      </x:c>
      <x:c r="F860" s="12">
        <x:f>ROUND(J860*$W$4*H860,0)</x:f>
        <x:v>11223</x:v>
      </x:c>
      <x:c r="G860" s="12">
        <x:f>ROUND(J860*$W$4*$W$5*I860,0)</x:f>
        <x:v>3741</x:v>
      </x:c>
      <x:c r="H860" s="11" t="n">
        <x:f>$Y$26</x:f>
        <x:v>0.75</x:v>
      </x:c>
      <x:c r="I860" s="11" t="n">
        <x:f>$Z$26</x:f>
        <x:v>3.3333333333333335</x:v>
      </x:c>
      <x:c r="J860" s="12">
        <x:f>英雄升级调参!$E$113</x:f>
        <x:v>3741</x:v>
      </x:c>
      <x:c r="K860" s="12">
        <x:f>英雄升级调参!$F$113</x:f>
        <x:v>37410</x:v>
      </x:c>
      <x:c r="L860" s="6" t="n">
        <x:f>ROUNDUP(F860/J860,0)</x:f>
        <x:v>3</x:v>
      </x:c>
      <x:c r="M860" s="6" t="n">
        <x:f>IF(G860=0,"无伤害",ROUNDUP(K860/MAX(1,ROUND(G860*$AC$26,0)),0))</x:f>
        <x:v>10</x:v>
      </x:c>
      <x:c r="N860" s="6" t="n">
        <x:f>ROUNDUP(F860/英雄升级调参!$H$113,0)</x:f>
        <x:v>2</x:v>
      </x:c>
      <x:c r="O860" s="6" t="n">
        <x:f>ROUNDUP(F860/英雄升级调参!$K$113,0)</x:f>
        <x:v>2</x:v>
      </x:c>
      <x:c r="P860" s="6" t="str">
        <x:f>$AA$26</x:f>
        <x:v>普通：3次标准普攻击杀；10次主要攻击致死</x:v>
      </x:c>
      <x:c r="Q860" s="6"/>
      <x:c r="R860" s="6"/>
      <x:c r="S860" s="6"/>
      <x:c r="T860" s="6"/>
    </x:row>
    <x:row r="861" ht="21" customHeight="1">
      <x:c r="A861" s="14" t="n">
        <x:f>$V$26</x:f>
        <x:v>60013</x:v>
      </x:c>
      <x:c r="B861" s="14" t="str">
        <x:f>$W$26</x:f>
        <x:v>炮弹鸭梨</x:v>
      </x:c>
      <x:c r="C861" s="6" t="str">
        <x:f>$X$26</x:f>
        <x:v>远程</x:v>
      </x:c>
      <x:c r="D861" s="6">
        <x:v>49</x:v>
      </x:c>
      <x:c r="E861" s="6">
        <x:v>26</x:v>
      </x:c>
      <x:c r="F861" s="12">
        <x:f>ROUND(J861*$W$4*H861,0)</x:f>
        <x:v>11520</x:v>
      </x:c>
      <x:c r="G861" s="12">
        <x:f>ROUND(J861*$W$4*$W$5*I861,0)</x:f>
        <x:v>3840</x:v>
      </x:c>
      <x:c r="H861" s="11" t="n">
        <x:f>$Y$26</x:f>
        <x:v>0.75</x:v>
      </x:c>
      <x:c r="I861" s="11" t="n">
        <x:f>$Z$26</x:f>
        <x:v>3.3333333333333335</x:v>
      </x:c>
      <x:c r="J861" s="12">
        <x:f>英雄升级调参!$E$114</x:f>
        <x:v>3840</x:v>
      </x:c>
      <x:c r="K861" s="12">
        <x:f>英雄升级调参!$F$114</x:f>
        <x:v>38400</x:v>
      </x:c>
      <x:c r="L861" s="6" t="n">
        <x:f>ROUNDUP(F861/J861,0)</x:f>
        <x:v>3</x:v>
      </x:c>
      <x:c r="M861" s="6" t="n">
        <x:f>IF(G861=0,"无伤害",ROUNDUP(K861/MAX(1,ROUND(G861*$AC$26,0)),0))</x:f>
        <x:v>10</x:v>
      </x:c>
      <x:c r="N861" s="6" t="n">
        <x:f>ROUNDUP(F861/英雄升级调参!$H$114,0)</x:f>
        <x:v>2</x:v>
      </x:c>
      <x:c r="O861" s="6" t="n">
        <x:f>ROUNDUP(F861/英雄升级调参!$K$114,0)</x:f>
        <x:v>2</x:v>
      </x:c>
      <x:c r="P861" s="6" t="str">
        <x:f>$AA$26</x:f>
        <x:v>普通：3次标准普攻击杀；10次主要攻击致死</x:v>
      </x:c>
      <x:c r="Q861" s="6"/>
      <x:c r="R861" s="6"/>
      <x:c r="S861" s="6"/>
      <x:c r="T861" s="6"/>
    </x:row>
    <x:row r="862" ht="21" customHeight="1">
      <x:c r="A862" s="14" t="n">
        <x:f>$V$26</x:f>
        <x:v>60013</x:v>
      </x:c>
      <x:c r="B862" s="14" t="str">
        <x:f>$W$26</x:f>
        <x:v>炮弹鸭梨</x:v>
      </x:c>
      <x:c r="C862" s="6" t="str">
        <x:f>$X$26</x:f>
        <x:v>远程</x:v>
      </x:c>
      <x:c r="D862" s="6">
        <x:v>50</x:v>
      </x:c>
      <x:c r="E862" s="6">
        <x:v>26</x:v>
      </x:c>
      <x:c r="F862" s="12">
        <x:f>ROUND(J862*$W$4*H862,0)</x:f>
        <x:v>12411</x:v>
      </x:c>
      <x:c r="G862" s="12">
        <x:f>ROUND(J862*$W$4*$W$5*I862,0)</x:f>
        <x:v>4137</x:v>
      </x:c>
      <x:c r="H862" s="11" t="n">
        <x:f>$Y$26</x:f>
        <x:v>0.75</x:v>
      </x:c>
      <x:c r="I862" s="11" t="n">
        <x:f>$Z$26</x:f>
        <x:v>3.3333333333333335</x:v>
      </x:c>
      <x:c r="J862" s="12">
        <x:f>英雄升级调参!$E$115</x:f>
        <x:v>4137</x:v>
      </x:c>
      <x:c r="K862" s="12">
        <x:f>英雄升级调参!$F$115</x:f>
        <x:v>41370</x:v>
      </x:c>
      <x:c r="L862" s="6" t="n">
        <x:f>ROUNDUP(F862/J862,0)</x:f>
        <x:v>3</x:v>
      </x:c>
      <x:c r="M862" s="6" t="n">
        <x:f>IF(G862=0,"无伤害",ROUNDUP(K862/MAX(1,ROUND(G862*$AC$26,0)),0))</x:f>
        <x:v>10</x:v>
      </x:c>
      <x:c r="N862" s="6" t="n">
        <x:f>ROUNDUP(F862/英雄升级调参!$H$115,0)</x:f>
        <x:v>2</x:v>
      </x:c>
      <x:c r="O862" s="6" t="n">
        <x:f>ROUNDUP(F862/英雄升级调参!$K$115,0)</x:f>
        <x:v>2</x:v>
      </x:c>
      <x:c r="P862" s="6" t="str">
        <x:f>$AA$26</x:f>
        <x:v>普通：3次标准普攻击杀；10次主要攻击致死</x:v>
      </x:c>
      <x:c r="Q862" s="6"/>
      <x:c r="R862" s="6"/>
      <x:c r="S862" s="6"/>
      <x:c r="T862" s="6"/>
    </x:row>
    <x:row r="863" ht="21" customHeight="1">
      <x:c r="A863" s="14" t="n">
        <x:f t="shared" ref="A863:A894" si="265">$V$27</x:f>
        <x:v>60014</x:v>
      </x:c>
      <x:c r="B863" s="14" t="str">
        <x:f t="shared" ref="B863:B894" si="266">$W$27</x:f>
        <x:v>鳄小弟</x:v>
      </x:c>
      <x:c r="C863" s="6" t="str">
        <x:f t="shared" ref="C863:C894" si="267">$X$27</x:f>
        <x:v>召唤物</x:v>
      </x:c>
      <x:c r="D863" s="6">
        <x:v>1</x:v>
      </x:c>
      <x:c r="E863" s="6">
        <x:v>27</x:v>
      </x:c>
      <x:c r="F863" s="114" t="e">
        <x:f>ROUND(J863*$W$4*H863,0)</x:f>
        <x:v>#VALUE!</x:v>
      </x:c>
      <x:c r="G863" s="114" t="e">
        <x:f>ROUND(J863*$W$4*$W$5*I863,0)</x:f>
        <x:v>#VALUE!</x:v>
      </x:c>
      <x:c r="H863" s="113" t="str">
        <x:f t="shared" ref="H863:H894" si="268">$Y$27</x:f>
        <x:v>不参与</x:v>
      </x:c>
      <x:c r="I863" s="113" t="str">
        <x:f t="shared" ref="I863:I894" si="269">$Z$27</x:f>
        <x:v>不参与</x:v>
      </x:c>
      <x:c r="J863" s="114" t="s">
        <x:v>91</x:v>
      </x:c>
      <x:c r="K863" s="114" t="s">
        <x:v>91</x:v>
      </x:c>
      <x:c r="L863" s="109" t="e">
        <x:f>ROUNDUP(F863/J863,0)</x:f>
        <x:v>#VALUE!</x:v>
      </x:c>
      <x:c r="M863" s="109" t="e">
        <x:f>IF(G863=0,"无伤害",ROUNDUP(K863/G863,0))</x:f>
        <x:v>#VALUE!</x:v>
      </x:c>
      <x:c r="N863" s="109" t="s">
        <x:v>91</x:v>
      </x:c>
      <x:c r="O863" s="109" t="s">
        <x:v>91</x:v>
      </x:c>
      <x:c r="P863" s="6" t="str">
        <x:f t="shared" ref="P863:P894" si="270">$AA$27</x:f>
        <x:v>主角召唤物；由召唤技能单独配置，不参与怪物平衡</x:v>
      </x:c>
      <x:c r="Q863" s="6"/>
      <x:c r="R863" s="6"/>
      <x:c r="S863" s="6"/>
      <x:c r="T863" s="6"/>
    </x:row>
    <x:row r="864" ht="21" customHeight="1">
      <x:c r="A864" s="14">
        <x:f t="shared" si="265"/>
        <x:v>60014</x:v>
      </x:c>
      <x:c r="B864" s="14" t="str">
        <x:f t="shared" si="266"/>
        <x:v>鳄小弟</x:v>
      </x:c>
      <x:c r="C864" s="6" t="str">
        <x:f t="shared" si="267"/>
        <x:v>召唤物</x:v>
      </x:c>
      <x:c r="D864" s="6">
        <x:v>2</x:v>
      </x:c>
      <x:c r="E864" s="6">
        <x:v>27</x:v>
      </x:c>
      <x:c r="F864" s="114" t="e">
        <x:f>ROUND(J864*$W$4*H864,0)</x:f>
        <x:v>#VALUE!</x:v>
      </x:c>
      <x:c r="G864" s="114" t="e">
        <x:f>ROUND(J864*$W$4*$W$5*I864,0)</x:f>
        <x:v>#VALUE!</x:v>
      </x:c>
      <x:c r="H864" s="113" t="str">
        <x:f t="shared" si="268"/>
        <x:v>不参与</x:v>
      </x:c>
      <x:c r="I864" s="113" t="str">
        <x:f t="shared" si="269"/>
        <x:v>不参与</x:v>
      </x:c>
      <x:c r="J864" s="114" t="s">
        <x:v>91</x:v>
      </x:c>
      <x:c r="K864" s="114" t="s">
        <x:v>91</x:v>
      </x:c>
      <x:c r="L864" s="109" t="e">
        <x:f>ROUNDUP(F864/J864,0)</x:f>
        <x:v>#VALUE!</x:v>
      </x:c>
      <x:c r="M864" s="109" t="e">
        <x:f>IF(G864=0,"无伤害",ROUNDUP(K864/G864,0))</x:f>
        <x:v>#VALUE!</x:v>
      </x:c>
      <x:c r="N864" s="109" t="s">
        <x:v>91</x:v>
      </x:c>
      <x:c r="O864" s="109" t="s">
        <x:v>91</x:v>
      </x:c>
      <x:c r="P864" s="6" t="str">
        <x:f t="shared" si="270"/>
        <x:v>主角召唤物；由召唤技能单独配置，不参与怪物平衡</x:v>
      </x:c>
      <x:c r="Q864" s="6"/>
      <x:c r="R864" s="6"/>
      <x:c r="S864" s="6"/>
      <x:c r="T864" s="6"/>
    </x:row>
    <x:row r="865" ht="21" customHeight="1">
      <x:c r="A865" s="14">
        <x:f t="shared" si="265"/>
        <x:v>60014</x:v>
      </x:c>
      <x:c r="B865" s="14" t="str">
        <x:f t="shared" si="266"/>
        <x:v>鳄小弟</x:v>
      </x:c>
      <x:c r="C865" s="6" t="str">
        <x:f t="shared" si="267"/>
        <x:v>召唤物</x:v>
      </x:c>
      <x:c r="D865" s="6">
        <x:v>3</x:v>
      </x:c>
      <x:c r="E865" s="6">
        <x:v>27</x:v>
      </x:c>
      <x:c r="F865" s="114" t="e">
        <x:f>ROUND(J865*$W$4*H865,0)</x:f>
        <x:v>#VALUE!</x:v>
      </x:c>
      <x:c r="G865" s="114" t="e">
        <x:f>ROUND(J865*$W$4*$W$5*I865,0)</x:f>
        <x:v>#VALUE!</x:v>
      </x:c>
      <x:c r="H865" s="113" t="str">
        <x:f t="shared" si="268"/>
        <x:v>不参与</x:v>
      </x:c>
      <x:c r="I865" s="113" t="str">
        <x:f t="shared" si="269"/>
        <x:v>不参与</x:v>
      </x:c>
      <x:c r="J865" s="114" t="s">
        <x:v>91</x:v>
      </x:c>
      <x:c r="K865" s="114" t="s">
        <x:v>91</x:v>
      </x:c>
      <x:c r="L865" s="109" t="e">
        <x:f>ROUNDUP(F865/J865,0)</x:f>
        <x:v>#VALUE!</x:v>
      </x:c>
      <x:c r="M865" s="109" t="e">
        <x:f>IF(G865=0,"无伤害",ROUNDUP(K865/G865,0))</x:f>
        <x:v>#VALUE!</x:v>
      </x:c>
      <x:c r="N865" s="109" t="s">
        <x:v>91</x:v>
      </x:c>
      <x:c r="O865" s="109" t="s">
        <x:v>91</x:v>
      </x:c>
      <x:c r="P865" s="6" t="str">
        <x:f t="shared" si="270"/>
        <x:v>主角召唤物；由召唤技能单独配置，不参与怪物平衡</x:v>
      </x:c>
      <x:c r="Q865" s="6"/>
      <x:c r="R865" s="6"/>
      <x:c r="S865" s="6"/>
      <x:c r="T865" s="6"/>
    </x:row>
    <x:row r="866" ht="21" customHeight="1">
      <x:c r="A866" s="14">
        <x:f t="shared" si="265"/>
        <x:v>60014</x:v>
      </x:c>
      <x:c r="B866" s="14" t="str">
        <x:f t="shared" si="266"/>
        <x:v>鳄小弟</x:v>
      </x:c>
      <x:c r="C866" s="6" t="str">
        <x:f t="shared" si="267"/>
        <x:v>召唤物</x:v>
      </x:c>
      <x:c r="D866" s="6">
        <x:v>4</x:v>
      </x:c>
      <x:c r="E866" s="6">
        <x:v>27</x:v>
      </x:c>
      <x:c r="F866" s="114" t="e">
        <x:f>ROUND(J866*$W$4*H866,0)</x:f>
        <x:v>#VALUE!</x:v>
      </x:c>
      <x:c r="G866" s="114" t="e">
        <x:f>ROUND(J866*$W$4*$W$5*I866,0)</x:f>
        <x:v>#VALUE!</x:v>
      </x:c>
      <x:c r="H866" s="113" t="str">
        <x:f t="shared" si="268"/>
        <x:v>不参与</x:v>
      </x:c>
      <x:c r="I866" s="113" t="str">
        <x:f t="shared" si="269"/>
        <x:v>不参与</x:v>
      </x:c>
      <x:c r="J866" s="114" t="s">
        <x:v>91</x:v>
      </x:c>
      <x:c r="K866" s="114" t="s">
        <x:v>91</x:v>
      </x:c>
      <x:c r="L866" s="109" t="e">
        <x:f>ROUNDUP(F866/J866,0)</x:f>
        <x:v>#VALUE!</x:v>
      </x:c>
      <x:c r="M866" s="109" t="e">
        <x:f>IF(G866=0,"无伤害",ROUNDUP(K866/G866,0))</x:f>
        <x:v>#VALUE!</x:v>
      </x:c>
      <x:c r="N866" s="109" t="s">
        <x:v>91</x:v>
      </x:c>
      <x:c r="O866" s="109" t="s">
        <x:v>91</x:v>
      </x:c>
      <x:c r="P866" s="6" t="str">
        <x:f t="shared" si="270"/>
        <x:v>主角召唤物；由召唤技能单独配置，不参与怪物平衡</x:v>
      </x:c>
      <x:c r="Q866" s="6"/>
      <x:c r="R866" s="6"/>
      <x:c r="S866" s="6"/>
      <x:c r="T866" s="6"/>
    </x:row>
    <x:row r="867" ht="21" customHeight="1">
      <x:c r="A867" s="14">
        <x:f t="shared" si="265"/>
        <x:v>60014</x:v>
      </x:c>
      <x:c r="B867" s="14" t="str">
        <x:f t="shared" si="266"/>
        <x:v>鳄小弟</x:v>
      </x:c>
      <x:c r="C867" s="6" t="str">
        <x:f t="shared" si="267"/>
        <x:v>召唤物</x:v>
      </x:c>
      <x:c r="D867" s="6">
        <x:v>5</x:v>
      </x:c>
      <x:c r="E867" s="6">
        <x:v>27</x:v>
      </x:c>
      <x:c r="F867" s="114" t="e">
        <x:f>ROUND(J867*$W$4*H867,0)</x:f>
        <x:v>#VALUE!</x:v>
      </x:c>
      <x:c r="G867" s="114" t="e">
        <x:f>ROUND(J867*$W$4*$W$5*I867,0)</x:f>
        <x:v>#VALUE!</x:v>
      </x:c>
      <x:c r="H867" s="113" t="str">
        <x:f t="shared" si="268"/>
        <x:v>不参与</x:v>
      </x:c>
      <x:c r="I867" s="113" t="str">
        <x:f t="shared" si="269"/>
        <x:v>不参与</x:v>
      </x:c>
      <x:c r="J867" s="114" t="s">
        <x:v>91</x:v>
      </x:c>
      <x:c r="K867" s="114" t="s">
        <x:v>91</x:v>
      </x:c>
      <x:c r="L867" s="109" t="e">
        <x:f>ROUNDUP(F867/J867,0)</x:f>
        <x:v>#VALUE!</x:v>
      </x:c>
      <x:c r="M867" s="109" t="e">
        <x:f>IF(G867=0,"无伤害",ROUNDUP(K867/G867,0))</x:f>
        <x:v>#VALUE!</x:v>
      </x:c>
      <x:c r="N867" s="109" t="s">
        <x:v>91</x:v>
      </x:c>
      <x:c r="O867" s="109" t="s">
        <x:v>91</x:v>
      </x:c>
      <x:c r="P867" s="6" t="str">
        <x:f t="shared" si="270"/>
        <x:v>主角召唤物；由召唤技能单独配置，不参与怪物平衡</x:v>
      </x:c>
      <x:c r="Q867" s="6"/>
      <x:c r="R867" s="6"/>
      <x:c r="S867" s="6"/>
      <x:c r="T867" s="6"/>
    </x:row>
    <x:row r="868" ht="21" customHeight="1">
      <x:c r="A868" s="14">
        <x:f t="shared" si="265"/>
        <x:v>60014</x:v>
      </x:c>
      <x:c r="B868" s="14" t="str">
        <x:f t="shared" si="266"/>
        <x:v>鳄小弟</x:v>
      </x:c>
      <x:c r="C868" s="6" t="str">
        <x:f t="shared" si="267"/>
        <x:v>召唤物</x:v>
      </x:c>
      <x:c r="D868" s="6">
        <x:v>6</x:v>
      </x:c>
      <x:c r="E868" s="6">
        <x:v>27</x:v>
      </x:c>
      <x:c r="F868" s="114" t="e">
        <x:f>ROUND(J868*$W$4*H868,0)</x:f>
        <x:v>#VALUE!</x:v>
      </x:c>
      <x:c r="G868" s="114" t="e">
        <x:f>ROUND(J868*$W$4*$W$5*I868,0)</x:f>
        <x:v>#VALUE!</x:v>
      </x:c>
      <x:c r="H868" s="113" t="str">
        <x:f t="shared" si="268"/>
        <x:v>不参与</x:v>
      </x:c>
      <x:c r="I868" s="113" t="str">
        <x:f t="shared" si="269"/>
        <x:v>不参与</x:v>
      </x:c>
      <x:c r="J868" s="114" t="s">
        <x:v>91</x:v>
      </x:c>
      <x:c r="K868" s="114" t="s">
        <x:v>91</x:v>
      </x:c>
      <x:c r="L868" s="109" t="e">
        <x:f>ROUNDUP(F868/J868,0)</x:f>
        <x:v>#VALUE!</x:v>
      </x:c>
      <x:c r="M868" s="109" t="e">
        <x:f>IF(G868=0,"无伤害",ROUNDUP(K868/G868,0))</x:f>
        <x:v>#VALUE!</x:v>
      </x:c>
      <x:c r="N868" s="109" t="s">
        <x:v>91</x:v>
      </x:c>
      <x:c r="O868" s="109" t="s">
        <x:v>91</x:v>
      </x:c>
      <x:c r="P868" s="6" t="str">
        <x:f t="shared" si="270"/>
        <x:v>主角召唤物；由召唤技能单独配置，不参与怪物平衡</x:v>
      </x:c>
      <x:c r="Q868" s="6"/>
      <x:c r="R868" s="6"/>
      <x:c r="S868" s="6"/>
      <x:c r="T868" s="6"/>
    </x:row>
    <x:row r="869" ht="21" customHeight="1">
      <x:c r="A869" s="14">
        <x:f t="shared" si="265"/>
        <x:v>60014</x:v>
      </x:c>
      <x:c r="B869" s="14" t="str">
        <x:f t="shared" si="266"/>
        <x:v>鳄小弟</x:v>
      </x:c>
      <x:c r="C869" s="6" t="str">
        <x:f t="shared" si="267"/>
        <x:v>召唤物</x:v>
      </x:c>
      <x:c r="D869" s="6">
        <x:v>7</x:v>
      </x:c>
      <x:c r="E869" s="6">
        <x:v>27</x:v>
      </x:c>
      <x:c r="F869" s="114" t="e">
        <x:f>ROUND(J869*$W$4*H869,0)</x:f>
        <x:v>#VALUE!</x:v>
      </x:c>
      <x:c r="G869" s="114" t="e">
        <x:f>ROUND(J869*$W$4*$W$5*I869,0)</x:f>
        <x:v>#VALUE!</x:v>
      </x:c>
      <x:c r="H869" s="113" t="str">
        <x:f t="shared" si="268"/>
        <x:v>不参与</x:v>
      </x:c>
      <x:c r="I869" s="113" t="str">
        <x:f t="shared" si="269"/>
        <x:v>不参与</x:v>
      </x:c>
      <x:c r="J869" s="114" t="s">
        <x:v>91</x:v>
      </x:c>
      <x:c r="K869" s="114" t="s">
        <x:v>91</x:v>
      </x:c>
      <x:c r="L869" s="109" t="e">
        <x:f>ROUNDUP(F869/J869,0)</x:f>
        <x:v>#VALUE!</x:v>
      </x:c>
      <x:c r="M869" s="109" t="e">
        <x:f>IF(G869=0,"无伤害",ROUNDUP(K869/G869,0))</x:f>
        <x:v>#VALUE!</x:v>
      </x:c>
      <x:c r="N869" s="109" t="s">
        <x:v>91</x:v>
      </x:c>
      <x:c r="O869" s="109" t="s">
        <x:v>91</x:v>
      </x:c>
      <x:c r="P869" s="6" t="str">
        <x:f t="shared" si="270"/>
        <x:v>主角召唤物；由召唤技能单独配置，不参与怪物平衡</x:v>
      </x:c>
      <x:c r="Q869" s="6"/>
      <x:c r="R869" s="6"/>
      <x:c r="S869" s="6"/>
      <x:c r="T869" s="6"/>
    </x:row>
    <x:row r="870" ht="21" customHeight="1">
      <x:c r="A870" s="14">
        <x:f t="shared" si="265"/>
        <x:v>60014</x:v>
      </x:c>
      <x:c r="B870" s="14" t="str">
        <x:f t="shared" si="266"/>
        <x:v>鳄小弟</x:v>
      </x:c>
      <x:c r="C870" s="6" t="str">
        <x:f t="shared" si="267"/>
        <x:v>召唤物</x:v>
      </x:c>
      <x:c r="D870" s="6">
        <x:v>8</x:v>
      </x:c>
      <x:c r="E870" s="6">
        <x:v>27</x:v>
      </x:c>
      <x:c r="F870" s="114" t="e">
        <x:f>ROUND(J870*$W$4*H870,0)</x:f>
        <x:v>#VALUE!</x:v>
      </x:c>
      <x:c r="G870" s="114" t="e">
        <x:f>ROUND(J870*$W$4*$W$5*I870,0)</x:f>
        <x:v>#VALUE!</x:v>
      </x:c>
      <x:c r="H870" s="113" t="str">
        <x:f t="shared" si="268"/>
        <x:v>不参与</x:v>
      </x:c>
      <x:c r="I870" s="113" t="str">
        <x:f t="shared" si="269"/>
        <x:v>不参与</x:v>
      </x:c>
      <x:c r="J870" s="114" t="s">
        <x:v>91</x:v>
      </x:c>
      <x:c r="K870" s="114" t="s">
        <x:v>91</x:v>
      </x:c>
      <x:c r="L870" s="109" t="e">
        <x:f>ROUNDUP(F870/J870,0)</x:f>
        <x:v>#VALUE!</x:v>
      </x:c>
      <x:c r="M870" s="109" t="e">
        <x:f>IF(G870=0,"无伤害",ROUNDUP(K870/G870,0))</x:f>
        <x:v>#VALUE!</x:v>
      </x:c>
      <x:c r="N870" s="109" t="s">
        <x:v>91</x:v>
      </x:c>
      <x:c r="O870" s="109" t="s">
        <x:v>91</x:v>
      </x:c>
      <x:c r="P870" s="6" t="str">
        <x:f t="shared" si="270"/>
        <x:v>主角召唤物；由召唤技能单独配置，不参与怪物平衡</x:v>
      </x:c>
      <x:c r="Q870" s="6"/>
      <x:c r="R870" s="6"/>
      <x:c r="S870" s="6"/>
      <x:c r="T870" s="6"/>
    </x:row>
    <x:row r="871" ht="21" customHeight="1">
      <x:c r="A871" s="14">
        <x:f t="shared" si="265"/>
        <x:v>60014</x:v>
      </x:c>
      <x:c r="B871" s="14" t="str">
        <x:f t="shared" si="266"/>
        <x:v>鳄小弟</x:v>
      </x:c>
      <x:c r="C871" s="6" t="str">
        <x:f t="shared" si="267"/>
        <x:v>召唤物</x:v>
      </x:c>
      <x:c r="D871" s="6">
        <x:v>9</x:v>
      </x:c>
      <x:c r="E871" s="6">
        <x:v>27</x:v>
      </x:c>
      <x:c r="F871" s="114" t="e">
        <x:f>ROUND(J871*$W$4*H871,0)</x:f>
        <x:v>#VALUE!</x:v>
      </x:c>
      <x:c r="G871" s="114" t="e">
        <x:f>ROUND(J871*$W$4*$W$5*I871,0)</x:f>
        <x:v>#VALUE!</x:v>
      </x:c>
      <x:c r="H871" s="113" t="str">
        <x:f t="shared" si="268"/>
        <x:v>不参与</x:v>
      </x:c>
      <x:c r="I871" s="113" t="str">
        <x:f t="shared" si="269"/>
        <x:v>不参与</x:v>
      </x:c>
      <x:c r="J871" s="114" t="s">
        <x:v>91</x:v>
      </x:c>
      <x:c r="K871" s="114" t="s">
        <x:v>91</x:v>
      </x:c>
      <x:c r="L871" s="109" t="e">
        <x:f>ROUNDUP(F871/J871,0)</x:f>
        <x:v>#VALUE!</x:v>
      </x:c>
      <x:c r="M871" s="109" t="e">
        <x:f>IF(G871=0,"无伤害",ROUNDUP(K871/G871,0))</x:f>
        <x:v>#VALUE!</x:v>
      </x:c>
      <x:c r="N871" s="109" t="s">
        <x:v>91</x:v>
      </x:c>
      <x:c r="O871" s="109" t="s">
        <x:v>91</x:v>
      </x:c>
      <x:c r="P871" s="6" t="str">
        <x:f t="shared" si="270"/>
        <x:v>主角召唤物；由召唤技能单独配置，不参与怪物平衡</x:v>
      </x:c>
      <x:c r="Q871" s="6"/>
      <x:c r="R871" s="6"/>
      <x:c r="S871" s="6"/>
      <x:c r="T871" s="6"/>
    </x:row>
    <x:row r="872" ht="21" customHeight="1">
      <x:c r="A872" s="14">
        <x:f t="shared" si="265"/>
        <x:v>60014</x:v>
      </x:c>
      <x:c r="B872" s="14" t="str">
        <x:f t="shared" si="266"/>
        <x:v>鳄小弟</x:v>
      </x:c>
      <x:c r="C872" s="6" t="str">
        <x:f t="shared" si="267"/>
        <x:v>召唤物</x:v>
      </x:c>
      <x:c r="D872" s="6">
        <x:v>10</x:v>
      </x:c>
      <x:c r="E872" s="6">
        <x:v>27</x:v>
      </x:c>
      <x:c r="F872" s="114" t="e">
        <x:f>ROUND(J872*$W$4*H872,0)</x:f>
        <x:v>#VALUE!</x:v>
      </x:c>
      <x:c r="G872" s="114" t="e">
        <x:f>ROUND(J872*$W$4*$W$5*I872,0)</x:f>
        <x:v>#VALUE!</x:v>
      </x:c>
      <x:c r="H872" s="113" t="str">
        <x:f t="shared" si="268"/>
        <x:v>不参与</x:v>
      </x:c>
      <x:c r="I872" s="113" t="str">
        <x:f t="shared" si="269"/>
        <x:v>不参与</x:v>
      </x:c>
      <x:c r="J872" s="114" t="s">
        <x:v>91</x:v>
      </x:c>
      <x:c r="K872" s="114" t="s">
        <x:v>91</x:v>
      </x:c>
      <x:c r="L872" s="109" t="e">
        <x:f>ROUNDUP(F872/J872,0)</x:f>
        <x:v>#VALUE!</x:v>
      </x:c>
      <x:c r="M872" s="109" t="e">
        <x:f>IF(G872=0,"无伤害",ROUNDUP(K872/G872,0))</x:f>
        <x:v>#VALUE!</x:v>
      </x:c>
      <x:c r="N872" s="109" t="s">
        <x:v>91</x:v>
      </x:c>
      <x:c r="O872" s="109" t="s">
        <x:v>91</x:v>
      </x:c>
      <x:c r="P872" s="6" t="str">
        <x:f t="shared" si="270"/>
        <x:v>主角召唤物；由召唤技能单独配置，不参与怪物平衡</x:v>
      </x:c>
      <x:c r="Q872" s="6"/>
      <x:c r="R872" s="6"/>
      <x:c r="S872" s="6"/>
      <x:c r="T872" s="6"/>
    </x:row>
    <x:row r="873" ht="21" customHeight="1">
      <x:c r="A873" s="14">
        <x:f t="shared" si="265"/>
        <x:v>60014</x:v>
      </x:c>
      <x:c r="B873" s="14" t="str">
        <x:f t="shared" si="266"/>
        <x:v>鳄小弟</x:v>
      </x:c>
      <x:c r="C873" s="6" t="str">
        <x:f t="shared" si="267"/>
        <x:v>召唤物</x:v>
      </x:c>
      <x:c r="D873" s="6">
        <x:v>11</x:v>
      </x:c>
      <x:c r="E873" s="6">
        <x:v>27</x:v>
      </x:c>
      <x:c r="F873" s="114" t="e">
        <x:f>ROUND(J873*$W$4*H873,0)</x:f>
        <x:v>#VALUE!</x:v>
      </x:c>
      <x:c r="G873" s="114" t="e">
        <x:f>ROUND(J873*$W$4*$W$5*I873,0)</x:f>
        <x:v>#VALUE!</x:v>
      </x:c>
      <x:c r="H873" s="113" t="str">
        <x:f t="shared" si="268"/>
        <x:v>不参与</x:v>
      </x:c>
      <x:c r="I873" s="113" t="str">
        <x:f t="shared" si="269"/>
        <x:v>不参与</x:v>
      </x:c>
      <x:c r="J873" s="114" t="s">
        <x:v>91</x:v>
      </x:c>
      <x:c r="K873" s="114" t="s">
        <x:v>91</x:v>
      </x:c>
      <x:c r="L873" s="109" t="e">
        <x:f>ROUNDUP(F873/J873,0)</x:f>
        <x:v>#VALUE!</x:v>
      </x:c>
      <x:c r="M873" s="109" t="e">
        <x:f>IF(G873=0,"无伤害",ROUNDUP(K873/G873,0))</x:f>
        <x:v>#VALUE!</x:v>
      </x:c>
      <x:c r="N873" s="109" t="s">
        <x:v>91</x:v>
      </x:c>
      <x:c r="O873" s="109" t="s">
        <x:v>91</x:v>
      </x:c>
      <x:c r="P873" s="6" t="str">
        <x:f t="shared" si="270"/>
        <x:v>主角召唤物；由召唤技能单独配置，不参与怪物平衡</x:v>
      </x:c>
      <x:c r="Q873" s="6"/>
      <x:c r="R873" s="6"/>
      <x:c r="S873" s="6"/>
      <x:c r="T873" s="6"/>
    </x:row>
    <x:row r="874" ht="21" customHeight="1">
      <x:c r="A874" s="14">
        <x:f t="shared" si="265"/>
        <x:v>60014</x:v>
      </x:c>
      <x:c r="B874" s="14" t="str">
        <x:f t="shared" si="266"/>
        <x:v>鳄小弟</x:v>
      </x:c>
      <x:c r="C874" s="6" t="str">
        <x:f t="shared" si="267"/>
        <x:v>召唤物</x:v>
      </x:c>
      <x:c r="D874" s="6">
        <x:v>12</x:v>
      </x:c>
      <x:c r="E874" s="6">
        <x:v>27</x:v>
      </x:c>
      <x:c r="F874" s="114" t="e">
        <x:f>ROUND(J874*$W$4*H874,0)</x:f>
        <x:v>#VALUE!</x:v>
      </x:c>
      <x:c r="G874" s="114" t="e">
        <x:f>ROUND(J874*$W$4*$W$5*I874,0)</x:f>
        <x:v>#VALUE!</x:v>
      </x:c>
      <x:c r="H874" s="113" t="str">
        <x:f t="shared" si="268"/>
        <x:v>不参与</x:v>
      </x:c>
      <x:c r="I874" s="113" t="str">
        <x:f t="shared" si="269"/>
        <x:v>不参与</x:v>
      </x:c>
      <x:c r="J874" s="114" t="s">
        <x:v>91</x:v>
      </x:c>
      <x:c r="K874" s="114" t="s">
        <x:v>91</x:v>
      </x:c>
      <x:c r="L874" s="109" t="e">
        <x:f>ROUNDUP(F874/J874,0)</x:f>
        <x:v>#VALUE!</x:v>
      </x:c>
      <x:c r="M874" s="109" t="e">
        <x:f>IF(G874=0,"无伤害",ROUNDUP(K874/G874,0))</x:f>
        <x:v>#VALUE!</x:v>
      </x:c>
      <x:c r="N874" s="109" t="s">
        <x:v>91</x:v>
      </x:c>
      <x:c r="O874" s="109" t="s">
        <x:v>91</x:v>
      </x:c>
      <x:c r="P874" s="6" t="str">
        <x:f t="shared" si="270"/>
        <x:v>主角召唤物；由召唤技能单独配置，不参与怪物平衡</x:v>
      </x:c>
      <x:c r="Q874" s="6"/>
      <x:c r="R874" s="6"/>
      <x:c r="S874" s="6"/>
      <x:c r="T874" s="6"/>
    </x:row>
    <x:row r="875" ht="21" customHeight="1">
      <x:c r="A875" s="14">
        <x:f t="shared" si="265"/>
        <x:v>60014</x:v>
      </x:c>
      <x:c r="B875" s="14" t="str">
        <x:f t="shared" si="266"/>
        <x:v>鳄小弟</x:v>
      </x:c>
      <x:c r="C875" s="6" t="str">
        <x:f t="shared" si="267"/>
        <x:v>召唤物</x:v>
      </x:c>
      <x:c r="D875" s="6">
        <x:v>13</x:v>
      </x:c>
      <x:c r="E875" s="6">
        <x:v>27</x:v>
      </x:c>
      <x:c r="F875" s="114" t="e">
        <x:f>ROUND(J875*$W$4*H875,0)</x:f>
        <x:v>#VALUE!</x:v>
      </x:c>
      <x:c r="G875" s="114" t="e">
        <x:f>ROUND(J875*$W$4*$W$5*I875,0)</x:f>
        <x:v>#VALUE!</x:v>
      </x:c>
      <x:c r="H875" s="113" t="str">
        <x:f t="shared" si="268"/>
        <x:v>不参与</x:v>
      </x:c>
      <x:c r="I875" s="113" t="str">
        <x:f t="shared" si="269"/>
        <x:v>不参与</x:v>
      </x:c>
      <x:c r="J875" s="114" t="s">
        <x:v>91</x:v>
      </x:c>
      <x:c r="K875" s="114" t="s">
        <x:v>91</x:v>
      </x:c>
      <x:c r="L875" s="109" t="e">
        <x:f>ROUNDUP(F875/J875,0)</x:f>
        <x:v>#VALUE!</x:v>
      </x:c>
      <x:c r="M875" s="109" t="e">
        <x:f>IF(G875=0,"无伤害",ROUNDUP(K875/G875,0))</x:f>
        <x:v>#VALUE!</x:v>
      </x:c>
      <x:c r="N875" s="109" t="s">
        <x:v>91</x:v>
      </x:c>
      <x:c r="O875" s="109" t="s">
        <x:v>91</x:v>
      </x:c>
      <x:c r="P875" s="6" t="str">
        <x:f t="shared" si="270"/>
        <x:v>主角召唤物；由召唤技能单独配置，不参与怪物平衡</x:v>
      </x:c>
      <x:c r="Q875" s="6"/>
      <x:c r="R875" s="6"/>
      <x:c r="S875" s="6"/>
      <x:c r="T875" s="6"/>
    </x:row>
    <x:row r="876" ht="21" customHeight="1">
      <x:c r="A876" s="14">
        <x:f t="shared" si="265"/>
        <x:v>60014</x:v>
      </x:c>
      <x:c r="B876" s="14" t="str">
        <x:f t="shared" si="266"/>
        <x:v>鳄小弟</x:v>
      </x:c>
      <x:c r="C876" s="6" t="str">
        <x:f t="shared" si="267"/>
        <x:v>召唤物</x:v>
      </x:c>
      <x:c r="D876" s="6">
        <x:v>14</x:v>
      </x:c>
      <x:c r="E876" s="6">
        <x:v>27</x:v>
      </x:c>
      <x:c r="F876" s="114" t="e">
        <x:f>ROUND(J876*$W$4*H876,0)</x:f>
        <x:v>#VALUE!</x:v>
      </x:c>
      <x:c r="G876" s="114" t="e">
        <x:f>ROUND(J876*$W$4*$W$5*I876,0)</x:f>
        <x:v>#VALUE!</x:v>
      </x:c>
      <x:c r="H876" s="113" t="str">
        <x:f t="shared" si="268"/>
        <x:v>不参与</x:v>
      </x:c>
      <x:c r="I876" s="113" t="str">
        <x:f t="shared" si="269"/>
        <x:v>不参与</x:v>
      </x:c>
      <x:c r="J876" s="114" t="s">
        <x:v>91</x:v>
      </x:c>
      <x:c r="K876" s="114" t="s">
        <x:v>91</x:v>
      </x:c>
      <x:c r="L876" s="109" t="e">
        <x:f>ROUNDUP(F876/J876,0)</x:f>
        <x:v>#VALUE!</x:v>
      </x:c>
      <x:c r="M876" s="109" t="e">
        <x:f>IF(G876=0,"无伤害",ROUNDUP(K876/G876,0))</x:f>
        <x:v>#VALUE!</x:v>
      </x:c>
      <x:c r="N876" s="109" t="s">
        <x:v>91</x:v>
      </x:c>
      <x:c r="O876" s="109" t="s">
        <x:v>91</x:v>
      </x:c>
      <x:c r="P876" s="6" t="str">
        <x:f t="shared" si="270"/>
        <x:v>主角召唤物；由召唤技能单独配置，不参与怪物平衡</x:v>
      </x:c>
      <x:c r="Q876" s="6"/>
      <x:c r="R876" s="6"/>
      <x:c r="S876" s="6"/>
      <x:c r="T876" s="6"/>
    </x:row>
    <x:row r="877" ht="21" customHeight="1">
      <x:c r="A877" s="14">
        <x:f t="shared" si="265"/>
        <x:v>60014</x:v>
      </x:c>
      <x:c r="B877" s="14" t="str">
        <x:f t="shared" si="266"/>
        <x:v>鳄小弟</x:v>
      </x:c>
      <x:c r="C877" s="6" t="str">
        <x:f t="shared" si="267"/>
        <x:v>召唤物</x:v>
      </x:c>
      <x:c r="D877" s="6">
        <x:v>15</x:v>
      </x:c>
      <x:c r="E877" s="6">
        <x:v>27</x:v>
      </x:c>
      <x:c r="F877" s="114" t="e">
        <x:f>ROUND(J877*$W$4*H877,0)</x:f>
        <x:v>#VALUE!</x:v>
      </x:c>
      <x:c r="G877" s="114" t="e">
        <x:f>ROUND(J877*$W$4*$W$5*I877,0)</x:f>
        <x:v>#VALUE!</x:v>
      </x:c>
      <x:c r="H877" s="113" t="str">
        <x:f t="shared" si="268"/>
        <x:v>不参与</x:v>
      </x:c>
      <x:c r="I877" s="113" t="str">
        <x:f t="shared" si="269"/>
        <x:v>不参与</x:v>
      </x:c>
      <x:c r="J877" s="114" t="s">
        <x:v>91</x:v>
      </x:c>
      <x:c r="K877" s="114" t="s">
        <x:v>91</x:v>
      </x:c>
      <x:c r="L877" s="109" t="e">
        <x:f>ROUNDUP(F877/J877,0)</x:f>
        <x:v>#VALUE!</x:v>
      </x:c>
      <x:c r="M877" s="109" t="e">
        <x:f>IF(G877=0,"无伤害",ROUNDUP(K877/G877,0))</x:f>
        <x:v>#VALUE!</x:v>
      </x:c>
      <x:c r="N877" s="109" t="s">
        <x:v>91</x:v>
      </x:c>
      <x:c r="O877" s="109" t="s">
        <x:v>91</x:v>
      </x:c>
      <x:c r="P877" s="6" t="str">
        <x:f t="shared" si="270"/>
        <x:v>主角召唤物；由召唤技能单独配置，不参与怪物平衡</x:v>
      </x:c>
      <x:c r="Q877" s="6"/>
      <x:c r="R877" s="6"/>
      <x:c r="S877" s="6"/>
      <x:c r="T877" s="6"/>
    </x:row>
    <x:row r="878" ht="21" customHeight="1">
      <x:c r="A878" s="14">
        <x:f t="shared" si="265"/>
        <x:v>60014</x:v>
      </x:c>
      <x:c r="B878" s="14" t="str">
        <x:f t="shared" si="266"/>
        <x:v>鳄小弟</x:v>
      </x:c>
      <x:c r="C878" s="6" t="str">
        <x:f t="shared" si="267"/>
        <x:v>召唤物</x:v>
      </x:c>
      <x:c r="D878" s="6">
        <x:v>16</x:v>
      </x:c>
      <x:c r="E878" s="6">
        <x:v>27</x:v>
      </x:c>
      <x:c r="F878" s="114" t="e">
        <x:f>ROUND(J878*$W$4*H878,0)</x:f>
        <x:v>#VALUE!</x:v>
      </x:c>
      <x:c r="G878" s="114" t="e">
        <x:f>ROUND(J878*$W$4*$W$5*I878,0)</x:f>
        <x:v>#VALUE!</x:v>
      </x:c>
      <x:c r="H878" s="113" t="str">
        <x:f t="shared" si="268"/>
        <x:v>不参与</x:v>
      </x:c>
      <x:c r="I878" s="113" t="str">
        <x:f t="shared" si="269"/>
        <x:v>不参与</x:v>
      </x:c>
      <x:c r="J878" s="114" t="s">
        <x:v>91</x:v>
      </x:c>
      <x:c r="K878" s="114" t="s">
        <x:v>91</x:v>
      </x:c>
      <x:c r="L878" s="109" t="e">
        <x:f>ROUNDUP(F878/J878,0)</x:f>
        <x:v>#VALUE!</x:v>
      </x:c>
      <x:c r="M878" s="109" t="e">
        <x:f>IF(G878=0,"无伤害",ROUNDUP(K878/G878,0))</x:f>
        <x:v>#VALUE!</x:v>
      </x:c>
      <x:c r="N878" s="109" t="s">
        <x:v>91</x:v>
      </x:c>
      <x:c r="O878" s="109" t="s">
        <x:v>91</x:v>
      </x:c>
      <x:c r="P878" s="6" t="str">
        <x:f t="shared" si="270"/>
        <x:v>主角召唤物；由召唤技能单独配置，不参与怪物平衡</x:v>
      </x:c>
      <x:c r="Q878" s="6"/>
      <x:c r="R878" s="6"/>
      <x:c r="S878" s="6"/>
      <x:c r="T878" s="6"/>
    </x:row>
    <x:row r="879" ht="21" customHeight="1">
      <x:c r="A879" s="14">
        <x:f t="shared" si="265"/>
        <x:v>60014</x:v>
      </x:c>
      <x:c r="B879" s="14" t="str">
        <x:f t="shared" si="266"/>
        <x:v>鳄小弟</x:v>
      </x:c>
      <x:c r="C879" s="6" t="str">
        <x:f t="shared" si="267"/>
        <x:v>召唤物</x:v>
      </x:c>
      <x:c r="D879" s="6">
        <x:v>17</x:v>
      </x:c>
      <x:c r="E879" s="6">
        <x:v>27</x:v>
      </x:c>
      <x:c r="F879" s="114" t="e">
        <x:f>ROUND(J879*$W$4*H879,0)</x:f>
        <x:v>#VALUE!</x:v>
      </x:c>
      <x:c r="G879" s="114" t="e">
        <x:f>ROUND(J879*$W$4*$W$5*I879,0)</x:f>
        <x:v>#VALUE!</x:v>
      </x:c>
      <x:c r="H879" s="113" t="str">
        <x:f t="shared" si="268"/>
        <x:v>不参与</x:v>
      </x:c>
      <x:c r="I879" s="113" t="str">
        <x:f t="shared" si="269"/>
        <x:v>不参与</x:v>
      </x:c>
      <x:c r="J879" s="114" t="s">
        <x:v>91</x:v>
      </x:c>
      <x:c r="K879" s="114" t="s">
        <x:v>91</x:v>
      </x:c>
      <x:c r="L879" s="109" t="e">
        <x:f>ROUNDUP(F879/J879,0)</x:f>
        <x:v>#VALUE!</x:v>
      </x:c>
      <x:c r="M879" s="109" t="e">
        <x:f>IF(G879=0,"无伤害",ROUNDUP(K879/G879,0))</x:f>
        <x:v>#VALUE!</x:v>
      </x:c>
      <x:c r="N879" s="109" t="s">
        <x:v>91</x:v>
      </x:c>
      <x:c r="O879" s="109" t="s">
        <x:v>91</x:v>
      </x:c>
      <x:c r="P879" s="6" t="str">
        <x:f t="shared" si="270"/>
        <x:v>主角召唤物；由召唤技能单独配置，不参与怪物平衡</x:v>
      </x:c>
      <x:c r="Q879" s="6"/>
      <x:c r="R879" s="6"/>
      <x:c r="S879" s="6"/>
      <x:c r="T879" s="6"/>
    </x:row>
    <x:row r="880" ht="21" customHeight="1">
      <x:c r="A880" s="14">
        <x:f t="shared" si="265"/>
        <x:v>60014</x:v>
      </x:c>
      <x:c r="B880" s="14" t="str">
        <x:f t="shared" si="266"/>
        <x:v>鳄小弟</x:v>
      </x:c>
      <x:c r="C880" s="6" t="str">
        <x:f t="shared" si="267"/>
        <x:v>召唤物</x:v>
      </x:c>
      <x:c r="D880" s="6">
        <x:v>18</x:v>
      </x:c>
      <x:c r="E880" s="6">
        <x:v>27</x:v>
      </x:c>
      <x:c r="F880" s="114" t="e">
        <x:f>ROUND(J880*$W$4*H880,0)</x:f>
        <x:v>#VALUE!</x:v>
      </x:c>
      <x:c r="G880" s="114" t="e">
        <x:f>ROUND(J880*$W$4*$W$5*I880,0)</x:f>
        <x:v>#VALUE!</x:v>
      </x:c>
      <x:c r="H880" s="113" t="str">
        <x:f t="shared" si="268"/>
        <x:v>不参与</x:v>
      </x:c>
      <x:c r="I880" s="113" t="str">
        <x:f t="shared" si="269"/>
        <x:v>不参与</x:v>
      </x:c>
      <x:c r="J880" s="114" t="s">
        <x:v>91</x:v>
      </x:c>
      <x:c r="K880" s="114" t="s">
        <x:v>91</x:v>
      </x:c>
      <x:c r="L880" s="109" t="e">
        <x:f>ROUNDUP(F880/J880,0)</x:f>
        <x:v>#VALUE!</x:v>
      </x:c>
      <x:c r="M880" s="109" t="e">
        <x:f>IF(G880=0,"无伤害",ROUNDUP(K880/G880,0))</x:f>
        <x:v>#VALUE!</x:v>
      </x:c>
      <x:c r="N880" s="109" t="s">
        <x:v>91</x:v>
      </x:c>
      <x:c r="O880" s="109" t="s">
        <x:v>91</x:v>
      </x:c>
      <x:c r="P880" s="6" t="str">
        <x:f t="shared" si="270"/>
        <x:v>主角召唤物；由召唤技能单独配置，不参与怪物平衡</x:v>
      </x:c>
      <x:c r="Q880" s="6"/>
      <x:c r="R880" s="6"/>
      <x:c r="S880" s="6"/>
      <x:c r="T880" s="6"/>
    </x:row>
    <x:row r="881" ht="21" customHeight="1">
      <x:c r="A881" s="14">
        <x:f t="shared" si="265"/>
        <x:v>60014</x:v>
      </x:c>
      <x:c r="B881" s="14" t="str">
        <x:f t="shared" si="266"/>
        <x:v>鳄小弟</x:v>
      </x:c>
      <x:c r="C881" s="6" t="str">
        <x:f t="shared" si="267"/>
        <x:v>召唤物</x:v>
      </x:c>
      <x:c r="D881" s="6">
        <x:v>19</x:v>
      </x:c>
      <x:c r="E881" s="6">
        <x:v>27</x:v>
      </x:c>
      <x:c r="F881" s="114" t="e">
        <x:f>ROUND(J881*$W$4*H881,0)</x:f>
        <x:v>#VALUE!</x:v>
      </x:c>
      <x:c r="G881" s="114" t="e">
        <x:f>ROUND(J881*$W$4*$W$5*I881,0)</x:f>
        <x:v>#VALUE!</x:v>
      </x:c>
      <x:c r="H881" s="113" t="str">
        <x:f t="shared" si="268"/>
        <x:v>不参与</x:v>
      </x:c>
      <x:c r="I881" s="113" t="str">
        <x:f t="shared" si="269"/>
        <x:v>不参与</x:v>
      </x:c>
      <x:c r="J881" s="114" t="s">
        <x:v>91</x:v>
      </x:c>
      <x:c r="K881" s="114" t="s">
        <x:v>91</x:v>
      </x:c>
      <x:c r="L881" s="109" t="e">
        <x:f>ROUNDUP(F881/J881,0)</x:f>
        <x:v>#VALUE!</x:v>
      </x:c>
      <x:c r="M881" s="109" t="e">
        <x:f>IF(G881=0,"无伤害",ROUNDUP(K881/G881,0))</x:f>
        <x:v>#VALUE!</x:v>
      </x:c>
      <x:c r="N881" s="109" t="s">
        <x:v>91</x:v>
      </x:c>
      <x:c r="O881" s="109" t="s">
        <x:v>91</x:v>
      </x:c>
      <x:c r="P881" s="6" t="str">
        <x:f t="shared" si="270"/>
        <x:v>主角召唤物；由召唤技能单独配置，不参与怪物平衡</x:v>
      </x:c>
      <x:c r="Q881" s="6"/>
      <x:c r="R881" s="6"/>
      <x:c r="S881" s="6"/>
      <x:c r="T881" s="6"/>
    </x:row>
    <x:row r="882" ht="21" customHeight="1">
      <x:c r="A882" s="14">
        <x:f t="shared" si="265"/>
        <x:v>60014</x:v>
      </x:c>
      <x:c r="B882" s="14" t="str">
        <x:f t="shared" si="266"/>
        <x:v>鳄小弟</x:v>
      </x:c>
      <x:c r="C882" s="6" t="str">
        <x:f t="shared" si="267"/>
        <x:v>召唤物</x:v>
      </x:c>
      <x:c r="D882" s="6">
        <x:v>20</x:v>
      </x:c>
      <x:c r="E882" s="6">
        <x:v>27</x:v>
      </x:c>
      <x:c r="F882" s="114" t="e">
        <x:f>ROUND(J882*$W$4*H882,0)</x:f>
        <x:v>#VALUE!</x:v>
      </x:c>
      <x:c r="G882" s="114" t="e">
        <x:f>ROUND(J882*$W$4*$W$5*I882,0)</x:f>
        <x:v>#VALUE!</x:v>
      </x:c>
      <x:c r="H882" s="113" t="str">
        <x:f t="shared" si="268"/>
        <x:v>不参与</x:v>
      </x:c>
      <x:c r="I882" s="113" t="str">
        <x:f t="shared" si="269"/>
        <x:v>不参与</x:v>
      </x:c>
      <x:c r="J882" s="114" t="s">
        <x:v>91</x:v>
      </x:c>
      <x:c r="K882" s="114" t="s">
        <x:v>91</x:v>
      </x:c>
      <x:c r="L882" s="109" t="e">
        <x:f>ROUNDUP(F882/J882,0)</x:f>
        <x:v>#VALUE!</x:v>
      </x:c>
      <x:c r="M882" s="109" t="e">
        <x:f>IF(G882=0,"无伤害",ROUNDUP(K882/G882,0))</x:f>
        <x:v>#VALUE!</x:v>
      </x:c>
      <x:c r="N882" s="109" t="s">
        <x:v>91</x:v>
      </x:c>
      <x:c r="O882" s="109" t="s">
        <x:v>91</x:v>
      </x:c>
      <x:c r="P882" s="6" t="str">
        <x:f t="shared" si="270"/>
        <x:v>主角召唤物；由召唤技能单独配置，不参与怪物平衡</x:v>
      </x:c>
      <x:c r="Q882" s="6"/>
      <x:c r="R882" s="6"/>
      <x:c r="S882" s="6"/>
      <x:c r="T882" s="6"/>
    </x:row>
    <x:row r="883" ht="21" customHeight="1">
      <x:c r="A883" s="14">
        <x:f t="shared" si="265"/>
        <x:v>60014</x:v>
      </x:c>
      <x:c r="B883" s="14" t="str">
        <x:f t="shared" si="266"/>
        <x:v>鳄小弟</x:v>
      </x:c>
      <x:c r="C883" s="6" t="str">
        <x:f t="shared" si="267"/>
        <x:v>召唤物</x:v>
      </x:c>
      <x:c r="D883" s="6">
        <x:v>21</x:v>
      </x:c>
      <x:c r="E883" s="6">
        <x:v>27</x:v>
      </x:c>
      <x:c r="F883" s="114" t="e">
        <x:f>ROUND(J883*$W$4*H883,0)</x:f>
        <x:v>#VALUE!</x:v>
      </x:c>
      <x:c r="G883" s="114" t="e">
        <x:f>ROUND(J883*$W$4*$W$5*I883,0)</x:f>
        <x:v>#VALUE!</x:v>
      </x:c>
      <x:c r="H883" s="113" t="str">
        <x:f t="shared" si="268"/>
        <x:v>不参与</x:v>
      </x:c>
      <x:c r="I883" s="113" t="str">
        <x:f t="shared" si="269"/>
        <x:v>不参与</x:v>
      </x:c>
      <x:c r="J883" s="114" t="s">
        <x:v>91</x:v>
      </x:c>
      <x:c r="K883" s="114" t="s">
        <x:v>91</x:v>
      </x:c>
      <x:c r="L883" s="109" t="e">
        <x:f>ROUNDUP(F883/J883,0)</x:f>
        <x:v>#VALUE!</x:v>
      </x:c>
      <x:c r="M883" s="109" t="e">
        <x:f>IF(G883=0,"无伤害",ROUNDUP(K883/G883,0))</x:f>
        <x:v>#VALUE!</x:v>
      </x:c>
      <x:c r="N883" s="109" t="s">
        <x:v>91</x:v>
      </x:c>
      <x:c r="O883" s="109" t="s">
        <x:v>91</x:v>
      </x:c>
      <x:c r="P883" s="6" t="str">
        <x:f t="shared" si="270"/>
        <x:v>主角召唤物；由召唤技能单独配置，不参与怪物平衡</x:v>
      </x:c>
      <x:c r="Q883" s="6"/>
      <x:c r="R883" s="6"/>
      <x:c r="S883" s="6"/>
      <x:c r="T883" s="6"/>
    </x:row>
    <x:row r="884" ht="21" customHeight="1">
      <x:c r="A884" s="14">
        <x:f t="shared" si="265"/>
        <x:v>60014</x:v>
      </x:c>
      <x:c r="B884" s="14" t="str">
        <x:f t="shared" si="266"/>
        <x:v>鳄小弟</x:v>
      </x:c>
      <x:c r="C884" s="6" t="str">
        <x:f t="shared" si="267"/>
        <x:v>召唤物</x:v>
      </x:c>
      <x:c r="D884" s="6">
        <x:v>22</x:v>
      </x:c>
      <x:c r="E884" s="6">
        <x:v>27</x:v>
      </x:c>
      <x:c r="F884" s="114" t="e">
        <x:f>ROUND(J884*$W$4*H884,0)</x:f>
        <x:v>#VALUE!</x:v>
      </x:c>
      <x:c r="G884" s="114" t="e">
        <x:f>ROUND(J884*$W$4*$W$5*I884,0)</x:f>
        <x:v>#VALUE!</x:v>
      </x:c>
      <x:c r="H884" s="113" t="str">
        <x:f t="shared" si="268"/>
        <x:v>不参与</x:v>
      </x:c>
      <x:c r="I884" s="113" t="str">
        <x:f t="shared" si="269"/>
        <x:v>不参与</x:v>
      </x:c>
      <x:c r="J884" s="114" t="s">
        <x:v>91</x:v>
      </x:c>
      <x:c r="K884" s="114" t="s">
        <x:v>91</x:v>
      </x:c>
      <x:c r="L884" s="109" t="e">
        <x:f>ROUNDUP(F884/J884,0)</x:f>
        <x:v>#VALUE!</x:v>
      </x:c>
      <x:c r="M884" s="109" t="e">
        <x:f>IF(G884=0,"无伤害",ROUNDUP(K884/G884,0))</x:f>
        <x:v>#VALUE!</x:v>
      </x:c>
      <x:c r="N884" s="109" t="s">
        <x:v>91</x:v>
      </x:c>
      <x:c r="O884" s="109" t="s">
        <x:v>91</x:v>
      </x:c>
      <x:c r="P884" s="6" t="str">
        <x:f t="shared" si="270"/>
        <x:v>主角召唤物；由召唤技能单独配置，不参与怪物平衡</x:v>
      </x:c>
      <x:c r="Q884" s="6"/>
      <x:c r="R884" s="6"/>
      <x:c r="S884" s="6"/>
      <x:c r="T884" s="6"/>
    </x:row>
    <x:row r="885" ht="21" customHeight="1">
      <x:c r="A885" s="14">
        <x:f t="shared" si="265"/>
        <x:v>60014</x:v>
      </x:c>
      <x:c r="B885" s="14" t="str">
        <x:f t="shared" si="266"/>
        <x:v>鳄小弟</x:v>
      </x:c>
      <x:c r="C885" s="6" t="str">
        <x:f t="shared" si="267"/>
        <x:v>召唤物</x:v>
      </x:c>
      <x:c r="D885" s="6">
        <x:v>23</x:v>
      </x:c>
      <x:c r="E885" s="6">
        <x:v>27</x:v>
      </x:c>
      <x:c r="F885" s="114" t="e">
        <x:f>ROUND(J885*$W$4*H885,0)</x:f>
        <x:v>#VALUE!</x:v>
      </x:c>
      <x:c r="G885" s="114" t="e">
        <x:f>ROUND(J885*$W$4*$W$5*I885,0)</x:f>
        <x:v>#VALUE!</x:v>
      </x:c>
      <x:c r="H885" s="113" t="str">
        <x:f t="shared" si="268"/>
        <x:v>不参与</x:v>
      </x:c>
      <x:c r="I885" s="113" t="str">
        <x:f t="shared" si="269"/>
        <x:v>不参与</x:v>
      </x:c>
      <x:c r="J885" s="114" t="s">
        <x:v>91</x:v>
      </x:c>
      <x:c r="K885" s="114" t="s">
        <x:v>91</x:v>
      </x:c>
      <x:c r="L885" s="109" t="e">
        <x:f>ROUNDUP(F885/J885,0)</x:f>
        <x:v>#VALUE!</x:v>
      </x:c>
      <x:c r="M885" s="109" t="e">
        <x:f>IF(G885=0,"无伤害",ROUNDUP(K885/G885,0))</x:f>
        <x:v>#VALUE!</x:v>
      </x:c>
      <x:c r="N885" s="109" t="s">
        <x:v>91</x:v>
      </x:c>
      <x:c r="O885" s="109" t="s">
        <x:v>91</x:v>
      </x:c>
      <x:c r="P885" s="6" t="str">
        <x:f t="shared" si="270"/>
        <x:v>主角召唤物；由召唤技能单独配置，不参与怪物平衡</x:v>
      </x:c>
      <x:c r="Q885" s="6"/>
      <x:c r="R885" s="6"/>
      <x:c r="S885" s="6"/>
      <x:c r="T885" s="6"/>
    </x:row>
    <x:row r="886" ht="21" customHeight="1">
      <x:c r="A886" s="14">
        <x:f t="shared" si="265"/>
        <x:v>60014</x:v>
      </x:c>
      <x:c r="B886" s="14" t="str">
        <x:f t="shared" si="266"/>
        <x:v>鳄小弟</x:v>
      </x:c>
      <x:c r="C886" s="6" t="str">
        <x:f t="shared" si="267"/>
        <x:v>召唤物</x:v>
      </x:c>
      <x:c r="D886" s="6">
        <x:v>24</x:v>
      </x:c>
      <x:c r="E886" s="6">
        <x:v>27</x:v>
      </x:c>
      <x:c r="F886" s="114" t="e">
        <x:f>ROUND(J886*$W$4*H886,0)</x:f>
        <x:v>#VALUE!</x:v>
      </x:c>
      <x:c r="G886" s="114" t="e">
        <x:f>ROUND(J886*$W$4*$W$5*I886,0)</x:f>
        <x:v>#VALUE!</x:v>
      </x:c>
      <x:c r="H886" s="113" t="str">
        <x:f t="shared" si="268"/>
        <x:v>不参与</x:v>
      </x:c>
      <x:c r="I886" s="113" t="str">
        <x:f t="shared" si="269"/>
        <x:v>不参与</x:v>
      </x:c>
      <x:c r="J886" s="114" t="s">
        <x:v>91</x:v>
      </x:c>
      <x:c r="K886" s="114" t="s">
        <x:v>91</x:v>
      </x:c>
      <x:c r="L886" s="109" t="e">
        <x:f>ROUNDUP(F886/J886,0)</x:f>
        <x:v>#VALUE!</x:v>
      </x:c>
      <x:c r="M886" s="109" t="e">
        <x:f>IF(G886=0,"无伤害",ROUNDUP(K886/G886,0))</x:f>
        <x:v>#VALUE!</x:v>
      </x:c>
      <x:c r="N886" s="109" t="s">
        <x:v>91</x:v>
      </x:c>
      <x:c r="O886" s="109" t="s">
        <x:v>91</x:v>
      </x:c>
      <x:c r="P886" s="6" t="str">
        <x:f t="shared" si="270"/>
        <x:v>主角召唤物；由召唤技能单独配置，不参与怪物平衡</x:v>
      </x:c>
      <x:c r="Q886" s="6"/>
      <x:c r="R886" s="6"/>
      <x:c r="S886" s="6"/>
      <x:c r="T886" s="6"/>
    </x:row>
    <x:row r="887" ht="21" customHeight="1">
      <x:c r="A887" s="14">
        <x:f t="shared" si="265"/>
        <x:v>60014</x:v>
      </x:c>
      <x:c r="B887" s="14" t="str">
        <x:f t="shared" si="266"/>
        <x:v>鳄小弟</x:v>
      </x:c>
      <x:c r="C887" s="6" t="str">
        <x:f t="shared" si="267"/>
        <x:v>召唤物</x:v>
      </x:c>
      <x:c r="D887" s="6">
        <x:v>25</x:v>
      </x:c>
      <x:c r="E887" s="6">
        <x:v>27</x:v>
      </x:c>
      <x:c r="F887" s="114" t="e">
        <x:f>ROUND(J887*$W$4*H887,0)</x:f>
        <x:v>#VALUE!</x:v>
      </x:c>
      <x:c r="G887" s="114" t="e">
        <x:f>ROUND(J887*$W$4*$W$5*I887,0)</x:f>
        <x:v>#VALUE!</x:v>
      </x:c>
      <x:c r="H887" s="113" t="str">
        <x:f t="shared" si="268"/>
        <x:v>不参与</x:v>
      </x:c>
      <x:c r="I887" s="113" t="str">
        <x:f t="shared" si="269"/>
        <x:v>不参与</x:v>
      </x:c>
      <x:c r="J887" s="114" t="s">
        <x:v>91</x:v>
      </x:c>
      <x:c r="K887" s="114" t="s">
        <x:v>91</x:v>
      </x:c>
      <x:c r="L887" s="109" t="e">
        <x:f>ROUNDUP(F887/J887,0)</x:f>
        <x:v>#VALUE!</x:v>
      </x:c>
      <x:c r="M887" s="109" t="e">
        <x:f>IF(G887=0,"无伤害",ROUNDUP(K887/G887,0))</x:f>
        <x:v>#VALUE!</x:v>
      </x:c>
      <x:c r="N887" s="109" t="s">
        <x:v>91</x:v>
      </x:c>
      <x:c r="O887" s="109" t="s">
        <x:v>91</x:v>
      </x:c>
      <x:c r="P887" s="6" t="str">
        <x:f t="shared" si="270"/>
        <x:v>主角召唤物；由召唤技能单独配置，不参与怪物平衡</x:v>
      </x:c>
      <x:c r="Q887" s="6"/>
      <x:c r="R887" s="6"/>
      <x:c r="S887" s="6"/>
      <x:c r="T887" s="6"/>
    </x:row>
    <x:row r="888" ht="21" customHeight="1">
      <x:c r="A888" s="14">
        <x:f t="shared" si="265"/>
        <x:v>60014</x:v>
      </x:c>
      <x:c r="B888" s="14" t="str">
        <x:f t="shared" si="266"/>
        <x:v>鳄小弟</x:v>
      </x:c>
      <x:c r="C888" s="6" t="str">
        <x:f t="shared" si="267"/>
        <x:v>召唤物</x:v>
      </x:c>
      <x:c r="D888" s="6">
        <x:v>26</x:v>
      </x:c>
      <x:c r="E888" s="6">
        <x:v>27</x:v>
      </x:c>
      <x:c r="F888" s="114" t="e">
        <x:f>ROUND(J888*$W$4*H888,0)</x:f>
        <x:v>#VALUE!</x:v>
      </x:c>
      <x:c r="G888" s="114" t="e">
        <x:f>ROUND(J888*$W$4*$W$5*I888,0)</x:f>
        <x:v>#VALUE!</x:v>
      </x:c>
      <x:c r="H888" s="113" t="str">
        <x:f t="shared" si="268"/>
        <x:v>不参与</x:v>
      </x:c>
      <x:c r="I888" s="113" t="str">
        <x:f t="shared" si="269"/>
        <x:v>不参与</x:v>
      </x:c>
      <x:c r="J888" s="114" t="s">
        <x:v>91</x:v>
      </x:c>
      <x:c r="K888" s="114" t="s">
        <x:v>91</x:v>
      </x:c>
      <x:c r="L888" s="109" t="e">
        <x:f>ROUNDUP(F888/J888,0)</x:f>
        <x:v>#VALUE!</x:v>
      </x:c>
      <x:c r="M888" s="109" t="e">
        <x:f>IF(G888=0,"无伤害",ROUNDUP(K888/G888,0))</x:f>
        <x:v>#VALUE!</x:v>
      </x:c>
      <x:c r="N888" s="109" t="s">
        <x:v>91</x:v>
      </x:c>
      <x:c r="O888" s="109" t="s">
        <x:v>91</x:v>
      </x:c>
      <x:c r="P888" s="6" t="str">
        <x:f t="shared" si="270"/>
        <x:v>主角召唤物；由召唤技能单独配置，不参与怪物平衡</x:v>
      </x:c>
      <x:c r="Q888" s="6"/>
      <x:c r="R888" s="6"/>
      <x:c r="S888" s="6"/>
      <x:c r="T888" s="6"/>
    </x:row>
    <x:row r="889" ht="21" customHeight="1">
      <x:c r="A889" s="14">
        <x:f t="shared" si="265"/>
        <x:v>60014</x:v>
      </x:c>
      <x:c r="B889" s="14" t="str">
        <x:f t="shared" si="266"/>
        <x:v>鳄小弟</x:v>
      </x:c>
      <x:c r="C889" s="6" t="str">
        <x:f t="shared" si="267"/>
        <x:v>召唤物</x:v>
      </x:c>
      <x:c r="D889" s="6">
        <x:v>27</x:v>
      </x:c>
      <x:c r="E889" s="6">
        <x:v>27</x:v>
      </x:c>
      <x:c r="F889" s="114" t="e">
        <x:f>ROUND(J889*$W$4*H889,0)</x:f>
        <x:v>#VALUE!</x:v>
      </x:c>
      <x:c r="G889" s="114" t="e">
        <x:f>ROUND(J889*$W$4*$W$5*I889,0)</x:f>
        <x:v>#VALUE!</x:v>
      </x:c>
      <x:c r="H889" s="113" t="str">
        <x:f t="shared" si="268"/>
        <x:v>不参与</x:v>
      </x:c>
      <x:c r="I889" s="113" t="str">
        <x:f t="shared" si="269"/>
        <x:v>不参与</x:v>
      </x:c>
      <x:c r="J889" s="114" t="s">
        <x:v>91</x:v>
      </x:c>
      <x:c r="K889" s="114" t="s">
        <x:v>91</x:v>
      </x:c>
      <x:c r="L889" s="109" t="e">
        <x:f>ROUNDUP(F889/J889,0)</x:f>
        <x:v>#VALUE!</x:v>
      </x:c>
      <x:c r="M889" s="109" t="e">
        <x:f>IF(G889=0,"无伤害",ROUNDUP(K889/G889,0))</x:f>
        <x:v>#VALUE!</x:v>
      </x:c>
      <x:c r="N889" s="109" t="s">
        <x:v>91</x:v>
      </x:c>
      <x:c r="O889" s="109" t="s">
        <x:v>91</x:v>
      </x:c>
      <x:c r="P889" s="6" t="str">
        <x:f t="shared" si="270"/>
        <x:v>主角召唤物；由召唤技能单独配置，不参与怪物平衡</x:v>
      </x:c>
      <x:c r="Q889" s="6"/>
      <x:c r="R889" s="6"/>
      <x:c r="S889" s="6"/>
      <x:c r="T889" s="6"/>
    </x:row>
    <x:row r="890" ht="21" customHeight="1">
      <x:c r="A890" s="14">
        <x:f t="shared" si="265"/>
        <x:v>60014</x:v>
      </x:c>
      <x:c r="B890" s="14" t="str">
        <x:f t="shared" si="266"/>
        <x:v>鳄小弟</x:v>
      </x:c>
      <x:c r="C890" s="6" t="str">
        <x:f t="shared" si="267"/>
        <x:v>召唤物</x:v>
      </x:c>
      <x:c r="D890" s="6">
        <x:v>28</x:v>
      </x:c>
      <x:c r="E890" s="6">
        <x:v>27</x:v>
      </x:c>
      <x:c r="F890" s="114" t="e">
        <x:f>ROUND(J890*$W$4*H890,0)</x:f>
        <x:v>#VALUE!</x:v>
      </x:c>
      <x:c r="G890" s="114" t="e">
        <x:f>ROUND(J890*$W$4*$W$5*I890,0)</x:f>
        <x:v>#VALUE!</x:v>
      </x:c>
      <x:c r="H890" s="113" t="str">
        <x:f t="shared" si="268"/>
        <x:v>不参与</x:v>
      </x:c>
      <x:c r="I890" s="113" t="str">
        <x:f t="shared" si="269"/>
        <x:v>不参与</x:v>
      </x:c>
      <x:c r="J890" s="114" t="s">
        <x:v>91</x:v>
      </x:c>
      <x:c r="K890" s="114" t="s">
        <x:v>91</x:v>
      </x:c>
      <x:c r="L890" s="109" t="e">
        <x:f>ROUNDUP(F890/J890,0)</x:f>
        <x:v>#VALUE!</x:v>
      </x:c>
      <x:c r="M890" s="109" t="e">
        <x:f>IF(G890=0,"无伤害",ROUNDUP(K890/G890,0))</x:f>
        <x:v>#VALUE!</x:v>
      </x:c>
      <x:c r="N890" s="109" t="s">
        <x:v>91</x:v>
      </x:c>
      <x:c r="O890" s="109" t="s">
        <x:v>91</x:v>
      </x:c>
      <x:c r="P890" s="6" t="str">
        <x:f t="shared" si="270"/>
        <x:v>主角召唤物；由召唤技能单独配置，不参与怪物平衡</x:v>
      </x:c>
      <x:c r="Q890" s="6"/>
      <x:c r="R890" s="6"/>
      <x:c r="S890" s="6"/>
      <x:c r="T890" s="6"/>
    </x:row>
    <x:row r="891" ht="21" customHeight="1">
      <x:c r="A891" s="14">
        <x:f t="shared" si="265"/>
        <x:v>60014</x:v>
      </x:c>
      <x:c r="B891" s="14" t="str">
        <x:f t="shared" si="266"/>
        <x:v>鳄小弟</x:v>
      </x:c>
      <x:c r="C891" s="6" t="str">
        <x:f t="shared" si="267"/>
        <x:v>召唤物</x:v>
      </x:c>
      <x:c r="D891" s="6">
        <x:v>29</x:v>
      </x:c>
      <x:c r="E891" s="6">
        <x:v>27</x:v>
      </x:c>
      <x:c r="F891" s="114" t="e">
        <x:f>ROUND(J891*$W$4*H891,0)</x:f>
        <x:v>#VALUE!</x:v>
      </x:c>
      <x:c r="G891" s="114" t="e">
        <x:f>ROUND(J891*$W$4*$W$5*I891,0)</x:f>
        <x:v>#VALUE!</x:v>
      </x:c>
      <x:c r="H891" s="113" t="str">
        <x:f t="shared" si="268"/>
        <x:v>不参与</x:v>
      </x:c>
      <x:c r="I891" s="113" t="str">
        <x:f t="shared" si="269"/>
        <x:v>不参与</x:v>
      </x:c>
      <x:c r="J891" s="114" t="s">
        <x:v>91</x:v>
      </x:c>
      <x:c r="K891" s="114" t="s">
        <x:v>91</x:v>
      </x:c>
      <x:c r="L891" s="109" t="e">
        <x:f>ROUNDUP(F891/J891,0)</x:f>
        <x:v>#VALUE!</x:v>
      </x:c>
      <x:c r="M891" s="109" t="e">
        <x:f>IF(G891=0,"无伤害",ROUNDUP(K891/G891,0))</x:f>
        <x:v>#VALUE!</x:v>
      </x:c>
      <x:c r="N891" s="109" t="s">
        <x:v>91</x:v>
      </x:c>
      <x:c r="O891" s="109" t="s">
        <x:v>91</x:v>
      </x:c>
      <x:c r="P891" s="6" t="str">
        <x:f t="shared" si="270"/>
        <x:v>主角召唤物；由召唤技能单独配置，不参与怪物平衡</x:v>
      </x:c>
      <x:c r="Q891" s="6"/>
      <x:c r="R891" s="6"/>
      <x:c r="S891" s="6"/>
      <x:c r="T891" s="6"/>
    </x:row>
    <x:row r="892" ht="21" customHeight="1">
      <x:c r="A892" s="14">
        <x:f t="shared" si="265"/>
        <x:v>60014</x:v>
      </x:c>
      <x:c r="B892" s="14" t="str">
        <x:f t="shared" si="266"/>
        <x:v>鳄小弟</x:v>
      </x:c>
      <x:c r="C892" s="6" t="str">
        <x:f t="shared" si="267"/>
        <x:v>召唤物</x:v>
      </x:c>
      <x:c r="D892" s="6">
        <x:v>30</x:v>
      </x:c>
      <x:c r="E892" s="6">
        <x:v>27</x:v>
      </x:c>
      <x:c r="F892" s="114" t="e">
        <x:f>ROUND(J892*$W$4*H892,0)</x:f>
        <x:v>#VALUE!</x:v>
      </x:c>
      <x:c r="G892" s="114" t="e">
        <x:f>ROUND(J892*$W$4*$W$5*I892,0)</x:f>
        <x:v>#VALUE!</x:v>
      </x:c>
      <x:c r="H892" s="113" t="str">
        <x:f t="shared" si="268"/>
        <x:v>不参与</x:v>
      </x:c>
      <x:c r="I892" s="113" t="str">
        <x:f t="shared" si="269"/>
        <x:v>不参与</x:v>
      </x:c>
      <x:c r="J892" s="114" t="s">
        <x:v>91</x:v>
      </x:c>
      <x:c r="K892" s="114" t="s">
        <x:v>91</x:v>
      </x:c>
      <x:c r="L892" s="109" t="e">
        <x:f>ROUNDUP(F892/J892,0)</x:f>
        <x:v>#VALUE!</x:v>
      </x:c>
      <x:c r="M892" s="109" t="e">
        <x:f>IF(G892=0,"无伤害",ROUNDUP(K892/G892,0))</x:f>
        <x:v>#VALUE!</x:v>
      </x:c>
      <x:c r="N892" s="109" t="s">
        <x:v>91</x:v>
      </x:c>
      <x:c r="O892" s="109" t="s">
        <x:v>91</x:v>
      </x:c>
      <x:c r="P892" s="6" t="str">
        <x:f t="shared" si="270"/>
        <x:v>主角召唤物；由召唤技能单独配置，不参与怪物平衡</x:v>
      </x:c>
      <x:c r="Q892" s="6"/>
      <x:c r="R892" s="6"/>
      <x:c r="S892" s="6"/>
      <x:c r="T892" s="6"/>
    </x:row>
    <x:row r="893" ht="21" customHeight="1">
      <x:c r="A893" s="14">
        <x:f t="shared" si="265"/>
        <x:v>60014</x:v>
      </x:c>
      <x:c r="B893" s="14" t="str">
        <x:f t="shared" si="266"/>
        <x:v>鳄小弟</x:v>
      </x:c>
      <x:c r="C893" s="6" t="str">
        <x:f t="shared" si="267"/>
        <x:v>召唤物</x:v>
      </x:c>
      <x:c r="D893" s="6">
        <x:v>31</x:v>
      </x:c>
      <x:c r="E893" s="6">
        <x:v>27</x:v>
      </x:c>
      <x:c r="F893" s="114" t="e">
        <x:f>ROUND(J893*$W$4*H893,0)</x:f>
        <x:v>#VALUE!</x:v>
      </x:c>
      <x:c r="G893" s="114" t="e">
        <x:f>ROUND(J893*$W$4*$W$5*I893,0)</x:f>
        <x:v>#VALUE!</x:v>
      </x:c>
      <x:c r="H893" s="113" t="str">
        <x:f t="shared" si="268"/>
        <x:v>不参与</x:v>
      </x:c>
      <x:c r="I893" s="113" t="str">
        <x:f t="shared" si="269"/>
        <x:v>不参与</x:v>
      </x:c>
      <x:c r="J893" s="114" t="s">
        <x:v>91</x:v>
      </x:c>
      <x:c r="K893" s="114" t="s">
        <x:v>91</x:v>
      </x:c>
      <x:c r="L893" s="109" t="e">
        <x:f>ROUNDUP(F893/J893,0)</x:f>
        <x:v>#VALUE!</x:v>
      </x:c>
      <x:c r="M893" s="109" t="e">
        <x:f>IF(G893=0,"无伤害",ROUNDUP(K893/G893,0))</x:f>
        <x:v>#VALUE!</x:v>
      </x:c>
      <x:c r="N893" s="109" t="s">
        <x:v>91</x:v>
      </x:c>
      <x:c r="O893" s="109" t="s">
        <x:v>91</x:v>
      </x:c>
      <x:c r="P893" s="6" t="str">
        <x:f t="shared" si="270"/>
        <x:v>主角召唤物；由召唤技能单独配置，不参与怪物平衡</x:v>
      </x:c>
      <x:c r="Q893" s="6"/>
      <x:c r="R893" s="6"/>
      <x:c r="S893" s="6"/>
      <x:c r="T893" s="6"/>
    </x:row>
    <x:row r="894" ht="21" customHeight="1">
      <x:c r="A894" s="14">
        <x:f t="shared" si="265"/>
        <x:v>60014</x:v>
      </x:c>
      <x:c r="B894" s="14" t="str">
        <x:f t="shared" si="266"/>
        <x:v>鳄小弟</x:v>
      </x:c>
      <x:c r="C894" s="6" t="str">
        <x:f t="shared" si="267"/>
        <x:v>召唤物</x:v>
      </x:c>
      <x:c r="D894" s="6">
        <x:v>32</x:v>
      </x:c>
      <x:c r="E894" s="6">
        <x:v>27</x:v>
      </x:c>
      <x:c r="F894" s="114" t="e">
        <x:f>ROUND(J894*$W$4*H894,0)</x:f>
        <x:v>#VALUE!</x:v>
      </x:c>
      <x:c r="G894" s="114" t="e">
        <x:f>ROUND(J894*$W$4*$W$5*I894,0)</x:f>
        <x:v>#VALUE!</x:v>
      </x:c>
      <x:c r="H894" s="113" t="str">
        <x:f t="shared" si="268"/>
        <x:v>不参与</x:v>
      </x:c>
      <x:c r="I894" s="113" t="str">
        <x:f t="shared" si="269"/>
        <x:v>不参与</x:v>
      </x:c>
      <x:c r="J894" s="114" t="s">
        <x:v>91</x:v>
      </x:c>
      <x:c r="K894" s="114" t="s">
        <x:v>91</x:v>
      </x:c>
      <x:c r="L894" s="109" t="e">
        <x:f>ROUNDUP(F894/J894,0)</x:f>
        <x:v>#VALUE!</x:v>
      </x:c>
      <x:c r="M894" s="109" t="e">
        <x:f>IF(G894=0,"无伤害",ROUNDUP(K894/G894,0))</x:f>
        <x:v>#VALUE!</x:v>
      </x:c>
      <x:c r="N894" s="109" t="s">
        <x:v>91</x:v>
      </x:c>
      <x:c r="O894" s="109" t="s">
        <x:v>91</x:v>
      </x:c>
      <x:c r="P894" s="6" t="str">
        <x:f t="shared" si="270"/>
        <x:v>主角召唤物；由召唤技能单独配置，不参与怪物平衡</x:v>
      </x:c>
      <x:c r="Q894" s="6"/>
      <x:c r="R894" s="6"/>
      <x:c r="S894" s="6"/>
      <x:c r="T894" s="6"/>
    </x:row>
    <x:row r="895" ht="21" customHeight="1">
      <x:c r="A895" s="14" t="n">
        <x:f t="shared" ref="A895:A912" si="271">$V$27</x:f>
        <x:v>60014</x:v>
      </x:c>
      <x:c r="B895" s="14" t="str">
        <x:f t="shared" ref="B895:B912" si="272">$W$27</x:f>
        <x:v>鳄小弟</x:v>
      </x:c>
      <x:c r="C895" s="6" t="str">
        <x:f t="shared" ref="C895:C912" si="273">$X$27</x:f>
        <x:v>召唤物</x:v>
      </x:c>
      <x:c r="D895" s="6">
        <x:v>33</x:v>
      </x:c>
      <x:c r="E895" s="6">
        <x:v>27</x:v>
      </x:c>
      <x:c r="F895" s="114" t="e">
        <x:f>ROUND(J895*$W$4*H895,0)</x:f>
        <x:v>#VALUE!</x:v>
      </x:c>
      <x:c r="G895" s="114" t="e">
        <x:f>ROUND(J895*$W$4*$W$5*I895,0)</x:f>
        <x:v>#VALUE!</x:v>
      </x:c>
      <x:c r="H895" s="113" t="str">
        <x:f t="shared" ref="H895:H912" si="274">$Y$27</x:f>
        <x:v>不参与</x:v>
      </x:c>
      <x:c r="I895" s="113" t="str">
        <x:f t="shared" ref="I895:I912" si="275">$Z$27</x:f>
        <x:v>不参与</x:v>
      </x:c>
      <x:c r="J895" s="114" t="s">
        <x:v>91</x:v>
      </x:c>
      <x:c r="K895" s="114" t="s">
        <x:v>91</x:v>
      </x:c>
      <x:c r="L895" s="109" t="e">
        <x:f>ROUNDUP(F895/J895,0)</x:f>
        <x:v>#VALUE!</x:v>
      </x:c>
      <x:c r="M895" s="109" t="e">
        <x:f>IF(G895=0,"无伤害",ROUNDUP(K895/G895,0))</x:f>
        <x:v>#VALUE!</x:v>
      </x:c>
      <x:c r="N895" s="109" t="s">
        <x:v>91</x:v>
      </x:c>
      <x:c r="O895" s="109" t="s">
        <x:v>91</x:v>
      </x:c>
      <x:c r="P895" s="6" t="str">
        <x:f t="shared" ref="P895:P912" si="276">$AA$27</x:f>
        <x:v>主角召唤物；由召唤技能单独配置，不参与怪物平衡</x:v>
      </x:c>
      <x:c r="Q895" s="6"/>
      <x:c r="R895" s="6"/>
      <x:c r="S895" s="6"/>
      <x:c r="T895" s="6"/>
    </x:row>
    <x:row r="896" ht="21" customHeight="1">
      <x:c r="A896" s="14">
        <x:f t="shared" si="271"/>
        <x:v>60014</x:v>
      </x:c>
      <x:c r="B896" s="14" t="str">
        <x:f t="shared" si="272"/>
        <x:v>鳄小弟</x:v>
      </x:c>
      <x:c r="C896" s="6" t="str">
        <x:f t="shared" si="273"/>
        <x:v>召唤物</x:v>
      </x:c>
      <x:c r="D896" s="6">
        <x:v>34</x:v>
      </x:c>
      <x:c r="E896" s="6">
        <x:v>27</x:v>
      </x:c>
      <x:c r="F896" s="114" t="e">
        <x:f>ROUND(J896*$W$4*H896,0)</x:f>
        <x:v>#VALUE!</x:v>
      </x:c>
      <x:c r="G896" s="114" t="e">
        <x:f>ROUND(J896*$W$4*$W$5*I896,0)</x:f>
        <x:v>#VALUE!</x:v>
      </x:c>
      <x:c r="H896" s="113" t="str">
        <x:f t="shared" si="274"/>
        <x:v>不参与</x:v>
      </x:c>
      <x:c r="I896" s="113" t="str">
        <x:f t="shared" si="275"/>
        <x:v>不参与</x:v>
      </x:c>
      <x:c r="J896" s="114" t="s">
        <x:v>91</x:v>
      </x:c>
      <x:c r="K896" s="114" t="s">
        <x:v>91</x:v>
      </x:c>
      <x:c r="L896" s="109" t="e">
        <x:f>ROUNDUP(F896/J896,0)</x:f>
        <x:v>#VALUE!</x:v>
      </x:c>
      <x:c r="M896" s="109" t="e">
        <x:f>IF(G896=0,"无伤害",ROUNDUP(K896/G896,0))</x:f>
        <x:v>#VALUE!</x:v>
      </x:c>
      <x:c r="N896" s="109" t="s">
        <x:v>91</x:v>
      </x:c>
      <x:c r="O896" s="109" t="s">
        <x:v>91</x:v>
      </x:c>
      <x:c r="P896" s="6" t="str">
        <x:f t="shared" si="276"/>
        <x:v>主角召唤物；由召唤技能单独配置，不参与怪物平衡</x:v>
      </x:c>
      <x:c r="Q896" s="6"/>
      <x:c r="R896" s="6"/>
      <x:c r="S896" s="6"/>
      <x:c r="T896" s="6"/>
    </x:row>
    <x:row r="897" ht="21" customHeight="1">
      <x:c r="A897" s="14">
        <x:f t="shared" si="271"/>
        <x:v>60014</x:v>
      </x:c>
      <x:c r="B897" s="14" t="str">
        <x:f t="shared" si="272"/>
        <x:v>鳄小弟</x:v>
      </x:c>
      <x:c r="C897" s="6" t="str">
        <x:f t="shared" si="273"/>
        <x:v>召唤物</x:v>
      </x:c>
      <x:c r="D897" s="6">
        <x:v>35</x:v>
      </x:c>
      <x:c r="E897" s="6">
        <x:v>27</x:v>
      </x:c>
      <x:c r="F897" s="114" t="e">
        <x:f>ROUND(J897*$W$4*H897,0)</x:f>
        <x:v>#VALUE!</x:v>
      </x:c>
      <x:c r="G897" s="114" t="e">
        <x:f>ROUND(J897*$W$4*$W$5*I897,0)</x:f>
        <x:v>#VALUE!</x:v>
      </x:c>
      <x:c r="H897" s="113" t="str">
        <x:f t="shared" si="274"/>
        <x:v>不参与</x:v>
      </x:c>
      <x:c r="I897" s="113" t="str">
        <x:f t="shared" si="275"/>
        <x:v>不参与</x:v>
      </x:c>
      <x:c r="J897" s="114" t="s">
        <x:v>91</x:v>
      </x:c>
      <x:c r="K897" s="114" t="s">
        <x:v>91</x:v>
      </x:c>
      <x:c r="L897" s="109" t="e">
        <x:f>ROUNDUP(F897/J897,0)</x:f>
        <x:v>#VALUE!</x:v>
      </x:c>
      <x:c r="M897" s="109" t="e">
        <x:f>IF(G897=0,"无伤害",ROUNDUP(K897/G897,0))</x:f>
        <x:v>#VALUE!</x:v>
      </x:c>
      <x:c r="N897" s="109" t="s">
        <x:v>91</x:v>
      </x:c>
      <x:c r="O897" s="109" t="s">
        <x:v>91</x:v>
      </x:c>
      <x:c r="P897" s="6" t="str">
        <x:f t="shared" si="276"/>
        <x:v>主角召唤物；由召唤技能单独配置，不参与怪物平衡</x:v>
      </x:c>
      <x:c r="Q897" s="6"/>
      <x:c r="R897" s="6"/>
      <x:c r="S897" s="6"/>
      <x:c r="T897" s="6"/>
    </x:row>
    <x:row r="898" ht="21" customHeight="1">
      <x:c r="A898" s="14">
        <x:f t="shared" si="271"/>
        <x:v>60014</x:v>
      </x:c>
      <x:c r="B898" s="14" t="str">
        <x:f t="shared" si="272"/>
        <x:v>鳄小弟</x:v>
      </x:c>
      <x:c r="C898" s="6" t="str">
        <x:f t="shared" si="273"/>
        <x:v>召唤物</x:v>
      </x:c>
      <x:c r="D898" s="6">
        <x:v>36</x:v>
      </x:c>
      <x:c r="E898" s="6">
        <x:v>27</x:v>
      </x:c>
      <x:c r="F898" s="114" t="e">
        <x:f>ROUND(J898*$W$4*H898,0)</x:f>
        <x:v>#VALUE!</x:v>
      </x:c>
      <x:c r="G898" s="114" t="e">
        <x:f>ROUND(J898*$W$4*$W$5*I898,0)</x:f>
        <x:v>#VALUE!</x:v>
      </x:c>
      <x:c r="H898" s="113" t="str">
        <x:f t="shared" si="274"/>
        <x:v>不参与</x:v>
      </x:c>
      <x:c r="I898" s="113" t="str">
        <x:f t="shared" si="275"/>
        <x:v>不参与</x:v>
      </x:c>
      <x:c r="J898" s="114" t="s">
        <x:v>91</x:v>
      </x:c>
      <x:c r="K898" s="114" t="s">
        <x:v>91</x:v>
      </x:c>
      <x:c r="L898" s="109" t="e">
        <x:f>ROUNDUP(F898/J898,0)</x:f>
        <x:v>#VALUE!</x:v>
      </x:c>
      <x:c r="M898" s="109" t="e">
        <x:f>IF(G898=0,"无伤害",ROUNDUP(K898/G898,0))</x:f>
        <x:v>#VALUE!</x:v>
      </x:c>
      <x:c r="N898" s="109" t="s">
        <x:v>91</x:v>
      </x:c>
      <x:c r="O898" s="109" t="s">
        <x:v>91</x:v>
      </x:c>
      <x:c r="P898" s="6" t="str">
        <x:f t="shared" si="276"/>
        <x:v>主角召唤物；由召唤技能单独配置，不参与怪物平衡</x:v>
      </x:c>
      <x:c r="Q898" s="6"/>
      <x:c r="R898" s="6"/>
      <x:c r="S898" s="6"/>
      <x:c r="T898" s="6"/>
    </x:row>
    <x:row r="899" ht="21" customHeight="1">
      <x:c r="A899" s="14">
        <x:f t="shared" si="271"/>
        <x:v>60014</x:v>
      </x:c>
      <x:c r="B899" s="14" t="str">
        <x:f t="shared" si="272"/>
        <x:v>鳄小弟</x:v>
      </x:c>
      <x:c r="C899" s="6" t="str">
        <x:f t="shared" si="273"/>
        <x:v>召唤物</x:v>
      </x:c>
      <x:c r="D899" s="6">
        <x:v>37</x:v>
      </x:c>
      <x:c r="E899" s="6">
        <x:v>27</x:v>
      </x:c>
      <x:c r="F899" s="114" t="e">
        <x:f>ROUND(J899*$W$4*H899,0)</x:f>
        <x:v>#VALUE!</x:v>
      </x:c>
      <x:c r="G899" s="114" t="e">
        <x:f>ROUND(J899*$W$4*$W$5*I899,0)</x:f>
        <x:v>#VALUE!</x:v>
      </x:c>
      <x:c r="H899" s="113" t="str">
        <x:f t="shared" si="274"/>
        <x:v>不参与</x:v>
      </x:c>
      <x:c r="I899" s="113" t="str">
        <x:f t="shared" si="275"/>
        <x:v>不参与</x:v>
      </x:c>
      <x:c r="J899" s="114" t="s">
        <x:v>91</x:v>
      </x:c>
      <x:c r="K899" s="114" t="s">
        <x:v>91</x:v>
      </x:c>
      <x:c r="L899" s="109" t="e">
        <x:f>ROUNDUP(F899/J899,0)</x:f>
        <x:v>#VALUE!</x:v>
      </x:c>
      <x:c r="M899" s="109" t="e">
        <x:f>IF(G899=0,"无伤害",ROUNDUP(K899/G899,0))</x:f>
        <x:v>#VALUE!</x:v>
      </x:c>
      <x:c r="N899" s="109" t="s">
        <x:v>91</x:v>
      </x:c>
      <x:c r="O899" s="109" t="s">
        <x:v>91</x:v>
      </x:c>
      <x:c r="P899" s="6" t="str">
        <x:f t="shared" si="276"/>
        <x:v>主角召唤物；由召唤技能单独配置，不参与怪物平衡</x:v>
      </x:c>
      <x:c r="Q899" s="6"/>
      <x:c r="R899" s="6"/>
      <x:c r="S899" s="6"/>
      <x:c r="T899" s="6"/>
    </x:row>
    <x:row r="900" ht="21" customHeight="1">
      <x:c r="A900" s="14">
        <x:f t="shared" si="271"/>
        <x:v>60014</x:v>
      </x:c>
      <x:c r="B900" s="14" t="str">
        <x:f t="shared" si="272"/>
        <x:v>鳄小弟</x:v>
      </x:c>
      <x:c r="C900" s="6" t="str">
        <x:f t="shared" si="273"/>
        <x:v>召唤物</x:v>
      </x:c>
      <x:c r="D900" s="6">
        <x:v>38</x:v>
      </x:c>
      <x:c r="E900" s="6">
        <x:v>27</x:v>
      </x:c>
      <x:c r="F900" s="114" t="e">
        <x:f>ROUND(J900*$W$4*H900,0)</x:f>
        <x:v>#VALUE!</x:v>
      </x:c>
      <x:c r="G900" s="114" t="e">
        <x:f>ROUND(J900*$W$4*$W$5*I900,0)</x:f>
        <x:v>#VALUE!</x:v>
      </x:c>
      <x:c r="H900" s="113" t="str">
        <x:f t="shared" si="274"/>
        <x:v>不参与</x:v>
      </x:c>
      <x:c r="I900" s="113" t="str">
        <x:f t="shared" si="275"/>
        <x:v>不参与</x:v>
      </x:c>
      <x:c r="J900" s="114" t="s">
        <x:v>91</x:v>
      </x:c>
      <x:c r="K900" s="114" t="s">
        <x:v>91</x:v>
      </x:c>
      <x:c r="L900" s="109" t="e">
        <x:f>ROUNDUP(F900/J900,0)</x:f>
        <x:v>#VALUE!</x:v>
      </x:c>
      <x:c r="M900" s="109" t="e">
        <x:f>IF(G900=0,"无伤害",ROUNDUP(K900/G900,0))</x:f>
        <x:v>#VALUE!</x:v>
      </x:c>
      <x:c r="N900" s="109" t="s">
        <x:v>91</x:v>
      </x:c>
      <x:c r="O900" s="109" t="s">
        <x:v>91</x:v>
      </x:c>
      <x:c r="P900" s="6" t="str">
        <x:f t="shared" si="276"/>
        <x:v>主角召唤物；由召唤技能单独配置，不参与怪物平衡</x:v>
      </x:c>
      <x:c r="Q900" s="6"/>
      <x:c r="R900" s="6"/>
      <x:c r="S900" s="6"/>
      <x:c r="T900" s="6"/>
    </x:row>
    <x:row r="901" ht="21" customHeight="1">
      <x:c r="A901" s="14">
        <x:f t="shared" si="271"/>
        <x:v>60014</x:v>
      </x:c>
      <x:c r="B901" s="14" t="str">
        <x:f t="shared" si="272"/>
        <x:v>鳄小弟</x:v>
      </x:c>
      <x:c r="C901" s="6" t="str">
        <x:f t="shared" si="273"/>
        <x:v>召唤物</x:v>
      </x:c>
      <x:c r="D901" s="6">
        <x:v>39</x:v>
      </x:c>
      <x:c r="E901" s="6">
        <x:v>27</x:v>
      </x:c>
      <x:c r="F901" s="114" t="e">
        <x:f>ROUND(J901*$W$4*H901,0)</x:f>
        <x:v>#VALUE!</x:v>
      </x:c>
      <x:c r="G901" s="114" t="e">
        <x:f>ROUND(J901*$W$4*$W$5*I901,0)</x:f>
        <x:v>#VALUE!</x:v>
      </x:c>
      <x:c r="H901" s="113" t="str">
        <x:f t="shared" si="274"/>
        <x:v>不参与</x:v>
      </x:c>
      <x:c r="I901" s="113" t="str">
        <x:f t="shared" si="275"/>
        <x:v>不参与</x:v>
      </x:c>
      <x:c r="J901" s="114" t="s">
        <x:v>91</x:v>
      </x:c>
      <x:c r="K901" s="114" t="s">
        <x:v>91</x:v>
      </x:c>
      <x:c r="L901" s="109" t="e">
        <x:f>ROUNDUP(F901/J901,0)</x:f>
        <x:v>#VALUE!</x:v>
      </x:c>
      <x:c r="M901" s="109" t="e">
        <x:f>IF(G901=0,"无伤害",ROUNDUP(K901/G901,0))</x:f>
        <x:v>#VALUE!</x:v>
      </x:c>
      <x:c r="N901" s="109" t="s">
        <x:v>91</x:v>
      </x:c>
      <x:c r="O901" s="109" t="s">
        <x:v>91</x:v>
      </x:c>
      <x:c r="P901" s="6" t="str">
        <x:f t="shared" si="276"/>
        <x:v>主角召唤物；由召唤技能单独配置，不参与怪物平衡</x:v>
      </x:c>
      <x:c r="Q901" s="6"/>
      <x:c r="R901" s="6"/>
      <x:c r="S901" s="6"/>
      <x:c r="T901" s="6"/>
    </x:row>
    <x:row r="902" ht="21" customHeight="1">
      <x:c r="A902" s="14">
        <x:f t="shared" si="271"/>
        <x:v>60014</x:v>
      </x:c>
      <x:c r="B902" s="14" t="str">
        <x:f t="shared" si="272"/>
        <x:v>鳄小弟</x:v>
      </x:c>
      <x:c r="C902" s="6" t="str">
        <x:f t="shared" si="273"/>
        <x:v>召唤物</x:v>
      </x:c>
      <x:c r="D902" s="6">
        <x:v>40</x:v>
      </x:c>
      <x:c r="E902" s="6">
        <x:v>27</x:v>
      </x:c>
      <x:c r="F902" s="114" t="e">
        <x:f>ROUND(J902*$W$4*H902,0)</x:f>
        <x:v>#VALUE!</x:v>
      </x:c>
      <x:c r="G902" s="114" t="e">
        <x:f>ROUND(J902*$W$4*$W$5*I902,0)</x:f>
        <x:v>#VALUE!</x:v>
      </x:c>
      <x:c r="H902" s="113" t="str">
        <x:f t="shared" si="274"/>
        <x:v>不参与</x:v>
      </x:c>
      <x:c r="I902" s="113" t="str">
        <x:f t="shared" si="275"/>
        <x:v>不参与</x:v>
      </x:c>
      <x:c r="J902" s="114" t="s">
        <x:v>91</x:v>
      </x:c>
      <x:c r="K902" s="114" t="s">
        <x:v>91</x:v>
      </x:c>
      <x:c r="L902" s="109" t="e">
        <x:f>ROUNDUP(F902/J902,0)</x:f>
        <x:v>#VALUE!</x:v>
      </x:c>
      <x:c r="M902" s="109" t="e">
        <x:f>IF(G902=0,"无伤害",ROUNDUP(K902/G902,0))</x:f>
        <x:v>#VALUE!</x:v>
      </x:c>
      <x:c r="N902" s="109" t="s">
        <x:v>91</x:v>
      </x:c>
      <x:c r="O902" s="109" t="s">
        <x:v>91</x:v>
      </x:c>
      <x:c r="P902" s="6" t="str">
        <x:f t="shared" si="276"/>
        <x:v>主角召唤物；由召唤技能单独配置，不参与怪物平衡</x:v>
      </x:c>
      <x:c r="Q902" s="6"/>
      <x:c r="R902" s="6"/>
      <x:c r="S902" s="6"/>
      <x:c r="T902" s="6"/>
    </x:row>
    <x:row r="903" ht="21" customHeight="1">
      <x:c r="A903" s="14">
        <x:f t="shared" si="271"/>
        <x:v>60014</x:v>
      </x:c>
      <x:c r="B903" s="14" t="str">
        <x:f t="shared" si="272"/>
        <x:v>鳄小弟</x:v>
      </x:c>
      <x:c r="C903" s="6" t="str">
        <x:f t="shared" si="273"/>
        <x:v>召唤物</x:v>
      </x:c>
      <x:c r="D903" s="6">
        <x:v>41</x:v>
      </x:c>
      <x:c r="E903" s="6">
        <x:v>27</x:v>
      </x:c>
      <x:c r="F903" s="114" t="e">
        <x:f>ROUND(J903*$W$4*H903,0)</x:f>
        <x:v>#VALUE!</x:v>
      </x:c>
      <x:c r="G903" s="114" t="e">
        <x:f>ROUND(J903*$W$4*$W$5*I903,0)</x:f>
        <x:v>#VALUE!</x:v>
      </x:c>
      <x:c r="H903" s="113" t="str">
        <x:f t="shared" si="274"/>
        <x:v>不参与</x:v>
      </x:c>
      <x:c r="I903" s="113" t="str">
        <x:f t="shared" si="275"/>
        <x:v>不参与</x:v>
      </x:c>
      <x:c r="J903" s="114" t="s">
        <x:v>91</x:v>
      </x:c>
      <x:c r="K903" s="114" t="s">
        <x:v>91</x:v>
      </x:c>
      <x:c r="L903" s="109" t="e">
        <x:f>ROUNDUP(F903/J903,0)</x:f>
        <x:v>#VALUE!</x:v>
      </x:c>
      <x:c r="M903" s="109" t="e">
        <x:f>IF(G903=0,"无伤害",ROUNDUP(K903/G903,0))</x:f>
        <x:v>#VALUE!</x:v>
      </x:c>
      <x:c r="N903" s="109" t="s">
        <x:v>91</x:v>
      </x:c>
      <x:c r="O903" s="109" t="s">
        <x:v>91</x:v>
      </x:c>
      <x:c r="P903" s="6" t="str">
        <x:f t="shared" si="276"/>
        <x:v>主角召唤物；由召唤技能单独配置，不参与怪物平衡</x:v>
      </x:c>
      <x:c r="Q903" s="6"/>
      <x:c r="R903" s="6"/>
      <x:c r="S903" s="6"/>
      <x:c r="T903" s="6"/>
    </x:row>
    <x:row r="904" ht="21" customHeight="1">
      <x:c r="A904" s="14">
        <x:f t="shared" si="271"/>
        <x:v>60014</x:v>
      </x:c>
      <x:c r="B904" s="14" t="str">
        <x:f t="shared" si="272"/>
        <x:v>鳄小弟</x:v>
      </x:c>
      <x:c r="C904" s="6" t="str">
        <x:f t="shared" si="273"/>
        <x:v>召唤物</x:v>
      </x:c>
      <x:c r="D904" s="6">
        <x:v>42</x:v>
      </x:c>
      <x:c r="E904" s="6">
        <x:v>27</x:v>
      </x:c>
      <x:c r="F904" s="114" t="e">
        <x:f>ROUND(J904*$W$4*H904,0)</x:f>
        <x:v>#VALUE!</x:v>
      </x:c>
      <x:c r="G904" s="114" t="e">
        <x:f>ROUND(J904*$W$4*$W$5*I904,0)</x:f>
        <x:v>#VALUE!</x:v>
      </x:c>
      <x:c r="H904" s="113" t="str">
        <x:f t="shared" si="274"/>
        <x:v>不参与</x:v>
      </x:c>
      <x:c r="I904" s="113" t="str">
        <x:f t="shared" si="275"/>
        <x:v>不参与</x:v>
      </x:c>
      <x:c r="J904" s="114" t="s">
        <x:v>91</x:v>
      </x:c>
      <x:c r="K904" s="114" t="s">
        <x:v>91</x:v>
      </x:c>
      <x:c r="L904" s="109" t="e">
        <x:f>ROUNDUP(F904/J904,0)</x:f>
        <x:v>#VALUE!</x:v>
      </x:c>
      <x:c r="M904" s="109" t="e">
        <x:f>IF(G904=0,"无伤害",ROUNDUP(K904/G904,0))</x:f>
        <x:v>#VALUE!</x:v>
      </x:c>
      <x:c r="N904" s="109" t="s">
        <x:v>91</x:v>
      </x:c>
      <x:c r="O904" s="109" t="s">
        <x:v>91</x:v>
      </x:c>
      <x:c r="P904" s="6" t="str">
        <x:f t="shared" si="276"/>
        <x:v>主角召唤物；由召唤技能单独配置，不参与怪物平衡</x:v>
      </x:c>
      <x:c r="Q904" s="6"/>
      <x:c r="R904" s="6"/>
      <x:c r="S904" s="6"/>
      <x:c r="T904" s="6"/>
    </x:row>
    <x:row r="905" ht="21" customHeight="1">
      <x:c r="A905" s="14">
        <x:f t="shared" si="271"/>
        <x:v>60014</x:v>
      </x:c>
      <x:c r="B905" s="14" t="str">
        <x:f t="shared" si="272"/>
        <x:v>鳄小弟</x:v>
      </x:c>
      <x:c r="C905" s="6" t="str">
        <x:f t="shared" si="273"/>
        <x:v>召唤物</x:v>
      </x:c>
      <x:c r="D905" s="6">
        <x:v>43</x:v>
      </x:c>
      <x:c r="E905" s="6">
        <x:v>27</x:v>
      </x:c>
      <x:c r="F905" s="114" t="e">
        <x:f>ROUND(J905*$W$4*H905,0)</x:f>
        <x:v>#VALUE!</x:v>
      </x:c>
      <x:c r="G905" s="114" t="e">
        <x:f>ROUND(J905*$W$4*$W$5*I905,0)</x:f>
        <x:v>#VALUE!</x:v>
      </x:c>
      <x:c r="H905" s="113" t="str">
        <x:f t="shared" si="274"/>
        <x:v>不参与</x:v>
      </x:c>
      <x:c r="I905" s="113" t="str">
        <x:f t="shared" si="275"/>
        <x:v>不参与</x:v>
      </x:c>
      <x:c r="J905" s="114" t="s">
        <x:v>91</x:v>
      </x:c>
      <x:c r="K905" s="114" t="s">
        <x:v>91</x:v>
      </x:c>
      <x:c r="L905" s="109" t="e">
        <x:f>ROUNDUP(F905/J905,0)</x:f>
        <x:v>#VALUE!</x:v>
      </x:c>
      <x:c r="M905" s="109" t="e">
        <x:f>IF(G905=0,"无伤害",ROUNDUP(K905/G905,0))</x:f>
        <x:v>#VALUE!</x:v>
      </x:c>
      <x:c r="N905" s="109" t="s">
        <x:v>91</x:v>
      </x:c>
      <x:c r="O905" s="109" t="s">
        <x:v>91</x:v>
      </x:c>
      <x:c r="P905" s="6" t="str">
        <x:f t="shared" si="276"/>
        <x:v>主角召唤物；由召唤技能单独配置，不参与怪物平衡</x:v>
      </x:c>
      <x:c r="Q905" s="6"/>
      <x:c r="R905" s="6"/>
      <x:c r="S905" s="6"/>
      <x:c r="T905" s="6"/>
    </x:row>
    <x:row r="906" ht="21" customHeight="1">
      <x:c r="A906" s="14">
        <x:f t="shared" si="271"/>
        <x:v>60014</x:v>
      </x:c>
      <x:c r="B906" s="14" t="str">
        <x:f t="shared" si="272"/>
        <x:v>鳄小弟</x:v>
      </x:c>
      <x:c r="C906" s="6" t="str">
        <x:f t="shared" si="273"/>
        <x:v>召唤物</x:v>
      </x:c>
      <x:c r="D906" s="6">
        <x:v>44</x:v>
      </x:c>
      <x:c r="E906" s="6">
        <x:v>27</x:v>
      </x:c>
      <x:c r="F906" s="114" t="e">
        <x:f>ROUND(J906*$W$4*H906,0)</x:f>
        <x:v>#VALUE!</x:v>
      </x:c>
      <x:c r="G906" s="114" t="e">
        <x:f>ROUND(J906*$W$4*$W$5*I906,0)</x:f>
        <x:v>#VALUE!</x:v>
      </x:c>
      <x:c r="H906" s="113" t="str">
        <x:f t="shared" si="274"/>
        <x:v>不参与</x:v>
      </x:c>
      <x:c r="I906" s="113" t="str">
        <x:f t="shared" si="275"/>
        <x:v>不参与</x:v>
      </x:c>
      <x:c r="J906" s="114" t="s">
        <x:v>91</x:v>
      </x:c>
      <x:c r="K906" s="114" t="s">
        <x:v>91</x:v>
      </x:c>
      <x:c r="L906" s="109" t="e">
        <x:f>ROUNDUP(F906/J906,0)</x:f>
        <x:v>#VALUE!</x:v>
      </x:c>
      <x:c r="M906" s="109" t="e">
        <x:f>IF(G906=0,"无伤害",ROUNDUP(K906/G906,0))</x:f>
        <x:v>#VALUE!</x:v>
      </x:c>
      <x:c r="N906" s="109" t="s">
        <x:v>91</x:v>
      </x:c>
      <x:c r="O906" s="109" t="s">
        <x:v>91</x:v>
      </x:c>
      <x:c r="P906" s="6" t="str">
        <x:f t="shared" si="276"/>
        <x:v>主角召唤物；由召唤技能单独配置，不参与怪物平衡</x:v>
      </x:c>
      <x:c r="Q906" s="6"/>
      <x:c r="R906" s="6"/>
      <x:c r="S906" s="6"/>
      <x:c r="T906" s="6"/>
    </x:row>
    <x:row r="907" ht="21" customHeight="1">
      <x:c r="A907" s="14">
        <x:f t="shared" si="271"/>
        <x:v>60014</x:v>
      </x:c>
      <x:c r="B907" s="14" t="str">
        <x:f t="shared" si="272"/>
        <x:v>鳄小弟</x:v>
      </x:c>
      <x:c r="C907" s="6" t="str">
        <x:f t="shared" si="273"/>
        <x:v>召唤物</x:v>
      </x:c>
      <x:c r="D907" s="6">
        <x:v>45</x:v>
      </x:c>
      <x:c r="E907" s="6">
        <x:v>27</x:v>
      </x:c>
      <x:c r="F907" s="114" t="e">
        <x:f>ROUND(J907*$W$4*H907,0)</x:f>
        <x:v>#VALUE!</x:v>
      </x:c>
      <x:c r="G907" s="114" t="e">
        <x:f>ROUND(J907*$W$4*$W$5*I907,0)</x:f>
        <x:v>#VALUE!</x:v>
      </x:c>
      <x:c r="H907" s="113" t="str">
        <x:f t="shared" si="274"/>
        <x:v>不参与</x:v>
      </x:c>
      <x:c r="I907" s="113" t="str">
        <x:f t="shared" si="275"/>
        <x:v>不参与</x:v>
      </x:c>
      <x:c r="J907" s="114" t="s">
        <x:v>91</x:v>
      </x:c>
      <x:c r="K907" s="114" t="s">
        <x:v>91</x:v>
      </x:c>
      <x:c r="L907" s="109" t="e">
        <x:f>ROUNDUP(F907/J907,0)</x:f>
        <x:v>#VALUE!</x:v>
      </x:c>
      <x:c r="M907" s="109" t="e">
        <x:f>IF(G907=0,"无伤害",ROUNDUP(K907/G907,0))</x:f>
        <x:v>#VALUE!</x:v>
      </x:c>
      <x:c r="N907" s="109" t="s">
        <x:v>91</x:v>
      </x:c>
      <x:c r="O907" s="109" t="s">
        <x:v>91</x:v>
      </x:c>
      <x:c r="P907" s="6" t="str">
        <x:f t="shared" si="276"/>
        <x:v>主角召唤物；由召唤技能单独配置，不参与怪物平衡</x:v>
      </x:c>
      <x:c r="Q907" s="6"/>
      <x:c r="R907" s="6"/>
      <x:c r="S907" s="6"/>
      <x:c r="T907" s="6"/>
    </x:row>
    <x:row r="908" ht="21" customHeight="1">
      <x:c r="A908" s="14">
        <x:f t="shared" si="271"/>
        <x:v>60014</x:v>
      </x:c>
      <x:c r="B908" s="14" t="str">
        <x:f t="shared" si="272"/>
        <x:v>鳄小弟</x:v>
      </x:c>
      <x:c r="C908" s="6" t="str">
        <x:f t="shared" si="273"/>
        <x:v>召唤物</x:v>
      </x:c>
      <x:c r="D908" s="6">
        <x:v>46</x:v>
      </x:c>
      <x:c r="E908" s="6">
        <x:v>27</x:v>
      </x:c>
      <x:c r="F908" s="114" t="e">
        <x:f>ROUND(J908*$W$4*H908,0)</x:f>
        <x:v>#VALUE!</x:v>
      </x:c>
      <x:c r="G908" s="114" t="e">
        <x:f>ROUND(J908*$W$4*$W$5*I908,0)</x:f>
        <x:v>#VALUE!</x:v>
      </x:c>
      <x:c r="H908" s="113" t="str">
        <x:f t="shared" si="274"/>
        <x:v>不参与</x:v>
      </x:c>
      <x:c r="I908" s="113" t="str">
        <x:f t="shared" si="275"/>
        <x:v>不参与</x:v>
      </x:c>
      <x:c r="J908" s="114" t="s">
        <x:v>91</x:v>
      </x:c>
      <x:c r="K908" s="114" t="s">
        <x:v>91</x:v>
      </x:c>
      <x:c r="L908" s="109" t="e">
        <x:f>ROUNDUP(F908/J908,0)</x:f>
        <x:v>#VALUE!</x:v>
      </x:c>
      <x:c r="M908" s="109" t="e">
        <x:f>IF(G908=0,"无伤害",ROUNDUP(K908/G908,0))</x:f>
        <x:v>#VALUE!</x:v>
      </x:c>
      <x:c r="N908" s="109" t="s">
        <x:v>91</x:v>
      </x:c>
      <x:c r="O908" s="109" t="s">
        <x:v>91</x:v>
      </x:c>
      <x:c r="P908" s="6" t="str">
        <x:f t="shared" si="276"/>
        <x:v>主角召唤物；由召唤技能单独配置，不参与怪物平衡</x:v>
      </x:c>
      <x:c r="Q908" s="6"/>
      <x:c r="R908" s="6"/>
      <x:c r="S908" s="6"/>
      <x:c r="T908" s="6"/>
    </x:row>
    <x:row r="909" ht="21" customHeight="1">
      <x:c r="A909" s="14">
        <x:f t="shared" si="271"/>
        <x:v>60014</x:v>
      </x:c>
      <x:c r="B909" s="14" t="str">
        <x:f t="shared" si="272"/>
        <x:v>鳄小弟</x:v>
      </x:c>
      <x:c r="C909" s="6" t="str">
        <x:f t="shared" si="273"/>
        <x:v>召唤物</x:v>
      </x:c>
      <x:c r="D909" s="6">
        <x:v>47</x:v>
      </x:c>
      <x:c r="E909" s="6">
        <x:v>27</x:v>
      </x:c>
      <x:c r="F909" s="114" t="e">
        <x:f>ROUND(J909*$W$4*H909,0)</x:f>
        <x:v>#VALUE!</x:v>
      </x:c>
      <x:c r="G909" s="114" t="e">
        <x:f>ROUND(J909*$W$4*$W$5*I909,0)</x:f>
        <x:v>#VALUE!</x:v>
      </x:c>
      <x:c r="H909" s="113" t="str">
        <x:f t="shared" si="274"/>
        <x:v>不参与</x:v>
      </x:c>
      <x:c r="I909" s="113" t="str">
        <x:f t="shared" si="275"/>
        <x:v>不参与</x:v>
      </x:c>
      <x:c r="J909" s="114" t="s">
        <x:v>91</x:v>
      </x:c>
      <x:c r="K909" s="114" t="s">
        <x:v>91</x:v>
      </x:c>
      <x:c r="L909" s="109" t="e">
        <x:f>ROUNDUP(F909/J909,0)</x:f>
        <x:v>#VALUE!</x:v>
      </x:c>
      <x:c r="M909" s="109" t="e">
        <x:f>IF(G909=0,"无伤害",ROUNDUP(K909/G909,0))</x:f>
        <x:v>#VALUE!</x:v>
      </x:c>
      <x:c r="N909" s="109" t="s">
        <x:v>91</x:v>
      </x:c>
      <x:c r="O909" s="109" t="s">
        <x:v>91</x:v>
      </x:c>
      <x:c r="P909" s="6" t="str">
        <x:f t="shared" si="276"/>
        <x:v>主角召唤物；由召唤技能单独配置，不参与怪物平衡</x:v>
      </x:c>
      <x:c r="Q909" s="6"/>
      <x:c r="R909" s="6"/>
      <x:c r="S909" s="6"/>
      <x:c r="T909" s="6"/>
    </x:row>
    <x:row r="910" ht="21" customHeight="1">
      <x:c r="A910" s="14">
        <x:f t="shared" si="271"/>
        <x:v>60014</x:v>
      </x:c>
      <x:c r="B910" s="14" t="str">
        <x:f t="shared" si="272"/>
        <x:v>鳄小弟</x:v>
      </x:c>
      <x:c r="C910" s="6" t="str">
        <x:f t="shared" si="273"/>
        <x:v>召唤物</x:v>
      </x:c>
      <x:c r="D910" s="6">
        <x:v>48</x:v>
      </x:c>
      <x:c r="E910" s="6">
        <x:v>27</x:v>
      </x:c>
      <x:c r="F910" s="114" t="e">
        <x:f>ROUND(J910*$W$4*H910,0)</x:f>
        <x:v>#VALUE!</x:v>
      </x:c>
      <x:c r="G910" s="114" t="e">
        <x:f>ROUND(J910*$W$4*$W$5*I910,0)</x:f>
        <x:v>#VALUE!</x:v>
      </x:c>
      <x:c r="H910" s="113" t="str">
        <x:f t="shared" si="274"/>
        <x:v>不参与</x:v>
      </x:c>
      <x:c r="I910" s="113" t="str">
        <x:f t="shared" si="275"/>
        <x:v>不参与</x:v>
      </x:c>
      <x:c r="J910" s="114" t="s">
        <x:v>91</x:v>
      </x:c>
      <x:c r="K910" s="114" t="s">
        <x:v>91</x:v>
      </x:c>
      <x:c r="L910" s="109" t="e">
        <x:f>ROUNDUP(F910/J910,0)</x:f>
        <x:v>#VALUE!</x:v>
      </x:c>
      <x:c r="M910" s="109" t="e">
        <x:f>IF(G910=0,"无伤害",ROUNDUP(K910/G910,0))</x:f>
        <x:v>#VALUE!</x:v>
      </x:c>
      <x:c r="N910" s="109" t="s">
        <x:v>91</x:v>
      </x:c>
      <x:c r="O910" s="109" t="s">
        <x:v>91</x:v>
      </x:c>
      <x:c r="P910" s="6" t="str">
        <x:f t="shared" si="276"/>
        <x:v>主角召唤物；由召唤技能单独配置，不参与怪物平衡</x:v>
      </x:c>
      <x:c r="Q910" s="6"/>
      <x:c r="R910" s="6"/>
      <x:c r="S910" s="6"/>
      <x:c r="T910" s="6"/>
    </x:row>
    <x:row r="911" ht="21" customHeight="1">
      <x:c r="A911" s="14">
        <x:f t="shared" si="271"/>
        <x:v>60014</x:v>
      </x:c>
      <x:c r="B911" s="14" t="str">
        <x:f t="shared" si="272"/>
        <x:v>鳄小弟</x:v>
      </x:c>
      <x:c r="C911" s="6" t="str">
        <x:f t="shared" si="273"/>
        <x:v>召唤物</x:v>
      </x:c>
      <x:c r="D911" s="6">
        <x:v>49</x:v>
      </x:c>
      <x:c r="E911" s="6">
        <x:v>27</x:v>
      </x:c>
      <x:c r="F911" s="114" t="e">
        <x:f>ROUND(J911*$W$4*H911,0)</x:f>
        <x:v>#VALUE!</x:v>
      </x:c>
      <x:c r="G911" s="114" t="e">
        <x:f>ROUND(J911*$W$4*$W$5*I911,0)</x:f>
        <x:v>#VALUE!</x:v>
      </x:c>
      <x:c r="H911" s="113" t="str">
        <x:f t="shared" si="274"/>
        <x:v>不参与</x:v>
      </x:c>
      <x:c r="I911" s="113" t="str">
        <x:f t="shared" si="275"/>
        <x:v>不参与</x:v>
      </x:c>
      <x:c r="J911" s="114" t="s">
        <x:v>91</x:v>
      </x:c>
      <x:c r="K911" s="114" t="s">
        <x:v>91</x:v>
      </x:c>
      <x:c r="L911" s="109" t="e">
        <x:f>ROUNDUP(F911/J911,0)</x:f>
        <x:v>#VALUE!</x:v>
      </x:c>
      <x:c r="M911" s="109" t="e">
        <x:f>IF(G911=0,"无伤害",ROUNDUP(K911/G911,0))</x:f>
        <x:v>#VALUE!</x:v>
      </x:c>
      <x:c r="N911" s="109" t="s">
        <x:v>91</x:v>
      </x:c>
      <x:c r="O911" s="109" t="s">
        <x:v>91</x:v>
      </x:c>
      <x:c r="P911" s="6" t="str">
        <x:f t="shared" si="276"/>
        <x:v>主角召唤物；由召唤技能单独配置，不参与怪物平衡</x:v>
      </x:c>
      <x:c r="Q911" s="6"/>
      <x:c r="R911" s="6"/>
      <x:c r="S911" s="6"/>
      <x:c r="T911" s="6"/>
    </x:row>
    <x:row r="912" ht="21" customHeight="1">
      <x:c r="A912" s="14">
        <x:f t="shared" si="271"/>
        <x:v>60014</x:v>
      </x:c>
      <x:c r="B912" s="14" t="str">
        <x:f t="shared" si="272"/>
        <x:v>鳄小弟</x:v>
      </x:c>
      <x:c r="C912" s="6" t="str">
        <x:f t="shared" si="273"/>
        <x:v>召唤物</x:v>
      </x:c>
      <x:c r="D912" s="6">
        <x:v>50</x:v>
      </x:c>
      <x:c r="E912" s="6">
        <x:v>27</x:v>
      </x:c>
      <x:c r="F912" s="114" t="e">
        <x:f>ROUND(J912*$W$4*H912,0)</x:f>
        <x:v>#VALUE!</x:v>
      </x:c>
      <x:c r="G912" s="114" t="e">
        <x:f>ROUND(J912*$W$4*$W$5*I912,0)</x:f>
        <x:v>#VALUE!</x:v>
      </x:c>
      <x:c r="H912" s="113" t="str">
        <x:f t="shared" si="274"/>
        <x:v>不参与</x:v>
      </x:c>
      <x:c r="I912" s="113" t="str">
        <x:f t="shared" si="275"/>
        <x:v>不参与</x:v>
      </x:c>
      <x:c r="J912" s="114" t="s">
        <x:v>91</x:v>
      </x:c>
      <x:c r="K912" s="114" t="s">
        <x:v>91</x:v>
      </x:c>
      <x:c r="L912" s="109" t="e">
        <x:f>ROUNDUP(F912/J912,0)</x:f>
        <x:v>#VALUE!</x:v>
      </x:c>
      <x:c r="M912" s="109" t="e">
        <x:f>IF(G912=0,"无伤害",ROUNDUP(K912/G912,0))</x:f>
        <x:v>#VALUE!</x:v>
      </x:c>
      <x:c r="N912" s="109" t="s">
        <x:v>91</x:v>
      </x:c>
      <x:c r="O912" s="109" t="s">
        <x:v>91</x:v>
      </x:c>
      <x:c r="P912" s="6" t="str">
        <x:f t="shared" si="276"/>
        <x:v>主角召唤物；由召唤技能单独配置，不参与怪物平衡</x:v>
      </x:c>
      <x:c r="Q912" s="6"/>
      <x:c r="R912" s="6"/>
      <x:c r="S912" s="6"/>
      <x:c r="T912" s="6"/>
    </x:row>
    <x:row r="913" ht="21" customHeight="1">
      <x:c r="A913" s="14" t="n">
        <x:f>$V$28</x:f>
        <x:v>60015</x:v>
      </x:c>
      <x:c r="B913" s="14" t="str">
        <x:f>$W$28</x:f>
        <x:v>雪怪</x:v>
      </x:c>
      <x:c r="C913" s="6" t="str">
        <x:f>$X$28</x:f>
        <x:v>精英</x:v>
      </x:c>
      <x:c r="D913" s="6">
        <x:v>1</x:v>
      </x:c>
      <x:c r="E913" s="6">
        <x:v>28</x:v>
      </x:c>
      <x:c r="F913" s="12" t="n">
        <x:f>ROUND(J913*$W$4*H913,0)</x:f>
        <x:v>900</x:v>
      </x:c>
      <x:c r="G913" s="12" t="n">
        <x:f>ROUND(J913*$W$4*$W$5*I913,0)</x:f>
        <x:v>80</x:v>
      </x:c>
      <x:c r="H913" s="11" t="n">
        <x:f>$Y$28</x:f>
        <x:v>3.75</x:v>
      </x:c>
      <x:c r="I913" s="11" t="n">
        <x:f>$Z$28</x:f>
        <x:v>4.444444444444445</x:v>
      </x:c>
      <x:c r="J913" s="12" t="n">
        <x:f>英雄升级调参!$E$66</x:f>
        <x:v>60</x:v>
      </x:c>
      <x:c r="K913" s="12" t="n">
        <x:f>英雄升级调参!$F$66</x:f>
        <x:v>600</x:v>
      </x:c>
      <x:c r="L913" s="6" t="n">
        <x:f>ROUNDUP(F913/J913,0)</x:f>
        <x:v>15</x:v>
      </x:c>
      <x:c r="M913" s="6" t="n">
        <x:f>IF(G913=0,"无伤害",ROUNDUP(K913/MAX(1,ROUND(G913*$AC$28,0)),0))</x:f>
        <x:v>8</x:v>
      </x:c>
      <x:c r="N913" s="6">
        <x:f>ROUNDUP(F913/英雄升级调参!$H$66,0)</x:f>
        <x:v>5</x:v>
      </x:c>
      <x:c r="O913" s="6">
        <x:f>ROUNDUP(F913/英雄升级调参!$K$66,0)</x:f>
        <x:v>3</x:v>
      </x:c>
      <x:c r="P913" s="6" t="str">
        <x:f>$AA$28</x:f>
        <x:v>精英：15次标准普攻击杀；7.5次主要攻击致死</x:v>
      </x:c>
      <x:c r="Q913" s="6"/>
      <x:c r="R913" s="6"/>
      <x:c r="S913" s="6"/>
      <x:c r="T913" s="6"/>
    </x:row>
    <x:row r="914" ht="21" customHeight="1">
      <x:c r="A914" s="14" t="n">
        <x:f>$V$28</x:f>
        <x:v>60015</x:v>
      </x:c>
      <x:c r="B914" s="14" t="str">
        <x:f>$W$28</x:f>
        <x:v>雪怪</x:v>
      </x:c>
      <x:c r="C914" s="6" t="str">
        <x:f>$X$28</x:f>
        <x:v>精英</x:v>
      </x:c>
      <x:c r="D914" s="6">
        <x:v>2</x:v>
      </x:c>
      <x:c r="E914" s="6">
        <x:v>28</x:v>
      </x:c>
      <x:c r="F914" s="12">
        <x:f>ROUND(J914*$W$4*H914,0)</x:f>
        <x:v>1170</x:v>
      </x:c>
      <x:c r="G914" s="12">
        <x:f>ROUND(J914*$W$4*$W$5*I914,0)</x:f>
        <x:v>104</x:v>
      </x:c>
      <x:c r="H914" s="11" t="n">
        <x:f>$Y$28</x:f>
        <x:v>3.75</x:v>
      </x:c>
      <x:c r="I914" s="11" t="n">
        <x:f>$Z$28</x:f>
        <x:v>4.444444444444445</x:v>
      </x:c>
      <x:c r="J914" s="12">
        <x:f>英雄升级调参!$E$67</x:f>
        <x:v>78</x:v>
      </x:c>
      <x:c r="K914" s="12">
        <x:f>英雄升级调参!$F$67</x:f>
        <x:v>780</x:v>
      </x:c>
      <x:c r="L914" s="6" t="n">
        <x:f>ROUNDUP(F914/J914,0)</x:f>
        <x:v>15</x:v>
      </x:c>
      <x:c r="M914" s="6" t="n">
        <x:f>IF(G914=0,"无伤害",ROUNDUP(K914/MAX(1,ROUND(G914*$AC$28,0)),0))</x:f>
        <x:v>8</x:v>
      </x:c>
      <x:c r="N914" s="6">
        <x:f>ROUNDUP(F914/英雄升级调参!$H$67,0)</x:f>
        <x:v>6</x:v>
      </x:c>
      <x:c r="O914" s="6">
        <x:f>ROUNDUP(F914/英雄升级调参!$K$67,0)</x:f>
        <x:v>3</x:v>
      </x:c>
      <x:c r="P914" s="6" t="str">
        <x:f>$AA$28</x:f>
        <x:v>精英：15次标准普攻击杀；7.5次主要攻击致死</x:v>
      </x:c>
      <x:c r="Q914" s="6"/>
      <x:c r="R914" s="6"/>
      <x:c r="S914" s="6"/>
      <x:c r="T914" s="6"/>
    </x:row>
    <x:row r="915" ht="21" customHeight="1">
      <x:c r="A915" s="14" t="n">
        <x:f>$V$28</x:f>
        <x:v>60015</x:v>
      </x:c>
      <x:c r="B915" s="14" t="str">
        <x:f>$W$28</x:f>
        <x:v>雪怪</x:v>
      </x:c>
      <x:c r="C915" s="6" t="str">
        <x:f>$X$28</x:f>
        <x:v>精英</x:v>
      </x:c>
      <x:c r="D915" s="6">
        <x:v>3</x:v>
      </x:c>
      <x:c r="E915" s="6">
        <x:v>28</x:v>
      </x:c>
      <x:c r="F915" s="12">
        <x:f>ROUND(J915*$W$4*H915,0)</x:f>
        <x:v>1440</x:v>
      </x:c>
      <x:c r="G915" s="12">
        <x:f>ROUND(J915*$W$4*$W$5*I915,0)</x:f>
        <x:v>128</x:v>
      </x:c>
      <x:c r="H915" s="11" t="n">
        <x:f>$Y$28</x:f>
        <x:v>3.75</x:v>
      </x:c>
      <x:c r="I915" s="11" t="n">
        <x:f>$Z$28</x:f>
        <x:v>4.444444444444445</x:v>
      </x:c>
      <x:c r="J915" s="12">
        <x:f>英雄升级调参!$E$68</x:f>
        <x:v>96</x:v>
      </x:c>
      <x:c r="K915" s="12">
        <x:f>英雄升级调参!$F$68</x:f>
        <x:v>960</x:v>
      </x:c>
      <x:c r="L915" s="6" t="n">
        <x:f>ROUNDUP(F915/J915,0)</x:f>
        <x:v>15</x:v>
      </x:c>
      <x:c r="M915" s="6" t="n">
        <x:f>IF(G915=0,"无伤害",ROUNDUP(K915/MAX(1,ROUND(G915*$AC$28,0)),0))</x:f>
        <x:v>8</x:v>
      </x:c>
      <x:c r="N915" s="6">
        <x:f>ROUNDUP(F915/英雄升级调参!$H$68,0)</x:f>
        <x:v>6</x:v>
      </x:c>
      <x:c r="O915" s="6">
        <x:f>ROUNDUP(F915/英雄升级调参!$K$68,0)</x:f>
        <x:v>4</x:v>
      </x:c>
      <x:c r="P915" s="6" t="str">
        <x:f>$AA$28</x:f>
        <x:v>精英：15次标准普攻击杀；7.5次主要攻击致死</x:v>
      </x:c>
      <x:c r="Q915" s="6"/>
      <x:c r="R915" s="6"/>
      <x:c r="S915" s="6"/>
      <x:c r="T915" s="6"/>
    </x:row>
    <x:row r="916" ht="21" customHeight="1">
      <x:c r="A916" s="14" t="n">
        <x:f>$V$28</x:f>
        <x:v>60015</x:v>
      </x:c>
      <x:c r="B916" s="14" t="str">
        <x:f>$W$28</x:f>
        <x:v>雪怪</x:v>
      </x:c>
      <x:c r="C916" s="6" t="str">
        <x:f>$X$28</x:f>
        <x:v>精英</x:v>
      </x:c>
      <x:c r="D916" s="6">
        <x:v>4</x:v>
      </x:c>
      <x:c r="E916" s="6">
        <x:v>28</x:v>
      </x:c>
      <x:c r="F916" s="12">
        <x:f>ROUND(J916*$W$4*H916,0)</x:f>
        <x:v>1710</x:v>
      </x:c>
      <x:c r="G916" s="12">
        <x:f>ROUND(J916*$W$4*$W$5*I916,0)</x:f>
        <x:v>152</x:v>
      </x:c>
      <x:c r="H916" s="11" t="n">
        <x:f>$Y$28</x:f>
        <x:v>3.75</x:v>
      </x:c>
      <x:c r="I916" s="11" t="n">
        <x:f>$Z$28</x:f>
        <x:v>4.444444444444445</x:v>
      </x:c>
      <x:c r="J916" s="12">
        <x:f>英雄升级调参!$E$69</x:f>
        <x:v>114</x:v>
      </x:c>
      <x:c r="K916" s="12">
        <x:f>英雄升级调参!$F$69</x:f>
        <x:v>1140</x:v>
      </x:c>
      <x:c r="L916" s="6" t="n">
        <x:f>ROUNDUP(F916/J916,0)</x:f>
        <x:v>15</x:v>
      </x:c>
      <x:c r="M916" s="6" t="n">
        <x:f>IF(G916=0,"无伤害",ROUNDUP(K916/MAX(1,ROUND(G916*$AC$28,0)),0))</x:f>
        <x:v>8</x:v>
      </x:c>
      <x:c r="N916" s="6">
        <x:f>ROUNDUP(F916/英雄升级调参!$H$69,0)</x:f>
        <x:v>7</x:v>
      </x:c>
      <x:c r="O916" s="6">
        <x:f>ROUNDUP(F916/英雄升级调参!$K$69,0)</x:f>
        <x:v>4</x:v>
      </x:c>
      <x:c r="P916" s="6" t="str">
        <x:f>$AA$28</x:f>
        <x:v>精英：15次标准普攻击杀；7.5次主要攻击致死</x:v>
      </x:c>
      <x:c r="Q916" s="6"/>
      <x:c r="R916" s="6"/>
      <x:c r="S916" s="6"/>
      <x:c r="T916" s="6"/>
    </x:row>
    <x:row r="917" ht="21" customHeight="1">
      <x:c r="A917" s="14" t="n">
        <x:f>$V$28</x:f>
        <x:v>60015</x:v>
      </x:c>
      <x:c r="B917" s="14" t="str">
        <x:f>$W$28</x:f>
        <x:v>雪怪</x:v>
      </x:c>
      <x:c r="C917" s="6" t="str">
        <x:f>$X$28</x:f>
        <x:v>精英</x:v>
      </x:c>
      <x:c r="D917" s="6">
        <x:v>5</x:v>
      </x:c>
      <x:c r="E917" s="6">
        <x:v>28</x:v>
      </x:c>
      <x:c r="F917" s="12">
        <x:f>ROUND(J917*$W$4*H917,0)</x:f>
        <x:v>2520</x:v>
      </x:c>
      <x:c r="G917" s="12">
        <x:f>ROUND(J917*$W$4*$W$5*I917,0)</x:f>
        <x:v>224</x:v>
      </x:c>
      <x:c r="H917" s="11" t="n">
        <x:f>$Y$28</x:f>
        <x:v>3.75</x:v>
      </x:c>
      <x:c r="I917" s="11" t="n">
        <x:f>$Z$28</x:f>
        <x:v>4.444444444444445</x:v>
      </x:c>
      <x:c r="J917" s="12">
        <x:f>英雄升级调参!$E$70</x:f>
        <x:v>168</x:v>
      </x:c>
      <x:c r="K917" s="12">
        <x:f>英雄升级调参!$F$70</x:f>
        <x:v>1680</x:v>
      </x:c>
      <x:c r="L917" s="6" t="n">
        <x:f>ROUNDUP(F917/J917,0)</x:f>
        <x:v>15</x:v>
      </x:c>
      <x:c r="M917" s="6" t="n">
        <x:f>IF(G917=0,"无伤害",ROUNDUP(K917/MAX(1,ROUND(G917*$AC$28,0)),0))</x:f>
        <x:v>8</x:v>
      </x:c>
      <x:c r="N917" s="6">
        <x:f>ROUNDUP(F917/英雄升级调参!$H$70,0)</x:f>
        <x:v>8</x:v>
      </x:c>
      <x:c r="O917" s="6">
        <x:f>ROUNDUP(F917/英雄升级调参!$K$70,0)</x:f>
        <x:v>5</x:v>
      </x:c>
      <x:c r="P917" s="6" t="str">
        <x:f>$AA$28</x:f>
        <x:v>精英：15次标准普攻击杀；7.5次主要攻击致死</x:v>
      </x:c>
      <x:c r="Q917" s="6"/>
      <x:c r="R917" s="6"/>
      <x:c r="S917" s="6"/>
      <x:c r="T917" s="6"/>
    </x:row>
    <x:row r="918" ht="21" customHeight="1">
      <x:c r="A918" s="14" t="n">
        <x:f>$V$28</x:f>
        <x:v>60015</x:v>
      </x:c>
      <x:c r="B918" s="14" t="str">
        <x:f>$W$28</x:f>
        <x:v>雪怪</x:v>
      </x:c>
      <x:c r="C918" s="6" t="str">
        <x:f>$X$28</x:f>
        <x:v>精英</x:v>
      </x:c>
      <x:c r="D918" s="6">
        <x:v>6</x:v>
      </x:c>
      <x:c r="E918" s="6">
        <x:v>28</x:v>
      </x:c>
      <x:c r="F918" s="12">
        <x:f>ROUND(J918*$W$4*H918,0)</x:f>
        <x:v>2925</x:v>
      </x:c>
      <x:c r="G918" s="12">
        <x:f>ROUND(J918*$W$4*$W$5*I918,0)</x:f>
        <x:v>260</x:v>
      </x:c>
      <x:c r="H918" s="11" t="n">
        <x:f>$Y$28</x:f>
        <x:v>3.75</x:v>
      </x:c>
      <x:c r="I918" s="11" t="n">
        <x:f>$Z$28</x:f>
        <x:v>4.444444444444445</x:v>
      </x:c>
      <x:c r="J918" s="12">
        <x:f>英雄升级调参!$E$71</x:f>
        <x:v>195</x:v>
      </x:c>
      <x:c r="K918" s="12">
        <x:f>英雄升级调参!$F$71</x:f>
        <x:v>1950</x:v>
      </x:c>
      <x:c r="L918" s="6" t="n">
        <x:f>ROUNDUP(F918/J918,0)</x:f>
        <x:v>15</x:v>
      </x:c>
      <x:c r="M918" s="6" t="n">
        <x:f>IF(G918=0,"无伤害",ROUNDUP(K918/MAX(1,ROUND(G918*$AC$28,0)),0))</x:f>
        <x:v>8</x:v>
      </x:c>
      <x:c r="N918" s="6">
        <x:f>ROUNDUP(F918/英雄升级调参!$H$71,0)</x:f>
        <x:v>8</x:v>
      </x:c>
      <x:c r="O918" s="6">
        <x:f>ROUNDUP(F918/英雄升级调参!$K$71,0)</x:f>
        <x:v>5</x:v>
      </x:c>
      <x:c r="P918" s="6" t="str">
        <x:f>$AA$28</x:f>
        <x:v>精英：15次标准普攻击杀；7.5次主要攻击致死</x:v>
      </x:c>
      <x:c r="Q918" s="6"/>
      <x:c r="R918" s="6"/>
      <x:c r="S918" s="6"/>
      <x:c r="T918" s="6"/>
    </x:row>
    <x:row r="919" ht="21" customHeight="1">
      <x:c r="A919" s="14" t="n">
        <x:f>$V$28</x:f>
        <x:v>60015</x:v>
      </x:c>
      <x:c r="B919" s="14" t="str">
        <x:f>$W$28</x:f>
        <x:v>雪怪</x:v>
      </x:c>
      <x:c r="C919" s="6" t="str">
        <x:f>$X$28</x:f>
        <x:v>精英</x:v>
      </x:c>
      <x:c r="D919" s="6">
        <x:v>7</x:v>
      </x:c>
      <x:c r="E919" s="6">
        <x:v>28</x:v>
      </x:c>
      <x:c r="F919" s="12">
        <x:f>ROUND(J919*$W$4*H919,0)</x:f>
        <x:v>3330</x:v>
      </x:c>
      <x:c r="G919" s="12">
        <x:f>ROUND(J919*$W$4*$W$5*I919,0)</x:f>
        <x:v>296</x:v>
      </x:c>
      <x:c r="H919" s="11" t="n">
        <x:f>$Y$28</x:f>
        <x:v>3.75</x:v>
      </x:c>
      <x:c r="I919" s="11" t="n">
        <x:f>$Z$28</x:f>
        <x:v>4.444444444444445</x:v>
      </x:c>
      <x:c r="J919" s="12">
        <x:f>英雄升级调参!$E$72</x:f>
        <x:v>222</x:v>
      </x:c>
      <x:c r="K919" s="12">
        <x:f>英雄升级调参!$F$72</x:f>
        <x:v>2220</x:v>
      </x:c>
      <x:c r="L919" s="6" t="n">
        <x:f>ROUNDUP(F919/J919,0)</x:f>
        <x:v>15</x:v>
      </x:c>
      <x:c r="M919" s="6" t="n">
        <x:f>IF(G919=0,"无伤害",ROUNDUP(K919/MAX(1,ROUND(G919*$AC$28,0)),0))</x:f>
        <x:v>8</x:v>
      </x:c>
      <x:c r="N919" s="6">
        <x:f>ROUNDUP(F919/英雄升级调参!$H$72,0)</x:f>
        <x:v>8</x:v>
      </x:c>
      <x:c r="O919" s="6">
        <x:f>ROUNDUP(F919/英雄升级调参!$K$72,0)</x:f>
        <x:v>5</x:v>
      </x:c>
      <x:c r="P919" s="6" t="str">
        <x:f>$AA$28</x:f>
        <x:v>精英：15次标准普攻击杀；7.5次主要攻击致死</x:v>
      </x:c>
      <x:c r="Q919" s="6"/>
      <x:c r="R919" s="6"/>
      <x:c r="S919" s="6"/>
      <x:c r="T919" s="6"/>
    </x:row>
    <x:row r="920" ht="21" customHeight="1">
      <x:c r="A920" s="14" t="n">
        <x:f>$V$28</x:f>
        <x:v>60015</x:v>
      </x:c>
      <x:c r="B920" s="14" t="str">
        <x:f>$W$28</x:f>
        <x:v>雪怪</x:v>
      </x:c>
      <x:c r="C920" s="6" t="str">
        <x:f>$X$28</x:f>
        <x:v>精英</x:v>
      </x:c>
      <x:c r="D920" s="6">
        <x:v>8</x:v>
      </x:c>
      <x:c r="E920" s="6">
        <x:v>28</x:v>
      </x:c>
      <x:c r="F920" s="12">
        <x:f>ROUND(J920*$W$4*H920,0)</x:f>
        <x:v>3735</x:v>
      </x:c>
      <x:c r="G920" s="12">
        <x:f>ROUND(J920*$W$4*$W$5*I920,0)</x:f>
        <x:v>332</x:v>
      </x:c>
      <x:c r="H920" s="11" t="n">
        <x:f>$Y$28</x:f>
        <x:v>3.75</x:v>
      </x:c>
      <x:c r="I920" s="11" t="n">
        <x:f>$Z$28</x:f>
        <x:v>4.444444444444445</x:v>
      </x:c>
      <x:c r="J920" s="12">
        <x:f>英雄升级调参!$E$73</x:f>
        <x:v>249</x:v>
      </x:c>
      <x:c r="K920" s="12">
        <x:f>英雄升级调参!$F$73</x:f>
        <x:v>2490</x:v>
      </x:c>
      <x:c r="L920" s="6" t="n">
        <x:f>ROUNDUP(F920/J920,0)</x:f>
        <x:v>15</x:v>
      </x:c>
      <x:c r="M920" s="6" t="n">
        <x:f>IF(G920=0,"无伤害",ROUNDUP(K920/MAX(1,ROUND(G920*$AC$28,0)),0))</x:f>
        <x:v>8</x:v>
      </x:c>
      <x:c r="N920" s="6">
        <x:f>ROUNDUP(F920/英雄升级调参!$H$73,0)</x:f>
        <x:v>8</x:v>
      </x:c>
      <x:c r="O920" s="6">
        <x:f>ROUNDUP(F920/英雄升级调参!$K$73,0)</x:f>
        <x:v>5</x:v>
      </x:c>
      <x:c r="P920" s="6" t="str">
        <x:f>$AA$28</x:f>
        <x:v>精英：15次标准普攻击杀；7.5次主要攻击致死</x:v>
      </x:c>
      <x:c r="Q920" s="6"/>
      <x:c r="R920" s="6"/>
      <x:c r="S920" s="6"/>
      <x:c r="T920" s="6"/>
    </x:row>
    <x:row r="921" ht="21" customHeight="1">
      <x:c r="A921" s="14" t="n">
        <x:f>$V$28</x:f>
        <x:v>60015</x:v>
      </x:c>
      <x:c r="B921" s="14" t="str">
        <x:f>$W$28</x:f>
        <x:v>雪怪</x:v>
      </x:c>
      <x:c r="C921" s="6" t="str">
        <x:f>$X$28</x:f>
        <x:v>精英</x:v>
      </x:c>
      <x:c r="D921" s="6">
        <x:v>9</x:v>
      </x:c>
      <x:c r="E921" s="6">
        <x:v>28</x:v>
      </x:c>
      <x:c r="F921" s="12">
        <x:f>ROUND(J921*$W$4*H921,0)</x:f>
        <x:v>4140</x:v>
      </x:c>
      <x:c r="G921" s="12">
        <x:f>ROUND(J921*$W$4*$W$5*I921,0)</x:f>
        <x:v>368</x:v>
      </x:c>
      <x:c r="H921" s="11" t="n">
        <x:f>$Y$28</x:f>
        <x:v>3.75</x:v>
      </x:c>
      <x:c r="I921" s="11" t="n">
        <x:f>$Z$28</x:f>
        <x:v>4.444444444444445</x:v>
      </x:c>
      <x:c r="J921" s="12">
        <x:f>英雄升级调参!$E$74</x:f>
        <x:v>276</x:v>
      </x:c>
      <x:c r="K921" s="12">
        <x:f>英雄升级调参!$F$74</x:f>
        <x:v>2760</x:v>
      </x:c>
      <x:c r="L921" s="6" t="n">
        <x:f>ROUNDUP(F921/J921,0)</x:f>
        <x:v>15</x:v>
      </x:c>
      <x:c r="M921" s="6" t="n">
        <x:f>IF(G921=0,"无伤害",ROUNDUP(K921/MAX(1,ROUND(G921*$AC$28,0)),0))</x:f>
        <x:v>8</x:v>
      </x:c>
      <x:c r="N921" s="6">
        <x:f>ROUNDUP(F921/英雄升级调参!$H$74,0)</x:f>
        <x:v>8</x:v>
      </x:c>
      <x:c r="O921" s="6">
        <x:f>ROUNDUP(F921/英雄升级调参!$K$74,0)</x:f>
        <x:v>5</x:v>
      </x:c>
      <x:c r="P921" s="6" t="str">
        <x:f>$AA$28</x:f>
        <x:v>精英：15次标准普攻击杀；7.5次主要攻击致死</x:v>
      </x:c>
      <x:c r="Q921" s="6"/>
      <x:c r="R921" s="6"/>
      <x:c r="S921" s="6"/>
      <x:c r="T921" s="6"/>
    </x:row>
    <x:row r="922" ht="21" customHeight="1">
      <x:c r="A922" s="14" t="n">
        <x:f>$V$28</x:f>
        <x:v>60015</x:v>
      </x:c>
      <x:c r="B922" s="14" t="str">
        <x:f>$W$28</x:f>
        <x:v>雪怪</x:v>
      </x:c>
      <x:c r="C922" s="6" t="str">
        <x:f>$X$28</x:f>
        <x:v>精英</x:v>
      </x:c>
      <x:c r="D922" s="6">
        <x:v>10</x:v>
      </x:c>
      <x:c r="E922" s="6">
        <x:v>28</x:v>
      </x:c>
      <x:c r="F922" s="12">
        <x:f>ROUND(J922*$W$4*H922,0)</x:f>
        <x:v>5355</x:v>
      </x:c>
      <x:c r="G922" s="12">
        <x:f>ROUND(J922*$W$4*$W$5*I922,0)</x:f>
        <x:v>476</x:v>
      </x:c>
      <x:c r="H922" s="11" t="n">
        <x:f>$Y$28</x:f>
        <x:v>3.75</x:v>
      </x:c>
      <x:c r="I922" s="11" t="n">
        <x:f>$Z$28</x:f>
        <x:v>4.444444444444445</x:v>
      </x:c>
      <x:c r="J922" s="12">
        <x:f>英雄升级调参!$E$75</x:f>
        <x:v>357</x:v>
      </x:c>
      <x:c r="K922" s="12">
        <x:f>英雄升级调参!$F$75</x:f>
        <x:v>3570</x:v>
      </x:c>
      <x:c r="L922" s="6" t="n">
        <x:f>ROUNDUP(F922/J922,0)</x:f>
        <x:v>15</x:v>
      </x:c>
      <x:c r="M922" s="6" t="n">
        <x:f>IF(G922=0,"无伤害",ROUNDUP(K922/MAX(1,ROUND(G922*$AC$28,0)),0))</x:f>
        <x:v>8</x:v>
      </x:c>
      <x:c r="N922" s="6">
        <x:f>ROUNDUP(F922/英雄升级调参!$H$75,0)</x:f>
        <x:v>9</x:v>
      </x:c>
      <x:c r="O922" s="6">
        <x:f>ROUNDUP(F922/英雄升级调参!$K$75,0)</x:f>
        <x:v>5</x:v>
      </x:c>
      <x:c r="P922" s="6" t="str">
        <x:f>$AA$28</x:f>
        <x:v>精英：15次标准普攻击杀；7.5次主要攻击致死</x:v>
      </x:c>
      <x:c r="Q922" s="6"/>
      <x:c r="R922" s="6"/>
      <x:c r="S922" s="6"/>
      <x:c r="T922" s="6"/>
    </x:row>
    <x:row r="923" ht="21" customHeight="1">
      <x:c r="A923" s="14" t="n">
        <x:f>$V$28</x:f>
        <x:v>60015</x:v>
      </x:c>
      <x:c r="B923" s="14" t="str">
        <x:f>$W$28</x:f>
        <x:v>雪怪</x:v>
      </x:c>
      <x:c r="C923" s="6" t="str">
        <x:f>$X$28</x:f>
        <x:v>精英</x:v>
      </x:c>
      <x:c r="D923" s="6">
        <x:v>11</x:v>
      </x:c>
      <x:c r="E923" s="6">
        <x:v>28</x:v>
      </x:c>
      <x:c r="F923" s="12">
        <x:f>ROUND(J923*$W$4*H923,0)</x:f>
        <x:v>5895</x:v>
      </x:c>
      <x:c r="G923" s="12">
        <x:f>ROUND(J923*$W$4*$W$5*I923,0)</x:f>
        <x:v>524</x:v>
      </x:c>
      <x:c r="H923" s="11" t="n">
        <x:f>$Y$28</x:f>
        <x:v>3.75</x:v>
      </x:c>
      <x:c r="I923" s="11" t="n">
        <x:f>$Z$28</x:f>
        <x:v>4.444444444444445</x:v>
      </x:c>
      <x:c r="J923" s="12">
        <x:f>英雄升级调参!$E$76</x:f>
        <x:v>393</x:v>
      </x:c>
      <x:c r="K923" s="12">
        <x:f>英雄升级调参!$F$76</x:f>
        <x:v>3930</x:v>
      </x:c>
      <x:c r="L923" s="6" t="n">
        <x:f>ROUNDUP(F923/J923,0)</x:f>
        <x:v>15</x:v>
      </x:c>
      <x:c r="M923" s="6" t="n">
        <x:f>IF(G923=0,"无伤害",ROUNDUP(K923/MAX(1,ROUND(G923*$AC$28,0)),0))</x:f>
        <x:v>8</x:v>
      </x:c>
      <x:c r="N923" s="6">
        <x:f>ROUNDUP(F923/英雄升级调参!$H$76,0)</x:f>
        <x:v>9</x:v>
      </x:c>
      <x:c r="O923" s="6">
        <x:f>ROUNDUP(F923/英雄升级调参!$K$76,0)</x:f>
        <x:v>5</x:v>
      </x:c>
      <x:c r="P923" s="6" t="str">
        <x:f>$AA$28</x:f>
        <x:v>精英：15次标准普攻击杀；7.5次主要攻击致死</x:v>
      </x:c>
      <x:c r="Q923" s="6"/>
      <x:c r="R923" s="6"/>
      <x:c r="S923" s="6"/>
      <x:c r="T923" s="6"/>
    </x:row>
    <x:row r="924" ht="21" customHeight="1">
      <x:c r="A924" s="14" t="n">
        <x:f>$V$28</x:f>
        <x:v>60015</x:v>
      </x:c>
      <x:c r="B924" s="14" t="str">
        <x:f>$W$28</x:f>
        <x:v>雪怪</x:v>
      </x:c>
      <x:c r="C924" s="6" t="str">
        <x:f>$X$28</x:f>
        <x:v>精英</x:v>
      </x:c>
      <x:c r="D924" s="6">
        <x:v>12</x:v>
      </x:c>
      <x:c r="E924" s="6">
        <x:v>28</x:v>
      </x:c>
      <x:c r="F924" s="12">
        <x:f>ROUND(J924*$W$4*H924,0)</x:f>
        <x:v>6435</x:v>
      </x:c>
      <x:c r="G924" s="12">
        <x:f>ROUND(J924*$W$4*$W$5*I924,0)</x:f>
        <x:v>572</x:v>
      </x:c>
      <x:c r="H924" s="11" t="n">
        <x:f>$Y$28</x:f>
        <x:v>3.75</x:v>
      </x:c>
      <x:c r="I924" s="11" t="n">
        <x:f>$Z$28</x:f>
        <x:v>4.444444444444445</x:v>
      </x:c>
      <x:c r="J924" s="12">
        <x:f>英雄升级调参!$E$77</x:f>
        <x:v>429</x:v>
      </x:c>
      <x:c r="K924" s="12">
        <x:f>英雄升级调参!$F$77</x:f>
        <x:v>4290</x:v>
      </x:c>
      <x:c r="L924" s="6" t="n">
        <x:f>ROUNDUP(F924/J924,0)</x:f>
        <x:v>15</x:v>
      </x:c>
      <x:c r="M924" s="6" t="n">
        <x:f>IF(G924=0,"无伤害",ROUNDUP(K924/MAX(1,ROUND(G924*$AC$28,0)),0))</x:f>
        <x:v>8</x:v>
      </x:c>
      <x:c r="N924" s="6">
        <x:f>ROUNDUP(F924/英雄升级调参!$H$77,0)</x:f>
        <x:v>9</x:v>
      </x:c>
      <x:c r="O924" s="6">
        <x:f>ROUNDUP(F924/英雄升级调参!$K$77,0)</x:f>
        <x:v>6</x:v>
      </x:c>
      <x:c r="P924" s="6" t="str">
        <x:f>$AA$28</x:f>
        <x:v>精英：15次标准普攻击杀；7.5次主要攻击致死</x:v>
      </x:c>
      <x:c r="Q924" s="6"/>
      <x:c r="R924" s="6"/>
      <x:c r="S924" s="6"/>
      <x:c r="T924" s="6"/>
    </x:row>
    <x:row r="925" ht="21" customHeight="1">
      <x:c r="A925" s="14" t="n">
        <x:f>$V$28</x:f>
        <x:v>60015</x:v>
      </x:c>
      <x:c r="B925" s="14" t="str">
        <x:f>$W$28</x:f>
        <x:v>雪怪</x:v>
      </x:c>
      <x:c r="C925" s="6" t="str">
        <x:f>$X$28</x:f>
        <x:v>精英</x:v>
      </x:c>
      <x:c r="D925" s="6">
        <x:v>13</x:v>
      </x:c>
      <x:c r="E925" s="6">
        <x:v>28</x:v>
      </x:c>
      <x:c r="F925" s="12">
        <x:f>ROUND(J925*$W$4*H925,0)</x:f>
        <x:v>6975</x:v>
      </x:c>
      <x:c r="G925" s="12">
        <x:f>ROUND(J925*$W$4*$W$5*I925,0)</x:f>
        <x:v>620</x:v>
      </x:c>
      <x:c r="H925" s="11" t="n">
        <x:f>$Y$28</x:f>
        <x:v>3.75</x:v>
      </x:c>
      <x:c r="I925" s="11" t="n">
        <x:f>$Z$28</x:f>
        <x:v>4.444444444444445</x:v>
      </x:c>
      <x:c r="J925" s="12">
        <x:f>英雄升级调参!$E$78</x:f>
        <x:v>465</x:v>
      </x:c>
      <x:c r="K925" s="12">
        <x:f>英雄升级调参!$F$78</x:f>
        <x:v>4650</x:v>
      </x:c>
      <x:c r="L925" s="6" t="n">
        <x:f>ROUNDUP(F925/J925,0)</x:f>
        <x:v>15</x:v>
      </x:c>
      <x:c r="M925" s="6" t="n">
        <x:f>IF(G925=0,"无伤害",ROUNDUP(K925/MAX(1,ROUND(G925*$AC$28,0)),0))</x:f>
        <x:v>8</x:v>
      </x:c>
      <x:c r="N925" s="6">
        <x:f>ROUNDUP(F925/英雄升级调参!$H$78,0)</x:f>
        <x:v>9</x:v>
      </x:c>
      <x:c r="O925" s="6">
        <x:f>ROUNDUP(F925/英雄升级调参!$K$78,0)</x:f>
        <x:v>6</x:v>
      </x:c>
      <x:c r="P925" s="6" t="str">
        <x:f>$AA$28</x:f>
        <x:v>精英：15次标准普攻击杀；7.5次主要攻击致死</x:v>
      </x:c>
      <x:c r="Q925" s="6"/>
      <x:c r="R925" s="6"/>
      <x:c r="S925" s="6"/>
      <x:c r="T925" s="6"/>
    </x:row>
    <x:row r="926" ht="21" customHeight="1">
      <x:c r="A926" s="14" t="n">
        <x:f>$V$28</x:f>
        <x:v>60015</x:v>
      </x:c>
      <x:c r="B926" s="14" t="str">
        <x:f>$W$28</x:f>
        <x:v>雪怪</x:v>
      </x:c>
      <x:c r="C926" s="6" t="str">
        <x:f>$X$28</x:f>
        <x:v>精英</x:v>
      </x:c>
      <x:c r="D926" s="6">
        <x:v>14</x:v>
      </x:c>
      <x:c r="E926" s="6">
        <x:v>28</x:v>
      </x:c>
      <x:c r="F926" s="12">
        <x:f>ROUND(J926*$W$4*H926,0)</x:f>
        <x:v>7515</x:v>
      </x:c>
      <x:c r="G926" s="12">
        <x:f>ROUND(J926*$W$4*$W$5*I926,0)</x:f>
        <x:v>668</x:v>
      </x:c>
      <x:c r="H926" s="11" t="n">
        <x:f>$Y$28</x:f>
        <x:v>3.75</x:v>
      </x:c>
      <x:c r="I926" s="11" t="n">
        <x:f>$Z$28</x:f>
        <x:v>4.444444444444445</x:v>
      </x:c>
      <x:c r="J926" s="12">
        <x:f>英雄升级调参!$E$79</x:f>
        <x:v>501</x:v>
      </x:c>
      <x:c r="K926" s="12">
        <x:f>英雄升级调参!$F$79</x:f>
        <x:v>5010</x:v>
      </x:c>
      <x:c r="L926" s="6" t="n">
        <x:f>ROUNDUP(F926/J926,0)</x:f>
        <x:v>15</x:v>
      </x:c>
      <x:c r="M926" s="6" t="n">
        <x:f>IF(G926=0,"无伤害",ROUNDUP(K926/MAX(1,ROUND(G926*$AC$28,0)),0))</x:f>
        <x:v>8</x:v>
      </x:c>
      <x:c r="N926" s="6">
        <x:f>ROUNDUP(F926/英雄升级调参!$H$79,0)</x:f>
        <x:v>9</x:v>
      </x:c>
      <x:c r="O926" s="6">
        <x:f>ROUNDUP(F926/英雄升级调参!$K$79,0)</x:f>
        <x:v>6</x:v>
      </x:c>
      <x:c r="P926" s="6" t="str">
        <x:f>$AA$28</x:f>
        <x:v>精英：15次标准普攻击杀；7.5次主要攻击致死</x:v>
      </x:c>
      <x:c r="Q926" s="6"/>
      <x:c r="R926" s="6"/>
      <x:c r="S926" s="6"/>
      <x:c r="T926" s="6"/>
    </x:row>
    <x:row r="927" ht="21" customHeight="1">
      <x:c r="A927" s="14" t="n">
        <x:f>$V$28</x:f>
        <x:v>60015</x:v>
      </x:c>
      <x:c r="B927" s="14" t="str">
        <x:f>$W$28</x:f>
        <x:v>雪怪</x:v>
      </x:c>
      <x:c r="C927" s="6" t="str">
        <x:f>$X$28</x:f>
        <x:v>精英</x:v>
      </x:c>
      <x:c r="D927" s="6">
        <x:v>15</x:v>
      </x:c>
      <x:c r="E927" s="6">
        <x:v>28</x:v>
      </x:c>
      <x:c r="F927" s="12">
        <x:f>ROUND(J927*$W$4*H927,0)</x:f>
        <x:v>9135</x:v>
      </x:c>
      <x:c r="G927" s="12">
        <x:f>ROUND(J927*$W$4*$W$5*I927,0)</x:f>
        <x:v>812</x:v>
      </x:c>
      <x:c r="H927" s="11" t="n">
        <x:f>$Y$28</x:f>
        <x:v>3.75</x:v>
      </x:c>
      <x:c r="I927" s="11" t="n">
        <x:f>$Z$28</x:f>
        <x:v>4.444444444444445</x:v>
      </x:c>
      <x:c r="J927" s="12">
        <x:f>英雄升级调参!$E$80</x:f>
        <x:v>609</x:v>
      </x:c>
      <x:c r="K927" s="12">
        <x:f>英雄升级调参!$F$80</x:f>
        <x:v>6090</x:v>
      </x:c>
      <x:c r="L927" s="6" t="n">
        <x:f>ROUNDUP(F927/J927,0)</x:f>
        <x:v>15</x:v>
      </x:c>
      <x:c r="M927" s="6" t="n">
        <x:f>IF(G927=0,"无伤害",ROUNDUP(K927/MAX(1,ROUND(G927*$AC$28,0)),0))</x:f>
        <x:v>8</x:v>
      </x:c>
      <x:c r="N927" s="6">
        <x:f>ROUNDUP(F927/英雄升级调参!$H$80,0)</x:f>
        <x:v>9</x:v>
      </x:c>
      <x:c r="O927" s="6">
        <x:f>ROUNDUP(F927/英雄升级调参!$K$80,0)</x:f>
        <x:v>6</x:v>
      </x:c>
      <x:c r="P927" s="6" t="str">
        <x:f>$AA$28</x:f>
        <x:v>精英：15次标准普攻击杀；7.5次主要攻击致死</x:v>
      </x:c>
      <x:c r="Q927" s="6"/>
      <x:c r="R927" s="6"/>
      <x:c r="S927" s="6"/>
      <x:c r="T927" s="6"/>
    </x:row>
    <x:row r="928" ht="21" customHeight="1">
      <x:c r="A928" s="14" t="n">
        <x:f>$V$28</x:f>
        <x:v>60015</x:v>
      </x:c>
      <x:c r="B928" s="14" t="str">
        <x:f>$W$28</x:f>
        <x:v>雪怪</x:v>
      </x:c>
      <x:c r="C928" s="6" t="str">
        <x:f>$X$28</x:f>
        <x:v>精英</x:v>
      </x:c>
      <x:c r="D928" s="6">
        <x:v>16</x:v>
      </x:c>
      <x:c r="E928" s="6">
        <x:v>28</x:v>
      </x:c>
      <x:c r="F928" s="12">
        <x:f>ROUND(J928*$W$4*H928,0)</x:f>
        <x:v>9810</x:v>
      </x:c>
      <x:c r="G928" s="12">
        <x:f>ROUND(J928*$W$4*$W$5*I928,0)</x:f>
        <x:v>872</x:v>
      </x:c>
      <x:c r="H928" s="11" t="n">
        <x:f>$Y$28</x:f>
        <x:v>3.75</x:v>
      </x:c>
      <x:c r="I928" s="11" t="n">
        <x:f>$Z$28</x:f>
        <x:v>4.444444444444445</x:v>
      </x:c>
      <x:c r="J928" s="12">
        <x:f>英雄升级调参!$E$81</x:f>
        <x:v>654</x:v>
      </x:c>
      <x:c r="K928" s="12">
        <x:f>英雄升级调参!$F$81</x:f>
        <x:v>6540</x:v>
      </x:c>
      <x:c r="L928" s="6" t="n">
        <x:f>ROUNDUP(F928/J928,0)</x:f>
        <x:v>15</x:v>
      </x:c>
      <x:c r="M928" s="6" t="n">
        <x:f>IF(G928=0,"无伤害",ROUNDUP(K928/MAX(1,ROUND(G928*$AC$28,0)),0))</x:f>
        <x:v>8</x:v>
      </x:c>
      <x:c r="N928" s="6">
        <x:f>ROUNDUP(F928/英雄升级调参!$H$81,0)</x:f>
        <x:v>9</x:v>
      </x:c>
      <x:c r="O928" s="6">
        <x:f>ROUNDUP(F928/英雄升级调参!$K$81,0)</x:f>
        <x:v>6</x:v>
      </x:c>
      <x:c r="P928" s="6" t="str">
        <x:f>$AA$28</x:f>
        <x:v>精英：15次标准普攻击杀；7.5次主要攻击致死</x:v>
      </x:c>
      <x:c r="Q928" s="6"/>
      <x:c r="R928" s="6"/>
      <x:c r="S928" s="6"/>
      <x:c r="T928" s="6"/>
    </x:row>
    <x:row r="929" ht="21" customHeight="1">
      <x:c r="A929" s="14" t="n">
        <x:f>$V$28</x:f>
        <x:v>60015</x:v>
      </x:c>
      <x:c r="B929" s="14" t="str">
        <x:f>$W$28</x:f>
        <x:v>雪怪</x:v>
      </x:c>
      <x:c r="C929" s="6" t="str">
        <x:f>$X$28</x:f>
        <x:v>精英</x:v>
      </x:c>
      <x:c r="D929" s="6">
        <x:v>17</x:v>
      </x:c>
      <x:c r="E929" s="6">
        <x:v>28</x:v>
      </x:c>
      <x:c r="F929" s="12">
        <x:f>ROUND(J929*$W$4*H929,0)</x:f>
        <x:v>10485</x:v>
      </x:c>
      <x:c r="G929" s="12">
        <x:f>ROUND(J929*$W$4*$W$5*I929,0)</x:f>
        <x:v>932</x:v>
      </x:c>
      <x:c r="H929" s="11" t="n">
        <x:f>$Y$28</x:f>
        <x:v>3.75</x:v>
      </x:c>
      <x:c r="I929" s="11" t="n">
        <x:f>$Z$28</x:f>
        <x:v>4.444444444444445</x:v>
      </x:c>
      <x:c r="J929" s="12">
        <x:f>英雄升级调参!$E$82</x:f>
        <x:v>699</x:v>
      </x:c>
      <x:c r="K929" s="12">
        <x:f>英雄升级调参!$F$82</x:f>
        <x:v>6990</x:v>
      </x:c>
      <x:c r="L929" s="6" t="n">
        <x:f>ROUNDUP(F929/J929,0)</x:f>
        <x:v>15</x:v>
      </x:c>
      <x:c r="M929" s="6" t="n">
        <x:f>IF(G929=0,"无伤害",ROUNDUP(K929/MAX(1,ROUND(G929*$AC$28,0)),0))</x:f>
        <x:v>8</x:v>
      </x:c>
      <x:c r="N929" s="6" t="n">
        <x:f>ROUNDUP(F929/英雄升级调参!$H$82,0)</x:f>
        <x:v>10</x:v>
      </x:c>
      <x:c r="O929" s="6">
        <x:f>ROUNDUP(F929/英雄升级调参!$K$82,0)</x:f>
        <x:v>6</x:v>
      </x:c>
      <x:c r="P929" s="6" t="str">
        <x:f>$AA$28</x:f>
        <x:v>精英：15次标准普攻击杀；7.5次主要攻击致死</x:v>
      </x:c>
      <x:c r="Q929" s="6"/>
      <x:c r="R929" s="6"/>
      <x:c r="S929" s="6"/>
      <x:c r="T929" s="6"/>
    </x:row>
    <x:row r="930" ht="21" customHeight="1">
      <x:c r="A930" s="14" t="n">
        <x:f>$V$28</x:f>
        <x:v>60015</x:v>
      </x:c>
      <x:c r="B930" s="14" t="str">
        <x:f>$W$28</x:f>
        <x:v>雪怪</x:v>
      </x:c>
      <x:c r="C930" s="6" t="str">
        <x:f>$X$28</x:f>
        <x:v>精英</x:v>
      </x:c>
      <x:c r="D930" s="6">
        <x:v>18</x:v>
      </x:c>
      <x:c r="E930" s="6">
        <x:v>28</x:v>
      </x:c>
      <x:c r="F930" s="12">
        <x:f>ROUND(J930*$W$4*H930,0)</x:f>
        <x:v>11160</x:v>
      </x:c>
      <x:c r="G930" s="12">
        <x:f>ROUND(J930*$W$4*$W$5*I930,0)</x:f>
        <x:v>992</x:v>
      </x:c>
      <x:c r="H930" s="11" t="n">
        <x:f>$Y$28</x:f>
        <x:v>3.75</x:v>
      </x:c>
      <x:c r="I930" s="11" t="n">
        <x:f>$Z$28</x:f>
        <x:v>4.444444444444445</x:v>
      </x:c>
      <x:c r="J930" s="12">
        <x:f>英雄升级调参!$E$83</x:f>
        <x:v>744</x:v>
      </x:c>
      <x:c r="K930" s="12">
        <x:f>英雄升级调参!$F$83</x:f>
        <x:v>7440</x:v>
      </x:c>
      <x:c r="L930" s="6" t="n">
        <x:f>ROUNDUP(F930/J930,0)</x:f>
        <x:v>15</x:v>
      </x:c>
      <x:c r="M930" s="6" t="n">
        <x:f>IF(G930=0,"无伤害",ROUNDUP(K930/MAX(1,ROUND(G930*$AC$28,0)),0))</x:f>
        <x:v>8</x:v>
      </x:c>
      <x:c r="N930" s="6" t="n">
        <x:f>ROUNDUP(F930/英雄升级调参!$H$83,0)</x:f>
        <x:v>10</x:v>
      </x:c>
      <x:c r="O930" s="6">
        <x:f>ROUNDUP(F930/英雄升级调参!$K$83,0)</x:f>
        <x:v>6</x:v>
      </x:c>
      <x:c r="P930" s="6" t="str">
        <x:f>$AA$28</x:f>
        <x:v>精英：15次标准普攻击杀；7.5次主要攻击致死</x:v>
      </x:c>
      <x:c r="Q930" s="6"/>
      <x:c r="R930" s="6"/>
      <x:c r="S930" s="6"/>
      <x:c r="T930" s="6"/>
    </x:row>
    <x:row r="931" ht="21" customHeight="1">
      <x:c r="A931" s="14" t="n">
        <x:f>$V$28</x:f>
        <x:v>60015</x:v>
      </x:c>
      <x:c r="B931" s="14" t="str">
        <x:f>$W$28</x:f>
        <x:v>雪怪</x:v>
      </x:c>
      <x:c r="C931" s="6" t="str">
        <x:f>$X$28</x:f>
        <x:v>精英</x:v>
      </x:c>
      <x:c r="D931" s="6">
        <x:v>19</x:v>
      </x:c>
      <x:c r="E931" s="6">
        <x:v>28</x:v>
      </x:c>
      <x:c r="F931" s="12">
        <x:f>ROUND(J931*$W$4*H931,0)</x:f>
        <x:v>11835</x:v>
      </x:c>
      <x:c r="G931" s="12">
        <x:f>ROUND(J931*$W$4*$W$5*I931,0)</x:f>
        <x:v>1052</x:v>
      </x:c>
      <x:c r="H931" s="11" t="n">
        <x:f>$Y$28</x:f>
        <x:v>3.75</x:v>
      </x:c>
      <x:c r="I931" s="11" t="n">
        <x:f>$Z$28</x:f>
        <x:v>4.444444444444445</x:v>
      </x:c>
      <x:c r="J931" s="12">
        <x:f>英雄升级调参!$E$84</x:f>
        <x:v>789</x:v>
      </x:c>
      <x:c r="K931" s="12">
        <x:f>英雄升级调参!$F$84</x:f>
        <x:v>7890</x:v>
      </x:c>
      <x:c r="L931" s="6" t="n">
        <x:f>ROUNDUP(F931/J931,0)</x:f>
        <x:v>15</x:v>
      </x:c>
      <x:c r="M931" s="6" t="n">
        <x:f>IF(G931=0,"无伤害",ROUNDUP(K931/MAX(1,ROUND(G931*$AC$28,0)),0))</x:f>
        <x:v>8</x:v>
      </x:c>
      <x:c r="N931" s="6" t="n">
        <x:f>ROUNDUP(F931/英雄升级调参!$H$84,0)</x:f>
        <x:v>10</x:v>
      </x:c>
      <x:c r="O931" s="6">
        <x:f>ROUNDUP(F931/英雄升级调参!$K$84,0)</x:f>
        <x:v>6</x:v>
      </x:c>
      <x:c r="P931" s="6" t="str">
        <x:f>$AA$28</x:f>
        <x:v>精英：15次标准普攻击杀；7.5次主要攻击致死</x:v>
      </x:c>
      <x:c r="Q931" s="6"/>
      <x:c r="R931" s="6"/>
      <x:c r="S931" s="6"/>
      <x:c r="T931" s="6"/>
    </x:row>
    <x:row r="932" ht="21" customHeight="1">
      <x:c r="A932" s="14" t="n">
        <x:f>$V$28</x:f>
        <x:v>60015</x:v>
      </x:c>
      <x:c r="B932" s="14" t="str">
        <x:f>$W$28</x:f>
        <x:v>雪怪</x:v>
      </x:c>
      <x:c r="C932" s="6" t="str">
        <x:f>$X$28</x:f>
        <x:v>精英</x:v>
      </x:c>
      <x:c r="D932" s="6">
        <x:v>20</x:v>
      </x:c>
      <x:c r="E932" s="6">
        <x:v>28</x:v>
      </x:c>
      <x:c r="F932" s="12">
        <x:f>ROUND(J932*$W$4*H932,0)</x:f>
        <x:v>13860</x:v>
      </x:c>
      <x:c r="G932" s="12">
        <x:f>ROUND(J932*$W$4*$W$5*I932,0)</x:f>
        <x:v>1232</x:v>
      </x:c>
      <x:c r="H932" s="11" t="n">
        <x:f>$Y$28</x:f>
        <x:v>3.75</x:v>
      </x:c>
      <x:c r="I932" s="11" t="n">
        <x:f>$Z$28</x:f>
        <x:v>4.444444444444445</x:v>
      </x:c>
      <x:c r="J932" s="12">
        <x:f>英雄升级调参!$E$85</x:f>
        <x:v>924</x:v>
      </x:c>
      <x:c r="K932" s="12">
        <x:f>英雄升级调参!$F$85</x:f>
        <x:v>9240</x:v>
      </x:c>
      <x:c r="L932" s="6" t="n">
        <x:f>ROUNDUP(F932/J932,0)</x:f>
        <x:v>15</x:v>
      </x:c>
      <x:c r="M932" s="6" t="n">
        <x:f>IF(G932=0,"无伤害",ROUNDUP(K932/MAX(1,ROUND(G932*$AC$28,0)),0))</x:f>
        <x:v>8</x:v>
      </x:c>
      <x:c r="N932" s="6" t="n">
        <x:f>ROUNDUP(F932/英雄升级调参!$H$85,0)</x:f>
        <x:v>10</x:v>
      </x:c>
      <x:c r="O932" s="6">
        <x:f>ROUNDUP(F932/英雄升级调参!$K$85,0)</x:f>
        <x:v>6</x:v>
      </x:c>
      <x:c r="P932" s="6" t="str">
        <x:f>$AA$28</x:f>
        <x:v>精英：15次标准普攻击杀；7.5次主要攻击致死</x:v>
      </x:c>
      <x:c r="Q932" s="6"/>
      <x:c r="R932" s="6"/>
      <x:c r="S932" s="6"/>
      <x:c r="T932" s="6"/>
    </x:row>
    <x:row r="933" ht="21" customHeight="1">
      <x:c r="A933" s="14" t="n">
        <x:f>$V$28</x:f>
        <x:v>60015</x:v>
      </x:c>
      <x:c r="B933" s="14" t="str">
        <x:f>$W$28</x:f>
        <x:v>雪怪</x:v>
      </x:c>
      <x:c r="C933" s="6" t="str">
        <x:f>$X$28</x:f>
        <x:v>精英</x:v>
      </x:c>
      <x:c r="D933" s="6">
        <x:v>21</x:v>
      </x:c>
      <x:c r="E933" s="6">
        <x:v>28</x:v>
      </x:c>
      <x:c r="F933" s="12">
        <x:f>ROUND(J933*$W$4*H933,0)</x:f>
        <x:v>14670</x:v>
      </x:c>
      <x:c r="G933" s="12">
        <x:f>ROUND(J933*$W$4*$W$5*I933,0)</x:f>
        <x:v>1304</x:v>
      </x:c>
      <x:c r="H933" s="11" t="n">
        <x:f>$Y$28</x:f>
        <x:v>3.75</x:v>
      </x:c>
      <x:c r="I933" s="11" t="n">
        <x:f>$Z$28</x:f>
        <x:v>4.444444444444445</x:v>
      </x:c>
      <x:c r="J933" s="12">
        <x:f>英雄升级调参!$E$86</x:f>
        <x:v>978</x:v>
      </x:c>
      <x:c r="K933" s="12">
        <x:f>英雄升级调参!$F$86</x:f>
        <x:v>9780</x:v>
      </x:c>
      <x:c r="L933" s="6" t="n">
        <x:f>ROUNDUP(F933/J933,0)</x:f>
        <x:v>15</x:v>
      </x:c>
      <x:c r="M933" s="6" t="n">
        <x:f>IF(G933=0,"无伤害",ROUNDUP(K933/MAX(1,ROUND(G933*$AC$28,0)),0))</x:f>
        <x:v>8</x:v>
      </x:c>
      <x:c r="N933" s="6" t="n">
        <x:f>ROUNDUP(F933/英雄升级调参!$H$86,0)</x:f>
        <x:v>10</x:v>
      </x:c>
      <x:c r="O933" s="6">
        <x:f>ROUNDUP(F933/英雄升级调参!$K$86,0)</x:f>
        <x:v>6</x:v>
      </x:c>
      <x:c r="P933" s="6" t="str">
        <x:f>$AA$28</x:f>
        <x:v>精英：15次标准普攻击杀；7.5次主要攻击致死</x:v>
      </x:c>
      <x:c r="Q933" s="6"/>
      <x:c r="R933" s="6"/>
      <x:c r="S933" s="6"/>
      <x:c r="T933" s="6"/>
    </x:row>
    <x:row r="934" ht="21" customHeight="1">
      <x:c r="A934" s="14" t="n">
        <x:f>$V$28</x:f>
        <x:v>60015</x:v>
      </x:c>
      <x:c r="B934" s="14" t="str">
        <x:f>$W$28</x:f>
        <x:v>雪怪</x:v>
      </x:c>
      <x:c r="C934" s="6" t="str">
        <x:f>$X$28</x:f>
        <x:v>精英</x:v>
      </x:c>
      <x:c r="D934" s="6">
        <x:v>22</x:v>
      </x:c>
      <x:c r="E934" s="6">
        <x:v>28</x:v>
      </x:c>
      <x:c r="F934" s="12">
        <x:f>ROUND(J934*$W$4*H934,0)</x:f>
        <x:v>15480</x:v>
      </x:c>
      <x:c r="G934" s="12">
        <x:f>ROUND(J934*$W$4*$W$5*I934,0)</x:f>
        <x:v>1376</x:v>
      </x:c>
      <x:c r="H934" s="11" t="n">
        <x:f>$Y$28</x:f>
        <x:v>3.75</x:v>
      </x:c>
      <x:c r="I934" s="11" t="n">
        <x:f>$Z$28</x:f>
        <x:v>4.444444444444445</x:v>
      </x:c>
      <x:c r="J934" s="12">
        <x:f>英雄升级调参!$E$87</x:f>
        <x:v>1032</x:v>
      </x:c>
      <x:c r="K934" s="12">
        <x:f>英雄升级调参!$F$87</x:f>
        <x:v>10320</x:v>
      </x:c>
      <x:c r="L934" s="6" t="n">
        <x:f>ROUNDUP(F934/J934,0)</x:f>
        <x:v>15</x:v>
      </x:c>
      <x:c r="M934" s="6" t="n">
        <x:f>IF(G934=0,"无伤害",ROUNDUP(K934/MAX(1,ROUND(G934*$AC$28,0)),0))</x:f>
        <x:v>8</x:v>
      </x:c>
      <x:c r="N934" s="6" t="n">
        <x:f>ROUNDUP(F934/英雄升级调参!$H$87,0)</x:f>
        <x:v>10</x:v>
      </x:c>
      <x:c r="O934" s="6">
        <x:f>ROUNDUP(F934/英雄升级调参!$K$87,0)</x:f>
        <x:v>6</x:v>
      </x:c>
      <x:c r="P934" s="6" t="str">
        <x:f>$AA$28</x:f>
        <x:v>精英：15次标准普攻击杀；7.5次主要攻击致死</x:v>
      </x:c>
      <x:c r="Q934" s="6"/>
      <x:c r="R934" s="6"/>
      <x:c r="S934" s="6"/>
      <x:c r="T934" s="6"/>
    </x:row>
    <x:row r="935" ht="21" customHeight="1">
      <x:c r="A935" s="14" t="n">
        <x:f>$V$28</x:f>
        <x:v>60015</x:v>
      </x:c>
      <x:c r="B935" s="14" t="str">
        <x:f>$W$28</x:f>
        <x:v>雪怪</x:v>
      </x:c>
      <x:c r="C935" s="6" t="str">
        <x:f>$X$28</x:f>
        <x:v>精英</x:v>
      </x:c>
      <x:c r="D935" s="6">
        <x:v>23</x:v>
      </x:c>
      <x:c r="E935" s="6">
        <x:v>28</x:v>
      </x:c>
      <x:c r="F935" s="12">
        <x:f>ROUND(J935*$W$4*H935,0)</x:f>
        <x:v>16290</x:v>
      </x:c>
      <x:c r="G935" s="12">
        <x:f>ROUND(J935*$W$4*$W$5*I935,0)</x:f>
        <x:v>1448</x:v>
      </x:c>
      <x:c r="H935" s="11" t="n">
        <x:f>$Y$28</x:f>
        <x:v>3.75</x:v>
      </x:c>
      <x:c r="I935" s="11" t="n">
        <x:f>$Z$28</x:f>
        <x:v>4.444444444444445</x:v>
      </x:c>
      <x:c r="J935" s="12">
        <x:f>英雄升级调参!$E$88</x:f>
        <x:v>1086</x:v>
      </x:c>
      <x:c r="K935" s="12">
        <x:f>英雄升级调参!$F$88</x:f>
        <x:v>10860</x:v>
      </x:c>
      <x:c r="L935" s="6" t="n">
        <x:f>ROUNDUP(F935/J935,0)</x:f>
        <x:v>15</x:v>
      </x:c>
      <x:c r="M935" s="6" t="n">
        <x:f>IF(G935=0,"无伤害",ROUNDUP(K935/MAX(1,ROUND(G935*$AC$28,0)),0))</x:f>
        <x:v>8</x:v>
      </x:c>
      <x:c r="N935" s="6" t="n">
        <x:f>ROUNDUP(F935/英雄升级调参!$H$88,0)</x:f>
        <x:v>10</x:v>
      </x:c>
      <x:c r="O935" s="6">
        <x:f>ROUNDUP(F935/英雄升级调参!$K$88,0)</x:f>
        <x:v>6</x:v>
      </x:c>
      <x:c r="P935" s="6" t="str">
        <x:f>$AA$28</x:f>
        <x:v>精英：15次标准普攻击杀；7.5次主要攻击致死</x:v>
      </x:c>
      <x:c r="Q935" s="6"/>
      <x:c r="R935" s="6"/>
      <x:c r="S935" s="6"/>
      <x:c r="T935" s="6"/>
    </x:row>
    <x:row r="936" ht="21" customHeight="1">
      <x:c r="A936" s="14" t="n">
        <x:f>$V$28</x:f>
        <x:v>60015</x:v>
      </x:c>
      <x:c r="B936" s="14" t="str">
        <x:f>$W$28</x:f>
        <x:v>雪怪</x:v>
      </x:c>
      <x:c r="C936" s="6" t="str">
        <x:f>$X$28</x:f>
        <x:v>精英</x:v>
      </x:c>
      <x:c r="D936" s="6">
        <x:v>24</x:v>
      </x:c>
      <x:c r="E936" s="6">
        <x:v>28</x:v>
      </x:c>
      <x:c r="F936" s="12">
        <x:f>ROUND(J936*$W$4*H936,0)</x:f>
        <x:v>17100</x:v>
      </x:c>
      <x:c r="G936" s="12">
        <x:f>ROUND(J936*$W$4*$W$5*I936,0)</x:f>
        <x:v>1520</x:v>
      </x:c>
      <x:c r="H936" s="11" t="n">
        <x:f>$Y$28</x:f>
        <x:v>3.75</x:v>
      </x:c>
      <x:c r="I936" s="11" t="n">
        <x:f>$Z$28</x:f>
        <x:v>4.444444444444445</x:v>
      </x:c>
      <x:c r="J936" s="12">
        <x:f>英雄升级调参!$E$89</x:f>
        <x:v>1140</x:v>
      </x:c>
      <x:c r="K936" s="12">
        <x:f>英雄升级调参!$F$89</x:f>
        <x:v>11400</x:v>
      </x:c>
      <x:c r="L936" s="6" t="n">
        <x:f>ROUNDUP(F936/J936,0)</x:f>
        <x:v>15</x:v>
      </x:c>
      <x:c r="M936" s="6" t="n">
        <x:f>IF(G936=0,"无伤害",ROUNDUP(K936/MAX(1,ROUND(G936*$AC$28,0)),0))</x:f>
        <x:v>8</x:v>
      </x:c>
      <x:c r="N936" s="6" t="n">
        <x:f>ROUNDUP(F936/英雄升级调参!$H$89,0)</x:f>
        <x:v>10</x:v>
      </x:c>
      <x:c r="O936" s="6">
        <x:f>ROUNDUP(F936/英雄升级调参!$K$89,0)</x:f>
        <x:v>6</x:v>
      </x:c>
      <x:c r="P936" s="6" t="str">
        <x:f>$AA$28</x:f>
        <x:v>精英：15次标准普攻击杀；7.5次主要攻击致死</x:v>
      </x:c>
      <x:c r="Q936" s="6"/>
      <x:c r="R936" s="6"/>
      <x:c r="S936" s="6"/>
      <x:c r="T936" s="6"/>
    </x:row>
    <x:row r="937" ht="21" customHeight="1">
      <x:c r="A937" s="14" t="n">
        <x:f>$V$28</x:f>
        <x:v>60015</x:v>
      </x:c>
      <x:c r="B937" s="14" t="str">
        <x:f>$W$28</x:f>
        <x:v>雪怪</x:v>
      </x:c>
      <x:c r="C937" s="6" t="str">
        <x:f>$X$28</x:f>
        <x:v>精英</x:v>
      </x:c>
      <x:c r="D937" s="6">
        <x:v>25</x:v>
      </x:c>
      <x:c r="E937" s="6">
        <x:v>28</x:v>
      </x:c>
      <x:c r="F937" s="12">
        <x:f>ROUND(J937*$W$4*H937,0)</x:f>
        <x:v>19530</x:v>
      </x:c>
      <x:c r="G937" s="12">
        <x:f>ROUND(J937*$W$4*$W$5*I937,0)</x:f>
        <x:v>1736</x:v>
      </x:c>
      <x:c r="H937" s="11" t="n">
        <x:f>$Y$28</x:f>
        <x:v>3.75</x:v>
      </x:c>
      <x:c r="I937" s="11" t="n">
        <x:f>$Z$28</x:f>
        <x:v>4.444444444444445</x:v>
      </x:c>
      <x:c r="J937" s="12">
        <x:f>英雄升级调参!$E$90</x:f>
        <x:v>1302</x:v>
      </x:c>
      <x:c r="K937" s="12">
        <x:f>英雄升级调参!$F$90</x:f>
        <x:v>13020</x:v>
      </x:c>
      <x:c r="L937" s="6" t="n">
        <x:f>ROUNDUP(F937/J937,0)</x:f>
        <x:v>15</x:v>
      </x:c>
      <x:c r="M937" s="6" t="n">
        <x:f>IF(G937=0,"无伤害",ROUNDUP(K937/MAX(1,ROUND(G937*$AC$28,0)),0))</x:f>
        <x:v>8</x:v>
      </x:c>
      <x:c r="N937" s="6" t="n">
        <x:f>ROUNDUP(F937/英雄升级调参!$H$90,0)</x:f>
        <x:v>10</x:v>
      </x:c>
      <x:c r="O937" s="6">
        <x:f>ROUNDUP(F937/英雄升级调参!$K$90,0)</x:f>
        <x:v>6</x:v>
      </x:c>
      <x:c r="P937" s="6" t="str">
        <x:f>$AA$28</x:f>
        <x:v>精英：15次标准普攻击杀；7.5次主要攻击致死</x:v>
      </x:c>
      <x:c r="Q937" s="6"/>
      <x:c r="R937" s="6"/>
      <x:c r="S937" s="6"/>
      <x:c r="T937" s="6"/>
    </x:row>
    <x:row r="938" ht="21" customHeight="1">
      <x:c r="A938" s="14" t="n">
        <x:f>$V$28</x:f>
        <x:v>60015</x:v>
      </x:c>
      <x:c r="B938" s="14" t="str">
        <x:f>$W$28</x:f>
        <x:v>雪怪</x:v>
      </x:c>
      <x:c r="C938" s="6" t="str">
        <x:f>$X$28</x:f>
        <x:v>精英</x:v>
      </x:c>
      <x:c r="D938" s="6">
        <x:v>26</x:v>
      </x:c>
      <x:c r="E938" s="6">
        <x:v>28</x:v>
      </x:c>
      <x:c r="F938" s="12">
        <x:f>ROUND(J938*$W$4*H938,0)</x:f>
        <x:v>20475</x:v>
      </x:c>
      <x:c r="G938" s="12">
        <x:f>ROUND(J938*$W$4*$W$5*I938,0)</x:f>
        <x:v>1820</x:v>
      </x:c>
      <x:c r="H938" s="11" t="n">
        <x:f>$Y$28</x:f>
        <x:v>3.75</x:v>
      </x:c>
      <x:c r="I938" s="11" t="n">
        <x:f>$Z$28</x:f>
        <x:v>4.444444444444445</x:v>
      </x:c>
      <x:c r="J938" s="12">
        <x:f>英雄升级调参!$E$91</x:f>
        <x:v>1365</x:v>
      </x:c>
      <x:c r="K938" s="12">
        <x:f>英雄升级调参!$F$91</x:f>
        <x:v>13650</x:v>
      </x:c>
      <x:c r="L938" s="6" t="n">
        <x:f>ROUNDUP(F938/J938,0)</x:f>
        <x:v>15</x:v>
      </x:c>
      <x:c r="M938" s="6" t="n">
        <x:f>IF(G938=0,"无伤害",ROUNDUP(K938/MAX(1,ROUND(G938*$AC$28,0)),0))</x:f>
        <x:v>8</x:v>
      </x:c>
      <x:c r="N938" s="6" t="n">
        <x:f>ROUNDUP(F938/英雄升级调参!$H$91,0)</x:f>
        <x:v>10</x:v>
      </x:c>
      <x:c r="O938" s="6">
        <x:f>ROUNDUP(F938/英雄升级调参!$K$91,0)</x:f>
        <x:v>6</x:v>
      </x:c>
      <x:c r="P938" s="6" t="str">
        <x:f>$AA$28</x:f>
        <x:v>精英：15次标准普攻击杀；7.5次主要攻击致死</x:v>
      </x:c>
      <x:c r="Q938" s="6"/>
      <x:c r="R938" s="6"/>
      <x:c r="S938" s="6"/>
      <x:c r="T938" s="6"/>
    </x:row>
    <x:row r="939" ht="21" customHeight="1">
      <x:c r="A939" s="14" t="n">
        <x:f>$V$28</x:f>
        <x:v>60015</x:v>
      </x:c>
      <x:c r="B939" s="14" t="str">
        <x:f>$W$28</x:f>
        <x:v>雪怪</x:v>
      </x:c>
      <x:c r="C939" s="6" t="str">
        <x:f>$X$28</x:f>
        <x:v>精英</x:v>
      </x:c>
      <x:c r="D939" s="6">
        <x:v>27</x:v>
      </x:c>
      <x:c r="E939" s="6">
        <x:v>28</x:v>
      </x:c>
      <x:c r="F939" s="12">
        <x:f>ROUND(J939*$W$4*H939,0)</x:f>
        <x:v>21420</x:v>
      </x:c>
      <x:c r="G939" s="12">
        <x:f>ROUND(J939*$W$4*$W$5*I939,0)</x:f>
        <x:v>1904</x:v>
      </x:c>
      <x:c r="H939" s="11" t="n">
        <x:f>$Y$28</x:f>
        <x:v>3.75</x:v>
      </x:c>
      <x:c r="I939" s="11" t="n">
        <x:f>$Z$28</x:f>
        <x:v>4.444444444444445</x:v>
      </x:c>
      <x:c r="J939" s="12">
        <x:f>英雄升级调参!$E$92</x:f>
        <x:v>1428</x:v>
      </x:c>
      <x:c r="K939" s="12">
        <x:f>英雄升级调参!$F$92</x:f>
        <x:v>14280</x:v>
      </x:c>
      <x:c r="L939" s="6" t="n">
        <x:f>ROUNDUP(F939/J939,0)</x:f>
        <x:v>15</x:v>
      </x:c>
      <x:c r="M939" s="6" t="n">
        <x:f>IF(G939=0,"无伤害",ROUNDUP(K939/MAX(1,ROUND(G939*$AC$28,0)),0))</x:f>
        <x:v>8</x:v>
      </x:c>
      <x:c r="N939" s="6" t="n">
        <x:f>ROUNDUP(F939/英雄升级调参!$H$92,0)</x:f>
        <x:v>10</x:v>
      </x:c>
      <x:c r="O939" s="6">
        <x:f>ROUNDUP(F939/英雄升级调参!$K$92,0)</x:f>
        <x:v>6</x:v>
      </x:c>
      <x:c r="P939" s="6" t="str">
        <x:f>$AA$28</x:f>
        <x:v>精英：15次标准普攻击杀；7.5次主要攻击致死</x:v>
      </x:c>
      <x:c r="Q939" s="6"/>
      <x:c r="R939" s="6"/>
      <x:c r="S939" s="6"/>
      <x:c r="T939" s="6"/>
    </x:row>
    <x:row r="940" ht="21" customHeight="1">
      <x:c r="A940" s="14" t="n">
        <x:f>$V$28</x:f>
        <x:v>60015</x:v>
      </x:c>
      <x:c r="B940" s="14" t="str">
        <x:f>$W$28</x:f>
        <x:v>雪怪</x:v>
      </x:c>
      <x:c r="C940" s="6" t="str">
        <x:f>$X$28</x:f>
        <x:v>精英</x:v>
      </x:c>
      <x:c r="D940" s="6">
        <x:v>28</x:v>
      </x:c>
      <x:c r="E940" s="6">
        <x:v>28</x:v>
      </x:c>
      <x:c r="F940" s="12">
        <x:f>ROUND(J940*$W$4*H940,0)</x:f>
        <x:v>22365</x:v>
      </x:c>
      <x:c r="G940" s="12">
        <x:f>ROUND(J940*$W$4*$W$5*I940,0)</x:f>
        <x:v>1988</x:v>
      </x:c>
      <x:c r="H940" s="11" t="n">
        <x:f>$Y$28</x:f>
        <x:v>3.75</x:v>
      </x:c>
      <x:c r="I940" s="11" t="n">
        <x:f>$Z$28</x:f>
        <x:v>4.444444444444445</x:v>
      </x:c>
      <x:c r="J940" s="12">
        <x:f>英雄升级调参!$E$93</x:f>
        <x:v>1491</x:v>
      </x:c>
      <x:c r="K940" s="12">
        <x:f>英雄升级调参!$F$93</x:f>
        <x:v>14910</x:v>
      </x:c>
      <x:c r="L940" s="6" t="n">
        <x:f>ROUNDUP(F940/J940,0)</x:f>
        <x:v>15</x:v>
      </x:c>
      <x:c r="M940" s="6" t="n">
        <x:f>IF(G940=0,"无伤害",ROUNDUP(K940/MAX(1,ROUND(G940*$AC$28,0)),0))</x:f>
        <x:v>8</x:v>
      </x:c>
      <x:c r="N940" s="6" t="n">
        <x:f>ROUNDUP(F940/英雄升级调参!$H$93,0)</x:f>
        <x:v>10</x:v>
      </x:c>
      <x:c r="O940" s="6">
        <x:f>ROUNDUP(F940/英雄升级调参!$K$93,0)</x:f>
        <x:v>6</x:v>
      </x:c>
      <x:c r="P940" s="6" t="str">
        <x:f>$AA$28</x:f>
        <x:v>精英：15次标准普攻击杀；7.5次主要攻击致死</x:v>
      </x:c>
      <x:c r="Q940" s="6"/>
      <x:c r="R940" s="6"/>
      <x:c r="S940" s="6"/>
      <x:c r="T940" s="6"/>
    </x:row>
    <x:row r="941" ht="21" customHeight="1">
      <x:c r="A941" s="14" t="n">
        <x:f>$V$28</x:f>
        <x:v>60015</x:v>
      </x:c>
      <x:c r="B941" s="14" t="str">
        <x:f>$W$28</x:f>
        <x:v>雪怪</x:v>
      </x:c>
      <x:c r="C941" s="6" t="str">
        <x:f>$X$28</x:f>
        <x:v>精英</x:v>
      </x:c>
      <x:c r="D941" s="6">
        <x:v>29</x:v>
      </x:c>
      <x:c r="E941" s="6">
        <x:v>28</x:v>
      </x:c>
      <x:c r="F941" s="12">
        <x:f>ROUND(J941*$W$4*H941,0)</x:f>
        <x:v>23310</x:v>
      </x:c>
      <x:c r="G941" s="12">
        <x:f>ROUND(J941*$W$4*$W$5*I941,0)</x:f>
        <x:v>2072</x:v>
      </x:c>
      <x:c r="H941" s="11" t="n">
        <x:f>$Y$28</x:f>
        <x:v>3.75</x:v>
      </x:c>
      <x:c r="I941" s="11" t="n">
        <x:f>$Z$28</x:f>
        <x:v>4.444444444444445</x:v>
      </x:c>
      <x:c r="J941" s="12">
        <x:f>英雄升级调参!$E$94</x:f>
        <x:v>1554</x:v>
      </x:c>
      <x:c r="K941" s="12">
        <x:f>英雄升级调参!$F$94</x:f>
        <x:v>15540</x:v>
      </x:c>
      <x:c r="L941" s="6" t="n">
        <x:f>ROUNDUP(F941/J941,0)</x:f>
        <x:v>15</x:v>
      </x:c>
      <x:c r="M941" s="6" t="n">
        <x:f>IF(G941=0,"无伤害",ROUNDUP(K941/MAX(1,ROUND(G941*$AC$28,0)),0))</x:f>
        <x:v>8</x:v>
      </x:c>
      <x:c r="N941" s="6" t="n">
        <x:f>ROUNDUP(F941/英雄升级调参!$H$94,0)</x:f>
        <x:v>10</x:v>
      </x:c>
      <x:c r="O941" s="6">
        <x:f>ROUNDUP(F941/英雄升级调参!$K$94,0)</x:f>
        <x:v>6</x:v>
      </x:c>
      <x:c r="P941" s="6" t="str">
        <x:f>$AA$28</x:f>
        <x:v>精英：15次标准普攻击杀；7.5次主要攻击致死</x:v>
      </x:c>
      <x:c r="Q941" s="6"/>
      <x:c r="R941" s="6"/>
      <x:c r="S941" s="6"/>
      <x:c r="T941" s="6"/>
    </x:row>
    <x:row r="942" ht="21" customHeight="1">
      <x:c r="A942" s="14" t="n">
        <x:f>$V$28</x:f>
        <x:v>60015</x:v>
      </x:c>
      <x:c r="B942" s="14" t="str">
        <x:f>$W$28</x:f>
        <x:v>雪怪</x:v>
      </x:c>
      <x:c r="C942" s="6" t="str">
        <x:f>$X$28</x:f>
        <x:v>精英</x:v>
      </x:c>
      <x:c r="D942" s="6">
        <x:v>30</x:v>
      </x:c>
      <x:c r="E942" s="6">
        <x:v>28</x:v>
      </x:c>
      <x:c r="F942" s="12">
        <x:f>ROUND(J942*$W$4*H942,0)</x:f>
        <x:v>26145</x:v>
      </x:c>
      <x:c r="G942" s="12">
        <x:f>ROUND(J942*$W$4*$W$5*I942,0)</x:f>
        <x:v>2324</x:v>
      </x:c>
      <x:c r="H942" s="11" t="n">
        <x:f>$Y$28</x:f>
        <x:v>3.75</x:v>
      </x:c>
      <x:c r="I942" s="11" t="n">
        <x:f>$Z$28</x:f>
        <x:v>4.444444444444445</x:v>
      </x:c>
      <x:c r="J942" s="12">
        <x:f>英雄升级调参!$E$95</x:f>
        <x:v>1743</x:v>
      </x:c>
      <x:c r="K942" s="12">
        <x:f>英雄升级调参!$F$95</x:f>
        <x:v>17430</x:v>
      </x:c>
      <x:c r="L942" s="6" t="n">
        <x:f>ROUNDUP(F942/J942,0)</x:f>
        <x:v>15</x:v>
      </x:c>
      <x:c r="M942" s="6" t="n">
        <x:f>IF(G942=0,"无伤害",ROUNDUP(K942/MAX(1,ROUND(G942*$AC$28,0)),0))</x:f>
        <x:v>8</x:v>
      </x:c>
      <x:c r="N942" s="6" t="n">
        <x:f>ROUNDUP(F942/英雄升级调参!$H$95,0)</x:f>
        <x:v>10</x:v>
      </x:c>
      <x:c r="O942" s="6">
        <x:f>ROUNDUP(F942/英雄升级调参!$K$95,0)</x:f>
        <x:v>6</x:v>
      </x:c>
      <x:c r="P942" s="6" t="str">
        <x:f>$AA$28</x:f>
        <x:v>精英：15次标准普攻击杀；7.5次主要攻击致死</x:v>
      </x:c>
      <x:c r="Q942" s="6"/>
      <x:c r="R942" s="6"/>
      <x:c r="S942" s="6"/>
      <x:c r="T942" s="6"/>
    </x:row>
    <x:row r="943" ht="21" customHeight="1">
      <x:c r="A943" s="14" t="n">
        <x:f>$V$28</x:f>
        <x:v>60015</x:v>
      </x:c>
      <x:c r="B943" s="14" t="str">
        <x:f>$W$28</x:f>
        <x:v>雪怪</x:v>
      </x:c>
      <x:c r="C943" s="6" t="str">
        <x:f>$X$28</x:f>
        <x:v>精英</x:v>
      </x:c>
      <x:c r="D943" s="6">
        <x:v>31</x:v>
      </x:c>
      <x:c r="E943" s="6">
        <x:v>28</x:v>
      </x:c>
      <x:c r="F943" s="12">
        <x:f>ROUND(J943*$W$4*H943,0)</x:f>
        <x:v>27225</x:v>
      </x:c>
      <x:c r="G943" s="12">
        <x:f>ROUND(J943*$W$4*$W$5*I943,0)</x:f>
        <x:v>2420</x:v>
      </x:c>
      <x:c r="H943" s="11" t="n">
        <x:f>$Y$28</x:f>
        <x:v>3.75</x:v>
      </x:c>
      <x:c r="I943" s="11" t="n">
        <x:f>$Z$28</x:f>
        <x:v>4.444444444444445</x:v>
      </x:c>
      <x:c r="J943" s="12">
        <x:f>英雄升级调参!$E$96</x:f>
        <x:v>1815</x:v>
      </x:c>
      <x:c r="K943" s="12">
        <x:f>英雄升级调参!$F$96</x:f>
        <x:v>18150</x:v>
      </x:c>
      <x:c r="L943" s="6" t="n">
        <x:f>ROUNDUP(F943/J943,0)</x:f>
        <x:v>15</x:v>
      </x:c>
      <x:c r="M943" s="6" t="n">
        <x:f>IF(G943=0,"无伤害",ROUNDUP(K943/MAX(1,ROUND(G943*$AC$28,0)),0))</x:f>
        <x:v>8</x:v>
      </x:c>
      <x:c r="N943" s="6" t="n">
        <x:f>ROUNDUP(F943/英雄升级调参!$H$96,0)</x:f>
        <x:v>10</x:v>
      </x:c>
      <x:c r="O943" s="6">
        <x:f>ROUNDUP(F943/英雄升级调参!$K$96,0)</x:f>
        <x:v>6</x:v>
      </x:c>
      <x:c r="P943" s="6" t="str">
        <x:f>$AA$28</x:f>
        <x:v>精英：15次标准普攻击杀；7.5次主要攻击致死</x:v>
      </x:c>
      <x:c r="Q943" s="6"/>
      <x:c r="R943" s="6"/>
      <x:c r="S943" s="6"/>
      <x:c r="T943" s="6"/>
    </x:row>
    <x:row r="944" ht="21" customHeight="1">
      <x:c r="A944" s="14" t="n">
        <x:f>$V$28</x:f>
        <x:v>60015</x:v>
      </x:c>
      <x:c r="B944" s="14" t="str">
        <x:f>$W$28</x:f>
        <x:v>雪怪</x:v>
      </x:c>
      <x:c r="C944" s="6" t="str">
        <x:f>$X$28</x:f>
        <x:v>精英</x:v>
      </x:c>
      <x:c r="D944" s="6">
        <x:v>32</x:v>
      </x:c>
      <x:c r="E944" s="6">
        <x:v>28</x:v>
      </x:c>
      <x:c r="F944" s="12">
        <x:f>ROUND(J944*$W$4*H944,0)</x:f>
        <x:v>28305</x:v>
      </x:c>
      <x:c r="G944" s="12">
        <x:f>ROUND(J944*$W$4*$W$5*I944,0)</x:f>
        <x:v>2516</x:v>
      </x:c>
      <x:c r="H944" s="11" t="n">
        <x:f>$Y$28</x:f>
        <x:v>3.75</x:v>
      </x:c>
      <x:c r="I944" s="11" t="n">
        <x:f>$Z$28</x:f>
        <x:v>4.444444444444445</x:v>
      </x:c>
      <x:c r="J944" s="12">
        <x:f>英雄升级调参!$E$97</x:f>
        <x:v>1887</x:v>
      </x:c>
      <x:c r="K944" s="12">
        <x:f>英雄升级调参!$F$97</x:f>
        <x:v>18870</x:v>
      </x:c>
      <x:c r="L944" s="6" t="n">
        <x:f>ROUNDUP(F944/J944,0)</x:f>
        <x:v>15</x:v>
      </x:c>
      <x:c r="M944" s="6" t="n">
        <x:f>IF(G944=0,"无伤害",ROUNDUP(K944/MAX(1,ROUND(G944*$AC$28,0)),0))</x:f>
        <x:v>8</x:v>
      </x:c>
      <x:c r="N944" s="6" t="n">
        <x:f>ROUNDUP(F944/英雄升级调参!$H$97,0)</x:f>
        <x:v>10</x:v>
      </x:c>
      <x:c r="O944" s="6">
        <x:f>ROUNDUP(F944/英雄升级调参!$K$97,0)</x:f>
        <x:v>6</x:v>
      </x:c>
      <x:c r="P944" s="6" t="str">
        <x:f>$AA$28</x:f>
        <x:v>精英：15次标准普攻击杀；7.5次主要攻击致死</x:v>
      </x:c>
      <x:c r="Q944" s="6"/>
      <x:c r="R944" s="6"/>
      <x:c r="S944" s="6"/>
      <x:c r="T944" s="6"/>
    </x:row>
    <x:row r="945" ht="21" customHeight="1">
      <x:c r="A945" s="14" t="n">
        <x:f>$V$28</x:f>
        <x:v>60015</x:v>
      </x:c>
      <x:c r="B945" s="14" t="str">
        <x:f>$W$28</x:f>
        <x:v>雪怪</x:v>
      </x:c>
      <x:c r="C945" s="6" t="str">
        <x:f>$X$28</x:f>
        <x:v>精英</x:v>
      </x:c>
      <x:c r="D945" s="6">
        <x:v>33</x:v>
      </x:c>
      <x:c r="E945" s="6">
        <x:v>28</x:v>
      </x:c>
      <x:c r="F945" s="12">
        <x:f>ROUND(J945*$W$4*H945,0)</x:f>
        <x:v>29385</x:v>
      </x:c>
      <x:c r="G945" s="12">
        <x:f>ROUND(J945*$W$4*$W$5*I945,0)</x:f>
        <x:v>2612</x:v>
      </x:c>
      <x:c r="H945" s="11" t="n">
        <x:f>$Y$28</x:f>
        <x:v>3.75</x:v>
      </x:c>
      <x:c r="I945" s="11" t="n">
        <x:f>$Z$28</x:f>
        <x:v>4.444444444444445</x:v>
      </x:c>
      <x:c r="J945" s="12">
        <x:f>英雄升级调参!$E$98</x:f>
        <x:v>1959</x:v>
      </x:c>
      <x:c r="K945" s="12">
        <x:f>英雄升级调参!$F$98</x:f>
        <x:v>19590</x:v>
      </x:c>
      <x:c r="L945" s="6" t="n">
        <x:f>ROUNDUP(F945/J945,0)</x:f>
        <x:v>15</x:v>
      </x:c>
      <x:c r="M945" s="6" t="n">
        <x:f>IF(G945=0,"无伤害",ROUNDUP(K945/MAX(1,ROUND(G945*$AC$28,0)),0))</x:f>
        <x:v>8</x:v>
      </x:c>
      <x:c r="N945" s="6" t="n">
        <x:f>ROUNDUP(F945/英雄升级调参!$H$98,0)</x:f>
        <x:v>10</x:v>
      </x:c>
      <x:c r="O945" s="6">
        <x:f>ROUNDUP(F945/英雄升级调参!$K$98,0)</x:f>
        <x:v>6</x:v>
      </x:c>
      <x:c r="P945" s="6" t="str">
        <x:f>$AA$28</x:f>
        <x:v>精英：15次标准普攻击杀；7.5次主要攻击致死</x:v>
      </x:c>
      <x:c r="Q945" s="6"/>
      <x:c r="R945" s="6"/>
      <x:c r="S945" s="6"/>
      <x:c r="T945" s="6"/>
    </x:row>
    <x:row r="946" ht="21" customHeight="1">
      <x:c r="A946" s="14" t="n">
        <x:f>$V$28</x:f>
        <x:v>60015</x:v>
      </x:c>
      <x:c r="B946" s="14" t="str">
        <x:f>$W$28</x:f>
        <x:v>雪怪</x:v>
      </x:c>
      <x:c r="C946" s="6" t="str">
        <x:f>$X$28</x:f>
        <x:v>精英</x:v>
      </x:c>
      <x:c r="D946" s="6">
        <x:v>34</x:v>
      </x:c>
      <x:c r="E946" s="6">
        <x:v>28</x:v>
      </x:c>
      <x:c r="F946" s="12">
        <x:f>ROUND(J946*$W$4*H946,0)</x:f>
        <x:v>30465</x:v>
      </x:c>
      <x:c r="G946" s="12">
        <x:f>ROUND(J946*$W$4*$W$5*I946,0)</x:f>
        <x:v>2708</x:v>
      </x:c>
      <x:c r="H946" s="11" t="n">
        <x:f>$Y$28</x:f>
        <x:v>3.75</x:v>
      </x:c>
      <x:c r="I946" s="11" t="n">
        <x:f>$Z$28</x:f>
        <x:v>4.444444444444445</x:v>
      </x:c>
      <x:c r="J946" s="12">
        <x:f>英雄升级调参!$E$99</x:f>
        <x:v>2031</x:v>
      </x:c>
      <x:c r="K946" s="12">
        <x:f>英雄升级调参!$F$99</x:f>
        <x:v>20310</x:v>
      </x:c>
      <x:c r="L946" s="6" t="n">
        <x:f>ROUNDUP(F946/J946,0)</x:f>
        <x:v>15</x:v>
      </x:c>
      <x:c r="M946" s="6" t="n">
        <x:f>IF(G946=0,"无伤害",ROUNDUP(K946/MAX(1,ROUND(G946*$AC$28,0)),0))</x:f>
        <x:v>8</x:v>
      </x:c>
      <x:c r="N946" s="6" t="n">
        <x:f>ROUNDUP(F946/英雄升级调参!$H$99,0)</x:f>
        <x:v>10</x:v>
      </x:c>
      <x:c r="O946" s="6">
        <x:f>ROUNDUP(F946/英雄升级调参!$K$99,0)</x:f>
        <x:v>6</x:v>
      </x:c>
      <x:c r="P946" s="6" t="str">
        <x:f>$AA$28</x:f>
        <x:v>精英：15次标准普攻击杀；7.5次主要攻击致死</x:v>
      </x:c>
      <x:c r="Q946" s="6"/>
      <x:c r="R946" s="6"/>
      <x:c r="S946" s="6"/>
      <x:c r="T946" s="6"/>
    </x:row>
    <x:row r="947" ht="21" customHeight="1">
      <x:c r="A947" s="14" t="n">
        <x:f>$V$28</x:f>
        <x:v>60015</x:v>
      </x:c>
      <x:c r="B947" s="14" t="str">
        <x:f>$W$28</x:f>
        <x:v>雪怪</x:v>
      </x:c>
      <x:c r="C947" s="6" t="str">
        <x:f>$X$28</x:f>
        <x:v>精英</x:v>
      </x:c>
      <x:c r="D947" s="6">
        <x:v>35</x:v>
      </x:c>
      <x:c r="E947" s="6">
        <x:v>28</x:v>
      </x:c>
      <x:c r="F947" s="12">
        <x:f>ROUND(J947*$W$4*H947,0)</x:f>
        <x:v>33705</x:v>
      </x:c>
      <x:c r="G947" s="12">
        <x:f>ROUND(J947*$W$4*$W$5*I947,0)</x:f>
        <x:v>2996</x:v>
      </x:c>
      <x:c r="H947" s="11" t="n">
        <x:f>$Y$28</x:f>
        <x:v>3.75</x:v>
      </x:c>
      <x:c r="I947" s="11" t="n">
        <x:f>$Z$28</x:f>
        <x:v>4.444444444444445</x:v>
      </x:c>
      <x:c r="J947" s="12">
        <x:f>英雄升级调参!$E$100</x:f>
        <x:v>2247</x:v>
      </x:c>
      <x:c r="K947" s="12">
        <x:f>英雄升级调参!$F$100</x:f>
        <x:v>22470</x:v>
      </x:c>
      <x:c r="L947" s="6" t="n">
        <x:f>ROUNDUP(F947/J947,0)</x:f>
        <x:v>15</x:v>
      </x:c>
      <x:c r="M947" s="6" t="n">
        <x:f>IF(G947=0,"无伤害",ROUNDUP(K947/MAX(1,ROUND(G947*$AC$28,0)),0))</x:f>
        <x:v>8</x:v>
      </x:c>
      <x:c r="N947" s="6" t="n">
        <x:f>ROUNDUP(F947/英雄升级调参!$H$100,0)</x:f>
        <x:v>10</x:v>
      </x:c>
      <x:c r="O947" s="6">
        <x:f>ROUNDUP(F947/英雄升级调参!$K$100,0)</x:f>
        <x:v>6</x:v>
      </x:c>
      <x:c r="P947" s="6" t="str">
        <x:f>$AA$28</x:f>
        <x:v>精英：15次标准普攻击杀；7.5次主要攻击致死</x:v>
      </x:c>
      <x:c r="Q947" s="6"/>
      <x:c r="R947" s="6"/>
      <x:c r="S947" s="6"/>
      <x:c r="T947" s="6"/>
    </x:row>
    <x:row r="948" ht="21" customHeight="1">
      <x:c r="A948" s="14" t="n">
        <x:f>$V$28</x:f>
        <x:v>60015</x:v>
      </x:c>
      <x:c r="B948" s="14" t="str">
        <x:f>$W$28</x:f>
        <x:v>雪怪</x:v>
      </x:c>
      <x:c r="C948" s="6" t="str">
        <x:f>$X$28</x:f>
        <x:v>精英</x:v>
      </x:c>
      <x:c r="D948" s="6">
        <x:v>36</x:v>
      </x:c>
      <x:c r="E948" s="6">
        <x:v>28</x:v>
      </x:c>
      <x:c r="F948" s="12">
        <x:f>ROUND(J948*$W$4*H948,0)</x:f>
        <x:v>34920</x:v>
      </x:c>
      <x:c r="G948" s="12">
        <x:f>ROUND(J948*$W$4*$W$5*I948,0)</x:f>
        <x:v>3104</x:v>
      </x:c>
      <x:c r="H948" s="11" t="n">
        <x:f>$Y$28</x:f>
        <x:v>3.75</x:v>
      </x:c>
      <x:c r="I948" s="11" t="n">
        <x:f>$Z$28</x:f>
        <x:v>4.444444444444445</x:v>
      </x:c>
      <x:c r="J948" s="12">
        <x:f>英雄升级调参!$E$101</x:f>
        <x:v>2328</x:v>
      </x:c>
      <x:c r="K948" s="12">
        <x:f>英雄升级调参!$F$101</x:f>
        <x:v>23280</x:v>
      </x:c>
      <x:c r="L948" s="6" t="n">
        <x:f>ROUNDUP(F948/J948,0)</x:f>
        <x:v>15</x:v>
      </x:c>
      <x:c r="M948" s="6" t="n">
        <x:f>IF(G948=0,"无伤害",ROUNDUP(K948/MAX(1,ROUND(G948*$AC$28,0)),0))</x:f>
        <x:v>8</x:v>
      </x:c>
      <x:c r="N948" s="6" t="n">
        <x:f>ROUNDUP(F948/英雄升级调参!$H$101,0)</x:f>
        <x:v>10</x:v>
      </x:c>
      <x:c r="O948" s="6">
        <x:f>ROUNDUP(F948/英雄升级调参!$K$101,0)</x:f>
        <x:v>6</x:v>
      </x:c>
      <x:c r="P948" s="6" t="str">
        <x:f>$AA$28</x:f>
        <x:v>精英：15次标准普攻击杀；7.5次主要攻击致死</x:v>
      </x:c>
      <x:c r="Q948" s="6"/>
      <x:c r="R948" s="6"/>
      <x:c r="S948" s="6"/>
      <x:c r="T948" s="6"/>
    </x:row>
    <x:row r="949" ht="21" customHeight="1">
      <x:c r="A949" s="14" t="n">
        <x:f>$V$28</x:f>
        <x:v>60015</x:v>
      </x:c>
      <x:c r="B949" s="14" t="str">
        <x:f>$W$28</x:f>
        <x:v>雪怪</x:v>
      </x:c>
      <x:c r="C949" s="6" t="str">
        <x:f>$X$28</x:f>
        <x:v>精英</x:v>
      </x:c>
      <x:c r="D949" s="6">
        <x:v>37</x:v>
      </x:c>
      <x:c r="E949" s="6">
        <x:v>28</x:v>
      </x:c>
      <x:c r="F949" s="12">
        <x:f>ROUND(J949*$W$4*H949,0)</x:f>
        <x:v>36135</x:v>
      </x:c>
      <x:c r="G949" s="12">
        <x:f>ROUND(J949*$W$4*$W$5*I949,0)</x:f>
        <x:v>3212</x:v>
      </x:c>
      <x:c r="H949" s="11" t="n">
        <x:f>$Y$28</x:f>
        <x:v>3.75</x:v>
      </x:c>
      <x:c r="I949" s="11" t="n">
        <x:f>$Z$28</x:f>
        <x:v>4.444444444444445</x:v>
      </x:c>
      <x:c r="J949" s="12">
        <x:f>英雄升级调参!$E$102</x:f>
        <x:v>2409</x:v>
      </x:c>
      <x:c r="K949" s="12">
        <x:f>英雄升级调参!$F$102</x:f>
        <x:v>24090</x:v>
      </x:c>
      <x:c r="L949" s="6" t="n">
        <x:f>ROUNDUP(F949/J949,0)</x:f>
        <x:v>15</x:v>
      </x:c>
      <x:c r="M949" s="6" t="n">
        <x:f>IF(G949=0,"无伤害",ROUNDUP(K949/MAX(1,ROUND(G949*$AC$28,0)),0))</x:f>
        <x:v>8</x:v>
      </x:c>
      <x:c r="N949" s="6" t="n">
        <x:f>ROUNDUP(F949/英雄升级调参!$H$102,0)</x:f>
        <x:v>10</x:v>
      </x:c>
      <x:c r="O949" s="6">
        <x:f>ROUNDUP(F949/英雄升级调参!$K$102,0)</x:f>
        <x:v>6</x:v>
      </x:c>
      <x:c r="P949" s="6" t="str">
        <x:f>$AA$28</x:f>
        <x:v>精英：15次标准普攻击杀；7.5次主要攻击致死</x:v>
      </x:c>
      <x:c r="Q949" s="6"/>
      <x:c r="R949" s="6"/>
      <x:c r="S949" s="6"/>
      <x:c r="T949" s="6"/>
    </x:row>
    <x:row r="950" ht="21" customHeight="1">
      <x:c r="A950" s="14" t="n">
        <x:f>$V$28</x:f>
        <x:v>60015</x:v>
      </x:c>
      <x:c r="B950" s="14" t="str">
        <x:f>$W$28</x:f>
        <x:v>雪怪</x:v>
      </x:c>
      <x:c r="C950" s="6" t="str">
        <x:f>$X$28</x:f>
        <x:v>精英</x:v>
      </x:c>
      <x:c r="D950" s="6">
        <x:v>38</x:v>
      </x:c>
      <x:c r="E950" s="6">
        <x:v>28</x:v>
      </x:c>
      <x:c r="F950" s="12">
        <x:f>ROUND(J950*$W$4*H950,0)</x:f>
        <x:v>37350</x:v>
      </x:c>
      <x:c r="G950" s="12">
        <x:f>ROUND(J950*$W$4*$W$5*I950,0)</x:f>
        <x:v>3320</x:v>
      </x:c>
      <x:c r="H950" s="11" t="n">
        <x:f>$Y$28</x:f>
        <x:v>3.75</x:v>
      </x:c>
      <x:c r="I950" s="11" t="n">
        <x:f>$Z$28</x:f>
        <x:v>4.444444444444445</x:v>
      </x:c>
      <x:c r="J950" s="12">
        <x:f>英雄升级调参!$E$103</x:f>
        <x:v>2490</x:v>
      </x:c>
      <x:c r="K950" s="12">
        <x:f>英雄升级调参!$F$103</x:f>
        <x:v>24900</x:v>
      </x:c>
      <x:c r="L950" s="6" t="n">
        <x:f>ROUNDUP(F950/J950,0)</x:f>
        <x:v>15</x:v>
      </x:c>
      <x:c r="M950" s="6" t="n">
        <x:f>IF(G950=0,"无伤害",ROUNDUP(K950/MAX(1,ROUND(G950*$AC$28,0)),0))</x:f>
        <x:v>8</x:v>
      </x:c>
      <x:c r="N950" s="6" t="n">
        <x:f>ROUNDUP(F950/英雄升级调参!$H$103,0)</x:f>
        <x:v>10</x:v>
      </x:c>
      <x:c r="O950" s="6">
        <x:f>ROUNDUP(F950/英雄升级调参!$K$103,0)</x:f>
        <x:v>6</x:v>
      </x:c>
      <x:c r="P950" s="6" t="str">
        <x:f>$AA$28</x:f>
        <x:v>精英：15次标准普攻击杀；7.5次主要攻击致死</x:v>
      </x:c>
      <x:c r="Q950" s="6"/>
      <x:c r="R950" s="6"/>
      <x:c r="S950" s="6"/>
      <x:c r="T950" s="6"/>
    </x:row>
    <x:row r="951" ht="21" customHeight="1">
      <x:c r="A951" s="14" t="n">
        <x:f>$V$28</x:f>
        <x:v>60015</x:v>
      </x:c>
      <x:c r="B951" s="14" t="str">
        <x:f>$W$28</x:f>
        <x:v>雪怪</x:v>
      </x:c>
      <x:c r="C951" s="6" t="str">
        <x:f>$X$28</x:f>
        <x:v>精英</x:v>
      </x:c>
      <x:c r="D951" s="6">
        <x:v>39</x:v>
      </x:c>
      <x:c r="E951" s="6">
        <x:v>28</x:v>
      </x:c>
      <x:c r="F951" s="12">
        <x:f>ROUND(J951*$W$4*H951,0)</x:f>
        <x:v>38565</x:v>
      </x:c>
      <x:c r="G951" s="12">
        <x:f>ROUND(J951*$W$4*$W$5*I951,0)</x:f>
        <x:v>3428</x:v>
      </x:c>
      <x:c r="H951" s="11" t="n">
        <x:f>$Y$28</x:f>
        <x:v>3.75</x:v>
      </x:c>
      <x:c r="I951" s="11" t="n">
        <x:f>$Z$28</x:f>
        <x:v>4.444444444444445</x:v>
      </x:c>
      <x:c r="J951" s="12">
        <x:f>英雄升级调参!$E$104</x:f>
        <x:v>2571</x:v>
      </x:c>
      <x:c r="K951" s="12">
        <x:f>英雄升级调参!$F$104</x:f>
        <x:v>25710</x:v>
      </x:c>
      <x:c r="L951" s="6" t="n">
        <x:f>ROUNDUP(F951/J951,0)</x:f>
        <x:v>15</x:v>
      </x:c>
      <x:c r="M951" s="6" t="n">
        <x:f>IF(G951=0,"无伤害",ROUNDUP(K951/MAX(1,ROUND(G951*$AC$28,0)),0))</x:f>
        <x:v>8</x:v>
      </x:c>
      <x:c r="N951" s="6" t="n">
        <x:f>ROUNDUP(F951/英雄升级调参!$H$104,0)</x:f>
        <x:v>10</x:v>
      </x:c>
      <x:c r="O951" s="6">
        <x:f>ROUNDUP(F951/英雄升级调参!$K$104,0)</x:f>
        <x:v>6</x:v>
      </x:c>
      <x:c r="P951" s="6" t="str">
        <x:f>$AA$28</x:f>
        <x:v>精英：15次标准普攻击杀；7.5次主要攻击致死</x:v>
      </x:c>
      <x:c r="Q951" s="6"/>
      <x:c r="R951" s="6"/>
      <x:c r="S951" s="6"/>
      <x:c r="T951" s="6"/>
    </x:row>
    <x:row r="952" ht="21" customHeight="1">
      <x:c r="A952" s="14" t="n">
        <x:f>$V$28</x:f>
        <x:v>60015</x:v>
      </x:c>
      <x:c r="B952" s="14" t="str">
        <x:f>$W$28</x:f>
        <x:v>雪怪</x:v>
      </x:c>
      <x:c r="C952" s="6" t="str">
        <x:f>$X$28</x:f>
        <x:v>精英</x:v>
      </x:c>
      <x:c r="D952" s="6">
        <x:v>40</x:v>
      </x:c>
      <x:c r="E952" s="6">
        <x:v>28</x:v>
      </x:c>
      <x:c r="F952" s="12">
        <x:f>ROUND(J952*$W$4*H952,0)</x:f>
        <x:v>42210</x:v>
      </x:c>
      <x:c r="G952" s="12">
        <x:f>ROUND(J952*$W$4*$W$5*I952,0)</x:f>
        <x:v>3752</x:v>
      </x:c>
      <x:c r="H952" s="11" t="n">
        <x:f>$Y$28</x:f>
        <x:v>3.75</x:v>
      </x:c>
      <x:c r="I952" s="11" t="n">
        <x:f>$Z$28</x:f>
        <x:v>4.444444444444445</x:v>
      </x:c>
      <x:c r="J952" s="12">
        <x:f>英雄升级调参!$E$105</x:f>
        <x:v>2814</x:v>
      </x:c>
      <x:c r="K952" s="12">
        <x:f>英雄升级调参!$F$105</x:f>
        <x:v>28140</x:v>
      </x:c>
      <x:c r="L952" s="6" t="n">
        <x:f>ROUNDUP(F952/J952,0)</x:f>
        <x:v>15</x:v>
      </x:c>
      <x:c r="M952" s="6" t="n">
        <x:f>IF(G952=0,"无伤害",ROUNDUP(K952/MAX(1,ROUND(G952*$AC$28,0)),0))</x:f>
        <x:v>8</x:v>
      </x:c>
      <x:c r="N952" s="6" t="n">
        <x:f>ROUNDUP(F952/英雄升级调参!$H$105,0)</x:f>
        <x:v>10</x:v>
      </x:c>
      <x:c r="O952" s="6">
        <x:f>ROUNDUP(F952/英雄升级调参!$K$105,0)</x:f>
        <x:v>6</x:v>
      </x:c>
      <x:c r="P952" s="6" t="str">
        <x:f>$AA$28</x:f>
        <x:v>精英：15次标准普攻击杀；7.5次主要攻击致死</x:v>
      </x:c>
      <x:c r="Q952" s="6"/>
      <x:c r="R952" s="6"/>
      <x:c r="S952" s="6"/>
      <x:c r="T952" s="6"/>
    </x:row>
    <x:row r="953" ht="21" customHeight="1">
      <x:c r="A953" s="14" t="n">
        <x:f>$V$28</x:f>
        <x:v>60015</x:v>
      </x:c>
      <x:c r="B953" s="14" t="str">
        <x:f>$W$28</x:f>
        <x:v>雪怪</x:v>
      </x:c>
      <x:c r="C953" s="6" t="str">
        <x:f>$X$28</x:f>
        <x:v>精英</x:v>
      </x:c>
      <x:c r="D953" s="6">
        <x:v>41</x:v>
      </x:c>
      <x:c r="E953" s="6">
        <x:v>28</x:v>
      </x:c>
      <x:c r="F953" s="12">
        <x:f>ROUND(J953*$W$4*H953,0)</x:f>
        <x:v>43560</x:v>
      </x:c>
      <x:c r="G953" s="12">
        <x:f>ROUND(J953*$W$4*$W$5*I953,0)</x:f>
        <x:v>3872</x:v>
      </x:c>
      <x:c r="H953" s="11" t="n">
        <x:f>$Y$28</x:f>
        <x:v>3.75</x:v>
      </x:c>
      <x:c r="I953" s="11" t="n">
        <x:f>$Z$28</x:f>
        <x:v>4.444444444444445</x:v>
      </x:c>
      <x:c r="J953" s="12">
        <x:f>英雄升级调参!$E$106</x:f>
        <x:v>2904</x:v>
      </x:c>
      <x:c r="K953" s="12">
        <x:f>英雄升级调参!$F$106</x:f>
        <x:v>29040</x:v>
      </x:c>
      <x:c r="L953" s="6" t="n">
        <x:f>ROUNDUP(F953/J953,0)</x:f>
        <x:v>15</x:v>
      </x:c>
      <x:c r="M953" s="6" t="n">
        <x:f>IF(G953=0,"无伤害",ROUNDUP(K953/MAX(1,ROUND(G953*$AC$28,0)),0))</x:f>
        <x:v>8</x:v>
      </x:c>
      <x:c r="N953" s="6" t="n">
        <x:f>ROUNDUP(F953/英雄升级调参!$H$106,0)</x:f>
        <x:v>10</x:v>
      </x:c>
      <x:c r="O953" s="6">
        <x:f>ROUNDUP(F953/英雄升级调参!$K$106,0)</x:f>
        <x:v>6</x:v>
      </x:c>
      <x:c r="P953" s="6" t="str">
        <x:f>$AA$28</x:f>
        <x:v>精英：15次标准普攻击杀；7.5次主要攻击致死</x:v>
      </x:c>
      <x:c r="Q953" s="6"/>
      <x:c r="R953" s="6"/>
      <x:c r="S953" s="6"/>
      <x:c r="T953" s="6"/>
    </x:row>
    <x:row r="954" ht="21" customHeight="1">
      <x:c r="A954" s="14" t="n">
        <x:f>$V$28</x:f>
        <x:v>60015</x:v>
      </x:c>
      <x:c r="B954" s="14" t="str">
        <x:f>$W$28</x:f>
        <x:v>雪怪</x:v>
      </x:c>
      <x:c r="C954" s="6" t="str">
        <x:f>$X$28</x:f>
        <x:v>精英</x:v>
      </x:c>
      <x:c r="D954" s="6">
        <x:v>42</x:v>
      </x:c>
      <x:c r="E954" s="6">
        <x:v>28</x:v>
      </x:c>
      <x:c r="F954" s="12">
        <x:f>ROUND(J954*$W$4*H954,0)</x:f>
        <x:v>44910</x:v>
      </x:c>
      <x:c r="G954" s="12">
        <x:f>ROUND(J954*$W$4*$W$5*I954,0)</x:f>
        <x:v>3992</x:v>
      </x:c>
      <x:c r="H954" s="11" t="n">
        <x:f>$Y$28</x:f>
        <x:v>3.75</x:v>
      </x:c>
      <x:c r="I954" s="11" t="n">
        <x:f>$Z$28</x:f>
        <x:v>4.444444444444445</x:v>
      </x:c>
      <x:c r="J954" s="12">
        <x:f>英雄升级调参!$E$107</x:f>
        <x:v>2994</x:v>
      </x:c>
      <x:c r="K954" s="12">
        <x:f>英雄升级调参!$F$107</x:f>
        <x:v>29940</x:v>
      </x:c>
      <x:c r="L954" s="6" t="n">
        <x:f>ROUNDUP(F954/J954,0)</x:f>
        <x:v>15</x:v>
      </x:c>
      <x:c r="M954" s="6" t="n">
        <x:f>IF(G954=0,"无伤害",ROUNDUP(K954/MAX(1,ROUND(G954*$AC$28,0)),0))</x:f>
        <x:v>8</x:v>
      </x:c>
      <x:c r="N954" s="6" t="n">
        <x:f>ROUNDUP(F954/英雄升级调参!$H$107,0)</x:f>
        <x:v>10</x:v>
      </x:c>
      <x:c r="O954" s="6">
        <x:f>ROUNDUP(F954/英雄升级调参!$K$107,0)</x:f>
        <x:v>6</x:v>
      </x:c>
      <x:c r="P954" s="6" t="str">
        <x:f>$AA$28</x:f>
        <x:v>精英：15次标准普攻击杀；7.5次主要攻击致死</x:v>
      </x:c>
      <x:c r="Q954" s="6"/>
      <x:c r="R954" s="6"/>
      <x:c r="S954" s="6"/>
      <x:c r="T954" s="6"/>
    </x:row>
    <x:row r="955" ht="21" customHeight="1">
      <x:c r="A955" s="14" t="n">
        <x:f>$V$28</x:f>
        <x:v>60015</x:v>
      </x:c>
      <x:c r="B955" s="14" t="str">
        <x:f>$W$28</x:f>
        <x:v>雪怪</x:v>
      </x:c>
      <x:c r="C955" s="6" t="str">
        <x:f>$X$28</x:f>
        <x:v>精英</x:v>
      </x:c>
      <x:c r="D955" s="6">
        <x:v>43</x:v>
      </x:c>
      <x:c r="E955" s="6">
        <x:v>28</x:v>
      </x:c>
      <x:c r="F955" s="12">
        <x:f>ROUND(J955*$W$4*H955,0)</x:f>
        <x:v>46260</x:v>
      </x:c>
      <x:c r="G955" s="12">
        <x:f>ROUND(J955*$W$4*$W$5*I955,0)</x:f>
        <x:v>4112</x:v>
      </x:c>
      <x:c r="H955" s="11" t="n">
        <x:f>$Y$28</x:f>
        <x:v>3.75</x:v>
      </x:c>
      <x:c r="I955" s="11" t="n">
        <x:f>$Z$28</x:f>
        <x:v>4.444444444444445</x:v>
      </x:c>
      <x:c r="J955" s="12">
        <x:f>英雄升级调参!$E$108</x:f>
        <x:v>3084</x:v>
      </x:c>
      <x:c r="K955" s="12">
        <x:f>英雄升级调参!$F$108</x:f>
        <x:v>30840</x:v>
      </x:c>
      <x:c r="L955" s="6" t="n">
        <x:f>ROUNDUP(F955/J955,0)</x:f>
        <x:v>15</x:v>
      </x:c>
      <x:c r="M955" s="6" t="n">
        <x:f>IF(G955=0,"无伤害",ROUNDUP(K955/MAX(1,ROUND(G955*$AC$28,0)),0))</x:f>
        <x:v>8</x:v>
      </x:c>
      <x:c r="N955" s="6" t="n">
        <x:f>ROUNDUP(F955/英雄升级调参!$H$108,0)</x:f>
        <x:v>10</x:v>
      </x:c>
      <x:c r="O955" s="6">
        <x:f>ROUNDUP(F955/英雄升级调参!$K$108,0)</x:f>
        <x:v>6</x:v>
      </x:c>
      <x:c r="P955" s="6" t="str">
        <x:f>$AA$28</x:f>
        <x:v>精英：15次标准普攻击杀；7.5次主要攻击致死</x:v>
      </x:c>
      <x:c r="Q955" s="6"/>
      <x:c r="R955" s="6"/>
      <x:c r="S955" s="6"/>
      <x:c r="T955" s="6"/>
    </x:row>
    <x:row r="956" ht="21" customHeight="1">
      <x:c r="A956" s="14" t="n">
        <x:f>$V$28</x:f>
        <x:v>60015</x:v>
      </x:c>
      <x:c r="B956" s="14" t="str">
        <x:f>$W$28</x:f>
        <x:v>雪怪</x:v>
      </x:c>
      <x:c r="C956" s="6" t="str">
        <x:f>$X$28</x:f>
        <x:v>精英</x:v>
      </x:c>
      <x:c r="D956" s="6">
        <x:v>44</x:v>
      </x:c>
      <x:c r="E956" s="6">
        <x:v>28</x:v>
      </x:c>
      <x:c r="F956" s="12">
        <x:f>ROUND(J956*$W$4*H956,0)</x:f>
        <x:v>47610</x:v>
      </x:c>
      <x:c r="G956" s="12">
        <x:f>ROUND(J956*$W$4*$W$5*I956,0)</x:f>
        <x:v>4232</x:v>
      </x:c>
      <x:c r="H956" s="11" t="n">
        <x:f>$Y$28</x:f>
        <x:v>3.75</x:v>
      </x:c>
      <x:c r="I956" s="11" t="n">
        <x:f>$Z$28</x:f>
        <x:v>4.444444444444445</x:v>
      </x:c>
      <x:c r="J956" s="12">
        <x:f>英雄升级调参!$E$109</x:f>
        <x:v>3174</x:v>
      </x:c>
      <x:c r="K956" s="12">
        <x:f>英雄升级调参!$F$109</x:f>
        <x:v>31740</x:v>
      </x:c>
      <x:c r="L956" s="6" t="n">
        <x:f>ROUNDUP(F956/J956,0)</x:f>
        <x:v>15</x:v>
      </x:c>
      <x:c r="M956" s="6" t="n">
        <x:f>IF(G956=0,"无伤害",ROUNDUP(K956/MAX(1,ROUND(G956*$AC$28,0)),0))</x:f>
        <x:v>8</x:v>
      </x:c>
      <x:c r="N956" s="6" t="n">
        <x:f>ROUNDUP(F956/英雄升级调参!$H$109,0)</x:f>
        <x:v>10</x:v>
      </x:c>
      <x:c r="O956" s="6">
        <x:f>ROUNDUP(F956/英雄升级调参!$K$109,0)</x:f>
        <x:v>6</x:v>
      </x:c>
      <x:c r="P956" s="6" t="str">
        <x:f>$AA$28</x:f>
        <x:v>精英：15次标准普攻击杀；7.5次主要攻击致死</x:v>
      </x:c>
      <x:c r="Q956" s="6"/>
      <x:c r="R956" s="6"/>
      <x:c r="S956" s="6"/>
      <x:c r="T956" s="6"/>
    </x:row>
    <x:row r="957" ht="21" customHeight="1">
      <x:c r="A957" s="14" t="n">
        <x:f>$V$28</x:f>
        <x:v>60015</x:v>
      </x:c>
      <x:c r="B957" s="14" t="str">
        <x:f>$W$28</x:f>
        <x:v>雪怪</x:v>
      </x:c>
      <x:c r="C957" s="6" t="str">
        <x:f>$X$28</x:f>
        <x:v>精英</x:v>
      </x:c>
      <x:c r="D957" s="6">
        <x:v>45</x:v>
      </x:c>
      <x:c r="E957" s="6">
        <x:v>28</x:v>
      </x:c>
      <x:c r="F957" s="12">
        <x:f>ROUND(J957*$W$4*H957,0)</x:f>
        <x:v>51660</x:v>
      </x:c>
      <x:c r="G957" s="12">
        <x:f>ROUND(J957*$W$4*$W$5*I957,0)</x:f>
        <x:v>4592</x:v>
      </x:c>
      <x:c r="H957" s="11" t="n">
        <x:f>$Y$28</x:f>
        <x:v>3.75</x:v>
      </x:c>
      <x:c r="I957" s="11" t="n">
        <x:f>$Z$28</x:f>
        <x:v>4.444444444444445</x:v>
      </x:c>
      <x:c r="J957" s="12">
        <x:f>英雄升级调参!$E$110</x:f>
        <x:v>3444</x:v>
      </x:c>
      <x:c r="K957" s="12">
        <x:f>英雄升级调参!$F$110</x:f>
        <x:v>34440</x:v>
      </x:c>
      <x:c r="L957" s="6" t="n">
        <x:f>ROUNDUP(F957/J957,0)</x:f>
        <x:v>15</x:v>
      </x:c>
      <x:c r="M957" s="6" t="n">
        <x:f>IF(G957=0,"无伤害",ROUNDUP(K957/MAX(1,ROUND(G957*$AC$28,0)),0))</x:f>
        <x:v>8</x:v>
      </x:c>
      <x:c r="N957" s="6" t="n">
        <x:f>ROUNDUP(F957/英雄升级调参!$H$110,0)</x:f>
        <x:v>10</x:v>
      </x:c>
      <x:c r="O957" s="6">
        <x:f>ROUNDUP(F957/英雄升级调参!$K$110,0)</x:f>
        <x:v>6</x:v>
      </x:c>
      <x:c r="P957" s="6" t="str">
        <x:f>$AA$28</x:f>
        <x:v>精英：15次标准普攻击杀；7.5次主要攻击致死</x:v>
      </x:c>
      <x:c r="Q957" s="6"/>
      <x:c r="R957" s="6"/>
      <x:c r="S957" s="6"/>
      <x:c r="T957" s="6"/>
    </x:row>
    <x:row r="958" ht="21" customHeight="1">
      <x:c r="A958" s="14" t="n">
        <x:f>$V$28</x:f>
        <x:v>60015</x:v>
      </x:c>
      <x:c r="B958" s="14" t="str">
        <x:f>$W$28</x:f>
        <x:v>雪怪</x:v>
      </x:c>
      <x:c r="C958" s="6" t="str">
        <x:f>$X$28</x:f>
        <x:v>精英</x:v>
      </x:c>
      <x:c r="D958" s="6">
        <x:v>46</x:v>
      </x:c>
      <x:c r="E958" s="6">
        <x:v>28</x:v>
      </x:c>
      <x:c r="F958" s="12">
        <x:f>ROUND(J958*$W$4*H958,0)</x:f>
        <x:v>53145</x:v>
      </x:c>
      <x:c r="G958" s="12">
        <x:f>ROUND(J958*$W$4*$W$5*I958,0)</x:f>
        <x:v>4724</x:v>
      </x:c>
      <x:c r="H958" s="11" t="n">
        <x:f>$Y$28</x:f>
        <x:v>3.75</x:v>
      </x:c>
      <x:c r="I958" s="11" t="n">
        <x:f>$Z$28</x:f>
        <x:v>4.444444444444445</x:v>
      </x:c>
      <x:c r="J958" s="12">
        <x:f>英雄升级调参!$E$111</x:f>
        <x:v>3543</x:v>
      </x:c>
      <x:c r="K958" s="12">
        <x:f>英雄升级调参!$F$111</x:f>
        <x:v>35430</x:v>
      </x:c>
      <x:c r="L958" s="6" t="n">
        <x:f>ROUNDUP(F958/J958,0)</x:f>
        <x:v>15</x:v>
      </x:c>
      <x:c r="M958" s="6" t="n">
        <x:f>IF(G958=0,"无伤害",ROUNDUP(K958/MAX(1,ROUND(G958*$AC$28,0)),0))</x:f>
        <x:v>8</x:v>
      </x:c>
      <x:c r="N958" s="6" t="n">
        <x:f>ROUNDUP(F958/英雄升级调参!$H$111,0)</x:f>
        <x:v>10</x:v>
      </x:c>
      <x:c r="O958" s="6">
        <x:f>ROUNDUP(F958/英雄升级调参!$K$111,0)</x:f>
        <x:v>6</x:v>
      </x:c>
      <x:c r="P958" s="6" t="str">
        <x:f>$AA$28</x:f>
        <x:v>精英：15次标准普攻击杀；7.5次主要攻击致死</x:v>
      </x:c>
      <x:c r="Q958" s="6"/>
      <x:c r="R958" s="6"/>
      <x:c r="S958" s="6"/>
      <x:c r="T958" s="6"/>
    </x:row>
    <x:row r="959" ht="21" customHeight="1">
      <x:c r="A959" s="14" t="n">
        <x:f>$V$28</x:f>
        <x:v>60015</x:v>
      </x:c>
      <x:c r="B959" s="14" t="str">
        <x:f>$W$28</x:f>
        <x:v>雪怪</x:v>
      </x:c>
      <x:c r="C959" s="6" t="str">
        <x:f>$X$28</x:f>
        <x:v>精英</x:v>
      </x:c>
      <x:c r="D959" s="6">
        <x:v>47</x:v>
      </x:c>
      <x:c r="E959" s="6">
        <x:v>28</x:v>
      </x:c>
      <x:c r="F959" s="12">
        <x:f>ROUND(J959*$W$4*H959,0)</x:f>
        <x:v>54630</x:v>
      </x:c>
      <x:c r="G959" s="12">
        <x:f>ROUND(J959*$W$4*$W$5*I959,0)</x:f>
        <x:v>4856</x:v>
      </x:c>
      <x:c r="H959" s="11" t="n">
        <x:f>$Y$28</x:f>
        <x:v>3.75</x:v>
      </x:c>
      <x:c r="I959" s="11" t="n">
        <x:f>$Z$28</x:f>
        <x:v>4.444444444444445</x:v>
      </x:c>
      <x:c r="J959" s="12">
        <x:f>英雄升级调参!$E$112</x:f>
        <x:v>3642</x:v>
      </x:c>
      <x:c r="K959" s="12">
        <x:f>英雄升级调参!$F$112</x:f>
        <x:v>36420</x:v>
      </x:c>
      <x:c r="L959" s="6" t="n">
        <x:f>ROUNDUP(F959/J959,0)</x:f>
        <x:v>15</x:v>
      </x:c>
      <x:c r="M959" s="6" t="n">
        <x:f>IF(G959=0,"无伤害",ROUNDUP(K959/MAX(1,ROUND(G959*$AC$28,0)),0))</x:f>
        <x:v>8</x:v>
      </x:c>
      <x:c r="N959" s="6" t="n">
        <x:f>ROUNDUP(F959/英雄升级调参!$H$112,0)</x:f>
        <x:v>10</x:v>
      </x:c>
      <x:c r="O959" s="6">
        <x:f>ROUNDUP(F959/英雄升级调参!$K$112,0)</x:f>
        <x:v>6</x:v>
      </x:c>
      <x:c r="P959" s="6" t="str">
        <x:f>$AA$28</x:f>
        <x:v>精英：15次标准普攻击杀；7.5次主要攻击致死</x:v>
      </x:c>
      <x:c r="Q959" s="6"/>
      <x:c r="R959" s="6"/>
      <x:c r="S959" s="6"/>
      <x:c r="T959" s="6"/>
    </x:row>
    <x:row r="960" ht="21" customHeight="1">
      <x:c r="A960" s="14" t="n">
        <x:f>$V$28</x:f>
        <x:v>60015</x:v>
      </x:c>
      <x:c r="B960" s="14" t="str">
        <x:f>$W$28</x:f>
        <x:v>雪怪</x:v>
      </x:c>
      <x:c r="C960" s="6" t="str">
        <x:f>$X$28</x:f>
        <x:v>精英</x:v>
      </x:c>
      <x:c r="D960" s="6">
        <x:v>48</x:v>
      </x:c>
      <x:c r="E960" s="6">
        <x:v>28</x:v>
      </x:c>
      <x:c r="F960" s="12">
        <x:f>ROUND(J960*$W$4*H960,0)</x:f>
        <x:v>56115</x:v>
      </x:c>
      <x:c r="G960" s="12">
        <x:f>ROUND(J960*$W$4*$W$5*I960,0)</x:f>
        <x:v>4988</x:v>
      </x:c>
      <x:c r="H960" s="11" t="n">
        <x:f>$Y$28</x:f>
        <x:v>3.75</x:v>
      </x:c>
      <x:c r="I960" s="11" t="n">
        <x:f>$Z$28</x:f>
        <x:v>4.444444444444445</x:v>
      </x:c>
      <x:c r="J960" s="12">
        <x:f>英雄升级调参!$E$113</x:f>
        <x:v>3741</x:v>
      </x:c>
      <x:c r="K960" s="12">
        <x:f>英雄升级调参!$F$113</x:f>
        <x:v>37410</x:v>
      </x:c>
      <x:c r="L960" s="6" t="n">
        <x:f>ROUNDUP(F960/J960,0)</x:f>
        <x:v>15</x:v>
      </x:c>
      <x:c r="M960" s="6" t="n">
        <x:f>IF(G960=0,"无伤害",ROUNDUP(K960/MAX(1,ROUND(G960*$AC$28,0)),0))</x:f>
        <x:v>8</x:v>
      </x:c>
      <x:c r="N960" s="6" t="n">
        <x:f>ROUNDUP(F960/英雄升级调参!$H$113,0)</x:f>
        <x:v>10</x:v>
      </x:c>
      <x:c r="O960" s="6">
        <x:f>ROUNDUP(F960/英雄升级调参!$K$113,0)</x:f>
        <x:v>6</x:v>
      </x:c>
      <x:c r="P960" s="6" t="str">
        <x:f>$AA$28</x:f>
        <x:v>精英：15次标准普攻击杀；7.5次主要攻击致死</x:v>
      </x:c>
      <x:c r="Q960" s="6"/>
      <x:c r="R960" s="6"/>
      <x:c r="S960" s="6"/>
      <x:c r="T960" s="6"/>
    </x:row>
    <x:row r="961" ht="21" customHeight="1">
      <x:c r="A961" s="14" t="n">
        <x:f>$V$28</x:f>
        <x:v>60015</x:v>
      </x:c>
      <x:c r="B961" s="14" t="str">
        <x:f>$W$28</x:f>
        <x:v>雪怪</x:v>
      </x:c>
      <x:c r="C961" s="6" t="str">
        <x:f>$X$28</x:f>
        <x:v>精英</x:v>
      </x:c>
      <x:c r="D961" s="6">
        <x:v>49</x:v>
      </x:c>
      <x:c r="E961" s="6">
        <x:v>28</x:v>
      </x:c>
      <x:c r="F961" s="12">
        <x:f>ROUND(J961*$W$4*H961,0)</x:f>
        <x:v>57600</x:v>
      </x:c>
      <x:c r="G961" s="12">
        <x:f>ROUND(J961*$W$4*$W$5*I961,0)</x:f>
        <x:v>5120</x:v>
      </x:c>
      <x:c r="H961" s="11" t="n">
        <x:f>$Y$28</x:f>
        <x:v>3.75</x:v>
      </x:c>
      <x:c r="I961" s="11" t="n">
        <x:f>$Z$28</x:f>
        <x:v>4.444444444444445</x:v>
      </x:c>
      <x:c r="J961" s="12">
        <x:f>英雄升级调参!$E$114</x:f>
        <x:v>3840</x:v>
      </x:c>
      <x:c r="K961" s="12">
        <x:f>英雄升级调参!$F$114</x:f>
        <x:v>38400</x:v>
      </x:c>
      <x:c r="L961" s="6" t="n">
        <x:f>ROUNDUP(F961/J961,0)</x:f>
        <x:v>15</x:v>
      </x:c>
      <x:c r="M961" s="6" t="n">
        <x:f>IF(G961=0,"无伤害",ROUNDUP(K961/MAX(1,ROUND(G961*$AC$28,0)),0))</x:f>
        <x:v>8</x:v>
      </x:c>
      <x:c r="N961" s="6" t="n">
        <x:f>ROUNDUP(F961/英雄升级调参!$H$114,0)</x:f>
        <x:v>10</x:v>
      </x:c>
      <x:c r="O961" s="6">
        <x:f>ROUNDUP(F961/英雄升级调参!$K$114,0)</x:f>
        <x:v>6</x:v>
      </x:c>
      <x:c r="P961" s="6" t="str">
        <x:f>$AA$28</x:f>
        <x:v>精英：15次标准普攻击杀；7.5次主要攻击致死</x:v>
      </x:c>
      <x:c r="Q961" s="6"/>
      <x:c r="R961" s="6"/>
      <x:c r="S961" s="6"/>
      <x:c r="T961" s="6"/>
    </x:row>
    <x:row r="962" ht="21" customHeight="1">
      <x:c r="A962" s="14" t="n">
        <x:f>$V$28</x:f>
        <x:v>60015</x:v>
      </x:c>
      <x:c r="B962" s="14" t="str">
        <x:f>$W$28</x:f>
        <x:v>雪怪</x:v>
      </x:c>
      <x:c r="C962" s="6" t="str">
        <x:f>$X$28</x:f>
        <x:v>精英</x:v>
      </x:c>
      <x:c r="D962" s="6">
        <x:v>50</x:v>
      </x:c>
      <x:c r="E962" s="6">
        <x:v>28</x:v>
      </x:c>
      <x:c r="F962" s="12">
        <x:f>ROUND(J962*$W$4*H962,0)</x:f>
        <x:v>62055</x:v>
      </x:c>
      <x:c r="G962" s="12">
        <x:f>ROUND(J962*$W$4*$W$5*I962,0)</x:f>
        <x:v>5516</x:v>
      </x:c>
      <x:c r="H962" s="11" t="n">
        <x:f>$Y$28</x:f>
        <x:v>3.75</x:v>
      </x:c>
      <x:c r="I962" s="11" t="n">
        <x:f>$Z$28</x:f>
        <x:v>4.444444444444445</x:v>
      </x:c>
      <x:c r="J962" s="12">
        <x:f>英雄升级调参!$E$115</x:f>
        <x:v>4137</x:v>
      </x:c>
      <x:c r="K962" s="12">
        <x:f>英雄升级调参!$F$115</x:f>
        <x:v>41370</x:v>
      </x:c>
      <x:c r="L962" s="6" t="n">
        <x:f>ROUNDUP(F962/J962,0)</x:f>
        <x:v>15</x:v>
      </x:c>
      <x:c r="M962" s="6" t="n">
        <x:f>IF(G962=0,"无伤害",ROUNDUP(K962/MAX(1,ROUND(G962*$AC$28,0)),0))</x:f>
        <x:v>8</x:v>
      </x:c>
      <x:c r="N962" s="6" t="n">
        <x:f>ROUNDUP(F962/英雄升级调参!$H$115,0)</x:f>
        <x:v>10</x:v>
      </x:c>
      <x:c r="O962" s="6">
        <x:f>ROUNDUP(F962/英雄升级调参!$K$115,0)</x:f>
        <x:v>6</x:v>
      </x:c>
      <x:c r="P962" s="6" t="str">
        <x:f>$AA$28</x:f>
        <x:v>精英：15次标准普攻击杀；7.5次主要攻击致死</x:v>
      </x:c>
      <x:c r="Q962" s="6"/>
      <x:c r="R962" s="6"/>
      <x:c r="S962" s="6"/>
      <x:c r="T962" s="6"/>
    </x:row>
    <x:row r="963" ht="21" customHeight="1">
      <x:c r="A963" s="14" t="n">
        <x:f>$V$29</x:f>
        <x:v>60016</x:v>
      </x:c>
      <x:c r="B963" s="14" t="str">
        <x:f>$W$29</x:f>
        <x:v>大屁桃</x:v>
      </x:c>
      <x:c r="C963" s="6" t="str">
        <x:f>$X$29</x:f>
        <x:v>精英</x:v>
      </x:c>
      <x:c r="D963" s="6">
        <x:v>1</x:v>
      </x:c>
      <x:c r="E963" s="6">
        <x:v>29</x:v>
      </x:c>
      <x:c r="F963" s="12" t="n">
        <x:f>ROUND(J963*$W$4*H963,0)</x:f>
        <x:v>900</x:v>
      </x:c>
      <x:c r="G963" s="12" t="n">
        <x:f>ROUND(J963*$W$4*$W$5*I963,0)</x:f>
        <x:v>80</x:v>
      </x:c>
      <x:c r="H963" s="11" t="n">
        <x:f>$Y$29</x:f>
        <x:v>3.75</x:v>
      </x:c>
      <x:c r="I963" s="11" t="n">
        <x:f>$Z$29</x:f>
        <x:v>4.444444444444445</x:v>
      </x:c>
      <x:c r="J963" s="12" t="n">
        <x:f>英雄升级调参!$E$66</x:f>
        <x:v>60</x:v>
      </x:c>
      <x:c r="K963" s="12" t="n">
        <x:f>英雄升级调参!$F$66</x:f>
        <x:v>600</x:v>
      </x:c>
      <x:c r="L963" s="6" t="n">
        <x:f>ROUNDUP(F963/J963,0)</x:f>
        <x:v>15</x:v>
      </x:c>
      <x:c r="M963" s="6" t="n">
        <x:f>IF(G963=0,"无伤害",ROUNDUP(K963/MAX(1,ROUND(G963*$AC$29,0)),0))</x:f>
        <x:v>8</x:v>
      </x:c>
      <x:c r="N963" s="6">
        <x:f>ROUNDUP(F963/英雄升级调参!$H$66,0)</x:f>
        <x:v>5</x:v>
      </x:c>
      <x:c r="O963" s="6">
        <x:f>ROUNDUP(F963/英雄升级调参!$K$66,0)</x:f>
        <x:v>3</x:v>
      </x:c>
      <x:c r="P963" s="6" t="str">
        <x:f>$AA$29</x:f>
        <x:v>精英：15次标准普攻击杀；7.5次主要攻击致死</x:v>
      </x:c>
      <x:c r="Q963" s="6"/>
      <x:c r="R963" s="6"/>
      <x:c r="S963" s="6"/>
      <x:c r="T963" s="6"/>
    </x:row>
    <x:row r="964" ht="21" customHeight="1">
      <x:c r="A964" s="14" t="n">
        <x:f>$V$29</x:f>
        <x:v>60016</x:v>
      </x:c>
      <x:c r="B964" s="14" t="str">
        <x:f>$W$29</x:f>
        <x:v>大屁桃</x:v>
      </x:c>
      <x:c r="C964" s="6" t="str">
        <x:f>$X$29</x:f>
        <x:v>精英</x:v>
      </x:c>
      <x:c r="D964" s="6">
        <x:v>2</x:v>
      </x:c>
      <x:c r="E964" s="6">
        <x:v>29</x:v>
      </x:c>
      <x:c r="F964" s="12">
        <x:f>ROUND(J964*$W$4*H964,0)</x:f>
        <x:v>1170</x:v>
      </x:c>
      <x:c r="G964" s="12">
        <x:f>ROUND(J964*$W$4*$W$5*I964,0)</x:f>
        <x:v>104</x:v>
      </x:c>
      <x:c r="H964" s="11" t="n">
        <x:f>$Y$29</x:f>
        <x:v>3.75</x:v>
      </x:c>
      <x:c r="I964" s="11" t="n">
        <x:f>$Z$29</x:f>
        <x:v>4.444444444444445</x:v>
      </x:c>
      <x:c r="J964" s="12">
        <x:f>英雄升级调参!$E$67</x:f>
        <x:v>78</x:v>
      </x:c>
      <x:c r="K964" s="12">
        <x:f>英雄升级调参!$F$67</x:f>
        <x:v>780</x:v>
      </x:c>
      <x:c r="L964" s="6" t="n">
        <x:f>ROUNDUP(F964/J964,0)</x:f>
        <x:v>15</x:v>
      </x:c>
      <x:c r="M964" s="6" t="n">
        <x:f>IF(G964=0,"无伤害",ROUNDUP(K964/MAX(1,ROUND(G964*$AC$29,0)),0))</x:f>
        <x:v>8</x:v>
      </x:c>
      <x:c r="N964" s="6">
        <x:f>ROUNDUP(F964/英雄升级调参!$H$67,0)</x:f>
        <x:v>6</x:v>
      </x:c>
      <x:c r="O964" s="6">
        <x:f>ROUNDUP(F964/英雄升级调参!$K$67,0)</x:f>
        <x:v>3</x:v>
      </x:c>
      <x:c r="P964" s="6" t="str">
        <x:f>$AA$29</x:f>
        <x:v>精英：15次标准普攻击杀；7.5次主要攻击致死</x:v>
      </x:c>
      <x:c r="Q964" s="6"/>
      <x:c r="R964" s="6"/>
      <x:c r="S964" s="6"/>
      <x:c r="T964" s="6"/>
    </x:row>
    <x:row r="965" ht="21" customHeight="1">
      <x:c r="A965" s="14" t="n">
        <x:f>$V$29</x:f>
        <x:v>60016</x:v>
      </x:c>
      <x:c r="B965" s="14" t="str">
        <x:f>$W$29</x:f>
        <x:v>大屁桃</x:v>
      </x:c>
      <x:c r="C965" s="6" t="str">
        <x:f>$X$29</x:f>
        <x:v>精英</x:v>
      </x:c>
      <x:c r="D965" s="6">
        <x:v>3</x:v>
      </x:c>
      <x:c r="E965" s="6">
        <x:v>29</x:v>
      </x:c>
      <x:c r="F965" s="12">
        <x:f>ROUND(J965*$W$4*H965,0)</x:f>
        <x:v>1440</x:v>
      </x:c>
      <x:c r="G965" s="12">
        <x:f>ROUND(J965*$W$4*$W$5*I965,0)</x:f>
        <x:v>128</x:v>
      </x:c>
      <x:c r="H965" s="11" t="n">
        <x:f>$Y$29</x:f>
        <x:v>3.75</x:v>
      </x:c>
      <x:c r="I965" s="11" t="n">
        <x:f>$Z$29</x:f>
        <x:v>4.444444444444445</x:v>
      </x:c>
      <x:c r="J965" s="12">
        <x:f>英雄升级调参!$E$68</x:f>
        <x:v>96</x:v>
      </x:c>
      <x:c r="K965" s="12">
        <x:f>英雄升级调参!$F$68</x:f>
        <x:v>960</x:v>
      </x:c>
      <x:c r="L965" s="6" t="n">
        <x:f>ROUNDUP(F965/J965,0)</x:f>
        <x:v>15</x:v>
      </x:c>
      <x:c r="M965" s="6" t="n">
        <x:f>IF(G965=0,"无伤害",ROUNDUP(K965/MAX(1,ROUND(G965*$AC$29,0)),0))</x:f>
        <x:v>8</x:v>
      </x:c>
      <x:c r="N965" s="6">
        <x:f>ROUNDUP(F965/英雄升级调参!$H$68,0)</x:f>
        <x:v>6</x:v>
      </x:c>
      <x:c r="O965" s="6">
        <x:f>ROUNDUP(F965/英雄升级调参!$K$68,0)</x:f>
        <x:v>4</x:v>
      </x:c>
      <x:c r="P965" s="6" t="str">
        <x:f>$AA$29</x:f>
        <x:v>精英：15次标准普攻击杀；7.5次主要攻击致死</x:v>
      </x:c>
      <x:c r="Q965" s="6"/>
      <x:c r="R965" s="6"/>
      <x:c r="S965" s="6"/>
      <x:c r="T965" s="6"/>
    </x:row>
    <x:row r="966" ht="21" customHeight="1">
      <x:c r="A966" s="14" t="n">
        <x:f>$V$29</x:f>
        <x:v>60016</x:v>
      </x:c>
      <x:c r="B966" s="14" t="str">
        <x:f>$W$29</x:f>
        <x:v>大屁桃</x:v>
      </x:c>
      <x:c r="C966" s="6" t="str">
        <x:f>$X$29</x:f>
        <x:v>精英</x:v>
      </x:c>
      <x:c r="D966" s="6">
        <x:v>4</x:v>
      </x:c>
      <x:c r="E966" s="6">
        <x:v>29</x:v>
      </x:c>
      <x:c r="F966" s="12">
        <x:f>ROUND(J966*$W$4*H966,0)</x:f>
        <x:v>1710</x:v>
      </x:c>
      <x:c r="G966" s="12">
        <x:f>ROUND(J966*$W$4*$W$5*I966,0)</x:f>
        <x:v>152</x:v>
      </x:c>
      <x:c r="H966" s="11" t="n">
        <x:f>$Y$29</x:f>
        <x:v>3.75</x:v>
      </x:c>
      <x:c r="I966" s="11" t="n">
        <x:f>$Z$29</x:f>
        <x:v>4.444444444444445</x:v>
      </x:c>
      <x:c r="J966" s="12">
        <x:f>英雄升级调参!$E$69</x:f>
        <x:v>114</x:v>
      </x:c>
      <x:c r="K966" s="12">
        <x:f>英雄升级调参!$F$69</x:f>
        <x:v>1140</x:v>
      </x:c>
      <x:c r="L966" s="6" t="n">
        <x:f>ROUNDUP(F966/J966,0)</x:f>
        <x:v>15</x:v>
      </x:c>
      <x:c r="M966" s="6" t="n">
        <x:f>IF(G966=0,"无伤害",ROUNDUP(K966/MAX(1,ROUND(G966*$AC$29,0)),0))</x:f>
        <x:v>8</x:v>
      </x:c>
      <x:c r="N966" s="6">
        <x:f>ROUNDUP(F966/英雄升级调参!$H$69,0)</x:f>
        <x:v>7</x:v>
      </x:c>
      <x:c r="O966" s="6">
        <x:f>ROUNDUP(F966/英雄升级调参!$K$69,0)</x:f>
        <x:v>4</x:v>
      </x:c>
      <x:c r="P966" s="6" t="str">
        <x:f>$AA$29</x:f>
        <x:v>精英：15次标准普攻击杀；7.5次主要攻击致死</x:v>
      </x:c>
      <x:c r="Q966" s="6"/>
      <x:c r="R966" s="6"/>
      <x:c r="S966" s="6"/>
      <x:c r="T966" s="6"/>
    </x:row>
    <x:row r="967" ht="21" customHeight="1">
      <x:c r="A967" s="14" t="n">
        <x:f>$V$29</x:f>
        <x:v>60016</x:v>
      </x:c>
      <x:c r="B967" s="14" t="str">
        <x:f>$W$29</x:f>
        <x:v>大屁桃</x:v>
      </x:c>
      <x:c r="C967" s="6" t="str">
        <x:f>$X$29</x:f>
        <x:v>精英</x:v>
      </x:c>
      <x:c r="D967" s="6">
        <x:v>5</x:v>
      </x:c>
      <x:c r="E967" s="6">
        <x:v>29</x:v>
      </x:c>
      <x:c r="F967" s="12">
        <x:f>ROUND(J967*$W$4*H967,0)</x:f>
        <x:v>2520</x:v>
      </x:c>
      <x:c r="G967" s="12">
        <x:f>ROUND(J967*$W$4*$W$5*I967,0)</x:f>
        <x:v>224</x:v>
      </x:c>
      <x:c r="H967" s="11" t="n">
        <x:f>$Y$29</x:f>
        <x:v>3.75</x:v>
      </x:c>
      <x:c r="I967" s="11" t="n">
        <x:f>$Z$29</x:f>
        <x:v>4.444444444444445</x:v>
      </x:c>
      <x:c r="J967" s="12">
        <x:f>英雄升级调参!$E$70</x:f>
        <x:v>168</x:v>
      </x:c>
      <x:c r="K967" s="12">
        <x:f>英雄升级调参!$F$70</x:f>
        <x:v>1680</x:v>
      </x:c>
      <x:c r="L967" s="6" t="n">
        <x:f>ROUNDUP(F967/J967,0)</x:f>
        <x:v>15</x:v>
      </x:c>
      <x:c r="M967" s="6" t="n">
        <x:f>IF(G967=0,"无伤害",ROUNDUP(K967/MAX(1,ROUND(G967*$AC$29,0)),0))</x:f>
        <x:v>8</x:v>
      </x:c>
      <x:c r="N967" s="6">
        <x:f>ROUNDUP(F967/英雄升级调参!$H$70,0)</x:f>
        <x:v>8</x:v>
      </x:c>
      <x:c r="O967" s="6">
        <x:f>ROUNDUP(F967/英雄升级调参!$K$70,0)</x:f>
        <x:v>5</x:v>
      </x:c>
      <x:c r="P967" s="6" t="str">
        <x:f>$AA$29</x:f>
        <x:v>精英：15次标准普攻击杀；7.5次主要攻击致死</x:v>
      </x:c>
      <x:c r="Q967" s="6"/>
      <x:c r="R967" s="6"/>
      <x:c r="S967" s="6"/>
      <x:c r="T967" s="6"/>
    </x:row>
    <x:row r="968" ht="21" customHeight="1">
      <x:c r="A968" s="14" t="n">
        <x:f>$V$29</x:f>
        <x:v>60016</x:v>
      </x:c>
      <x:c r="B968" s="14" t="str">
        <x:f>$W$29</x:f>
        <x:v>大屁桃</x:v>
      </x:c>
      <x:c r="C968" s="6" t="str">
        <x:f>$X$29</x:f>
        <x:v>精英</x:v>
      </x:c>
      <x:c r="D968" s="6">
        <x:v>6</x:v>
      </x:c>
      <x:c r="E968" s="6">
        <x:v>29</x:v>
      </x:c>
      <x:c r="F968" s="12">
        <x:f>ROUND(J968*$W$4*H968,0)</x:f>
        <x:v>2925</x:v>
      </x:c>
      <x:c r="G968" s="12">
        <x:f>ROUND(J968*$W$4*$W$5*I968,0)</x:f>
        <x:v>260</x:v>
      </x:c>
      <x:c r="H968" s="11" t="n">
        <x:f>$Y$29</x:f>
        <x:v>3.75</x:v>
      </x:c>
      <x:c r="I968" s="11" t="n">
        <x:f>$Z$29</x:f>
        <x:v>4.444444444444445</x:v>
      </x:c>
      <x:c r="J968" s="12">
        <x:f>英雄升级调参!$E$71</x:f>
        <x:v>195</x:v>
      </x:c>
      <x:c r="K968" s="12">
        <x:f>英雄升级调参!$F$71</x:f>
        <x:v>1950</x:v>
      </x:c>
      <x:c r="L968" s="6" t="n">
        <x:f>ROUNDUP(F968/J968,0)</x:f>
        <x:v>15</x:v>
      </x:c>
      <x:c r="M968" s="6" t="n">
        <x:f>IF(G968=0,"无伤害",ROUNDUP(K968/MAX(1,ROUND(G968*$AC$29,0)),0))</x:f>
        <x:v>8</x:v>
      </x:c>
      <x:c r="N968" s="6">
        <x:f>ROUNDUP(F968/英雄升级调参!$H$71,0)</x:f>
        <x:v>8</x:v>
      </x:c>
      <x:c r="O968" s="6">
        <x:f>ROUNDUP(F968/英雄升级调参!$K$71,0)</x:f>
        <x:v>5</x:v>
      </x:c>
      <x:c r="P968" s="6" t="str">
        <x:f>$AA$29</x:f>
        <x:v>精英：15次标准普攻击杀；7.5次主要攻击致死</x:v>
      </x:c>
      <x:c r="Q968" s="6"/>
      <x:c r="R968" s="6"/>
      <x:c r="S968" s="6"/>
      <x:c r="T968" s="6"/>
    </x:row>
    <x:row r="969" ht="21" customHeight="1">
      <x:c r="A969" s="14" t="n">
        <x:f>$V$29</x:f>
        <x:v>60016</x:v>
      </x:c>
      <x:c r="B969" s="14" t="str">
        <x:f>$W$29</x:f>
        <x:v>大屁桃</x:v>
      </x:c>
      <x:c r="C969" s="6" t="str">
        <x:f>$X$29</x:f>
        <x:v>精英</x:v>
      </x:c>
      <x:c r="D969" s="6">
        <x:v>7</x:v>
      </x:c>
      <x:c r="E969" s="6">
        <x:v>29</x:v>
      </x:c>
      <x:c r="F969" s="12">
        <x:f>ROUND(J969*$W$4*H969,0)</x:f>
        <x:v>3330</x:v>
      </x:c>
      <x:c r="G969" s="12">
        <x:f>ROUND(J969*$W$4*$W$5*I969,0)</x:f>
        <x:v>296</x:v>
      </x:c>
      <x:c r="H969" s="11" t="n">
        <x:f>$Y$29</x:f>
        <x:v>3.75</x:v>
      </x:c>
      <x:c r="I969" s="11" t="n">
        <x:f>$Z$29</x:f>
        <x:v>4.444444444444445</x:v>
      </x:c>
      <x:c r="J969" s="12">
        <x:f>英雄升级调参!$E$72</x:f>
        <x:v>222</x:v>
      </x:c>
      <x:c r="K969" s="12">
        <x:f>英雄升级调参!$F$72</x:f>
        <x:v>2220</x:v>
      </x:c>
      <x:c r="L969" s="6" t="n">
        <x:f>ROUNDUP(F969/J969,0)</x:f>
        <x:v>15</x:v>
      </x:c>
      <x:c r="M969" s="6" t="n">
        <x:f>IF(G969=0,"无伤害",ROUNDUP(K969/MAX(1,ROUND(G969*$AC$29,0)),0))</x:f>
        <x:v>8</x:v>
      </x:c>
      <x:c r="N969" s="6">
        <x:f>ROUNDUP(F969/英雄升级调参!$H$72,0)</x:f>
        <x:v>8</x:v>
      </x:c>
      <x:c r="O969" s="6">
        <x:f>ROUNDUP(F969/英雄升级调参!$K$72,0)</x:f>
        <x:v>5</x:v>
      </x:c>
      <x:c r="P969" s="6" t="str">
        <x:f>$AA$29</x:f>
        <x:v>精英：15次标准普攻击杀；7.5次主要攻击致死</x:v>
      </x:c>
      <x:c r="Q969" s="6"/>
      <x:c r="R969" s="6"/>
      <x:c r="S969" s="6"/>
      <x:c r="T969" s="6"/>
    </x:row>
    <x:row r="970" ht="21" customHeight="1">
      <x:c r="A970" s="14" t="n">
        <x:f>$V$29</x:f>
        <x:v>60016</x:v>
      </x:c>
      <x:c r="B970" s="14" t="str">
        <x:f>$W$29</x:f>
        <x:v>大屁桃</x:v>
      </x:c>
      <x:c r="C970" s="6" t="str">
        <x:f>$X$29</x:f>
        <x:v>精英</x:v>
      </x:c>
      <x:c r="D970" s="6">
        <x:v>8</x:v>
      </x:c>
      <x:c r="E970" s="6">
        <x:v>29</x:v>
      </x:c>
      <x:c r="F970" s="12">
        <x:f>ROUND(J970*$W$4*H970,0)</x:f>
        <x:v>3735</x:v>
      </x:c>
      <x:c r="G970" s="12">
        <x:f>ROUND(J970*$W$4*$W$5*I970,0)</x:f>
        <x:v>332</x:v>
      </x:c>
      <x:c r="H970" s="11" t="n">
        <x:f>$Y$29</x:f>
        <x:v>3.75</x:v>
      </x:c>
      <x:c r="I970" s="11" t="n">
        <x:f>$Z$29</x:f>
        <x:v>4.444444444444445</x:v>
      </x:c>
      <x:c r="J970" s="12">
        <x:f>英雄升级调参!$E$73</x:f>
        <x:v>249</x:v>
      </x:c>
      <x:c r="K970" s="12">
        <x:f>英雄升级调参!$F$73</x:f>
        <x:v>2490</x:v>
      </x:c>
      <x:c r="L970" s="6" t="n">
        <x:f>ROUNDUP(F970/J970,0)</x:f>
        <x:v>15</x:v>
      </x:c>
      <x:c r="M970" s="6" t="n">
        <x:f>IF(G970=0,"无伤害",ROUNDUP(K970/MAX(1,ROUND(G970*$AC$29,0)),0))</x:f>
        <x:v>8</x:v>
      </x:c>
      <x:c r="N970" s="6">
        <x:f>ROUNDUP(F970/英雄升级调参!$H$73,0)</x:f>
        <x:v>8</x:v>
      </x:c>
      <x:c r="O970" s="6">
        <x:f>ROUNDUP(F970/英雄升级调参!$K$73,0)</x:f>
        <x:v>5</x:v>
      </x:c>
      <x:c r="P970" s="6" t="str">
        <x:f>$AA$29</x:f>
        <x:v>精英：15次标准普攻击杀；7.5次主要攻击致死</x:v>
      </x:c>
      <x:c r="Q970" s="6"/>
      <x:c r="R970" s="6"/>
      <x:c r="S970" s="6"/>
      <x:c r="T970" s="6"/>
    </x:row>
    <x:row r="971" ht="21" customHeight="1">
      <x:c r="A971" s="14" t="n">
        <x:f>$V$29</x:f>
        <x:v>60016</x:v>
      </x:c>
      <x:c r="B971" s="14" t="str">
        <x:f>$W$29</x:f>
        <x:v>大屁桃</x:v>
      </x:c>
      <x:c r="C971" s="6" t="str">
        <x:f>$X$29</x:f>
        <x:v>精英</x:v>
      </x:c>
      <x:c r="D971" s="6">
        <x:v>9</x:v>
      </x:c>
      <x:c r="E971" s="6">
        <x:v>29</x:v>
      </x:c>
      <x:c r="F971" s="12">
        <x:f>ROUND(J971*$W$4*H971,0)</x:f>
        <x:v>4140</x:v>
      </x:c>
      <x:c r="G971" s="12">
        <x:f>ROUND(J971*$W$4*$W$5*I971,0)</x:f>
        <x:v>368</x:v>
      </x:c>
      <x:c r="H971" s="11" t="n">
        <x:f>$Y$29</x:f>
        <x:v>3.75</x:v>
      </x:c>
      <x:c r="I971" s="11" t="n">
        <x:f>$Z$29</x:f>
        <x:v>4.444444444444445</x:v>
      </x:c>
      <x:c r="J971" s="12">
        <x:f>英雄升级调参!$E$74</x:f>
        <x:v>276</x:v>
      </x:c>
      <x:c r="K971" s="12">
        <x:f>英雄升级调参!$F$74</x:f>
        <x:v>2760</x:v>
      </x:c>
      <x:c r="L971" s="6" t="n">
        <x:f>ROUNDUP(F971/J971,0)</x:f>
        <x:v>15</x:v>
      </x:c>
      <x:c r="M971" s="6" t="n">
        <x:f>IF(G971=0,"无伤害",ROUNDUP(K971/MAX(1,ROUND(G971*$AC$29,0)),0))</x:f>
        <x:v>8</x:v>
      </x:c>
      <x:c r="N971" s="6">
        <x:f>ROUNDUP(F971/英雄升级调参!$H$74,0)</x:f>
        <x:v>8</x:v>
      </x:c>
      <x:c r="O971" s="6">
        <x:f>ROUNDUP(F971/英雄升级调参!$K$74,0)</x:f>
        <x:v>5</x:v>
      </x:c>
      <x:c r="P971" s="6" t="str">
        <x:f>$AA$29</x:f>
        <x:v>精英：15次标准普攻击杀；7.5次主要攻击致死</x:v>
      </x:c>
      <x:c r="Q971" s="6"/>
      <x:c r="R971" s="6"/>
      <x:c r="S971" s="6"/>
      <x:c r="T971" s="6"/>
    </x:row>
    <x:row r="972" ht="21" customHeight="1">
      <x:c r="A972" s="14" t="n">
        <x:f>$V$29</x:f>
        <x:v>60016</x:v>
      </x:c>
      <x:c r="B972" s="14" t="str">
        <x:f>$W$29</x:f>
        <x:v>大屁桃</x:v>
      </x:c>
      <x:c r="C972" s="6" t="str">
        <x:f>$X$29</x:f>
        <x:v>精英</x:v>
      </x:c>
      <x:c r="D972" s="6">
        <x:v>10</x:v>
      </x:c>
      <x:c r="E972" s="6">
        <x:v>29</x:v>
      </x:c>
      <x:c r="F972" s="12">
        <x:f>ROUND(J972*$W$4*H972,0)</x:f>
        <x:v>5355</x:v>
      </x:c>
      <x:c r="G972" s="12">
        <x:f>ROUND(J972*$W$4*$W$5*I972,0)</x:f>
        <x:v>476</x:v>
      </x:c>
      <x:c r="H972" s="11" t="n">
        <x:f>$Y$29</x:f>
        <x:v>3.75</x:v>
      </x:c>
      <x:c r="I972" s="11" t="n">
        <x:f>$Z$29</x:f>
        <x:v>4.444444444444445</x:v>
      </x:c>
      <x:c r="J972" s="12">
        <x:f>英雄升级调参!$E$75</x:f>
        <x:v>357</x:v>
      </x:c>
      <x:c r="K972" s="12">
        <x:f>英雄升级调参!$F$75</x:f>
        <x:v>3570</x:v>
      </x:c>
      <x:c r="L972" s="6" t="n">
        <x:f>ROUNDUP(F972/J972,0)</x:f>
        <x:v>15</x:v>
      </x:c>
      <x:c r="M972" s="6" t="n">
        <x:f>IF(G972=0,"无伤害",ROUNDUP(K972/MAX(1,ROUND(G972*$AC$29,0)),0))</x:f>
        <x:v>8</x:v>
      </x:c>
      <x:c r="N972" s="6">
        <x:f>ROUNDUP(F972/英雄升级调参!$H$75,0)</x:f>
        <x:v>9</x:v>
      </x:c>
      <x:c r="O972" s="6">
        <x:f>ROUNDUP(F972/英雄升级调参!$K$75,0)</x:f>
        <x:v>5</x:v>
      </x:c>
      <x:c r="P972" s="6" t="str">
        <x:f>$AA$29</x:f>
        <x:v>精英：15次标准普攻击杀；7.5次主要攻击致死</x:v>
      </x:c>
      <x:c r="Q972" s="6"/>
      <x:c r="R972" s="6"/>
      <x:c r="S972" s="6"/>
      <x:c r="T972" s="6"/>
    </x:row>
    <x:row r="973" ht="21" customHeight="1">
      <x:c r="A973" s="14" t="n">
        <x:f>$V$29</x:f>
        <x:v>60016</x:v>
      </x:c>
      <x:c r="B973" s="14" t="str">
        <x:f>$W$29</x:f>
        <x:v>大屁桃</x:v>
      </x:c>
      <x:c r="C973" s="6" t="str">
        <x:f>$X$29</x:f>
        <x:v>精英</x:v>
      </x:c>
      <x:c r="D973" s="6">
        <x:v>11</x:v>
      </x:c>
      <x:c r="E973" s="6">
        <x:v>29</x:v>
      </x:c>
      <x:c r="F973" s="12">
        <x:f>ROUND(J973*$W$4*H973,0)</x:f>
        <x:v>5895</x:v>
      </x:c>
      <x:c r="G973" s="12">
        <x:f>ROUND(J973*$W$4*$W$5*I973,0)</x:f>
        <x:v>524</x:v>
      </x:c>
      <x:c r="H973" s="11" t="n">
        <x:f>$Y$29</x:f>
        <x:v>3.75</x:v>
      </x:c>
      <x:c r="I973" s="11" t="n">
        <x:f>$Z$29</x:f>
        <x:v>4.444444444444445</x:v>
      </x:c>
      <x:c r="J973" s="12">
        <x:f>英雄升级调参!$E$76</x:f>
        <x:v>393</x:v>
      </x:c>
      <x:c r="K973" s="12">
        <x:f>英雄升级调参!$F$76</x:f>
        <x:v>3930</x:v>
      </x:c>
      <x:c r="L973" s="6" t="n">
        <x:f>ROUNDUP(F973/J973,0)</x:f>
        <x:v>15</x:v>
      </x:c>
      <x:c r="M973" s="6" t="n">
        <x:f>IF(G973=0,"无伤害",ROUNDUP(K973/MAX(1,ROUND(G973*$AC$29,0)),0))</x:f>
        <x:v>8</x:v>
      </x:c>
      <x:c r="N973" s="6">
        <x:f>ROUNDUP(F973/英雄升级调参!$H$76,0)</x:f>
        <x:v>9</x:v>
      </x:c>
      <x:c r="O973" s="6">
        <x:f>ROUNDUP(F973/英雄升级调参!$K$76,0)</x:f>
        <x:v>5</x:v>
      </x:c>
      <x:c r="P973" s="6" t="str">
        <x:f>$AA$29</x:f>
        <x:v>精英：15次标准普攻击杀；7.5次主要攻击致死</x:v>
      </x:c>
      <x:c r="Q973" s="6"/>
      <x:c r="R973" s="6"/>
      <x:c r="S973" s="6"/>
      <x:c r="T973" s="6"/>
    </x:row>
    <x:row r="974" ht="21" customHeight="1">
      <x:c r="A974" s="14" t="n">
        <x:f>$V$29</x:f>
        <x:v>60016</x:v>
      </x:c>
      <x:c r="B974" s="14" t="str">
        <x:f>$W$29</x:f>
        <x:v>大屁桃</x:v>
      </x:c>
      <x:c r="C974" s="6" t="str">
        <x:f>$X$29</x:f>
        <x:v>精英</x:v>
      </x:c>
      <x:c r="D974" s="6">
        <x:v>12</x:v>
      </x:c>
      <x:c r="E974" s="6">
        <x:v>29</x:v>
      </x:c>
      <x:c r="F974" s="12">
        <x:f>ROUND(J974*$W$4*H974,0)</x:f>
        <x:v>6435</x:v>
      </x:c>
      <x:c r="G974" s="12">
        <x:f>ROUND(J974*$W$4*$W$5*I974,0)</x:f>
        <x:v>572</x:v>
      </x:c>
      <x:c r="H974" s="11" t="n">
        <x:f>$Y$29</x:f>
        <x:v>3.75</x:v>
      </x:c>
      <x:c r="I974" s="11" t="n">
        <x:f>$Z$29</x:f>
        <x:v>4.444444444444445</x:v>
      </x:c>
      <x:c r="J974" s="12">
        <x:f>英雄升级调参!$E$77</x:f>
        <x:v>429</x:v>
      </x:c>
      <x:c r="K974" s="12">
        <x:f>英雄升级调参!$F$77</x:f>
        <x:v>4290</x:v>
      </x:c>
      <x:c r="L974" s="6" t="n">
        <x:f>ROUNDUP(F974/J974,0)</x:f>
        <x:v>15</x:v>
      </x:c>
      <x:c r="M974" s="6" t="n">
        <x:f>IF(G974=0,"无伤害",ROUNDUP(K974/MAX(1,ROUND(G974*$AC$29,0)),0))</x:f>
        <x:v>8</x:v>
      </x:c>
      <x:c r="N974" s="6">
        <x:f>ROUNDUP(F974/英雄升级调参!$H$77,0)</x:f>
        <x:v>9</x:v>
      </x:c>
      <x:c r="O974" s="6">
        <x:f>ROUNDUP(F974/英雄升级调参!$K$77,0)</x:f>
        <x:v>6</x:v>
      </x:c>
      <x:c r="P974" s="6" t="str">
        <x:f>$AA$29</x:f>
        <x:v>精英：15次标准普攻击杀；7.5次主要攻击致死</x:v>
      </x:c>
      <x:c r="Q974" s="6"/>
      <x:c r="R974" s="6"/>
      <x:c r="S974" s="6"/>
      <x:c r="T974" s="6"/>
    </x:row>
    <x:row r="975" ht="21" customHeight="1">
      <x:c r="A975" s="14" t="n">
        <x:f>$V$29</x:f>
        <x:v>60016</x:v>
      </x:c>
      <x:c r="B975" s="14" t="str">
        <x:f>$W$29</x:f>
        <x:v>大屁桃</x:v>
      </x:c>
      <x:c r="C975" s="6" t="str">
        <x:f>$X$29</x:f>
        <x:v>精英</x:v>
      </x:c>
      <x:c r="D975" s="6">
        <x:v>13</x:v>
      </x:c>
      <x:c r="E975" s="6">
        <x:v>29</x:v>
      </x:c>
      <x:c r="F975" s="12">
        <x:f>ROUND(J975*$W$4*H975,0)</x:f>
        <x:v>6975</x:v>
      </x:c>
      <x:c r="G975" s="12">
        <x:f>ROUND(J975*$W$4*$W$5*I975,0)</x:f>
        <x:v>620</x:v>
      </x:c>
      <x:c r="H975" s="11" t="n">
        <x:f>$Y$29</x:f>
        <x:v>3.75</x:v>
      </x:c>
      <x:c r="I975" s="11" t="n">
        <x:f>$Z$29</x:f>
        <x:v>4.444444444444445</x:v>
      </x:c>
      <x:c r="J975" s="12">
        <x:f>英雄升级调参!$E$78</x:f>
        <x:v>465</x:v>
      </x:c>
      <x:c r="K975" s="12">
        <x:f>英雄升级调参!$F$78</x:f>
        <x:v>4650</x:v>
      </x:c>
      <x:c r="L975" s="6" t="n">
        <x:f>ROUNDUP(F975/J975,0)</x:f>
        <x:v>15</x:v>
      </x:c>
      <x:c r="M975" s="6" t="n">
        <x:f>IF(G975=0,"无伤害",ROUNDUP(K975/MAX(1,ROUND(G975*$AC$29,0)),0))</x:f>
        <x:v>8</x:v>
      </x:c>
      <x:c r="N975" s="6">
        <x:f>ROUNDUP(F975/英雄升级调参!$H$78,0)</x:f>
        <x:v>9</x:v>
      </x:c>
      <x:c r="O975" s="6">
        <x:f>ROUNDUP(F975/英雄升级调参!$K$78,0)</x:f>
        <x:v>6</x:v>
      </x:c>
      <x:c r="P975" s="6" t="str">
        <x:f>$AA$29</x:f>
        <x:v>精英：15次标准普攻击杀；7.5次主要攻击致死</x:v>
      </x:c>
      <x:c r="Q975" s="6"/>
      <x:c r="R975" s="6"/>
      <x:c r="S975" s="6"/>
      <x:c r="T975" s="6"/>
    </x:row>
    <x:row r="976" ht="21" customHeight="1">
      <x:c r="A976" s="14" t="n">
        <x:f>$V$29</x:f>
        <x:v>60016</x:v>
      </x:c>
      <x:c r="B976" s="14" t="str">
        <x:f>$W$29</x:f>
        <x:v>大屁桃</x:v>
      </x:c>
      <x:c r="C976" s="6" t="str">
        <x:f>$X$29</x:f>
        <x:v>精英</x:v>
      </x:c>
      <x:c r="D976" s="6">
        <x:v>14</x:v>
      </x:c>
      <x:c r="E976" s="6">
        <x:v>29</x:v>
      </x:c>
      <x:c r="F976" s="12">
        <x:f>ROUND(J976*$W$4*H976,0)</x:f>
        <x:v>7515</x:v>
      </x:c>
      <x:c r="G976" s="12">
        <x:f>ROUND(J976*$W$4*$W$5*I976,0)</x:f>
        <x:v>668</x:v>
      </x:c>
      <x:c r="H976" s="11" t="n">
        <x:f>$Y$29</x:f>
        <x:v>3.75</x:v>
      </x:c>
      <x:c r="I976" s="11" t="n">
        <x:f>$Z$29</x:f>
        <x:v>4.444444444444445</x:v>
      </x:c>
      <x:c r="J976" s="12">
        <x:f>英雄升级调参!$E$79</x:f>
        <x:v>501</x:v>
      </x:c>
      <x:c r="K976" s="12">
        <x:f>英雄升级调参!$F$79</x:f>
        <x:v>5010</x:v>
      </x:c>
      <x:c r="L976" s="6" t="n">
        <x:f>ROUNDUP(F976/J976,0)</x:f>
        <x:v>15</x:v>
      </x:c>
      <x:c r="M976" s="6" t="n">
        <x:f>IF(G976=0,"无伤害",ROUNDUP(K976/MAX(1,ROUND(G976*$AC$29,0)),0))</x:f>
        <x:v>8</x:v>
      </x:c>
      <x:c r="N976" s="6">
        <x:f>ROUNDUP(F976/英雄升级调参!$H$79,0)</x:f>
        <x:v>9</x:v>
      </x:c>
      <x:c r="O976" s="6">
        <x:f>ROUNDUP(F976/英雄升级调参!$K$79,0)</x:f>
        <x:v>6</x:v>
      </x:c>
      <x:c r="P976" s="6" t="str">
        <x:f>$AA$29</x:f>
        <x:v>精英：15次标准普攻击杀；7.5次主要攻击致死</x:v>
      </x:c>
      <x:c r="Q976" s="6"/>
      <x:c r="R976" s="6"/>
      <x:c r="S976" s="6"/>
      <x:c r="T976" s="6"/>
    </x:row>
    <x:row r="977" ht="21" customHeight="1">
      <x:c r="A977" s="14" t="n">
        <x:f>$V$29</x:f>
        <x:v>60016</x:v>
      </x:c>
      <x:c r="B977" s="14" t="str">
        <x:f>$W$29</x:f>
        <x:v>大屁桃</x:v>
      </x:c>
      <x:c r="C977" s="6" t="str">
        <x:f>$X$29</x:f>
        <x:v>精英</x:v>
      </x:c>
      <x:c r="D977" s="6">
        <x:v>15</x:v>
      </x:c>
      <x:c r="E977" s="6">
        <x:v>29</x:v>
      </x:c>
      <x:c r="F977" s="12">
        <x:f>ROUND(J977*$W$4*H977,0)</x:f>
        <x:v>9135</x:v>
      </x:c>
      <x:c r="G977" s="12">
        <x:f>ROUND(J977*$W$4*$W$5*I977,0)</x:f>
        <x:v>812</x:v>
      </x:c>
      <x:c r="H977" s="11" t="n">
        <x:f>$Y$29</x:f>
        <x:v>3.75</x:v>
      </x:c>
      <x:c r="I977" s="11" t="n">
        <x:f>$Z$29</x:f>
        <x:v>4.444444444444445</x:v>
      </x:c>
      <x:c r="J977" s="12">
        <x:f>英雄升级调参!$E$80</x:f>
        <x:v>609</x:v>
      </x:c>
      <x:c r="K977" s="12">
        <x:f>英雄升级调参!$F$80</x:f>
        <x:v>6090</x:v>
      </x:c>
      <x:c r="L977" s="6" t="n">
        <x:f>ROUNDUP(F977/J977,0)</x:f>
        <x:v>15</x:v>
      </x:c>
      <x:c r="M977" s="6" t="n">
        <x:f>IF(G977=0,"无伤害",ROUNDUP(K977/MAX(1,ROUND(G977*$AC$29,0)),0))</x:f>
        <x:v>8</x:v>
      </x:c>
      <x:c r="N977" s="6">
        <x:f>ROUNDUP(F977/英雄升级调参!$H$80,0)</x:f>
        <x:v>9</x:v>
      </x:c>
      <x:c r="O977" s="6">
        <x:f>ROUNDUP(F977/英雄升级调参!$K$80,0)</x:f>
        <x:v>6</x:v>
      </x:c>
      <x:c r="P977" s="6" t="str">
        <x:f>$AA$29</x:f>
        <x:v>精英：15次标准普攻击杀；7.5次主要攻击致死</x:v>
      </x:c>
      <x:c r="Q977" s="6"/>
      <x:c r="R977" s="6"/>
      <x:c r="S977" s="6"/>
      <x:c r="T977" s="6"/>
    </x:row>
    <x:row r="978" ht="21" customHeight="1">
      <x:c r="A978" s="14" t="n">
        <x:f>$V$29</x:f>
        <x:v>60016</x:v>
      </x:c>
      <x:c r="B978" s="14" t="str">
        <x:f>$W$29</x:f>
        <x:v>大屁桃</x:v>
      </x:c>
      <x:c r="C978" s="6" t="str">
        <x:f>$X$29</x:f>
        <x:v>精英</x:v>
      </x:c>
      <x:c r="D978" s="6">
        <x:v>16</x:v>
      </x:c>
      <x:c r="E978" s="6">
        <x:v>29</x:v>
      </x:c>
      <x:c r="F978" s="12">
        <x:f>ROUND(J978*$W$4*H978,0)</x:f>
        <x:v>9810</x:v>
      </x:c>
      <x:c r="G978" s="12">
        <x:f>ROUND(J978*$W$4*$W$5*I978,0)</x:f>
        <x:v>872</x:v>
      </x:c>
      <x:c r="H978" s="11" t="n">
        <x:f>$Y$29</x:f>
        <x:v>3.75</x:v>
      </x:c>
      <x:c r="I978" s="11" t="n">
        <x:f>$Z$29</x:f>
        <x:v>4.444444444444445</x:v>
      </x:c>
      <x:c r="J978" s="12">
        <x:f>英雄升级调参!$E$81</x:f>
        <x:v>654</x:v>
      </x:c>
      <x:c r="K978" s="12">
        <x:f>英雄升级调参!$F$81</x:f>
        <x:v>6540</x:v>
      </x:c>
      <x:c r="L978" s="6" t="n">
        <x:f>ROUNDUP(F978/J978,0)</x:f>
        <x:v>15</x:v>
      </x:c>
      <x:c r="M978" s="6" t="n">
        <x:f>IF(G978=0,"无伤害",ROUNDUP(K978/MAX(1,ROUND(G978*$AC$29,0)),0))</x:f>
        <x:v>8</x:v>
      </x:c>
      <x:c r="N978" s="6">
        <x:f>ROUNDUP(F978/英雄升级调参!$H$81,0)</x:f>
        <x:v>9</x:v>
      </x:c>
      <x:c r="O978" s="6">
        <x:f>ROUNDUP(F978/英雄升级调参!$K$81,0)</x:f>
        <x:v>6</x:v>
      </x:c>
      <x:c r="P978" s="6" t="str">
        <x:f>$AA$29</x:f>
        <x:v>精英：15次标准普攻击杀；7.5次主要攻击致死</x:v>
      </x:c>
      <x:c r="Q978" s="6"/>
      <x:c r="R978" s="6"/>
      <x:c r="S978" s="6"/>
      <x:c r="T978" s="6"/>
    </x:row>
    <x:row r="979" ht="21" customHeight="1">
      <x:c r="A979" s="14" t="n">
        <x:f>$V$29</x:f>
        <x:v>60016</x:v>
      </x:c>
      <x:c r="B979" s="14" t="str">
        <x:f>$W$29</x:f>
        <x:v>大屁桃</x:v>
      </x:c>
      <x:c r="C979" s="6" t="str">
        <x:f>$X$29</x:f>
        <x:v>精英</x:v>
      </x:c>
      <x:c r="D979" s="6">
        <x:v>17</x:v>
      </x:c>
      <x:c r="E979" s="6">
        <x:v>29</x:v>
      </x:c>
      <x:c r="F979" s="12">
        <x:f>ROUND(J979*$W$4*H979,0)</x:f>
        <x:v>10485</x:v>
      </x:c>
      <x:c r="G979" s="12">
        <x:f>ROUND(J979*$W$4*$W$5*I979,0)</x:f>
        <x:v>932</x:v>
      </x:c>
      <x:c r="H979" s="11" t="n">
        <x:f>$Y$29</x:f>
        <x:v>3.75</x:v>
      </x:c>
      <x:c r="I979" s="11" t="n">
        <x:f>$Z$29</x:f>
        <x:v>4.444444444444445</x:v>
      </x:c>
      <x:c r="J979" s="12">
        <x:f>英雄升级调参!$E$82</x:f>
        <x:v>699</x:v>
      </x:c>
      <x:c r="K979" s="12">
        <x:f>英雄升级调参!$F$82</x:f>
        <x:v>6990</x:v>
      </x:c>
      <x:c r="L979" s="6" t="n">
        <x:f>ROUNDUP(F979/J979,0)</x:f>
        <x:v>15</x:v>
      </x:c>
      <x:c r="M979" s="6" t="n">
        <x:f>IF(G979=0,"无伤害",ROUNDUP(K979/MAX(1,ROUND(G979*$AC$29,0)),0))</x:f>
        <x:v>8</x:v>
      </x:c>
      <x:c r="N979" s="6" t="n">
        <x:f>ROUNDUP(F979/英雄升级调参!$H$82,0)</x:f>
        <x:v>10</x:v>
      </x:c>
      <x:c r="O979" s="6">
        <x:f>ROUNDUP(F979/英雄升级调参!$K$82,0)</x:f>
        <x:v>6</x:v>
      </x:c>
      <x:c r="P979" s="6" t="str">
        <x:f>$AA$29</x:f>
        <x:v>精英：15次标准普攻击杀；7.5次主要攻击致死</x:v>
      </x:c>
      <x:c r="Q979" s="6"/>
      <x:c r="R979" s="6"/>
      <x:c r="S979" s="6"/>
      <x:c r="T979" s="6"/>
    </x:row>
    <x:row r="980" ht="21" customHeight="1">
      <x:c r="A980" s="14" t="n">
        <x:f>$V$29</x:f>
        <x:v>60016</x:v>
      </x:c>
      <x:c r="B980" s="14" t="str">
        <x:f>$W$29</x:f>
        <x:v>大屁桃</x:v>
      </x:c>
      <x:c r="C980" s="6" t="str">
        <x:f>$X$29</x:f>
        <x:v>精英</x:v>
      </x:c>
      <x:c r="D980" s="6">
        <x:v>18</x:v>
      </x:c>
      <x:c r="E980" s="6">
        <x:v>29</x:v>
      </x:c>
      <x:c r="F980" s="12">
        <x:f>ROUND(J980*$W$4*H980,0)</x:f>
        <x:v>11160</x:v>
      </x:c>
      <x:c r="G980" s="12">
        <x:f>ROUND(J980*$W$4*$W$5*I980,0)</x:f>
        <x:v>992</x:v>
      </x:c>
      <x:c r="H980" s="11" t="n">
        <x:f>$Y$29</x:f>
        <x:v>3.75</x:v>
      </x:c>
      <x:c r="I980" s="11" t="n">
        <x:f>$Z$29</x:f>
        <x:v>4.444444444444445</x:v>
      </x:c>
      <x:c r="J980" s="12">
        <x:f>英雄升级调参!$E$83</x:f>
        <x:v>744</x:v>
      </x:c>
      <x:c r="K980" s="12">
        <x:f>英雄升级调参!$F$83</x:f>
        <x:v>7440</x:v>
      </x:c>
      <x:c r="L980" s="6" t="n">
        <x:f>ROUNDUP(F980/J980,0)</x:f>
        <x:v>15</x:v>
      </x:c>
      <x:c r="M980" s="6" t="n">
        <x:f>IF(G980=0,"无伤害",ROUNDUP(K980/MAX(1,ROUND(G980*$AC$29,0)),0))</x:f>
        <x:v>8</x:v>
      </x:c>
      <x:c r="N980" s="6" t="n">
        <x:f>ROUNDUP(F980/英雄升级调参!$H$83,0)</x:f>
        <x:v>10</x:v>
      </x:c>
      <x:c r="O980" s="6">
        <x:f>ROUNDUP(F980/英雄升级调参!$K$83,0)</x:f>
        <x:v>6</x:v>
      </x:c>
      <x:c r="P980" s="6" t="str">
        <x:f>$AA$29</x:f>
        <x:v>精英：15次标准普攻击杀；7.5次主要攻击致死</x:v>
      </x:c>
      <x:c r="Q980" s="6"/>
      <x:c r="R980" s="6"/>
      <x:c r="S980" s="6"/>
      <x:c r="T980" s="6"/>
    </x:row>
    <x:row r="981" ht="21" customHeight="1">
      <x:c r="A981" s="14" t="n">
        <x:f>$V$29</x:f>
        <x:v>60016</x:v>
      </x:c>
      <x:c r="B981" s="14" t="str">
        <x:f>$W$29</x:f>
        <x:v>大屁桃</x:v>
      </x:c>
      <x:c r="C981" s="6" t="str">
        <x:f>$X$29</x:f>
        <x:v>精英</x:v>
      </x:c>
      <x:c r="D981" s="6">
        <x:v>19</x:v>
      </x:c>
      <x:c r="E981" s="6">
        <x:v>29</x:v>
      </x:c>
      <x:c r="F981" s="12">
        <x:f>ROUND(J981*$W$4*H981,0)</x:f>
        <x:v>11835</x:v>
      </x:c>
      <x:c r="G981" s="12">
        <x:f>ROUND(J981*$W$4*$W$5*I981,0)</x:f>
        <x:v>1052</x:v>
      </x:c>
      <x:c r="H981" s="11" t="n">
        <x:f>$Y$29</x:f>
        <x:v>3.75</x:v>
      </x:c>
      <x:c r="I981" s="11" t="n">
        <x:f>$Z$29</x:f>
        <x:v>4.444444444444445</x:v>
      </x:c>
      <x:c r="J981" s="12">
        <x:f>英雄升级调参!$E$84</x:f>
        <x:v>789</x:v>
      </x:c>
      <x:c r="K981" s="12">
        <x:f>英雄升级调参!$F$84</x:f>
        <x:v>7890</x:v>
      </x:c>
      <x:c r="L981" s="6" t="n">
        <x:f>ROUNDUP(F981/J981,0)</x:f>
        <x:v>15</x:v>
      </x:c>
      <x:c r="M981" s="6" t="n">
        <x:f>IF(G981=0,"无伤害",ROUNDUP(K981/MAX(1,ROUND(G981*$AC$29,0)),0))</x:f>
        <x:v>8</x:v>
      </x:c>
      <x:c r="N981" s="6" t="n">
        <x:f>ROUNDUP(F981/英雄升级调参!$H$84,0)</x:f>
        <x:v>10</x:v>
      </x:c>
      <x:c r="O981" s="6">
        <x:f>ROUNDUP(F981/英雄升级调参!$K$84,0)</x:f>
        <x:v>6</x:v>
      </x:c>
      <x:c r="P981" s="6" t="str">
        <x:f>$AA$29</x:f>
        <x:v>精英：15次标准普攻击杀；7.5次主要攻击致死</x:v>
      </x:c>
      <x:c r="Q981" s="6"/>
      <x:c r="R981" s="6"/>
      <x:c r="S981" s="6"/>
      <x:c r="T981" s="6"/>
    </x:row>
    <x:row r="982" ht="21" customHeight="1">
      <x:c r="A982" s="14" t="n">
        <x:f>$V$29</x:f>
        <x:v>60016</x:v>
      </x:c>
      <x:c r="B982" s="14" t="str">
        <x:f>$W$29</x:f>
        <x:v>大屁桃</x:v>
      </x:c>
      <x:c r="C982" s="6" t="str">
        <x:f>$X$29</x:f>
        <x:v>精英</x:v>
      </x:c>
      <x:c r="D982" s="6">
        <x:v>20</x:v>
      </x:c>
      <x:c r="E982" s="6">
        <x:v>29</x:v>
      </x:c>
      <x:c r="F982" s="12">
        <x:f>ROUND(J982*$W$4*H982,0)</x:f>
        <x:v>13860</x:v>
      </x:c>
      <x:c r="G982" s="12">
        <x:f>ROUND(J982*$W$4*$W$5*I982,0)</x:f>
        <x:v>1232</x:v>
      </x:c>
      <x:c r="H982" s="11" t="n">
        <x:f>$Y$29</x:f>
        <x:v>3.75</x:v>
      </x:c>
      <x:c r="I982" s="11" t="n">
        <x:f>$Z$29</x:f>
        <x:v>4.444444444444445</x:v>
      </x:c>
      <x:c r="J982" s="12">
        <x:f>英雄升级调参!$E$85</x:f>
        <x:v>924</x:v>
      </x:c>
      <x:c r="K982" s="12">
        <x:f>英雄升级调参!$F$85</x:f>
        <x:v>9240</x:v>
      </x:c>
      <x:c r="L982" s="6" t="n">
        <x:f>ROUNDUP(F982/J982,0)</x:f>
        <x:v>15</x:v>
      </x:c>
      <x:c r="M982" s="6" t="n">
        <x:f>IF(G982=0,"无伤害",ROUNDUP(K982/MAX(1,ROUND(G982*$AC$29,0)),0))</x:f>
        <x:v>8</x:v>
      </x:c>
      <x:c r="N982" s="6" t="n">
        <x:f>ROUNDUP(F982/英雄升级调参!$H$85,0)</x:f>
        <x:v>10</x:v>
      </x:c>
      <x:c r="O982" s="6">
        <x:f>ROUNDUP(F982/英雄升级调参!$K$85,0)</x:f>
        <x:v>6</x:v>
      </x:c>
      <x:c r="P982" s="6" t="str">
        <x:f>$AA$29</x:f>
        <x:v>精英：15次标准普攻击杀；7.5次主要攻击致死</x:v>
      </x:c>
      <x:c r="Q982" s="6"/>
      <x:c r="R982" s="6"/>
      <x:c r="S982" s="6"/>
      <x:c r="T982" s="6"/>
    </x:row>
    <x:row r="983" ht="21" customHeight="1">
      <x:c r="A983" s="14" t="n">
        <x:f>$V$29</x:f>
        <x:v>60016</x:v>
      </x:c>
      <x:c r="B983" s="14" t="str">
        <x:f>$W$29</x:f>
        <x:v>大屁桃</x:v>
      </x:c>
      <x:c r="C983" s="6" t="str">
        <x:f>$X$29</x:f>
        <x:v>精英</x:v>
      </x:c>
      <x:c r="D983" s="6">
        <x:v>21</x:v>
      </x:c>
      <x:c r="E983" s="6">
        <x:v>29</x:v>
      </x:c>
      <x:c r="F983" s="12">
        <x:f>ROUND(J983*$W$4*H983,0)</x:f>
        <x:v>14670</x:v>
      </x:c>
      <x:c r="G983" s="12">
        <x:f>ROUND(J983*$W$4*$W$5*I983,0)</x:f>
        <x:v>1304</x:v>
      </x:c>
      <x:c r="H983" s="11" t="n">
        <x:f>$Y$29</x:f>
        <x:v>3.75</x:v>
      </x:c>
      <x:c r="I983" s="11" t="n">
        <x:f>$Z$29</x:f>
        <x:v>4.444444444444445</x:v>
      </x:c>
      <x:c r="J983" s="12">
        <x:f>英雄升级调参!$E$86</x:f>
        <x:v>978</x:v>
      </x:c>
      <x:c r="K983" s="12">
        <x:f>英雄升级调参!$F$86</x:f>
        <x:v>9780</x:v>
      </x:c>
      <x:c r="L983" s="6" t="n">
        <x:f>ROUNDUP(F983/J983,0)</x:f>
        <x:v>15</x:v>
      </x:c>
      <x:c r="M983" s="6" t="n">
        <x:f>IF(G983=0,"无伤害",ROUNDUP(K983/MAX(1,ROUND(G983*$AC$29,0)),0))</x:f>
        <x:v>8</x:v>
      </x:c>
      <x:c r="N983" s="6" t="n">
        <x:f>ROUNDUP(F983/英雄升级调参!$H$86,0)</x:f>
        <x:v>10</x:v>
      </x:c>
      <x:c r="O983" s="6">
        <x:f>ROUNDUP(F983/英雄升级调参!$K$86,0)</x:f>
        <x:v>6</x:v>
      </x:c>
      <x:c r="P983" s="6" t="str">
        <x:f>$AA$29</x:f>
        <x:v>精英：15次标准普攻击杀；7.5次主要攻击致死</x:v>
      </x:c>
      <x:c r="Q983" s="6"/>
      <x:c r="R983" s="6"/>
      <x:c r="S983" s="6"/>
      <x:c r="T983" s="6"/>
    </x:row>
    <x:row r="984" ht="21" customHeight="1">
      <x:c r="A984" s="14" t="n">
        <x:f>$V$29</x:f>
        <x:v>60016</x:v>
      </x:c>
      <x:c r="B984" s="14" t="str">
        <x:f>$W$29</x:f>
        <x:v>大屁桃</x:v>
      </x:c>
      <x:c r="C984" s="6" t="str">
        <x:f>$X$29</x:f>
        <x:v>精英</x:v>
      </x:c>
      <x:c r="D984" s="6">
        <x:v>22</x:v>
      </x:c>
      <x:c r="E984" s="6">
        <x:v>29</x:v>
      </x:c>
      <x:c r="F984" s="12">
        <x:f>ROUND(J984*$W$4*H984,0)</x:f>
        <x:v>15480</x:v>
      </x:c>
      <x:c r="G984" s="12">
        <x:f>ROUND(J984*$W$4*$W$5*I984,0)</x:f>
        <x:v>1376</x:v>
      </x:c>
      <x:c r="H984" s="11" t="n">
        <x:f>$Y$29</x:f>
        <x:v>3.75</x:v>
      </x:c>
      <x:c r="I984" s="11" t="n">
        <x:f>$Z$29</x:f>
        <x:v>4.444444444444445</x:v>
      </x:c>
      <x:c r="J984" s="12">
        <x:f>英雄升级调参!$E$87</x:f>
        <x:v>1032</x:v>
      </x:c>
      <x:c r="K984" s="12">
        <x:f>英雄升级调参!$F$87</x:f>
        <x:v>10320</x:v>
      </x:c>
      <x:c r="L984" s="6" t="n">
        <x:f>ROUNDUP(F984/J984,0)</x:f>
        <x:v>15</x:v>
      </x:c>
      <x:c r="M984" s="6" t="n">
        <x:f>IF(G984=0,"无伤害",ROUNDUP(K984/MAX(1,ROUND(G984*$AC$29,0)),0))</x:f>
        <x:v>8</x:v>
      </x:c>
      <x:c r="N984" s="6" t="n">
        <x:f>ROUNDUP(F984/英雄升级调参!$H$87,0)</x:f>
        <x:v>10</x:v>
      </x:c>
      <x:c r="O984" s="6">
        <x:f>ROUNDUP(F984/英雄升级调参!$K$87,0)</x:f>
        <x:v>6</x:v>
      </x:c>
      <x:c r="P984" s="6" t="str">
        <x:f>$AA$29</x:f>
        <x:v>精英：15次标准普攻击杀；7.5次主要攻击致死</x:v>
      </x:c>
      <x:c r="Q984" s="6"/>
      <x:c r="R984" s="6"/>
      <x:c r="S984" s="6"/>
      <x:c r="T984" s="6"/>
    </x:row>
    <x:row r="985" ht="21" customHeight="1">
      <x:c r="A985" s="14" t="n">
        <x:f>$V$29</x:f>
        <x:v>60016</x:v>
      </x:c>
      <x:c r="B985" s="14" t="str">
        <x:f>$W$29</x:f>
        <x:v>大屁桃</x:v>
      </x:c>
      <x:c r="C985" s="6" t="str">
        <x:f>$X$29</x:f>
        <x:v>精英</x:v>
      </x:c>
      <x:c r="D985" s="6">
        <x:v>23</x:v>
      </x:c>
      <x:c r="E985" s="6">
        <x:v>29</x:v>
      </x:c>
      <x:c r="F985" s="12">
        <x:f>ROUND(J985*$W$4*H985,0)</x:f>
        <x:v>16290</x:v>
      </x:c>
      <x:c r="G985" s="12">
        <x:f>ROUND(J985*$W$4*$W$5*I985,0)</x:f>
        <x:v>1448</x:v>
      </x:c>
      <x:c r="H985" s="11" t="n">
        <x:f>$Y$29</x:f>
        <x:v>3.75</x:v>
      </x:c>
      <x:c r="I985" s="11" t="n">
        <x:f>$Z$29</x:f>
        <x:v>4.444444444444445</x:v>
      </x:c>
      <x:c r="J985" s="12">
        <x:f>英雄升级调参!$E$88</x:f>
        <x:v>1086</x:v>
      </x:c>
      <x:c r="K985" s="12">
        <x:f>英雄升级调参!$F$88</x:f>
        <x:v>10860</x:v>
      </x:c>
      <x:c r="L985" s="6" t="n">
        <x:f>ROUNDUP(F985/J985,0)</x:f>
        <x:v>15</x:v>
      </x:c>
      <x:c r="M985" s="6" t="n">
        <x:f>IF(G985=0,"无伤害",ROUNDUP(K985/MAX(1,ROUND(G985*$AC$29,0)),0))</x:f>
        <x:v>8</x:v>
      </x:c>
      <x:c r="N985" s="6" t="n">
        <x:f>ROUNDUP(F985/英雄升级调参!$H$88,0)</x:f>
        <x:v>10</x:v>
      </x:c>
      <x:c r="O985" s="6">
        <x:f>ROUNDUP(F985/英雄升级调参!$K$88,0)</x:f>
        <x:v>6</x:v>
      </x:c>
      <x:c r="P985" s="6" t="str">
        <x:f>$AA$29</x:f>
        <x:v>精英：15次标准普攻击杀；7.5次主要攻击致死</x:v>
      </x:c>
      <x:c r="Q985" s="6"/>
      <x:c r="R985" s="6"/>
      <x:c r="S985" s="6"/>
      <x:c r="T985" s="6"/>
    </x:row>
    <x:row r="986" ht="21" customHeight="1">
      <x:c r="A986" s="14" t="n">
        <x:f>$V$29</x:f>
        <x:v>60016</x:v>
      </x:c>
      <x:c r="B986" s="14" t="str">
        <x:f>$W$29</x:f>
        <x:v>大屁桃</x:v>
      </x:c>
      <x:c r="C986" s="6" t="str">
        <x:f>$X$29</x:f>
        <x:v>精英</x:v>
      </x:c>
      <x:c r="D986" s="6">
        <x:v>24</x:v>
      </x:c>
      <x:c r="E986" s="6">
        <x:v>29</x:v>
      </x:c>
      <x:c r="F986" s="12">
        <x:f>ROUND(J986*$W$4*H986,0)</x:f>
        <x:v>17100</x:v>
      </x:c>
      <x:c r="G986" s="12">
        <x:f>ROUND(J986*$W$4*$W$5*I986,0)</x:f>
        <x:v>1520</x:v>
      </x:c>
      <x:c r="H986" s="11" t="n">
        <x:f>$Y$29</x:f>
        <x:v>3.75</x:v>
      </x:c>
      <x:c r="I986" s="11" t="n">
        <x:f>$Z$29</x:f>
        <x:v>4.444444444444445</x:v>
      </x:c>
      <x:c r="J986" s="12">
        <x:f>英雄升级调参!$E$89</x:f>
        <x:v>1140</x:v>
      </x:c>
      <x:c r="K986" s="12">
        <x:f>英雄升级调参!$F$89</x:f>
        <x:v>11400</x:v>
      </x:c>
      <x:c r="L986" s="6" t="n">
        <x:f>ROUNDUP(F986/J986,0)</x:f>
        <x:v>15</x:v>
      </x:c>
      <x:c r="M986" s="6" t="n">
        <x:f>IF(G986=0,"无伤害",ROUNDUP(K986/MAX(1,ROUND(G986*$AC$29,0)),0))</x:f>
        <x:v>8</x:v>
      </x:c>
      <x:c r="N986" s="6" t="n">
        <x:f>ROUNDUP(F986/英雄升级调参!$H$89,0)</x:f>
        <x:v>10</x:v>
      </x:c>
      <x:c r="O986" s="6">
        <x:f>ROUNDUP(F986/英雄升级调参!$K$89,0)</x:f>
        <x:v>6</x:v>
      </x:c>
      <x:c r="P986" s="6" t="str">
        <x:f>$AA$29</x:f>
        <x:v>精英：15次标准普攻击杀；7.5次主要攻击致死</x:v>
      </x:c>
      <x:c r="Q986" s="6"/>
      <x:c r="R986" s="6"/>
      <x:c r="S986" s="6"/>
      <x:c r="T986" s="6"/>
    </x:row>
    <x:row r="987" ht="21" customHeight="1">
      <x:c r="A987" s="14" t="n">
        <x:f>$V$29</x:f>
        <x:v>60016</x:v>
      </x:c>
      <x:c r="B987" s="14" t="str">
        <x:f>$W$29</x:f>
        <x:v>大屁桃</x:v>
      </x:c>
      <x:c r="C987" s="6" t="str">
        <x:f>$X$29</x:f>
        <x:v>精英</x:v>
      </x:c>
      <x:c r="D987" s="6">
        <x:v>25</x:v>
      </x:c>
      <x:c r="E987" s="6">
        <x:v>29</x:v>
      </x:c>
      <x:c r="F987" s="12">
        <x:f>ROUND(J987*$W$4*H987,0)</x:f>
        <x:v>19530</x:v>
      </x:c>
      <x:c r="G987" s="12">
        <x:f>ROUND(J987*$W$4*$W$5*I987,0)</x:f>
        <x:v>1736</x:v>
      </x:c>
      <x:c r="H987" s="11" t="n">
        <x:f>$Y$29</x:f>
        <x:v>3.75</x:v>
      </x:c>
      <x:c r="I987" s="11" t="n">
        <x:f>$Z$29</x:f>
        <x:v>4.444444444444445</x:v>
      </x:c>
      <x:c r="J987" s="12">
        <x:f>英雄升级调参!$E$90</x:f>
        <x:v>1302</x:v>
      </x:c>
      <x:c r="K987" s="12">
        <x:f>英雄升级调参!$F$90</x:f>
        <x:v>13020</x:v>
      </x:c>
      <x:c r="L987" s="6" t="n">
        <x:f>ROUNDUP(F987/J987,0)</x:f>
        <x:v>15</x:v>
      </x:c>
      <x:c r="M987" s="6" t="n">
        <x:f>IF(G987=0,"无伤害",ROUNDUP(K987/MAX(1,ROUND(G987*$AC$29,0)),0))</x:f>
        <x:v>8</x:v>
      </x:c>
      <x:c r="N987" s="6" t="n">
        <x:f>ROUNDUP(F987/英雄升级调参!$H$90,0)</x:f>
        <x:v>10</x:v>
      </x:c>
      <x:c r="O987" s="6">
        <x:f>ROUNDUP(F987/英雄升级调参!$K$90,0)</x:f>
        <x:v>6</x:v>
      </x:c>
      <x:c r="P987" s="6" t="str">
        <x:f>$AA$29</x:f>
        <x:v>精英：15次标准普攻击杀；7.5次主要攻击致死</x:v>
      </x:c>
      <x:c r="Q987" s="6"/>
      <x:c r="R987" s="6"/>
      <x:c r="S987" s="6"/>
      <x:c r="T987" s="6"/>
    </x:row>
    <x:row r="988" ht="21" customHeight="1">
      <x:c r="A988" s="14" t="n">
        <x:f>$V$29</x:f>
        <x:v>60016</x:v>
      </x:c>
      <x:c r="B988" s="14" t="str">
        <x:f>$W$29</x:f>
        <x:v>大屁桃</x:v>
      </x:c>
      <x:c r="C988" s="6" t="str">
        <x:f>$X$29</x:f>
        <x:v>精英</x:v>
      </x:c>
      <x:c r="D988" s="6">
        <x:v>26</x:v>
      </x:c>
      <x:c r="E988" s="6">
        <x:v>29</x:v>
      </x:c>
      <x:c r="F988" s="12">
        <x:f>ROUND(J988*$W$4*H988,0)</x:f>
        <x:v>20475</x:v>
      </x:c>
      <x:c r="G988" s="12">
        <x:f>ROUND(J988*$W$4*$W$5*I988,0)</x:f>
        <x:v>1820</x:v>
      </x:c>
      <x:c r="H988" s="11" t="n">
        <x:f>$Y$29</x:f>
        <x:v>3.75</x:v>
      </x:c>
      <x:c r="I988" s="11" t="n">
        <x:f>$Z$29</x:f>
        <x:v>4.444444444444445</x:v>
      </x:c>
      <x:c r="J988" s="12">
        <x:f>英雄升级调参!$E$91</x:f>
        <x:v>1365</x:v>
      </x:c>
      <x:c r="K988" s="12">
        <x:f>英雄升级调参!$F$91</x:f>
        <x:v>13650</x:v>
      </x:c>
      <x:c r="L988" s="6" t="n">
        <x:f>ROUNDUP(F988/J988,0)</x:f>
        <x:v>15</x:v>
      </x:c>
      <x:c r="M988" s="6" t="n">
        <x:f>IF(G988=0,"无伤害",ROUNDUP(K988/MAX(1,ROUND(G988*$AC$29,0)),0))</x:f>
        <x:v>8</x:v>
      </x:c>
      <x:c r="N988" s="6" t="n">
        <x:f>ROUNDUP(F988/英雄升级调参!$H$91,0)</x:f>
        <x:v>10</x:v>
      </x:c>
      <x:c r="O988" s="6">
        <x:f>ROUNDUP(F988/英雄升级调参!$K$91,0)</x:f>
        <x:v>6</x:v>
      </x:c>
      <x:c r="P988" s="6" t="str">
        <x:f>$AA$29</x:f>
        <x:v>精英：15次标准普攻击杀；7.5次主要攻击致死</x:v>
      </x:c>
      <x:c r="Q988" s="6"/>
      <x:c r="R988" s="6"/>
      <x:c r="S988" s="6"/>
      <x:c r="T988" s="6"/>
    </x:row>
    <x:row r="989" ht="21" customHeight="1">
      <x:c r="A989" s="14" t="n">
        <x:f>$V$29</x:f>
        <x:v>60016</x:v>
      </x:c>
      <x:c r="B989" s="14" t="str">
        <x:f>$W$29</x:f>
        <x:v>大屁桃</x:v>
      </x:c>
      <x:c r="C989" s="6" t="str">
        <x:f>$X$29</x:f>
        <x:v>精英</x:v>
      </x:c>
      <x:c r="D989" s="6">
        <x:v>27</x:v>
      </x:c>
      <x:c r="E989" s="6">
        <x:v>29</x:v>
      </x:c>
      <x:c r="F989" s="12">
        <x:f>ROUND(J989*$W$4*H989,0)</x:f>
        <x:v>21420</x:v>
      </x:c>
      <x:c r="G989" s="12">
        <x:f>ROUND(J989*$W$4*$W$5*I989,0)</x:f>
        <x:v>1904</x:v>
      </x:c>
      <x:c r="H989" s="11" t="n">
        <x:f>$Y$29</x:f>
        <x:v>3.75</x:v>
      </x:c>
      <x:c r="I989" s="11" t="n">
        <x:f>$Z$29</x:f>
        <x:v>4.444444444444445</x:v>
      </x:c>
      <x:c r="J989" s="12">
        <x:f>英雄升级调参!$E$92</x:f>
        <x:v>1428</x:v>
      </x:c>
      <x:c r="K989" s="12">
        <x:f>英雄升级调参!$F$92</x:f>
        <x:v>14280</x:v>
      </x:c>
      <x:c r="L989" s="6" t="n">
        <x:f>ROUNDUP(F989/J989,0)</x:f>
        <x:v>15</x:v>
      </x:c>
      <x:c r="M989" s="6" t="n">
        <x:f>IF(G989=0,"无伤害",ROUNDUP(K989/MAX(1,ROUND(G989*$AC$29,0)),0))</x:f>
        <x:v>8</x:v>
      </x:c>
      <x:c r="N989" s="6" t="n">
        <x:f>ROUNDUP(F989/英雄升级调参!$H$92,0)</x:f>
        <x:v>10</x:v>
      </x:c>
      <x:c r="O989" s="6">
        <x:f>ROUNDUP(F989/英雄升级调参!$K$92,0)</x:f>
        <x:v>6</x:v>
      </x:c>
      <x:c r="P989" s="6" t="str">
        <x:f>$AA$29</x:f>
        <x:v>精英：15次标准普攻击杀；7.5次主要攻击致死</x:v>
      </x:c>
      <x:c r="Q989" s="6"/>
      <x:c r="R989" s="6"/>
      <x:c r="S989" s="6"/>
      <x:c r="T989" s="6"/>
    </x:row>
    <x:row r="990" ht="21" customHeight="1">
      <x:c r="A990" s="14" t="n">
        <x:f>$V$29</x:f>
        <x:v>60016</x:v>
      </x:c>
      <x:c r="B990" s="14" t="str">
        <x:f>$W$29</x:f>
        <x:v>大屁桃</x:v>
      </x:c>
      <x:c r="C990" s="6" t="str">
        <x:f>$X$29</x:f>
        <x:v>精英</x:v>
      </x:c>
      <x:c r="D990" s="6">
        <x:v>28</x:v>
      </x:c>
      <x:c r="E990" s="6">
        <x:v>29</x:v>
      </x:c>
      <x:c r="F990" s="12">
        <x:f>ROUND(J990*$W$4*H990,0)</x:f>
        <x:v>22365</x:v>
      </x:c>
      <x:c r="G990" s="12">
        <x:f>ROUND(J990*$W$4*$W$5*I990,0)</x:f>
        <x:v>1988</x:v>
      </x:c>
      <x:c r="H990" s="11" t="n">
        <x:f>$Y$29</x:f>
        <x:v>3.75</x:v>
      </x:c>
      <x:c r="I990" s="11" t="n">
        <x:f>$Z$29</x:f>
        <x:v>4.444444444444445</x:v>
      </x:c>
      <x:c r="J990" s="12">
        <x:f>英雄升级调参!$E$93</x:f>
        <x:v>1491</x:v>
      </x:c>
      <x:c r="K990" s="12">
        <x:f>英雄升级调参!$F$93</x:f>
        <x:v>14910</x:v>
      </x:c>
      <x:c r="L990" s="6" t="n">
        <x:f>ROUNDUP(F990/J990,0)</x:f>
        <x:v>15</x:v>
      </x:c>
      <x:c r="M990" s="6" t="n">
        <x:f>IF(G990=0,"无伤害",ROUNDUP(K990/MAX(1,ROUND(G990*$AC$29,0)),0))</x:f>
        <x:v>8</x:v>
      </x:c>
      <x:c r="N990" s="6" t="n">
        <x:f>ROUNDUP(F990/英雄升级调参!$H$93,0)</x:f>
        <x:v>10</x:v>
      </x:c>
      <x:c r="O990" s="6">
        <x:f>ROUNDUP(F990/英雄升级调参!$K$93,0)</x:f>
        <x:v>6</x:v>
      </x:c>
      <x:c r="P990" s="6" t="str">
        <x:f>$AA$29</x:f>
        <x:v>精英：15次标准普攻击杀；7.5次主要攻击致死</x:v>
      </x:c>
      <x:c r="Q990" s="6"/>
      <x:c r="R990" s="6"/>
      <x:c r="S990" s="6"/>
      <x:c r="T990" s="6"/>
    </x:row>
    <x:row r="991" ht="21" customHeight="1">
      <x:c r="A991" s="14" t="n">
        <x:f>$V$29</x:f>
        <x:v>60016</x:v>
      </x:c>
      <x:c r="B991" s="14" t="str">
        <x:f>$W$29</x:f>
        <x:v>大屁桃</x:v>
      </x:c>
      <x:c r="C991" s="6" t="str">
        <x:f>$X$29</x:f>
        <x:v>精英</x:v>
      </x:c>
      <x:c r="D991" s="6">
        <x:v>29</x:v>
      </x:c>
      <x:c r="E991" s="6">
        <x:v>29</x:v>
      </x:c>
      <x:c r="F991" s="12">
        <x:f>ROUND(J991*$W$4*H991,0)</x:f>
        <x:v>23310</x:v>
      </x:c>
      <x:c r="G991" s="12">
        <x:f>ROUND(J991*$W$4*$W$5*I991,0)</x:f>
        <x:v>2072</x:v>
      </x:c>
      <x:c r="H991" s="11" t="n">
        <x:f>$Y$29</x:f>
        <x:v>3.75</x:v>
      </x:c>
      <x:c r="I991" s="11" t="n">
        <x:f>$Z$29</x:f>
        <x:v>4.444444444444445</x:v>
      </x:c>
      <x:c r="J991" s="12">
        <x:f>英雄升级调参!$E$94</x:f>
        <x:v>1554</x:v>
      </x:c>
      <x:c r="K991" s="12">
        <x:f>英雄升级调参!$F$94</x:f>
        <x:v>15540</x:v>
      </x:c>
      <x:c r="L991" s="6" t="n">
        <x:f>ROUNDUP(F991/J991,0)</x:f>
        <x:v>15</x:v>
      </x:c>
      <x:c r="M991" s="6" t="n">
        <x:f>IF(G991=0,"无伤害",ROUNDUP(K991/MAX(1,ROUND(G991*$AC$29,0)),0))</x:f>
        <x:v>8</x:v>
      </x:c>
      <x:c r="N991" s="6" t="n">
        <x:f>ROUNDUP(F991/英雄升级调参!$H$94,0)</x:f>
        <x:v>10</x:v>
      </x:c>
      <x:c r="O991" s="6">
        <x:f>ROUNDUP(F991/英雄升级调参!$K$94,0)</x:f>
        <x:v>6</x:v>
      </x:c>
      <x:c r="P991" s="6" t="str">
        <x:f>$AA$29</x:f>
        <x:v>精英：15次标准普攻击杀；7.5次主要攻击致死</x:v>
      </x:c>
      <x:c r="Q991" s="6"/>
      <x:c r="R991" s="6"/>
      <x:c r="S991" s="6"/>
      <x:c r="T991" s="6"/>
    </x:row>
    <x:row r="992" ht="21" customHeight="1">
      <x:c r="A992" s="14" t="n">
        <x:f>$V$29</x:f>
        <x:v>60016</x:v>
      </x:c>
      <x:c r="B992" s="14" t="str">
        <x:f>$W$29</x:f>
        <x:v>大屁桃</x:v>
      </x:c>
      <x:c r="C992" s="6" t="str">
        <x:f>$X$29</x:f>
        <x:v>精英</x:v>
      </x:c>
      <x:c r="D992" s="6">
        <x:v>30</x:v>
      </x:c>
      <x:c r="E992" s="6">
        <x:v>29</x:v>
      </x:c>
      <x:c r="F992" s="12">
        <x:f>ROUND(J992*$W$4*H992,0)</x:f>
        <x:v>26145</x:v>
      </x:c>
      <x:c r="G992" s="12">
        <x:f>ROUND(J992*$W$4*$W$5*I992,0)</x:f>
        <x:v>2324</x:v>
      </x:c>
      <x:c r="H992" s="11" t="n">
        <x:f>$Y$29</x:f>
        <x:v>3.75</x:v>
      </x:c>
      <x:c r="I992" s="11" t="n">
        <x:f>$Z$29</x:f>
        <x:v>4.444444444444445</x:v>
      </x:c>
      <x:c r="J992" s="12">
        <x:f>英雄升级调参!$E$95</x:f>
        <x:v>1743</x:v>
      </x:c>
      <x:c r="K992" s="12">
        <x:f>英雄升级调参!$F$95</x:f>
        <x:v>17430</x:v>
      </x:c>
      <x:c r="L992" s="6" t="n">
        <x:f>ROUNDUP(F992/J992,0)</x:f>
        <x:v>15</x:v>
      </x:c>
      <x:c r="M992" s="6" t="n">
        <x:f>IF(G992=0,"无伤害",ROUNDUP(K992/MAX(1,ROUND(G992*$AC$29,0)),0))</x:f>
        <x:v>8</x:v>
      </x:c>
      <x:c r="N992" s="6" t="n">
        <x:f>ROUNDUP(F992/英雄升级调参!$H$95,0)</x:f>
        <x:v>10</x:v>
      </x:c>
      <x:c r="O992" s="6">
        <x:f>ROUNDUP(F992/英雄升级调参!$K$95,0)</x:f>
        <x:v>6</x:v>
      </x:c>
      <x:c r="P992" s="6" t="str">
        <x:f>$AA$29</x:f>
        <x:v>精英：15次标准普攻击杀；7.5次主要攻击致死</x:v>
      </x:c>
      <x:c r="Q992" s="6"/>
      <x:c r="R992" s="6"/>
      <x:c r="S992" s="6"/>
      <x:c r="T992" s="6"/>
    </x:row>
    <x:row r="993" ht="21" customHeight="1">
      <x:c r="A993" s="14" t="n">
        <x:f>$V$29</x:f>
        <x:v>60016</x:v>
      </x:c>
      <x:c r="B993" s="14" t="str">
        <x:f>$W$29</x:f>
        <x:v>大屁桃</x:v>
      </x:c>
      <x:c r="C993" s="6" t="str">
        <x:f>$X$29</x:f>
        <x:v>精英</x:v>
      </x:c>
      <x:c r="D993" s="6">
        <x:v>31</x:v>
      </x:c>
      <x:c r="E993" s="6">
        <x:v>29</x:v>
      </x:c>
      <x:c r="F993" s="12">
        <x:f>ROUND(J993*$W$4*H993,0)</x:f>
        <x:v>27225</x:v>
      </x:c>
      <x:c r="G993" s="12">
        <x:f>ROUND(J993*$W$4*$W$5*I993,0)</x:f>
        <x:v>2420</x:v>
      </x:c>
      <x:c r="H993" s="11" t="n">
        <x:f>$Y$29</x:f>
        <x:v>3.75</x:v>
      </x:c>
      <x:c r="I993" s="11" t="n">
        <x:f>$Z$29</x:f>
        <x:v>4.444444444444445</x:v>
      </x:c>
      <x:c r="J993" s="12">
        <x:f>英雄升级调参!$E$96</x:f>
        <x:v>1815</x:v>
      </x:c>
      <x:c r="K993" s="12">
        <x:f>英雄升级调参!$F$96</x:f>
        <x:v>18150</x:v>
      </x:c>
      <x:c r="L993" s="6" t="n">
        <x:f>ROUNDUP(F993/J993,0)</x:f>
        <x:v>15</x:v>
      </x:c>
      <x:c r="M993" s="6" t="n">
        <x:f>IF(G993=0,"无伤害",ROUNDUP(K993/MAX(1,ROUND(G993*$AC$29,0)),0))</x:f>
        <x:v>8</x:v>
      </x:c>
      <x:c r="N993" s="6" t="n">
        <x:f>ROUNDUP(F993/英雄升级调参!$H$96,0)</x:f>
        <x:v>10</x:v>
      </x:c>
      <x:c r="O993" s="6">
        <x:f>ROUNDUP(F993/英雄升级调参!$K$96,0)</x:f>
        <x:v>6</x:v>
      </x:c>
      <x:c r="P993" s="6" t="str">
        <x:f>$AA$29</x:f>
        <x:v>精英：15次标准普攻击杀；7.5次主要攻击致死</x:v>
      </x:c>
      <x:c r="Q993" s="6"/>
      <x:c r="R993" s="6"/>
      <x:c r="S993" s="6"/>
      <x:c r="T993" s="6"/>
    </x:row>
    <x:row r="994" ht="21" customHeight="1">
      <x:c r="A994" s="14" t="n">
        <x:f>$V$29</x:f>
        <x:v>60016</x:v>
      </x:c>
      <x:c r="B994" s="14" t="str">
        <x:f>$W$29</x:f>
        <x:v>大屁桃</x:v>
      </x:c>
      <x:c r="C994" s="6" t="str">
        <x:f>$X$29</x:f>
        <x:v>精英</x:v>
      </x:c>
      <x:c r="D994" s="6">
        <x:v>32</x:v>
      </x:c>
      <x:c r="E994" s="6">
        <x:v>29</x:v>
      </x:c>
      <x:c r="F994" s="12">
        <x:f>ROUND(J994*$W$4*H994,0)</x:f>
        <x:v>28305</x:v>
      </x:c>
      <x:c r="G994" s="12">
        <x:f>ROUND(J994*$W$4*$W$5*I994,0)</x:f>
        <x:v>2516</x:v>
      </x:c>
      <x:c r="H994" s="11" t="n">
        <x:f>$Y$29</x:f>
        <x:v>3.75</x:v>
      </x:c>
      <x:c r="I994" s="11" t="n">
        <x:f>$Z$29</x:f>
        <x:v>4.444444444444445</x:v>
      </x:c>
      <x:c r="J994" s="12">
        <x:f>英雄升级调参!$E$97</x:f>
        <x:v>1887</x:v>
      </x:c>
      <x:c r="K994" s="12">
        <x:f>英雄升级调参!$F$97</x:f>
        <x:v>18870</x:v>
      </x:c>
      <x:c r="L994" s="6" t="n">
        <x:f>ROUNDUP(F994/J994,0)</x:f>
        <x:v>15</x:v>
      </x:c>
      <x:c r="M994" s="6" t="n">
        <x:f>IF(G994=0,"无伤害",ROUNDUP(K994/MAX(1,ROUND(G994*$AC$29,0)),0))</x:f>
        <x:v>8</x:v>
      </x:c>
      <x:c r="N994" s="6" t="n">
        <x:f>ROUNDUP(F994/英雄升级调参!$H$97,0)</x:f>
        <x:v>10</x:v>
      </x:c>
      <x:c r="O994" s="6">
        <x:f>ROUNDUP(F994/英雄升级调参!$K$97,0)</x:f>
        <x:v>6</x:v>
      </x:c>
      <x:c r="P994" s="6" t="str">
        <x:f>$AA$29</x:f>
        <x:v>精英：15次标准普攻击杀；7.5次主要攻击致死</x:v>
      </x:c>
      <x:c r="Q994" s="6"/>
      <x:c r="R994" s="6"/>
      <x:c r="S994" s="6"/>
      <x:c r="T994" s="6"/>
    </x:row>
    <x:row r="995" ht="21" customHeight="1">
      <x:c r="A995" s="14" t="n">
        <x:f>$V$29</x:f>
        <x:v>60016</x:v>
      </x:c>
      <x:c r="B995" s="14" t="str">
        <x:f>$W$29</x:f>
        <x:v>大屁桃</x:v>
      </x:c>
      <x:c r="C995" s="6" t="str">
        <x:f>$X$29</x:f>
        <x:v>精英</x:v>
      </x:c>
      <x:c r="D995" s="6">
        <x:v>33</x:v>
      </x:c>
      <x:c r="E995" s="6">
        <x:v>29</x:v>
      </x:c>
      <x:c r="F995" s="12">
        <x:f>ROUND(J995*$W$4*H995,0)</x:f>
        <x:v>29385</x:v>
      </x:c>
      <x:c r="G995" s="12">
        <x:f>ROUND(J995*$W$4*$W$5*I995,0)</x:f>
        <x:v>2612</x:v>
      </x:c>
      <x:c r="H995" s="11" t="n">
        <x:f>$Y$29</x:f>
        <x:v>3.75</x:v>
      </x:c>
      <x:c r="I995" s="11" t="n">
        <x:f>$Z$29</x:f>
        <x:v>4.444444444444445</x:v>
      </x:c>
      <x:c r="J995" s="12">
        <x:f>英雄升级调参!$E$98</x:f>
        <x:v>1959</x:v>
      </x:c>
      <x:c r="K995" s="12">
        <x:f>英雄升级调参!$F$98</x:f>
        <x:v>19590</x:v>
      </x:c>
      <x:c r="L995" s="6" t="n">
        <x:f>ROUNDUP(F995/J995,0)</x:f>
        <x:v>15</x:v>
      </x:c>
      <x:c r="M995" s="6" t="n">
        <x:f>IF(G995=0,"无伤害",ROUNDUP(K995/MAX(1,ROUND(G995*$AC$29,0)),0))</x:f>
        <x:v>8</x:v>
      </x:c>
      <x:c r="N995" s="6" t="n">
        <x:f>ROUNDUP(F995/英雄升级调参!$H$98,0)</x:f>
        <x:v>10</x:v>
      </x:c>
      <x:c r="O995" s="6">
        <x:f>ROUNDUP(F995/英雄升级调参!$K$98,0)</x:f>
        <x:v>6</x:v>
      </x:c>
      <x:c r="P995" s="6" t="str">
        <x:f>$AA$29</x:f>
        <x:v>精英：15次标准普攻击杀；7.5次主要攻击致死</x:v>
      </x:c>
      <x:c r="Q995" s="6"/>
      <x:c r="R995" s="6"/>
      <x:c r="S995" s="6"/>
      <x:c r="T995" s="6"/>
    </x:row>
    <x:row r="996" ht="21" customHeight="1">
      <x:c r="A996" s="14" t="n">
        <x:f>$V$29</x:f>
        <x:v>60016</x:v>
      </x:c>
      <x:c r="B996" s="14" t="str">
        <x:f>$W$29</x:f>
        <x:v>大屁桃</x:v>
      </x:c>
      <x:c r="C996" s="6" t="str">
        <x:f>$X$29</x:f>
        <x:v>精英</x:v>
      </x:c>
      <x:c r="D996" s="6">
        <x:v>34</x:v>
      </x:c>
      <x:c r="E996" s="6">
        <x:v>29</x:v>
      </x:c>
      <x:c r="F996" s="12">
        <x:f>ROUND(J996*$W$4*H996,0)</x:f>
        <x:v>30465</x:v>
      </x:c>
      <x:c r="G996" s="12">
        <x:f>ROUND(J996*$W$4*$W$5*I996,0)</x:f>
        <x:v>2708</x:v>
      </x:c>
      <x:c r="H996" s="11" t="n">
        <x:f>$Y$29</x:f>
        <x:v>3.75</x:v>
      </x:c>
      <x:c r="I996" s="11" t="n">
        <x:f>$Z$29</x:f>
        <x:v>4.444444444444445</x:v>
      </x:c>
      <x:c r="J996" s="12">
        <x:f>英雄升级调参!$E$99</x:f>
        <x:v>2031</x:v>
      </x:c>
      <x:c r="K996" s="12">
        <x:f>英雄升级调参!$F$99</x:f>
        <x:v>20310</x:v>
      </x:c>
      <x:c r="L996" s="6" t="n">
        <x:f>ROUNDUP(F996/J996,0)</x:f>
        <x:v>15</x:v>
      </x:c>
      <x:c r="M996" s="6" t="n">
        <x:f>IF(G996=0,"无伤害",ROUNDUP(K996/MAX(1,ROUND(G996*$AC$29,0)),0))</x:f>
        <x:v>8</x:v>
      </x:c>
      <x:c r="N996" s="6" t="n">
        <x:f>ROUNDUP(F996/英雄升级调参!$H$99,0)</x:f>
        <x:v>10</x:v>
      </x:c>
      <x:c r="O996" s="6">
        <x:f>ROUNDUP(F996/英雄升级调参!$K$99,0)</x:f>
        <x:v>6</x:v>
      </x:c>
      <x:c r="P996" s="6" t="str">
        <x:f>$AA$29</x:f>
        <x:v>精英：15次标准普攻击杀；7.5次主要攻击致死</x:v>
      </x:c>
      <x:c r="Q996" s="6"/>
      <x:c r="R996" s="6"/>
      <x:c r="S996" s="6"/>
      <x:c r="T996" s="6"/>
    </x:row>
    <x:row r="997" ht="21" customHeight="1">
      <x:c r="A997" s="14" t="n">
        <x:f>$V$29</x:f>
        <x:v>60016</x:v>
      </x:c>
      <x:c r="B997" s="14" t="str">
        <x:f>$W$29</x:f>
        <x:v>大屁桃</x:v>
      </x:c>
      <x:c r="C997" s="6" t="str">
        <x:f>$X$29</x:f>
        <x:v>精英</x:v>
      </x:c>
      <x:c r="D997" s="6">
        <x:v>35</x:v>
      </x:c>
      <x:c r="E997" s="6">
        <x:v>29</x:v>
      </x:c>
      <x:c r="F997" s="12">
        <x:f>ROUND(J997*$W$4*H997,0)</x:f>
        <x:v>33705</x:v>
      </x:c>
      <x:c r="G997" s="12">
        <x:f>ROUND(J997*$W$4*$W$5*I997,0)</x:f>
        <x:v>2996</x:v>
      </x:c>
      <x:c r="H997" s="11" t="n">
        <x:f>$Y$29</x:f>
        <x:v>3.75</x:v>
      </x:c>
      <x:c r="I997" s="11" t="n">
        <x:f>$Z$29</x:f>
        <x:v>4.444444444444445</x:v>
      </x:c>
      <x:c r="J997" s="12">
        <x:f>英雄升级调参!$E$100</x:f>
        <x:v>2247</x:v>
      </x:c>
      <x:c r="K997" s="12">
        <x:f>英雄升级调参!$F$100</x:f>
        <x:v>22470</x:v>
      </x:c>
      <x:c r="L997" s="6" t="n">
        <x:f>ROUNDUP(F997/J997,0)</x:f>
        <x:v>15</x:v>
      </x:c>
      <x:c r="M997" s="6" t="n">
        <x:f>IF(G997=0,"无伤害",ROUNDUP(K997/MAX(1,ROUND(G997*$AC$29,0)),0))</x:f>
        <x:v>8</x:v>
      </x:c>
      <x:c r="N997" s="6" t="n">
        <x:f>ROUNDUP(F997/英雄升级调参!$H$100,0)</x:f>
        <x:v>10</x:v>
      </x:c>
      <x:c r="O997" s="6">
        <x:f>ROUNDUP(F997/英雄升级调参!$K$100,0)</x:f>
        <x:v>6</x:v>
      </x:c>
      <x:c r="P997" s="6" t="str">
        <x:f>$AA$29</x:f>
        <x:v>精英：15次标准普攻击杀；7.5次主要攻击致死</x:v>
      </x:c>
      <x:c r="Q997" s="6"/>
      <x:c r="R997" s="6"/>
      <x:c r="S997" s="6"/>
      <x:c r="T997" s="6"/>
    </x:row>
    <x:row r="998" ht="21" customHeight="1">
      <x:c r="A998" s="14" t="n">
        <x:f>$V$29</x:f>
        <x:v>60016</x:v>
      </x:c>
      <x:c r="B998" s="14" t="str">
        <x:f>$W$29</x:f>
        <x:v>大屁桃</x:v>
      </x:c>
      <x:c r="C998" s="6" t="str">
        <x:f>$X$29</x:f>
        <x:v>精英</x:v>
      </x:c>
      <x:c r="D998" s="6">
        <x:v>36</x:v>
      </x:c>
      <x:c r="E998" s="6">
        <x:v>29</x:v>
      </x:c>
      <x:c r="F998" s="12">
        <x:f>ROUND(J998*$W$4*H998,0)</x:f>
        <x:v>34920</x:v>
      </x:c>
      <x:c r="G998" s="12">
        <x:f>ROUND(J998*$W$4*$W$5*I998,0)</x:f>
        <x:v>3104</x:v>
      </x:c>
      <x:c r="H998" s="11" t="n">
        <x:f>$Y$29</x:f>
        <x:v>3.75</x:v>
      </x:c>
      <x:c r="I998" s="11" t="n">
        <x:f>$Z$29</x:f>
        <x:v>4.444444444444445</x:v>
      </x:c>
      <x:c r="J998" s="12">
        <x:f>英雄升级调参!$E$101</x:f>
        <x:v>2328</x:v>
      </x:c>
      <x:c r="K998" s="12">
        <x:f>英雄升级调参!$F$101</x:f>
        <x:v>23280</x:v>
      </x:c>
      <x:c r="L998" s="6" t="n">
        <x:f>ROUNDUP(F998/J998,0)</x:f>
        <x:v>15</x:v>
      </x:c>
      <x:c r="M998" s="6" t="n">
        <x:f>IF(G998=0,"无伤害",ROUNDUP(K998/MAX(1,ROUND(G998*$AC$29,0)),0))</x:f>
        <x:v>8</x:v>
      </x:c>
      <x:c r="N998" s="6" t="n">
        <x:f>ROUNDUP(F998/英雄升级调参!$H$101,0)</x:f>
        <x:v>10</x:v>
      </x:c>
      <x:c r="O998" s="6">
        <x:f>ROUNDUP(F998/英雄升级调参!$K$101,0)</x:f>
        <x:v>6</x:v>
      </x:c>
      <x:c r="P998" s="6" t="str">
        <x:f>$AA$29</x:f>
        <x:v>精英：15次标准普攻击杀；7.5次主要攻击致死</x:v>
      </x:c>
      <x:c r="Q998" s="6"/>
      <x:c r="R998" s="6"/>
      <x:c r="S998" s="6"/>
      <x:c r="T998" s="6"/>
    </x:row>
    <x:row r="999" ht="21" customHeight="1">
      <x:c r="A999" s="14" t="n">
        <x:f>$V$29</x:f>
        <x:v>60016</x:v>
      </x:c>
      <x:c r="B999" s="14" t="str">
        <x:f>$W$29</x:f>
        <x:v>大屁桃</x:v>
      </x:c>
      <x:c r="C999" s="6" t="str">
        <x:f>$X$29</x:f>
        <x:v>精英</x:v>
      </x:c>
      <x:c r="D999" s="6">
        <x:v>37</x:v>
      </x:c>
      <x:c r="E999" s="6">
        <x:v>29</x:v>
      </x:c>
      <x:c r="F999" s="12">
        <x:f>ROUND(J999*$W$4*H999,0)</x:f>
        <x:v>36135</x:v>
      </x:c>
      <x:c r="G999" s="12">
        <x:f>ROUND(J999*$W$4*$W$5*I999,0)</x:f>
        <x:v>3212</x:v>
      </x:c>
      <x:c r="H999" s="11" t="n">
        <x:f>$Y$29</x:f>
        <x:v>3.75</x:v>
      </x:c>
      <x:c r="I999" s="11" t="n">
        <x:f>$Z$29</x:f>
        <x:v>4.444444444444445</x:v>
      </x:c>
      <x:c r="J999" s="12">
        <x:f>英雄升级调参!$E$102</x:f>
        <x:v>2409</x:v>
      </x:c>
      <x:c r="K999" s="12">
        <x:f>英雄升级调参!$F$102</x:f>
        <x:v>24090</x:v>
      </x:c>
      <x:c r="L999" s="6" t="n">
        <x:f>ROUNDUP(F999/J999,0)</x:f>
        <x:v>15</x:v>
      </x:c>
      <x:c r="M999" s="6" t="n">
        <x:f>IF(G999=0,"无伤害",ROUNDUP(K999/MAX(1,ROUND(G999*$AC$29,0)),0))</x:f>
        <x:v>8</x:v>
      </x:c>
      <x:c r="N999" s="6" t="n">
        <x:f>ROUNDUP(F999/英雄升级调参!$H$102,0)</x:f>
        <x:v>10</x:v>
      </x:c>
      <x:c r="O999" s="6">
        <x:f>ROUNDUP(F999/英雄升级调参!$K$102,0)</x:f>
        <x:v>6</x:v>
      </x:c>
      <x:c r="P999" s="6" t="str">
        <x:f>$AA$29</x:f>
        <x:v>精英：15次标准普攻击杀；7.5次主要攻击致死</x:v>
      </x:c>
      <x:c r="Q999" s="6"/>
      <x:c r="R999" s="6"/>
      <x:c r="S999" s="6"/>
      <x:c r="T999" s="6"/>
    </x:row>
    <x:row r="1000" ht="21" customHeight="1">
      <x:c r="A1000" s="14" t="n">
        <x:f>$V$29</x:f>
        <x:v>60016</x:v>
      </x:c>
      <x:c r="B1000" s="14" t="str">
        <x:f>$W$29</x:f>
        <x:v>大屁桃</x:v>
      </x:c>
      <x:c r="C1000" s="6" t="str">
        <x:f>$X$29</x:f>
        <x:v>精英</x:v>
      </x:c>
      <x:c r="D1000" s="6">
        <x:v>38</x:v>
      </x:c>
      <x:c r="E1000" s="6">
        <x:v>29</x:v>
      </x:c>
      <x:c r="F1000" s="12">
        <x:f>ROUND(J1000*$W$4*H1000,0)</x:f>
        <x:v>37350</x:v>
      </x:c>
      <x:c r="G1000" s="12">
        <x:f>ROUND(J1000*$W$4*$W$5*I1000,0)</x:f>
        <x:v>3320</x:v>
      </x:c>
      <x:c r="H1000" s="11" t="n">
        <x:f>$Y$29</x:f>
        <x:v>3.75</x:v>
      </x:c>
      <x:c r="I1000" s="11" t="n">
        <x:f>$Z$29</x:f>
        <x:v>4.444444444444445</x:v>
      </x:c>
      <x:c r="J1000" s="12">
        <x:f>英雄升级调参!$E$103</x:f>
        <x:v>2490</x:v>
      </x:c>
      <x:c r="K1000" s="12">
        <x:f>英雄升级调参!$F$103</x:f>
        <x:v>24900</x:v>
      </x:c>
      <x:c r="L1000" s="6" t="n">
        <x:f>ROUNDUP(F1000/J1000,0)</x:f>
        <x:v>15</x:v>
      </x:c>
      <x:c r="M1000" s="6" t="n">
        <x:f>IF(G1000=0,"无伤害",ROUNDUP(K1000/MAX(1,ROUND(G1000*$AC$29,0)),0))</x:f>
        <x:v>8</x:v>
      </x:c>
      <x:c r="N1000" s="6" t="n">
        <x:f>ROUNDUP(F1000/英雄升级调参!$H$103,0)</x:f>
        <x:v>10</x:v>
      </x:c>
      <x:c r="O1000" s="6">
        <x:f>ROUNDUP(F1000/英雄升级调参!$K$103,0)</x:f>
        <x:v>6</x:v>
      </x:c>
      <x:c r="P1000" s="6" t="str">
        <x:f>$AA$29</x:f>
        <x:v>精英：15次标准普攻击杀；7.5次主要攻击致死</x:v>
      </x:c>
      <x:c r="Q1000" s="6"/>
      <x:c r="R1000" s="6"/>
      <x:c r="S1000" s="6"/>
      <x:c r="T1000" s="6"/>
    </x:row>
    <x:row r="1001" ht="21" customHeight="1">
      <x:c r="A1001" s="14" t="n">
        <x:f>$V$29</x:f>
        <x:v>60016</x:v>
      </x:c>
      <x:c r="B1001" s="14" t="str">
        <x:f>$W$29</x:f>
        <x:v>大屁桃</x:v>
      </x:c>
      <x:c r="C1001" s="6" t="str">
        <x:f>$X$29</x:f>
        <x:v>精英</x:v>
      </x:c>
      <x:c r="D1001" s="6">
        <x:v>39</x:v>
      </x:c>
      <x:c r="E1001" s="6">
        <x:v>29</x:v>
      </x:c>
      <x:c r="F1001" s="12">
        <x:f>ROUND(J1001*$W$4*H1001,0)</x:f>
        <x:v>38565</x:v>
      </x:c>
      <x:c r="G1001" s="12">
        <x:f>ROUND(J1001*$W$4*$W$5*I1001,0)</x:f>
        <x:v>3428</x:v>
      </x:c>
      <x:c r="H1001" s="11" t="n">
        <x:f>$Y$29</x:f>
        <x:v>3.75</x:v>
      </x:c>
      <x:c r="I1001" s="11" t="n">
        <x:f>$Z$29</x:f>
        <x:v>4.444444444444445</x:v>
      </x:c>
      <x:c r="J1001" s="12">
        <x:f>英雄升级调参!$E$104</x:f>
        <x:v>2571</x:v>
      </x:c>
      <x:c r="K1001" s="12">
        <x:f>英雄升级调参!$F$104</x:f>
        <x:v>25710</x:v>
      </x:c>
      <x:c r="L1001" s="6" t="n">
        <x:f>ROUNDUP(F1001/J1001,0)</x:f>
        <x:v>15</x:v>
      </x:c>
      <x:c r="M1001" s="6" t="n">
        <x:f>IF(G1001=0,"无伤害",ROUNDUP(K1001/MAX(1,ROUND(G1001*$AC$29,0)),0))</x:f>
        <x:v>8</x:v>
      </x:c>
      <x:c r="N1001" s="6" t="n">
        <x:f>ROUNDUP(F1001/英雄升级调参!$H$104,0)</x:f>
        <x:v>10</x:v>
      </x:c>
      <x:c r="O1001" s="6">
        <x:f>ROUNDUP(F1001/英雄升级调参!$K$104,0)</x:f>
        <x:v>6</x:v>
      </x:c>
      <x:c r="P1001" s="6" t="str">
        <x:f>$AA$29</x:f>
        <x:v>精英：15次标准普攻击杀；7.5次主要攻击致死</x:v>
      </x:c>
      <x:c r="Q1001" s="6"/>
      <x:c r="R1001" s="6"/>
      <x:c r="S1001" s="6"/>
      <x:c r="T1001" s="6"/>
    </x:row>
    <x:row r="1002" ht="21" customHeight="1">
      <x:c r="A1002" s="14" t="n">
        <x:f>$V$29</x:f>
        <x:v>60016</x:v>
      </x:c>
      <x:c r="B1002" s="14" t="str">
        <x:f>$W$29</x:f>
        <x:v>大屁桃</x:v>
      </x:c>
      <x:c r="C1002" s="6" t="str">
        <x:f>$X$29</x:f>
        <x:v>精英</x:v>
      </x:c>
      <x:c r="D1002" s="6">
        <x:v>40</x:v>
      </x:c>
      <x:c r="E1002" s="6">
        <x:v>29</x:v>
      </x:c>
      <x:c r="F1002" s="12">
        <x:f>ROUND(J1002*$W$4*H1002,0)</x:f>
        <x:v>42210</x:v>
      </x:c>
      <x:c r="G1002" s="12">
        <x:f>ROUND(J1002*$W$4*$W$5*I1002,0)</x:f>
        <x:v>3752</x:v>
      </x:c>
      <x:c r="H1002" s="11" t="n">
        <x:f>$Y$29</x:f>
        <x:v>3.75</x:v>
      </x:c>
      <x:c r="I1002" s="11" t="n">
        <x:f>$Z$29</x:f>
        <x:v>4.444444444444445</x:v>
      </x:c>
      <x:c r="J1002" s="12">
        <x:f>英雄升级调参!$E$105</x:f>
        <x:v>2814</x:v>
      </x:c>
      <x:c r="K1002" s="12">
        <x:f>英雄升级调参!$F$105</x:f>
        <x:v>28140</x:v>
      </x:c>
      <x:c r="L1002" s="6" t="n">
        <x:f>ROUNDUP(F1002/J1002,0)</x:f>
        <x:v>15</x:v>
      </x:c>
      <x:c r="M1002" s="6" t="n">
        <x:f>IF(G1002=0,"无伤害",ROUNDUP(K1002/MAX(1,ROUND(G1002*$AC$29,0)),0))</x:f>
        <x:v>8</x:v>
      </x:c>
      <x:c r="N1002" s="6" t="n">
        <x:f>ROUNDUP(F1002/英雄升级调参!$H$105,0)</x:f>
        <x:v>10</x:v>
      </x:c>
      <x:c r="O1002" s="6">
        <x:f>ROUNDUP(F1002/英雄升级调参!$K$105,0)</x:f>
        <x:v>6</x:v>
      </x:c>
      <x:c r="P1002" s="6" t="str">
        <x:f>$AA$29</x:f>
        <x:v>精英：15次标准普攻击杀；7.5次主要攻击致死</x:v>
      </x:c>
      <x:c r="Q1002" s="6"/>
      <x:c r="R1002" s="6"/>
      <x:c r="S1002" s="6"/>
      <x:c r="T1002" s="6"/>
    </x:row>
    <x:row r="1003" ht="21" customHeight="1">
      <x:c r="A1003" s="14" t="n">
        <x:f>$V$29</x:f>
        <x:v>60016</x:v>
      </x:c>
      <x:c r="B1003" s="14" t="str">
        <x:f>$W$29</x:f>
        <x:v>大屁桃</x:v>
      </x:c>
      <x:c r="C1003" s="6" t="str">
        <x:f>$X$29</x:f>
        <x:v>精英</x:v>
      </x:c>
      <x:c r="D1003" s="6">
        <x:v>41</x:v>
      </x:c>
      <x:c r="E1003" s="6">
        <x:v>29</x:v>
      </x:c>
      <x:c r="F1003" s="12">
        <x:f>ROUND(J1003*$W$4*H1003,0)</x:f>
        <x:v>43560</x:v>
      </x:c>
      <x:c r="G1003" s="12">
        <x:f>ROUND(J1003*$W$4*$W$5*I1003,0)</x:f>
        <x:v>3872</x:v>
      </x:c>
      <x:c r="H1003" s="11" t="n">
        <x:f>$Y$29</x:f>
        <x:v>3.75</x:v>
      </x:c>
      <x:c r="I1003" s="11" t="n">
        <x:f>$Z$29</x:f>
        <x:v>4.444444444444445</x:v>
      </x:c>
      <x:c r="J1003" s="12">
        <x:f>英雄升级调参!$E$106</x:f>
        <x:v>2904</x:v>
      </x:c>
      <x:c r="K1003" s="12">
        <x:f>英雄升级调参!$F$106</x:f>
        <x:v>29040</x:v>
      </x:c>
      <x:c r="L1003" s="6" t="n">
        <x:f>ROUNDUP(F1003/J1003,0)</x:f>
        <x:v>15</x:v>
      </x:c>
      <x:c r="M1003" s="6" t="n">
        <x:f>IF(G1003=0,"无伤害",ROUNDUP(K1003/MAX(1,ROUND(G1003*$AC$29,0)),0))</x:f>
        <x:v>8</x:v>
      </x:c>
      <x:c r="N1003" s="6" t="n">
        <x:f>ROUNDUP(F1003/英雄升级调参!$H$106,0)</x:f>
        <x:v>10</x:v>
      </x:c>
      <x:c r="O1003" s="6">
        <x:f>ROUNDUP(F1003/英雄升级调参!$K$106,0)</x:f>
        <x:v>6</x:v>
      </x:c>
      <x:c r="P1003" s="6" t="str">
        <x:f>$AA$29</x:f>
        <x:v>精英：15次标准普攻击杀；7.5次主要攻击致死</x:v>
      </x:c>
      <x:c r="Q1003" s="6"/>
      <x:c r="R1003" s="6"/>
      <x:c r="S1003" s="6"/>
      <x:c r="T1003" s="6"/>
    </x:row>
    <x:row r="1004" ht="21" customHeight="1">
      <x:c r="A1004" s="14" t="n">
        <x:f>$V$29</x:f>
        <x:v>60016</x:v>
      </x:c>
      <x:c r="B1004" s="14" t="str">
        <x:f>$W$29</x:f>
        <x:v>大屁桃</x:v>
      </x:c>
      <x:c r="C1004" s="6" t="str">
        <x:f>$X$29</x:f>
        <x:v>精英</x:v>
      </x:c>
      <x:c r="D1004" s="6">
        <x:v>42</x:v>
      </x:c>
      <x:c r="E1004" s="6">
        <x:v>29</x:v>
      </x:c>
      <x:c r="F1004" s="12">
        <x:f>ROUND(J1004*$W$4*H1004,0)</x:f>
        <x:v>44910</x:v>
      </x:c>
      <x:c r="G1004" s="12">
        <x:f>ROUND(J1004*$W$4*$W$5*I1004,0)</x:f>
        <x:v>3992</x:v>
      </x:c>
      <x:c r="H1004" s="11" t="n">
        <x:f>$Y$29</x:f>
        <x:v>3.75</x:v>
      </x:c>
      <x:c r="I1004" s="11" t="n">
        <x:f>$Z$29</x:f>
        <x:v>4.444444444444445</x:v>
      </x:c>
      <x:c r="J1004" s="12">
        <x:f>英雄升级调参!$E$107</x:f>
        <x:v>2994</x:v>
      </x:c>
      <x:c r="K1004" s="12">
        <x:f>英雄升级调参!$F$107</x:f>
        <x:v>29940</x:v>
      </x:c>
      <x:c r="L1004" s="6" t="n">
        <x:f>ROUNDUP(F1004/J1004,0)</x:f>
        <x:v>15</x:v>
      </x:c>
      <x:c r="M1004" s="6" t="n">
        <x:f>IF(G1004=0,"无伤害",ROUNDUP(K1004/MAX(1,ROUND(G1004*$AC$29,0)),0))</x:f>
        <x:v>8</x:v>
      </x:c>
      <x:c r="N1004" s="6" t="n">
        <x:f>ROUNDUP(F1004/英雄升级调参!$H$107,0)</x:f>
        <x:v>10</x:v>
      </x:c>
      <x:c r="O1004" s="6">
        <x:f>ROUNDUP(F1004/英雄升级调参!$K$107,0)</x:f>
        <x:v>6</x:v>
      </x:c>
      <x:c r="P1004" s="6" t="str">
        <x:f>$AA$29</x:f>
        <x:v>精英：15次标准普攻击杀；7.5次主要攻击致死</x:v>
      </x:c>
      <x:c r="Q1004" s="6"/>
      <x:c r="R1004" s="6"/>
      <x:c r="S1004" s="6"/>
      <x:c r="T1004" s="6"/>
    </x:row>
    <x:row r="1005" ht="21" customHeight="1">
      <x:c r="A1005" s="14" t="n">
        <x:f>$V$29</x:f>
        <x:v>60016</x:v>
      </x:c>
      <x:c r="B1005" s="14" t="str">
        <x:f>$W$29</x:f>
        <x:v>大屁桃</x:v>
      </x:c>
      <x:c r="C1005" s="6" t="str">
        <x:f>$X$29</x:f>
        <x:v>精英</x:v>
      </x:c>
      <x:c r="D1005" s="6">
        <x:v>43</x:v>
      </x:c>
      <x:c r="E1005" s="6">
        <x:v>29</x:v>
      </x:c>
      <x:c r="F1005" s="12">
        <x:f>ROUND(J1005*$W$4*H1005,0)</x:f>
        <x:v>46260</x:v>
      </x:c>
      <x:c r="G1005" s="12">
        <x:f>ROUND(J1005*$W$4*$W$5*I1005,0)</x:f>
        <x:v>4112</x:v>
      </x:c>
      <x:c r="H1005" s="11" t="n">
        <x:f>$Y$29</x:f>
        <x:v>3.75</x:v>
      </x:c>
      <x:c r="I1005" s="11" t="n">
        <x:f>$Z$29</x:f>
        <x:v>4.444444444444445</x:v>
      </x:c>
      <x:c r="J1005" s="12">
        <x:f>英雄升级调参!$E$108</x:f>
        <x:v>3084</x:v>
      </x:c>
      <x:c r="K1005" s="12">
        <x:f>英雄升级调参!$F$108</x:f>
        <x:v>30840</x:v>
      </x:c>
      <x:c r="L1005" s="6" t="n">
        <x:f>ROUNDUP(F1005/J1005,0)</x:f>
        <x:v>15</x:v>
      </x:c>
      <x:c r="M1005" s="6" t="n">
        <x:f>IF(G1005=0,"无伤害",ROUNDUP(K1005/MAX(1,ROUND(G1005*$AC$29,0)),0))</x:f>
        <x:v>8</x:v>
      </x:c>
      <x:c r="N1005" s="6" t="n">
        <x:f>ROUNDUP(F1005/英雄升级调参!$H$108,0)</x:f>
        <x:v>10</x:v>
      </x:c>
      <x:c r="O1005" s="6">
        <x:f>ROUNDUP(F1005/英雄升级调参!$K$108,0)</x:f>
        <x:v>6</x:v>
      </x:c>
      <x:c r="P1005" s="6" t="str">
        <x:f>$AA$29</x:f>
        <x:v>精英：15次标准普攻击杀；7.5次主要攻击致死</x:v>
      </x:c>
      <x:c r="Q1005" s="6"/>
      <x:c r="R1005" s="6"/>
      <x:c r="S1005" s="6"/>
      <x:c r="T1005" s="6"/>
    </x:row>
    <x:row r="1006" ht="21" customHeight="1">
      <x:c r="A1006" s="14" t="n">
        <x:f>$V$29</x:f>
        <x:v>60016</x:v>
      </x:c>
      <x:c r="B1006" s="14" t="str">
        <x:f>$W$29</x:f>
        <x:v>大屁桃</x:v>
      </x:c>
      <x:c r="C1006" s="6" t="str">
        <x:f>$X$29</x:f>
        <x:v>精英</x:v>
      </x:c>
      <x:c r="D1006" s="6">
        <x:v>44</x:v>
      </x:c>
      <x:c r="E1006" s="6">
        <x:v>29</x:v>
      </x:c>
      <x:c r="F1006" s="12">
        <x:f>ROUND(J1006*$W$4*H1006,0)</x:f>
        <x:v>47610</x:v>
      </x:c>
      <x:c r="G1006" s="12">
        <x:f>ROUND(J1006*$W$4*$W$5*I1006,0)</x:f>
        <x:v>4232</x:v>
      </x:c>
      <x:c r="H1006" s="11" t="n">
        <x:f>$Y$29</x:f>
        <x:v>3.75</x:v>
      </x:c>
      <x:c r="I1006" s="11" t="n">
        <x:f>$Z$29</x:f>
        <x:v>4.444444444444445</x:v>
      </x:c>
      <x:c r="J1006" s="12">
        <x:f>英雄升级调参!$E$109</x:f>
        <x:v>3174</x:v>
      </x:c>
      <x:c r="K1006" s="12">
        <x:f>英雄升级调参!$F$109</x:f>
        <x:v>31740</x:v>
      </x:c>
      <x:c r="L1006" s="6" t="n">
        <x:f>ROUNDUP(F1006/J1006,0)</x:f>
        <x:v>15</x:v>
      </x:c>
      <x:c r="M1006" s="6" t="n">
        <x:f>IF(G1006=0,"无伤害",ROUNDUP(K1006/MAX(1,ROUND(G1006*$AC$29,0)),0))</x:f>
        <x:v>8</x:v>
      </x:c>
      <x:c r="N1006" s="6" t="n">
        <x:f>ROUNDUP(F1006/英雄升级调参!$H$109,0)</x:f>
        <x:v>10</x:v>
      </x:c>
      <x:c r="O1006" s="6">
        <x:f>ROUNDUP(F1006/英雄升级调参!$K$109,0)</x:f>
        <x:v>6</x:v>
      </x:c>
      <x:c r="P1006" s="6" t="str">
        <x:f>$AA$29</x:f>
        <x:v>精英：15次标准普攻击杀；7.5次主要攻击致死</x:v>
      </x:c>
      <x:c r="Q1006" s="6"/>
      <x:c r="R1006" s="6"/>
      <x:c r="S1006" s="6"/>
      <x:c r="T1006" s="6"/>
    </x:row>
    <x:row r="1007" ht="21" customHeight="1">
      <x:c r="A1007" s="14" t="n">
        <x:f>$V$29</x:f>
        <x:v>60016</x:v>
      </x:c>
      <x:c r="B1007" s="14" t="str">
        <x:f>$W$29</x:f>
        <x:v>大屁桃</x:v>
      </x:c>
      <x:c r="C1007" s="6" t="str">
        <x:f>$X$29</x:f>
        <x:v>精英</x:v>
      </x:c>
      <x:c r="D1007" s="6">
        <x:v>45</x:v>
      </x:c>
      <x:c r="E1007" s="6">
        <x:v>29</x:v>
      </x:c>
      <x:c r="F1007" s="12">
        <x:f>ROUND(J1007*$W$4*H1007,0)</x:f>
        <x:v>51660</x:v>
      </x:c>
      <x:c r="G1007" s="12">
        <x:f>ROUND(J1007*$W$4*$W$5*I1007,0)</x:f>
        <x:v>4592</x:v>
      </x:c>
      <x:c r="H1007" s="11" t="n">
        <x:f>$Y$29</x:f>
        <x:v>3.75</x:v>
      </x:c>
      <x:c r="I1007" s="11" t="n">
        <x:f>$Z$29</x:f>
        <x:v>4.444444444444445</x:v>
      </x:c>
      <x:c r="J1007" s="12">
        <x:f>英雄升级调参!$E$110</x:f>
        <x:v>3444</x:v>
      </x:c>
      <x:c r="K1007" s="12">
        <x:f>英雄升级调参!$F$110</x:f>
        <x:v>34440</x:v>
      </x:c>
      <x:c r="L1007" s="6" t="n">
        <x:f>ROUNDUP(F1007/J1007,0)</x:f>
        <x:v>15</x:v>
      </x:c>
      <x:c r="M1007" s="6" t="n">
        <x:f>IF(G1007=0,"无伤害",ROUNDUP(K1007/MAX(1,ROUND(G1007*$AC$29,0)),0))</x:f>
        <x:v>8</x:v>
      </x:c>
      <x:c r="N1007" s="6" t="n">
        <x:f>ROUNDUP(F1007/英雄升级调参!$H$110,0)</x:f>
        <x:v>10</x:v>
      </x:c>
      <x:c r="O1007" s="6">
        <x:f>ROUNDUP(F1007/英雄升级调参!$K$110,0)</x:f>
        <x:v>6</x:v>
      </x:c>
      <x:c r="P1007" s="6" t="str">
        <x:f>$AA$29</x:f>
        <x:v>精英：15次标准普攻击杀；7.5次主要攻击致死</x:v>
      </x:c>
      <x:c r="Q1007" s="6"/>
      <x:c r="R1007" s="6"/>
      <x:c r="S1007" s="6"/>
      <x:c r="T1007" s="6"/>
    </x:row>
    <x:row r="1008" ht="21" customHeight="1">
      <x:c r="A1008" s="14" t="n">
        <x:f>$V$29</x:f>
        <x:v>60016</x:v>
      </x:c>
      <x:c r="B1008" s="14" t="str">
        <x:f>$W$29</x:f>
        <x:v>大屁桃</x:v>
      </x:c>
      <x:c r="C1008" s="6" t="str">
        <x:f>$X$29</x:f>
        <x:v>精英</x:v>
      </x:c>
      <x:c r="D1008" s="6">
        <x:v>46</x:v>
      </x:c>
      <x:c r="E1008" s="6">
        <x:v>29</x:v>
      </x:c>
      <x:c r="F1008" s="12">
        <x:f>ROUND(J1008*$W$4*H1008,0)</x:f>
        <x:v>53145</x:v>
      </x:c>
      <x:c r="G1008" s="12">
        <x:f>ROUND(J1008*$W$4*$W$5*I1008,0)</x:f>
        <x:v>4724</x:v>
      </x:c>
      <x:c r="H1008" s="11" t="n">
        <x:f>$Y$29</x:f>
        <x:v>3.75</x:v>
      </x:c>
      <x:c r="I1008" s="11" t="n">
        <x:f>$Z$29</x:f>
        <x:v>4.444444444444445</x:v>
      </x:c>
      <x:c r="J1008" s="12">
        <x:f>英雄升级调参!$E$111</x:f>
        <x:v>3543</x:v>
      </x:c>
      <x:c r="K1008" s="12">
        <x:f>英雄升级调参!$F$111</x:f>
        <x:v>35430</x:v>
      </x:c>
      <x:c r="L1008" s="6" t="n">
        <x:f>ROUNDUP(F1008/J1008,0)</x:f>
        <x:v>15</x:v>
      </x:c>
      <x:c r="M1008" s="6" t="n">
        <x:f>IF(G1008=0,"无伤害",ROUNDUP(K1008/MAX(1,ROUND(G1008*$AC$29,0)),0))</x:f>
        <x:v>8</x:v>
      </x:c>
      <x:c r="N1008" s="6" t="n">
        <x:f>ROUNDUP(F1008/英雄升级调参!$H$111,0)</x:f>
        <x:v>10</x:v>
      </x:c>
      <x:c r="O1008" s="6">
        <x:f>ROUNDUP(F1008/英雄升级调参!$K$111,0)</x:f>
        <x:v>6</x:v>
      </x:c>
      <x:c r="P1008" s="6" t="str">
        <x:f>$AA$29</x:f>
        <x:v>精英：15次标准普攻击杀；7.5次主要攻击致死</x:v>
      </x:c>
      <x:c r="Q1008" s="6"/>
      <x:c r="R1008" s="6"/>
      <x:c r="S1008" s="6"/>
      <x:c r="T1008" s="6"/>
    </x:row>
    <x:row r="1009" ht="21" customHeight="1">
      <x:c r="A1009" s="14" t="n">
        <x:f>$V$29</x:f>
        <x:v>60016</x:v>
      </x:c>
      <x:c r="B1009" s="14" t="str">
        <x:f>$W$29</x:f>
        <x:v>大屁桃</x:v>
      </x:c>
      <x:c r="C1009" s="6" t="str">
        <x:f>$X$29</x:f>
        <x:v>精英</x:v>
      </x:c>
      <x:c r="D1009" s="6">
        <x:v>47</x:v>
      </x:c>
      <x:c r="E1009" s="6">
        <x:v>29</x:v>
      </x:c>
      <x:c r="F1009" s="12">
        <x:f>ROUND(J1009*$W$4*H1009,0)</x:f>
        <x:v>54630</x:v>
      </x:c>
      <x:c r="G1009" s="12">
        <x:f>ROUND(J1009*$W$4*$W$5*I1009,0)</x:f>
        <x:v>4856</x:v>
      </x:c>
      <x:c r="H1009" s="11" t="n">
        <x:f>$Y$29</x:f>
        <x:v>3.75</x:v>
      </x:c>
      <x:c r="I1009" s="11" t="n">
        <x:f>$Z$29</x:f>
        <x:v>4.444444444444445</x:v>
      </x:c>
      <x:c r="J1009" s="12">
        <x:f>英雄升级调参!$E$112</x:f>
        <x:v>3642</x:v>
      </x:c>
      <x:c r="K1009" s="12">
        <x:f>英雄升级调参!$F$112</x:f>
        <x:v>36420</x:v>
      </x:c>
      <x:c r="L1009" s="6" t="n">
        <x:f>ROUNDUP(F1009/J1009,0)</x:f>
        <x:v>15</x:v>
      </x:c>
      <x:c r="M1009" s="6" t="n">
        <x:f>IF(G1009=0,"无伤害",ROUNDUP(K1009/MAX(1,ROUND(G1009*$AC$29,0)),0))</x:f>
        <x:v>8</x:v>
      </x:c>
      <x:c r="N1009" s="6" t="n">
        <x:f>ROUNDUP(F1009/英雄升级调参!$H$112,0)</x:f>
        <x:v>10</x:v>
      </x:c>
      <x:c r="O1009" s="6">
        <x:f>ROUNDUP(F1009/英雄升级调参!$K$112,0)</x:f>
        <x:v>6</x:v>
      </x:c>
      <x:c r="P1009" s="6" t="str">
        <x:f>$AA$29</x:f>
        <x:v>精英：15次标准普攻击杀；7.5次主要攻击致死</x:v>
      </x:c>
      <x:c r="Q1009" s="6"/>
      <x:c r="R1009" s="6"/>
      <x:c r="S1009" s="6"/>
      <x:c r="T1009" s="6"/>
    </x:row>
    <x:row r="1010" ht="21" customHeight="1">
      <x:c r="A1010" s="14" t="n">
        <x:f>$V$29</x:f>
        <x:v>60016</x:v>
      </x:c>
      <x:c r="B1010" s="14" t="str">
        <x:f>$W$29</x:f>
        <x:v>大屁桃</x:v>
      </x:c>
      <x:c r="C1010" s="6" t="str">
        <x:f>$X$29</x:f>
        <x:v>精英</x:v>
      </x:c>
      <x:c r="D1010" s="6">
        <x:v>48</x:v>
      </x:c>
      <x:c r="E1010" s="6">
        <x:v>29</x:v>
      </x:c>
      <x:c r="F1010" s="12">
        <x:f>ROUND(J1010*$W$4*H1010,0)</x:f>
        <x:v>56115</x:v>
      </x:c>
      <x:c r="G1010" s="12">
        <x:f>ROUND(J1010*$W$4*$W$5*I1010,0)</x:f>
        <x:v>4988</x:v>
      </x:c>
      <x:c r="H1010" s="11" t="n">
        <x:f>$Y$29</x:f>
        <x:v>3.75</x:v>
      </x:c>
      <x:c r="I1010" s="11" t="n">
        <x:f>$Z$29</x:f>
        <x:v>4.444444444444445</x:v>
      </x:c>
      <x:c r="J1010" s="12">
        <x:f>英雄升级调参!$E$113</x:f>
        <x:v>3741</x:v>
      </x:c>
      <x:c r="K1010" s="12">
        <x:f>英雄升级调参!$F$113</x:f>
        <x:v>37410</x:v>
      </x:c>
      <x:c r="L1010" s="6" t="n">
        <x:f>ROUNDUP(F1010/J1010,0)</x:f>
        <x:v>15</x:v>
      </x:c>
      <x:c r="M1010" s="6" t="n">
        <x:f>IF(G1010=0,"无伤害",ROUNDUP(K1010/MAX(1,ROUND(G1010*$AC$29,0)),0))</x:f>
        <x:v>8</x:v>
      </x:c>
      <x:c r="N1010" s="6" t="n">
        <x:f>ROUNDUP(F1010/英雄升级调参!$H$113,0)</x:f>
        <x:v>10</x:v>
      </x:c>
      <x:c r="O1010" s="6">
        <x:f>ROUNDUP(F1010/英雄升级调参!$K$113,0)</x:f>
        <x:v>6</x:v>
      </x:c>
      <x:c r="P1010" s="6" t="str">
        <x:f>$AA$29</x:f>
        <x:v>精英：15次标准普攻击杀；7.5次主要攻击致死</x:v>
      </x:c>
      <x:c r="Q1010" s="6"/>
      <x:c r="R1010" s="6"/>
      <x:c r="S1010" s="6"/>
      <x:c r="T1010" s="6"/>
    </x:row>
    <x:row r="1011" ht="21" customHeight="1">
      <x:c r="A1011" s="14" t="n">
        <x:f>$V$29</x:f>
        <x:v>60016</x:v>
      </x:c>
      <x:c r="B1011" s="14" t="str">
        <x:f>$W$29</x:f>
        <x:v>大屁桃</x:v>
      </x:c>
      <x:c r="C1011" s="6" t="str">
        <x:f>$X$29</x:f>
        <x:v>精英</x:v>
      </x:c>
      <x:c r="D1011" s="6">
        <x:v>49</x:v>
      </x:c>
      <x:c r="E1011" s="6">
        <x:v>29</x:v>
      </x:c>
      <x:c r="F1011" s="12">
        <x:f>ROUND(J1011*$W$4*H1011,0)</x:f>
        <x:v>57600</x:v>
      </x:c>
      <x:c r="G1011" s="12">
        <x:f>ROUND(J1011*$W$4*$W$5*I1011,0)</x:f>
        <x:v>5120</x:v>
      </x:c>
      <x:c r="H1011" s="11" t="n">
        <x:f>$Y$29</x:f>
        <x:v>3.75</x:v>
      </x:c>
      <x:c r="I1011" s="11" t="n">
        <x:f>$Z$29</x:f>
        <x:v>4.444444444444445</x:v>
      </x:c>
      <x:c r="J1011" s="12">
        <x:f>英雄升级调参!$E$114</x:f>
        <x:v>3840</x:v>
      </x:c>
      <x:c r="K1011" s="12">
        <x:f>英雄升级调参!$F$114</x:f>
        <x:v>38400</x:v>
      </x:c>
      <x:c r="L1011" s="6" t="n">
        <x:f>ROUNDUP(F1011/J1011,0)</x:f>
        <x:v>15</x:v>
      </x:c>
      <x:c r="M1011" s="6" t="n">
        <x:f>IF(G1011=0,"无伤害",ROUNDUP(K1011/MAX(1,ROUND(G1011*$AC$29,0)),0))</x:f>
        <x:v>8</x:v>
      </x:c>
      <x:c r="N1011" s="6" t="n">
        <x:f>ROUNDUP(F1011/英雄升级调参!$H$114,0)</x:f>
        <x:v>10</x:v>
      </x:c>
      <x:c r="O1011" s="6">
        <x:f>ROUNDUP(F1011/英雄升级调参!$K$114,0)</x:f>
        <x:v>6</x:v>
      </x:c>
      <x:c r="P1011" s="6" t="str">
        <x:f>$AA$29</x:f>
        <x:v>精英：15次标准普攻击杀；7.5次主要攻击致死</x:v>
      </x:c>
      <x:c r="Q1011" s="6"/>
      <x:c r="R1011" s="6"/>
      <x:c r="S1011" s="6"/>
      <x:c r="T1011" s="6"/>
    </x:row>
    <x:row r="1012" ht="21" customHeight="1">
      <x:c r="A1012" s="14" t="n">
        <x:f>$V$29</x:f>
        <x:v>60016</x:v>
      </x:c>
      <x:c r="B1012" s="14" t="str">
        <x:f>$W$29</x:f>
        <x:v>大屁桃</x:v>
      </x:c>
      <x:c r="C1012" s="6" t="str">
        <x:f>$X$29</x:f>
        <x:v>精英</x:v>
      </x:c>
      <x:c r="D1012" s="6">
        <x:v>50</x:v>
      </x:c>
      <x:c r="E1012" s="6">
        <x:v>29</x:v>
      </x:c>
      <x:c r="F1012" s="12">
        <x:f>ROUND(J1012*$W$4*H1012,0)</x:f>
        <x:v>62055</x:v>
      </x:c>
      <x:c r="G1012" s="12">
        <x:f>ROUND(J1012*$W$4*$W$5*I1012,0)</x:f>
        <x:v>5516</x:v>
      </x:c>
      <x:c r="H1012" s="11" t="n">
        <x:f>$Y$29</x:f>
        <x:v>3.75</x:v>
      </x:c>
      <x:c r="I1012" s="11" t="n">
        <x:f>$Z$29</x:f>
        <x:v>4.444444444444445</x:v>
      </x:c>
      <x:c r="J1012" s="12">
        <x:f>英雄升级调参!$E$115</x:f>
        <x:v>4137</x:v>
      </x:c>
      <x:c r="K1012" s="12">
        <x:f>英雄升级调参!$F$115</x:f>
        <x:v>41370</x:v>
      </x:c>
      <x:c r="L1012" s="6" t="n">
        <x:f>ROUNDUP(F1012/J1012,0)</x:f>
        <x:v>15</x:v>
      </x:c>
      <x:c r="M1012" s="6" t="n">
        <x:f>IF(G1012=0,"无伤害",ROUNDUP(K1012/MAX(1,ROUND(G1012*$AC$29,0)),0))</x:f>
        <x:v>8</x:v>
      </x:c>
      <x:c r="N1012" s="6" t="n">
        <x:f>ROUNDUP(F1012/英雄升级调参!$H$115,0)</x:f>
        <x:v>10</x:v>
      </x:c>
      <x:c r="O1012" s="6">
        <x:f>ROUNDUP(F1012/英雄升级调参!$K$115,0)</x:f>
        <x:v>6</x:v>
      </x:c>
      <x:c r="P1012" s="6" t="str">
        <x:f>$AA$29</x:f>
        <x:v>精英：15次标准普攻击杀；7.5次主要攻击致死</x:v>
      </x:c>
      <x:c r="Q1012" s="6"/>
      <x:c r="R1012" s="6"/>
      <x:c r="S1012" s="6"/>
      <x:c r="T1012" s="6"/>
    </x:row>
    <x:row r="1013" ht="21" customHeight="1">
      <x:c r="A1013" s="14" t="n">
        <x:f>$V$30</x:f>
        <x:v>60017</x:v>
      </x:c>
      <x:c r="B1013" s="14" t="str">
        <x:f>$W$30</x:f>
        <x:v>红葡萄狗</x:v>
      </x:c>
      <x:c r="C1013" s="6" t="str">
        <x:f>$X$30</x:f>
        <x:v>精英</x:v>
      </x:c>
      <x:c r="D1013" s="6">
        <x:v>1</x:v>
      </x:c>
      <x:c r="E1013" s="6">
        <x:v>30</x:v>
      </x:c>
      <x:c r="F1013" s="12" t="n">
        <x:f>ROUND(J1013*$W$4*H1013,0)</x:f>
        <x:v>900</x:v>
      </x:c>
      <x:c r="G1013" s="12" t="n">
        <x:f>ROUND(J1013*$W$4*$W$5*I1013,0)</x:f>
        <x:v>53</x:v>
      </x:c>
      <x:c r="H1013" s="11" t="n">
        <x:f>$Y$30</x:f>
        <x:v>3.75</x:v>
      </x:c>
      <x:c r="I1013" s="11" t="n">
        <x:f>$Z$30</x:f>
        <x:v>2.9629629629629632</x:v>
      </x:c>
      <x:c r="J1013" s="12" t="n">
        <x:f>英雄升级调参!$E$66</x:f>
        <x:v>60</x:v>
      </x:c>
      <x:c r="K1013" s="12" t="n">
        <x:f>英雄升级调参!$F$66</x:f>
        <x:v>600</x:v>
      </x:c>
      <x:c r="L1013" s="6" t="n">
        <x:f>ROUNDUP(F1013/J1013,0)</x:f>
        <x:v>15</x:v>
      </x:c>
      <x:c r="M1013" s="6" t="n">
        <x:f>IF(G1013=0,"无伤害",ROUNDUP(K1013/MAX(1,ROUND(G1013*$AC$30,0)),0))</x:f>
        <x:v>8</x:v>
      </x:c>
      <x:c r="N1013" s="6">
        <x:f>ROUNDUP(F1013/英雄升级调参!$H$66,0)</x:f>
        <x:v>5</x:v>
      </x:c>
      <x:c r="O1013" s="6">
        <x:f>ROUNDUP(F1013/英雄升级调参!$K$66,0)</x:f>
        <x:v>3</x:v>
      </x:c>
      <x:c r="P1013" s="6" t="str">
        <x:f>$AA$30</x:f>
        <x:v>精英：15次标准普攻击杀；7.5次主要攻击致死</x:v>
      </x:c>
      <x:c r="Q1013" s="6"/>
      <x:c r="R1013" s="6"/>
      <x:c r="S1013" s="6"/>
      <x:c r="T1013" s="6"/>
    </x:row>
    <x:row r="1014" ht="21" customHeight="1">
      <x:c r="A1014" s="14" t="n">
        <x:f>$V$30</x:f>
        <x:v>60017</x:v>
      </x:c>
      <x:c r="B1014" s="14" t="str">
        <x:f>$W$30</x:f>
        <x:v>红葡萄狗</x:v>
      </x:c>
      <x:c r="C1014" s="6" t="str">
        <x:f>$X$30</x:f>
        <x:v>精英</x:v>
      </x:c>
      <x:c r="D1014" s="6">
        <x:v>2</x:v>
      </x:c>
      <x:c r="E1014" s="6">
        <x:v>30</x:v>
      </x:c>
      <x:c r="F1014" s="12">
        <x:f>ROUND(J1014*$W$4*H1014,0)</x:f>
        <x:v>1170</x:v>
      </x:c>
      <x:c r="G1014" s="12">
        <x:f>ROUND(J1014*$W$4*$W$5*I1014,0)</x:f>
        <x:v>69</x:v>
      </x:c>
      <x:c r="H1014" s="11" t="n">
        <x:f>$Y$30</x:f>
        <x:v>3.75</x:v>
      </x:c>
      <x:c r="I1014" s="11" t="n">
        <x:f>$Z$30</x:f>
        <x:v>2.9629629629629632</x:v>
      </x:c>
      <x:c r="J1014" s="12">
        <x:f>英雄升级调参!$E$67</x:f>
        <x:v>78</x:v>
      </x:c>
      <x:c r="K1014" s="12">
        <x:f>英雄升级调参!$F$67</x:f>
        <x:v>780</x:v>
      </x:c>
      <x:c r="L1014" s="6" t="n">
        <x:f>ROUNDUP(F1014/J1014,0)</x:f>
        <x:v>15</x:v>
      </x:c>
      <x:c r="M1014" s="6" t="n">
        <x:f>IF(G1014=0,"无伤害",ROUNDUP(K1014/MAX(1,ROUND(G1014*$AC$30,0)),0))</x:f>
        <x:v>8</x:v>
      </x:c>
      <x:c r="N1014" s="6">
        <x:f>ROUNDUP(F1014/英雄升级调参!$H$67,0)</x:f>
        <x:v>6</x:v>
      </x:c>
      <x:c r="O1014" s="6">
        <x:f>ROUNDUP(F1014/英雄升级调参!$K$67,0)</x:f>
        <x:v>3</x:v>
      </x:c>
      <x:c r="P1014" s="6" t="str">
        <x:f>$AA$30</x:f>
        <x:v>精英：15次标准普攻击杀；7.5次主要攻击致死</x:v>
      </x:c>
      <x:c r="Q1014" s="6"/>
      <x:c r="R1014" s="6"/>
      <x:c r="S1014" s="6"/>
      <x:c r="T1014" s="6"/>
    </x:row>
    <x:row r="1015" ht="21" customHeight="1">
      <x:c r="A1015" s="14" t="n">
        <x:f>$V$30</x:f>
        <x:v>60017</x:v>
      </x:c>
      <x:c r="B1015" s="14" t="str">
        <x:f>$W$30</x:f>
        <x:v>红葡萄狗</x:v>
      </x:c>
      <x:c r="C1015" s="6" t="str">
        <x:f>$X$30</x:f>
        <x:v>精英</x:v>
      </x:c>
      <x:c r="D1015" s="6">
        <x:v>3</x:v>
      </x:c>
      <x:c r="E1015" s="6">
        <x:v>30</x:v>
      </x:c>
      <x:c r="F1015" s="12">
        <x:f>ROUND(J1015*$W$4*H1015,0)</x:f>
        <x:v>1440</x:v>
      </x:c>
      <x:c r="G1015" s="12">
        <x:f>ROUND(J1015*$W$4*$W$5*I1015,0)</x:f>
        <x:v>85</x:v>
      </x:c>
      <x:c r="H1015" s="11" t="n">
        <x:f>$Y$30</x:f>
        <x:v>3.75</x:v>
      </x:c>
      <x:c r="I1015" s="11" t="n">
        <x:f>$Z$30</x:f>
        <x:v>2.9629629629629632</x:v>
      </x:c>
      <x:c r="J1015" s="12">
        <x:f>英雄升级调参!$E$68</x:f>
        <x:v>96</x:v>
      </x:c>
      <x:c r="K1015" s="12">
        <x:f>英雄升级调参!$F$68</x:f>
        <x:v>960</x:v>
      </x:c>
      <x:c r="L1015" s="6" t="n">
        <x:f>ROUNDUP(F1015/J1015,0)</x:f>
        <x:v>15</x:v>
      </x:c>
      <x:c r="M1015" s="6" t="n">
        <x:f>IF(G1015=0,"无伤害",ROUNDUP(K1015/MAX(1,ROUND(G1015*$AC$30,0)),0))</x:f>
        <x:v>8</x:v>
      </x:c>
      <x:c r="N1015" s="6">
        <x:f>ROUNDUP(F1015/英雄升级调参!$H$68,0)</x:f>
        <x:v>6</x:v>
      </x:c>
      <x:c r="O1015" s="6">
        <x:f>ROUNDUP(F1015/英雄升级调参!$K$68,0)</x:f>
        <x:v>4</x:v>
      </x:c>
      <x:c r="P1015" s="6" t="str">
        <x:f>$AA$30</x:f>
        <x:v>精英：15次标准普攻击杀；7.5次主要攻击致死</x:v>
      </x:c>
      <x:c r="Q1015" s="6"/>
      <x:c r="R1015" s="6"/>
      <x:c r="S1015" s="6"/>
      <x:c r="T1015" s="6"/>
    </x:row>
    <x:row r="1016" ht="21" customHeight="1">
      <x:c r="A1016" s="14" t="n">
        <x:f>$V$30</x:f>
        <x:v>60017</x:v>
      </x:c>
      <x:c r="B1016" s="14" t="str">
        <x:f>$W$30</x:f>
        <x:v>红葡萄狗</x:v>
      </x:c>
      <x:c r="C1016" s="6" t="str">
        <x:f>$X$30</x:f>
        <x:v>精英</x:v>
      </x:c>
      <x:c r="D1016" s="6">
        <x:v>4</x:v>
      </x:c>
      <x:c r="E1016" s="6">
        <x:v>30</x:v>
      </x:c>
      <x:c r="F1016" s="12">
        <x:f>ROUND(J1016*$W$4*H1016,0)</x:f>
        <x:v>1710</x:v>
      </x:c>
      <x:c r="G1016" s="12">
        <x:f>ROUND(J1016*$W$4*$W$5*I1016,0)</x:f>
        <x:v>101</x:v>
      </x:c>
      <x:c r="H1016" s="11" t="n">
        <x:f>$Y$30</x:f>
        <x:v>3.75</x:v>
      </x:c>
      <x:c r="I1016" s="11" t="n">
        <x:f>$Z$30</x:f>
        <x:v>2.9629629629629632</x:v>
      </x:c>
      <x:c r="J1016" s="12">
        <x:f>英雄升级调参!$E$69</x:f>
        <x:v>114</x:v>
      </x:c>
      <x:c r="K1016" s="12">
        <x:f>英雄升级调参!$F$69</x:f>
        <x:v>1140</x:v>
      </x:c>
      <x:c r="L1016" s="6" t="n">
        <x:f>ROUNDUP(F1016/J1016,0)</x:f>
        <x:v>15</x:v>
      </x:c>
      <x:c r="M1016" s="6" t="n">
        <x:f>IF(G1016=0,"无伤害",ROUNDUP(K1016/MAX(1,ROUND(G1016*$AC$30,0)),0))</x:f>
        <x:v>8</x:v>
      </x:c>
      <x:c r="N1016" s="6">
        <x:f>ROUNDUP(F1016/英雄升级调参!$H$69,0)</x:f>
        <x:v>7</x:v>
      </x:c>
      <x:c r="O1016" s="6">
        <x:f>ROUNDUP(F1016/英雄升级调参!$K$69,0)</x:f>
        <x:v>4</x:v>
      </x:c>
      <x:c r="P1016" s="6" t="str">
        <x:f>$AA$30</x:f>
        <x:v>精英：15次标准普攻击杀；7.5次主要攻击致死</x:v>
      </x:c>
      <x:c r="Q1016" s="6"/>
      <x:c r="R1016" s="6"/>
      <x:c r="S1016" s="6"/>
      <x:c r="T1016" s="6"/>
    </x:row>
    <x:row r="1017" ht="21" customHeight="1">
      <x:c r="A1017" s="14" t="n">
        <x:f>$V$30</x:f>
        <x:v>60017</x:v>
      </x:c>
      <x:c r="B1017" s="14" t="str">
        <x:f>$W$30</x:f>
        <x:v>红葡萄狗</x:v>
      </x:c>
      <x:c r="C1017" s="6" t="str">
        <x:f>$X$30</x:f>
        <x:v>精英</x:v>
      </x:c>
      <x:c r="D1017" s="6">
        <x:v>5</x:v>
      </x:c>
      <x:c r="E1017" s="6">
        <x:v>30</x:v>
      </x:c>
      <x:c r="F1017" s="12">
        <x:f>ROUND(J1017*$W$4*H1017,0)</x:f>
        <x:v>2520</x:v>
      </x:c>
      <x:c r="G1017" s="12">
        <x:f>ROUND(J1017*$W$4*$W$5*I1017,0)</x:f>
        <x:v>149</x:v>
      </x:c>
      <x:c r="H1017" s="11" t="n">
        <x:f>$Y$30</x:f>
        <x:v>3.75</x:v>
      </x:c>
      <x:c r="I1017" s="11" t="n">
        <x:f>$Z$30</x:f>
        <x:v>2.9629629629629632</x:v>
      </x:c>
      <x:c r="J1017" s="12">
        <x:f>英雄升级调参!$E$70</x:f>
        <x:v>168</x:v>
      </x:c>
      <x:c r="K1017" s="12">
        <x:f>英雄升级调参!$F$70</x:f>
        <x:v>1680</x:v>
      </x:c>
      <x:c r="L1017" s="6" t="n">
        <x:f>ROUNDUP(F1017/J1017,0)</x:f>
        <x:v>15</x:v>
      </x:c>
      <x:c r="M1017" s="6" t="n">
        <x:f>IF(G1017=0,"无伤害",ROUNDUP(K1017/MAX(1,ROUND(G1017*$AC$30,0)),0))</x:f>
        <x:v>8</x:v>
      </x:c>
      <x:c r="N1017" s="6">
        <x:f>ROUNDUP(F1017/英雄升级调参!$H$70,0)</x:f>
        <x:v>8</x:v>
      </x:c>
      <x:c r="O1017" s="6">
        <x:f>ROUNDUP(F1017/英雄升级调参!$K$70,0)</x:f>
        <x:v>5</x:v>
      </x:c>
      <x:c r="P1017" s="6" t="str">
        <x:f>$AA$30</x:f>
        <x:v>精英：15次标准普攻击杀；7.5次主要攻击致死</x:v>
      </x:c>
      <x:c r="Q1017" s="6"/>
      <x:c r="R1017" s="6"/>
      <x:c r="S1017" s="6"/>
      <x:c r="T1017" s="6"/>
    </x:row>
    <x:row r="1018" ht="21" customHeight="1">
      <x:c r="A1018" s="14" t="n">
        <x:f>$V$30</x:f>
        <x:v>60017</x:v>
      </x:c>
      <x:c r="B1018" s="14" t="str">
        <x:f>$W$30</x:f>
        <x:v>红葡萄狗</x:v>
      </x:c>
      <x:c r="C1018" s="6" t="str">
        <x:f>$X$30</x:f>
        <x:v>精英</x:v>
      </x:c>
      <x:c r="D1018" s="6">
        <x:v>6</x:v>
      </x:c>
      <x:c r="E1018" s="6">
        <x:v>30</x:v>
      </x:c>
      <x:c r="F1018" s="12">
        <x:f>ROUND(J1018*$W$4*H1018,0)</x:f>
        <x:v>2925</x:v>
      </x:c>
      <x:c r="G1018" s="12">
        <x:f>ROUND(J1018*$W$4*$W$5*I1018,0)</x:f>
        <x:v>173</x:v>
      </x:c>
      <x:c r="H1018" s="11" t="n">
        <x:f>$Y$30</x:f>
        <x:v>3.75</x:v>
      </x:c>
      <x:c r="I1018" s="11" t="n">
        <x:f>$Z$30</x:f>
        <x:v>2.9629629629629632</x:v>
      </x:c>
      <x:c r="J1018" s="12">
        <x:f>英雄升级调参!$E$71</x:f>
        <x:v>195</x:v>
      </x:c>
      <x:c r="K1018" s="12">
        <x:f>英雄升级调参!$F$71</x:f>
        <x:v>1950</x:v>
      </x:c>
      <x:c r="L1018" s="6" t="n">
        <x:f>ROUNDUP(F1018/J1018,0)</x:f>
        <x:v>15</x:v>
      </x:c>
      <x:c r="M1018" s="6" t="n">
        <x:f>IF(G1018=0,"无伤害",ROUNDUP(K1018/MAX(1,ROUND(G1018*$AC$30,0)),0))</x:f>
        <x:v>8</x:v>
      </x:c>
      <x:c r="N1018" s="6">
        <x:f>ROUNDUP(F1018/英雄升级调参!$H$71,0)</x:f>
        <x:v>8</x:v>
      </x:c>
      <x:c r="O1018" s="6">
        <x:f>ROUNDUP(F1018/英雄升级调参!$K$71,0)</x:f>
        <x:v>5</x:v>
      </x:c>
      <x:c r="P1018" s="6" t="str">
        <x:f>$AA$30</x:f>
        <x:v>精英：15次标准普攻击杀；7.5次主要攻击致死</x:v>
      </x:c>
      <x:c r="Q1018" s="6"/>
      <x:c r="R1018" s="6"/>
      <x:c r="S1018" s="6"/>
      <x:c r="T1018" s="6"/>
    </x:row>
    <x:row r="1019" ht="21" customHeight="1">
      <x:c r="A1019" s="14" t="n">
        <x:f>$V$30</x:f>
        <x:v>60017</x:v>
      </x:c>
      <x:c r="B1019" s="14" t="str">
        <x:f>$W$30</x:f>
        <x:v>红葡萄狗</x:v>
      </x:c>
      <x:c r="C1019" s="6" t="str">
        <x:f>$X$30</x:f>
        <x:v>精英</x:v>
      </x:c>
      <x:c r="D1019" s="6">
        <x:v>7</x:v>
      </x:c>
      <x:c r="E1019" s="6">
        <x:v>30</x:v>
      </x:c>
      <x:c r="F1019" s="12">
        <x:f>ROUND(J1019*$W$4*H1019,0)</x:f>
        <x:v>3330</x:v>
      </x:c>
      <x:c r="G1019" s="12">
        <x:f>ROUND(J1019*$W$4*$W$5*I1019,0)</x:f>
        <x:v>197</x:v>
      </x:c>
      <x:c r="H1019" s="11" t="n">
        <x:f>$Y$30</x:f>
        <x:v>3.75</x:v>
      </x:c>
      <x:c r="I1019" s="11" t="n">
        <x:f>$Z$30</x:f>
        <x:v>2.9629629629629632</x:v>
      </x:c>
      <x:c r="J1019" s="12">
        <x:f>英雄升级调参!$E$72</x:f>
        <x:v>222</x:v>
      </x:c>
      <x:c r="K1019" s="12">
        <x:f>英雄升级调参!$F$72</x:f>
        <x:v>2220</x:v>
      </x:c>
      <x:c r="L1019" s="6" t="n">
        <x:f>ROUNDUP(F1019/J1019,0)</x:f>
        <x:v>15</x:v>
      </x:c>
      <x:c r="M1019" s="6" t="n">
        <x:f>IF(G1019=0,"无伤害",ROUNDUP(K1019/MAX(1,ROUND(G1019*$AC$30,0)),0))</x:f>
        <x:v>8</x:v>
      </x:c>
      <x:c r="N1019" s="6">
        <x:f>ROUNDUP(F1019/英雄升级调参!$H$72,0)</x:f>
        <x:v>8</x:v>
      </x:c>
      <x:c r="O1019" s="6">
        <x:f>ROUNDUP(F1019/英雄升级调参!$K$72,0)</x:f>
        <x:v>5</x:v>
      </x:c>
      <x:c r="P1019" s="6" t="str">
        <x:f>$AA$30</x:f>
        <x:v>精英：15次标准普攻击杀；7.5次主要攻击致死</x:v>
      </x:c>
      <x:c r="Q1019" s="6"/>
      <x:c r="R1019" s="6"/>
      <x:c r="S1019" s="6"/>
      <x:c r="T1019" s="6"/>
    </x:row>
    <x:row r="1020" ht="21" customHeight="1">
      <x:c r="A1020" s="14" t="n">
        <x:f>$V$30</x:f>
        <x:v>60017</x:v>
      </x:c>
      <x:c r="B1020" s="14" t="str">
        <x:f>$W$30</x:f>
        <x:v>红葡萄狗</x:v>
      </x:c>
      <x:c r="C1020" s="6" t="str">
        <x:f>$X$30</x:f>
        <x:v>精英</x:v>
      </x:c>
      <x:c r="D1020" s="6">
        <x:v>8</x:v>
      </x:c>
      <x:c r="E1020" s="6">
        <x:v>30</x:v>
      </x:c>
      <x:c r="F1020" s="12">
        <x:f>ROUND(J1020*$W$4*H1020,0)</x:f>
        <x:v>3735</x:v>
      </x:c>
      <x:c r="G1020" s="12">
        <x:f>ROUND(J1020*$W$4*$W$5*I1020,0)</x:f>
        <x:v>221</x:v>
      </x:c>
      <x:c r="H1020" s="11" t="n">
        <x:f>$Y$30</x:f>
        <x:v>3.75</x:v>
      </x:c>
      <x:c r="I1020" s="11" t="n">
        <x:f>$Z$30</x:f>
        <x:v>2.9629629629629632</x:v>
      </x:c>
      <x:c r="J1020" s="12">
        <x:f>英雄升级调参!$E$73</x:f>
        <x:v>249</x:v>
      </x:c>
      <x:c r="K1020" s="12">
        <x:f>英雄升级调参!$F$73</x:f>
        <x:v>2490</x:v>
      </x:c>
      <x:c r="L1020" s="6" t="n">
        <x:f>ROUNDUP(F1020/J1020,0)</x:f>
        <x:v>15</x:v>
      </x:c>
      <x:c r="M1020" s="6" t="n">
        <x:f>IF(G1020=0,"无伤害",ROUNDUP(K1020/MAX(1,ROUND(G1020*$AC$30,0)),0))</x:f>
        <x:v>8</x:v>
      </x:c>
      <x:c r="N1020" s="6">
        <x:f>ROUNDUP(F1020/英雄升级调参!$H$73,0)</x:f>
        <x:v>8</x:v>
      </x:c>
      <x:c r="O1020" s="6">
        <x:f>ROUNDUP(F1020/英雄升级调参!$K$73,0)</x:f>
        <x:v>5</x:v>
      </x:c>
      <x:c r="P1020" s="6" t="str">
        <x:f>$AA$30</x:f>
        <x:v>精英：15次标准普攻击杀；7.5次主要攻击致死</x:v>
      </x:c>
      <x:c r="Q1020" s="6"/>
      <x:c r="R1020" s="6"/>
      <x:c r="S1020" s="6"/>
      <x:c r="T1020" s="6"/>
    </x:row>
    <x:row r="1021" ht="21" customHeight="1">
      <x:c r="A1021" s="14" t="n">
        <x:f>$V$30</x:f>
        <x:v>60017</x:v>
      </x:c>
      <x:c r="B1021" s="14" t="str">
        <x:f>$W$30</x:f>
        <x:v>红葡萄狗</x:v>
      </x:c>
      <x:c r="C1021" s="6" t="str">
        <x:f>$X$30</x:f>
        <x:v>精英</x:v>
      </x:c>
      <x:c r="D1021" s="6">
        <x:v>9</x:v>
      </x:c>
      <x:c r="E1021" s="6">
        <x:v>30</x:v>
      </x:c>
      <x:c r="F1021" s="12">
        <x:f>ROUND(J1021*$W$4*H1021,0)</x:f>
        <x:v>4140</x:v>
      </x:c>
      <x:c r="G1021" s="12">
        <x:f>ROUND(J1021*$W$4*$W$5*I1021,0)</x:f>
        <x:v>245</x:v>
      </x:c>
      <x:c r="H1021" s="11" t="n">
        <x:f>$Y$30</x:f>
        <x:v>3.75</x:v>
      </x:c>
      <x:c r="I1021" s="11" t="n">
        <x:f>$Z$30</x:f>
        <x:v>2.9629629629629632</x:v>
      </x:c>
      <x:c r="J1021" s="12">
        <x:f>英雄升级调参!$E$74</x:f>
        <x:v>276</x:v>
      </x:c>
      <x:c r="K1021" s="12">
        <x:f>英雄升级调参!$F$74</x:f>
        <x:v>2760</x:v>
      </x:c>
      <x:c r="L1021" s="6" t="n">
        <x:f>ROUNDUP(F1021/J1021,0)</x:f>
        <x:v>15</x:v>
      </x:c>
      <x:c r="M1021" s="6" t="n">
        <x:f>IF(G1021=0,"无伤害",ROUNDUP(K1021/MAX(1,ROUND(G1021*$AC$30,0)),0))</x:f>
        <x:v>8</x:v>
      </x:c>
      <x:c r="N1021" s="6">
        <x:f>ROUNDUP(F1021/英雄升级调参!$H$74,0)</x:f>
        <x:v>8</x:v>
      </x:c>
      <x:c r="O1021" s="6">
        <x:f>ROUNDUP(F1021/英雄升级调参!$K$74,0)</x:f>
        <x:v>5</x:v>
      </x:c>
      <x:c r="P1021" s="6" t="str">
        <x:f>$AA$30</x:f>
        <x:v>精英：15次标准普攻击杀；7.5次主要攻击致死</x:v>
      </x:c>
      <x:c r="Q1021" s="6"/>
      <x:c r="R1021" s="6"/>
      <x:c r="S1021" s="6"/>
      <x:c r="T1021" s="6"/>
    </x:row>
    <x:row r="1022" ht="21" customHeight="1">
      <x:c r="A1022" s="14" t="n">
        <x:f>$V$30</x:f>
        <x:v>60017</x:v>
      </x:c>
      <x:c r="B1022" s="14" t="str">
        <x:f>$W$30</x:f>
        <x:v>红葡萄狗</x:v>
      </x:c>
      <x:c r="C1022" s="6" t="str">
        <x:f>$X$30</x:f>
        <x:v>精英</x:v>
      </x:c>
      <x:c r="D1022" s="6">
        <x:v>10</x:v>
      </x:c>
      <x:c r="E1022" s="6">
        <x:v>30</x:v>
      </x:c>
      <x:c r="F1022" s="12">
        <x:f>ROUND(J1022*$W$4*H1022,0)</x:f>
        <x:v>5355</x:v>
      </x:c>
      <x:c r="G1022" s="12">
        <x:f>ROUND(J1022*$W$4*$W$5*I1022,0)</x:f>
        <x:v>317</x:v>
      </x:c>
      <x:c r="H1022" s="11" t="n">
        <x:f>$Y$30</x:f>
        <x:v>3.75</x:v>
      </x:c>
      <x:c r="I1022" s="11" t="n">
        <x:f>$Z$30</x:f>
        <x:v>2.9629629629629632</x:v>
      </x:c>
      <x:c r="J1022" s="12">
        <x:f>英雄升级调参!$E$75</x:f>
        <x:v>357</x:v>
      </x:c>
      <x:c r="K1022" s="12">
        <x:f>英雄升级调参!$F$75</x:f>
        <x:v>3570</x:v>
      </x:c>
      <x:c r="L1022" s="6" t="n">
        <x:f>ROUNDUP(F1022/J1022,0)</x:f>
        <x:v>15</x:v>
      </x:c>
      <x:c r="M1022" s="6" t="n">
        <x:f>IF(G1022=0,"无伤害",ROUNDUP(K1022/MAX(1,ROUND(G1022*$AC$30,0)),0))</x:f>
        <x:v>8</x:v>
      </x:c>
      <x:c r="N1022" s="6">
        <x:f>ROUNDUP(F1022/英雄升级调参!$H$75,0)</x:f>
        <x:v>9</x:v>
      </x:c>
      <x:c r="O1022" s="6">
        <x:f>ROUNDUP(F1022/英雄升级调参!$K$75,0)</x:f>
        <x:v>5</x:v>
      </x:c>
      <x:c r="P1022" s="6" t="str">
        <x:f>$AA$30</x:f>
        <x:v>精英：15次标准普攻击杀；7.5次主要攻击致死</x:v>
      </x:c>
      <x:c r="Q1022" s="6"/>
      <x:c r="R1022" s="6"/>
      <x:c r="S1022" s="6"/>
      <x:c r="T1022" s="6"/>
    </x:row>
    <x:row r="1023" ht="21" customHeight="1">
      <x:c r="A1023" s="14" t="n">
        <x:f>$V$30</x:f>
        <x:v>60017</x:v>
      </x:c>
      <x:c r="B1023" s="14" t="str">
        <x:f>$W$30</x:f>
        <x:v>红葡萄狗</x:v>
      </x:c>
      <x:c r="C1023" s="6" t="str">
        <x:f>$X$30</x:f>
        <x:v>精英</x:v>
      </x:c>
      <x:c r="D1023" s="6">
        <x:v>11</x:v>
      </x:c>
      <x:c r="E1023" s="6">
        <x:v>30</x:v>
      </x:c>
      <x:c r="F1023" s="12">
        <x:f>ROUND(J1023*$W$4*H1023,0)</x:f>
        <x:v>5895</x:v>
      </x:c>
      <x:c r="G1023" s="12">
        <x:f>ROUND(J1023*$W$4*$W$5*I1023,0)</x:f>
        <x:v>349</x:v>
      </x:c>
      <x:c r="H1023" s="11" t="n">
        <x:f>$Y$30</x:f>
        <x:v>3.75</x:v>
      </x:c>
      <x:c r="I1023" s="11" t="n">
        <x:f>$Z$30</x:f>
        <x:v>2.9629629629629632</x:v>
      </x:c>
      <x:c r="J1023" s="12">
        <x:f>英雄升级调参!$E$76</x:f>
        <x:v>393</x:v>
      </x:c>
      <x:c r="K1023" s="12">
        <x:f>英雄升级调参!$F$76</x:f>
        <x:v>3930</x:v>
      </x:c>
      <x:c r="L1023" s="6" t="n">
        <x:f>ROUNDUP(F1023/J1023,0)</x:f>
        <x:v>15</x:v>
      </x:c>
      <x:c r="M1023" s="6" t="n">
        <x:f>IF(G1023=0,"无伤害",ROUNDUP(K1023/MAX(1,ROUND(G1023*$AC$30,0)),0))</x:f>
        <x:v>8</x:v>
      </x:c>
      <x:c r="N1023" s="6">
        <x:f>ROUNDUP(F1023/英雄升级调参!$H$76,0)</x:f>
        <x:v>9</x:v>
      </x:c>
      <x:c r="O1023" s="6">
        <x:f>ROUNDUP(F1023/英雄升级调参!$K$76,0)</x:f>
        <x:v>5</x:v>
      </x:c>
      <x:c r="P1023" s="6" t="str">
        <x:f>$AA$30</x:f>
        <x:v>精英：15次标准普攻击杀；7.5次主要攻击致死</x:v>
      </x:c>
      <x:c r="Q1023" s="6"/>
      <x:c r="R1023" s="6"/>
      <x:c r="S1023" s="6"/>
      <x:c r="T1023" s="6"/>
    </x:row>
    <x:row r="1024" ht="21" customHeight="1">
      <x:c r="A1024" s="14" t="n">
        <x:f>$V$30</x:f>
        <x:v>60017</x:v>
      </x:c>
      <x:c r="B1024" s="14" t="str">
        <x:f>$W$30</x:f>
        <x:v>红葡萄狗</x:v>
      </x:c>
      <x:c r="C1024" s="6" t="str">
        <x:f>$X$30</x:f>
        <x:v>精英</x:v>
      </x:c>
      <x:c r="D1024" s="6">
        <x:v>12</x:v>
      </x:c>
      <x:c r="E1024" s="6">
        <x:v>30</x:v>
      </x:c>
      <x:c r="F1024" s="12">
        <x:f>ROUND(J1024*$W$4*H1024,0)</x:f>
        <x:v>6435</x:v>
      </x:c>
      <x:c r="G1024" s="12">
        <x:f>ROUND(J1024*$W$4*$W$5*I1024,0)</x:f>
        <x:v>381</x:v>
      </x:c>
      <x:c r="H1024" s="11" t="n">
        <x:f>$Y$30</x:f>
        <x:v>3.75</x:v>
      </x:c>
      <x:c r="I1024" s="11" t="n">
        <x:f>$Z$30</x:f>
        <x:v>2.9629629629629632</x:v>
      </x:c>
      <x:c r="J1024" s="12">
        <x:f>英雄升级调参!$E$77</x:f>
        <x:v>429</x:v>
      </x:c>
      <x:c r="K1024" s="12">
        <x:f>英雄升级调参!$F$77</x:f>
        <x:v>4290</x:v>
      </x:c>
      <x:c r="L1024" s="6" t="n">
        <x:f>ROUNDUP(F1024/J1024,0)</x:f>
        <x:v>15</x:v>
      </x:c>
      <x:c r="M1024" s="6" t="n">
        <x:f>IF(G1024=0,"无伤害",ROUNDUP(K1024/MAX(1,ROUND(G1024*$AC$30,0)),0))</x:f>
        <x:v>8</x:v>
      </x:c>
      <x:c r="N1024" s="6">
        <x:f>ROUNDUP(F1024/英雄升级调参!$H$77,0)</x:f>
        <x:v>9</x:v>
      </x:c>
      <x:c r="O1024" s="6">
        <x:f>ROUNDUP(F1024/英雄升级调参!$K$77,0)</x:f>
        <x:v>6</x:v>
      </x:c>
      <x:c r="P1024" s="6" t="str">
        <x:f>$AA$30</x:f>
        <x:v>精英：15次标准普攻击杀；7.5次主要攻击致死</x:v>
      </x:c>
      <x:c r="Q1024" s="6"/>
      <x:c r="R1024" s="6"/>
      <x:c r="S1024" s="6"/>
      <x:c r="T1024" s="6"/>
    </x:row>
    <x:row r="1025" ht="21" customHeight="1">
      <x:c r="A1025" s="14" t="n">
        <x:f>$V$30</x:f>
        <x:v>60017</x:v>
      </x:c>
      <x:c r="B1025" s="14" t="str">
        <x:f>$W$30</x:f>
        <x:v>红葡萄狗</x:v>
      </x:c>
      <x:c r="C1025" s="6" t="str">
        <x:f>$X$30</x:f>
        <x:v>精英</x:v>
      </x:c>
      <x:c r="D1025" s="6">
        <x:v>13</x:v>
      </x:c>
      <x:c r="E1025" s="6">
        <x:v>30</x:v>
      </x:c>
      <x:c r="F1025" s="12">
        <x:f>ROUND(J1025*$W$4*H1025,0)</x:f>
        <x:v>6975</x:v>
      </x:c>
      <x:c r="G1025" s="12">
        <x:f>ROUND(J1025*$W$4*$W$5*I1025,0)</x:f>
        <x:v>413</x:v>
      </x:c>
      <x:c r="H1025" s="11" t="n">
        <x:f>$Y$30</x:f>
        <x:v>3.75</x:v>
      </x:c>
      <x:c r="I1025" s="11" t="n">
        <x:f>$Z$30</x:f>
        <x:v>2.9629629629629632</x:v>
      </x:c>
      <x:c r="J1025" s="12">
        <x:f>英雄升级调参!$E$78</x:f>
        <x:v>465</x:v>
      </x:c>
      <x:c r="K1025" s="12">
        <x:f>英雄升级调参!$F$78</x:f>
        <x:v>4650</x:v>
      </x:c>
      <x:c r="L1025" s="6" t="n">
        <x:f>ROUNDUP(F1025/J1025,0)</x:f>
        <x:v>15</x:v>
      </x:c>
      <x:c r="M1025" s="6" t="n">
        <x:f>IF(G1025=0,"无伤害",ROUNDUP(K1025/MAX(1,ROUND(G1025*$AC$30,0)),0))</x:f>
        <x:v>8</x:v>
      </x:c>
      <x:c r="N1025" s="6">
        <x:f>ROUNDUP(F1025/英雄升级调参!$H$78,0)</x:f>
        <x:v>9</x:v>
      </x:c>
      <x:c r="O1025" s="6">
        <x:f>ROUNDUP(F1025/英雄升级调参!$K$78,0)</x:f>
        <x:v>6</x:v>
      </x:c>
      <x:c r="P1025" s="6" t="str">
        <x:f>$AA$30</x:f>
        <x:v>精英：15次标准普攻击杀；7.5次主要攻击致死</x:v>
      </x:c>
      <x:c r="Q1025" s="6"/>
      <x:c r="R1025" s="6"/>
      <x:c r="S1025" s="6"/>
      <x:c r="T1025" s="6"/>
    </x:row>
    <x:row r="1026" ht="21" customHeight="1">
      <x:c r="A1026" s="14" t="n">
        <x:f>$V$30</x:f>
        <x:v>60017</x:v>
      </x:c>
      <x:c r="B1026" s="14" t="str">
        <x:f>$W$30</x:f>
        <x:v>红葡萄狗</x:v>
      </x:c>
      <x:c r="C1026" s="6" t="str">
        <x:f>$X$30</x:f>
        <x:v>精英</x:v>
      </x:c>
      <x:c r="D1026" s="6">
        <x:v>14</x:v>
      </x:c>
      <x:c r="E1026" s="6">
        <x:v>30</x:v>
      </x:c>
      <x:c r="F1026" s="12">
        <x:f>ROUND(J1026*$W$4*H1026,0)</x:f>
        <x:v>7515</x:v>
      </x:c>
      <x:c r="G1026" s="12">
        <x:f>ROUND(J1026*$W$4*$W$5*I1026,0)</x:f>
        <x:v>445</x:v>
      </x:c>
      <x:c r="H1026" s="11" t="n">
        <x:f>$Y$30</x:f>
        <x:v>3.75</x:v>
      </x:c>
      <x:c r="I1026" s="11" t="n">
        <x:f>$Z$30</x:f>
        <x:v>2.9629629629629632</x:v>
      </x:c>
      <x:c r="J1026" s="12">
        <x:f>英雄升级调参!$E$79</x:f>
        <x:v>501</x:v>
      </x:c>
      <x:c r="K1026" s="12">
        <x:f>英雄升级调参!$F$79</x:f>
        <x:v>5010</x:v>
      </x:c>
      <x:c r="L1026" s="6" t="n">
        <x:f>ROUNDUP(F1026/J1026,0)</x:f>
        <x:v>15</x:v>
      </x:c>
      <x:c r="M1026" s="6" t="n">
        <x:f>IF(G1026=0,"无伤害",ROUNDUP(K1026/MAX(1,ROUND(G1026*$AC$30,0)),0))</x:f>
        <x:v>8</x:v>
      </x:c>
      <x:c r="N1026" s="6">
        <x:f>ROUNDUP(F1026/英雄升级调参!$H$79,0)</x:f>
        <x:v>9</x:v>
      </x:c>
      <x:c r="O1026" s="6">
        <x:f>ROUNDUP(F1026/英雄升级调参!$K$79,0)</x:f>
        <x:v>6</x:v>
      </x:c>
      <x:c r="P1026" s="6" t="str">
        <x:f>$AA$30</x:f>
        <x:v>精英：15次标准普攻击杀；7.5次主要攻击致死</x:v>
      </x:c>
      <x:c r="Q1026" s="6"/>
      <x:c r="R1026" s="6"/>
      <x:c r="S1026" s="6"/>
      <x:c r="T1026" s="6"/>
    </x:row>
    <x:row r="1027" ht="21" customHeight="1">
      <x:c r="A1027" s="14" t="n">
        <x:f>$V$30</x:f>
        <x:v>60017</x:v>
      </x:c>
      <x:c r="B1027" s="14" t="str">
        <x:f>$W$30</x:f>
        <x:v>红葡萄狗</x:v>
      </x:c>
      <x:c r="C1027" s="6" t="str">
        <x:f>$X$30</x:f>
        <x:v>精英</x:v>
      </x:c>
      <x:c r="D1027" s="6">
        <x:v>15</x:v>
      </x:c>
      <x:c r="E1027" s="6">
        <x:v>30</x:v>
      </x:c>
      <x:c r="F1027" s="12">
        <x:f>ROUND(J1027*$W$4*H1027,0)</x:f>
        <x:v>9135</x:v>
      </x:c>
      <x:c r="G1027" s="12">
        <x:f>ROUND(J1027*$W$4*$W$5*I1027,0)</x:f>
        <x:v>541</x:v>
      </x:c>
      <x:c r="H1027" s="11" t="n">
        <x:f>$Y$30</x:f>
        <x:v>3.75</x:v>
      </x:c>
      <x:c r="I1027" s="11" t="n">
        <x:f>$Z$30</x:f>
        <x:v>2.9629629629629632</x:v>
      </x:c>
      <x:c r="J1027" s="12">
        <x:f>英雄升级调参!$E$80</x:f>
        <x:v>609</x:v>
      </x:c>
      <x:c r="K1027" s="12">
        <x:f>英雄升级调参!$F$80</x:f>
        <x:v>6090</x:v>
      </x:c>
      <x:c r="L1027" s="6" t="n">
        <x:f>ROUNDUP(F1027/J1027,0)</x:f>
        <x:v>15</x:v>
      </x:c>
      <x:c r="M1027" s="6" t="n">
        <x:f>IF(G1027=0,"无伤害",ROUNDUP(K1027/MAX(1,ROUND(G1027*$AC$30,0)),0))</x:f>
        <x:v>8</x:v>
      </x:c>
      <x:c r="N1027" s="6">
        <x:f>ROUNDUP(F1027/英雄升级调参!$H$80,0)</x:f>
        <x:v>9</x:v>
      </x:c>
      <x:c r="O1027" s="6">
        <x:f>ROUNDUP(F1027/英雄升级调参!$K$80,0)</x:f>
        <x:v>6</x:v>
      </x:c>
      <x:c r="P1027" s="6" t="str">
        <x:f>$AA$30</x:f>
        <x:v>精英：15次标准普攻击杀；7.5次主要攻击致死</x:v>
      </x:c>
      <x:c r="Q1027" s="6"/>
      <x:c r="R1027" s="6"/>
      <x:c r="S1027" s="6"/>
      <x:c r="T1027" s="6"/>
    </x:row>
    <x:row r="1028" ht="21" customHeight="1">
      <x:c r="A1028" s="14" t="n">
        <x:f>$V$30</x:f>
        <x:v>60017</x:v>
      </x:c>
      <x:c r="B1028" s="14" t="str">
        <x:f>$W$30</x:f>
        <x:v>红葡萄狗</x:v>
      </x:c>
      <x:c r="C1028" s="6" t="str">
        <x:f>$X$30</x:f>
        <x:v>精英</x:v>
      </x:c>
      <x:c r="D1028" s="6">
        <x:v>16</x:v>
      </x:c>
      <x:c r="E1028" s="6">
        <x:v>30</x:v>
      </x:c>
      <x:c r="F1028" s="12">
        <x:f>ROUND(J1028*$W$4*H1028,0)</x:f>
        <x:v>9810</x:v>
      </x:c>
      <x:c r="G1028" s="12">
        <x:f>ROUND(J1028*$W$4*$W$5*I1028,0)</x:f>
        <x:v>581</x:v>
      </x:c>
      <x:c r="H1028" s="11" t="n">
        <x:f>$Y$30</x:f>
        <x:v>3.75</x:v>
      </x:c>
      <x:c r="I1028" s="11" t="n">
        <x:f>$Z$30</x:f>
        <x:v>2.9629629629629632</x:v>
      </x:c>
      <x:c r="J1028" s="12">
        <x:f>英雄升级调参!$E$81</x:f>
        <x:v>654</x:v>
      </x:c>
      <x:c r="K1028" s="12">
        <x:f>英雄升级调参!$F$81</x:f>
        <x:v>6540</x:v>
      </x:c>
      <x:c r="L1028" s="6" t="n">
        <x:f>ROUNDUP(F1028/J1028,0)</x:f>
        <x:v>15</x:v>
      </x:c>
      <x:c r="M1028" s="6" t="n">
        <x:f>IF(G1028=0,"无伤害",ROUNDUP(K1028/MAX(1,ROUND(G1028*$AC$30,0)),0))</x:f>
        <x:v>8</x:v>
      </x:c>
      <x:c r="N1028" s="6">
        <x:f>ROUNDUP(F1028/英雄升级调参!$H$81,0)</x:f>
        <x:v>9</x:v>
      </x:c>
      <x:c r="O1028" s="6">
        <x:f>ROUNDUP(F1028/英雄升级调参!$K$81,0)</x:f>
        <x:v>6</x:v>
      </x:c>
      <x:c r="P1028" s="6" t="str">
        <x:f>$AA$30</x:f>
        <x:v>精英：15次标准普攻击杀；7.5次主要攻击致死</x:v>
      </x:c>
      <x:c r="Q1028" s="6"/>
      <x:c r="R1028" s="6"/>
      <x:c r="S1028" s="6"/>
      <x:c r="T1028" s="6"/>
    </x:row>
    <x:row r="1029" ht="21" customHeight="1">
      <x:c r="A1029" s="14" t="n">
        <x:f>$V$30</x:f>
        <x:v>60017</x:v>
      </x:c>
      <x:c r="B1029" s="14" t="str">
        <x:f>$W$30</x:f>
        <x:v>红葡萄狗</x:v>
      </x:c>
      <x:c r="C1029" s="6" t="str">
        <x:f>$X$30</x:f>
        <x:v>精英</x:v>
      </x:c>
      <x:c r="D1029" s="6">
        <x:v>17</x:v>
      </x:c>
      <x:c r="E1029" s="6">
        <x:v>30</x:v>
      </x:c>
      <x:c r="F1029" s="12">
        <x:f>ROUND(J1029*$W$4*H1029,0)</x:f>
        <x:v>10485</x:v>
      </x:c>
      <x:c r="G1029" s="12">
        <x:f>ROUND(J1029*$W$4*$W$5*I1029,0)</x:f>
        <x:v>621</x:v>
      </x:c>
      <x:c r="H1029" s="11" t="n">
        <x:f>$Y$30</x:f>
        <x:v>3.75</x:v>
      </x:c>
      <x:c r="I1029" s="11" t="n">
        <x:f>$Z$30</x:f>
        <x:v>2.9629629629629632</x:v>
      </x:c>
      <x:c r="J1029" s="12">
        <x:f>英雄升级调参!$E$82</x:f>
        <x:v>699</x:v>
      </x:c>
      <x:c r="K1029" s="12">
        <x:f>英雄升级调参!$F$82</x:f>
        <x:v>6990</x:v>
      </x:c>
      <x:c r="L1029" s="6" t="n">
        <x:f>ROUNDUP(F1029/J1029,0)</x:f>
        <x:v>15</x:v>
      </x:c>
      <x:c r="M1029" s="6" t="n">
        <x:f>IF(G1029=0,"无伤害",ROUNDUP(K1029/MAX(1,ROUND(G1029*$AC$30,0)),0))</x:f>
        <x:v>8</x:v>
      </x:c>
      <x:c r="N1029" s="6" t="n">
        <x:f>ROUNDUP(F1029/英雄升级调参!$H$82,0)</x:f>
        <x:v>10</x:v>
      </x:c>
      <x:c r="O1029" s="6">
        <x:f>ROUNDUP(F1029/英雄升级调参!$K$82,0)</x:f>
        <x:v>6</x:v>
      </x:c>
      <x:c r="P1029" s="6" t="str">
        <x:f>$AA$30</x:f>
        <x:v>精英：15次标准普攻击杀；7.5次主要攻击致死</x:v>
      </x:c>
      <x:c r="Q1029" s="6"/>
      <x:c r="R1029" s="6"/>
      <x:c r="S1029" s="6"/>
      <x:c r="T1029" s="6"/>
    </x:row>
    <x:row r="1030" ht="21" customHeight="1">
      <x:c r="A1030" s="14" t="n">
        <x:f>$V$30</x:f>
        <x:v>60017</x:v>
      </x:c>
      <x:c r="B1030" s="14" t="str">
        <x:f>$W$30</x:f>
        <x:v>红葡萄狗</x:v>
      </x:c>
      <x:c r="C1030" s="6" t="str">
        <x:f>$X$30</x:f>
        <x:v>精英</x:v>
      </x:c>
      <x:c r="D1030" s="6">
        <x:v>18</x:v>
      </x:c>
      <x:c r="E1030" s="6">
        <x:v>30</x:v>
      </x:c>
      <x:c r="F1030" s="12">
        <x:f>ROUND(J1030*$W$4*H1030,0)</x:f>
        <x:v>11160</x:v>
      </x:c>
      <x:c r="G1030" s="12">
        <x:f>ROUND(J1030*$W$4*$W$5*I1030,0)</x:f>
        <x:v>661</x:v>
      </x:c>
      <x:c r="H1030" s="11" t="n">
        <x:f>$Y$30</x:f>
        <x:v>3.75</x:v>
      </x:c>
      <x:c r="I1030" s="11" t="n">
        <x:f>$Z$30</x:f>
        <x:v>2.9629629629629632</x:v>
      </x:c>
      <x:c r="J1030" s="12">
        <x:f>英雄升级调参!$E$83</x:f>
        <x:v>744</x:v>
      </x:c>
      <x:c r="K1030" s="12">
        <x:f>英雄升级调参!$F$83</x:f>
        <x:v>7440</x:v>
      </x:c>
      <x:c r="L1030" s="6" t="n">
        <x:f>ROUNDUP(F1030/J1030,0)</x:f>
        <x:v>15</x:v>
      </x:c>
      <x:c r="M1030" s="6" t="n">
        <x:f>IF(G1030=0,"无伤害",ROUNDUP(K1030/MAX(1,ROUND(G1030*$AC$30,0)),0))</x:f>
        <x:v>8</x:v>
      </x:c>
      <x:c r="N1030" s="6" t="n">
        <x:f>ROUNDUP(F1030/英雄升级调参!$H$83,0)</x:f>
        <x:v>10</x:v>
      </x:c>
      <x:c r="O1030" s="6">
        <x:f>ROUNDUP(F1030/英雄升级调参!$K$83,0)</x:f>
        <x:v>6</x:v>
      </x:c>
      <x:c r="P1030" s="6" t="str">
        <x:f>$AA$30</x:f>
        <x:v>精英：15次标准普攻击杀；7.5次主要攻击致死</x:v>
      </x:c>
      <x:c r="Q1030" s="6"/>
      <x:c r="R1030" s="6"/>
      <x:c r="S1030" s="6"/>
      <x:c r="T1030" s="6"/>
    </x:row>
    <x:row r="1031" ht="21" customHeight="1">
      <x:c r="A1031" s="14" t="n">
        <x:f>$V$30</x:f>
        <x:v>60017</x:v>
      </x:c>
      <x:c r="B1031" s="14" t="str">
        <x:f>$W$30</x:f>
        <x:v>红葡萄狗</x:v>
      </x:c>
      <x:c r="C1031" s="6" t="str">
        <x:f>$X$30</x:f>
        <x:v>精英</x:v>
      </x:c>
      <x:c r="D1031" s="6">
        <x:v>19</x:v>
      </x:c>
      <x:c r="E1031" s="6">
        <x:v>30</x:v>
      </x:c>
      <x:c r="F1031" s="12">
        <x:f>ROUND(J1031*$W$4*H1031,0)</x:f>
        <x:v>11835</x:v>
      </x:c>
      <x:c r="G1031" s="12">
        <x:f>ROUND(J1031*$W$4*$W$5*I1031,0)</x:f>
        <x:v>701</x:v>
      </x:c>
      <x:c r="H1031" s="11" t="n">
        <x:f>$Y$30</x:f>
        <x:v>3.75</x:v>
      </x:c>
      <x:c r="I1031" s="11" t="n">
        <x:f>$Z$30</x:f>
        <x:v>2.9629629629629632</x:v>
      </x:c>
      <x:c r="J1031" s="12">
        <x:f>英雄升级调参!$E$84</x:f>
        <x:v>789</x:v>
      </x:c>
      <x:c r="K1031" s="12">
        <x:f>英雄升级调参!$F$84</x:f>
        <x:v>7890</x:v>
      </x:c>
      <x:c r="L1031" s="6" t="n">
        <x:f>ROUNDUP(F1031/J1031,0)</x:f>
        <x:v>15</x:v>
      </x:c>
      <x:c r="M1031" s="6" t="n">
        <x:f>IF(G1031=0,"无伤害",ROUNDUP(K1031/MAX(1,ROUND(G1031*$AC$30,0)),0))</x:f>
        <x:v>8</x:v>
      </x:c>
      <x:c r="N1031" s="6" t="n">
        <x:f>ROUNDUP(F1031/英雄升级调参!$H$84,0)</x:f>
        <x:v>10</x:v>
      </x:c>
      <x:c r="O1031" s="6">
        <x:f>ROUNDUP(F1031/英雄升级调参!$K$84,0)</x:f>
        <x:v>6</x:v>
      </x:c>
      <x:c r="P1031" s="6" t="str">
        <x:f>$AA$30</x:f>
        <x:v>精英：15次标准普攻击杀；7.5次主要攻击致死</x:v>
      </x:c>
      <x:c r="Q1031" s="6"/>
      <x:c r="R1031" s="6"/>
      <x:c r="S1031" s="6"/>
      <x:c r="T1031" s="6"/>
    </x:row>
    <x:row r="1032" ht="21" customHeight="1">
      <x:c r="A1032" s="14" t="n">
        <x:f>$V$30</x:f>
        <x:v>60017</x:v>
      </x:c>
      <x:c r="B1032" s="14" t="str">
        <x:f>$W$30</x:f>
        <x:v>红葡萄狗</x:v>
      </x:c>
      <x:c r="C1032" s="6" t="str">
        <x:f>$X$30</x:f>
        <x:v>精英</x:v>
      </x:c>
      <x:c r="D1032" s="6">
        <x:v>20</x:v>
      </x:c>
      <x:c r="E1032" s="6">
        <x:v>30</x:v>
      </x:c>
      <x:c r="F1032" s="12">
        <x:f>ROUND(J1032*$W$4*H1032,0)</x:f>
        <x:v>13860</x:v>
      </x:c>
      <x:c r="G1032" s="12">
        <x:f>ROUND(J1032*$W$4*$W$5*I1032,0)</x:f>
        <x:v>821</x:v>
      </x:c>
      <x:c r="H1032" s="11" t="n">
        <x:f>$Y$30</x:f>
        <x:v>3.75</x:v>
      </x:c>
      <x:c r="I1032" s="11" t="n">
        <x:f>$Z$30</x:f>
        <x:v>2.9629629629629632</x:v>
      </x:c>
      <x:c r="J1032" s="12">
        <x:f>英雄升级调参!$E$85</x:f>
        <x:v>924</x:v>
      </x:c>
      <x:c r="K1032" s="12">
        <x:f>英雄升级调参!$F$85</x:f>
        <x:v>9240</x:v>
      </x:c>
      <x:c r="L1032" s="6" t="n">
        <x:f>ROUNDUP(F1032/J1032,0)</x:f>
        <x:v>15</x:v>
      </x:c>
      <x:c r="M1032" s="6" t="n">
        <x:f>IF(G1032=0,"无伤害",ROUNDUP(K1032/MAX(1,ROUND(G1032*$AC$30,0)),0))</x:f>
        <x:v>8</x:v>
      </x:c>
      <x:c r="N1032" s="6" t="n">
        <x:f>ROUNDUP(F1032/英雄升级调参!$H$85,0)</x:f>
        <x:v>10</x:v>
      </x:c>
      <x:c r="O1032" s="6">
        <x:f>ROUNDUP(F1032/英雄升级调参!$K$85,0)</x:f>
        <x:v>6</x:v>
      </x:c>
      <x:c r="P1032" s="6" t="str">
        <x:f>$AA$30</x:f>
        <x:v>精英：15次标准普攻击杀；7.5次主要攻击致死</x:v>
      </x:c>
      <x:c r="Q1032" s="6"/>
      <x:c r="R1032" s="6"/>
      <x:c r="S1032" s="6"/>
      <x:c r="T1032" s="6"/>
    </x:row>
    <x:row r="1033" ht="21" customHeight="1">
      <x:c r="A1033" s="14" t="n">
        <x:f>$V$30</x:f>
        <x:v>60017</x:v>
      </x:c>
      <x:c r="B1033" s="14" t="str">
        <x:f>$W$30</x:f>
        <x:v>红葡萄狗</x:v>
      </x:c>
      <x:c r="C1033" s="6" t="str">
        <x:f>$X$30</x:f>
        <x:v>精英</x:v>
      </x:c>
      <x:c r="D1033" s="6">
        <x:v>21</x:v>
      </x:c>
      <x:c r="E1033" s="6">
        <x:v>30</x:v>
      </x:c>
      <x:c r="F1033" s="12">
        <x:f>ROUND(J1033*$W$4*H1033,0)</x:f>
        <x:v>14670</x:v>
      </x:c>
      <x:c r="G1033" s="12">
        <x:f>ROUND(J1033*$W$4*$W$5*I1033,0)</x:f>
        <x:v>869</x:v>
      </x:c>
      <x:c r="H1033" s="11" t="n">
        <x:f>$Y$30</x:f>
        <x:v>3.75</x:v>
      </x:c>
      <x:c r="I1033" s="11" t="n">
        <x:f>$Z$30</x:f>
        <x:v>2.9629629629629632</x:v>
      </x:c>
      <x:c r="J1033" s="12">
        <x:f>英雄升级调参!$E$86</x:f>
        <x:v>978</x:v>
      </x:c>
      <x:c r="K1033" s="12">
        <x:f>英雄升级调参!$F$86</x:f>
        <x:v>9780</x:v>
      </x:c>
      <x:c r="L1033" s="6" t="n">
        <x:f>ROUNDUP(F1033/J1033,0)</x:f>
        <x:v>15</x:v>
      </x:c>
      <x:c r="M1033" s="6" t="n">
        <x:f>IF(G1033=0,"无伤害",ROUNDUP(K1033/MAX(1,ROUND(G1033*$AC$30,0)),0))</x:f>
        <x:v>8</x:v>
      </x:c>
      <x:c r="N1033" s="6" t="n">
        <x:f>ROUNDUP(F1033/英雄升级调参!$H$86,0)</x:f>
        <x:v>10</x:v>
      </x:c>
      <x:c r="O1033" s="6">
        <x:f>ROUNDUP(F1033/英雄升级调参!$K$86,0)</x:f>
        <x:v>6</x:v>
      </x:c>
      <x:c r="P1033" s="6" t="str">
        <x:f>$AA$30</x:f>
        <x:v>精英：15次标准普攻击杀；7.5次主要攻击致死</x:v>
      </x:c>
      <x:c r="Q1033" s="6"/>
      <x:c r="R1033" s="6"/>
      <x:c r="S1033" s="6"/>
      <x:c r="T1033" s="6"/>
    </x:row>
    <x:row r="1034" ht="21" customHeight="1">
      <x:c r="A1034" s="14" t="n">
        <x:f>$V$30</x:f>
        <x:v>60017</x:v>
      </x:c>
      <x:c r="B1034" s="14" t="str">
        <x:f>$W$30</x:f>
        <x:v>红葡萄狗</x:v>
      </x:c>
      <x:c r="C1034" s="6" t="str">
        <x:f>$X$30</x:f>
        <x:v>精英</x:v>
      </x:c>
      <x:c r="D1034" s="6">
        <x:v>22</x:v>
      </x:c>
      <x:c r="E1034" s="6">
        <x:v>30</x:v>
      </x:c>
      <x:c r="F1034" s="12">
        <x:f>ROUND(J1034*$W$4*H1034,0)</x:f>
        <x:v>15480</x:v>
      </x:c>
      <x:c r="G1034" s="12">
        <x:f>ROUND(J1034*$W$4*$W$5*I1034,0)</x:f>
        <x:v>917</x:v>
      </x:c>
      <x:c r="H1034" s="11" t="n">
        <x:f>$Y$30</x:f>
        <x:v>3.75</x:v>
      </x:c>
      <x:c r="I1034" s="11" t="n">
        <x:f>$Z$30</x:f>
        <x:v>2.9629629629629632</x:v>
      </x:c>
      <x:c r="J1034" s="12">
        <x:f>英雄升级调参!$E$87</x:f>
        <x:v>1032</x:v>
      </x:c>
      <x:c r="K1034" s="12">
        <x:f>英雄升级调参!$F$87</x:f>
        <x:v>10320</x:v>
      </x:c>
      <x:c r="L1034" s="6" t="n">
        <x:f>ROUNDUP(F1034/J1034,0)</x:f>
        <x:v>15</x:v>
      </x:c>
      <x:c r="M1034" s="6" t="n">
        <x:f>IF(G1034=0,"无伤害",ROUNDUP(K1034/MAX(1,ROUND(G1034*$AC$30,0)),0))</x:f>
        <x:v>8</x:v>
      </x:c>
      <x:c r="N1034" s="6" t="n">
        <x:f>ROUNDUP(F1034/英雄升级调参!$H$87,0)</x:f>
        <x:v>10</x:v>
      </x:c>
      <x:c r="O1034" s="6">
        <x:f>ROUNDUP(F1034/英雄升级调参!$K$87,0)</x:f>
        <x:v>6</x:v>
      </x:c>
      <x:c r="P1034" s="6" t="str">
        <x:f>$AA$30</x:f>
        <x:v>精英：15次标准普攻击杀；7.5次主要攻击致死</x:v>
      </x:c>
      <x:c r="Q1034" s="6"/>
      <x:c r="R1034" s="6"/>
      <x:c r="S1034" s="6"/>
      <x:c r="T1034" s="6"/>
    </x:row>
    <x:row r="1035" ht="21" customHeight="1">
      <x:c r="A1035" s="14" t="n">
        <x:f>$V$30</x:f>
        <x:v>60017</x:v>
      </x:c>
      <x:c r="B1035" s="14" t="str">
        <x:f>$W$30</x:f>
        <x:v>红葡萄狗</x:v>
      </x:c>
      <x:c r="C1035" s="6" t="str">
        <x:f>$X$30</x:f>
        <x:v>精英</x:v>
      </x:c>
      <x:c r="D1035" s="6">
        <x:v>23</x:v>
      </x:c>
      <x:c r="E1035" s="6">
        <x:v>30</x:v>
      </x:c>
      <x:c r="F1035" s="12">
        <x:f>ROUND(J1035*$W$4*H1035,0)</x:f>
        <x:v>16290</x:v>
      </x:c>
      <x:c r="G1035" s="12">
        <x:f>ROUND(J1035*$W$4*$W$5*I1035,0)</x:f>
        <x:v>965</x:v>
      </x:c>
      <x:c r="H1035" s="11" t="n">
        <x:f>$Y$30</x:f>
        <x:v>3.75</x:v>
      </x:c>
      <x:c r="I1035" s="11" t="n">
        <x:f>$Z$30</x:f>
        <x:v>2.9629629629629632</x:v>
      </x:c>
      <x:c r="J1035" s="12">
        <x:f>英雄升级调参!$E$88</x:f>
        <x:v>1086</x:v>
      </x:c>
      <x:c r="K1035" s="12">
        <x:f>英雄升级调参!$F$88</x:f>
        <x:v>10860</x:v>
      </x:c>
      <x:c r="L1035" s="6" t="n">
        <x:f>ROUNDUP(F1035/J1035,0)</x:f>
        <x:v>15</x:v>
      </x:c>
      <x:c r="M1035" s="6" t="n">
        <x:f>IF(G1035=0,"无伤害",ROUNDUP(K1035/MAX(1,ROUND(G1035*$AC$30,0)),0))</x:f>
        <x:v>8</x:v>
      </x:c>
      <x:c r="N1035" s="6" t="n">
        <x:f>ROUNDUP(F1035/英雄升级调参!$H$88,0)</x:f>
        <x:v>10</x:v>
      </x:c>
      <x:c r="O1035" s="6">
        <x:f>ROUNDUP(F1035/英雄升级调参!$K$88,0)</x:f>
        <x:v>6</x:v>
      </x:c>
      <x:c r="P1035" s="6" t="str">
        <x:f>$AA$30</x:f>
        <x:v>精英：15次标准普攻击杀；7.5次主要攻击致死</x:v>
      </x:c>
      <x:c r="Q1035" s="6"/>
      <x:c r="R1035" s="6"/>
      <x:c r="S1035" s="6"/>
      <x:c r="T1035" s="6"/>
    </x:row>
    <x:row r="1036" ht="21" customHeight="1">
      <x:c r="A1036" s="14" t="n">
        <x:f>$V$30</x:f>
        <x:v>60017</x:v>
      </x:c>
      <x:c r="B1036" s="14" t="str">
        <x:f>$W$30</x:f>
        <x:v>红葡萄狗</x:v>
      </x:c>
      <x:c r="C1036" s="6" t="str">
        <x:f>$X$30</x:f>
        <x:v>精英</x:v>
      </x:c>
      <x:c r="D1036" s="6">
        <x:v>24</x:v>
      </x:c>
      <x:c r="E1036" s="6">
        <x:v>30</x:v>
      </x:c>
      <x:c r="F1036" s="12">
        <x:f>ROUND(J1036*$W$4*H1036,0)</x:f>
        <x:v>17100</x:v>
      </x:c>
      <x:c r="G1036" s="12">
        <x:f>ROUND(J1036*$W$4*$W$5*I1036,0)</x:f>
        <x:v>1013</x:v>
      </x:c>
      <x:c r="H1036" s="11" t="n">
        <x:f>$Y$30</x:f>
        <x:v>3.75</x:v>
      </x:c>
      <x:c r="I1036" s="11" t="n">
        <x:f>$Z$30</x:f>
        <x:v>2.9629629629629632</x:v>
      </x:c>
      <x:c r="J1036" s="12">
        <x:f>英雄升级调参!$E$89</x:f>
        <x:v>1140</x:v>
      </x:c>
      <x:c r="K1036" s="12">
        <x:f>英雄升级调参!$F$89</x:f>
        <x:v>11400</x:v>
      </x:c>
      <x:c r="L1036" s="6" t="n">
        <x:f>ROUNDUP(F1036/J1036,0)</x:f>
        <x:v>15</x:v>
      </x:c>
      <x:c r="M1036" s="6" t="n">
        <x:f>IF(G1036=0,"无伤害",ROUNDUP(K1036/MAX(1,ROUND(G1036*$AC$30,0)),0))</x:f>
        <x:v>8</x:v>
      </x:c>
      <x:c r="N1036" s="6" t="n">
        <x:f>ROUNDUP(F1036/英雄升级调参!$H$89,0)</x:f>
        <x:v>10</x:v>
      </x:c>
      <x:c r="O1036" s="6">
        <x:f>ROUNDUP(F1036/英雄升级调参!$K$89,0)</x:f>
        <x:v>6</x:v>
      </x:c>
      <x:c r="P1036" s="6" t="str">
        <x:f>$AA$30</x:f>
        <x:v>精英：15次标准普攻击杀；7.5次主要攻击致死</x:v>
      </x:c>
      <x:c r="Q1036" s="6"/>
      <x:c r="R1036" s="6"/>
      <x:c r="S1036" s="6"/>
      <x:c r="T1036" s="6"/>
    </x:row>
    <x:row r="1037" ht="21" customHeight="1">
      <x:c r="A1037" s="14" t="n">
        <x:f>$V$30</x:f>
        <x:v>60017</x:v>
      </x:c>
      <x:c r="B1037" s="14" t="str">
        <x:f>$W$30</x:f>
        <x:v>红葡萄狗</x:v>
      </x:c>
      <x:c r="C1037" s="6" t="str">
        <x:f>$X$30</x:f>
        <x:v>精英</x:v>
      </x:c>
      <x:c r="D1037" s="6">
        <x:v>25</x:v>
      </x:c>
      <x:c r="E1037" s="6">
        <x:v>30</x:v>
      </x:c>
      <x:c r="F1037" s="12">
        <x:f>ROUND(J1037*$W$4*H1037,0)</x:f>
        <x:v>19530</x:v>
      </x:c>
      <x:c r="G1037" s="12">
        <x:f>ROUND(J1037*$W$4*$W$5*I1037,0)</x:f>
        <x:v>1157</x:v>
      </x:c>
      <x:c r="H1037" s="11" t="n">
        <x:f>$Y$30</x:f>
        <x:v>3.75</x:v>
      </x:c>
      <x:c r="I1037" s="11" t="n">
        <x:f>$Z$30</x:f>
        <x:v>2.9629629629629632</x:v>
      </x:c>
      <x:c r="J1037" s="12">
        <x:f>英雄升级调参!$E$90</x:f>
        <x:v>1302</x:v>
      </x:c>
      <x:c r="K1037" s="12">
        <x:f>英雄升级调参!$F$90</x:f>
        <x:v>13020</x:v>
      </x:c>
      <x:c r="L1037" s="6" t="n">
        <x:f>ROUNDUP(F1037/J1037,0)</x:f>
        <x:v>15</x:v>
      </x:c>
      <x:c r="M1037" s="6" t="n">
        <x:f>IF(G1037=0,"无伤害",ROUNDUP(K1037/MAX(1,ROUND(G1037*$AC$30,0)),0))</x:f>
        <x:v>8</x:v>
      </x:c>
      <x:c r="N1037" s="6" t="n">
        <x:f>ROUNDUP(F1037/英雄升级调参!$H$90,0)</x:f>
        <x:v>10</x:v>
      </x:c>
      <x:c r="O1037" s="6">
        <x:f>ROUNDUP(F1037/英雄升级调参!$K$90,0)</x:f>
        <x:v>6</x:v>
      </x:c>
      <x:c r="P1037" s="6" t="str">
        <x:f>$AA$30</x:f>
        <x:v>精英：15次标准普攻击杀；7.5次主要攻击致死</x:v>
      </x:c>
      <x:c r="Q1037" s="6"/>
      <x:c r="R1037" s="6"/>
      <x:c r="S1037" s="6"/>
      <x:c r="T1037" s="6"/>
    </x:row>
    <x:row r="1038" ht="21" customHeight="1">
      <x:c r="A1038" s="14" t="n">
        <x:f>$V$30</x:f>
        <x:v>60017</x:v>
      </x:c>
      <x:c r="B1038" s="14" t="str">
        <x:f>$W$30</x:f>
        <x:v>红葡萄狗</x:v>
      </x:c>
      <x:c r="C1038" s="6" t="str">
        <x:f>$X$30</x:f>
        <x:v>精英</x:v>
      </x:c>
      <x:c r="D1038" s="6">
        <x:v>26</x:v>
      </x:c>
      <x:c r="E1038" s="6">
        <x:v>30</x:v>
      </x:c>
      <x:c r="F1038" s="12">
        <x:f>ROUND(J1038*$W$4*H1038,0)</x:f>
        <x:v>20475</x:v>
      </x:c>
      <x:c r="G1038" s="12">
        <x:f>ROUND(J1038*$W$4*$W$5*I1038,0)</x:f>
        <x:v>1213</x:v>
      </x:c>
      <x:c r="H1038" s="11" t="n">
        <x:f>$Y$30</x:f>
        <x:v>3.75</x:v>
      </x:c>
      <x:c r="I1038" s="11" t="n">
        <x:f>$Z$30</x:f>
        <x:v>2.9629629629629632</x:v>
      </x:c>
      <x:c r="J1038" s="12">
        <x:f>英雄升级调参!$E$91</x:f>
        <x:v>1365</x:v>
      </x:c>
      <x:c r="K1038" s="12">
        <x:f>英雄升级调参!$F$91</x:f>
        <x:v>13650</x:v>
      </x:c>
      <x:c r="L1038" s="6" t="n">
        <x:f>ROUNDUP(F1038/J1038,0)</x:f>
        <x:v>15</x:v>
      </x:c>
      <x:c r="M1038" s="6" t="n">
        <x:f>IF(G1038=0,"无伤害",ROUNDUP(K1038/MAX(1,ROUND(G1038*$AC$30,0)),0))</x:f>
        <x:v>8</x:v>
      </x:c>
      <x:c r="N1038" s="6" t="n">
        <x:f>ROUNDUP(F1038/英雄升级调参!$H$91,0)</x:f>
        <x:v>10</x:v>
      </x:c>
      <x:c r="O1038" s="6">
        <x:f>ROUNDUP(F1038/英雄升级调参!$K$91,0)</x:f>
        <x:v>6</x:v>
      </x:c>
      <x:c r="P1038" s="6" t="str">
        <x:f>$AA$30</x:f>
        <x:v>精英：15次标准普攻击杀；7.5次主要攻击致死</x:v>
      </x:c>
      <x:c r="Q1038" s="6"/>
      <x:c r="R1038" s="6"/>
      <x:c r="S1038" s="6"/>
      <x:c r="T1038" s="6"/>
    </x:row>
    <x:row r="1039" ht="21" customHeight="1">
      <x:c r="A1039" s="14" t="n">
        <x:f>$V$30</x:f>
        <x:v>60017</x:v>
      </x:c>
      <x:c r="B1039" s="14" t="str">
        <x:f>$W$30</x:f>
        <x:v>红葡萄狗</x:v>
      </x:c>
      <x:c r="C1039" s="6" t="str">
        <x:f>$X$30</x:f>
        <x:v>精英</x:v>
      </x:c>
      <x:c r="D1039" s="6">
        <x:v>27</x:v>
      </x:c>
      <x:c r="E1039" s="6">
        <x:v>30</x:v>
      </x:c>
      <x:c r="F1039" s="12">
        <x:f>ROUND(J1039*$W$4*H1039,0)</x:f>
        <x:v>21420</x:v>
      </x:c>
      <x:c r="G1039" s="12">
        <x:f>ROUND(J1039*$W$4*$W$5*I1039,0)</x:f>
        <x:v>1269</x:v>
      </x:c>
      <x:c r="H1039" s="11" t="n">
        <x:f>$Y$30</x:f>
        <x:v>3.75</x:v>
      </x:c>
      <x:c r="I1039" s="11" t="n">
        <x:f>$Z$30</x:f>
        <x:v>2.9629629629629632</x:v>
      </x:c>
      <x:c r="J1039" s="12">
        <x:f>英雄升级调参!$E$92</x:f>
        <x:v>1428</x:v>
      </x:c>
      <x:c r="K1039" s="12">
        <x:f>英雄升级调参!$F$92</x:f>
        <x:v>14280</x:v>
      </x:c>
      <x:c r="L1039" s="6" t="n">
        <x:f>ROUNDUP(F1039/J1039,0)</x:f>
        <x:v>15</x:v>
      </x:c>
      <x:c r="M1039" s="6" t="n">
        <x:f>IF(G1039=0,"无伤害",ROUNDUP(K1039/MAX(1,ROUND(G1039*$AC$30,0)),0))</x:f>
        <x:v>8</x:v>
      </x:c>
      <x:c r="N1039" s="6" t="n">
        <x:f>ROUNDUP(F1039/英雄升级调参!$H$92,0)</x:f>
        <x:v>10</x:v>
      </x:c>
      <x:c r="O1039" s="6">
        <x:f>ROUNDUP(F1039/英雄升级调参!$K$92,0)</x:f>
        <x:v>6</x:v>
      </x:c>
      <x:c r="P1039" s="6" t="str">
        <x:f>$AA$30</x:f>
        <x:v>精英：15次标准普攻击杀；7.5次主要攻击致死</x:v>
      </x:c>
      <x:c r="Q1039" s="6"/>
      <x:c r="R1039" s="6"/>
      <x:c r="S1039" s="6"/>
      <x:c r="T1039" s="6"/>
    </x:row>
    <x:row r="1040" ht="21" customHeight="1">
      <x:c r="A1040" s="14" t="n">
        <x:f>$V$30</x:f>
        <x:v>60017</x:v>
      </x:c>
      <x:c r="B1040" s="14" t="str">
        <x:f>$W$30</x:f>
        <x:v>红葡萄狗</x:v>
      </x:c>
      <x:c r="C1040" s="6" t="str">
        <x:f>$X$30</x:f>
        <x:v>精英</x:v>
      </x:c>
      <x:c r="D1040" s="6">
        <x:v>28</x:v>
      </x:c>
      <x:c r="E1040" s="6">
        <x:v>30</x:v>
      </x:c>
      <x:c r="F1040" s="12">
        <x:f>ROUND(J1040*$W$4*H1040,0)</x:f>
        <x:v>22365</x:v>
      </x:c>
      <x:c r="G1040" s="12">
        <x:f>ROUND(J1040*$W$4*$W$5*I1040,0)</x:f>
        <x:v>1325</x:v>
      </x:c>
      <x:c r="H1040" s="11" t="n">
        <x:f>$Y$30</x:f>
        <x:v>3.75</x:v>
      </x:c>
      <x:c r="I1040" s="11" t="n">
        <x:f>$Z$30</x:f>
        <x:v>2.9629629629629632</x:v>
      </x:c>
      <x:c r="J1040" s="12">
        <x:f>英雄升级调参!$E$93</x:f>
        <x:v>1491</x:v>
      </x:c>
      <x:c r="K1040" s="12">
        <x:f>英雄升级调参!$F$93</x:f>
        <x:v>14910</x:v>
      </x:c>
      <x:c r="L1040" s="6" t="n">
        <x:f>ROUNDUP(F1040/J1040,0)</x:f>
        <x:v>15</x:v>
      </x:c>
      <x:c r="M1040" s="6" t="n">
        <x:f>IF(G1040=0,"无伤害",ROUNDUP(K1040/MAX(1,ROUND(G1040*$AC$30,0)),0))</x:f>
        <x:v>8</x:v>
      </x:c>
      <x:c r="N1040" s="6" t="n">
        <x:f>ROUNDUP(F1040/英雄升级调参!$H$93,0)</x:f>
        <x:v>10</x:v>
      </x:c>
      <x:c r="O1040" s="6">
        <x:f>ROUNDUP(F1040/英雄升级调参!$K$93,0)</x:f>
        <x:v>6</x:v>
      </x:c>
      <x:c r="P1040" s="6" t="str">
        <x:f>$AA$30</x:f>
        <x:v>精英：15次标准普攻击杀；7.5次主要攻击致死</x:v>
      </x:c>
      <x:c r="Q1040" s="6"/>
      <x:c r="R1040" s="6"/>
      <x:c r="S1040" s="6"/>
      <x:c r="T1040" s="6"/>
    </x:row>
    <x:row r="1041" ht="21" customHeight="1">
      <x:c r="A1041" s="14" t="n">
        <x:f>$V$30</x:f>
        <x:v>60017</x:v>
      </x:c>
      <x:c r="B1041" s="14" t="str">
        <x:f>$W$30</x:f>
        <x:v>红葡萄狗</x:v>
      </x:c>
      <x:c r="C1041" s="6" t="str">
        <x:f>$X$30</x:f>
        <x:v>精英</x:v>
      </x:c>
      <x:c r="D1041" s="6">
        <x:v>29</x:v>
      </x:c>
      <x:c r="E1041" s="6">
        <x:v>30</x:v>
      </x:c>
      <x:c r="F1041" s="12">
        <x:f>ROUND(J1041*$W$4*H1041,0)</x:f>
        <x:v>23310</x:v>
      </x:c>
      <x:c r="G1041" s="12">
        <x:f>ROUND(J1041*$W$4*$W$5*I1041,0)</x:f>
        <x:v>1381</x:v>
      </x:c>
      <x:c r="H1041" s="11" t="n">
        <x:f>$Y$30</x:f>
        <x:v>3.75</x:v>
      </x:c>
      <x:c r="I1041" s="11" t="n">
        <x:f>$Z$30</x:f>
        <x:v>2.9629629629629632</x:v>
      </x:c>
      <x:c r="J1041" s="12">
        <x:f>英雄升级调参!$E$94</x:f>
        <x:v>1554</x:v>
      </x:c>
      <x:c r="K1041" s="12">
        <x:f>英雄升级调参!$F$94</x:f>
        <x:v>15540</x:v>
      </x:c>
      <x:c r="L1041" s="6" t="n">
        <x:f>ROUNDUP(F1041/J1041,0)</x:f>
        <x:v>15</x:v>
      </x:c>
      <x:c r="M1041" s="6" t="n">
        <x:f>IF(G1041=0,"无伤害",ROUNDUP(K1041/MAX(1,ROUND(G1041*$AC$30,0)),0))</x:f>
        <x:v>8</x:v>
      </x:c>
      <x:c r="N1041" s="6" t="n">
        <x:f>ROUNDUP(F1041/英雄升级调参!$H$94,0)</x:f>
        <x:v>10</x:v>
      </x:c>
      <x:c r="O1041" s="6">
        <x:f>ROUNDUP(F1041/英雄升级调参!$K$94,0)</x:f>
        <x:v>6</x:v>
      </x:c>
      <x:c r="P1041" s="6" t="str">
        <x:f>$AA$30</x:f>
        <x:v>精英：15次标准普攻击杀；7.5次主要攻击致死</x:v>
      </x:c>
      <x:c r="Q1041" s="6"/>
      <x:c r="R1041" s="6"/>
      <x:c r="S1041" s="6"/>
      <x:c r="T1041" s="6"/>
    </x:row>
    <x:row r="1042" ht="21" customHeight="1">
      <x:c r="A1042" s="14" t="n">
        <x:f>$V$30</x:f>
        <x:v>60017</x:v>
      </x:c>
      <x:c r="B1042" s="14" t="str">
        <x:f>$W$30</x:f>
        <x:v>红葡萄狗</x:v>
      </x:c>
      <x:c r="C1042" s="6" t="str">
        <x:f>$X$30</x:f>
        <x:v>精英</x:v>
      </x:c>
      <x:c r="D1042" s="6">
        <x:v>30</x:v>
      </x:c>
      <x:c r="E1042" s="6">
        <x:v>30</x:v>
      </x:c>
      <x:c r="F1042" s="12">
        <x:f>ROUND(J1042*$W$4*H1042,0)</x:f>
        <x:v>26145</x:v>
      </x:c>
      <x:c r="G1042" s="12">
        <x:f>ROUND(J1042*$W$4*$W$5*I1042,0)</x:f>
        <x:v>1549</x:v>
      </x:c>
      <x:c r="H1042" s="11" t="n">
        <x:f>$Y$30</x:f>
        <x:v>3.75</x:v>
      </x:c>
      <x:c r="I1042" s="11" t="n">
        <x:f>$Z$30</x:f>
        <x:v>2.9629629629629632</x:v>
      </x:c>
      <x:c r="J1042" s="12">
        <x:f>英雄升级调参!$E$95</x:f>
        <x:v>1743</x:v>
      </x:c>
      <x:c r="K1042" s="12">
        <x:f>英雄升级调参!$F$95</x:f>
        <x:v>17430</x:v>
      </x:c>
      <x:c r="L1042" s="6" t="n">
        <x:f>ROUNDUP(F1042/J1042,0)</x:f>
        <x:v>15</x:v>
      </x:c>
      <x:c r="M1042" s="6" t="n">
        <x:f>IF(G1042=0,"无伤害",ROUNDUP(K1042/MAX(1,ROUND(G1042*$AC$30,0)),0))</x:f>
        <x:v>8</x:v>
      </x:c>
      <x:c r="N1042" s="6" t="n">
        <x:f>ROUNDUP(F1042/英雄升级调参!$H$95,0)</x:f>
        <x:v>10</x:v>
      </x:c>
      <x:c r="O1042" s="6">
        <x:f>ROUNDUP(F1042/英雄升级调参!$K$95,0)</x:f>
        <x:v>6</x:v>
      </x:c>
      <x:c r="P1042" s="6" t="str">
        <x:f>$AA$30</x:f>
        <x:v>精英：15次标准普攻击杀；7.5次主要攻击致死</x:v>
      </x:c>
      <x:c r="Q1042" s="6"/>
      <x:c r="R1042" s="6"/>
      <x:c r="S1042" s="6"/>
      <x:c r="T1042" s="6"/>
    </x:row>
    <x:row r="1043" ht="21" customHeight="1">
      <x:c r="A1043" s="14" t="n">
        <x:f>$V$30</x:f>
        <x:v>60017</x:v>
      </x:c>
      <x:c r="B1043" s="14" t="str">
        <x:f>$W$30</x:f>
        <x:v>红葡萄狗</x:v>
      </x:c>
      <x:c r="C1043" s="6" t="str">
        <x:f>$X$30</x:f>
        <x:v>精英</x:v>
      </x:c>
      <x:c r="D1043" s="6">
        <x:v>31</x:v>
      </x:c>
      <x:c r="E1043" s="6">
        <x:v>30</x:v>
      </x:c>
      <x:c r="F1043" s="12">
        <x:f>ROUND(J1043*$W$4*H1043,0)</x:f>
        <x:v>27225</x:v>
      </x:c>
      <x:c r="G1043" s="12">
        <x:f>ROUND(J1043*$W$4*$W$5*I1043,0)</x:f>
        <x:v>1613</x:v>
      </x:c>
      <x:c r="H1043" s="11" t="n">
        <x:f>$Y$30</x:f>
        <x:v>3.75</x:v>
      </x:c>
      <x:c r="I1043" s="11" t="n">
        <x:f>$Z$30</x:f>
        <x:v>2.9629629629629632</x:v>
      </x:c>
      <x:c r="J1043" s="12">
        <x:f>英雄升级调参!$E$96</x:f>
        <x:v>1815</x:v>
      </x:c>
      <x:c r="K1043" s="12">
        <x:f>英雄升级调参!$F$96</x:f>
        <x:v>18150</x:v>
      </x:c>
      <x:c r="L1043" s="6" t="n">
        <x:f>ROUNDUP(F1043/J1043,0)</x:f>
        <x:v>15</x:v>
      </x:c>
      <x:c r="M1043" s="6" t="n">
        <x:f>IF(G1043=0,"无伤害",ROUNDUP(K1043/MAX(1,ROUND(G1043*$AC$30,0)),0))</x:f>
        <x:v>8</x:v>
      </x:c>
      <x:c r="N1043" s="6" t="n">
        <x:f>ROUNDUP(F1043/英雄升级调参!$H$96,0)</x:f>
        <x:v>10</x:v>
      </x:c>
      <x:c r="O1043" s="6">
        <x:f>ROUNDUP(F1043/英雄升级调参!$K$96,0)</x:f>
        <x:v>6</x:v>
      </x:c>
      <x:c r="P1043" s="6" t="str">
        <x:f>$AA$30</x:f>
        <x:v>精英：15次标准普攻击杀；7.5次主要攻击致死</x:v>
      </x:c>
      <x:c r="Q1043" s="6"/>
      <x:c r="R1043" s="6"/>
      <x:c r="S1043" s="6"/>
      <x:c r="T1043" s="6"/>
    </x:row>
    <x:row r="1044" ht="21" customHeight="1">
      <x:c r="A1044" s="14" t="n">
        <x:f>$V$30</x:f>
        <x:v>60017</x:v>
      </x:c>
      <x:c r="B1044" s="14" t="str">
        <x:f>$W$30</x:f>
        <x:v>红葡萄狗</x:v>
      </x:c>
      <x:c r="C1044" s="6" t="str">
        <x:f>$X$30</x:f>
        <x:v>精英</x:v>
      </x:c>
      <x:c r="D1044" s="6">
        <x:v>32</x:v>
      </x:c>
      <x:c r="E1044" s="6">
        <x:v>30</x:v>
      </x:c>
      <x:c r="F1044" s="12">
        <x:f>ROUND(J1044*$W$4*H1044,0)</x:f>
        <x:v>28305</x:v>
      </x:c>
      <x:c r="G1044" s="12">
        <x:f>ROUND(J1044*$W$4*$W$5*I1044,0)</x:f>
        <x:v>1677</x:v>
      </x:c>
      <x:c r="H1044" s="11" t="n">
        <x:f>$Y$30</x:f>
        <x:v>3.75</x:v>
      </x:c>
      <x:c r="I1044" s="11" t="n">
        <x:f>$Z$30</x:f>
        <x:v>2.9629629629629632</x:v>
      </x:c>
      <x:c r="J1044" s="12">
        <x:f>英雄升级调参!$E$97</x:f>
        <x:v>1887</x:v>
      </x:c>
      <x:c r="K1044" s="12">
        <x:f>英雄升级调参!$F$97</x:f>
        <x:v>18870</x:v>
      </x:c>
      <x:c r="L1044" s="6" t="n">
        <x:f>ROUNDUP(F1044/J1044,0)</x:f>
        <x:v>15</x:v>
      </x:c>
      <x:c r="M1044" s="6" t="n">
        <x:f>IF(G1044=0,"无伤害",ROUNDUP(K1044/MAX(1,ROUND(G1044*$AC$30,0)),0))</x:f>
        <x:v>8</x:v>
      </x:c>
      <x:c r="N1044" s="6" t="n">
        <x:f>ROUNDUP(F1044/英雄升级调参!$H$97,0)</x:f>
        <x:v>10</x:v>
      </x:c>
      <x:c r="O1044" s="6">
        <x:f>ROUNDUP(F1044/英雄升级调参!$K$97,0)</x:f>
        <x:v>6</x:v>
      </x:c>
      <x:c r="P1044" s="6" t="str">
        <x:f>$AA$30</x:f>
        <x:v>精英：15次标准普攻击杀；7.5次主要攻击致死</x:v>
      </x:c>
      <x:c r="Q1044" s="6"/>
      <x:c r="R1044" s="6"/>
      <x:c r="S1044" s="6"/>
      <x:c r="T1044" s="6"/>
    </x:row>
    <x:row r="1045" ht="21" customHeight="1">
      <x:c r="A1045" s="14" t="n">
        <x:f>$V$30</x:f>
        <x:v>60017</x:v>
      </x:c>
      <x:c r="B1045" s="14" t="str">
        <x:f>$W$30</x:f>
        <x:v>红葡萄狗</x:v>
      </x:c>
      <x:c r="C1045" s="6" t="str">
        <x:f>$X$30</x:f>
        <x:v>精英</x:v>
      </x:c>
      <x:c r="D1045" s="6">
        <x:v>33</x:v>
      </x:c>
      <x:c r="E1045" s="6">
        <x:v>30</x:v>
      </x:c>
      <x:c r="F1045" s="12">
        <x:f>ROUND(J1045*$W$4*H1045,0)</x:f>
        <x:v>29385</x:v>
      </x:c>
      <x:c r="G1045" s="12">
        <x:f>ROUND(J1045*$W$4*$W$5*I1045,0)</x:f>
        <x:v>1741</x:v>
      </x:c>
      <x:c r="H1045" s="11" t="n">
        <x:f>$Y$30</x:f>
        <x:v>3.75</x:v>
      </x:c>
      <x:c r="I1045" s="11" t="n">
        <x:f>$Z$30</x:f>
        <x:v>2.9629629629629632</x:v>
      </x:c>
      <x:c r="J1045" s="12">
        <x:f>英雄升级调参!$E$98</x:f>
        <x:v>1959</x:v>
      </x:c>
      <x:c r="K1045" s="12">
        <x:f>英雄升级调参!$F$98</x:f>
        <x:v>19590</x:v>
      </x:c>
      <x:c r="L1045" s="6" t="n">
        <x:f>ROUNDUP(F1045/J1045,0)</x:f>
        <x:v>15</x:v>
      </x:c>
      <x:c r="M1045" s="6" t="n">
        <x:f>IF(G1045=0,"无伤害",ROUNDUP(K1045/MAX(1,ROUND(G1045*$AC$30,0)),0))</x:f>
        <x:v>8</x:v>
      </x:c>
      <x:c r="N1045" s="6" t="n">
        <x:f>ROUNDUP(F1045/英雄升级调参!$H$98,0)</x:f>
        <x:v>10</x:v>
      </x:c>
      <x:c r="O1045" s="6">
        <x:f>ROUNDUP(F1045/英雄升级调参!$K$98,0)</x:f>
        <x:v>6</x:v>
      </x:c>
      <x:c r="P1045" s="6" t="str">
        <x:f>$AA$30</x:f>
        <x:v>精英：15次标准普攻击杀；7.5次主要攻击致死</x:v>
      </x:c>
      <x:c r="Q1045" s="6"/>
      <x:c r="R1045" s="6"/>
      <x:c r="S1045" s="6"/>
      <x:c r="T1045" s="6"/>
    </x:row>
    <x:row r="1046" ht="21" customHeight="1">
      <x:c r="A1046" s="14" t="n">
        <x:f>$V$30</x:f>
        <x:v>60017</x:v>
      </x:c>
      <x:c r="B1046" s="14" t="str">
        <x:f>$W$30</x:f>
        <x:v>红葡萄狗</x:v>
      </x:c>
      <x:c r="C1046" s="6" t="str">
        <x:f>$X$30</x:f>
        <x:v>精英</x:v>
      </x:c>
      <x:c r="D1046" s="6">
        <x:v>34</x:v>
      </x:c>
      <x:c r="E1046" s="6">
        <x:v>30</x:v>
      </x:c>
      <x:c r="F1046" s="12">
        <x:f>ROUND(J1046*$W$4*H1046,0)</x:f>
        <x:v>30465</x:v>
      </x:c>
      <x:c r="G1046" s="12">
        <x:f>ROUND(J1046*$W$4*$W$5*I1046,0)</x:f>
        <x:v>1805</x:v>
      </x:c>
      <x:c r="H1046" s="11" t="n">
        <x:f>$Y$30</x:f>
        <x:v>3.75</x:v>
      </x:c>
      <x:c r="I1046" s="11" t="n">
        <x:f>$Z$30</x:f>
        <x:v>2.9629629629629632</x:v>
      </x:c>
      <x:c r="J1046" s="12">
        <x:f>英雄升级调参!$E$99</x:f>
        <x:v>2031</x:v>
      </x:c>
      <x:c r="K1046" s="12">
        <x:f>英雄升级调参!$F$99</x:f>
        <x:v>20310</x:v>
      </x:c>
      <x:c r="L1046" s="6" t="n">
        <x:f>ROUNDUP(F1046/J1046,0)</x:f>
        <x:v>15</x:v>
      </x:c>
      <x:c r="M1046" s="6" t="n">
        <x:f>IF(G1046=0,"无伤害",ROUNDUP(K1046/MAX(1,ROUND(G1046*$AC$30,0)),0))</x:f>
        <x:v>8</x:v>
      </x:c>
      <x:c r="N1046" s="6" t="n">
        <x:f>ROUNDUP(F1046/英雄升级调参!$H$99,0)</x:f>
        <x:v>10</x:v>
      </x:c>
      <x:c r="O1046" s="6">
        <x:f>ROUNDUP(F1046/英雄升级调参!$K$99,0)</x:f>
        <x:v>6</x:v>
      </x:c>
      <x:c r="P1046" s="6" t="str">
        <x:f>$AA$30</x:f>
        <x:v>精英：15次标准普攻击杀；7.5次主要攻击致死</x:v>
      </x:c>
      <x:c r="Q1046" s="6"/>
      <x:c r="R1046" s="6"/>
      <x:c r="S1046" s="6"/>
      <x:c r="T1046" s="6"/>
    </x:row>
    <x:row r="1047" ht="21" customHeight="1">
      <x:c r="A1047" s="14" t="n">
        <x:f>$V$30</x:f>
        <x:v>60017</x:v>
      </x:c>
      <x:c r="B1047" s="14" t="str">
        <x:f>$W$30</x:f>
        <x:v>红葡萄狗</x:v>
      </x:c>
      <x:c r="C1047" s="6" t="str">
        <x:f>$X$30</x:f>
        <x:v>精英</x:v>
      </x:c>
      <x:c r="D1047" s="6">
        <x:v>35</x:v>
      </x:c>
      <x:c r="E1047" s="6">
        <x:v>30</x:v>
      </x:c>
      <x:c r="F1047" s="12">
        <x:f>ROUND(J1047*$W$4*H1047,0)</x:f>
        <x:v>33705</x:v>
      </x:c>
      <x:c r="G1047" s="12">
        <x:f>ROUND(J1047*$W$4*$W$5*I1047,0)</x:f>
        <x:v>1997</x:v>
      </x:c>
      <x:c r="H1047" s="11" t="n">
        <x:f>$Y$30</x:f>
        <x:v>3.75</x:v>
      </x:c>
      <x:c r="I1047" s="11" t="n">
        <x:f>$Z$30</x:f>
        <x:v>2.9629629629629632</x:v>
      </x:c>
      <x:c r="J1047" s="12">
        <x:f>英雄升级调参!$E$100</x:f>
        <x:v>2247</x:v>
      </x:c>
      <x:c r="K1047" s="12">
        <x:f>英雄升级调参!$F$100</x:f>
        <x:v>22470</x:v>
      </x:c>
      <x:c r="L1047" s="6" t="n">
        <x:f>ROUNDUP(F1047/J1047,0)</x:f>
        <x:v>15</x:v>
      </x:c>
      <x:c r="M1047" s="6" t="n">
        <x:f>IF(G1047=0,"无伤害",ROUNDUP(K1047/MAX(1,ROUND(G1047*$AC$30,0)),0))</x:f>
        <x:v>8</x:v>
      </x:c>
      <x:c r="N1047" s="6" t="n">
        <x:f>ROUNDUP(F1047/英雄升级调参!$H$100,0)</x:f>
        <x:v>10</x:v>
      </x:c>
      <x:c r="O1047" s="6">
        <x:f>ROUNDUP(F1047/英雄升级调参!$K$100,0)</x:f>
        <x:v>6</x:v>
      </x:c>
      <x:c r="P1047" s="6" t="str">
        <x:f>$AA$30</x:f>
        <x:v>精英：15次标准普攻击杀；7.5次主要攻击致死</x:v>
      </x:c>
      <x:c r="Q1047" s="6"/>
      <x:c r="R1047" s="6"/>
      <x:c r="S1047" s="6"/>
      <x:c r="T1047" s="6"/>
    </x:row>
    <x:row r="1048" ht="21" customHeight="1">
      <x:c r="A1048" s="14" t="n">
        <x:f>$V$30</x:f>
        <x:v>60017</x:v>
      </x:c>
      <x:c r="B1048" s="14" t="str">
        <x:f>$W$30</x:f>
        <x:v>红葡萄狗</x:v>
      </x:c>
      <x:c r="C1048" s="6" t="str">
        <x:f>$X$30</x:f>
        <x:v>精英</x:v>
      </x:c>
      <x:c r="D1048" s="6">
        <x:v>36</x:v>
      </x:c>
      <x:c r="E1048" s="6">
        <x:v>30</x:v>
      </x:c>
      <x:c r="F1048" s="12">
        <x:f>ROUND(J1048*$W$4*H1048,0)</x:f>
        <x:v>34920</x:v>
      </x:c>
      <x:c r="G1048" s="12">
        <x:f>ROUND(J1048*$W$4*$W$5*I1048,0)</x:f>
        <x:v>2069</x:v>
      </x:c>
      <x:c r="H1048" s="11" t="n">
        <x:f>$Y$30</x:f>
        <x:v>3.75</x:v>
      </x:c>
      <x:c r="I1048" s="11" t="n">
        <x:f>$Z$30</x:f>
        <x:v>2.9629629629629632</x:v>
      </x:c>
      <x:c r="J1048" s="12">
        <x:f>英雄升级调参!$E$101</x:f>
        <x:v>2328</x:v>
      </x:c>
      <x:c r="K1048" s="12">
        <x:f>英雄升级调参!$F$101</x:f>
        <x:v>23280</x:v>
      </x:c>
      <x:c r="L1048" s="6" t="n">
        <x:f>ROUNDUP(F1048/J1048,0)</x:f>
        <x:v>15</x:v>
      </x:c>
      <x:c r="M1048" s="6" t="n">
        <x:f>IF(G1048=0,"无伤害",ROUNDUP(K1048/MAX(1,ROUND(G1048*$AC$30,0)),0))</x:f>
        <x:v>8</x:v>
      </x:c>
      <x:c r="N1048" s="6" t="n">
        <x:f>ROUNDUP(F1048/英雄升级调参!$H$101,0)</x:f>
        <x:v>10</x:v>
      </x:c>
      <x:c r="O1048" s="6">
        <x:f>ROUNDUP(F1048/英雄升级调参!$K$101,0)</x:f>
        <x:v>6</x:v>
      </x:c>
      <x:c r="P1048" s="6" t="str">
        <x:f>$AA$30</x:f>
        <x:v>精英：15次标准普攻击杀；7.5次主要攻击致死</x:v>
      </x:c>
      <x:c r="Q1048" s="6"/>
      <x:c r="R1048" s="6"/>
      <x:c r="S1048" s="6"/>
      <x:c r="T1048" s="6"/>
    </x:row>
    <x:row r="1049" ht="21" customHeight="1">
      <x:c r="A1049" s="14" t="n">
        <x:f>$V$30</x:f>
        <x:v>60017</x:v>
      </x:c>
      <x:c r="B1049" s="14" t="str">
        <x:f>$W$30</x:f>
        <x:v>红葡萄狗</x:v>
      </x:c>
      <x:c r="C1049" s="6" t="str">
        <x:f>$X$30</x:f>
        <x:v>精英</x:v>
      </x:c>
      <x:c r="D1049" s="6">
        <x:v>37</x:v>
      </x:c>
      <x:c r="E1049" s="6">
        <x:v>30</x:v>
      </x:c>
      <x:c r="F1049" s="12">
        <x:f>ROUND(J1049*$W$4*H1049,0)</x:f>
        <x:v>36135</x:v>
      </x:c>
      <x:c r="G1049" s="12">
        <x:f>ROUND(J1049*$W$4*$W$5*I1049,0)</x:f>
        <x:v>2141</x:v>
      </x:c>
      <x:c r="H1049" s="11" t="n">
        <x:f>$Y$30</x:f>
        <x:v>3.75</x:v>
      </x:c>
      <x:c r="I1049" s="11" t="n">
        <x:f>$Z$30</x:f>
        <x:v>2.9629629629629632</x:v>
      </x:c>
      <x:c r="J1049" s="12">
        <x:f>英雄升级调参!$E$102</x:f>
        <x:v>2409</x:v>
      </x:c>
      <x:c r="K1049" s="12">
        <x:f>英雄升级调参!$F$102</x:f>
        <x:v>24090</x:v>
      </x:c>
      <x:c r="L1049" s="6" t="n">
        <x:f>ROUNDUP(F1049/J1049,0)</x:f>
        <x:v>15</x:v>
      </x:c>
      <x:c r="M1049" s="6" t="n">
        <x:f>IF(G1049=0,"无伤害",ROUNDUP(K1049/MAX(1,ROUND(G1049*$AC$30,0)),0))</x:f>
        <x:v>8</x:v>
      </x:c>
      <x:c r="N1049" s="6" t="n">
        <x:f>ROUNDUP(F1049/英雄升级调参!$H$102,0)</x:f>
        <x:v>10</x:v>
      </x:c>
      <x:c r="O1049" s="6">
        <x:f>ROUNDUP(F1049/英雄升级调参!$K$102,0)</x:f>
        <x:v>6</x:v>
      </x:c>
      <x:c r="P1049" s="6" t="str">
        <x:f>$AA$30</x:f>
        <x:v>精英：15次标准普攻击杀；7.5次主要攻击致死</x:v>
      </x:c>
      <x:c r="Q1049" s="6"/>
      <x:c r="R1049" s="6"/>
      <x:c r="S1049" s="6"/>
      <x:c r="T1049" s="6"/>
    </x:row>
    <x:row r="1050" ht="21" customHeight="1">
      <x:c r="A1050" s="14" t="n">
        <x:f>$V$30</x:f>
        <x:v>60017</x:v>
      </x:c>
      <x:c r="B1050" s="14" t="str">
        <x:f>$W$30</x:f>
        <x:v>红葡萄狗</x:v>
      </x:c>
      <x:c r="C1050" s="6" t="str">
        <x:f>$X$30</x:f>
        <x:v>精英</x:v>
      </x:c>
      <x:c r="D1050" s="6">
        <x:v>38</x:v>
      </x:c>
      <x:c r="E1050" s="6">
        <x:v>30</x:v>
      </x:c>
      <x:c r="F1050" s="12">
        <x:f>ROUND(J1050*$W$4*H1050,0)</x:f>
        <x:v>37350</x:v>
      </x:c>
      <x:c r="G1050" s="12">
        <x:f>ROUND(J1050*$W$4*$W$5*I1050,0)</x:f>
        <x:v>2213</x:v>
      </x:c>
      <x:c r="H1050" s="11" t="n">
        <x:f>$Y$30</x:f>
        <x:v>3.75</x:v>
      </x:c>
      <x:c r="I1050" s="11" t="n">
        <x:f>$Z$30</x:f>
        <x:v>2.9629629629629632</x:v>
      </x:c>
      <x:c r="J1050" s="12">
        <x:f>英雄升级调参!$E$103</x:f>
        <x:v>2490</x:v>
      </x:c>
      <x:c r="K1050" s="12">
        <x:f>英雄升级调参!$F$103</x:f>
        <x:v>24900</x:v>
      </x:c>
      <x:c r="L1050" s="6" t="n">
        <x:f>ROUNDUP(F1050/J1050,0)</x:f>
        <x:v>15</x:v>
      </x:c>
      <x:c r="M1050" s="6" t="n">
        <x:f>IF(G1050=0,"无伤害",ROUNDUP(K1050/MAX(1,ROUND(G1050*$AC$30,0)),0))</x:f>
        <x:v>8</x:v>
      </x:c>
      <x:c r="N1050" s="6" t="n">
        <x:f>ROUNDUP(F1050/英雄升级调参!$H$103,0)</x:f>
        <x:v>10</x:v>
      </x:c>
      <x:c r="O1050" s="6">
        <x:f>ROUNDUP(F1050/英雄升级调参!$K$103,0)</x:f>
        <x:v>6</x:v>
      </x:c>
      <x:c r="P1050" s="6" t="str">
        <x:f>$AA$30</x:f>
        <x:v>精英：15次标准普攻击杀；7.5次主要攻击致死</x:v>
      </x:c>
      <x:c r="Q1050" s="6"/>
      <x:c r="R1050" s="6"/>
      <x:c r="S1050" s="6"/>
      <x:c r="T1050" s="6"/>
    </x:row>
    <x:row r="1051" ht="21" customHeight="1">
      <x:c r="A1051" s="14" t="n">
        <x:f>$V$30</x:f>
        <x:v>60017</x:v>
      </x:c>
      <x:c r="B1051" s="14" t="str">
        <x:f>$W$30</x:f>
        <x:v>红葡萄狗</x:v>
      </x:c>
      <x:c r="C1051" s="6" t="str">
        <x:f>$X$30</x:f>
        <x:v>精英</x:v>
      </x:c>
      <x:c r="D1051" s="6">
        <x:v>39</x:v>
      </x:c>
      <x:c r="E1051" s="6">
        <x:v>30</x:v>
      </x:c>
      <x:c r="F1051" s="12">
        <x:f>ROUND(J1051*$W$4*H1051,0)</x:f>
        <x:v>38565</x:v>
      </x:c>
      <x:c r="G1051" s="12">
        <x:f>ROUND(J1051*$W$4*$W$5*I1051,0)</x:f>
        <x:v>2285</x:v>
      </x:c>
      <x:c r="H1051" s="11" t="n">
        <x:f>$Y$30</x:f>
        <x:v>3.75</x:v>
      </x:c>
      <x:c r="I1051" s="11" t="n">
        <x:f>$Z$30</x:f>
        <x:v>2.9629629629629632</x:v>
      </x:c>
      <x:c r="J1051" s="12">
        <x:f>英雄升级调参!$E$104</x:f>
        <x:v>2571</x:v>
      </x:c>
      <x:c r="K1051" s="12">
        <x:f>英雄升级调参!$F$104</x:f>
        <x:v>25710</x:v>
      </x:c>
      <x:c r="L1051" s="6" t="n">
        <x:f>ROUNDUP(F1051/J1051,0)</x:f>
        <x:v>15</x:v>
      </x:c>
      <x:c r="M1051" s="6" t="n">
        <x:f>IF(G1051=0,"无伤害",ROUNDUP(K1051/MAX(1,ROUND(G1051*$AC$30,0)),0))</x:f>
        <x:v>8</x:v>
      </x:c>
      <x:c r="N1051" s="6" t="n">
        <x:f>ROUNDUP(F1051/英雄升级调参!$H$104,0)</x:f>
        <x:v>10</x:v>
      </x:c>
      <x:c r="O1051" s="6">
        <x:f>ROUNDUP(F1051/英雄升级调参!$K$104,0)</x:f>
        <x:v>6</x:v>
      </x:c>
      <x:c r="P1051" s="6" t="str">
        <x:f>$AA$30</x:f>
        <x:v>精英：15次标准普攻击杀；7.5次主要攻击致死</x:v>
      </x:c>
      <x:c r="Q1051" s="6"/>
      <x:c r="R1051" s="6"/>
      <x:c r="S1051" s="6"/>
      <x:c r="T1051" s="6"/>
    </x:row>
    <x:row r="1052" ht="21" customHeight="1">
      <x:c r="A1052" s="14" t="n">
        <x:f>$V$30</x:f>
        <x:v>60017</x:v>
      </x:c>
      <x:c r="B1052" s="14" t="str">
        <x:f>$W$30</x:f>
        <x:v>红葡萄狗</x:v>
      </x:c>
      <x:c r="C1052" s="6" t="str">
        <x:f>$X$30</x:f>
        <x:v>精英</x:v>
      </x:c>
      <x:c r="D1052" s="6">
        <x:v>40</x:v>
      </x:c>
      <x:c r="E1052" s="6">
        <x:v>30</x:v>
      </x:c>
      <x:c r="F1052" s="12">
        <x:f>ROUND(J1052*$W$4*H1052,0)</x:f>
        <x:v>42210</x:v>
      </x:c>
      <x:c r="G1052" s="12">
        <x:f>ROUND(J1052*$W$4*$W$5*I1052,0)</x:f>
        <x:v>2501</x:v>
      </x:c>
      <x:c r="H1052" s="11" t="n">
        <x:f>$Y$30</x:f>
        <x:v>3.75</x:v>
      </x:c>
      <x:c r="I1052" s="11" t="n">
        <x:f>$Z$30</x:f>
        <x:v>2.9629629629629632</x:v>
      </x:c>
      <x:c r="J1052" s="12">
        <x:f>英雄升级调参!$E$105</x:f>
        <x:v>2814</x:v>
      </x:c>
      <x:c r="K1052" s="12">
        <x:f>英雄升级调参!$F$105</x:f>
        <x:v>28140</x:v>
      </x:c>
      <x:c r="L1052" s="6" t="n">
        <x:f>ROUNDUP(F1052/J1052,0)</x:f>
        <x:v>15</x:v>
      </x:c>
      <x:c r="M1052" s="6" t="n">
        <x:f>IF(G1052=0,"无伤害",ROUNDUP(K1052/MAX(1,ROUND(G1052*$AC$30,0)),0))</x:f>
        <x:v>8</x:v>
      </x:c>
      <x:c r="N1052" s="6" t="n">
        <x:f>ROUNDUP(F1052/英雄升级调参!$H$105,0)</x:f>
        <x:v>10</x:v>
      </x:c>
      <x:c r="O1052" s="6">
        <x:f>ROUNDUP(F1052/英雄升级调参!$K$105,0)</x:f>
        <x:v>6</x:v>
      </x:c>
      <x:c r="P1052" s="6" t="str">
        <x:f>$AA$30</x:f>
        <x:v>精英：15次标准普攻击杀；7.5次主要攻击致死</x:v>
      </x:c>
      <x:c r="Q1052" s="6"/>
      <x:c r="R1052" s="6"/>
      <x:c r="S1052" s="6"/>
      <x:c r="T1052" s="6"/>
    </x:row>
    <x:row r="1053" ht="21" customHeight="1">
      <x:c r="A1053" s="14" t="n">
        <x:f>$V$30</x:f>
        <x:v>60017</x:v>
      </x:c>
      <x:c r="B1053" s="14" t="str">
        <x:f>$W$30</x:f>
        <x:v>红葡萄狗</x:v>
      </x:c>
      <x:c r="C1053" s="6" t="str">
        <x:f>$X$30</x:f>
        <x:v>精英</x:v>
      </x:c>
      <x:c r="D1053" s="6">
        <x:v>41</x:v>
      </x:c>
      <x:c r="E1053" s="6">
        <x:v>30</x:v>
      </x:c>
      <x:c r="F1053" s="12">
        <x:f>ROUND(J1053*$W$4*H1053,0)</x:f>
        <x:v>43560</x:v>
      </x:c>
      <x:c r="G1053" s="12">
        <x:f>ROUND(J1053*$W$4*$W$5*I1053,0)</x:f>
        <x:v>2581</x:v>
      </x:c>
      <x:c r="H1053" s="11" t="n">
        <x:f>$Y$30</x:f>
        <x:v>3.75</x:v>
      </x:c>
      <x:c r="I1053" s="11" t="n">
        <x:f>$Z$30</x:f>
        <x:v>2.9629629629629632</x:v>
      </x:c>
      <x:c r="J1053" s="12">
        <x:f>英雄升级调参!$E$106</x:f>
        <x:v>2904</x:v>
      </x:c>
      <x:c r="K1053" s="12">
        <x:f>英雄升级调参!$F$106</x:f>
        <x:v>29040</x:v>
      </x:c>
      <x:c r="L1053" s="6" t="n">
        <x:f>ROUNDUP(F1053/J1053,0)</x:f>
        <x:v>15</x:v>
      </x:c>
      <x:c r="M1053" s="6" t="n">
        <x:f>IF(G1053=0,"无伤害",ROUNDUP(K1053/MAX(1,ROUND(G1053*$AC$30,0)),0))</x:f>
        <x:v>8</x:v>
      </x:c>
      <x:c r="N1053" s="6" t="n">
        <x:f>ROUNDUP(F1053/英雄升级调参!$H$106,0)</x:f>
        <x:v>10</x:v>
      </x:c>
      <x:c r="O1053" s="6">
        <x:f>ROUNDUP(F1053/英雄升级调参!$K$106,0)</x:f>
        <x:v>6</x:v>
      </x:c>
      <x:c r="P1053" s="6" t="str">
        <x:f>$AA$30</x:f>
        <x:v>精英：15次标准普攻击杀；7.5次主要攻击致死</x:v>
      </x:c>
      <x:c r="Q1053" s="6"/>
      <x:c r="R1053" s="6"/>
      <x:c r="S1053" s="6"/>
      <x:c r="T1053" s="6"/>
    </x:row>
    <x:row r="1054" ht="21" customHeight="1">
      <x:c r="A1054" s="14" t="n">
        <x:f>$V$30</x:f>
        <x:v>60017</x:v>
      </x:c>
      <x:c r="B1054" s="14" t="str">
        <x:f>$W$30</x:f>
        <x:v>红葡萄狗</x:v>
      </x:c>
      <x:c r="C1054" s="6" t="str">
        <x:f>$X$30</x:f>
        <x:v>精英</x:v>
      </x:c>
      <x:c r="D1054" s="6">
        <x:v>42</x:v>
      </x:c>
      <x:c r="E1054" s="6">
        <x:v>30</x:v>
      </x:c>
      <x:c r="F1054" s="12">
        <x:f>ROUND(J1054*$W$4*H1054,0)</x:f>
        <x:v>44910</x:v>
      </x:c>
      <x:c r="G1054" s="12">
        <x:f>ROUND(J1054*$W$4*$W$5*I1054,0)</x:f>
        <x:v>2661</x:v>
      </x:c>
      <x:c r="H1054" s="11" t="n">
        <x:f>$Y$30</x:f>
        <x:v>3.75</x:v>
      </x:c>
      <x:c r="I1054" s="11" t="n">
        <x:f>$Z$30</x:f>
        <x:v>2.9629629629629632</x:v>
      </x:c>
      <x:c r="J1054" s="12">
        <x:f>英雄升级调参!$E$107</x:f>
        <x:v>2994</x:v>
      </x:c>
      <x:c r="K1054" s="12">
        <x:f>英雄升级调参!$F$107</x:f>
        <x:v>29940</x:v>
      </x:c>
      <x:c r="L1054" s="6" t="n">
        <x:f>ROUNDUP(F1054/J1054,0)</x:f>
        <x:v>15</x:v>
      </x:c>
      <x:c r="M1054" s="6" t="n">
        <x:f>IF(G1054=0,"无伤害",ROUNDUP(K1054/MAX(1,ROUND(G1054*$AC$30,0)),0))</x:f>
        <x:v>8</x:v>
      </x:c>
      <x:c r="N1054" s="6" t="n">
        <x:f>ROUNDUP(F1054/英雄升级调参!$H$107,0)</x:f>
        <x:v>10</x:v>
      </x:c>
      <x:c r="O1054" s="6">
        <x:f>ROUNDUP(F1054/英雄升级调参!$K$107,0)</x:f>
        <x:v>6</x:v>
      </x:c>
      <x:c r="P1054" s="6" t="str">
        <x:f>$AA$30</x:f>
        <x:v>精英：15次标准普攻击杀；7.5次主要攻击致死</x:v>
      </x:c>
      <x:c r="Q1054" s="6"/>
      <x:c r="R1054" s="6"/>
      <x:c r="S1054" s="6"/>
      <x:c r="T1054" s="6"/>
    </x:row>
    <x:row r="1055" ht="21" customHeight="1">
      <x:c r="A1055" s="14" t="n">
        <x:f>$V$30</x:f>
        <x:v>60017</x:v>
      </x:c>
      <x:c r="B1055" s="14" t="str">
        <x:f>$W$30</x:f>
        <x:v>红葡萄狗</x:v>
      </x:c>
      <x:c r="C1055" s="6" t="str">
        <x:f>$X$30</x:f>
        <x:v>精英</x:v>
      </x:c>
      <x:c r="D1055" s="6">
        <x:v>43</x:v>
      </x:c>
      <x:c r="E1055" s="6">
        <x:v>30</x:v>
      </x:c>
      <x:c r="F1055" s="12">
        <x:f>ROUND(J1055*$W$4*H1055,0)</x:f>
        <x:v>46260</x:v>
      </x:c>
      <x:c r="G1055" s="12">
        <x:f>ROUND(J1055*$W$4*$W$5*I1055,0)</x:f>
        <x:v>2741</x:v>
      </x:c>
      <x:c r="H1055" s="11" t="n">
        <x:f>$Y$30</x:f>
        <x:v>3.75</x:v>
      </x:c>
      <x:c r="I1055" s="11" t="n">
        <x:f>$Z$30</x:f>
        <x:v>2.9629629629629632</x:v>
      </x:c>
      <x:c r="J1055" s="12">
        <x:f>英雄升级调参!$E$108</x:f>
        <x:v>3084</x:v>
      </x:c>
      <x:c r="K1055" s="12">
        <x:f>英雄升级调参!$F$108</x:f>
        <x:v>30840</x:v>
      </x:c>
      <x:c r="L1055" s="6" t="n">
        <x:f>ROUNDUP(F1055/J1055,0)</x:f>
        <x:v>15</x:v>
      </x:c>
      <x:c r="M1055" s="6" t="n">
        <x:f>IF(G1055=0,"无伤害",ROUNDUP(K1055/MAX(1,ROUND(G1055*$AC$30,0)),0))</x:f>
        <x:v>8</x:v>
      </x:c>
      <x:c r="N1055" s="6" t="n">
        <x:f>ROUNDUP(F1055/英雄升级调参!$H$108,0)</x:f>
        <x:v>10</x:v>
      </x:c>
      <x:c r="O1055" s="6">
        <x:f>ROUNDUP(F1055/英雄升级调参!$K$108,0)</x:f>
        <x:v>6</x:v>
      </x:c>
      <x:c r="P1055" s="6" t="str">
        <x:f>$AA$30</x:f>
        <x:v>精英：15次标准普攻击杀；7.5次主要攻击致死</x:v>
      </x:c>
      <x:c r="Q1055" s="6"/>
      <x:c r="R1055" s="6"/>
      <x:c r="S1055" s="6"/>
      <x:c r="T1055" s="6"/>
    </x:row>
    <x:row r="1056" ht="21" customHeight="1">
      <x:c r="A1056" s="14" t="n">
        <x:f>$V$30</x:f>
        <x:v>60017</x:v>
      </x:c>
      <x:c r="B1056" s="14" t="str">
        <x:f>$W$30</x:f>
        <x:v>红葡萄狗</x:v>
      </x:c>
      <x:c r="C1056" s="6" t="str">
        <x:f>$X$30</x:f>
        <x:v>精英</x:v>
      </x:c>
      <x:c r="D1056" s="6">
        <x:v>44</x:v>
      </x:c>
      <x:c r="E1056" s="6">
        <x:v>30</x:v>
      </x:c>
      <x:c r="F1056" s="12">
        <x:f>ROUND(J1056*$W$4*H1056,0)</x:f>
        <x:v>47610</x:v>
      </x:c>
      <x:c r="G1056" s="12">
        <x:f>ROUND(J1056*$W$4*$W$5*I1056,0)</x:f>
        <x:v>2821</x:v>
      </x:c>
      <x:c r="H1056" s="11" t="n">
        <x:f>$Y$30</x:f>
        <x:v>3.75</x:v>
      </x:c>
      <x:c r="I1056" s="11" t="n">
        <x:f>$Z$30</x:f>
        <x:v>2.9629629629629632</x:v>
      </x:c>
      <x:c r="J1056" s="12">
        <x:f>英雄升级调参!$E$109</x:f>
        <x:v>3174</x:v>
      </x:c>
      <x:c r="K1056" s="12">
        <x:f>英雄升级调参!$F$109</x:f>
        <x:v>31740</x:v>
      </x:c>
      <x:c r="L1056" s="6" t="n">
        <x:f>ROUNDUP(F1056/J1056,0)</x:f>
        <x:v>15</x:v>
      </x:c>
      <x:c r="M1056" s="6" t="n">
        <x:f>IF(G1056=0,"无伤害",ROUNDUP(K1056/MAX(1,ROUND(G1056*$AC$30,0)),0))</x:f>
        <x:v>8</x:v>
      </x:c>
      <x:c r="N1056" s="6" t="n">
        <x:f>ROUNDUP(F1056/英雄升级调参!$H$109,0)</x:f>
        <x:v>10</x:v>
      </x:c>
      <x:c r="O1056" s="6">
        <x:f>ROUNDUP(F1056/英雄升级调参!$K$109,0)</x:f>
        <x:v>6</x:v>
      </x:c>
      <x:c r="P1056" s="6" t="str">
        <x:f>$AA$30</x:f>
        <x:v>精英：15次标准普攻击杀；7.5次主要攻击致死</x:v>
      </x:c>
      <x:c r="Q1056" s="6"/>
      <x:c r="R1056" s="6"/>
      <x:c r="S1056" s="6"/>
      <x:c r="T1056" s="6"/>
    </x:row>
    <x:row r="1057" ht="21" customHeight="1">
      <x:c r="A1057" s="14" t="n">
        <x:f>$V$30</x:f>
        <x:v>60017</x:v>
      </x:c>
      <x:c r="B1057" s="14" t="str">
        <x:f>$W$30</x:f>
        <x:v>红葡萄狗</x:v>
      </x:c>
      <x:c r="C1057" s="6" t="str">
        <x:f>$X$30</x:f>
        <x:v>精英</x:v>
      </x:c>
      <x:c r="D1057" s="6">
        <x:v>45</x:v>
      </x:c>
      <x:c r="E1057" s="6">
        <x:v>30</x:v>
      </x:c>
      <x:c r="F1057" s="12">
        <x:f>ROUND(J1057*$W$4*H1057,0)</x:f>
        <x:v>51660</x:v>
      </x:c>
      <x:c r="G1057" s="12">
        <x:f>ROUND(J1057*$W$4*$W$5*I1057,0)</x:f>
        <x:v>3061</x:v>
      </x:c>
      <x:c r="H1057" s="11" t="n">
        <x:f>$Y$30</x:f>
        <x:v>3.75</x:v>
      </x:c>
      <x:c r="I1057" s="11" t="n">
        <x:f>$Z$30</x:f>
        <x:v>2.9629629629629632</x:v>
      </x:c>
      <x:c r="J1057" s="12">
        <x:f>英雄升级调参!$E$110</x:f>
        <x:v>3444</x:v>
      </x:c>
      <x:c r="K1057" s="12">
        <x:f>英雄升级调参!$F$110</x:f>
        <x:v>34440</x:v>
      </x:c>
      <x:c r="L1057" s="6" t="n">
        <x:f>ROUNDUP(F1057/J1057,0)</x:f>
        <x:v>15</x:v>
      </x:c>
      <x:c r="M1057" s="6" t="n">
        <x:f>IF(G1057=0,"无伤害",ROUNDUP(K1057/MAX(1,ROUND(G1057*$AC$30,0)),0))</x:f>
        <x:v>8</x:v>
      </x:c>
      <x:c r="N1057" s="6" t="n">
        <x:f>ROUNDUP(F1057/英雄升级调参!$H$110,0)</x:f>
        <x:v>10</x:v>
      </x:c>
      <x:c r="O1057" s="6">
        <x:f>ROUNDUP(F1057/英雄升级调参!$K$110,0)</x:f>
        <x:v>6</x:v>
      </x:c>
      <x:c r="P1057" s="6" t="str">
        <x:f>$AA$30</x:f>
        <x:v>精英：15次标准普攻击杀；7.5次主要攻击致死</x:v>
      </x:c>
      <x:c r="Q1057" s="6"/>
      <x:c r="R1057" s="6"/>
      <x:c r="S1057" s="6"/>
      <x:c r="T1057" s="6"/>
    </x:row>
    <x:row r="1058" ht="21" customHeight="1">
      <x:c r="A1058" s="14" t="n">
        <x:f>$V$30</x:f>
        <x:v>60017</x:v>
      </x:c>
      <x:c r="B1058" s="14" t="str">
        <x:f>$W$30</x:f>
        <x:v>红葡萄狗</x:v>
      </x:c>
      <x:c r="C1058" s="6" t="str">
        <x:f>$X$30</x:f>
        <x:v>精英</x:v>
      </x:c>
      <x:c r="D1058" s="6">
        <x:v>46</x:v>
      </x:c>
      <x:c r="E1058" s="6">
        <x:v>30</x:v>
      </x:c>
      <x:c r="F1058" s="12">
        <x:f>ROUND(J1058*$W$4*H1058,0)</x:f>
        <x:v>53145</x:v>
      </x:c>
      <x:c r="G1058" s="12">
        <x:f>ROUND(J1058*$W$4*$W$5*I1058,0)</x:f>
        <x:v>3149</x:v>
      </x:c>
      <x:c r="H1058" s="11" t="n">
        <x:f>$Y$30</x:f>
        <x:v>3.75</x:v>
      </x:c>
      <x:c r="I1058" s="11" t="n">
        <x:f>$Z$30</x:f>
        <x:v>2.9629629629629632</x:v>
      </x:c>
      <x:c r="J1058" s="12">
        <x:f>英雄升级调参!$E$111</x:f>
        <x:v>3543</x:v>
      </x:c>
      <x:c r="K1058" s="12">
        <x:f>英雄升级调参!$F$111</x:f>
        <x:v>35430</x:v>
      </x:c>
      <x:c r="L1058" s="6" t="n">
        <x:f>ROUNDUP(F1058/J1058,0)</x:f>
        <x:v>15</x:v>
      </x:c>
      <x:c r="M1058" s="6" t="n">
        <x:f>IF(G1058=0,"无伤害",ROUNDUP(K1058/MAX(1,ROUND(G1058*$AC$30,0)),0))</x:f>
        <x:v>8</x:v>
      </x:c>
      <x:c r="N1058" s="6" t="n">
        <x:f>ROUNDUP(F1058/英雄升级调参!$H$111,0)</x:f>
        <x:v>10</x:v>
      </x:c>
      <x:c r="O1058" s="6">
        <x:f>ROUNDUP(F1058/英雄升级调参!$K$111,0)</x:f>
        <x:v>6</x:v>
      </x:c>
      <x:c r="P1058" s="6" t="str">
        <x:f>$AA$30</x:f>
        <x:v>精英：15次标准普攻击杀；7.5次主要攻击致死</x:v>
      </x:c>
      <x:c r="Q1058" s="6"/>
      <x:c r="R1058" s="6"/>
      <x:c r="S1058" s="6"/>
      <x:c r="T1058" s="6"/>
    </x:row>
    <x:row r="1059" ht="21" customHeight="1">
      <x:c r="A1059" s="14" t="n">
        <x:f>$V$30</x:f>
        <x:v>60017</x:v>
      </x:c>
      <x:c r="B1059" s="14" t="str">
        <x:f>$W$30</x:f>
        <x:v>红葡萄狗</x:v>
      </x:c>
      <x:c r="C1059" s="6" t="str">
        <x:f>$X$30</x:f>
        <x:v>精英</x:v>
      </x:c>
      <x:c r="D1059" s="6">
        <x:v>47</x:v>
      </x:c>
      <x:c r="E1059" s="6">
        <x:v>30</x:v>
      </x:c>
      <x:c r="F1059" s="12">
        <x:f>ROUND(J1059*$W$4*H1059,0)</x:f>
        <x:v>54630</x:v>
      </x:c>
      <x:c r="G1059" s="12">
        <x:f>ROUND(J1059*$W$4*$W$5*I1059,0)</x:f>
        <x:v>3237</x:v>
      </x:c>
      <x:c r="H1059" s="11" t="n">
        <x:f>$Y$30</x:f>
        <x:v>3.75</x:v>
      </x:c>
      <x:c r="I1059" s="11" t="n">
        <x:f>$Z$30</x:f>
        <x:v>2.9629629629629632</x:v>
      </x:c>
      <x:c r="J1059" s="12">
        <x:f>英雄升级调参!$E$112</x:f>
        <x:v>3642</x:v>
      </x:c>
      <x:c r="K1059" s="12">
        <x:f>英雄升级调参!$F$112</x:f>
        <x:v>36420</x:v>
      </x:c>
      <x:c r="L1059" s="6" t="n">
        <x:f>ROUNDUP(F1059/J1059,0)</x:f>
        <x:v>15</x:v>
      </x:c>
      <x:c r="M1059" s="6" t="n">
        <x:f>IF(G1059=0,"无伤害",ROUNDUP(K1059/MAX(1,ROUND(G1059*$AC$30,0)),0))</x:f>
        <x:v>8</x:v>
      </x:c>
      <x:c r="N1059" s="6" t="n">
        <x:f>ROUNDUP(F1059/英雄升级调参!$H$112,0)</x:f>
        <x:v>10</x:v>
      </x:c>
      <x:c r="O1059" s="6">
        <x:f>ROUNDUP(F1059/英雄升级调参!$K$112,0)</x:f>
        <x:v>6</x:v>
      </x:c>
      <x:c r="P1059" s="6" t="str">
        <x:f>$AA$30</x:f>
        <x:v>精英：15次标准普攻击杀；7.5次主要攻击致死</x:v>
      </x:c>
      <x:c r="Q1059" s="6"/>
      <x:c r="R1059" s="6"/>
      <x:c r="S1059" s="6"/>
      <x:c r="T1059" s="6"/>
    </x:row>
    <x:row r="1060" ht="21" customHeight="1">
      <x:c r="A1060" s="14" t="n">
        <x:f>$V$30</x:f>
        <x:v>60017</x:v>
      </x:c>
      <x:c r="B1060" s="14" t="str">
        <x:f>$W$30</x:f>
        <x:v>红葡萄狗</x:v>
      </x:c>
      <x:c r="C1060" s="6" t="str">
        <x:f>$X$30</x:f>
        <x:v>精英</x:v>
      </x:c>
      <x:c r="D1060" s="6">
        <x:v>48</x:v>
      </x:c>
      <x:c r="E1060" s="6">
        <x:v>30</x:v>
      </x:c>
      <x:c r="F1060" s="12">
        <x:f>ROUND(J1060*$W$4*H1060,0)</x:f>
        <x:v>56115</x:v>
      </x:c>
      <x:c r="G1060" s="12">
        <x:f>ROUND(J1060*$W$4*$W$5*I1060,0)</x:f>
        <x:v>3325</x:v>
      </x:c>
      <x:c r="H1060" s="11" t="n">
        <x:f>$Y$30</x:f>
        <x:v>3.75</x:v>
      </x:c>
      <x:c r="I1060" s="11" t="n">
        <x:f>$Z$30</x:f>
        <x:v>2.9629629629629632</x:v>
      </x:c>
      <x:c r="J1060" s="12">
        <x:f>英雄升级调参!$E$113</x:f>
        <x:v>3741</x:v>
      </x:c>
      <x:c r="K1060" s="12">
        <x:f>英雄升级调参!$F$113</x:f>
        <x:v>37410</x:v>
      </x:c>
      <x:c r="L1060" s="6" t="n">
        <x:f>ROUNDUP(F1060/J1060,0)</x:f>
        <x:v>15</x:v>
      </x:c>
      <x:c r="M1060" s="6" t="n">
        <x:f>IF(G1060=0,"无伤害",ROUNDUP(K1060/MAX(1,ROUND(G1060*$AC$30,0)),0))</x:f>
        <x:v>8</x:v>
      </x:c>
      <x:c r="N1060" s="6" t="n">
        <x:f>ROUNDUP(F1060/英雄升级调参!$H$113,0)</x:f>
        <x:v>10</x:v>
      </x:c>
      <x:c r="O1060" s="6">
        <x:f>ROUNDUP(F1060/英雄升级调参!$K$113,0)</x:f>
        <x:v>6</x:v>
      </x:c>
      <x:c r="P1060" s="6" t="str">
        <x:f>$AA$30</x:f>
        <x:v>精英：15次标准普攻击杀；7.5次主要攻击致死</x:v>
      </x:c>
      <x:c r="Q1060" s="6"/>
      <x:c r="R1060" s="6"/>
      <x:c r="S1060" s="6"/>
      <x:c r="T1060" s="6"/>
    </x:row>
    <x:row r="1061" ht="21" customHeight="1">
      <x:c r="A1061" s="14" t="n">
        <x:f>$V$30</x:f>
        <x:v>60017</x:v>
      </x:c>
      <x:c r="B1061" s="14" t="str">
        <x:f>$W$30</x:f>
        <x:v>红葡萄狗</x:v>
      </x:c>
      <x:c r="C1061" s="6" t="str">
        <x:f>$X$30</x:f>
        <x:v>精英</x:v>
      </x:c>
      <x:c r="D1061" s="6">
        <x:v>49</x:v>
      </x:c>
      <x:c r="E1061" s="6">
        <x:v>30</x:v>
      </x:c>
      <x:c r="F1061" s="12">
        <x:f>ROUND(J1061*$W$4*H1061,0)</x:f>
        <x:v>57600</x:v>
      </x:c>
      <x:c r="G1061" s="12">
        <x:f>ROUND(J1061*$W$4*$W$5*I1061,0)</x:f>
        <x:v>3413</x:v>
      </x:c>
      <x:c r="H1061" s="11" t="n">
        <x:f>$Y$30</x:f>
        <x:v>3.75</x:v>
      </x:c>
      <x:c r="I1061" s="11" t="n">
        <x:f>$Z$30</x:f>
        <x:v>2.9629629629629632</x:v>
      </x:c>
      <x:c r="J1061" s="12">
        <x:f>英雄升级调参!$E$114</x:f>
        <x:v>3840</x:v>
      </x:c>
      <x:c r="K1061" s="12">
        <x:f>英雄升级调参!$F$114</x:f>
        <x:v>38400</x:v>
      </x:c>
      <x:c r="L1061" s="6" t="n">
        <x:f>ROUNDUP(F1061/J1061,0)</x:f>
        <x:v>15</x:v>
      </x:c>
      <x:c r="M1061" s="6" t="n">
        <x:f>IF(G1061=0,"无伤害",ROUNDUP(K1061/MAX(1,ROUND(G1061*$AC$30,0)),0))</x:f>
        <x:v>8</x:v>
      </x:c>
      <x:c r="N1061" s="6" t="n">
        <x:f>ROUNDUP(F1061/英雄升级调参!$H$114,0)</x:f>
        <x:v>10</x:v>
      </x:c>
      <x:c r="O1061" s="6">
        <x:f>ROUNDUP(F1061/英雄升级调参!$K$114,0)</x:f>
        <x:v>6</x:v>
      </x:c>
      <x:c r="P1061" s="6" t="str">
        <x:f>$AA$30</x:f>
        <x:v>精英：15次标准普攻击杀；7.5次主要攻击致死</x:v>
      </x:c>
      <x:c r="Q1061" s="6"/>
      <x:c r="R1061" s="6"/>
      <x:c r="S1061" s="6"/>
      <x:c r="T1061" s="6"/>
    </x:row>
    <x:row r="1062" ht="21" customHeight="1">
      <x:c r="A1062" s="14" t="n">
        <x:f>$V$30</x:f>
        <x:v>60017</x:v>
      </x:c>
      <x:c r="B1062" s="14" t="str">
        <x:f>$W$30</x:f>
        <x:v>红葡萄狗</x:v>
      </x:c>
      <x:c r="C1062" s="6" t="str">
        <x:f>$X$30</x:f>
        <x:v>精英</x:v>
      </x:c>
      <x:c r="D1062" s="6">
        <x:v>50</x:v>
      </x:c>
      <x:c r="E1062" s="6">
        <x:v>30</x:v>
      </x:c>
      <x:c r="F1062" s="12">
        <x:f>ROUND(J1062*$W$4*H1062,0)</x:f>
        <x:v>62055</x:v>
      </x:c>
      <x:c r="G1062" s="12">
        <x:f>ROUND(J1062*$W$4*$W$5*I1062,0)</x:f>
        <x:v>3677</x:v>
      </x:c>
      <x:c r="H1062" s="11" t="n">
        <x:f>$Y$30</x:f>
        <x:v>3.75</x:v>
      </x:c>
      <x:c r="I1062" s="11" t="n">
        <x:f>$Z$30</x:f>
        <x:v>2.9629629629629632</x:v>
      </x:c>
      <x:c r="J1062" s="12">
        <x:f>英雄升级调参!$E$115</x:f>
        <x:v>4137</x:v>
      </x:c>
      <x:c r="K1062" s="12">
        <x:f>英雄升级调参!$F$115</x:f>
        <x:v>41370</x:v>
      </x:c>
      <x:c r="L1062" s="6" t="n">
        <x:f>ROUNDUP(F1062/J1062,0)</x:f>
        <x:v>15</x:v>
      </x:c>
      <x:c r="M1062" s="6" t="n">
        <x:f>IF(G1062=0,"无伤害",ROUNDUP(K1062/MAX(1,ROUND(G1062*$AC$30,0)),0))</x:f>
        <x:v>8</x:v>
      </x:c>
      <x:c r="N1062" s="6" t="n">
        <x:f>ROUNDUP(F1062/英雄升级调参!$H$115,0)</x:f>
        <x:v>10</x:v>
      </x:c>
      <x:c r="O1062" s="6">
        <x:f>ROUNDUP(F1062/英雄升级调参!$K$115,0)</x:f>
        <x:v>6</x:v>
      </x:c>
      <x:c r="P1062" s="6" t="str">
        <x:f>$AA$30</x:f>
        <x:v>精英：15次标准普攻击杀；7.5次主要攻击致死</x:v>
      </x:c>
      <x:c r="Q1062" s="6"/>
      <x:c r="R1062" s="6"/>
      <x:c r="S1062" s="6"/>
      <x:c r="T1062" s="6"/>
    </x:row>
    <x:row r="1063" ht="21" customHeight="1">
      <x:c r="A1063" s="14" t="n">
        <x:f>$V$31</x:f>
        <x:v>60018</x:v>
      </x:c>
      <x:c r="B1063" s="14" t="str">
        <x:f>$W$31</x:f>
        <x:v>蝙蝠</x:v>
      </x:c>
      <x:c r="C1063" s="6" t="str">
        <x:f>$X$31</x:f>
        <x:v>飞行</x:v>
      </x:c>
      <x:c r="D1063" s="6">
        <x:v>1</x:v>
      </x:c>
      <x:c r="E1063" s="6">
        <x:v>31</x:v>
      </x:c>
      <x:c r="F1063" s="12" t="n">
        <x:f>ROUND(J1063*$W$4*H1063,0)</x:f>
        <x:v>180</x:v>
      </x:c>
      <x:c r="G1063" s="12">
        <x:f>ROUND((ROUND(J1063*$W$4*$W$5*I1063,0))*2/3,0)</x:f>
        <x:v>40</x:v>
      </x:c>
      <x:c r="H1063" s="11" t="n">
        <x:f>$Y$31</x:f>
        <x:v>0.75</x:v>
      </x:c>
      <x:c r="I1063" s="11" t="n">
        <x:f>$Z$31</x:f>
        <x:v>3.3333333333333335</x:v>
      </x:c>
      <x:c r="J1063" s="12" t="n">
        <x:f>英雄升级调参!$E$66</x:f>
        <x:v>60</x:v>
      </x:c>
      <x:c r="K1063" s="12" t="n">
        <x:f>英雄升级调参!$F$66</x:f>
        <x:v>600</x:v>
      </x:c>
      <x:c r="L1063" s="6" t="n">
        <x:f>ROUNDUP(F1063/J1063,0)</x:f>
        <x:v>3</x:v>
      </x:c>
      <x:c r="M1063" s="6">
        <x:f>IF(G1063=0,"无伤害",ROUNDUP(K1063/MAX(1,ROUND(G1063*$AC$31,0)),0))</x:f>
        <x:v>15</x:v>
      </x:c>
      <x:c r="N1063" s="6">
        <x:f>ROUNDUP(F1063/英雄升级调参!$H$66,0)</x:f>
        <x:v>1</x:v>
      </x:c>
      <x:c r="O1063" s="6">
        <x:f>ROUNDUP(F1063/英雄升级调参!$K$66,0)</x:f>
        <x:v>1</x:v>
      </x:c>
      <x:c r="P1063" s="6" t="str">
        <x:f>$AA$31</x:f>
        <x:v>普通：3次标准普攻击杀；10次主要攻击致死</x:v>
      </x:c>
      <x:c r="Q1063" s="6"/>
      <x:c r="R1063" s="6"/>
      <x:c r="S1063" s="6"/>
      <x:c r="T1063" s="6"/>
    </x:row>
    <x:row r="1064" ht="21" customHeight="1">
      <x:c r="A1064" s="14" t="n">
        <x:f>$V$31</x:f>
        <x:v>60018</x:v>
      </x:c>
      <x:c r="B1064" s="14" t="str">
        <x:f>$W$31</x:f>
        <x:v>蝙蝠</x:v>
      </x:c>
      <x:c r="C1064" s="6" t="str">
        <x:f>$X$31</x:f>
        <x:v>飞行</x:v>
      </x:c>
      <x:c r="D1064" s="6">
        <x:v>2</x:v>
      </x:c>
      <x:c r="E1064" s="6">
        <x:v>31</x:v>
      </x:c>
      <x:c r="F1064" s="12">
        <x:f>ROUND(J1064*$W$4*H1064,0)</x:f>
        <x:v>234</x:v>
      </x:c>
      <x:c r="G1064" s="12">
        <x:f>ROUND(J1064*$W$4*$W$5*I1064,0)</x:f>
        <x:v>78</x:v>
      </x:c>
      <x:c r="H1064" s="11" t="n">
        <x:f>$Y$31</x:f>
        <x:v>0.75</x:v>
      </x:c>
      <x:c r="I1064" s="11" t="n">
        <x:f>$Z$31</x:f>
        <x:v>3.3333333333333335</x:v>
      </x:c>
      <x:c r="J1064" s="12">
        <x:f>英雄升级调参!$E$67</x:f>
        <x:v>78</x:v>
      </x:c>
      <x:c r="K1064" s="12">
        <x:f>英雄升级调参!$F$67</x:f>
        <x:v>780</x:v>
      </x:c>
      <x:c r="L1064" s="6" t="n">
        <x:f>ROUNDUP(F1064/J1064,0)</x:f>
        <x:v>3</x:v>
      </x:c>
      <x:c r="M1064" s="6" t="n">
        <x:f>IF(G1064=0,"无伤害",ROUNDUP(K1064/MAX(1,ROUND(G1064*$AC$31,0)),0))</x:f>
        <x:v>10</x:v>
      </x:c>
      <x:c r="N1064" s="6" t="n">
        <x:f>ROUNDUP(F1064/英雄升级调参!$H$67,0)</x:f>
        <x:v>2</x:v>
      </x:c>
      <x:c r="O1064" s="6">
        <x:f>ROUNDUP(F1064/英雄升级调参!$K$67,0)</x:f>
        <x:v>1</x:v>
      </x:c>
      <x:c r="P1064" s="6" t="str">
        <x:f>$AA$31</x:f>
        <x:v>普通：3次标准普攻击杀；10次主要攻击致死</x:v>
      </x:c>
      <x:c r="Q1064" s="6"/>
      <x:c r="R1064" s="6"/>
      <x:c r="S1064" s="6"/>
      <x:c r="T1064" s="6"/>
    </x:row>
    <x:row r="1065" ht="21" customHeight="1">
      <x:c r="A1065" s="14" t="n">
        <x:f>$V$31</x:f>
        <x:v>60018</x:v>
      </x:c>
      <x:c r="B1065" s="14" t="str">
        <x:f>$W$31</x:f>
        <x:v>蝙蝠</x:v>
      </x:c>
      <x:c r="C1065" s="6" t="str">
        <x:f>$X$31</x:f>
        <x:v>飞行</x:v>
      </x:c>
      <x:c r="D1065" s="6">
        <x:v>3</x:v>
      </x:c>
      <x:c r="E1065" s="6">
        <x:v>31</x:v>
      </x:c>
      <x:c r="F1065" s="12">
        <x:f>ROUND(J1065*$W$4*H1065,0)</x:f>
        <x:v>288</x:v>
      </x:c>
      <x:c r="G1065" s="12">
        <x:f>ROUND(J1065*$W$4*$W$5*I1065,0)</x:f>
        <x:v>96</x:v>
      </x:c>
      <x:c r="H1065" s="11" t="n">
        <x:f>$Y$31</x:f>
        <x:v>0.75</x:v>
      </x:c>
      <x:c r="I1065" s="11" t="n">
        <x:f>$Z$31</x:f>
        <x:v>3.3333333333333335</x:v>
      </x:c>
      <x:c r="J1065" s="12">
        <x:f>英雄升级调参!$E$68</x:f>
        <x:v>96</x:v>
      </x:c>
      <x:c r="K1065" s="12">
        <x:f>英雄升级调参!$F$68</x:f>
        <x:v>960</x:v>
      </x:c>
      <x:c r="L1065" s="6" t="n">
        <x:f>ROUNDUP(F1065/J1065,0)</x:f>
        <x:v>3</x:v>
      </x:c>
      <x:c r="M1065" s="6" t="n">
        <x:f>IF(G1065=0,"无伤害",ROUNDUP(K1065/MAX(1,ROUND(G1065*$AC$31,0)),0))</x:f>
        <x:v>10</x:v>
      </x:c>
      <x:c r="N1065" s="6" t="n">
        <x:f>ROUNDUP(F1065/英雄升级调参!$H$68,0)</x:f>
        <x:v>2</x:v>
      </x:c>
      <x:c r="O1065" s="6">
        <x:f>ROUNDUP(F1065/英雄升级调参!$K$68,0)</x:f>
        <x:v>1</x:v>
      </x:c>
      <x:c r="P1065" s="6" t="str">
        <x:f>$AA$31</x:f>
        <x:v>普通：3次标准普攻击杀；10次主要攻击致死</x:v>
      </x:c>
      <x:c r="Q1065" s="6"/>
      <x:c r="R1065" s="6"/>
      <x:c r="S1065" s="6"/>
      <x:c r="T1065" s="6"/>
    </x:row>
    <x:row r="1066" ht="21" customHeight="1">
      <x:c r="A1066" s="14" t="n">
        <x:f>$V$31</x:f>
        <x:v>60018</x:v>
      </x:c>
      <x:c r="B1066" s="14" t="str">
        <x:f>$W$31</x:f>
        <x:v>蝙蝠</x:v>
      </x:c>
      <x:c r="C1066" s="6" t="str">
        <x:f>$X$31</x:f>
        <x:v>飞行</x:v>
      </x:c>
      <x:c r="D1066" s="6">
        <x:v>4</x:v>
      </x:c>
      <x:c r="E1066" s="6">
        <x:v>31</x:v>
      </x:c>
      <x:c r="F1066" s="12">
        <x:f>ROUND(J1066*$W$4*H1066,0)</x:f>
        <x:v>342</x:v>
      </x:c>
      <x:c r="G1066" s="12">
        <x:f>ROUND(J1066*$W$4*$W$5*I1066,0)</x:f>
        <x:v>114</x:v>
      </x:c>
      <x:c r="H1066" s="11" t="n">
        <x:f>$Y$31</x:f>
        <x:v>0.75</x:v>
      </x:c>
      <x:c r="I1066" s="11" t="n">
        <x:f>$Z$31</x:f>
        <x:v>3.3333333333333335</x:v>
      </x:c>
      <x:c r="J1066" s="12">
        <x:f>英雄升级调参!$E$69</x:f>
        <x:v>114</x:v>
      </x:c>
      <x:c r="K1066" s="12">
        <x:f>英雄升级调参!$F$69</x:f>
        <x:v>1140</x:v>
      </x:c>
      <x:c r="L1066" s="6" t="n">
        <x:f>ROUNDUP(F1066/J1066,0)</x:f>
        <x:v>3</x:v>
      </x:c>
      <x:c r="M1066" s="6" t="n">
        <x:f>IF(G1066=0,"无伤害",ROUNDUP(K1066/MAX(1,ROUND(G1066*$AC$31,0)),0))</x:f>
        <x:v>10</x:v>
      </x:c>
      <x:c r="N1066" s="6" t="n">
        <x:f>ROUNDUP(F1066/英雄升级调参!$H$69,0)</x:f>
        <x:v>2</x:v>
      </x:c>
      <x:c r="O1066" s="6">
        <x:f>ROUNDUP(F1066/英雄升级调参!$K$69,0)</x:f>
        <x:v>1</x:v>
      </x:c>
      <x:c r="P1066" s="6" t="str">
        <x:f>$AA$31</x:f>
        <x:v>普通：3次标准普攻击杀；10次主要攻击致死</x:v>
      </x:c>
      <x:c r="Q1066" s="6"/>
      <x:c r="R1066" s="6"/>
      <x:c r="S1066" s="6"/>
      <x:c r="T1066" s="6"/>
    </x:row>
    <x:row r="1067" ht="21" customHeight="1">
      <x:c r="A1067" s="14" t="n">
        <x:f>$V$31</x:f>
        <x:v>60018</x:v>
      </x:c>
      <x:c r="B1067" s="14" t="str">
        <x:f>$W$31</x:f>
        <x:v>蝙蝠</x:v>
      </x:c>
      <x:c r="C1067" s="6" t="str">
        <x:f>$X$31</x:f>
        <x:v>飞行</x:v>
      </x:c>
      <x:c r="D1067" s="6">
        <x:v>5</x:v>
      </x:c>
      <x:c r="E1067" s="6">
        <x:v>31</x:v>
      </x:c>
      <x:c r="F1067" s="12">
        <x:f>ROUND(J1067*$W$4*H1067,0)</x:f>
        <x:v>504</x:v>
      </x:c>
      <x:c r="G1067" s="12">
        <x:f>ROUND(J1067*$W$4*$W$5*I1067,0)</x:f>
        <x:v>168</x:v>
      </x:c>
      <x:c r="H1067" s="11" t="n">
        <x:f>$Y$31</x:f>
        <x:v>0.75</x:v>
      </x:c>
      <x:c r="I1067" s="11" t="n">
        <x:f>$Z$31</x:f>
        <x:v>3.3333333333333335</x:v>
      </x:c>
      <x:c r="J1067" s="12">
        <x:f>英雄升级调参!$E$70</x:f>
        <x:v>168</x:v>
      </x:c>
      <x:c r="K1067" s="12">
        <x:f>英雄升级调参!$F$70</x:f>
        <x:v>1680</x:v>
      </x:c>
      <x:c r="L1067" s="6" t="n">
        <x:f>ROUNDUP(F1067/J1067,0)</x:f>
        <x:v>3</x:v>
      </x:c>
      <x:c r="M1067" s="6" t="n">
        <x:f>IF(G1067=0,"无伤害",ROUNDUP(K1067/MAX(1,ROUND(G1067*$AC$31,0)),0))</x:f>
        <x:v>10</x:v>
      </x:c>
      <x:c r="N1067" s="6" t="n">
        <x:f>ROUNDUP(F1067/英雄升级调参!$H$70,0)</x:f>
        <x:v>2</x:v>
      </x:c>
      <x:c r="O1067" s="6">
        <x:f>ROUNDUP(F1067/英雄升级调参!$K$70,0)</x:f>
        <x:v>1</x:v>
      </x:c>
      <x:c r="P1067" s="6" t="str">
        <x:f>$AA$31</x:f>
        <x:v>普通：3次标准普攻击杀；10次主要攻击致死</x:v>
      </x:c>
      <x:c r="Q1067" s="6"/>
      <x:c r="R1067" s="6"/>
      <x:c r="S1067" s="6"/>
      <x:c r="T1067" s="6"/>
    </x:row>
    <x:row r="1068" ht="21" customHeight="1">
      <x:c r="A1068" s="14" t="n">
        <x:f>$V$31</x:f>
        <x:v>60018</x:v>
      </x:c>
      <x:c r="B1068" s="14" t="str">
        <x:f>$W$31</x:f>
        <x:v>蝙蝠</x:v>
      </x:c>
      <x:c r="C1068" s="6" t="str">
        <x:f>$X$31</x:f>
        <x:v>飞行</x:v>
      </x:c>
      <x:c r="D1068" s="6">
        <x:v>6</x:v>
      </x:c>
      <x:c r="E1068" s="6">
        <x:v>31</x:v>
      </x:c>
      <x:c r="F1068" s="12">
        <x:f>ROUND(J1068*$W$4*H1068,0)</x:f>
        <x:v>585</x:v>
      </x:c>
      <x:c r="G1068" s="12">
        <x:f>ROUND(J1068*$W$4*$W$5*I1068,0)</x:f>
        <x:v>195</x:v>
      </x:c>
      <x:c r="H1068" s="11" t="n">
        <x:f>$Y$31</x:f>
        <x:v>0.75</x:v>
      </x:c>
      <x:c r="I1068" s="11" t="n">
        <x:f>$Z$31</x:f>
        <x:v>3.3333333333333335</x:v>
      </x:c>
      <x:c r="J1068" s="12">
        <x:f>英雄升级调参!$E$71</x:f>
        <x:v>195</x:v>
      </x:c>
      <x:c r="K1068" s="12">
        <x:f>英雄升级调参!$F$71</x:f>
        <x:v>1950</x:v>
      </x:c>
      <x:c r="L1068" s="6" t="n">
        <x:f>ROUNDUP(F1068/J1068,0)</x:f>
        <x:v>3</x:v>
      </x:c>
      <x:c r="M1068" s="6" t="n">
        <x:f>IF(G1068=0,"无伤害",ROUNDUP(K1068/MAX(1,ROUND(G1068*$AC$31,0)),0))</x:f>
        <x:v>10</x:v>
      </x:c>
      <x:c r="N1068" s="6" t="n">
        <x:f>ROUNDUP(F1068/英雄升级调参!$H$71,0)</x:f>
        <x:v>2</x:v>
      </x:c>
      <x:c r="O1068" s="6">
        <x:f>ROUNDUP(F1068/英雄升级调参!$K$71,0)</x:f>
        <x:v>1</x:v>
      </x:c>
      <x:c r="P1068" s="6" t="str">
        <x:f>$AA$31</x:f>
        <x:v>普通：3次标准普攻击杀；10次主要攻击致死</x:v>
      </x:c>
      <x:c r="Q1068" s="6"/>
      <x:c r="R1068" s="6"/>
      <x:c r="S1068" s="6"/>
      <x:c r="T1068" s="6"/>
    </x:row>
    <x:row r="1069" ht="21" customHeight="1">
      <x:c r="A1069" s="14" t="n">
        <x:f>$V$31</x:f>
        <x:v>60018</x:v>
      </x:c>
      <x:c r="B1069" s="14" t="str">
        <x:f>$W$31</x:f>
        <x:v>蝙蝠</x:v>
      </x:c>
      <x:c r="C1069" s="6" t="str">
        <x:f>$X$31</x:f>
        <x:v>飞行</x:v>
      </x:c>
      <x:c r="D1069" s="6">
        <x:v>7</x:v>
      </x:c>
      <x:c r="E1069" s="6">
        <x:v>31</x:v>
      </x:c>
      <x:c r="F1069" s="12">
        <x:f>ROUND(J1069*$W$4*H1069,0)</x:f>
        <x:v>666</x:v>
      </x:c>
      <x:c r="G1069" s="12">
        <x:f>ROUND(J1069*$W$4*$W$5*I1069,0)</x:f>
        <x:v>222</x:v>
      </x:c>
      <x:c r="H1069" s="11" t="n">
        <x:f>$Y$31</x:f>
        <x:v>0.75</x:v>
      </x:c>
      <x:c r="I1069" s="11" t="n">
        <x:f>$Z$31</x:f>
        <x:v>3.3333333333333335</x:v>
      </x:c>
      <x:c r="J1069" s="12">
        <x:f>英雄升级调参!$E$72</x:f>
        <x:v>222</x:v>
      </x:c>
      <x:c r="K1069" s="12">
        <x:f>英雄升级调参!$F$72</x:f>
        <x:v>2220</x:v>
      </x:c>
      <x:c r="L1069" s="6" t="n">
        <x:f>ROUNDUP(F1069/J1069,0)</x:f>
        <x:v>3</x:v>
      </x:c>
      <x:c r="M1069" s="6" t="n">
        <x:f>IF(G1069=0,"无伤害",ROUNDUP(K1069/MAX(1,ROUND(G1069*$AC$31,0)),0))</x:f>
        <x:v>10</x:v>
      </x:c>
      <x:c r="N1069" s="6" t="n">
        <x:f>ROUNDUP(F1069/英雄升级调参!$H$72,0)</x:f>
        <x:v>2</x:v>
      </x:c>
      <x:c r="O1069" s="6">
        <x:f>ROUNDUP(F1069/英雄升级调参!$K$72,0)</x:f>
        <x:v>1</x:v>
      </x:c>
      <x:c r="P1069" s="6" t="str">
        <x:f>$AA$31</x:f>
        <x:v>普通：3次标准普攻击杀；10次主要攻击致死</x:v>
      </x:c>
      <x:c r="Q1069" s="6"/>
      <x:c r="R1069" s="6"/>
      <x:c r="S1069" s="6"/>
      <x:c r="T1069" s="6"/>
    </x:row>
    <x:row r="1070" ht="21" customHeight="1">
      <x:c r="A1070" s="14" t="n">
        <x:f>$V$31</x:f>
        <x:v>60018</x:v>
      </x:c>
      <x:c r="B1070" s="14" t="str">
        <x:f>$W$31</x:f>
        <x:v>蝙蝠</x:v>
      </x:c>
      <x:c r="C1070" s="6" t="str">
        <x:f>$X$31</x:f>
        <x:v>飞行</x:v>
      </x:c>
      <x:c r="D1070" s="6">
        <x:v>8</x:v>
      </x:c>
      <x:c r="E1070" s="6">
        <x:v>31</x:v>
      </x:c>
      <x:c r="F1070" s="12">
        <x:f>ROUND(J1070*$W$4*H1070,0)</x:f>
        <x:v>747</x:v>
      </x:c>
      <x:c r="G1070" s="12">
        <x:f>ROUND(J1070*$W$4*$W$5*I1070,0)</x:f>
        <x:v>249</x:v>
      </x:c>
      <x:c r="H1070" s="11" t="n">
        <x:f>$Y$31</x:f>
        <x:v>0.75</x:v>
      </x:c>
      <x:c r="I1070" s="11" t="n">
        <x:f>$Z$31</x:f>
        <x:v>3.3333333333333335</x:v>
      </x:c>
      <x:c r="J1070" s="12">
        <x:f>英雄升级调参!$E$73</x:f>
        <x:v>249</x:v>
      </x:c>
      <x:c r="K1070" s="12">
        <x:f>英雄升级调参!$F$73</x:f>
        <x:v>2490</x:v>
      </x:c>
      <x:c r="L1070" s="6" t="n">
        <x:f>ROUNDUP(F1070/J1070,0)</x:f>
        <x:v>3</x:v>
      </x:c>
      <x:c r="M1070" s="6" t="n">
        <x:f>IF(G1070=0,"无伤害",ROUNDUP(K1070/MAX(1,ROUND(G1070*$AC$31,0)),0))</x:f>
        <x:v>10</x:v>
      </x:c>
      <x:c r="N1070" s="6" t="n">
        <x:f>ROUNDUP(F1070/英雄升级调参!$H$73,0)</x:f>
        <x:v>2</x:v>
      </x:c>
      <x:c r="O1070" s="6">
        <x:f>ROUNDUP(F1070/英雄升级调参!$K$73,0)</x:f>
        <x:v>1</x:v>
      </x:c>
      <x:c r="P1070" s="6" t="str">
        <x:f>$AA$31</x:f>
        <x:v>普通：3次标准普攻击杀；10次主要攻击致死</x:v>
      </x:c>
      <x:c r="Q1070" s="6"/>
      <x:c r="R1070" s="6"/>
      <x:c r="S1070" s="6"/>
      <x:c r="T1070" s="6"/>
    </x:row>
    <x:row r="1071" ht="21" customHeight="1">
      <x:c r="A1071" s="14" t="n">
        <x:f>$V$31</x:f>
        <x:v>60018</x:v>
      </x:c>
      <x:c r="B1071" s="14" t="str">
        <x:f>$W$31</x:f>
        <x:v>蝙蝠</x:v>
      </x:c>
      <x:c r="C1071" s="6" t="str">
        <x:f>$X$31</x:f>
        <x:v>飞行</x:v>
      </x:c>
      <x:c r="D1071" s="6">
        <x:v>9</x:v>
      </x:c>
      <x:c r="E1071" s="6">
        <x:v>31</x:v>
      </x:c>
      <x:c r="F1071" s="12">
        <x:f>ROUND(J1071*$W$4*H1071,0)</x:f>
        <x:v>828</x:v>
      </x:c>
      <x:c r="G1071" s="12">
        <x:f>ROUND(J1071*$W$4*$W$5*I1071,0)</x:f>
        <x:v>276</x:v>
      </x:c>
      <x:c r="H1071" s="11" t="n">
        <x:f>$Y$31</x:f>
        <x:v>0.75</x:v>
      </x:c>
      <x:c r="I1071" s="11" t="n">
        <x:f>$Z$31</x:f>
        <x:v>3.3333333333333335</x:v>
      </x:c>
      <x:c r="J1071" s="12">
        <x:f>英雄升级调参!$E$74</x:f>
        <x:v>276</x:v>
      </x:c>
      <x:c r="K1071" s="12">
        <x:f>英雄升级调参!$F$74</x:f>
        <x:v>2760</x:v>
      </x:c>
      <x:c r="L1071" s="6" t="n">
        <x:f>ROUNDUP(F1071/J1071,0)</x:f>
        <x:v>3</x:v>
      </x:c>
      <x:c r="M1071" s="6" t="n">
        <x:f>IF(G1071=0,"无伤害",ROUNDUP(K1071/MAX(1,ROUND(G1071*$AC$31,0)),0))</x:f>
        <x:v>10</x:v>
      </x:c>
      <x:c r="N1071" s="6" t="n">
        <x:f>ROUNDUP(F1071/英雄升级调参!$H$74,0)</x:f>
        <x:v>2</x:v>
      </x:c>
      <x:c r="O1071" s="6">
        <x:f>ROUNDUP(F1071/英雄升级调参!$K$74,0)</x:f>
        <x:v>1</x:v>
      </x:c>
      <x:c r="P1071" s="6" t="str">
        <x:f>$AA$31</x:f>
        <x:v>普通：3次标准普攻击杀；10次主要攻击致死</x:v>
      </x:c>
      <x:c r="Q1071" s="6"/>
      <x:c r="R1071" s="6"/>
      <x:c r="S1071" s="6"/>
      <x:c r="T1071" s="6"/>
    </x:row>
    <x:row r="1072" ht="21" customHeight="1">
      <x:c r="A1072" s="14" t="n">
        <x:f>$V$31</x:f>
        <x:v>60018</x:v>
      </x:c>
      <x:c r="B1072" s="14" t="str">
        <x:f>$W$31</x:f>
        <x:v>蝙蝠</x:v>
      </x:c>
      <x:c r="C1072" s="6" t="str">
        <x:f>$X$31</x:f>
        <x:v>飞行</x:v>
      </x:c>
      <x:c r="D1072" s="6">
        <x:v>10</x:v>
      </x:c>
      <x:c r="E1072" s="6">
        <x:v>31</x:v>
      </x:c>
      <x:c r="F1072" s="12">
        <x:f>ROUND(J1072*$W$4*H1072,0)</x:f>
        <x:v>1071</x:v>
      </x:c>
      <x:c r="G1072" s="12">
        <x:f>ROUND(J1072*$W$4*$W$5*I1072,0)</x:f>
        <x:v>357</x:v>
      </x:c>
      <x:c r="H1072" s="11" t="n">
        <x:f>$Y$31</x:f>
        <x:v>0.75</x:v>
      </x:c>
      <x:c r="I1072" s="11" t="n">
        <x:f>$Z$31</x:f>
        <x:v>3.3333333333333335</x:v>
      </x:c>
      <x:c r="J1072" s="12">
        <x:f>英雄升级调参!$E$75</x:f>
        <x:v>357</x:v>
      </x:c>
      <x:c r="K1072" s="12">
        <x:f>英雄升级调参!$F$75</x:f>
        <x:v>3570</x:v>
      </x:c>
      <x:c r="L1072" s="6" t="n">
        <x:f>ROUNDUP(F1072/J1072,0)</x:f>
        <x:v>3</x:v>
      </x:c>
      <x:c r="M1072" s="6" t="n">
        <x:f>IF(G1072=0,"无伤害",ROUNDUP(K1072/MAX(1,ROUND(G1072*$AC$31,0)),0))</x:f>
        <x:v>10</x:v>
      </x:c>
      <x:c r="N1072" s="6" t="n">
        <x:f>ROUNDUP(F1072/英雄升级调参!$H$75,0)</x:f>
        <x:v>2</x:v>
      </x:c>
      <x:c r="O1072" s="6">
        <x:f>ROUNDUP(F1072/英雄升级调参!$K$75,0)</x:f>
        <x:v>1</x:v>
      </x:c>
      <x:c r="P1072" s="6" t="str">
        <x:f>$AA$31</x:f>
        <x:v>普通：3次标准普攻击杀；10次主要攻击致死</x:v>
      </x:c>
      <x:c r="Q1072" s="6"/>
      <x:c r="R1072" s="6"/>
      <x:c r="S1072" s="6"/>
      <x:c r="T1072" s="6"/>
    </x:row>
    <x:row r="1073" ht="21" customHeight="1">
      <x:c r="A1073" s="14" t="n">
        <x:f>$V$31</x:f>
        <x:v>60018</x:v>
      </x:c>
      <x:c r="B1073" s="14" t="str">
        <x:f>$W$31</x:f>
        <x:v>蝙蝠</x:v>
      </x:c>
      <x:c r="C1073" s="6" t="str">
        <x:f>$X$31</x:f>
        <x:v>飞行</x:v>
      </x:c>
      <x:c r="D1073" s="6">
        <x:v>11</x:v>
      </x:c>
      <x:c r="E1073" s="6">
        <x:v>31</x:v>
      </x:c>
      <x:c r="F1073" s="12">
        <x:f>ROUND(J1073*$W$4*H1073,0)</x:f>
        <x:v>1179</x:v>
      </x:c>
      <x:c r="G1073" s="12">
        <x:f>ROUND(J1073*$W$4*$W$5*I1073,0)</x:f>
        <x:v>393</x:v>
      </x:c>
      <x:c r="H1073" s="11" t="n">
        <x:f>$Y$31</x:f>
        <x:v>0.75</x:v>
      </x:c>
      <x:c r="I1073" s="11" t="n">
        <x:f>$Z$31</x:f>
        <x:v>3.3333333333333335</x:v>
      </x:c>
      <x:c r="J1073" s="12">
        <x:f>英雄升级调参!$E$76</x:f>
        <x:v>393</x:v>
      </x:c>
      <x:c r="K1073" s="12">
        <x:f>英雄升级调参!$F$76</x:f>
        <x:v>3930</x:v>
      </x:c>
      <x:c r="L1073" s="6" t="n">
        <x:f>ROUNDUP(F1073/J1073,0)</x:f>
        <x:v>3</x:v>
      </x:c>
      <x:c r="M1073" s="6" t="n">
        <x:f>IF(G1073=0,"无伤害",ROUNDUP(K1073/MAX(1,ROUND(G1073*$AC$31,0)),0))</x:f>
        <x:v>10</x:v>
      </x:c>
      <x:c r="N1073" s="6" t="n">
        <x:f>ROUNDUP(F1073/英雄升级调参!$H$76,0)</x:f>
        <x:v>2</x:v>
      </x:c>
      <x:c r="O1073" s="6">
        <x:f>ROUNDUP(F1073/英雄升级调参!$K$76,0)</x:f>
        <x:v>1</x:v>
      </x:c>
      <x:c r="P1073" s="6" t="str">
        <x:f>$AA$31</x:f>
        <x:v>普通：3次标准普攻击杀；10次主要攻击致死</x:v>
      </x:c>
      <x:c r="Q1073" s="6"/>
      <x:c r="R1073" s="6"/>
      <x:c r="S1073" s="6"/>
      <x:c r="T1073" s="6"/>
    </x:row>
    <x:row r="1074" ht="21" customHeight="1">
      <x:c r="A1074" s="14" t="n">
        <x:f>$V$31</x:f>
        <x:v>60018</x:v>
      </x:c>
      <x:c r="B1074" s="14" t="str">
        <x:f>$W$31</x:f>
        <x:v>蝙蝠</x:v>
      </x:c>
      <x:c r="C1074" s="6" t="str">
        <x:f>$X$31</x:f>
        <x:v>飞行</x:v>
      </x:c>
      <x:c r="D1074" s="6">
        <x:v>12</x:v>
      </x:c>
      <x:c r="E1074" s="6">
        <x:v>31</x:v>
      </x:c>
      <x:c r="F1074" s="12">
        <x:f>ROUND(J1074*$W$4*H1074,0)</x:f>
        <x:v>1287</x:v>
      </x:c>
      <x:c r="G1074" s="12">
        <x:f>ROUND(J1074*$W$4*$W$5*I1074,0)</x:f>
        <x:v>429</x:v>
      </x:c>
      <x:c r="H1074" s="11" t="n">
        <x:f>$Y$31</x:f>
        <x:v>0.75</x:v>
      </x:c>
      <x:c r="I1074" s="11" t="n">
        <x:f>$Z$31</x:f>
        <x:v>3.3333333333333335</x:v>
      </x:c>
      <x:c r="J1074" s="12">
        <x:f>英雄升级调参!$E$77</x:f>
        <x:v>429</x:v>
      </x:c>
      <x:c r="K1074" s="12">
        <x:f>英雄升级调参!$F$77</x:f>
        <x:v>4290</x:v>
      </x:c>
      <x:c r="L1074" s="6" t="n">
        <x:f>ROUNDUP(F1074/J1074,0)</x:f>
        <x:v>3</x:v>
      </x:c>
      <x:c r="M1074" s="6" t="n">
        <x:f>IF(G1074=0,"无伤害",ROUNDUP(K1074/MAX(1,ROUND(G1074*$AC$31,0)),0))</x:f>
        <x:v>10</x:v>
      </x:c>
      <x:c r="N1074" s="6" t="n">
        <x:f>ROUNDUP(F1074/英雄升级调参!$H$77,0)</x:f>
        <x:v>2</x:v>
      </x:c>
      <x:c r="O1074" s="6" t="n">
        <x:f>ROUNDUP(F1074/英雄升级调参!$K$77,0)</x:f>
        <x:v>2</x:v>
      </x:c>
      <x:c r="P1074" s="6" t="str">
        <x:f>$AA$31</x:f>
        <x:v>普通：3次标准普攻击杀；10次主要攻击致死</x:v>
      </x:c>
      <x:c r="Q1074" s="6"/>
      <x:c r="R1074" s="6"/>
      <x:c r="S1074" s="6"/>
      <x:c r="T1074" s="6"/>
    </x:row>
    <x:row r="1075" ht="21" customHeight="1">
      <x:c r="A1075" s="14" t="n">
        <x:f>$V$31</x:f>
        <x:v>60018</x:v>
      </x:c>
      <x:c r="B1075" s="14" t="str">
        <x:f>$W$31</x:f>
        <x:v>蝙蝠</x:v>
      </x:c>
      <x:c r="C1075" s="6" t="str">
        <x:f>$X$31</x:f>
        <x:v>飞行</x:v>
      </x:c>
      <x:c r="D1075" s="6">
        <x:v>13</x:v>
      </x:c>
      <x:c r="E1075" s="6">
        <x:v>31</x:v>
      </x:c>
      <x:c r="F1075" s="12">
        <x:f>ROUND(J1075*$W$4*H1075,0)</x:f>
        <x:v>1395</x:v>
      </x:c>
      <x:c r="G1075" s="12">
        <x:f>ROUND(J1075*$W$4*$W$5*I1075,0)</x:f>
        <x:v>465</x:v>
      </x:c>
      <x:c r="H1075" s="11" t="n">
        <x:f>$Y$31</x:f>
        <x:v>0.75</x:v>
      </x:c>
      <x:c r="I1075" s="11" t="n">
        <x:f>$Z$31</x:f>
        <x:v>3.3333333333333335</x:v>
      </x:c>
      <x:c r="J1075" s="12">
        <x:f>英雄升级调参!$E$78</x:f>
        <x:v>465</x:v>
      </x:c>
      <x:c r="K1075" s="12">
        <x:f>英雄升级调参!$F$78</x:f>
        <x:v>4650</x:v>
      </x:c>
      <x:c r="L1075" s="6" t="n">
        <x:f>ROUNDUP(F1075/J1075,0)</x:f>
        <x:v>3</x:v>
      </x:c>
      <x:c r="M1075" s="6" t="n">
        <x:f>IF(G1075=0,"无伤害",ROUNDUP(K1075/MAX(1,ROUND(G1075*$AC$31,0)),0))</x:f>
        <x:v>10</x:v>
      </x:c>
      <x:c r="N1075" s="6" t="n">
        <x:f>ROUNDUP(F1075/英雄升级调参!$H$78,0)</x:f>
        <x:v>2</x:v>
      </x:c>
      <x:c r="O1075" s="6" t="n">
        <x:f>ROUNDUP(F1075/英雄升级调参!$K$78,0)</x:f>
        <x:v>2</x:v>
      </x:c>
      <x:c r="P1075" s="6" t="str">
        <x:f>$AA$31</x:f>
        <x:v>普通：3次标准普攻击杀；10次主要攻击致死</x:v>
      </x:c>
      <x:c r="Q1075" s="6"/>
      <x:c r="R1075" s="6"/>
      <x:c r="S1075" s="6"/>
      <x:c r="T1075" s="6"/>
    </x:row>
    <x:row r="1076" ht="21" customHeight="1">
      <x:c r="A1076" s="14" t="n">
        <x:f>$V$31</x:f>
        <x:v>60018</x:v>
      </x:c>
      <x:c r="B1076" s="14" t="str">
        <x:f>$W$31</x:f>
        <x:v>蝙蝠</x:v>
      </x:c>
      <x:c r="C1076" s="6" t="str">
        <x:f>$X$31</x:f>
        <x:v>飞行</x:v>
      </x:c>
      <x:c r="D1076" s="6">
        <x:v>14</x:v>
      </x:c>
      <x:c r="E1076" s="6">
        <x:v>31</x:v>
      </x:c>
      <x:c r="F1076" s="12">
        <x:f>ROUND(J1076*$W$4*H1076,0)</x:f>
        <x:v>1503</x:v>
      </x:c>
      <x:c r="G1076" s="12">
        <x:f>ROUND(J1076*$W$4*$W$5*I1076,0)</x:f>
        <x:v>501</x:v>
      </x:c>
      <x:c r="H1076" s="11" t="n">
        <x:f>$Y$31</x:f>
        <x:v>0.75</x:v>
      </x:c>
      <x:c r="I1076" s="11" t="n">
        <x:f>$Z$31</x:f>
        <x:v>3.3333333333333335</x:v>
      </x:c>
      <x:c r="J1076" s="12">
        <x:f>英雄升级调参!$E$79</x:f>
        <x:v>501</x:v>
      </x:c>
      <x:c r="K1076" s="12">
        <x:f>英雄升级调参!$F$79</x:f>
        <x:v>5010</x:v>
      </x:c>
      <x:c r="L1076" s="6" t="n">
        <x:f>ROUNDUP(F1076/J1076,0)</x:f>
        <x:v>3</x:v>
      </x:c>
      <x:c r="M1076" s="6" t="n">
        <x:f>IF(G1076=0,"无伤害",ROUNDUP(K1076/MAX(1,ROUND(G1076*$AC$31,0)),0))</x:f>
        <x:v>10</x:v>
      </x:c>
      <x:c r="N1076" s="6" t="n">
        <x:f>ROUNDUP(F1076/英雄升级调参!$H$79,0)</x:f>
        <x:v>2</x:v>
      </x:c>
      <x:c r="O1076" s="6" t="n">
        <x:f>ROUNDUP(F1076/英雄升级调参!$K$79,0)</x:f>
        <x:v>2</x:v>
      </x:c>
      <x:c r="P1076" s="6" t="str">
        <x:f>$AA$31</x:f>
        <x:v>普通：3次标准普攻击杀；10次主要攻击致死</x:v>
      </x:c>
      <x:c r="Q1076" s="6"/>
      <x:c r="R1076" s="6"/>
      <x:c r="S1076" s="6"/>
      <x:c r="T1076" s="6"/>
    </x:row>
    <x:row r="1077" ht="21" customHeight="1">
      <x:c r="A1077" s="14" t="n">
        <x:f>$V$31</x:f>
        <x:v>60018</x:v>
      </x:c>
      <x:c r="B1077" s="14" t="str">
        <x:f>$W$31</x:f>
        <x:v>蝙蝠</x:v>
      </x:c>
      <x:c r="C1077" s="6" t="str">
        <x:f>$X$31</x:f>
        <x:v>飞行</x:v>
      </x:c>
      <x:c r="D1077" s="6">
        <x:v>15</x:v>
      </x:c>
      <x:c r="E1077" s="6">
        <x:v>31</x:v>
      </x:c>
      <x:c r="F1077" s="12">
        <x:f>ROUND(J1077*$W$4*H1077,0)</x:f>
        <x:v>1827</x:v>
      </x:c>
      <x:c r="G1077" s="12">
        <x:f>ROUND(J1077*$W$4*$W$5*I1077,0)</x:f>
        <x:v>609</x:v>
      </x:c>
      <x:c r="H1077" s="11" t="n">
        <x:f>$Y$31</x:f>
        <x:v>0.75</x:v>
      </x:c>
      <x:c r="I1077" s="11" t="n">
        <x:f>$Z$31</x:f>
        <x:v>3.3333333333333335</x:v>
      </x:c>
      <x:c r="J1077" s="12">
        <x:f>英雄升级调参!$E$80</x:f>
        <x:v>609</x:v>
      </x:c>
      <x:c r="K1077" s="12">
        <x:f>英雄升级调参!$F$80</x:f>
        <x:v>6090</x:v>
      </x:c>
      <x:c r="L1077" s="6" t="n">
        <x:f>ROUNDUP(F1077/J1077,0)</x:f>
        <x:v>3</x:v>
      </x:c>
      <x:c r="M1077" s="6" t="n">
        <x:f>IF(G1077=0,"无伤害",ROUNDUP(K1077/MAX(1,ROUND(G1077*$AC$31,0)),0))</x:f>
        <x:v>10</x:v>
      </x:c>
      <x:c r="N1077" s="6" t="n">
        <x:f>ROUNDUP(F1077/英雄升级调参!$H$80,0)</x:f>
        <x:v>2</x:v>
      </x:c>
      <x:c r="O1077" s="6" t="n">
        <x:f>ROUNDUP(F1077/英雄升级调参!$K$80,0)</x:f>
        <x:v>2</x:v>
      </x:c>
      <x:c r="P1077" s="6" t="str">
        <x:f>$AA$31</x:f>
        <x:v>普通：3次标准普攻击杀；10次主要攻击致死</x:v>
      </x:c>
      <x:c r="Q1077" s="6"/>
      <x:c r="R1077" s="6"/>
      <x:c r="S1077" s="6"/>
      <x:c r="T1077" s="6"/>
    </x:row>
    <x:row r="1078" ht="21" customHeight="1">
      <x:c r="A1078" s="14" t="n">
        <x:f>$V$31</x:f>
        <x:v>60018</x:v>
      </x:c>
      <x:c r="B1078" s="14" t="str">
        <x:f>$W$31</x:f>
        <x:v>蝙蝠</x:v>
      </x:c>
      <x:c r="C1078" s="6" t="str">
        <x:f>$X$31</x:f>
        <x:v>飞行</x:v>
      </x:c>
      <x:c r="D1078" s="6">
        <x:v>16</x:v>
      </x:c>
      <x:c r="E1078" s="6">
        <x:v>31</x:v>
      </x:c>
      <x:c r="F1078" s="12">
        <x:f>ROUND(J1078*$W$4*H1078,0)</x:f>
        <x:v>1962</x:v>
      </x:c>
      <x:c r="G1078" s="12">
        <x:f>ROUND(J1078*$W$4*$W$5*I1078,0)</x:f>
        <x:v>654</x:v>
      </x:c>
      <x:c r="H1078" s="11" t="n">
        <x:f>$Y$31</x:f>
        <x:v>0.75</x:v>
      </x:c>
      <x:c r="I1078" s="11" t="n">
        <x:f>$Z$31</x:f>
        <x:v>3.3333333333333335</x:v>
      </x:c>
      <x:c r="J1078" s="12">
        <x:f>英雄升级调参!$E$81</x:f>
        <x:v>654</x:v>
      </x:c>
      <x:c r="K1078" s="12">
        <x:f>英雄升级调参!$F$81</x:f>
        <x:v>6540</x:v>
      </x:c>
      <x:c r="L1078" s="6" t="n">
        <x:f>ROUNDUP(F1078/J1078,0)</x:f>
        <x:v>3</x:v>
      </x:c>
      <x:c r="M1078" s="6" t="n">
        <x:f>IF(G1078=0,"无伤害",ROUNDUP(K1078/MAX(1,ROUND(G1078*$AC$31,0)),0))</x:f>
        <x:v>10</x:v>
      </x:c>
      <x:c r="N1078" s="6" t="n">
        <x:f>ROUNDUP(F1078/英雄升级调参!$H$81,0)</x:f>
        <x:v>2</x:v>
      </x:c>
      <x:c r="O1078" s="6" t="n">
        <x:f>ROUNDUP(F1078/英雄升级调参!$K$81,0)</x:f>
        <x:v>2</x:v>
      </x:c>
      <x:c r="P1078" s="6" t="str">
        <x:f>$AA$31</x:f>
        <x:v>普通：3次标准普攻击杀；10次主要攻击致死</x:v>
      </x:c>
      <x:c r="Q1078" s="6"/>
      <x:c r="R1078" s="6"/>
      <x:c r="S1078" s="6"/>
      <x:c r="T1078" s="6"/>
    </x:row>
    <x:row r="1079" ht="21" customHeight="1">
      <x:c r="A1079" s="14" t="n">
        <x:f>$V$31</x:f>
        <x:v>60018</x:v>
      </x:c>
      <x:c r="B1079" s="14" t="str">
        <x:f>$W$31</x:f>
        <x:v>蝙蝠</x:v>
      </x:c>
      <x:c r="C1079" s="6" t="str">
        <x:f>$X$31</x:f>
        <x:v>飞行</x:v>
      </x:c>
      <x:c r="D1079" s="6">
        <x:v>17</x:v>
      </x:c>
      <x:c r="E1079" s="6">
        <x:v>31</x:v>
      </x:c>
      <x:c r="F1079" s="12">
        <x:f>ROUND(J1079*$W$4*H1079,0)</x:f>
        <x:v>2097</x:v>
      </x:c>
      <x:c r="G1079" s="12">
        <x:f>ROUND(J1079*$W$4*$W$5*I1079,0)</x:f>
        <x:v>699</x:v>
      </x:c>
      <x:c r="H1079" s="11" t="n">
        <x:f>$Y$31</x:f>
        <x:v>0.75</x:v>
      </x:c>
      <x:c r="I1079" s="11" t="n">
        <x:f>$Z$31</x:f>
        <x:v>3.3333333333333335</x:v>
      </x:c>
      <x:c r="J1079" s="12">
        <x:f>英雄升级调参!$E$82</x:f>
        <x:v>699</x:v>
      </x:c>
      <x:c r="K1079" s="12">
        <x:f>英雄升级调参!$F$82</x:f>
        <x:v>6990</x:v>
      </x:c>
      <x:c r="L1079" s="6" t="n">
        <x:f>ROUNDUP(F1079/J1079,0)</x:f>
        <x:v>3</x:v>
      </x:c>
      <x:c r="M1079" s="6" t="n">
        <x:f>IF(G1079=0,"无伤害",ROUNDUP(K1079/MAX(1,ROUND(G1079*$AC$31,0)),0))</x:f>
        <x:v>10</x:v>
      </x:c>
      <x:c r="N1079" s="6" t="n">
        <x:f>ROUNDUP(F1079/英雄升级调参!$H$82,0)</x:f>
        <x:v>2</x:v>
      </x:c>
      <x:c r="O1079" s="6" t="n">
        <x:f>ROUNDUP(F1079/英雄升级调参!$K$82,0)</x:f>
        <x:v>2</x:v>
      </x:c>
      <x:c r="P1079" s="6" t="str">
        <x:f>$AA$31</x:f>
        <x:v>普通：3次标准普攻击杀；10次主要攻击致死</x:v>
      </x:c>
      <x:c r="Q1079" s="6"/>
      <x:c r="R1079" s="6"/>
      <x:c r="S1079" s="6"/>
      <x:c r="T1079" s="6"/>
    </x:row>
    <x:row r="1080" ht="21" customHeight="1">
      <x:c r="A1080" s="14" t="n">
        <x:f>$V$31</x:f>
        <x:v>60018</x:v>
      </x:c>
      <x:c r="B1080" s="14" t="str">
        <x:f>$W$31</x:f>
        <x:v>蝙蝠</x:v>
      </x:c>
      <x:c r="C1080" s="6" t="str">
        <x:f>$X$31</x:f>
        <x:v>飞行</x:v>
      </x:c>
      <x:c r="D1080" s="6">
        <x:v>18</x:v>
      </x:c>
      <x:c r="E1080" s="6">
        <x:v>31</x:v>
      </x:c>
      <x:c r="F1080" s="12">
        <x:f>ROUND(J1080*$W$4*H1080,0)</x:f>
        <x:v>2232</x:v>
      </x:c>
      <x:c r="G1080" s="12">
        <x:f>ROUND(J1080*$W$4*$W$5*I1080,0)</x:f>
        <x:v>744</x:v>
      </x:c>
      <x:c r="H1080" s="11" t="n">
        <x:f>$Y$31</x:f>
        <x:v>0.75</x:v>
      </x:c>
      <x:c r="I1080" s="11" t="n">
        <x:f>$Z$31</x:f>
        <x:v>3.3333333333333335</x:v>
      </x:c>
      <x:c r="J1080" s="12">
        <x:f>英雄升级调参!$E$83</x:f>
        <x:v>744</x:v>
      </x:c>
      <x:c r="K1080" s="12">
        <x:f>英雄升级调参!$F$83</x:f>
        <x:v>7440</x:v>
      </x:c>
      <x:c r="L1080" s="6" t="n">
        <x:f>ROUNDUP(F1080/J1080,0)</x:f>
        <x:v>3</x:v>
      </x:c>
      <x:c r="M1080" s="6" t="n">
        <x:f>IF(G1080=0,"无伤害",ROUNDUP(K1080/MAX(1,ROUND(G1080*$AC$31,0)),0))</x:f>
        <x:v>10</x:v>
      </x:c>
      <x:c r="N1080" s="6" t="n">
        <x:f>ROUNDUP(F1080/英雄升级调参!$H$83,0)</x:f>
        <x:v>2</x:v>
      </x:c>
      <x:c r="O1080" s="6" t="n">
        <x:f>ROUNDUP(F1080/英雄升级调参!$K$83,0)</x:f>
        <x:v>2</x:v>
      </x:c>
      <x:c r="P1080" s="6" t="str">
        <x:f>$AA$31</x:f>
        <x:v>普通：3次标准普攻击杀；10次主要攻击致死</x:v>
      </x:c>
      <x:c r="Q1080" s="6"/>
      <x:c r="R1080" s="6"/>
      <x:c r="S1080" s="6"/>
      <x:c r="T1080" s="6"/>
    </x:row>
    <x:row r="1081" ht="21" customHeight="1">
      <x:c r="A1081" s="14" t="n">
        <x:f>$V$31</x:f>
        <x:v>60018</x:v>
      </x:c>
      <x:c r="B1081" s="14" t="str">
        <x:f>$W$31</x:f>
        <x:v>蝙蝠</x:v>
      </x:c>
      <x:c r="C1081" s="6" t="str">
        <x:f>$X$31</x:f>
        <x:v>飞行</x:v>
      </x:c>
      <x:c r="D1081" s="6">
        <x:v>19</x:v>
      </x:c>
      <x:c r="E1081" s="6">
        <x:v>31</x:v>
      </x:c>
      <x:c r="F1081" s="12">
        <x:f>ROUND(J1081*$W$4*H1081,0)</x:f>
        <x:v>2367</x:v>
      </x:c>
      <x:c r="G1081" s="12">
        <x:f>ROUND(J1081*$W$4*$W$5*I1081,0)</x:f>
        <x:v>789</x:v>
      </x:c>
      <x:c r="H1081" s="11" t="n">
        <x:f>$Y$31</x:f>
        <x:v>0.75</x:v>
      </x:c>
      <x:c r="I1081" s="11" t="n">
        <x:f>$Z$31</x:f>
        <x:v>3.3333333333333335</x:v>
      </x:c>
      <x:c r="J1081" s="12">
        <x:f>英雄升级调参!$E$84</x:f>
        <x:v>789</x:v>
      </x:c>
      <x:c r="K1081" s="12">
        <x:f>英雄升级调参!$F$84</x:f>
        <x:v>7890</x:v>
      </x:c>
      <x:c r="L1081" s="6" t="n">
        <x:f>ROUNDUP(F1081/J1081,0)</x:f>
        <x:v>3</x:v>
      </x:c>
      <x:c r="M1081" s="6" t="n">
        <x:f>IF(G1081=0,"无伤害",ROUNDUP(K1081/MAX(1,ROUND(G1081*$AC$31,0)),0))</x:f>
        <x:v>10</x:v>
      </x:c>
      <x:c r="N1081" s="6" t="n">
        <x:f>ROUNDUP(F1081/英雄升级调参!$H$84,0)</x:f>
        <x:v>2</x:v>
      </x:c>
      <x:c r="O1081" s="6" t="n">
        <x:f>ROUNDUP(F1081/英雄升级调参!$K$84,0)</x:f>
        <x:v>2</x:v>
      </x:c>
      <x:c r="P1081" s="6" t="str">
        <x:f>$AA$31</x:f>
        <x:v>普通：3次标准普攻击杀；10次主要攻击致死</x:v>
      </x:c>
      <x:c r="Q1081" s="6"/>
      <x:c r="R1081" s="6"/>
      <x:c r="S1081" s="6"/>
      <x:c r="T1081" s="6"/>
    </x:row>
    <x:row r="1082" ht="21" customHeight="1">
      <x:c r="A1082" s="14" t="n">
        <x:f>$V$31</x:f>
        <x:v>60018</x:v>
      </x:c>
      <x:c r="B1082" s="14" t="str">
        <x:f>$W$31</x:f>
        <x:v>蝙蝠</x:v>
      </x:c>
      <x:c r="C1082" s="6" t="str">
        <x:f>$X$31</x:f>
        <x:v>飞行</x:v>
      </x:c>
      <x:c r="D1082" s="6">
        <x:v>20</x:v>
      </x:c>
      <x:c r="E1082" s="6">
        <x:v>31</x:v>
      </x:c>
      <x:c r="F1082" s="12">
        <x:f>ROUND(J1082*$W$4*H1082,0)</x:f>
        <x:v>2772</x:v>
      </x:c>
      <x:c r="G1082" s="12">
        <x:f>ROUND(J1082*$W$4*$W$5*I1082,0)</x:f>
        <x:v>924</x:v>
      </x:c>
      <x:c r="H1082" s="11" t="n">
        <x:f>$Y$31</x:f>
        <x:v>0.75</x:v>
      </x:c>
      <x:c r="I1082" s="11" t="n">
        <x:f>$Z$31</x:f>
        <x:v>3.3333333333333335</x:v>
      </x:c>
      <x:c r="J1082" s="12">
        <x:f>英雄升级调参!$E$85</x:f>
        <x:v>924</x:v>
      </x:c>
      <x:c r="K1082" s="12">
        <x:f>英雄升级调参!$F$85</x:f>
        <x:v>9240</x:v>
      </x:c>
      <x:c r="L1082" s="6" t="n">
        <x:f>ROUNDUP(F1082/J1082,0)</x:f>
        <x:v>3</x:v>
      </x:c>
      <x:c r="M1082" s="6" t="n">
        <x:f>IF(G1082=0,"无伤害",ROUNDUP(K1082/MAX(1,ROUND(G1082*$AC$31,0)),0))</x:f>
        <x:v>10</x:v>
      </x:c>
      <x:c r="N1082" s="6" t="n">
        <x:f>ROUNDUP(F1082/英雄升级调参!$H$85,0)</x:f>
        <x:v>2</x:v>
      </x:c>
      <x:c r="O1082" s="6" t="n">
        <x:f>ROUNDUP(F1082/英雄升级调参!$K$85,0)</x:f>
        <x:v>2</x:v>
      </x:c>
      <x:c r="P1082" s="6" t="str">
        <x:f>$AA$31</x:f>
        <x:v>普通：3次标准普攻击杀；10次主要攻击致死</x:v>
      </x:c>
      <x:c r="Q1082" s="6"/>
      <x:c r="R1082" s="6"/>
      <x:c r="S1082" s="6"/>
      <x:c r="T1082" s="6"/>
    </x:row>
    <x:row r="1083" ht="21" customHeight="1">
      <x:c r="A1083" s="14" t="n">
        <x:f>$V$31</x:f>
        <x:v>60018</x:v>
      </x:c>
      <x:c r="B1083" s="14" t="str">
        <x:f>$W$31</x:f>
        <x:v>蝙蝠</x:v>
      </x:c>
      <x:c r="C1083" s="6" t="str">
        <x:f>$X$31</x:f>
        <x:v>飞行</x:v>
      </x:c>
      <x:c r="D1083" s="6">
        <x:v>21</x:v>
      </x:c>
      <x:c r="E1083" s="6">
        <x:v>31</x:v>
      </x:c>
      <x:c r="F1083" s="12">
        <x:f>ROUND(J1083*$W$4*H1083,0)</x:f>
        <x:v>2934</x:v>
      </x:c>
      <x:c r="G1083" s="12">
        <x:f>ROUND(J1083*$W$4*$W$5*I1083,0)</x:f>
        <x:v>978</x:v>
      </x:c>
      <x:c r="H1083" s="11" t="n">
        <x:f>$Y$31</x:f>
        <x:v>0.75</x:v>
      </x:c>
      <x:c r="I1083" s="11" t="n">
        <x:f>$Z$31</x:f>
        <x:v>3.3333333333333335</x:v>
      </x:c>
      <x:c r="J1083" s="12">
        <x:f>英雄升级调参!$E$86</x:f>
        <x:v>978</x:v>
      </x:c>
      <x:c r="K1083" s="12">
        <x:f>英雄升级调参!$F$86</x:f>
        <x:v>9780</x:v>
      </x:c>
      <x:c r="L1083" s="6" t="n">
        <x:f>ROUNDUP(F1083/J1083,0)</x:f>
        <x:v>3</x:v>
      </x:c>
      <x:c r="M1083" s="6" t="n">
        <x:f>IF(G1083=0,"无伤害",ROUNDUP(K1083/MAX(1,ROUND(G1083*$AC$31,0)),0))</x:f>
        <x:v>10</x:v>
      </x:c>
      <x:c r="N1083" s="6" t="n">
        <x:f>ROUNDUP(F1083/英雄升级调参!$H$86,0)</x:f>
        <x:v>2</x:v>
      </x:c>
      <x:c r="O1083" s="6" t="n">
        <x:f>ROUNDUP(F1083/英雄升级调参!$K$86,0)</x:f>
        <x:v>2</x:v>
      </x:c>
      <x:c r="P1083" s="6" t="str">
        <x:f>$AA$31</x:f>
        <x:v>普通：3次标准普攻击杀；10次主要攻击致死</x:v>
      </x:c>
      <x:c r="Q1083" s="6"/>
      <x:c r="R1083" s="6"/>
      <x:c r="S1083" s="6"/>
      <x:c r="T1083" s="6"/>
    </x:row>
    <x:row r="1084" ht="21" customHeight="1">
      <x:c r="A1084" s="14" t="n">
        <x:f>$V$31</x:f>
        <x:v>60018</x:v>
      </x:c>
      <x:c r="B1084" s="14" t="str">
        <x:f>$W$31</x:f>
        <x:v>蝙蝠</x:v>
      </x:c>
      <x:c r="C1084" s="6" t="str">
        <x:f>$X$31</x:f>
        <x:v>飞行</x:v>
      </x:c>
      <x:c r="D1084" s="6">
        <x:v>22</x:v>
      </x:c>
      <x:c r="E1084" s="6">
        <x:v>31</x:v>
      </x:c>
      <x:c r="F1084" s="12">
        <x:f>ROUND(J1084*$W$4*H1084,0)</x:f>
        <x:v>3096</x:v>
      </x:c>
      <x:c r="G1084" s="12">
        <x:f>ROUND(J1084*$W$4*$W$5*I1084,0)</x:f>
        <x:v>1032</x:v>
      </x:c>
      <x:c r="H1084" s="11" t="n">
        <x:f>$Y$31</x:f>
        <x:v>0.75</x:v>
      </x:c>
      <x:c r="I1084" s="11" t="n">
        <x:f>$Z$31</x:f>
        <x:v>3.3333333333333335</x:v>
      </x:c>
      <x:c r="J1084" s="12">
        <x:f>英雄升级调参!$E$87</x:f>
        <x:v>1032</x:v>
      </x:c>
      <x:c r="K1084" s="12">
        <x:f>英雄升级调参!$F$87</x:f>
        <x:v>10320</x:v>
      </x:c>
      <x:c r="L1084" s="6" t="n">
        <x:f>ROUNDUP(F1084/J1084,0)</x:f>
        <x:v>3</x:v>
      </x:c>
      <x:c r="M1084" s="6" t="n">
        <x:f>IF(G1084=0,"无伤害",ROUNDUP(K1084/MAX(1,ROUND(G1084*$AC$31,0)),0))</x:f>
        <x:v>10</x:v>
      </x:c>
      <x:c r="N1084" s="6" t="n">
        <x:f>ROUNDUP(F1084/英雄升级调参!$H$87,0)</x:f>
        <x:v>2</x:v>
      </x:c>
      <x:c r="O1084" s="6" t="n">
        <x:f>ROUNDUP(F1084/英雄升级调参!$K$87,0)</x:f>
        <x:v>2</x:v>
      </x:c>
      <x:c r="P1084" s="6" t="str">
        <x:f>$AA$31</x:f>
        <x:v>普通：3次标准普攻击杀；10次主要攻击致死</x:v>
      </x:c>
      <x:c r="Q1084" s="6"/>
      <x:c r="R1084" s="6"/>
      <x:c r="S1084" s="6"/>
      <x:c r="T1084" s="6"/>
    </x:row>
    <x:row r="1085" ht="21" customHeight="1">
      <x:c r="A1085" s="14" t="n">
        <x:f>$V$31</x:f>
        <x:v>60018</x:v>
      </x:c>
      <x:c r="B1085" s="14" t="str">
        <x:f>$W$31</x:f>
        <x:v>蝙蝠</x:v>
      </x:c>
      <x:c r="C1085" s="6" t="str">
        <x:f>$X$31</x:f>
        <x:v>飞行</x:v>
      </x:c>
      <x:c r="D1085" s="6">
        <x:v>23</x:v>
      </x:c>
      <x:c r="E1085" s="6">
        <x:v>31</x:v>
      </x:c>
      <x:c r="F1085" s="12">
        <x:f>ROUND(J1085*$W$4*H1085,0)</x:f>
        <x:v>3258</x:v>
      </x:c>
      <x:c r="G1085" s="12">
        <x:f>ROUND(J1085*$W$4*$W$5*I1085,0)</x:f>
        <x:v>1086</x:v>
      </x:c>
      <x:c r="H1085" s="11" t="n">
        <x:f>$Y$31</x:f>
        <x:v>0.75</x:v>
      </x:c>
      <x:c r="I1085" s="11" t="n">
        <x:f>$Z$31</x:f>
        <x:v>3.3333333333333335</x:v>
      </x:c>
      <x:c r="J1085" s="12">
        <x:f>英雄升级调参!$E$88</x:f>
        <x:v>1086</x:v>
      </x:c>
      <x:c r="K1085" s="12">
        <x:f>英雄升级调参!$F$88</x:f>
        <x:v>10860</x:v>
      </x:c>
      <x:c r="L1085" s="6" t="n">
        <x:f>ROUNDUP(F1085/J1085,0)</x:f>
        <x:v>3</x:v>
      </x:c>
      <x:c r="M1085" s="6" t="n">
        <x:f>IF(G1085=0,"无伤害",ROUNDUP(K1085/MAX(1,ROUND(G1085*$AC$31,0)),0))</x:f>
        <x:v>10</x:v>
      </x:c>
      <x:c r="N1085" s="6" t="n">
        <x:f>ROUNDUP(F1085/英雄升级调参!$H$88,0)</x:f>
        <x:v>2</x:v>
      </x:c>
      <x:c r="O1085" s="6" t="n">
        <x:f>ROUNDUP(F1085/英雄升级调参!$K$88,0)</x:f>
        <x:v>2</x:v>
      </x:c>
      <x:c r="P1085" s="6" t="str">
        <x:f>$AA$31</x:f>
        <x:v>普通：3次标准普攻击杀；10次主要攻击致死</x:v>
      </x:c>
      <x:c r="Q1085" s="6"/>
      <x:c r="R1085" s="6"/>
      <x:c r="S1085" s="6"/>
      <x:c r="T1085" s="6"/>
    </x:row>
    <x:row r="1086" ht="21" customHeight="1">
      <x:c r="A1086" s="14" t="n">
        <x:f>$V$31</x:f>
        <x:v>60018</x:v>
      </x:c>
      <x:c r="B1086" s="14" t="str">
        <x:f>$W$31</x:f>
        <x:v>蝙蝠</x:v>
      </x:c>
      <x:c r="C1086" s="6" t="str">
        <x:f>$X$31</x:f>
        <x:v>飞行</x:v>
      </x:c>
      <x:c r="D1086" s="6">
        <x:v>24</x:v>
      </x:c>
      <x:c r="E1086" s="6">
        <x:v>31</x:v>
      </x:c>
      <x:c r="F1086" s="12">
        <x:f>ROUND(J1086*$W$4*H1086,0)</x:f>
        <x:v>3420</x:v>
      </x:c>
      <x:c r="G1086" s="12">
        <x:f>ROUND(J1086*$W$4*$W$5*I1086,0)</x:f>
        <x:v>1140</x:v>
      </x:c>
      <x:c r="H1086" s="11" t="n">
        <x:f>$Y$31</x:f>
        <x:v>0.75</x:v>
      </x:c>
      <x:c r="I1086" s="11" t="n">
        <x:f>$Z$31</x:f>
        <x:v>3.3333333333333335</x:v>
      </x:c>
      <x:c r="J1086" s="12">
        <x:f>英雄升级调参!$E$89</x:f>
        <x:v>1140</x:v>
      </x:c>
      <x:c r="K1086" s="12">
        <x:f>英雄升级调参!$F$89</x:f>
        <x:v>11400</x:v>
      </x:c>
      <x:c r="L1086" s="6" t="n">
        <x:f>ROUNDUP(F1086/J1086,0)</x:f>
        <x:v>3</x:v>
      </x:c>
      <x:c r="M1086" s="6" t="n">
        <x:f>IF(G1086=0,"无伤害",ROUNDUP(K1086/MAX(1,ROUND(G1086*$AC$31,0)),0))</x:f>
        <x:v>10</x:v>
      </x:c>
      <x:c r="N1086" s="6" t="n">
        <x:f>ROUNDUP(F1086/英雄升级调参!$H$89,0)</x:f>
        <x:v>2</x:v>
      </x:c>
      <x:c r="O1086" s="6" t="n">
        <x:f>ROUNDUP(F1086/英雄升级调参!$K$89,0)</x:f>
        <x:v>2</x:v>
      </x:c>
      <x:c r="P1086" s="6" t="str">
        <x:f>$AA$31</x:f>
        <x:v>普通：3次标准普攻击杀；10次主要攻击致死</x:v>
      </x:c>
      <x:c r="Q1086" s="6"/>
      <x:c r="R1086" s="6"/>
      <x:c r="S1086" s="6"/>
      <x:c r="T1086" s="6"/>
    </x:row>
    <x:row r="1087" ht="21" customHeight="1">
      <x:c r="A1087" s="14" t="n">
        <x:f>$V$31</x:f>
        <x:v>60018</x:v>
      </x:c>
      <x:c r="B1087" s="14" t="str">
        <x:f>$W$31</x:f>
        <x:v>蝙蝠</x:v>
      </x:c>
      <x:c r="C1087" s="6" t="str">
        <x:f>$X$31</x:f>
        <x:v>飞行</x:v>
      </x:c>
      <x:c r="D1087" s="6">
        <x:v>25</x:v>
      </x:c>
      <x:c r="E1087" s="6">
        <x:v>31</x:v>
      </x:c>
      <x:c r="F1087" s="12">
        <x:f>ROUND(J1087*$W$4*H1087,0)</x:f>
        <x:v>3906</x:v>
      </x:c>
      <x:c r="G1087" s="12">
        <x:f>ROUND(J1087*$W$4*$W$5*I1087,0)</x:f>
        <x:v>1302</x:v>
      </x:c>
      <x:c r="H1087" s="11" t="n">
        <x:f>$Y$31</x:f>
        <x:v>0.75</x:v>
      </x:c>
      <x:c r="I1087" s="11" t="n">
        <x:f>$Z$31</x:f>
        <x:v>3.3333333333333335</x:v>
      </x:c>
      <x:c r="J1087" s="12">
        <x:f>英雄升级调参!$E$90</x:f>
        <x:v>1302</x:v>
      </x:c>
      <x:c r="K1087" s="12">
        <x:f>英雄升级调参!$F$90</x:f>
        <x:v>13020</x:v>
      </x:c>
      <x:c r="L1087" s="6" t="n">
        <x:f>ROUNDUP(F1087/J1087,0)</x:f>
        <x:v>3</x:v>
      </x:c>
      <x:c r="M1087" s="6" t="n">
        <x:f>IF(G1087=0,"无伤害",ROUNDUP(K1087/MAX(1,ROUND(G1087*$AC$31,0)),0))</x:f>
        <x:v>10</x:v>
      </x:c>
      <x:c r="N1087" s="6" t="n">
        <x:f>ROUNDUP(F1087/英雄升级调参!$H$90,0)</x:f>
        <x:v>2</x:v>
      </x:c>
      <x:c r="O1087" s="6" t="n">
        <x:f>ROUNDUP(F1087/英雄升级调参!$K$90,0)</x:f>
        <x:v>2</x:v>
      </x:c>
      <x:c r="P1087" s="6" t="str">
        <x:f>$AA$31</x:f>
        <x:v>普通：3次标准普攻击杀；10次主要攻击致死</x:v>
      </x:c>
      <x:c r="Q1087" s="6"/>
      <x:c r="R1087" s="6"/>
      <x:c r="S1087" s="6"/>
      <x:c r="T1087" s="6"/>
    </x:row>
    <x:row r="1088" ht="21" customHeight="1">
      <x:c r="A1088" s="14" t="n">
        <x:f>$V$31</x:f>
        <x:v>60018</x:v>
      </x:c>
      <x:c r="B1088" s="14" t="str">
        <x:f>$W$31</x:f>
        <x:v>蝙蝠</x:v>
      </x:c>
      <x:c r="C1088" s="6" t="str">
        <x:f>$X$31</x:f>
        <x:v>飞行</x:v>
      </x:c>
      <x:c r="D1088" s="6">
        <x:v>26</x:v>
      </x:c>
      <x:c r="E1088" s="6">
        <x:v>31</x:v>
      </x:c>
      <x:c r="F1088" s="12">
        <x:f>ROUND(J1088*$W$4*H1088,0)</x:f>
        <x:v>4095</x:v>
      </x:c>
      <x:c r="G1088" s="12">
        <x:f>ROUND(J1088*$W$4*$W$5*I1088,0)</x:f>
        <x:v>1365</x:v>
      </x:c>
      <x:c r="H1088" s="11" t="n">
        <x:f>$Y$31</x:f>
        <x:v>0.75</x:v>
      </x:c>
      <x:c r="I1088" s="11" t="n">
        <x:f>$Z$31</x:f>
        <x:v>3.3333333333333335</x:v>
      </x:c>
      <x:c r="J1088" s="12">
        <x:f>英雄升级调参!$E$91</x:f>
        <x:v>1365</x:v>
      </x:c>
      <x:c r="K1088" s="12">
        <x:f>英雄升级调参!$F$91</x:f>
        <x:v>13650</x:v>
      </x:c>
      <x:c r="L1088" s="6" t="n">
        <x:f>ROUNDUP(F1088/J1088,0)</x:f>
        <x:v>3</x:v>
      </x:c>
      <x:c r="M1088" s="6" t="n">
        <x:f>IF(G1088=0,"无伤害",ROUNDUP(K1088/MAX(1,ROUND(G1088*$AC$31,0)),0))</x:f>
        <x:v>10</x:v>
      </x:c>
      <x:c r="N1088" s="6" t="n">
        <x:f>ROUNDUP(F1088/英雄升级调参!$H$91,0)</x:f>
        <x:v>2</x:v>
      </x:c>
      <x:c r="O1088" s="6" t="n">
        <x:f>ROUNDUP(F1088/英雄升级调参!$K$91,0)</x:f>
        <x:v>2</x:v>
      </x:c>
      <x:c r="P1088" s="6" t="str">
        <x:f>$AA$31</x:f>
        <x:v>普通：3次标准普攻击杀；10次主要攻击致死</x:v>
      </x:c>
      <x:c r="Q1088" s="6"/>
      <x:c r="R1088" s="6"/>
      <x:c r="S1088" s="6"/>
      <x:c r="T1088" s="6"/>
    </x:row>
    <x:row r="1089" ht="21" customHeight="1">
      <x:c r="A1089" s="14" t="n">
        <x:f>$V$31</x:f>
        <x:v>60018</x:v>
      </x:c>
      <x:c r="B1089" s="14" t="str">
        <x:f>$W$31</x:f>
        <x:v>蝙蝠</x:v>
      </x:c>
      <x:c r="C1089" s="6" t="str">
        <x:f>$X$31</x:f>
        <x:v>飞行</x:v>
      </x:c>
      <x:c r="D1089" s="6">
        <x:v>27</x:v>
      </x:c>
      <x:c r="E1089" s="6">
        <x:v>31</x:v>
      </x:c>
      <x:c r="F1089" s="12">
        <x:f>ROUND(J1089*$W$4*H1089,0)</x:f>
        <x:v>4284</x:v>
      </x:c>
      <x:c r="G1089" s="12">
        <x:f>ROUND(J1089*$W$4*$W$5*I1089,0)</x:f>
        <x:v>1428</x:v>
      </x:c>
      <x:c r="H1089" s="11" t="n">
        <x:f>$Y$31</x:f>
        <x:v>0.75</x:v>
      </x:c>
      <x:c r="I1089" s="11" t="n">
        <x:f>$Z$31</x:f>
        <x:v>3.3333333333333335</x:v>
      </x:c>
      <x:c r="J1089" s="12">
        <x:f>英雄升级调参!$E$92</x:f>
        <x:v>1428</x:v>
      </x:c>
      <x:c r="K1089" s="12">
        <x:f>英雄升级调参!$F$92</x:f>
        <x:v>14280</x:v>
      </x:c>
      <x:c r="L1089" s="6" t="n">
        <x:f>ROUNDUP(F1089/J1089,0)</x:f>
        <x:v>3</x:v>
      </x:c>
      <x:c r="M1089" s="6" t="n">
        <x:f>IF(G1089=0,"无伤害",ROUNDUP(K1089/MAX(1,ROUND(G1089*$AC$31,0)),0))</x:f>
        <x:v>10</x:v>
      </x:c>
      <x:c r="N1089" s="6" t="n">
        <x:f>ROUNDUP(F1089/英雄升级调参!$H$92,0)</x:f>
        <x:v>2</x:v>
      </x:c>
      <x:c r="O1089" s="6" t="n">
        <x:f>ROUNDUP(F1089/英雄升级调参!$K$92,0)</x:f>
        <x:v>2</x:v>
      </x:c>
      <x:c r="P1089" s="6" t="str">
        <x:f>$AA$31</x:f>
        <x:v>普通：3次标准普攻击杀；10次主要攻击致死</x:v>
      </x:c>
      <x:c r="Q1089" s="6"/>
      <x:c r="R1089" s="6"/>
      <x:c r="S1089" s="6"/>
      <x:c r="T1089" s="6"/>
    </x:row>
    <x:row r="1090" ht="21" customHeight="1">
      <x:c r="A1090" s="14" t="n">
        <x:f>$V$31</x:f>
        <x:v>60018</x:v>
      </x:c>
      <x:c r="B1090" s="14" t="str">
        <x:f>$W$31</x:f>
        <x:v>蝙蝠</x:v>
      </x:c>
      <x:c r="C1090" s="6" t="str">
        <x:f>$X$31</x:f>
        <x:v>飞行</x:v>
      </x:c>
      <x:c r="D1090" s="6">
        <x:v>28</x:v>
      </x:c>
      <x:c r="E1090" s="6">
        <x:v>31</x:v>
      </x:c>
      <x:c r="F1090" s="12">
        <x:f>ROUND(J1090*$W$4*H1090,0)</x:f>
        <x:v>4473</x:v>
      </x:c>
      <x:c r="G1090" s="12">
        <x:f>ROUND(J1090*$W$4*$W$5*I1090,0)</x:f>
        <x:v>1491</x:v>
      </x:c>
      <x:c r="H1090" s="11" t="n">
        <x:f>$Y$31</x:f>
        <x:v>0.75</x:v>
      </x:c>
      <x:c r="I1090" s="11" t="n">
        <x:f>$Z$31</x:f>
        <x:v>3.3333333333333335</x:v>
      </x:c>
      <x:c r="J1090" s="12">
        <x:f>英雄升级调参!$E$93</x:f>
        <x:v>1491</x:v>
      </x:c>
      <x:c r="K1090" s="12">
        <x:f>英雄升级调参!$F$93</x:f>
        <x:v>14910</x:v>
      </x:c>
      <x:c r="L1090" s="6" t="n">
        <x:f>ROUNDUP(F1090/J1090,0)</x:f>
        <x:v>3</x:v>
      </x:c>
      <x:c r="M1090" s="6" t="n">
        <x:f>IF(G1090=0,"无伤害",ROUNDUP(K1090/MAX(1,ROUND(G1090*$AC$31,0)),0))</x:f>
        <x:v>10</x:v>
      </x:c>
      <x:c r="N1090" s="6" t="n">
        <x:f>ROUNDUP(F1090/英雄升级调参!$H$93,0)</x:f>
        <x:v>2</x:v>
      </x:c>
      <x:c r="O1090" s="6" t="n">
        <x:f>ROUNDUP(F1090/英雄升级调参!$K$93,0)</x:f>
        <x:v>2</x:v>
      </x:c>
      <x:c r="P1090" s="6" t="str">
        <x:f>$AA$31</x:f>
        <x:v>普通：3次标准普攻击杀；10次主要攻击致死</x:v>
      </x:c>
      <x:c r="Q1090" s="6"/>
      <x:c r="R1090" s="6"/>
      <x:c r="S1090" s="6"/>
      <x:c r="T1090" s="6"/>
    </x:row>
    <x:row r="1091" ht="21" customHeight="1">
      <x:c r="A1091" s="14" t="n">
        <x:f>$V$31</x:f>
        <x:v>60018</x:v>
      </x:c>
      <x:c r="B1091" s="14" t="str">
        <x:f>$W$31</x:f>
        <x:v>蝙蝠</x:v>
      </x:c>
      <x:c r="C1091" s="6" t="str">
        <x:f>$X$31</x:f>
        <x:v>飞行</x:v>
      </x:c>
      <x:c r="D1091" s="6">
        <x:v>29</x:v>
      </x:c>
      <x:c r="E1091" s="6">
        <x:v>31</x:v>
      </x:c>
      <x:c r="F1091" s="12">
        <x:f>ROUND(J1091*$W$4*H1091,0)</x:f>
        <x:v>4662</x:v>
      </x:c>
      <x:c r="G1091" s="12">
        <x:f>ROUND(J1091*$W$4*$W$5*I1091,0)</x:f>
        <x:v>1554</x:v>
      </x:c>
      <x:c r="H1091" s="11" t="n">
        <x:f>$Y$31</x:f>
        <x:v>0.75</x:v>
      </x:c>
      <x:c r="I1091" s="11" t="n">
        <x:f>$Z$31</x:f>
        <x:v>3.3333333333333335</x:v>
      </x:c>
      <x:c r="J1091" s="12">
        <x:f>英雄升级调参!$E$94</x:f>
        <x:v>1554</x:v>
      </x:c>
      <x:c r="K1091" s="12">
        <x:f>英雄升级调参!$F$94</x:f>
        <x:v>15540</x:v>
      </x:c>
      <x:c r="L1091" s="6" t="n">
        <x:f>ROUNDUP(F1091/J1091,0)</x:f>
        <x:v>3</x:v>
      </x:c>
      <x:c r="M1091" s="6" t="n">
        <x:f>IF(G1091=0,"无伤害",ROUNDUP(K1091/MAX(1,ROUND(G1091*$AC$31,0)),0))</x:f>
        <x:v>10</x:v>
      </x:c>
      <x:c r="N1091" s="6" t="n">
        <x:f>ROUNDUP(F1091/英雄升级调参!$H$94,0)</x:f>
        <x:v>2</x:v>
      </x:c>
      <x:c r="O1091" s="6" t="n">
        <x:f>ROUNDUP(F1091/英雄升级调参!$K$94,0)</x:f>
        <x:v>2</x:v>
      </x:c>
      <x:c r="P1091" s="6" t="str">
        <x:f>$AA$31</x:f>
        <x:v>普通：3次标准普攻击杀；10次主要攻击致死</x:v>
      </x:c>
      <x:c r="Q1091" s="6"/>
      <x:c r="R1091" s="6"/>
      <x:c r="S1091" s="6"/>
      <x:c r="T1091" s="6"/>
    </x:row>
    <x:row r="1092" ht="21" customHeight="1">
      <x:c r="A1092" s="14" t="n">
        <x:f>$V$31</x:f>
        <x:v>60018</x:v>
      </x:c>
      <x:c r="B1092" s="14" t="str">
        <x:f>$W$31</x:f>
        <x:v>蝙蝠</x:v>
      </x:c>
      <x:c r="C1092" s="6" t="str">
        <x:f>$X$31</x:f>
        <x:v>飞行</x:v>
      </x:c>
      <x:c r="D1092" s="6">
        <x:v>30</x:v>
      </x:c>
      <x:c r="E1092" s="6">
        <x:v>31</x:v>
      </x:c>
      <x:c r="F1092" s="12">
        <x:f>ROUND(J1092*$W$4*H1092,0)</x:f>
        <x:v>5229</x:v>
      </x:c>
      <x:c r="G1092" s="12">
        <x:f>ROUND(J1092*$W$4*$W$5*I1092,0)</x:f>
        <x:v>1743</x:v>
      </x:c>
      <x:c r="H1092" s="11" t="n">
        <x:f>$Y$31</x:f>
        <x:v>0.75</x:v>
      </x:c>
      <x:c r="I1092" s="11" t="n">
        <x:f>$Z$31</x:f>
        <x:v>3.3333333333333335</x:v>
      </x:c>
      <x:c r="J1092" s="12">
        <x:f>英雄升级调参!$E$95</x:f>
        <x:v>1743</x:v>
      </x:c>
      <x:c r="K1092" s="12">
        <x:f>英雄升级调参!$F$95</x:f>
        <x:v>17430</x:v>
      </x:c>
      <x:c r="L1092" s="6" t="n">
        <x:f>ROUNDUP(F1092/J1092,0)</x:f>
        <x:v>3</x:v>
      </x:c>
      <x:c r="M1092" s="6" t="n">
        <x:f>IF(G1092=0,"无伤害",ROUNDUP(K1092/MAX(1,ROUND(G1092*$AC$31,0)),0))</x:f>
        <x:v>10</x:v>
      </x:c>
      <x:c r="N1092" s="6" t="n">
        <x:f>ROUNDUP(F1092/英雄升级调参!$H$95,0)</x:f>
        <x:v>2</x:v>
      </x:c>
      <x:c r="O1092" s="6" t="n">
        <x:f>ROUNDUP(F1092/英雄升级调参!$K$95,0)</x:f>
        <x:v>2</x:v>
      </x:c>
      <x:c r="P1092" s="6" t="str">
        <x:f>$AA$31</x:f>
        <x:v>普通：3次标准普攻击杀；10次主要攻击致死</x:v>
      </x:c>
      <x:c r="Q1092" s="6"/>
      <x:c r="R1092" s="6"/>
      <x:c r="S1092" s="6"/>
      <x:c r="T1092" s="6"/>
    </x:row>
    <x:row r="1093" ht="21" customHeight="1">
      <x:c r="A1093" s="14" t="n">
        <x:f>$V$31</x:f>
        <x:v>60018</x:v>
      </x:c>
      <x:c r="B1093" s="14" t="str">
        <x:f>$W$31</x:f>
        <x:v>蝙蝠</x:v>
      </x:c>
      <x:c r="C1093" s="6" t="str">
        <x:f>$X$31</x:f>
        <x:v>飞行</x:v>
      </x:c>
      <x:c r="D1093" s="6">
        <x:v>31</x:v>
      </x:c>
      <x:c r="E1093" s="6">
        <x:v>31</x:v>
      </x:c>
      <x:c r="F1093" s="12">
        <x:f>ROUND(J1093*$W$4*H1093,0)</x:f>
        <x:v>5445</x:v>
      </x:c>
      <x:c r="G1093" s="12">
        <x:f>ROUND(J1093*$W$4*$W$5*I1093,0)</x:f>
        <x:v>1815</x:v>
      </x:c>
      <x:c r="H1093" s="11" t="n">
        <x:f>$Y$31</x:f>
        <x:v>0.75</x:v>
      </x:c>
      <x:c r="I1093" s="11" t="n">
        <x:f>$Z$31</x:f>
        <x:v>3.3333333333333335</x:v>
      </x:c>
      <x:c r="J1093" s="12">
        <x:f>英雄升级调参!$E$96</x:f>
        <x:v>1815</x:v>
      </x:c>
      <x:c r="K1093" s="12">
        <x:f>英雄升级调参!$F$96</x:f>
        <x:v>18150</x:v>
      </x:c>
      <x:c r="L1093" s="6" t="n">
        <x:f>ROUNDUP(F1093/J1093,0)</x:f>
        <x:v>3</x:v>
      </x:c>
      <x:c r="M1093" s="6" t="n">
        <x:f>IF(G1093=0,"无伤害",ROUNDUP(K1093/MAX(1,ROUND(G1093*$AC$31,0)),0))</x:f>
        <x:v>10</x:v>
      </x:c>
      <x:c r="N1093" s="6" t="n">
        <x:f>ROUNDUP(F1093/英雄升级调参!$H$96,0)</x:f>
        <x:v>2</x:v>
      </x:c>
      <x:c r="O1093" s="6" t="n">
        <x:f>ROUNDUP(F1093/英雄升级调参!$K$96,0)</x:f>
        <x:v>2</x:v>
      </x:c>
      <x:c r="P1093" s="6" t="str">
        <x:f>$AA$31</x:f>
        <x:v>普通：3次标准普攻击杀；10次主要攻击致死</x:v>
      </x:c>
      <x:c r="Q1093" s="6"/>
      <x:c r="R1093" s="6"/>
      <x:c r="S1093" s="6"/>
      <x:c r="T1093" s="6"/>
    </x:row>
    <x:row r="1094" ht="21" customHeight="1">
      <x:c r="A1094" s="14" t="n">
        <x:f>$V$31</x:f>
        <x:v>60018</x:v>
      </x:c>
      <x:c r="B1094" s="14" t="str">
        <x:f>$W$31</x:f>
        <x:v>蝙蝠</x:v>
      </x:c>
      <x:c r="C1094" s="6" t="str">
        <x:f>$X$31</x:f>
        <x:v>飞行</x:v>
      </x:c>
      <x:c r="D1094" s="6">
        <x:v>32</x:v>
      </x:c>
      <x:c r="E1094" s="6">
        <x:v>31</x:v>
      </x:c>
      <x:c r="F1094" s="12">
        <x:f>ROUND(J1094*$W$4*H1094,0)</x:f>
        <x:v>5661</x:v>
      </x:c>
      <x:c r="G1094" s="12">
        <x:f>ROUND(J1094*$W$4*$W$5*I1094,0)</x:f>
        <x:v>1887</x:v>
      </x:c>
      <x:c r="H1094" s="11" t="n">
        <x:f>$Y$31</x:f>
        <x:v>0.75</x:v>
      </x:c>
      <x:c r="I1094" s="11" t="n">
        <x:f>$Z$31</x:f>
        <x:v>3.3333333333333335</x:v>
      </x:c>
      <x:c r="J1094" s="12">
        <x:f>英雄升级调参!$E$97</x:f>
        <x:v>1887</x:v>
      </x:c>
      <x:c r="K1094" s="12">
        <x:f>英雄升级调参!$F$97</x:f>
        <x:v>18870</x:v>
      </x:c>
      <x:c r="L1094" s="6" t="n">
        <x:f>ROUNDUP(F1094/J1094,0)</x:f>
        <x:v>3</x:v>
      </x:c>
      <x:c r="M1094" s="6" t="n">
        <x:f>IF(G1094=0,"无伤害",ROUNDUP(K1094/MAX(1,ROUND(G1094*$AC$31,0)),0))</x:f>
        <x:v>10</x:v>
      </x:c>
      <x:c r="N1094" s="6" t="n">
        <x:f>ROUNDUP(F1094/英雄升级调参!$H$97,0)</x:f>
        <x:v>2</x:v>
      </x:c>
      <x:c r="O1094" s="6" t="n">
        <x:f>ROUNDUP(F1094/英雄升级调参!$K$97,0)</x:f>
        <x:v>2</x:v>
      </x:c>
      <x:c r="P1094" s="6" t="str">
        <x:f>$AA$31</x:f>
        <x:v>普通：3次标准普攻击杀；10次主要攻击致死</x:v>
      </x:c>
      <x:c r="Q1094" s="6"/>
      <x:c r="R1094" s="6"/>
      <x:c r="S1094" s="6"/>
      <x:c r="T1094" s="6"/>
    </x:row>
    <x:row r="1095" ht="21" customHeight="1">
      <x:c r="A1095" s="14" t="n">
        <x:f>$V$31</x:f>
        <x:v>60018</x:v>
      </x:c>
      <x:c r="B1095" s="14" t="str">
        <x:f>$W$31</x:f>
        <x:v>蝙蝠</x:v>
      </x:c>
      <x:c r="C1095" s="6" t="str">
        <x:f>$X$31</x:f>
        <x:v>飞行</x:v>
      </x:c>
      <x:c r="D1095" s="6">
        <x:v>33</x:v>
      </x:c>
      <x:c r="E1095" s="6">
        <x:v>31</x:v>
      </x:c>
      <x:c r="F1095" s="12">
        <x:f>ROUND(J1095*$W$4*H1095,0)</x:f>
        <x:v>5877</x:v>
      </x:c>
      <x:c r="G1095" s="12">
        <x:f>ROUND(J1095*$W$4*$W$5*I1095,0)</x:f>
        <x:v>1959</x:v>
      </x:c>
      <x:c r="H1095" s="11" t="n">
        <x:f>$Y$31</x:f>
        <x:v>0.75</x:v>
      </x:c>
      <x:c r="I1095" s="11" t="n">
        <x:f>$Z$31</x:f>
        <x:v>3.3333333333333335</x:v>
      </x:c>
      <x:c r="J1095" s="12">
        <x:f>英雄升级调参!$E$98</x:f>
        <x:v>1959</x:v>
      </x:c>
      <x:c r="K1095" s="12">
        <x:f>英雄升级调参!$F$98</x:f>
        <x:v>19590</x:v>
      </x:c>
      <x:c r="L1095" s="6" t="n">
        <x:f>ROUNDUP(F1095/J1095,0)</x:f>
        <x:v>3</x:v>
      </x:c>
      <x:c r="M1095" s="6" t="n">
        <x:f>IF(G1095=0,"无伤害",ROUNDUP(K1095/MAX(1,ROUND(G1095*$AC$31,0)),0))</x:f>
        <x:v>10</x:v>
      </x:c>
      <x:c r="N1095" s="6" t="n">
        <x:f>ROUNDUP(F1095/英雄升级调参!$H$98,0)</x:f>
        <x:v>2</x:v>
      </x:c>
      <x:c r="O1095" s="6" t="n">
        <x:f>ROUNDUP(F1095/英雄升级调参!$K$98,0)</x:f>
        <x:v>2</x:v>
      </x:c>
      <x:c r="P1095" s="6" t="str">
        <x:f>$AA$31</x:f>
        <x:v>普通：3次标准普攻击杀；10次主要攻击致死</x:v>
      </x:c>
      <x:c r="Q1095" s="6"/>
      <x:c r="R1095" s="6"/>
      <x:c r="S1095" s="6"/>
      <x:c r="T1095" s="6"/>
    </x:row>
    <x:row r="1096" ht="21" customHeight="1">
      <x:c r="A1096" s="14" t="n">
        <x:f>$V$31</x:f>
        <x:v>60018</x:v>
      </x:c>
      <x:c r="B1096" s="14" t="str">
        <x:f>$W$31</x:f>
        <x:v>蝙蝠</x:v>
      </x:c>
      <x:c r="C1096" s="6" t="str">
        <x:f>$X$31</x:f>
        <x:v>飞行</x:v>
      </x:c>
      <x:c r="D1096" s="6">
        <x:v>34</x:v>
      </x:c>
      <x:c r="E1096" s="6">
        <x:v>31</x:v>
      </x:c>
      <x:c r="F1096" s="12">
        <x:f>ROUND(J1096*$W$4*H1096,0)</x:f>
        <x:v>6093</x:v>
      </x:c>
      <x:c r="G1096" s="12">
        <x:f>ROUND(J1096*$W$4*$W$5*I1096,0)</x:f>
        <x:v>2031</x:v>
      </x:c>
      <x:c r="H1096" s="11" t="n">
        <x:f>$Y$31</x:f>
        <x:v>0.75</x:v>
      </x:c>
      <x:c r="I1096" s="11" t="n">
        <x:f>$Z$31</x:f>
        <x:v>3.3333333333333335</x:v>
      </x:c>
      <x:c r="J1096" s="12">
        <x:f>英雄升级调参!$E$99</x:f>
        <x:v>2031</x:v>
      </x:c>
      <x:c r="K1096" s="12">
        <x:f>英雄升级调参!$F$99</x:f>
        <x:v>20310</x:v>
      </x:c>
      <x:c r="L1096" s="6" t="n">
        <x:f>ROUNDUP(F1096/J1096,0)</x:f>
        <x:v>3</x:v>
      </x:c>
      <x:c r="M1096" s="6" t="n">
        <x:f>IF(G1096=0,"无伤害",ROUNDUP(K1096/MAX(1,ROUND(G1096*$AC$31,0)),0))</x:f>
        <x:v>10</x:v>
      </x:c>
      <x:c r="N1096" s="6" t="n">
        <x:f>ROUNDUP(F1096/英雄升级调参!$H$99,0)</x:f>
        <x:v>2</x:v>
      </x:c>
      <x:c r="O1096" s="6" t="n">
        <x:f>ROUNDUP(F1096/英雄升级调参!$K$99,0)</x:f>
        <x:v>2</x:v>
      </x:c>
      <x:c r="P1096" s="6" t="str">
        <x:f>$AA$31</x:f>
        <x:v>普通：3次标准普攻击杀；10次主要攻击致死</x:v>
      </x:c>
      <x:c r="Q1096" s="6"/>
      <x:c r="R1096" s="6"/>
      <x:c r="S1096" s="6"/>
      <x:c r="T1096" s="6"/>
    </x:row>
    <x:row r="1097" ht="21" customHeight="1">
      <x:c r="A1097" s="14" t="n">
        <x:f>$V$31</x:f>
        <x:v>60018</x:v>
      </x:c>
      <x:c r="B1097" s="14" t="str">
        <x:f>$W$31</x:f>
        <x:v>蝙蝠</x:v>
      </x:c>
      <x:c r="C1097" s="6" t="str">
        <x:f>$X$31</x:f>
        <x:v>飞行</x:v>
      </x:c>
      <x:c r="D1097" s="6">
        <x:v>35</x:v>
      </x:c>
      <x:c r="E1097" s="6">
        <x:v>31</x:v>
      </x:c>
      <x:c r="F1097" s="12">
        <x:f>ROUND(J1097*$W$4*H1097,0)</x:f>
        <x:v>6741</x:v>
      </x:c>
      <x:c r="G1097" s="12">
        <x:f>ROUND(J1097*$W$4*$W$5*I1097,0)</x:f>
        <x:v>2247</x:v>
      </x:c>
      <x:c r="H1097" s="11" t="n">
        <x:f>$Y$31</x:f>
        <x:v>0.75</x:v>
      </x:c>
      <x:c r="I1097" s="11" t="n">
        <x:f>$Z$31</x:f>
        <x:v>3.3333333333333335</x:v>
      </x:c>
      <x:c r="J1097" s="12">
        <x:f>英雄升级调参!$E$100</x:f>
        <x:v>2247</x:v>
      </x:c>
      <x:c r="K1097" s="12">
        <x:f>英雄升级调参!$F$100</x:f>
        <x:v>22470</x:v>
      </x:c>
      <x:c r="L1097" s="6" t="n">
        <x:f>ROUNDUP(F1097/J1097,0)</x:f>
        <x:v>3</x:v>
      </x:c>
      <x:c r="M1097" s="6" t="n">
        <x:f>IF(G1097=0,"无伤害",ROUNDUP(K1097/MAX(1,ROUND(G1097*$AC$31,0)),0))</x:f>
        <x:v>10</x:v>
      </x:c>
      <x:c r="N1097" s="6" t="n">
        <x:f>ROUNDUP(F1097/英雄升级调参!$H$100,0)</x:f>
        <x:v>2</x:v>
      </x:c>
      <x:c r="O1097" s="6" t="n">
        <x:f>ROUNDUP(F1097/英雄升级调参!$K$100,0)</x:f>
        <x:v>2</x:v>
      </x:c>
      <x:c r="P1097" s="6" t="str">
        <x:f>$AA$31</x:f>
        <x:v>普通：3次标准普攻击杀；10次主要攻击致死</x:v>
      </x:c>
      <x:c r="Q1097" s="6"/>
      <x:c r="R1097" s="6"/>
      <x:c r="S1097" s="6"/>
      <x:c r="T1097" s="6"/>
    </x:row>
    <x:row r="1098" ht="21" customHeight="1">
      <x:c r="A1098" s="14" t="n">
        <x:f>$V$31</x:f>
        <x:v>60018</x:v>
      </x:c>
      <x:c r="B1098" s="14" t="str">
        <x:f>$W$31</x:f>
        <x:v>蝙蝠</x:v>
      </x:c>
      <x:c r="C1098" s="6" t="str">
        <x:f>$X$31</x:f>
        <x:v>飞行</x:v>
      </x:c>
      <x:c r="D1098" s="6">
        <x:v>36</x:v>
      </x:c>
      <x:c r="E1098" s="6">
        <x:v>31</x:v>
      </x:c>
      <x:c r="F1098" s="12">
        <x:f>ROUND(J1098*$W$4*H1098,0)</x:f>
        <x:v>6984</x:v>
      </x:c>
      <x:c r="G1098" s="12">
        <x:f>ROUND(J1098*$W$4*$W$5*I1098,0)</x:f>
        <x:v>2328</x:v>
      </x:c>
      <x:c r="H1098" s="11" t="n">
        <x:f>$Y$31</x:f>
        <x:v>0.75</x:v>
      </x:c>
      <x:c r="I1098" s="11" t="n">
        <x:f>$Z$31</x:f>
        <x:v>3.3333333333333335</x:v>
      </x:c>
      <x:c r="J1098" s="12">
        <x:f>英雄升级调参!$E$101</x:f>
        <x:v>2328</x:v>
      </x:c>
      <x:c r="K1098" s="12">
        <x:f>英雄升级调参!$F$101</x:f>
        <x:v>23280</x:v>
      </x:c>
      <x:c r="L1098" s="6" t="n">
        <x:f>ROUNDUP(F1098/J1098,0)</x:f>
        <x:v>3</x:v>
      </x:c>
      <x:c r="M1098" s="6" t="n">
        <x:f>IF(G1098=0,"无伤害",ROUNDUP(K1098/MAX(1,ROUND(G1098*$AC$31,0)),0))</x:f>
        <x:v>10</x:v>
      </x:c>
      <x:c r="N1098" s="6" t="n">
        <x:f>ROUNDUP(F1098/英雄升级调参!$H$101,0)</x:f>
        <x:v>2</x:v>
      </x:c>
      <x:c r="O1098" s="6" t="n">
        <x:f>ROUNDUP(F1098/英雄升级调参!$K$101,0)</x:f>
        <x:v>2</x:v>
      </x:c>
      <x:c r="P1098" s="6" t="str">
        <x:f>$AA$31</x:f>
        <x:v>普通：3次标准普攻击杀；10次主要攻击致死</x:v>
      </x:c>
      <x:c r="Q1098" s="6"/>
      <x:c r="R1098" s="6"/>
      <x:c r="S1098" s="6"/>
      <x:c r="T1098" s="6"/>
    </x:row>
    <x:row r="1099" ht="21" customHeight="1">
      <x:c r="A1099" s="14" t="n">
        <x:f>$V$31</x:f>
        <x:v>60018</x:v>
      </x:c>
      <x:c r="B1099" s="14" t="str">
        <x:f>$W$31</x:f>
        <x:v>蝙蝠</x:v>
      </x:c>
      <x:c r="C1099" s="6" t="str">
        <x:f>$X$31</x:f>
        <x:v>飞行</x:v>
      </x:c>
      <x:c r="D1099" s="6">
        <x:v>37</x:v>
      </x:c>
      <x:c r="E1099" s="6">
        <x:v>31</x:v>
      </x:c>
      <x:c r="F1099" s="12">
        <x:f>ROUND(J1099*$W$4*H1099,0)</x:f>
        <x:v>7227</x:v>
      </x:c>
      <x:c r="G1099" s="12">
        <x:f>ROUND(J1099*$W$4*$W$5*I1099,0)</x:f>
        <x:v>2409</x:v>
      </x:c>
      <x:c r="H1099" s="11" t="n">
        <x:f>$Y$31</x:f>
        <x:v>0.75</x:v>
      </x:c>
      <x:c r="I1099" s="11" t="n">
        <x:f>$Z$31</x:f>
        <x:v>3.3333333333333335</x:v>
      </x:c>
      <x:c r="J1099" s="12">
        <x:f>英雄升级调参!$E$102</x:f>
        <x:v>2409</x:v>
      </x:c>
      <x:c r="K1099" s="12">
        <x:f>英雄升级调参!$F$102</x:f>
        <x:v>24090</x:v>
      </x:c>
      <x:c r="L1099" s="6" t="n">
        <x:f>ROUNDUP(F1099/J1099,0)</x:f>
        <x:v>3</x:v>
      </x:c>
      <x:c r="M1099" s="6" t="n">
        <x:f>IF(G1099=0,"无伤害",ROUNDUP(K1099/MAX(1,ROUND(G1099*$AC$31,0)),0))</x:f>
        <x:v>10</x:v>
      </x:c>
      <x:c r="N1099" s="6" t="n">
        <x:f>ROUNDUP(F1099/英雄升级调参!$H$102,0)</x:f>
        <x:v>2</x:v>
      </x:c>
      <x:c r="O1099" s="6" t="n">
        <x:f>ROUNDUP(F1099/英雄升级调参!$K$102,0)</x:f>
        <x:v>2</x:v>
      </x:c>
      <x:c r="P1099" s="6" t="str">
        <x:f>$AA$31</x:f>
        <x:v>普通：3次标准普攻击杀；10次主要攻击致死</x:v>
      </x:c>
      <x:c r="Q1099" s="6"/>
      <x:c r="R1099" s="6"/>
      <x:c r="S1099" s="6"/>
      <x:c r="T1099" s="6"/>
    </x:row>
    <x:row r="1100" ht="21" customHeight="1">
      <x:c r="A1100" s="14" t="n">
        <x:f>$V$31</x:f>
        <x:v>60018</x:v>
      </x:c>
      <x:c r="B1100" s="14" t="str">
        <x:f>$W$31</x:f>
        <x:v>蝙蝠</x:v>
      </x:c>
      <x:c r="C1100" s="6" t="str">
        <x:f>$X$31</x:f>
        <x:v>飞行</x:v>
      </x:c>
      <x:c r="D1100" s="6">
        <x:v>38</x:v>
      </x:c>
      <x:c r="E1100" s="6">
        <x:v>31</x:v>
      </x:c>
      <x:c r="F1100" s="12">
        <x:f>ROUND(J1100*$W$4*H1100,0)</x:f>
        <x:v>7470</x:v>
      </x:c>
      <x:c r="G1100" s="12">
        <x:f>ROUND(J1100*$W$4*$W$5*I1100,0)</x:f>
        <x:v>2490</x:v>
      </x:c>
      <x:c r="H1100" s="11" t="n">
        <x:f>$Y$31</x:f>
        <x:v>0.75</x:v>
      </x:c>
      <x:c r="I1100" s="11" t="n">
        <x:f>$Z$31</x:f>
        <x:v>3.3333333333333335</x:v>
      </x:c>
      <x:c r="J1100" s="12">
        <x:f>英雄升级调参!$E$103</x:f>
        <x:v>2490</x:v>
      </x:c>
      <x:c r="K1100" s="12">
        <x:f>英雄升级调参!$F$103</x:f>
        <x:v>24900</x:v>
      </x:c>
      <x:c r="L1100" s="6" t="n">
        <x:f>ROUNDUP(F1100/J1100,0)</x:f>
        <x:v>3</x:v>
      </x:c>
      <x:c r="M1100" s="6" t="n">
        <x:f>IF(G1100=0,"无伤害",ROUNDUP(K1100/MAX(1,ROUND(G1100*$AC$31,0)),0))</x:f>
        <x:v>10</x:v>
      </x:c>
      <x:c r="N1100" s="6" t="n">
        <x:f>ROUNDUP(F1100/英雄升级调参!$H$103,0)</x:f>
        <x:v>2</x:v>
      </x:c>
      <x:c r="O1100" s="6" t="n">
        <x:f>ROUNDUP(F1100/英雄升级调参!$K$103,0)</x:f>
        <x:v>2</x:v>
      </x:c>
      <x:c r="P1100" s="6" t="str">
        <x:f>$AA$31</x:f>
        <x:v>普通：3次标准普攻击杀；10次主要攻击致死</x:v>
      </x:c>
      <x:c r="Q1100" s="6"/>
      <x:c r="R1100" s="6"/>
      <x:c r="S1100" s="6"/>
      <x:c r="T1100" s="6"/>
    </x:row>
    <x:row r="1101" ht="21" customHeight="1">
      <x:c r="A1101" s="14" t="n">
        <x:f>$V$31</x:f>
        <x:v>60018</x:v>
      </x:c>
      <x:c r="B1101" s="14" t="str">
        <x:f>$W$31</x:f>
        <x:v>蝙蝠</x:v>
      </x:c>
      <x:c r="C1101" s="6" t="str">
        <x:f>$X$31</x:f>
        <x:v>飞行</x:v>
      </x:c>
      <x:c r="D1101" s="6">
        <x:v>39</x:v>
      </x:c>
      <x:c r="E1101" s="6">
        <x:v>31</x:v>
      </x:c>
      <x:c r="F1101" s="12">
        <x:f>ROUND(J1101*$W$4*H1101,0)</x:f>
        <x:v>7713</x:v>
      </x:c>
      <x:c r="G1101" s="12">
        <x:f>ROUND(J1101*$W$4*$W$5*I1101,0)</x:f>
        <x:v>2571</x:v>
      </x:c>
      <x:c r="H1101" s="11" t="n">
        <x:f>$Y$31</x:f>
        <x:v>0.75</x:v>
      </x:c>
      <x:c r="I1101" s="11" t="n">
        <x:f>$Z$31</x:f>
        <x:v>3.3333333333333335</x:v>
      </x:c>
      <x:c r="J1101" s="12">
        <x:f>英雄升级调参!$E$104</x:f>
        <x:v>2571</x:v>
      </x:c>
      <x:c r="K1101" s="12">
        <x:f>英雄升级调参!$F$104</x:f>
        <x:v>25710</x:v>
      </x:c>
      <x:c r="L1101" s="6" t="n">
        <x:f>ROUNDUP(F1101/J1101,0)</x:f>
        <x:v>3</x:v>
      </x:c>
      <x:c r="M1101" s="6" t="n">
        <x:f>IF(G1101=0,"无伤害",ROUNDUP(K1101/MAX(1,ROUND(G1101*$AC$31,0)),0))</x:f>
        <x:v>10</x:v>
      </x:c>
      <x:c r="N1101" s="6" t="n">
        <x:f>ROUNDUP(F1101/英雄升级调参!$H$104,0)</x:f>
        <x:v>2</x:v>
      </x:c>
      <x:c r="O1101" s="6" t="n">
        <x:f>ROUNDUP(F1101/英雄升级调参!$K$104,0)</x:f>
        <x:v>2</x:v>
      </x:c>
      <x:c r="P1101" s="6" t="str">
        <x:f>$AA$31</x:f>
        <x:v>普通：3次标准普攻击杀；10次主要攻击致死</x:v>
      </x:c>
      <x:c r="Q1101" s="6"/>
      <x:c r="R1101" s="6"/>
      <x:c r="S1101" s="6"/>
      <x:c r="T1101" s="6"/>
    </x:row>
    <x:row r="1102" ht="21" customHeight="1">
      <x:c r="A1102" s="14" t="n">
        <x:f>$V$31</x:f>
        <x:v>60018</x:v>
      </x:c>
      <x:c r="B1102" s="14" t="str">
        <x:f>$W$31</x:f>
        <x:v>蝙蝠</x:v>
      </x:c>
      <x:c r="C1102" s="6" t="str">
        <x:f>$X$31</x:f>
        <x:v>飞行</x:v>
      </x:c>
      <x:c r="D1102" s="6">
        <x:v>40</x:v>
      </x:c>
      <x:c r="E1102" s="6">
        <x:v>31</x:v>
      </x:c>
      <x:c r="F1102" s="12">
        <x:f>ROUND(J1102*$W$4*H1102,0)</x:f>
        <x:v>8442</x:v>
      </x:c>
      <x:c r="G1102" s="12">
        <x:f>ROUND(J1102*$W$4*$W$5*I1102,0)</x:f>
        <x:v>2814</x:v>
      </x:c>
      <x:c r="H1102" s="11" t="n">
        <x:f>$Y$31</x:f>
        <x:v>0.75</x:v>
      </x:c>
      <x:c r="I1102" s="11" t="n">
        <x:f>$Z$31</x:f>
        <x:v>3.3333333333333335</x:v>
      </x:c>
      <x:c r="J1102" s="12">
        <x:f>英雄升级调参!$E$105</x:f>
        <x:v>2814</x:v>
      </x:c>
      <x:c r="K1102" s="12">
        <x:f>英雄升级调参!$F$105</x:f>
        <x:v>28140</x:v>
      </x:c>
      <x:c r="L1102" s="6" t="n">
        <x:f>ROUNDUP(F1102/J1102,0)</x:f>
        <x:v>3</x:v>
      </x:c>
      <x:c r="M1102" s="6" t="n">
        <x:f>IF(G1102=0,"无伤害",ROUNDUP(K1102/MAX(1,ROUND(G1102*$AC$31,0)),0))</x:f>
        <x:v>10</x:v>
      </x:c>
      <x:c r="N1102" s="6" t="n">
        <x:f>ROUNDUP(F1102/英雄升级调参!$H$105,0)</x:f>
        <x:v>2</x:v>
      </x:c>
      <x:c r="O1102" s="6" t="n">
        <x:f>ROUNDUP(F1102/英雄升级调参!$K$105,0)</x:f>
        <x:v>2</x:v>
      </x:c>
      <x:c r="P1102" s="6" t="str">
        <x:f>$AA$31</x:f>
        <x:v>普通：3次标准普攻击杀；10次主要攻击致死</x:v>
      </x:c>
      <x:c r="Q1102" s="6"/>
      <x:c r="R1102" s="6"/>
      <x:c r="S1102" s="6"/>
      <x:c r="T1102" s="6"/>
    </x:row>
    <x:row r="1103" ht="21" customHeight="1">
      <x:c r="A1103" s="14" t="n">
        <x:f>$V$31</x:f>
        <x:v>60018</x:v>
      </x:c>
      <x:c r="B1103" s="14" t="str">
        <x:f>$W$31</x:f>
        <x:v>蝙蝠</x:v>
      </x:c>
      <x:c r="C1103" s="6" t="str">
        <x:f>$X$31</x:f>
        <x:v>飞行</x:v>
      </x:c>
      <x:c r="D1103" s="6">
        <x:v>41</x:v>
      </x:c>
      <x:c r="E1103" s="6">
        <x:v>31</x:v>
      </x:c>
      <x:c r="F1103" s="12">
        <x:f>ROUND(J1103*$W$4*H1103,0)</x:f>
        <x:v>8712</x:v>
      </x:c>
      <x:c r="G1103" s="12">
        <x:f>ROUND(J1103*$W$4*$W$5*I1103,0)</x:f>
        <x:v>2904</x:v>
      </x:c>
      <x:c r="H1103" s="11" t="n">
        <x:f>$Y$31</x:f>
        <x:v>0.75</x:v>
      </x:c>
      <x:c r="I1103" s="11" t="n">
        <x:f>$Z$31</x:f>
        <x:v>3.3333333333333335</x:v>
      </x:c>
      <x:c r="J1103" s="12">
        <x:f>英雄升级调参!$E$106</x:f>
        <x:v>2904</x:v>
      </x:c>
      <x:c r="K1103" s="12">
        <x:f>英雄升级调参!$F$106</x:f>
        <x:v>29040</x:v>
      </x:c>
      <x:c r="L1103" s="6" t="n">
        <x:f>ROUNDUP(F1103/J1103,0)</x:f>
        <x:v>3</x:v>
      </x:c>
      <x:c r="M1103" s="6" t="n">
        <x:f>IF(G1103=0,"无伤害",ROUNDUP(K1103/MAX(1,ROUND(G1103*$AC$31,0)),0))</x:f>
        <x:v>10</x:v>
      </x:c>
      <x:c r="N1103" s="6" t="n">
        <x:f>ROUNDUP(F1103/英雄升级调参!$H$106,0)</x:f>
        <x:v>2</x:v>
      </x:c>
      <x:c r="O1103" s="6" t="n">
        <x:f>ROUNDUP(F1103/英雄升级调参!$K$106,0)</x:f>
        <x:v>2</x:v>
      </x:c>
      <x:c r="P1103" s="6" t="str">
        <x:f>$AA$31</x:f>
        <x:v>普通：3次标准普攻击杀；10次主要攻击致死</x:v>
      </x:c>
      <x:c r="Q1103" s="6"/>
      <x:c r="R1103" s="6"/>
      <x:c r="S1103" s="6"/>
      <x:c r="T1103" s="6"/>
    </x:row>
    <x:row r="1104" ht="21" customHeight="1">
      <x:c r="A1104" s="14" t="n">
        <x:f>$V$31</x:f>
        <x:v>60018</x:v>
      </x:c>
      <x:c r="B1104" s="14" t="str">
        <x:f>$W$31</x:f>
        <x:v>蝙蝠</x:v>
      </x:c>
      <x:c r="C1104" s="6" t="str">
        <x:f>$X$31</x:f>
        <x:v>飞行</x:v>
      </x:c>
      <x:c r="D1104" s="6">
        <x:v>42</x:v>
      </x:c>
      <x:c r="E1104" s="6">
        <x:v>31</x:v>
      </x:c>
      <x:c r="F1104" s="12">
        <x:f>ROUND(J1104*$W$4*H1104,0)</x:f>
        <x:v>8982</x:v>
      </x:c>
      <x:c r="G1104" s="12">
        <x:f>ROUND(J1104*$W$4*$W$5*I1104,0)</x:f>
        <x:v>2994</x:v>
      </x:c>
      <x:c r="H1104" s="11" t="n">
        <x:f>$Y$31</x:f>
        <x:v>0.75</x:v>
      </x:c>
      <x:c r="I1104" s="11" t="n">
        <x:f>$Z$31</x:f>
        <x:v>3.3333333333333335</x:v>
      </x:c>
      <x:c r="J1104" s="12">
        <x:f>英雄升级调参!$E$107</x:f>
        <x:v>2994</x:v>
      </x:c>
      <x:c r="K1104" s="12">
        <x:f>英雄升级调参!$F$107</x:f>
        <x:v>29940</x:v>
      </x:c>
      <x:c r="L1104" s="6" t="n">
        <x:f>ROUNDUP(F1104/J1104,0)</x:f>
        <x:v>3</x:v>
      </x:c>
      <x:c r="M1104" s="6" t="n">
        <x:f>IF(G1104=0,"无伤害",ROUNDUP(K1104/MAX(1,ROUND(G1104*$AC$31,0)),0))</x:f>
        <x:v>10</x:v>
      </x:c>
      <x:c r="N1104" s="6" t="n">
        <x:f>ROUNDUP(F1104/英雄升级调参!$H$107,0)</x:f>
        <x:v>2</x:v>
      </x:c>
      <x:c r="O1104" s="6" t="n">
        <x:f>ROUNDUP(F1104/英雄升级调参!$K$107,0)</x:f>
        <x:v>2</x:v>
      </x:c>
      <x:c r="P1104" s="6" t="str">
        <x:f>$AA$31</x:f>
        <x:v>普通：3次标准普攻击杀；10次主要攻击致死</x:v>
      </x:c>
      <x:c r="Q1104" s="6"/>
      <x:c r="R1104" s="6"/>
      <x:c r="S1104" s="6"/>
      <x:c r="T1104" s="6"/>
    </x:row>
    <x:row r="1105" ht="21" customHeight="1">
      <x:c r="A1105" s="14" t="n">
        <x:f>$V$31</x:f>
        <x:v>60018</x:v>
      </x:c>
      <x:c r="B1105" s="14" t="str">
        <x:f>$W$31</x:f>
        <x:v>蝙蝠</x:v>
      </x:c>
      <x:c r="C1105" s="6" t="str">
        <x:f>$X$31</x:f>
        <x:v>飞行</x:v>
      </x:c>
      <x:c r="D1105" s="6">
        <x:v>43</x:v>
      </x:c>
      <x:c r="E1105" s="6">
        <x:v>31</x:v>
      </x:c>
      <x:c r="F1105" s="12">
        <x:f>ROUND(J1105*$W$4*H1105,0)</x:f>
        <x:v>9252</x:v>
      </x:c>
      <x:c r="G1105" s="12">
        <x:f>ROUND(J1105*$W$4*$W$5*I1105,0)</x:f>
        <x:v>3084</x:v>
      </x:c>
      <x:c r="H1105" s="11" t="n">
        <x:f>$Y$31</x:f>
        <x:v>0.75</x:v>
      </x:c>
      <x:c r="I1105" s="11" t="n">
        <x:f>$Z$31</x:f>
        <x:v>3.3333333333333335</x:v>
      </x:c>
      <x:c r="J1105" s="12">
        <x:f>英雄升级调参!$E$108</x:f>
        <x:v>3084</x:v>
      </x:c>
      <x:c r="K1105" s="12">
        <x:f>英雄升级调参!$F$108</x:f>
        <x:v>30840</x:v>
      </x:c>
      <x:c r="L1105" s="6" t="n">
        <x:f>ROUNDUP(F1105/J1105,0)</x:f>
        <x:v>3</x:v>
      </x:c>
      <x:c r="M1105" s="6" t="n">
        <x:f>IF(G1105=0,"无伤害",ROUNDUP(K1105/MAX(1,ROUND(G1105*$AC$31,0)),0))</x:f>
        <x:v>10</x:v>
      </x:c>
      <x:c r="N1105" s="6" t="n">
        <x:f>ROUNDUP(F1105/英雄升级调参!$H$108,0)</x:f>
        <x:v>2</x:v>
      </x:c>
      <x:c r="O1105" s="6" t="n">
        <x:f>ROUNDUP(F1105/英雄升级调参!$K$108,0)</x:f>
        <x:v>2</x:v>
      </x:c>
      <x:c r="P1105" s="6" t="str">
        <x:f>$AA$31</x:f>
        <x:v>普通：3次标准普攻击杀；10次主要攻击致死</x:v>
      </x:c>
      <x:c r="Q1105" s="6"/>
      <x:c r="R1105" s="6"/>
      <x:c r="S1105" s="6"/>
      <x:c r="T1105" s="6"/>
    </x:row>
    <x:row r="1106" ht="21" customHeight="1">
      <x:c r="A1106" s="14" t="n">
        <x:f>$V$31</x:f>
        <x:v>60018</x:v>
      </x:c>
      <x:c r="B1106" s="14" t="str">
        <x:f>$W$31</x:f>
        <x:v>蝙蝠</x:v>
      </x:c>
      <x:c r="C1106" s="6" t="str">
        <x:f>$X$31</x:f>
        <x:v>飞行</x:v>
      </x:c>
      <x:c r="D1106" s="6">
        <x:v>44</x:v>
      </x:c>
      <x:c r="E1106" s="6">
        <x:v>31</x:v>
      </x:c>
      <x:c r="F1106" s="12">
        <x:f>ROUND(J1106*$W$4*H1106,0)</x:f>
        <x:v>9522</x:v>
      </x:c>
      <x:c r="G1106" s="12">
        <x:f>ROUND(J1106*$W$4*$W$5*I1106,0)</x:f>
        <x:v>3174</x:v>
      </x:c>
      <x:c r="H1106" s="11" t="n">
        <x:f>$Y$31</x:f>
        <x:v>0.75</x:v>
      </x:c>
      <x:c r="I1106" s="11" t="n">
        <x:f>$Z$31</x:f>
        <x:v>3.3333333333333335</x:v>
      </x:c>
      <x:c r="J1106" s="12">
        <x:f>英雄升级调参!$E$109</x:f>
        <x:v>3174</x:v>
      </x:c>
      <x:c r="K1106" s="12">
        <x:f>英雄升级调参!$F$109</x:f>
        <x:v>31740</x:v>
      </x:c>
      <x:c r="L1106" s="6" t="n">
        <x:f>ROUNDUP(F1106/J1106,0)</x:f>
        <x:v>3</x:v>
      </x:c>
      <x:c r="M1106" s="6" t="n">
        <x:f>IF(G1106=0,"无伤害",ROUNDUP(K1106/MAX(1,ROUND(G1106*$AC$31,0)),0))</x:f>
        <x:v>10</x:v>
      </x:c>
      <x:c r="N1106" s="6" t="n">
        <x:f>ROUNDUP(F1106/英雄升级调参!$H$109,0)</x:f>
        <x:v>2</x:v>
      </x:c>
      <x:c r="O1106" s="6" t="n">
        <x:f>ROUNDUP(F1106/英雄升级调参!$K$109,0)</x:f>
        <x:v>2</x:v>
      </x:c>
      <x:c r="P1106" s="6" t="str">
        <x:f>$AA$31</x:f>
        <x:v>普通：3次标准普攻击杀；10次主要攻击致死</x:v>
      </x:c>
      <x:c r="Q1106" s="6"/>
      <x:c r="R1106" s="6"/>
      <x:c r="S1106" s="6"/>
      <x:c r="T1106" s="6"/>
    </x:row>
    <x:row r="1107" ht="21" customHeight="1">
      <x:c r="A1107" s="14" t="n">
        <x:f>$V$31</x:f>
        <x:v>60018</x:v>
      </x:c>
      <x:c r="B1107" s="14" t="str">
        <x:f>$W$31</x:f>
        <x:v>蝙蝠</x:v>
      </x:c>
      <x:c r="C1107" s="6" t="str">
        <x:f>$X$31</x:f>
        <x:v>飞行</x:v>
      </x:c>
      <x:c r="D1107" s="6">
        <x:v>45</x:v>
      </x:c>
      <x:c r="E1107" s="6">
        <x:v>31</x:v>
      </x:c>
      <x:c r="F1107" s="12">
        <x:f>ROUND(J1107*$W$4*H1107,0)</x:f>
        <x:v>10332</x:v>
      </x:c>
      <x:c r="G1107" s="12">
        <x:f>ROUND(J1107*$W$4*$W$5*I1107,0)</x:f>
        <x:v>3444</x:v>
      </x:c>
      <x:c r="H1107" s="11" t="n">
        <x:f>$Y$31</x:f>
        <x:v>0.75</x:v>
      </x:c>
      <x:c r="I1107" s="11" t="n">
        <x:f>$Z$31</x:f>
        <x:v>3.3333333333333335</x:v>
      </x:c>
      <x:c r="J1107" s="12">
        <x:f>英雄升级调参!$E$110</x:f>
        <x:v>3444</x:v>
      </x:c>
      <x:c r="K1107" s="12">
        <x:f>英雄升级调参!$F$110</x:f>
        <x:v>34440</x:v>
      </x:c>
      <x:c r="L1107" s="6" t="n">
        <x:f>ROUNDUP(F1107/J1107,0)</x:f>
        <x:v>3</x:v>
      </x:c>
      <x:c r="M1107" s="6" t="n">
        <x:f>IF(G1107=0,"无伤害",ROUNDUP(K1107/MAX(1,ROUND(G1107*$AC$31,0)),0))</x:f>
        <x:v>10</x:v>
      </x:c>
      <x:c r="N1107" s="6" t="n">
        <x:f>ROUNDUP(F1107/英雄升级调参!$H$110,0)</x:f>
        <x:v>2</x:v>
      </x:c>
      <x:c r="O1107" s="6" t="n">
        <x:f>ROUNDUP(F1107/英雄升级调参!$K$110,0)</x:f>
        <x:v>2</x:v>
      </x:c>
      <x:c r="P1107" s="6" t="str">
        <x:f>$AA$31</x:f>
        <x:v>普通：3次标准普攻击杀；10次主要攻击致死</x:v>
      </x:c>
      <x:c r="Q1107" s="6"/>
      <x:c r="R1107" s="6"/>
      <x:c r="S1107" s="6"/>
      <x:c r="T1107" s="6"/>
    </x:row>
    <x:row r="1108" ht="21" customHeight="1">
      <x:c r="A1108" s="14" t="n">
        <x:f>$V$31</x:f>
        <x:v>60018</x:v>
      </x:c>
      <x:c r="B1108" s="14" t="str">
        <x:f>$W$31</x:f>
        <x:v>蝙蝠</x:v>
      </x:c>
      <x:c r="C1108" s="6" t="str">
        <x:f>$X$31</x:f>
        <x:v>飞行</x:v>
      </x:c>
      <x:c r="D1108" s="6">
        <x:v>46</x:v>
      </x:c>
      <x:c r="E1108" s="6">
        <x:v>31</x:v>
      </x:c>
      <x:c r="F1108" s="12">
        <x:f>ROUND(J1108*$W$4*H1108,0)</x:f>
        <x:v>10629</x:v>
      </x:c>
      <x:c r="G1108" s="12">
        <x:f>ROUND(J1108*$W$4*$W$5*I1108,0)</x:f>
        <x:v>3543</x:v>
      </x:c>
      <x:c r="H1108" s="11" t="n">
        <x:f>$Y$31</x:f>
        <x:v>0.75</x:v>
      </x:c>
      <x:c r="I1108" s="11" t="n">
        <x:f>$Z$31</x:f>
        <x:v>3.3333333333333335</x:v>
      </x:c>
      <x:c r="J1108" s="12">
        <x:f>英雄升级调参!$E$111</x:f>
        <x:v>3543</x:v>
      </x:c>
      <x:c r="K1108" s="12">
        <x:f>英雄升级调参!$F$111</x:f>
        <x:v>35430</x:v>
      </x:c>
      <x:c r="L1108" s="6" t="n">
        <x:f>ROUNDUP(F1108/J1108,0)</x:f>
        <x:v>3</x:v>
      </x:c>
      <x:c r="M1108" s="6" t="n">
        <x:f>IF(G1108=0,"无伤害",ROUNDUP(K1108/MAX(1,ROUND(G1108*$AC$31,0)),0))</x:f>
        <x:v>10</x:v>
      </x:c>
      <x:c r="N1108" s="6" t="n">
        <x:f>ROUNDUP(F1108/英雄升级调参!$H$111,0)</x:f>
        <x:v>2</x:v>
      </x:c>
      <x:c r="O1108" s="6" t="n">
        <x:f>ROUNDUP(F1108/英雄升级调参!$K$111,0)</x:f>
        <x:v>2</x:v>
      </x:c>
      <x:c r="P1108" s="6" t="str">
        <x:f>$AA$31</x:f>
        <x:v>普通：3次标准普攻击杀；10次主要攻击致死</x:v>
      </x:c>
      <x:c r="Q1108" s="6"/>
      <x:c r="R1108" s="6"/>
      <x:c r="S1108" s="6"/>
      <x:c r="T1108" s="6"/>
    </x:row>
    <x:row r="1109" ht="21" customHeight="1">
      <x:c r="A1109" s="14" t="n">
        <x:f>$V$31</x:f>
        <x:v>60018</x:v>
      </x:c>
      <x:c r="B1109" s="14" t="str">
        <x:f>$W$31</x:f>
        <x:v>蝙蝠</x:v>
      </x:c>
      <x:c r="C1109" s="6" t="str">
        <x:f>$X$31</x:f>
        <x:v>飞行</x:v>
      </x:c>
      <x:c r="D1109" s="6">
        <x:v>47</x:v>
      </x:c>
      <x:c r="E1109" s="6">
        <x:v>31</x:v>
      </x:c>
      <x:c r="F1109" s="12">
        <x:f>ROUND(J1109*$W$4*H1109,0)</x:f>
        <x:v>10926</x:v>
      </x:c>
      <x:c r="G1109" s="12">
        <x:f>ROUND(J1109*$W$4*$W$5*I1109,0)</x:f>
        <x:v>3642</x:v>
      </x:c>
      <x:c r="H1109" s="11" t="n">
        <x:f>$Y$31</x:f>
        <x:v>0.75</x:v>
      </x:c>
      <x:c r="I1109" s="11" t="n">
        <x:f>$Z$31</x:f>
        <x:v>3.3333333333333335</x:v>
      </x:c>
      <x:c r="J1109" s="12">
        <x:f>英雄升级调参!$E$112</x:f>
        <x:v>3642</x:v>
      </x:c>
      <x:c r="K1109" s="12">
        <x:f>英雄升级调参!$F$112</x:f>
        <x:v>36420</x:v>
      </x:c>
      <x:c r="L1109" s="6" t="n">
        <x:f>ROUNDUP(F1109/J1109,0)</x:f>
        <x:v>3</x:v>
      </x:c>
      <x:c r="M1109" s="6" t="n">
        <x:f>IF(G1109=0,"无伤害",ROUNDUP(K1109/MAX(1,ROUND(G1109*$AC$31,0)),0))</x:f>
        <x:v>10</x:v>
      </x:c>
      <x:c r="N1109" s="6" t="n">
        <x:f>ROUNDUP(F1109/英雄升级调参!$H$112,0)</x:f>
        <x:v>2</x:v>
      </x:c>
      <x:c r="O1109" s="6" t="n">
        <x:f>ROUNDUP(F1109/英雄升级调参!$K$112,0)</x:f>
        <x:v>2</x:v>
      </x:c>
      <x:c r="P1109" s="6" t="str">
        <x:f>$AA$31</x:f>
        <x:v>普通：3次标准普攻击杀；10次主要攻击致死</x:v>
      </x:c>
      <x:c r="Q1109" s="6"/>
      <x:c r="R1109" s="6"/>
      <x:c r="S1109" s="6"/>
      <x:c r="T1109" s="6"/>
    </x:row>
    <x:row r="1110" ht="21" customHeight="1">
      <x:c r="A1110" s="14" t="n">
        <x:f>$V$31</x:f>
        <x:v>60018</x:v>
      </x:c>
      <x:c r="B1110" s="14" t="str">
        <x:f>$W$31</x:f>
        <x:v>蝙蝠</x:v>
      </x:c>
      <x:c r="C1110" s="6" t="str">
        <x:f>$X$31</x:f>
        <x:v>飞行</x:v>
      </x:c>
      <x:c r="D1110" s="6">
        <x:v>48</x:v>
      </x:c>
      <x:c r="E1110" s="6">
        <x:v>31</x:v>
      </x:c>
      <x:c r="F1110" s="12">
        <x:f>ROUND(J1110*$W$4*H1110,0)</x:f>
        <x:v>11223</x:v>
      </x:c>
      <x:c r="G1110" s="12">
        <x:f>ROUND(J1110*$W$4*$W$5*I1110,0)</x:f>
        <x:v>3741</x:v>
      </x:c>
      <x:c r="H1110" s="11" t="n">
        <x:f>$Y$31</x:f>
        <x:v>0.75</x:v>
      </x:c>
      <x:c r="I1110" s="11" t="n">
        <x:f>$Z$31</x:f>
        <x:v>3.3333333333333335</x:v>
      </x:c>
      <x:c r="J1110" s="12">
        <x:f>英雄升级调参!$E$113</x:f>
        <x:v>3741</x:v>
      </x:c>
      <x:c r="K1110" s="12">
        <x:f>英雄升级调参!$F$113</x:f>
        <x:v>37410</x:v>
      </x:c>
      <x:c r="L1110" s="6" t="n">
        <x:f>ROUNDUP(F1110/J1110,0)</x:f>
        <x:v>3</x:v>
      </x:c>
      <x:c r="M1110" s="6" t="n">
        <x:f>IF(G1110=0,"无伤害",ROUNDUP(K1110/MAX(1,ROUND(G1110*$AC$31,0)),0))</x:f>
        <x:v>10</x:v>
      </x:c>
      <x:c r="N1110" s="6" t="n">
        <x:f>ROUNDUP(F1110/英雄升级调参!$H$113,0)</x:f>
        <x:v>2</x:v>
      </x:c>
      <x:c r="O1110" s="6" t="n">
        <x:f>ROUNDUP(F1110/英雄升级调参!$K$113,0)</x:f>
        <x:v>2</x:v>
      </x:c>
      <x:c r="P1110" s="6" t="str">
        <x:f>$AA$31</x:f>
        <x:v>普通：3次标准普攻击杀；10次主要攻击致死</x:v>
      </x:c>
      <x:c r="Q1110" s="6"/>
      <x:c r="R1110" s="6"/>
      <x:c r="S1110" s="6"/>
      <x:c r="T1110" s="6"/>
    </x:row>
    <x:row r="1111" ht="21" customHeight="1">
      <x:c r="A1111" s="14" t="n">
        <x:f>$V$31</x:f>
        <x:v>60018</x:v>
      </x:c>
      <x:c r="B1111" s="14" t="str">
        <x:f>$W$31</x:f>
        <x:v>蝙蝠</x:v>
      </x:c>
      <x:c r="C1111" s="6" t="str">
        <x:f>$X$31</x:f>
        <x:v>飞行</x:v>
      </x:c>
      <x:c r="D1111" s="6">
        <x:v>49</x:v>
      </x:c>
      <x:c r="E1111" s="6">
        <x:v>31</x:v>
      </x:c>
      <x:c r="F1111" s="12">
        <x:f>ROUND(J1111*$W$4*H1111,0)</x:f>
        <x:v>11520</x:v>
      </x:c>
      <x:c r="G1111" s="12">
        <x:f>ROUND(J1111*$W$4*$W$5*I1111,0)</x:f>
        <x:v>3840</x:v>
      </x:c>
      <x:c r="H1111" s="11" t="n">
        <x:f>$Y$31</x:f>
        <x:v>0.75</x:v>
      </x:c>
      <x:c r="I1111" s="11" t="n">
        <x:f>$Z$31</x:f>
        <x:v>3.3333333333333335</x:v>
      </x:c>
      <x:c r="J1111" s="12">
        <x:f>英雄升级调参!$E$114</x:f>
        <x:v>3840</x:v>
      </x:c>
      <x:c r="K1111" s="12">
        <x:f>英雄升级调参!$F$114</x:f>
        <x:v>38400</x:v>
      </x:c>
      <x:c r="L1111" s="6" t="n">
        <x:f>ROUNDUP(F1111/J1111,0)</x:f>
        <x:v>3</x:v>
      </x:c>
      <x:c r="M1111" s="6" t="n">
        <x:f>IF(G1111=0,"无伤害",ROUNDUP(K1111/MAX(1,ROUND(G1111*$AC$31,0)),0))</x:f>
        <x:v>10</x:v>
      </x:c>
      <x:c r="N1111" s="6" t="n">
        <x:f>ROUNDUP(F1111/英雄升级调参!$H$114,0)</x:f>
        <x:v>2</x:v>
      </x:c>
      <x:c r="O1111" s="6" t="n">
        <x:f>ROUNDUP(F1111/英雄升级调参!$K$114,0)</x:f>
        <x:v>2</x:v>
      </x:c>
      <x:c r="P1111" s="6" t="str">
        <x:f>$AA$31</x:f>
        <x:v>普通：3次标准普攻击杀；10次主要攻击致死</x:v>
      </x:c>
      <x:c r="Q1111" s="6"/>
      <x:c r="R1111" s="6"/>
      <x:c r="S1111" s="6"/>
      <x:c r="T1111" s="6"/>
    </x:row>
    <x:row r="1112" ht="21" customHeight="1">
      <x:c r="A1112" s="14" t="n">
        <x:f>$V$31</x:f>
        <x:v>60018</x:v>
      </x:c>
      <x:c r="B1112" s="14" t="str">
        <x:f>$W$31</x:f>
        <x:v>蝙蝠</x:v>
      </x:c>
      <x:c r="C1112" s="6" t="str">
        <x:f>$X$31</x:f>
        <x:v>飞行</x:v>
      </x:c>
      <x:c r="D1112" s="6">
        <x:v>50</x:v>
      </x:c>
      <x:c r="E1112" s="6">
        <x:v>31</x:v>
      </x:c>
      <x:c r="F1112" s="12">
        <x:f>ROUND(J1112*$W$4*H1112,0)</x:f>
        <x:v>12411</x:v>
      </x:c>
      <x:c r="G1112" s="12">
        <x:f>ROUND(J1112*$W$4*$W$5*I1112,0)</x:f>
        <x:v>4137</x:v>
      </x:c>
      <x:c r="H1112" s="11" t="n">
        <x:f>$Y$31</x:f>
        <x:v>0.75</x:v>
      </x:c>
      <x:c r="I1112" s="11" t="n">
        <x:f>$Z$31</x:f>
        <x:v>3.3333333333333335</x:v>
      </x:c>
      <x:c r="J1112" s="12">
        <x:f>英雄升级调参!$E$115</x:f>
        <x:v>4137</x:v>
      </x:c>
      <x:c r="K1112" s="12">
        <x:f>英雄升级调参!$F$115</x:f>
        <x:v>41370</x:v>
      </x:c>
      <x:c r="L1112" s="6" t="n">
        <x:f>ROUNDUP(F1112/J1112,0)</x:f>
        <x:v>3</x:v>
      </x:c>
      <x:c r="M1112" s="6" t="n">
        <x:f>IF(G1112=0,"无伤害",ROUNDUP(K1112/MAX(1,ROUND(G1112*$AC$31,0)),0))</x:f>
        <x:v>10</x:v>
      </x:c>
      <x:c r="N1112" s="6" t="n">
        <x:f>ROUNDUP(F1112/英雄升级调参!$H$115,0)</x:f>
        <x:v>2</x:v>
      </x:c>
      <x:c r="O1112" s="6" t="n">
        <x:f>ROUNDUP(F1112/英雄升级调参!$K$115,0)</x:f>
        <x:v>2</x:v>
      </x:c>
      <x:c r="P1112" s="6" t="str">
        <x:f>$AA$31</x:f>
        <x:v>普通：3次标准普攻击杀；10次主要攻击致死</x:v>
      </x:c>
      <x:c r="Q1112" s="6"/>
      <x:c r="R1112" s="6"/>
      <x:c r="S1112" s="6"/>
      <x:c r="T1112" s="6"/>
    </x:row>
    <x:row r="1113" ht="21" customHeight="1">
      <x:c r="A1113" s="14" t="n">
        <x:f>$V$32</x:f>
        <x:v>60019</x:v>
      </x:c>
      <x:c r="B1113" s="14" t="str">
        <x:f>$W$32</x:f>
        <x:v>菠萝战士</x:v>
      </x:c>
      <x:c r="C1113" s="6" t="str">
        <x:f>$X$32</x:f>
        <x:v>精英</x:v>
      </x:c>
      <x:c r="D1113" s="6">
        <x:v>1</x:v>
      </x:c>
      <x:c r="E1113" s="6">
        <x:v>32</x:v>
      </x:c>
      <x:c r="F1113" s="12" t="n">
        <x:f>ROUND(J1113*$W$4*H1113,0)</x:f>
        <x:v>900</x:v>
      </x:c>
      <x:c r="G1113" s="12" t="n">
        <x:f>ROUND(J1113*$W$4*$W$5*I1113,0)</x:f>
        <x:v>53</x:v>
      </x:c>
      <x:c r="H1113" s="11" t="n">
        <x:f>$Y$32</x:f>
        <x:v>3.75</x:v>
      </x:c>
      <x:c r="I1113" s="11" t="n">
        <x:f>$Z$32</x:f>
        <x:v>2.9629629629629632</x:v>
      </x:c>
      <x:c r="J1113" s="12" t="n">
        <x:f>英雄升级调参!$E$66</x:f>
        <x:v>60</x:v>
      </x:c>
      <x:c r="K1113" s="12" t="n">
        <x:f>英雄升级调参!$F$66</x:f>
        <x:v>600</x:v>
      </x:c>
      <x:c r="L1113" s="6" t="n">
        <x:f>ROUNDUP(F1113/J1113,0)</x:f>
        <x:v>15</x:v>
      </x:c>
      <x:c r="M1113" s="6" t="n">
        <x:f>IF(G1113=0,"无伤害",ROUNDUP(K1113/MAX(1,ROUND(G1113*$AC$32,0)),0))</x:f>
        <x:v>8</x:v>
      </x:c>
      <x:c r="N1113" s="6">
        <x:f>ROUNDUP(F1113/英雄升级调参!$H$66,0)</x:f>
        <x:v>5</x:v>
      </x:c>
      <x:c r="O1113" s="6">
        <x:f>ROUNDUP(F1113/英雄升级调参!$K$66,0)</x:f>
        <x:v>3</x:v>
      </x:c>
      <x:c r="P1113" s="6" t="str">
        <x:f>$AA$32</x:f>
        <x:v>精英：15次标准普攻击杀；7.5次主要攻击致死</x:v>
      </x:c>
      <x:c r="Q1113" s="6"/>
      <x:c r="R1113" s="6"/>
      <x:c r="S1113" s="6"/>
      <x:c r="T1113" s="6"/>
    </x:row>
    <x:row r="1114" ht="21" customHeight="1">
      <x:c r="A1114" s="14" t="n">
        <x:f>$V$32</x:f>
        <x:v>60019</x:v>
      </x:c>
      <x:c r="B1114" s="14" t="str">
        <x:f>$W$32</x:f>
        <x:v>菠萝战士</x:v>
      </x:c>
      <x:c r="C1114" s="6" t="str">
        <x:f>$X$32</x:f>
        <x:v>精英</x:v>
      </x:c>
      <x:c r="D1114" s="6">
        <x:v>2</x:v>
      </x:c>
      <x:c r="E1114" s="6">
        <x:v>32</x:v>
      </x:c>
      <x:c r="F1114" s="12">
        <x:f>ROUND(J1114*$W$4*H1114,0)</x:f>
        <x:v>1170</x:v>
      </x:c>
      <x:c r="G1114" s="12">
        <x:f>ROUND(J1114*$W$4*$W$5*I1114,0)</x:f>
        <x:v>69</x:v>
      </x:c>
      <x:c r="H1114" s="11" t="n">
        <x:f>$Y$32</x:f>
        <x:v>3.75</x:v>
      </x:c>
      <x:c r="I1114" s="11" t="n">
        <x:f>$Z$32</x:f>
        <x:v>2.9629629629629632</x:v>
      </x:c>
      <x:c r="J1114" s="12">
        <x:f>英雄升级调参!$E$67</x:f>
        <x:v>78</x:v>
      </x:c>
      <x:c r="K1114" s="12">
        <x:f>英雄升级调参!$F$67</x:f>
        <x:v>780</x:v>
      </x:c>
      <x:c r="L1114" s="6" t="n">
        <x:f>ROUNDUP(F1114/J1114,0)</x:f>
        <x:v>15</x:v>
      </x:c>
      <x:c r="M1114" s="6" t="n">
        <x:f>IF(G1114=0,"无伤害",ROUNDUP(K1114/MAX(1,ROUND(G1114*$AC$32,0)),0))</x:f>
        <x:v>8</x:v>
      </x:c>
      <x:c r="N1114" s="6">
        <x:f>ROUNDUP(F1114/英雄升级调参!$H$67,0)</x:f>
        <x:v>6</x:v>
      </x:c>
      <x:c r="O1114" s="6">
        <x:f>ROUNDUP(F1114/英雄升级调参!$K$67,0)</x:f>
        <x:v>3</x:v>
      </x:c>
      <x:c r="P1114" s="6" t="str">
        <x:f>$AA$32</x:f>
        <x:v>精英：15次标准普攻击杀；7.5次主要攻击致死</x:v>
      </x:c>
      <x:c r="Q1114" s="6"/>
      <x:c r="R1114" s="6"/>
      <x:c r="S1114" s="6"/>
      <x:c r="T1114" s="6"/>
    </x:row>
    <x:row r="1115" ht="21" customHeight="1">
      <x:c r="A1115" s="14" t="n">
        <x:f>$V$32</x:f>
        <x:v>60019</x:v>
      </x:c>
      <x:c r="B1115" s="14" t="str">
        <x:f>$W$32</x:f>
        <x:v>菠萝战士</x:v>
      </x:c>
      <x:c r="C1115" s="6" t="str">
        <x:f>$X$32</x:f>
        <x:v>精英</x:v>
      </x:c>
      <x:c r="D1115" s="6">
        <x:v>3</x:v>
      </x:c>
      <x:c r="E1115" s="6">
        <x:v>32</x:v>
      </x:c>
      <x:c r="F1115" s="12">
        <x:f>ROUND(J1115*$W$4*H1115,0)</x:f>
        <x:v>1440</x:v>
      </x:c>
      <x:c r="G1115" s="12">
        <x:f>ROUND(J1115*$W$4*$W$5*I1115,0)</x:f>
        <x:v>85</x:v>
      </x:c>
      <x:c r="H1115" s="11" t="n">
        <x:f>$Y$32</x:f>
        <x:v>3.75</x:v>
      </x:c>
      <x:c r="I1115" s="11" t="n">
        <x:f>$Z$32</x:f>
        <x:v>2.9629629629629632</x:v>
      </x:c>
      <x:c r="J1115" s="12">
        <x:f>英雄升级调参!$E$68</x:f>
        <x:v>96</x:v>
      </x:c>
      <x:c r="K1115" s="12">
        <x:f>英雄升级调参!$F$68</x:f>
        <x:v>960</x:v>
      </x:c>
      <x:c r="L1115" s="6" t="n">
        <x:f>ROUNDUP(F1115/J1115,0)</x:f>
        <x:v>15</x:v>
      </x:c>
      <x:c r="M1115" s="6" t="n">
        <x:f>IF(G1115=0,"无伤害",ROUNDUP(K1115/MAX(1,ROUND(G1115*$AC$32,0)),0))</x:f>
        <x:v>8</x:v>
      </x:c>
      <x:c r="N1115" s="6">
        <x:f>ROUNDUP(F1115/英雄升级调参!$H$68,0)</x:f>
        <x:v>6</x:v>
      </x:c>
      <x:c r="O1115" s="6">
        <x:f>ROUNDUP(F1115/英雄升级调参!$K$68,0)</x:f>
        <x:v>4</x:v>
      </x:c>
      <x:c r="P1115" s="6" t="str">
        <x:f>$AA$32</x:f>
        <x:v>精英：15次标准普攻击杀；7.5次主要攻击致死</x:v>
      </x:c>
      <x:c r="Q1115" s="6"/>
      <x:c r="R1115" s="6"/>
      <x:c r="S1115" s="6"/>
      <x:c r="T1115" s="6"/>
    </x:row>
    <x:row r="1116" ht="21" customHeight="1">
      <x:c r="A1116" s="14" t="n">
        <x:f>$V$32</x:f>
        <x:v>60019</x:v>
      </x:c>
      <x:c r="B1116" s="14" t="str">
        <x:f>$W$32</x:f>
        <x:v>菠萝战士</x:v>
      </x:c>
      <x:c r="C1116" s="6" t="str">
        <x:f>$X$32</x:f>
        <x:v>精英</x:v>
      </x:c>
      <x:c r="D1116" s="6">
        <x:v>4</x:v>
      </x:c>
      <x:c r="E1116" s="6">
        <x:v>32</x:v>
      </x:c>
      <x:c r="F1116" s="12">
        <x:f>ROUND(J1116*$W$4*H1116,0)</x:f>
        <x:v>1710</x:v>
      </x:c>
      <x:c r="G1116" s="12">
        <x:f>ROUND(J1116*$W$4*$W$5*I1116,0)</x:f>
        <x:v>101</x:v>
      </x:c>
      <x:c r="H1116" s="11" t="n">
        <x:f>$Y$32</x:f>
        <x:v>3.75</x:v>
      </x:c>
      <x:c r="I1116" s="11" t="n">
        <x:f>$Z$32</x:f>
        <x:v>2.9629629629629632</x:v>
      </x:c>
      <x:c r="J1116" s="12">
        <x:f>英雄升级调参!$E$69</x:f>
        <x:v>114</x:v>
      </x:c>
      <x:c r="K1116" s="12">
        <x:f>英雄升级调参!$F$69</x:f>
        <x:v>1140</x:v>
      </x:c>
      <x:c r="L1116" s="6" t="n">
        <x:f>ROUNDUP(F1116/J1116,0)</x:f>
        <x:v>15</x:v>
      </x:c>
      <x:c r="M1116" s="6" t="n">
        <x:f>IF(G1116=0,"无伤害",ROUNDUP(K1116/MAX(1,ROUND(G1116*$AC$32,0)),0))</x:f>
        <x:v>8</x:v>
      </x:c>
      <x:c r="N1116" s="6">
        <x:f>ROUNDUP(F1116/英雄升级调参!$H$69,0)</x:f>
        <x:v>7</x:v>
      </x:c>
      <x:c r="O1116" s="6">
        <x:f>ROUNDUP(F1116/英雄升级调参!$K$69,0)</x:f>
        <x:v>4</x:v>
      </x:c>
      <x:c r="P1116" s="6" t="str">
        <x:f>$AA$32</x:f>
        <x:v>精英：15次标准普攻击杀；7.5次主要攻击致死</x:v>
      </x:c>
      <x:c r="Q1116" s="6"/>
      <x:c r="R1116" s="6"/>
      <x:c r="S1116" s="6"/>
      <x:c r="T1116" s="6"/>
    </x:row>
    <x:row r="1117" ht="21" customHeight="1">
      <x:c r="A1117" s="14" t="n">
        <x:f>$V$32</x:f>
        <x:v>60019</x:v>
      </x:c>
      <x:c r="B1117" s="14" t="str">
        <x:f>$W$32</x:f>
        <x:v>菠萝战士</x:v>
      </x:c>
      <x:c r="C1117" s="6" t="str">
        <x:f>$X$32</x:f>
        <x:v>精英</x:v>
      </x:c>
      <x:c r="D1117" s="6">
        <x:v>5</x:v>
      </x:c>
      <x:c r="E1117" s="6">
        <x:v>32</x:v>
      </x:c>
      <x:c r="F1117" s="12">
        <x:f>ROUND(J1117*$W$4*H1117,0)</x:f>
        <x:v>2520</x:v>
      </x:c>
      <x:c r="G1117" s="12">
        <x:f>ROUND(J1117*$W$4*$W$5*I1117,0)</x:f>
        <x:v>149</x:v>
      </x:c>
      <x:c r="H1117" s="11" t="n">
        <x:f>$Y$32</x:f>
        <x:v>3.75</x:v>
      </x:c>
      <x:c r="I1117" s="11" t="n">
        <x:f>$Z$32</x:f>
        <x:v>2.9629629629629632</x:v>
      </x:c>
      <x:c r="J1117" s="12">
        <x:f>英雄升级调参!$E$70</x:f>
        <x:v>168</x:v>
      </x:c>
      <x:c r="K1117" s="12">
        <x:f>英雄升级调参!$F$70</x:f>
        <x:v>1680</x:v>
      </x:c>
      <x:c r="L1117" s="6" t="n">
        <x:f>ROUNDUP(F1117/J1117,0)</x:f>
        <x:v>15</x:v>
      </x:c>
      <x:c r="M1117" s="6" t="n">
        <x:f>IF(G1117=0,"无伤害",ROUNDUP(K1117/MAX(1,ROUND(G1117*$AC$32,0)),0))</x:f>
        <x:v>8</x:v>
      </x:c>
      <x:c r="N1117" s="6">
        <x:f>ROUNDUP(F1117/英雄升级调参!$H$70,0)</x:f>
        <x:v>8</x:v>
      </x:c>
      <x:c r="O1117" s="6">
        <x:f>ROUNDUP(F1117/英雄升级调参!$K$70,0)</x:f>
        <x:v>5</x:v>
      </x:c>
      <x:c r="P1117" s="6" t="str">
        <x:f>$AA$32</x:f>
        <x:v>精英：15次标准普攻击杀；7.5次主要攻击致死</x:v>
      </x:c>
      <x:c r="Q1117" s="6"/>
      <x:c r="R1117" s="6"/>
      <x:c r="S1117" s="6"/>
      <x:c r="T1117" s="6"/>
    </x:row>
    <x:row r="1118" ht="21" customHeight="1">
      <x:c r="A1118" s="14" t="n">
        <x:f>$V$32</x:f>
        <x:v>60019</x:v>
      </x:c>
      <x:c r="B1118" s="14" t="str">
        <x:f>$W$32</x:f>
        <x:v>菠萝战士</x:v>
      </x:c>
      <x:c r="C1118" s="6" t="str">
        <x:f>$X$32</x:f>
        <x:v>精英</x:v>
      </x:c>
      <x:c r="D1118" s="6">
        <x:v>6</x:v>
      </x:c>
      <x:c r="E1118" s="6">
        <x:v>32</x:v>
      </x:c>
      <x:c r="F1118" s="12">
        <x:f>ROUND(J1118*$W$4*H1118,0)</x:f>
        <x:v>2925</x:v>
      </x:c>
      <x:c r="G1118" s="12">
        <x:f>ROUND(J1118*$W$4*$W$5*I1118,0)</x:f>
        <x:v>173</x:v>
      </x:c>
      <x:c r="H1118" s="11" t="n">
        <x:f>$Y$32</x:f>
        <x:v>3.75</x:v>
      </x:c>
      <x:c r="I1118" s="11" t="n">
        <x:f>$Z$32</x:f>
        <x:v>2.9629629629629632</x:v>
      </x:c>
      <x:c r="J1118" s="12">
        <x:f>英雄升级调参!$E$71</x:f>
        <x:v>195</x:v>
      </x:c>
      <x:c r="K1118" s="12">
        <x:f>英雄升级调参!$F$71</x:f>
        <x:v>1950</x:v>
      </x:c>
      <x:c r="L1118" s="6" t="n">
        <x:f>ROUNDUP(F1118/J1118,0)</x:f>
        <x:v>15</x:v>
      </x:c>
      <x:c r="M1118" s="6" t="n">
        <x:f>IF(G1118=0,"无伤害",ROUNDUP(K1118/MAX(1,ROUND(G1118*$AC$32,0)),0))</x:f>
        <x:v>8</x:v>
      </x:c>
      <x:c r="N1118" s="6">
        <x:f>ROUNDUP(F1118/英雄升级调参!$H$71,0)</x:f>
        <x:v>8</x:v>
      </x:c>
      <x:c r="O1118" s="6">
        <x:f>ROUNDUP(F1118/英雄升级调参!$K$71,0)</x:f>
        <x:v>5</x:v>
      </x:c>
      <x:c r="P1118" s="6" t="str">
        <x:f>$AA$32</x:f>
        <x:v>精英：15次标准普攻击杀；7.5次主要攻击致死</x:v>
      </x:c>
      <x:c r="Q1118" s="6"/>
      <x:c r="R1118" s="6"/>
      <x:c r="S1118" s="6"/>
      <x:c r="T1118" s="6"/>
    </x:row>
    <x:row r="1119" ht="21" customHeight="1">
      <x:c r="A1119" s="14" t="n">
        <x:f>$V$32</x:f>
        <x:v>60019</x:v>
      </x:c>
      <x:c r="B1119" s="14" t="str">
        <x:f>$W$32</x:f>
        <x:v>菠萝战士</x:v>
      </x:c>
      <x:c r="C1119" s="6" t="str">
        <x:f>$X$32</x:f>
        <x:v>精英</x:v>
      </x:c>
      <x:c r="D1119" s="6">
        <x:v>7</x:v>
      </x:c>
      <x:c r="E1119" s="6">
        <x:v>32</x:v>
      </x:c>
      <x:c r="F1119" s="12">
        <x:f>ROUND(J1119*$W$4*H1119,0)</x:f>
        <x:v>3330</x:v>
      </x:c>
      <x:c r="G1119" s="12">
        <x:f>ROUND(J1119*$W$4*$W$5*I1119,0)</x:f>
        <x:v>197</x:v>
      </x:c>
      <x:c r="H1119" s="11" t="n">
        <x:f>$Y$32</x:f>
        <x:v>3.75</x:v>
      </x:c>
      <x:c r="I1119" s="11" t="n">
        <x:f>$Z$32</x:f>
        <x:v>2.9629629629629632</x:v>
      </x:c>
      <x:c r="J1119" s="12">
        <x:f>英雄升级调参!$E$72</x:f>
        <x:v>222</x:v>
      </x:c>
      <x:c r="K1119" s="12">
        <x:f>英雄升级调参!$F$72</x:f>
        <x:v>2220</x:v>
      </x:c>
      <x:c r="L1119" s="6" t="n">
        <x:f>ROUNDUP(F1119/J1119,0)</x:f>
        <x:v>15</x:v>
      </x:c>
      <x:c r="M1119" s="6" t="n">
        <x:f>IF(G1119=0,"无伤害",ROUNDUP(K1119/MAX(1,ROUND(G1119*$AC$32,0)),0))</x:f>
        <x:v>8</x:v>
      </x:c>
      <x:c r="N1119" s="6">
        <x:f>ROUNDUP(F1119/英雄升级调参!$H$72,0)</x:f>
        <x:v>8</x:v>
      </x:c>
      <x:c r="O1119" s="6">
        <x:f>ROUNDUP(F1119/英雄升级调参!$K$72,0)</x:f>
        <x:v>5</x:v>
      </x:c>
      <x:c r="P1119" s="6" t="str">
        <x:f>$AA$32</x:f>
        <x:v>精英：15次标准普攻击杀；7.5次主要攻击致死</x:v>
      </x:c>
      <x:c r="Q1119" s="6"/>
      <x:c r="R1119" s="6"/>
      <x:c r="S1119" s="6"/>
      <x:c r="T1119" s="6"/>
    </x:row>
    <x:row r="1120" ht="21" customHeight="1">
      <x:c r="A1120" s="14" t="n">
        <x:f>$V$32</x:f>
        <x:v>60019</x:v>
      </x:c>
      <x:c r="B1120" s="14" t="str">
        <x:f>$W$32</x:f>
        <x:v>菠萝战士</x:v>
      </x:c>
      <x:c r="C1120" s="6" t="str">
        <x:f>$X$32</x:f>
        <x:v>精英</x:v>
      </x:c>
      <x:c r="D1120" s="6">
        <x:v>8</x:v>
      </x:c>
      <x:c r="E1120" s="6">
        <x:v>32</x:v>
      </x:c>
      <x:c r="F1120" s="12">
        <x:f>ROUND(J1120*$W$4*H1120,0)</x:f>
        <x:v>3735</x:v>
      </x:c>
      <x:c r="G1120" s="12">
        <x:f>ROUND(J1120*$W$4*$W$5*I1120,0)</x:f>
        <x:v>221</x:v>
      </x:c>
      <x:c r="H1120" s="11" t="n">
        <x:f>$Y$32</x:f>
        <x:v>3.75</x:v>
      </x:c>
      <x:c r="I1120" s="11" t="n">
        <x:f>$Z$32</x:f>
        <x:v>2.9629629629629632</x:v>
      </x:c>
      <x:c r="J1120" s="12">
        <x:f>英雄升级调参!$E$73</x:f>
        <x:v>249</x:v>
      </x:c>
      <x:c r="K1120" s="12">
        <x:f>英雄升级调参!$F$73</x:f>
        <x:v>2490</x:v>
      </x:c>
      <x:c r="L1120" s="6" t="n">
        <x:f>ROUNDUP(F1120/J1120,0)</x:f>
        <x:v>15</x:v>
      </x:c>
      <x:c r="M1120" s="6" t="n">
        <x:f>IF(G1120=0,"无伤害",ROUNDUP(K1120/MAX(1,ROUND(G1120*$AC$32,0)),0))</x:f>
        <x:v>8</x:v>
      </x:c>
      <x:c r="N1120" s="6">
        <x:f>ROUNDUP(F1120/英雄升级调参!$H$73,0)</x:f>
        <x:v>8</x:v>
      </x:c>
      <x:c r="O1120" s="6">
        <x:f>ROUNDUP(F1120/英雄升级调参!$K$73,0)</x:f>
        <x:v>5</x:v>
      </x:c>
      <x:c r="P1120" s="6" t="str">
        <x:f>$AA$32</x:f>
        <x:v>精英：15次标准普攻击杀；7.5次主要攻击致死</x:v>
      </x:c>
      <x:c r="Q1120" s="6"/>
      <x:c r="R1120" s="6"/>
      <x:c r="S1120" s="6"/>
      <x:c r="T1120" s="6"/>
    </x:row>
    <x:row r="1121" ht="21" customHeight="1">
      <x:c r="A1121" s="14" t="n">
        <x:f>$V$32</x:f>
        <x:v>60019</x:v>
      </x:c>
      <x:c r="B1121" s="14" t="str">
        <x:f>$W$32</x:f>
        <x:v>菠萝战士</x:v>
      </x:c>
      <x:c r="C1121" s="6" t="str">
        <x:f>$X$32</x:f>
        <x:v>精英</x:v>
      </x:c>
      <x:c r="D1121" s="6">
        <x:v>9</x:v>
      </x:c>
      <x:c r="E1121" s="6">
        <x:v>32</x:v>
      </x:c>
      <x:c r="F1121" s="12">
        <x:f>ROUND(J1121*$W$4*H1121,0)</x:f>
        <x:v>4140</x:v>
      </x:c>
      <x:c r="G1121" s="12">
        <x:f>ROUND(J1121*$W$4*$W$5*I1121,0)</x:f>
        <x:v>245</x:v>
      </x:c>
      <x:c r="H1121" s="11" t="n">
        <x:f>$Y$32</x:f>
        <x:v>3.75</x:v>
      </x:c>
      <x:c r="I1121" s="11" t="n">
        <x:f>$Z$32</x:f>
        <x:v>2.9629629629629632</x:v>
      </x:c>
      <x:c r="J1121" s="12">
        <x:f>英雄升级调参!$E$74</x:f>
        <x:v>276</x:v>
      </x:c>
      <x:c r="K1121" s="12">
        <x:f>英雄升级调参!$F$74</x:f>
        <x:v>2760</x:v>
      </x:c>
      <x:c r="L1121" s="6" t="n">
        <x:f>ROUNDUP(F1121/J1121,0)</x:f>
        <x:v>15</x:v>
      </x:c>
      <x:c r="M1121" s="6" t="n">
        <x:f>IF(G1121=0,"无伤害",ROUNDUP(K1121/MAX(1,ROUND(G1121*$AC$32,0)),0))</x:f>
        <x:v>8</x:v>
      </x:c>
      <x:c r="N1121" s="6">
        <x:f>ROUNDUP(F1121/英雄升级调参!$H$74,0)</x:f>
        <x:v>8</x:v>
      </x:c>
      <x:c r="O1121" s="6">
        <x:f>ROUNDUP(F1121/英雄升级调参!$K$74,0)</x:f>
        <x:v>5</x:v>
      </x:c>
      <x:c r="P1121" s="6" t="str">
        <x:f>$AA$32</x:f>
        <x:v>精英：15次标准普攻击杀；7.5次主要攻击致死</x:v>
      </x:c>
      <x:c r="Q1121" s="6"/>
      <x:c r="R1121" s="6"/>
      <x:c r="S1121" s="6"/>
      <x:c r="T1121" s="6"/>
    </x:row>
    <x:row r="1122" ht="21" customHeight="1">
      <x:c r="A1122" s="14" t="n">
        <x:f>$V$32</x:f>
        <x:v>60019</x:v>
      </x:c>
      <x:c r="B1122" s="14" t="str">
        <x:f>$W$32</x:f>
        <x:v>菠萝战士</x:v>
      </x:c>
      <x:c r="C1122" s="6" t="str">
        <x:f>$X$32</x:f>
        <x:v>精英</x:v>
      </x:c>
      <x:c r="D1122" s="6">
        <x:v>10</x:v>
      </x:c>
      <x:c r="E1122" s="6">
        <x:v>32</x:v>
      </x:c>
      <x:c r="F1122" s="12">
        <x:f>ROUND(J1122*$W$4*H1122,0)</x:f>
        <x:v>5355</x:v>
      </x:c>
      <x:c r="G1122" s="12">
        <x:f>ROUND(J1122*$W$4*$W$5*I1122,0)</x:f>
        <x:v>317</x:v>
      </x:c>
      <x:c r="H1122" s="11" t="n">
        <x:f>$Y$32</x:f>
        <x:v>3.75</x:v>
      </x:c>
      <x:c r="I1122" s="11" t="n">
        <x:f>$Z$32</x:f>
        <x:v>2.9629629629629632</x:v>
      </x:c>
      <x:c r="J1122" s="12">
        <x:f>英雄升级调参!$E$75</x:f>
        <x:v>357</x:v>
      </x:c>
      <x:c r="K1122" s="12">
        <x:f>英雄升级调参!$F$75</x:f>
        <x:v>3570</x:v>
      </x:c>
      <x:c r="L1122" s="6" t="n">
        <x:f>ROUNDUP(F1122/J1122,0)</x:f>
        <x:v>15</x:v>
      </x:c>
      <x:c r="M1122" s="6" t="n">
        <x:f>IF(G1122=0,"无伤害",ROUNDUP(K1122/MAX(1,ROUND(G1122*$AC$32,0)),0))</x:f>
        <x:v>8</x:v>
      </x:c>
      <x:c r="N1122" s="6">
        <x:f>ROUNDUP(F1122/英雄升级调参!$H$75,0)</x:f>
        <x:v>9</x:v>
      </x:c>
      <x:c r="O1122" s="6">
        <x:f>ROUNDUP(F1122/英雄升级调参!$K$75,0)</x:f>
        <x:v>5</x:v>
      </x:c>
      <x:c r="P1122" s="6" t="str">
        <x:f>$AA$32</x:f>
        <x:v>精英：15次标准普攻击杀；7.5次主要攻击致死</x:v>
      </x:c>
      <x:c r="Q1122" s="6"/>
      <x:c r="R1122" s="6"/>
      <x:c r="S1122" s="6"/>
      <x:c r="T1122" s="6"/>
    </x:row>
    <x:row r="1123" ht="21" customHeight="1">
      <x:c r="A1123" s="14" t="n">
        <x:f>$V$32</x:f>
        <x:v>60019</x:v>
      </x:c>
      <x:c r="B1123" s="14" t="str">
        <x:f>$W$32</x:f>
        <x:v>菠萝战士</x:v>
      </x:c>
      <x:c r="C1123" s="6" t="str">
        <x:f>$X$32</x:f>
        <x:v>精英</x:v>
      </x:c>
      <x:c r="D1123" s="6">
        <x:v>11</x:v>
      </x:c>
      <x:c r="E1123" s="6">
        <x:v>32</x:v>
      </x:c>
      <x:c r="F1123" s="12">
        <x:f>ROUND(J1123*$W$4*H1123,0)</x:f>
        <x:v>5895</x:v>
      </x:c>
      <x:c r="G1123" s="12">
        <x:f>ROUND(J1123*$W$4*$W$5*I1123,0)</x:f>
        <x:v>349</x:v>
      </x:c>
      <x:c r="H1123" s="11" t="n">
        <x:f>$Y$32</x:f>
        <x:v>3.75</x:v>
      </x:c>
      <x:c r="I1123" s="11" t="n">
        <x:f>$Z$32</x:f>
        <x:v>2.9629629629629632</x:v>
      </x:c>
      <x:c r="J1123" s="12">
        <x:f>英雄升级调参!$E$76</x:f>
        <x:v>393</x:v>
      </x:c>
      <x:c r="K1123" s="12">
        <x:f>英雄升级调参!$F$76</x:f>
        <x:v>3930</x:v>
      </x:c>
      <x:c r="L1123" s="6" t="n">
        <x:f>ROUNDUP(F1123/J1123,0)</x:f>
        <x:v>15</x:v>
      </x:c>
      <x:c r="M1123" s="6" t="n">
        <x:f>IF(G1123=0,"无伤害",ROUNDUP(K1123/MAX(1,ROUND(G1123*$AC$32,0)),0))</x:f>
        <x:v>8</x:v>
      </x:c>
      <x:c r="N1123" s="6">
        <x:f>ROUNDUP(F1123/英雄升级调参!$H$76,0)</x:f>
        <x:v>9</x:v>
      </x:c>
      <x:c r="O1123" s="6">
        <x:f>ROUNDUP(F1123/英雄升级调参!$K$76,0)</x:f>
        <x:v>5</x:v>
      </x:c>
      <x:c r="P1123" s="6" t="str">
        <x:f>$AA$32</x:f>
        <x:v>精英：15次标准普攻击杀；7.5次主要攻击致死</x:v>
      </x:c>
      <x:c r="Q1123" s="6"/>
      <x:c r="R1123" s="6"/>
      <x:c r="S1123" s="6"/>
      <x:c r="T1123" s="6"/>
    </x:row>
    <x:row r="1124" ht="21" customHeight="1">
      <x:c r="A1124" s="14" t="n">
        <x:f>$V$32</x:f>
        <x:v>60019</x:v>
      </x:c>
      <x:c r="B1124" s="14" t="str">
        <x:f>$W$32</x:f>
        <x:v>菠萝战士</x:v>
      </x:c>
      <x:c r="C1124" s="6" t="str">
        <x:f>$X$32</x:f>
        <x:v>精英</x:v>
      </x:c>
      <x:c r="D1124" s="6">
        <x:v>12</x:v>
      </x:c>
      <x:c r="E1124" s="6">
        <x:v>32</x:v>
      </x:c>
      <x:c r="F1124" s="12">
        <x:f>ROUND(J1124*$W$4*H1124,0)</x:f>
        <x:v>6435</x:v>
      </x:c>
      <x:c r="G1124" s="12">
        <x:f>ROUND(J1124*$W$4*$W$5*I1124,0)</x:f>
        <x:v>381</x:v>
      </x:c>
      <x:c r="H1124" s="11" t="n">
        <x:f>$Y$32</x:f>
        <x:v>3.75</x:v>
      </x:c>
      <x:c r="I1124" s="11" t="n">
        <x:f>$Z$32</x:f>
        <x:v>2.9629629629629632</x:v>
      </x:c>
      <x:c r="J1124" s="12">
        <x:f>英雄升级调参!$E$77</x:f>
        <x:v>429</x:v>
      </x:c>
      <x:c r="K1124" s="12">
        <x:f>英雄升级调参!$F$77</x:f>
        <x:v>4290</x:v>
      </x:c>
      <x:c r="L1124" s="6" t="n">
        <x:f>ROUNDUP(F1124/J1124,0)</x:f>
        <x:v>15</x:v>
      </x:c>
      <x:c r="M1124" s="6" t="n">
        <x:f>IF(G1124=0,"无伤害",ROUNDUP(K1124/MAX(1,ROUND(G1124*$AC$32,0)),0))</x:f>
        <x:v>8</x:v>
      </x:c>
      <x:c r="N1124" s="6">
        <x:f>ROUNDUP(F1124/英雄升级调参!$H$77,0)</x:f>
        <x:v>9</x:v>
      </x:c>
      <x:c r="O1124" s="6">
        <x:f>ROUNDUP(F1124/英雄升级调参!$K$77,0)</x:f>
        <x:v>6</x:v>
      </x:c>
      <x:c r="P1124" s="6" t="str">
        <x:f>$AA$32</x:f>
        <x:v>精英：15次标准普攻击杀；7.5次主要攻击致死</x:v>
      </x:c>
      <x:c r="Q1124" s="6"/>
      <x:c r="R1124" s="6"/>
      <x:c r="S1124" s="6"/>
      <x:c r="T1124" s="6"/>
    </x:row>
    <x:row r="1125" ht="21" customHeight="1">
      <x:c r="A1125" s="14" t="n">
        <x:f>$V$32</x:f>
        <x:v>60019</x:v>
      </x:c>
      <x:c r="B1125" s="14" t="str">
        <x:f>$W$32</x:f>
        <x:v>菠萝战士</x:v>
      </x:c>
      <x:c r="C1125" s="6" t="str">
        <x:f>$X$32</x:f>
        <x:v>精英</x:v>
      </x:c>
      <x:c r="D1125" s="6">
        <x:v>13</x:v>
      </x:c>
      <x:c r="E1125" s="6">
        <x:v>32</x:v>
      </x:c>
      <x:c r="F1125" s="12">
        <x:f>ROUND(J1125*$W$4*H1125,0)</x:f>
        <x:v>6975</x:v>
      </x:c>
      <x:c r="G1125" s="12">
        <x:f>ROUND(J1125*$W$4*$W$5*I1125,0)</x:f>
        <x:v>413</x:v>
      </x:c>
      <x:c r="H1125" s="11" t="n">
        <x:f>$Y$32</x:f>
        <x:v>3.75</x:v>
      </x:c>
      <x:c r="I1125" s="11" t="n">
        <x:f>$Z$32</x:f>
        <x:v>2.9629629629629632</x:v>
      </x:c>
      <x:c r="J1125" s="12">
        <x:f>英雄升级调参!$E$78</x:f>
        <x:v>465</x:v>
      </x:c>
      <x:c r="K1125" s="12">
        <x:f>英雄升级调参!$F$78</x:f>
        <x:v>4650</x:v>
      </x:c>
      <x:c r="L1125" s="6" t="n">
        <x:f>ROUNDUP(F1125/J1125,0)</x:f>
        <x:v>15</x:v>
      </x:c>
      <x:c r="M1125" s="6" t="n">
        <x:f>IF(G1125=0,"无伤害",ROUNDUP(K1125/MAX(1,ROUND(G1125*$AC$32,0)),0))</x:f>
        <x:v>8</x:v>
      </x:c>
      <x:c r="N1125" s="6">
        <x:f>ROUNDUP(F1125/英雄升级调参!$H$78,0)</x:f>
        <x:v>9</x:v>
      </x:c>
      <x:c r="O1125" s="6">
        <x:f>ROUNDUP(F1125/英雄升级调参!$K$78,0)</x:f>
        <x:v>6</x:v>
      </x:c>
      <x:c r="P1125" s="6" t="str">
        <x:f>$AA$32</x:f>
        <x:v>精英：15次标准普攻击杀；7.5次主要攻击致死</x:v>
      </x:c>
      <x:c r="Q1125" s="6"/>
      <x:c r="R1125" s="6"/>
      <x:c r="S1125" s="6"/>
      <x:c r="T1125" s="6"/>
    </x:row>
    <x:row r="1126" ht="21" customHeight="1">
      <x:c r="A1126" s="14" t="n">
        <x:f>$V$32</x:f>
        <x:v>60019</x:v>
      </x:c>
      <x:c r="B1126" s="14" t="str">
        <x:f>$W$32</x:f>
        <x:v>菠萝战士</x:v>
      </x:c>
      <x:c r="C1126" s="6" t="str">
        <x:f>$X$32</x:f>
        <x:v>精英</x:v>
      </x:c>
      <x:c r="D1126" s="6">
        <x:v>14</x:v>
      </x:c>
      <x:c r="E1126" s="6">
        <x:v>32</x:v>
      </x:c>
      <x:c r="F1126" s="12">
        <x:f>ROUND(J1126*$W$4*H1126,0)</x:f>
        <x:v>7515</x:v>
      </x:c>
      <x:c r="G1126" s="12">
        <x:f>ROUND(J1126*$W$4*$W$5*I1126,0)</x:f>
        <x:v>445</x:v>
      </x:c>
      <x:c r="H1126" s="11" t="n">
        <x:f>$Y$32</x:f>
        <x:v>3.75</x:v>
      </x:c>
      <x:c r="I1126" s="11" t="n">
        <x:f>$Z$32</x:f>
        <x:v>2.9629629629629632</x:v>
      </x:c>
      <x:c r="J1126" s="12">
        <x:f>英雄升级调参!$E$79</x:f>
        <x:v>501</x:v>
      </x:c>
      <x:c r="K1126" s="12">
        <x:f>英雄升级调参!$F$79</x:f>
        <x:v>5010</x:v>
      </x:c>
      <x:c r="L1126" s="6" t="n">
        <x:f>ROUNDUP(F1126/J1126,0)</x:f>
        <x:v>15</x:v>
      </x:c>
      <x:c r="M1126" s="6" t="n">
        <x:f>IF(G1126=0,"无伤害",ROUNDUP(K1126/MAX(1,ROUND(G1126*$AC$32,0)),0))</x:f>
        <x:v>8</x:v>
      </x:c>
      <x:c r="N1126" s="6">
        <x:f>ROUNDUP(F1126/英雄升级调参!$H$79,0)</x:f>
        <x:v>9</x:v>
      </x:c>
      <x:c r="O1126" s="6">
        <x:f>ROUNDUP(F1126/英雄升级调参!$K$79,0)</x:f>
        <x:v>6</x:v>
      </x:c>
      <x:c r="P1126" s="6" t="str">
        <x:f>$AA$32</x:f>
        <x:v>精英：15次标准普攻击杀；7.5次主要攻击致死</x:v>
      </x:c>
      <x:c r="Q1126" s="6"/>
      <x:c r="R1126" s="6"/>
      <x:c r="S1126" s="6"/>
      <x:c r="T1126" s="6"/>
    </x:row>
    <x:row r="1127" ht="21" customHeight="1">
      <x:c r="A1127" s="14" t="n">
        <x:f>$V$32</x:f>
        <x:v>60019</x:v>
      </x:c>
      <x:c r="B1127" s="14" t="str">
        <x:f>$W$32</x:f>
        <x:v>菠萝战士</x:v>
      </x:c>
      <x:c r="C1127" s="6" t="str">
        <x:f>$X$32</x:f>
        <x:v>精英</x:v>
      </x:c>
      <x:c r="D1127" s="6">
        <x:v>15</x:v>
      </x:c>
      <x:c r="E1127" s="6">
        <x:v>32</x:v>
      </x:c>
      <x:c r="F1127" s="12">
        <x:f>ROUND(J1127*$W$4*H1127,0)</x:f>
        <x:v>9135</x:v>
      </x:c>
      <x:c r="G1127" s="12">
        <x:f>ROUND(J1127*$W$4*$W$5*I1127,0)</x:f>
        <x:v>541</x:v>
      </x:c>
      <x:c r="H1127" s="11" t="n">
        <x:f>$Y$32</x:f>
        <x:v>3.75</x:v>
      </x:c>
      <x:c r="I1127" s="11" t="n">
        <x:f>$Z$32</x:f>
        <x:v>2.9629629629629632</x:v>
      </x:c>
      <x:c r="J1127" s="12">
        <x:f>英雄升级调参!$E$80</x:f>
        <x:v>609</x:v>
      </x:c>
      <x:c r="K1127" s="12">
        <x:f>英雄升级调参!$F$80</x:f>
        <x:v>6090</x:v>
      </x:c>
      <x:c r="L1127" s="6" t="n">
        <x:f>ROUNDUP(F1127/J1127,0)</x:f>
        <x:v>15</x:v>
      </x:c>
      <x:c r="M1127" s="6" t="n">
        <x:f>IF(G1127=0,"无伤害",ROUNDUP(K1127/MAX(1,ROUND(G1127*$AC$32,0)),0))</x:f>
        <x:v>8</x:v>
      </x:c>
      <x:c r="N1127" s="6">
        <x:f>ROUNDUP(F1127/英雄升级调参!$H$80,0)</x:f>
        <x:v>9</x:v>
      </x:c>
      <x:c r="O1127" s="6">
        <x:f>ROUNDUP(F1127/英雄升级调参!$K$80,0)</x:f>
        <x:v>6</x:v>
      </x:c>
      <x:c r="P1127" s="6" t="str">
        <x:f>$AA$32</x:f>
        <x:v>精英：15次标准普攻击杀；7.5次主要攻击致死</x:v>
      </x:c>
      <x:c r="Q1127" s="6"/>
      <x:c r="R1127" s="6"/>
      <x:c r="S1127" s="6"/>
      <x:c r="T1127" s="6"/>
    </x:row>
    <x:row r="1128" ht="21" customHeight="1">
      <x:c r="A1128" s="14" t="n">
        <x:f>$V$32</x:f>
        <x:v>60019</x:v>
      </x:c>
      <x:c r="B1128" s="14" t="str">
        <x:f>$W$32</x:f>
        <x:v>菠萝战士</x:v>
      </x:c>
      <x:c r="C1128" s="6" t="str">
        <x:f>$X$32</x:f>
        <x:v>精英</x:v>
      </x:c>
      <x:c r="D1128" s="6">
        <x:v>16</x:v>
      </x:c>
      <x:c r="E1128" s="6">
        <x:v>32</x:v>
      </x:c>
      <x:c r="F1128" s="12">
        <x:f>ROUND(J1128*$W$4*H1128,0)</x:f>
        <x:v>9810</x:v>
      </x:c>
      <x:c r="G1128" s="12">
        <x:f>ROUND(J1128*$W$4*$W$5*I1128,0)</x:f>
        <x:v>581</x:v>
      </x:c>
      <x:c r="H1128" s="11" t="n">
        <x:f>$Y$32</x:f>
        <x:v>3.75</x:v>
      </x:c>
      <x:c r="I1128" s="11" t="n">
        <x:f>$Z$32</x:f>
        <x:v>2.9629629629629632</x:v>
      </x:c>
      <x:c r="J1128" s="12">
        <x:f>英雄升级调参!$E$81</x:f>
        <x:v>654</x:v>
      </x:c>
      <x:c r="K1128" s="12">
        <x:f>英雄升级调参!$F$81</x:f>
        <x:v>6540</x:v>
      </x:c>
      <x:c r="L1128" s="6" t="n">
        <x:f>ROUNDUP(F1128/J1128,0)</x:f>
        <x:v>15</x:v>
      </x:c>
      <x:c r="M1128" s="6" t="n">
        <x:f>IF(G1128=0,"无伤害",ROUNDUP(K1128/MAX(1,ROUND(G1128*$AC$32,0)),0))</x:f>
        <x:v>8</x:v>
      </x:c>
      <x:c r="N1128" s="6">
        <x:f>ROUNDUP(F1128/英雄升级调参!$H$81,0)</x:f>
        <x:v>9</x:v>
      </x:c>
      <x:c r="O1128" s="6">
        <x:f>ROUNDUP(F1128/英雄升级调参!$K$81,0)</x:f>
        <x:v>6</x:v>
      </x:c>
      <x:c r="P1128" s="6" t="str">
        <x:f>$AA$32</x:f>
        <x:v>精英：15次标准普攻击杀；7.5次主要攻击致死</x:v>
      </x:c>
      <x:c r="Q1128" s="6"/>
      <x:c r="R1128" s="6"/>
      <x:c r="S1128" s="6"/>
      <x:c r="T1128" s="6"/>
    </x:row>
    <x:row r="1129" ht="21" customHeight="1">
      <x:c r="A1129" s="14" t="n">
        <x:f>$V$32</x:f>
        <x:v>60019</x:v>
      </x:c>
      <x:c r="B1129" s="14" t="str">
        <x:f>$W$32</x:f>
        <x:v>菠萝战士</x:v>
      </x:c>
      <x:c r="C1129" s="6" t="str">
        <x:f>$X$32</x:f>
        <x:v>精英</x:v>
      </x:c>
      <x:c r="D1129" s="6">
        <x:v>17</x:v>
      </x:c>
      <x:c r="E1129" s="6">
        <x:v>32</x:v>
      </x:c>
      <x:c r="F1129" s="12">
        <x:f>ROUND(J1129*$W$4*H1129,0)</x:f>
        <x:v>10485</x:v>
      </x:c>
      <x:c r="G1129" s="12">
        <x:f>ROUND(J1129*$W$4*$W$5*I1129,0)</x:f>
        <x:v>621</x:v>
      </x:c>
      <x:c r="H1129" s="11" t="n">
        <x:f>$Y$32</x:f>
        <x:v>3.75</x:v>
      </x:c>
      <x:c r="I1129" s="11" t="n">
        <x:f>$Z$32</x:f>
        <x:v>2.9629629629629632</x:v>
      </x:c>
      <x:c r="J1129" s="12">
        <x:f>英雄升级调参!$E$82</x:f>
        <x:v>699</x:v>
      </x:c>
      <x:c r="K1129" s="12">
        <x:f>英雄升级调参!$F$82</x:f>
        <x:v>6990</x:v>
      </x:c>
      <x:c r="L1129" s="6" t="n">
        <x:f>ROUNDUP(F1129/J1129,0)</x:f>
        <x:v>15</x:v>
      </x:c>
      <x:c r="M1129" s="6" t="n">
        <x:f>IF(G1129=0,"无伤害",ROUNDUP(K1129/MAX(1,ROUND(G1129*$AC$32,0)),0))</x:f>
        <x:v>8</x:v>
      </x:c>
      <x:c r="N1129" s="6" t="n">
        <x:f>ROUNDUP(F1129/英雄升级调参!$H$82,0)</x:f>
        <x:v>10</x:v>
      </x:c>
      <x:c r="O1129" s="6">
        <x:f>ROUNDUP(F1129/英雄升级调参!$K$82,0)</x:f>
        <x:v>6</x:v>
      </x:c>
      <x:c r="P1129" s="6" t="str">
        <x:f>$AA$32</x:f>
        <x:v>精英：15次标准普攻击杀；7.5次主要攻击致死</x:v>
      </x:c>
      <x:c r="Q1129" s="6"/>
      <x:c r="R1129" s="6"/>
      <x:c r="S1129" s="6"/>
      <x:c r="T1129" s="6"/>
    </x:row>
    <x:row r="1130" ht="21" customHeight="1">
      <x:c r="A1130" s="14" t="n">
        <x:f>$V$32</x:f>
        <x:v>60019</x:v>
      </x:c>
      <x:c r="B1130" s="14" t="str">
        <x:f>$W$32</x:f>
        <x:v>菠萝战士</x:v>
      </x:c>
      <x:c r="C1130" s="6" t="str">
        <x:f>$X$32</x:f>
        <x:v>精英</x:v>
      </x:c>
      <x:c r="D1130" s="6">
        <x:v>18</x:v>
      </x:c>
      <x:c r="E1130" s="6">
        <x:v>32</x:v>
      </x:c>
      <x:c r="F1130" s="12">
        <x:f>ROUND(J1130*$W$4*H1130,0)</x:f>
        <x:v>11160</x:v>
      </x:c>
      <x:c r="G1130" s="12">
        <x:f>ROUND(J1130*$W$4*$W$5*I1130,0)</x:f>
        <x:v>661</x:v>
      </x:c>
      <x:c r="H1130" s="11" t="n">
        <x:f>$Y$32</x:f>
        <x:v>3.75</x:v>
      </x:c>
      <x:c r="I1130" s="11" t="n">
        <x:f>$Z$32</x:f>
        <x:v>2.9629629629629632</x:v>
      </x:c>
      <x:c r="J1130" s="12">
        <x:f>英雄升级调参!$E$83</x:f>
        <x:v>744</x:v>
      </x:c>
      <x:c r="K1130" s="12">
        <x:f>英雄升级调参!$F$83</x:f>
        <x:v>7440</x:v>
      </x:c>
      <x:c r="L1130" s="6" t="n">
        <x:f>ROUNDUP(F1130/J1130,0)</x:f>
        <x:v>15</x:v>
      </x:c>
      <x:c r="M1130" s="6" t="n">
        <x:f>IF(G1130=0,"无伤害",ROUNDUP(K1130/MAX(1,ROUND(G1130*$AC$32,0)),0))</x:f>
        <x:v>8</x:v>
      </x:c>
      <x:c r="N1130" s="6" t="n">
        <x:f>ROUNDUP(F1130/英雄升级调参!$H$83,0)</x:f>
        <x:v>10</x:v>
      </x:c>
      <x:c r="O1130" s="6">
        <x:f>ROUNDUP(F1130/英雄升级调参!$K$83,0)</x:f>
        <x:v>6</x:v>
      </x:c>
      <x:c r="P1130" s="6" t="str">
        <x:f>$AA$32</x:f>
        <x:v>精英：15次标准普攻击杀；7.5次主要攻击致死</x:v>
      </x:c>
      <x:c r="Q1130" s="6"/>
      <x:c r="R1130" s="6"/>
      <x:c r="S1130" s="6"/>
      <x:c r="T1130" s="6"/>
    </x:row>
    <x:row r="1131" ht="21" customHeight="1">
      <x:c r="A1131" s="14" t="n">
        <x:f>$V$32</x:f>
        <x:v>60019</x:v>
      </x:c>
      <x:c r="B1131" s="14" t="str">
        <x:f>$W$32</x:f>
        <x:v>菠萝战士</x:v>
      </x:c>
      <x:c r="C1131" s="6" t="str">
        <x:f>$X$32</x:f>
        <x:v>精英</x:v>
      </x:c>
      <x:c r="D1131" s="6">
        <x:v>19</x:v>
      </x:c>
      <x:c r="E1131" s="6">
        <x:v>32</x:v>
      </x:c>
      <x:c r="F1131" s="12">
        <x:f>ROUND(J1131*$W$4*H1131,0)</x:f>
        <x:v>11835</x:v>
      </x:c>
      <x:c r="G1131" s="12">
        <x:f>ROUND(J1131*$W$4*$W$5*I1131,0)</x:f>
        <x:v>701</x:v>
      </x:c>
      <x:c r="H1131" s="11" t="n">
        <x:f>$Y$32</x:f>
        <x:v>3.75</x:v>
      </x:c>
      <x:c r="I1131" s="11" t="n">
        <x:f>$Z$32</x:f>
        <x:v>2.9629629629629632</x:v>
      </x:c>
      <x:c r="J1131" s="12">
        <x:f>英雄升级调参!$E$84</x:f>
        <x:v>789</x:v>
      </x:c>
      <x:c r="K1131" s="12">
        <x:f>英雄升级调参!$F$84</x:f>
        <x:v>7890</x:v>
      </x:c>
      <x:c r="L1131" s="6" t="n">
        <x:f>ROUNDUP(F1131/J1131,0)</x:f>
        <x:v>15</x:v>
      </x:c>
      <x:c r="M1131" s="6" t="n">
        <x:f>IF(G1131=0,"无伤害",ROUNDUP(K1131/MAX(1,ROUND(G1131*$AC$32,0)),0))</x:f>
        <x:v>8</x:v>
      </x:c>
      <x:c r="N1131" s="6" t="n">
        <x:f>ROUNDUP(F1131/英雄升级调参!$H$84,0)</x:f>
        <x:v>10</x:v>
      </x:c>
      <x:c r="O1131" s="6">
        <x:f>ROUNDUP(F1131/英雄升级调参!$K$84,0)</x:f>
        <x:v>6</x:v>
      </x:c>
      <x:c r="P1131" s="6" t="str">
        <x:f>$AA$32</x:f>
        <x:v>精英：15次标准普攻击杀；7.5次主要攻击致死</x:v>
      </x:c>
      <x:c r="Q1131" s="6"/>
      <x:c r="R1131" s="6"/>
      <x:c r="S1131" s="6"/>
      <x:c r="T1131" s="6"/>
    </x:row>
    <x:row r="1132" ht="21" customHeight="1">
      <x:c r="A1132" s="14" t="n">
        <x:f>$V$32</x:f>
        <x:v>60019</x:v>
      </x:c>
      <x:c r="B1132" s="14" t="str">
        <x:f>$W$32</x:f>
        <x:v>菠萝战士</x:v>
      </x:c>
      <x:c r="C1132" s="6" t="str">
        <x:f>$X$32</x:f>
        <x:v>精英</x:v>
      </x:c>
      <x:c r="D1132" s="6">
        <x:v>20</x:v>
      </x:c>
      <x:c r="E1132" s="6">
        <x:v>32</x:v>
      </x:c>
      <x:c r="F1132" s="12">
        <x:f>ROUND(J1132*$W$4*H1132,0)</x:f>
        <x:v>13860</x:v>
      </x:c>
      <x:c r="G1132" s="12">
        <x:f>ROUND(J1132*$W$4*$W$5*I1132,0)</x:f>
        <x:v>821</x:v>
      </x:c>
      <x:c r="H1132" s="11" t="n">
        <x:f>$Y$32</x:f>
        <x:v>3.75</x:v>
      </x:c>
      <x:c r="I1132" s="11" t="n">
        <x:f>$Z$32</x:f>
        <x:v>2.9629629629629632</x:v>
      </x:c>
      <x:c r="J1132" s="12">
        <x:f>英雄升级调参!$E$85</x:f>
        <x:v>924</x:v>
      </x:c>
      <x:c r="K1132" s="12">
        <x:f>英雄升级调参!$F$85</x:f>
        <x:v>9240</x:v>
      </x:c>
      <x:c r="L1132" s="6" t="n">
        <x:f>ROUNDUP(F1132/J1132,0)</x:f>
        <x:v>15</x:v>
      </x:c>
      <x:c r="M1132" s="6" t="n">
        <x:f>IF(G1132=0,"无伤害",ROUNDUP(K1132/MAX(1,ROUND(G1132*$AC$32,0)),0))</x:f>
        <x:v>8</x:v>
      </x:c>
      <x:c r="N1132" s="6" t="n">
        <x:f>ROUNDUP(F1132/英雄升级调参!$H$85,0)</x:f>
        <x:v>10</x:v>
      </x:c>
      <x:c r="O1132" s="6">
        <x:f>ROUNDUP(F1132/英雄升级调参!$K$85,0)</x:f>
        <x:v>6</x:v>
      </x:c>
      <x:c r="P1132" s="6" t="str">
        <x:f>$AA$32</x:f>
        <x:v>精英：15次标准普攻击杀；7.5次主要攻击致死</x:v>
      </x:c>
      <x:c r="Q1132" s="6"/>
      <x:c r="R1132" s="6"/>
      <x:c r="S1132" s="6"/>
      <x:c r="T1132" s="6"/>
    </x:row>
    <x:row r="1133" ht="21" customHeight="1">
      <x:c r="A1133" s="14" t="n">
        <x:f>$V$32</x:f>
        <x:v>60019</x:v>
      </x:c>
      <x:c r="B1133" s="14" t="str">
        <x:f>$W$32</x:f>
        <x:v>菠萝战士</x:v>
      </x:c>
      <x:c r="C1133" s="6" t="str">
        <x:f>$X$32</x:f>
        <x:v>精英</x:v>
      </x:c>
      <x:c r="D1133" s="6">
        <x:v>21</x:v>
      </x:c>
      <x:c r="E1133" s="6">
        <x:v>32</x:v>
      </x:c>
      <x:c r="F1133" s="12">
        <x:f>ROUND(J1133*$W$4*H1133,0)</x:f>
        <x:v>14670</x:v>
      </x:c>
      <x:c r="G1133" s="12">
        <x:f>ROUND(J1133*$W$4*$W$5*I1133,0)</x:f>
        <x:v>869</x:v>
      </x:c>
      <x:c r="H1133" s="11" t="n">
        <x:f>$Y$32</x:f>
        <x:v>3.75</x:v>
      </x:c>
      <x:c r="I1133" s="11" t="n">
        <x:f>$Z$32</x:f>
        <x:v>2.9629629629629632</x:v>
      </x:c>
      <x:c r="J1133" s="12">
        <x:f>英雄升级调参!$E$86</x:f>
        <x:v>978</x:v>
      </x:c>
      <x:c r="K1133" s="12">
        <x:f>英雄升级调参!$F$86</x:f>
        <x:v>9780</x:v>
      </x:c>
      <x:c r="L1133" s="6" t="n">
        <x:f>ROUNDUP(F1133/J1133,0)</x:f>
        <x:v>15</x:v>
      </x:c>
      <x:c r="M1133" s="6" t="n">
        <x:f>IF(G1133=0,"无伤害",ROUNDUP(K1133/MAX(1,ROUND(G1133*$AC$32,0)),0))</x:f>
        <x:v>8</x:v>
      </x:c>
      <x:c r="N1133" s="6" t="n">
        <x:f>ROUNDUP(F1133/英雄升级调参!$H$86,0)</x:f>
        <x:v>10</x:v>
      </x:c>
      <x:c r="O1133" s="6">
        <x:f>ROUNDUP(F1133/英雄升级调参!$K$86,0)</x:f>
        <x:v>6</x:v>
      </x:c>
      <x:c r="P1133" s="6" t="str">
        <x:f>$AA$32</x:f>
        <x:v>精英：15次标准普攻击杀；7.5次主要攻击致死</x:v>
      </x:c>
      <x:c r="Q1133" s="6"/>
      <x:c r="R1133" s="6"/>
      <x:c r="S1133" s="6"/>
      <x:c r="T1133" s="6"/>
    </x:row>
    <x:row r="1134" ht="21" customHeight="1">
      <x:c r="A1134" s="14" t="n">
        <x:f>$V$32</x:f>
        <x:v>60019</x:v>
      </x:c>
      <x:c r="B1134" s="14" t="str">
        <x:f>$W$32</x:f>
        <x:v>菠萝战士</x:v>
      </x:c>
      <x:c r="C1134" s="6" t="str">
        <x:f>$X$32</x:f>
        <x:v>精英</x:v>
      </x:c>
      <x:c r="D1134" s="6">
        <x:v>22</x:v>
      </x:c>
      <x:c r="E1134" s="6">
        <x:v>32</x:v>
      </x:c>
      <x:c r="F1134" s="12">
        <x:f>ROUND(J1134*$W$4*H1134,0)</x:f>
        <x:v>15480</x:v>
      </x:c>
      <x:c r="G1134" s="12">
        <x:f>ROUND(J1134*$W$4*$W$5*I1134,0)</x:f>
        <x:v>917</x:v>
      </x:c>
      <x:c r="H1134" s="11" t="n">
        <x:f>$Y$32</x:f>
        <x:v>3.75</x:v>
      </x:c>
      <x:c r="I1134" s="11" t="n">
        <x:f>$Z$32</x:f>
        <x:v>2.9629629629629632</x:v>
      </x:c>
      <x:c r="J1134" s="12">
        <x:f>英雄升级调参!$E$87</x:f>
        <x:v>1032</x:v>
      </x:c>
      <x:c r="K1134" s="12">
        <x:f>英雄升级调参!$F$87</x:f>
        <x:v>10320</x:v>
      </x:c>
      <x:c r="L1134" s="6" t="n">
        <x:f>ROUNDUP(F1134/J1134,0)</x:f>
        <x:v>15</x:v>
      </x:c>
      <x:c r="M1134" s="6" t="n">
        <x:f>IF(G1134=0,"无伤害",ROUNDUP(K1134/MAX(1,ROUND(G1134*$AC$32,0)),0))</x:f>
        <x:v>8</x:v>
      </x:c>
      <x:c r="N1134" s="6" t="n">
        <x:f>ROUNDUP(F1134/英雄升级调参!$H$87,0)</x:f>
        <x:v>10</x:v>
      </x:c>
      <x:c r="O1134" s="6">
        <x:f>ROUNDUP(F1134/英雄升级调参!$K$87,0)</x:f>
        <x:v>6</x:v>
      </x:c>
      <x:c r="P1134" s="6" t="str">
        <x:f>$AA$32</x:f>
        <x:v>精英：15次标准普攻击杀；7.5次主要攻击致死</x:v>
      </x:c>
      <x:c r="Q1134" s="6"/>
      <x:c r="R1134" s="6"/>
      <x:c r="S1134" s="6"/>
      <x:c r="T1134" s="6"/>
    </x:row>
    <x:row r="1135" ht="21" customHeight="1">
      <x:c r="A1135" s="14" t="n">
        <x:f>$V$32</x:f>
        <x:v>60019</x:v>
      </x:c>
      <x:c r="B1135" s="14" t="str">
        <x:f>$W$32</x:f>
        <x:v>菠萝战士</x:v>
      </x:c>
      <x:c r="C1135" s="6" t="str">
        <x:f>$X$32</x:f>
        <x:v>精英</x:v>
      </x:c>
      <x:c r="D1135" s="6">
        <x:v>23</x:v>
      </x:c>
      <x:c r="E1135" s="6">
        <x:v>32</x:v>
      </x:c>
      <x:c r="F1135" s="12">
        <x:f>ROUND(J1135*$W$4*H1135,0)</x:f>
        <x:v>16290</x:v>
      </x:c>
      <x:c r="G1135" s="12">
        <x:f>ROUND(J1135*$W$4*$W$5*I1135,0)</x:f>
        <x:v>965</x:v>
      </x:c>
      <x:c r="H1135" s="11" t="n">
        <x:f>$Y$32</x:f>
        <x:v>3.75</x:v>
      </x:c>
      <x:c r="I1135" s="11" t="n">
        <x:f>$Z$32</x:f>
        <x:v>2.9629629629629632</x:v>
      </x:c>
      <x:c r="J1135" s="12">
        <x:f>英雄升级调参!$E$88</x:f>
        <x:v>1086</x:v>
      </x:c>
      <x:c r="K1135" s="12">
        <x:f>英雄升级调参!$F$88</x:f>
        <x:v>10860</x:v>
      </x:c>
      <x:c r="L1135" s="6" t="n">
        <x:f>ROUNDUP(F1135/J1135,0)</x:f>
        <x:v>15</x:v>
      </x:c>
      <x:c r="M1135" s="6" t="n">
        <x:f>IF(G1135=0,"无伤害",ROUNDUP(K1135/MAX(1,ROUND(G1135*$AC$32,0)),0))</x:f>
        <x:v>8</x:v>
      </x:c>
      <x:c r="N1135" s="6" t="n">
        <x:f>ROUNDUP(F1135/英雄升级调参!$H$88,0)</x:f>
        <x:v>10</x:v>
      </x:c>
      <x:c r="O1135" s="6">
        <x:f>ROUNDUP(F1135/英雄升级调参!$K$88,0)</x:f>
        <x:v>6</x:v>
      </x:c>
      <x:c r="P1135" s="6" t="str">
        <x:f>$AA$32</x:f>
        <x:v>精英：15次标准普攻击杀；7.5次主要攻击致死</x:v>
      </x:c>
      <x:c r="Q1135" s="6"/>
      <x:c r="R1135" s="6"/>
      <x:c r="S1135" s="6"/>
      <x:c r="T1135" s="6"/>
    </x:row>
    <x:row r="1136" ht="21" customHeight="1">
      <x:c r="A1136" s="14" t="n">
        <x:f>$V$32</x:f>
        <x:v>60019</x:v>
      </x:c>
      <x:c r="B1136" s="14" t="str">
        <x:f>$W$32</x:f>
        <x:v>菠萝战士</x:v>
      </x:c>
      <x:c r="C1136" s="6" t="str">
        <x:f>$X$32</x:f>
        <x:v>精英</x:v>
      </x:c>
      <x:c r="D1136" s="6">
        <x:v>24</x:v>
      </x:c>
      <x:c r="E1136" s="6">
        <x:v>32</x:v>
      </x:c>
      <x:c r="F1136" s="12">
        <x:f>ROUND(J1136*$W$4*H1136,0)</x:f>
        <x:v>17100</x:v>
      </x:c>
      <x:c r="G1136" s="12">
        <x:f>ROUND(J1136*$W$4*$W$5*I1136,0)</x:f>
        <x:v>1013</x:v>
      </x:c>
      <x:c r="H1136" s="11" t="n">
        <x:f>$Y$32</x:f>
        <x:v>3.75</x:v>
      </x:c>
      <x:c r="I1136" s="11" t="n">
        <x:f>$Z$32</x:f>
        <x:v>2.9629629629629632</x:v>
      </x:c>
      <x:c r="J1136" s="12">
        <x:f>英雄升级调参!$E$89</x:f>
        <x:v>1140</x:v>
      </x:c>
      <x:c r="K1136" s="12">
        <x:f>英雄升级调参!$F$89</x:f>
        <x:v>11400</x:v>
      </x:c>
      <x:c r="L1136" s="6" t="n">
        <x:f>ROUNDUP(F1136/J1136,0)</x:f>
        <x:v>15</x:v>
      </x:c>
      <x:c r="M1136" s="6" t="n">
        <x:f>IF(G1136=0,"无伤害",ROUNDUP(K1136/MAX(1,ROUND(G1136*$AC$32,0)),0))</x:f>
        <x:v>8</x:v>
      </x:c>
      <x:c r="N1136" s="6" t="n">
        <x:f>ROUNDUP(F1136/英雄升级调参!$H$89,0)</x:f>
        <x:v>10</x:v>
      </x:c>
      <x:c r="O1136" s="6">
        <x:f>ROUNDUP(F1136/英雄升级调参!$K$89,0)</x:f>
        <x:v>6</x:v>
      </x:c>
      <x:c r="P1136" s="6" t="str">
        <x:f>$AA$32</x:f>
        <x:v>精英：15次标准普攻击杀；7.5次主要攻击致死</x:v>
      </x:c>
      <x:c r="Q1136" s="6"/>
      <x:c r="R1136" s="6"/>
      <x:c r="S1136" s="6"/>
      <x:c r="T1136" s="6"/>
    </x:row>
    <x:row r="1137" ht="21" customHeight="1">
      <x:c r="A1137" s="14" t="n">
        <x:f>$V$32</x:f>
        <x:v>60019</x:v>
      </x:c>
      <x:c r="B1137" s="14" t="str">
        <x:f>$W$32</x:f>
        <x:v>菠萝战士</x:v>
      </x:c>
      <x:c r="C1137" s="6" t="str">
        <x:f>$X$32</x:f>
        <x:v>精英</x:v>
      </x:c>
      <x:c r="D1137" s="6">
        <x:v>25</x:v>
      </x:c>
      <x:c r="E1137" s="6">
        <x:v>32</x:v>
      </x:c>
      <x:c r="F1137" s="12">
        <x:f>ROUND(J1137*$W$4*H1137,0)</x:f>
        <x:v>19530</x:v>
      </x:c>
      <x:c r="G1137" s="12">
        <x:f>ROUND(J1137*$W$4*$W$5*I1137,0)</x:f>
        <x:v>1157</x:v>
      </x:c>
      <x:c r="H1137" s="11" t="n">
        <x:f>$Y$32</x:f>
        <x:v>3.75</x:v>
      </x:c>
      <x:c r="I1137" s="11" t="n">
        <x:f>$Z$32</x:f>
        <x:v>2.9629629629629632</x:v>
      </x:c>
      <x:c r="J1137" s="12">
        <x:f>英雄升级调参!$E$90</x:f>
        <x:v>1302</x:v>
      </x:c>
      <x:c r="K1137" s="12">
        <x:f>英雄升级调参!$F$90</x:f>
        <x:v>13020</x:v>
      </x:c>
      <x:c r="L1137" s="6" t="n">
        <x:f>ROUNDUP(F1137/J1137,0)</x:f>
        <x:v>15</x:v>
      </x:c>
      <x:c r="M1137" s="6" t="n">
        <x:f>IF(G1137=0,"无伤害",ROUNDUP(K1137/MAX(1,ROUND(G1137*$AC$32,0)),0))</x:f>
        <x:v>8</x:v>
      </x:c>
      <x:c r="N1137" s="6" t="n">
        <x:f>ROUNDUP(F1137/英雄升级调参!$H$90,0)</x:f>
        <x:v>10</x:v>
      </x:c>
      <x:c r="O1137" s="6">
        <x:f>ROUNDUP(F1137/英雄升级调参!$K$90,0)</x:f>
        <x:v>6</x:v>
      </x:c>
      <x:c r="P1137" s="6" t="str">
        <x:f>$AA$32</x:f>
        <x:v>精英：15次标准普攻击杀；7.5次主要攻击致死</x:v>
      </x:c>
      <x:c r="Q1137" s="6"/>
      <x:c r="R1137" s="6"/>
      <x:c r="S1137" s="6"/>
      <x:c r="T1137" s="6"/>
    </x:row>
    <x:row r="1138" ht="21" customHeight="1">
      <x:c r="A1138" s="14" t="n">
        <x:f>$V$32</x:f>
        <x:v>60019</x:v>
      </x:c>
      <x:c r="B1138" s="14" t="str">
        <x:f>$W$32</x:f>
        <x:v>菠萝战士</x:v>
      </x:c>
      <x:c r="C1138" s="6" t="str">
        <x:f>$X$32</x:f>
        <x:v>精英</x:v>
      </x:c>
      <x:c r="D1138" s="6">
        <x:v>26</x:v>
      </x:c>
      <x:c r="E1138" s="6">
        <x:v>32</x:v>
      </x:c>
      <x:c r="F1138" s="12">
        <x:f>ROUND(J1138*$W$4*H1138,0)</x:f>
        <x:v>20475</x:v>
      </x:c>
      <x:c r="G1138" s="12">
        <x:f>ROUND(J1138*$W$4*$W$5*I1138,0)</x:f>
        <x:v>1213</x:v>
      </x:c>
      <x:c r="H1138" s="11" t="n">
        <x:f>$Y$32</x:f>
        <x:v>3.75</x:v>
      </x:c>
      <x:c r="I1138" s="11" t="n">
        <x:f>$Z$32</x:f>
        <x:v>2.9629629629629632</x:v>
      </x:c>
      <x:c r="J1138" s="12">
        <x:f>英雄升级调参!$E$91</x:f>
        <x:v>1365</x:v>
      </x:c>
      <x:c r="K1138" s="12">
        <x:f>英雄升级调参!$F$91</x:f>
        <x:v>13650</x:v>
      </x:c>
      <x:c r="L1138" s="6" t="n">
        <x:f>ROUNDUP(F1138/J1138,0)</x:f>
        <x:v>15</x:v>
      </x:c>
      <x:c r="M1138" s="6" t="n">
        <x:f>IF(G1138=0,"无伤害",ROUNDUP(K1138/MAX(1,ROUND(G1138*$AC$32,0)),0))</x:f>
        <x:v>8</x:v>
      </x:c>
      <x:c r="N1138" s="6" t="n">
        <x:f>ROUNDUP(F1138/英雄升级调参!$H$91,0)</x:f>
        <x:v>10</x:v>
      </x:c>
      <x:c r="O1138" s="6">
        <x:f>ROUNDUP(F1138/英雄升级调参!$K$91,0)</x:f>
        <x:v>6</x:v>
      </x:c>
      <x:c r="P1138" s="6" t="str">
        <x:f>$AA$32</x:f>
        <x:v>精英：15次标准普攻击杀；7.5次主要攻击致死</x:v>
      </x:c>
      <x:c r="Q1138" s="6"/>
      <x:c r="R1138" s="6"/>
      <x:c r="S1138" s="6"/>
      <x:c r="T1138" s="6"/>
    </x:row>
    <x:row r="1139" ht="21" customHeight="1">
      <x:c r="A1139" s="14" t="n">
        <x:f>$V$32</x:f>
        <x:v>60019</x:v>
      </x:c>
      <x:c r="B1139" s="14" t="str">
        <x:f>$W$32</x:f>
        <x:v>菠萝战士</x:v>
      </x:c>
      <x:c r="C1139" s="6" t="str">
        <x:f>$X$32</x:f>
        <x:v>精英</x:v>
      </x:c>
      <x:c r="D1139" s="6">
        <x:v>27</x:v>
      </x:c>
      <x:c r="E1139" s="6">
        <x:v>32</x:v>
      </x:c>
      <x:c r="F1139" s="12">
        <x:f>ROUND(J1139*$W$4*H1139,0)</x:f>
        <x:v>21420</x:v>
      </x:c>
      <x:c r="G1139" s="12">
        <x:f>ROUND(J1139*$W$4*$W$5*I1139,0)</x:f>
        <x:v>1269</x:v>
      </x:c>
      <x:c r="H1139" s="11" t="n">
        <x:f>$Y$32</x:f>
        <x:v>3.75</x:v>
      </x:c>
      <x:c r="I1139" s="11" t="n">
        <x:f>$Z$32</x:f>
        <x:v>2.9629629629629632</x:v>
      </x:c>
      <x:c r="J1139" s="12">
        <x:f>英雄升级调参!$E$92</x:f>
        <x:v>1428</x:v>
      </x:c>
      <x:c r="K1139" s="12">
        <x:f>英雄升级调参!$F$92</x:f>
        <x:v>14280</x:v>
      </x:c>
      <x:c r="L1139" s="6" t="n">
        <x:f>ROUNDUP(F1139/J1139,0)</x:f>
        <x:v>15</x:v>
      </x:c>
      <x:c r="M1139" s="6" t="n">
        <x:f>IF(G1139=0,"无伤害",ROUNDUP(K1139/MAX(1,ROUND(G1139*$AC$32,0)),0))</x:f>
        <x:v>8</x:v>
      </x:c>
      <x:c r="N1139" s="6" t="n">
        <x:f>ROUNDUP(F1139/英雄升级调参!$H$92,0)</x:f>
        <x:v>10</x:v>
      </x:c>
      <x:c r="O1139" s="6">
        <x:f>ROUNDUP(F1139/英雄升级调参!$K$92,0)</x:f>
        <x:v>6</x:v>
      </x:c>
      <x:c r="P1139" s="6" t="str">
        <x:f>$AA$32</x:f>
        <x:v>精英：15次标准普攻击杀；7.5次主要攻击致死</x:v>
      </x:c>
      <x:c r="Q1139" s="6"/>
      <x:c r="R1139" s="6"/>
      <x:c r="S1139" s="6"/>
      <x:c r="T1139" s="6"/>
    </x:row>
    <x:row r="1140" ht="21" customHeight="1">
      <x:c r="A1140" s="14" t="n">
        <x:f>$V$32</x:f>
        <x:v>60019</x:v>
      </x:c>
      <x:c r="B1140" s="14" t="str">
        <x:f>$W$32</x:f>
        <x:v>菠萝战士</x:v>
      </x:c>
      <x:c r="C1140" s="6" t="str">
        <x:f>$X$32</x:f>
        <x:v>精英</x:v>
      </x:c>
      <x:c r="D1140" s="6">
        <x:v>28</x:v>
      </x:c>
      <x:c r="E1140" s="6">
        <x:v>32</x:v>
      </x:c>
      <x:c r="F1140" s="12">
        <x:f>ROUND(J1140*$W$4*H1140,0)</x:f>
        <x:v>22365</x:v>
      </x:c>
      <x:c r="G1140" s="12">
        <x:f>ROUND(J1140*$W$4*$W$5*I1140,0)</x:f>
        <x:v>1325</x:v>
      </x:c>
      <x:c r="H1140" s="11" t="n">
        <x:f>$Y$32</x:f>
        <x:v>3.75</x:v>
      </x:c>
      <x:c r="I1140" s="11" t="n">
        <x:f>$Z$32</x:f>
        <x:v>2.9629629629629632</x:v>
      </x:c>
      <x:c r="J1140" s="12">
        <x:f>英雄升级调参!$E$93</x:f>
        <x:v>1491</x:v>
      </x:c>
      <x:c r="K1140" s="12">
        <x:f>英雄升级调参!$F$93</x:f>
        <x:v>14910</x:v>
      </x:c>
      <x:c r="L1140" s="6" t="n">
        <x:f>ROUNDUP(F1140/J1140,0)</x:f>
        <x:v>15</x:v>
      </x:c>
      <x:c r="M1140" s="6" t="n">
        <x:f>IF(G1140=0,"无伤害",ROUNDUP(K1140/MAX(1,ROUND(G1140*$AC$32,0)),0))</x:f>
        <x:v>8</x:v>
      </x:c>
      <x:c r="N1140" s="6" t="n">
        <x:f>ROUNDUP(F1140/英雄升级调参!$H$93,0)</x:f>
        <x:v>10</x:v>
      </x:c>
      <x:c r="O1140" s="6">
        <x:f>ROUNDUP(F1140/英雄升级调参!$K$93,0)</x:f>
        <x:v>6</x:v>
      </x:c>
      <x:c r="P1140" s="6" t="str">
        <x:f>$AA$32</x:f>
        <x:v>精英：15次标准普攻击杀；7.5次主要攻击致死</x:v>
      </x:c>
      <x:c r="Q1140" s="6"/>
      <x:c r="R1140" s="6"/>
      <x:c r="S1140" s="6"/>
      <x:c r="T1140" s="6"/>
    </x:row>
    <x:row r="1141" ht="21" customHeight="1">
      <x:c r="A1141" s="14" t="n">
        <x:f>$V$32</x:f>
        <x:v>60019</x:v>
      </x:c>
      <x:c r="B1141" s="14" t="str">
        <x:f>$W$32</x:f>
        <x:v>菠萝战士</x:v>
      </x:c>
      <x:c r="C1141" s="6" t="str">
        <x:f>$X$32</x:f>
        <x:v>精英</x:v>
      </x:c>
      <x:c r="D1141" s="6">
        <x:v>29</x:v>
      </x:c>
      <x:c r="E1141" s="6">
        <x:v>32</x:v>
      </x:c>
      <x:c r="F1141" s="12">
        <x:f>ROUND(J1141*$W$4*H1141,0)</x:f>
        <x:v>23310</x:v>
      </x:c>
      <x:c r="G1141" s="12">
        <x:f>ROUND(J1141*$W$4*$W$5*I1141,0)</x:f>
        <x:v>1381</x:v>
      </x:c>
      <x:c r="H1141" s="11" t="n">
        <x:f>$Y$32</x:f>
        <x:v>3.75</x:v>
      </x:c>
      <x:c r="I1141" s="11" t="n">
        <x:f>$Z$32</x:f>
        <x:v>2.9629629629629632</x:v>
      </x:c>
      <x:c r="J1141" s="12">
        <x:f>英雄升级调参!$E$94</x:f>
        <x:v>1554</x:v>
      </x:c>
      <x:c r="K1141" s="12">
        <x:f>英雄升级调参!$F$94</x:f>
        <x:v>15540</x:v>
      </x:c>
      <x:c r="L1141" s="6" t="n">
        <x:f>ROUNDUP(F1141/J1141,0)</x:f>
        <x:v>15</x:v>
      </x:c>
      <x:c r="M1141" s="6" t="n">
        <x:f>IF(G1141=0,"无伤害",ROUNDUP(K1141/MAX(1,ROUND(G1141*$AC$32,0)),0))</x:f>
        <x:v>8</x:v>
      </x:c>
      <x:c r="N1141" s="6" t="n">
        <x:f>ROUNDUP(F1141/英雄升级调参!$H$94,0)</x:f>
        <x:v>10</x:v>
      </x:c>
      <x:c r="O1141" s="6">
        <x:f>ROUNDUP(F1141/英雄升级调参!$K$94,0)</x:f>
        <x:v>6</x:v>
      </x:c>
      <x:c r="P1141" s="6" t="str">
        <x:f>$AA$32</x:f>
        <x:v>精英：15次标准普攻击杀；7.5次主要攻击致死</x:v>
      </x:c>
      <x:c r="Q1141" s="6"/>
      <x:c r="R1141" s="6"/>
      <x:c r="S1141" s="6"/>
      <x:c r="T1141" s="6"/>
    </x:row>
    <x:row r="1142" ht="21" customHeight="1">
      <x:c r="A1142" s="14" t="n">
        <x:f>$V$32</x:f>
        <x:v>60019</x:v>
      </x:c>
      <x:c r="B1142" s="14" t="str">
        <x:f>$W$32</x:f>
        <x:v>菠萝战士</x:v>
      </x:c>
      <x:c r="C1142" s="6" t="str">
        <x:f>$X$32</x:f>
        <x:v>精英</x:v>
      </x:c>
      <x:c r="D1142" s="6">
        <x:v>30</x:v>
      </x:c>
      <x:c r="E1142" s="6">
        <x:v>32</x:v>
      </x:c>
      <x:c r="F1142" s="12">
        <x:f>ROUND(J1142*$W$4*H1142,0)</x:f>
        <x:v>26145</x:v>
      </x:c>
      <x:c r="G1142" s="12">
        <x:f>ROUND(J1142*$W$4*$W$5*I1142,0)</x:f>
        <x:v>1549</x:v>
      </x:c>
      <x:c r="H1142" s="11" t="n">
        <x:f>$Y$32</x:f>
        <x:v>3.75</x:v>
      </x:c>
      <x:c r="I1142" s="11" t="n">
        <x:f>$Z$32</x:f>
        <x:v>2.9629629629629632</x:v>
      </x:c>
      <x:c r="J1142" s="12">
        <x:f>英雄升级调参!$E$95</x:f>
        <x:v>1743</x:v>
      </x:c>
      <x:c r="K1142" s="12">
        <x:f>英雄升级调参!$F$95</x:f>
        <x:v>17430</x:v>
      </x:c>
      <x:c r="L1142" s="6" t="n">
        <x:f>ROUNDUP(F1142/J1142,0)</x:f>
        <x:v>15</x:v>
      </x:c>
      <x:c r="M1142" s="6" t="n">
        <x:f>IF(G1142=0,"无伤害",ROUNDUP(K1142/MAX(1,ROUND(G1142*$AC$32,0)),0))</x:f>
        <x:v>8</x:v>
      </x:c>
      <x:c r="N1142" s="6" t="n">
        <x:f>ROUNDUP(F1142/英雄升级调参!$H$95,0)</x:f>
        <x:v>10</x:v>
      </x:c>
      <x:c r="O1142" s="6">
        <x:f>ROUNDUP(F1142/英雄升级调参!$K$95,0)</x:f>
        <x:v>6</x:v>
      </x:c>
      <x:c r="P1142" s="6" t="str">
        <x:f>$AA$32</x:f>
        <x:v>精英：15次标准普攻击杀；7.5次主要攻击致死</x:v>
      </x:c>
      <x:c r="Q1142" s="6"/>
      <x:c r="R1142" s="6"/>
      <x:c r="S1142" s="6"/>
      <x:c r="T1142" s="6"/>
    </x:row>
    <x:row r="1143" ht="21" customHeight="1">
      <x:c r="A1143" s="14" t="n">
        <x:f>$V$32</x:f>
        <x:v>60019</x:v>
      </x:c>
      <x:c r="B1143" s="14" t="str">
        <x:f>$W$32</x:f>
        <x:v>菠萝战士</x:v>
      </x:c>
      <x:c r="C1143" s="6" t="str">
        <x:f>$X$32</x:f>
        <x:v>精英</x:v>
      </x:c>
      <x:c r="D1143" s="6">
        <x:v>31</x:v>
      </x:c>
      <x:c r="E1143" s="6">
        <x:v>32</x:v>
      </x:c>
      <x:c r="F1143" s="12">
        <x:f>ROUND(J1143*$W$4*H1143,0)</x:f>
        <x:v>27225</x:v>
      </x:c>
      <x:c r="G1143" s="12">
        <x:f>ROUND(J1143*$W$4*$W$5*I1143,0)</x:f>
        <x:v>1613</x:v>
      </x:c>
      <x:c r="H1143" s="11" t="n">
        <x:f>$Y$32</x:f>
        <x:v>3.75</x:v>
      </x:c>
      <x:c r="I1143" s="11" t="n">
        <x:f>$Z$32</x:f>
        <x:v>2.9629629629629632</x:v>
      </x:c>
      <x:c r="J1143" s="12">
        <x:f>英雄升级调参!$E$96</x:f>
        <x:v>1815</x:v>
      </x:c>
      <x:c r="K1143" s="12">
        <x:f>英雄升级调参!$F$96</x:f>
        <x:v>18150</x:v>
      </x:c>
      <x:c r="L1143" s="6" t="n">
        <x:f>ROUNDUP(F1143/J1143,0)</x:f>
        <x:v>15</x:v>
      </x:c>
      <x:c r="M1143" s="6" t="n">
        <x:f>IF(G1143=0,"无伤害",ROUNDUP(K1143/MAX(1,ROUND(G1143*$AC$32,0)),0))</x:f>
        <x:v>8</x:v>
      </x:c>
      <x:c r="N1143" s="6" t="n">
        <x:f>ROUNDUP(F1143/英雄升级调参!$H$96,0)</x:f>
        <x:v>10</x:v>
      </x:c>
      <x:c r="O1143" s="6">
        <x:f>ROUNDUP(F1143/英雄升级调参!$K$96,0)</x:f>
        <x:v>6</x:v>
      </x:c>
      <x:c r="P1143" s="6" t="str">
        <x:f>$AA$32</x:f>
        <x:v>精英：15次标准普攻击杀；7.5次主要攻击致死</x:v>
      </x:c>
      <x:c r="Q1143" s="6"/>
      <x:c r="R1143" s="6"/>
      <x:c r="S1143" s="6"/>
      <x:c r="T1143" s="6"/>
    </x:row>
    <x:row r="1144" ht="21" customHeight="1">
      <x:c r="A1144" s="14" t="n">
        <x:f>$V$32</x:f>
        <x:v>60019</x:v>
      </x:c>
      <x:c r="B1144" s="14" t="str">
        <x:f>$W$32</x:f>
        <x:v>菠萝战士</x:v>
      </x:c>
      <x:c r="C1144" s="6" t="str">
        <x:f>$X$32</x:f>
        <x:v>精英</x:v>
      </x:c>
      <x:c r="D1144" s="6">
        <x:v>32</x:v>
      </x:c>
      <x:c r="E1144" s="6">
        <x:v>32</x:v>
      </x:c>
      <x:c r="F1144" s="12">
        <x:f>ROUND(J1144*$W$4*H1144,0)</x:f>
        <x:v>28305</x:v>
      </x:c>
      <x:c r="G1144" s="12">
        <x:f>ROUND(J1144*$W$4*$W$5*I1144,0)</x:f>
        <x:v>1677</x:v>
      </x:c>
      <x:c r="H1144" s="11" t="n">
        <x:f>$Y$32</x:f>
        <x:v>3.75</x:v>
      </x:c>
      <x:c r="I1144" s="11" t="n">
        <x:f>$Z$32</x:f>
        <x:v>2.9629629629629632</x:v>
      </x:c>
      <x:c r="J1144" s="12">
        <x:f>英雄升级调参!$E$97</x:f>
        <x:v>1887</x:v>
      </x:c>
      <x:c r="K1144" s="12">
        <x:f>英雄升级调参!$F$97</x:f>
        <x:v>18870</x:v>
      </x:c>
      <x:c r="L1144" s="6" t="n">
        <x:f>ROUNDUP(F1144/J1144,0)</x:f>
        <x:v>15</x:v>
      </x:c>
      <x:c r="M1144" s="6" t="n">
        <x:f>IF(G1144=0,"无伤害",ROUNDUP(K1144/MAX(1,ROUND(G1144*$AC$32,0)),0))</x:f>
        <x:v>8</x:v>
      </x:c>
      <x:c r="N1144" s="6" t="n">
        <x:f>ROUNDUP(F1144/英雄升级调参!$H$97,0)</x:f>
        <x:v>10</x:v>
      </x:c>
      <x:c r="O1144" s="6">
        <x:f>ROUNDUP(F1144/英雄升级调参!$K$97,0)</x:f>
        <x:v>6</x:v>
      </x:c>
      <x:c r="P1144" s="6" t="str">
        <x:f>$AA$32</x:f>
        <x:v>精英：15次标准普攻击杀；7.5次主要攻击致死</x:v>
      </x:c>
      <x:c r="Q1144" s="6"/>
      <x:c r="R1144" s="6"/>
      <x:c r="S1144" s="6"/>
      <x:c r="T1144" s="6"/>
    </x:row>
    <x:row r="1145" ht="21" customHeight="1">
      <x:c r="A1145" s="14" t="n">
        <x:f>$V$32</x:f>
        <x:v>60019</x:v>
      </x:c>
      <x:c r="B1145" s="14" t="str">
        <x:f>$W$32</x:f>
        <x:v>菠萝战士</x:v>
      </x:c>
      <x:c r="C1145" s="6" t="str">
        <x:f>$X$32</x:f>
        <x:v>精英</x:v>
      </x:c>
      <x:c r="D1145" s="6">
        <x:v>33</x:v>
      </x:c>
      <x:c r="E1145" s="6">
        <x:v>32</x:v>
      </x:c>
      <x:c r="F1145" s="12">
        <x:f>ROUND(J1145*$W$4*H1145,0)</x:f>
        <x:v>29385</x:v>
      </x:c>
      <x:c r="G1145" s="12">
        <x:f>ROUND(J1145*$W$4*$W$5*I1145,0)</x:f>
        <x:v>1741</x:v>
      </x:c>
      <x:c r="H1145" s="11" t="n">
        <x:f>$Y$32</x:f>
        <x:v>3.75</x:v>
      </x:c>
      <x:c r="I1145" s="11" t="n">
        <x:f>$Z$32</x:f>
        <x:v>2.9629629629629632</x:v>
      </x:c>
      <x:c r="J1145" s="12">
        <x:f>英雄升级调参!$E$98</x:f>
        <x:v>1959</x:v>
      </x:c>
      <x:c r="K1145" s="12">
        <x:f>英雄升级调参!$F$98</x:f>
        <x:v>19590</x:v>
      </x:c>
      <x:c r="L1145" s="6" t="n">
        <x:f>ROUNDUP(F1145/J1145,0)</x:f>
        <x:v>15</x:v>
      </x:c>
      <x:c r="M1145" s="6" t="n">
        <x:f>IF(G1145=0,"无伤害",ROUNDUP(K1145/MAX(1,ROUND(G1145*$AC$32,0)),0))</x:f>
        <x:v>8</x:v>
      </x:c>
      <x:c r="N1145" s="6" t="n">
        <x:f>ROUNDUP(F1145/英雄升级调参!$H$98,0)</x:f>
        <x:v>10</x:v>
      </x:c>
      <x:c r="O1145" s="6">
        <x:f>ROUNDUP(F1145/英雄升级调参!$K$98,0)</x:f>
        <x:v>6</x:v>
      </x:c>
      <x:c r="P1145" s="6" t="str">
        <x:f>$AA$32</x:f>
        <x:v>精英：15次标准普攻击杀；7.5次主要攻击致死</x:v>
      </x:c>
      <x:c r="Q1145" s="6"/>
      <x:c r="R1145" s="6"/>
      <x:c r="S1145" s="6"/>
      <x:c r="T1145" s="6"/>
    </x:row>
    <x:row r="1146" ht="21" customHeight="1">
      <x:c r="A1146" s="14" t="n">
        <x:f>$V$32</x:f>
        <x:v>60019</x:v>
      </x:c>
      <x:c r="B1146" s="14" t="str">
        <x:f>$W$32</x:f>
        <x:v>菠萝战士</x:v>
      </x:c>
      <x:c r="C1146" s="6" t="str">
        <x:f>$X$32</x:f>
        <x:v>精英</x:v>
      </x:c>
      <x:c r="D1146" s="6">
        <x:v>34</x:v>
      </x:c>
      <x:c r="E1146" s="6">
        <x:v>32</x:v>
      </x:c>
      <x:c r="F1146" s="12">
        <x:f>ROUND(J1146*$W$4*H1146,0)</x:f>
        <x:v>30465</x:v>
      </x:c>
      <x:c r="G1146" s="12">
        <x:f>ROUND(J1146*$W$4*$W$5*I1146,0)</x:f>
        <x:v>1805</x:v>
      </x:c>
      <x:c r="H1146" s="11" t="n">
        <x:f>$Y$32</x:f>
        <x:v>3.75</x:v>
      </x:c>
      <x:c r="I1146" s="11" t="n">
        <x:f>$Z$32</x:f>
        <x:v>2.9629629629629632</x:v>
      </x:c>
      <x:c r="J1146" s="12">
        <x:f>英雄升级调参!$E$99</x:f>
        <x:v>2031</x:v>
      </x:c>
      <x:c r="K1146" s="12">
        <x:f>英雄升级调参!$F$99</x:f>
        <x:v>20310</x:v>
      </x:c>
      <x:c r="L1146" s="6" t="n">
        <x:f>ROUNDUP(F1146/J1146,0)</x:f>
        <x:v>15</x:v>
      </x:c>
      <x:c r="M1146" s="6" t="n">
        <x:f>IF(G1146=0,"无伤害",ROUNDUP(K1146/MAX(1,ROUND(G1146*$AC$32,0)),0))</x:f>
        <x:v>8</x:v>
      </x:c>
      <x:c r="N1146" s="6" t="n">
        <x:f>ROUNDUP(F1146/英雄升级调参!$H$99,0)</x:f>
        <x:v>10</x:v>
      </x:c>
      <x:c r="O1146" s="6">
        <x:f>ROUNDUP(F1146/英雄升级调参!$K$99,0)</x:f>
        <x:v>6</x:v>
      </x:c>
      <x:c r="P1146" s="6" t="str">
        <x:f>$AA$32</x:f>
        <x:v>精英：15次标准普攻击杀；7.5次主要攻击致死</x:v>
      </x:c>
      <x:c r="Q1146" s="6"/>
      <x:c r="R1146" s="6"/>
      <x:c r="S1146" s="6"/>
      <x:c r="T1146" s="6"/>
    </x:row>
    <x:row r="1147" ht="21" customHeight="1">
      <x:c r="A1147" s="14" t="n">
        <x:f>$V$32</x:f>
        <x:v>60019</x:v>
      </x:c>
      <x:c r="B1147" s="14" t="str">
        <x:f>$W$32</x:f>
        <x:v>菠萝战士</x:v>
      </x:c>
      <x:c r="C1147" s="6" t="str">
        <x:f>$X$32</x:f>
        <x:v>精英</x:v>
      </x:c>
      <x:c r="D1147" s="6">
        <x:v>35</x:v>
      </x:c>
      <x:c r="E1147" s="6">
        <x:v>32</x:v>
      </x:c>
      <x:c r="F1147" s="12">
        <x:f>ROUND(J1147*$W$4*H1147,0)</x:f>
        <x:v>33705</x:v>
      </x:c>
      <x:c r="G1147" s="12">
        <x:f>ROUND(J1147*$W$4*$W$5*I1147,0)</x:f>
        <x:v>1997</x:v>
      </x:c>
      <x:c r="H1147" s="11" t="n">
        <x:f>$Y$32</x:f>
        <x:v>3.75</x:v>
      </x:c>
      <x:c r="I1147" s="11" t="n">
        <x:f>$Z$32</x:f>
        <x:v>2.9629629629629632</x:v>
      </x:c>
      <x:c r="J1147" s="12">
        <x:f>英雄升级调参!$E$100</x:f>
        <x:v>2247</x:v>
      </x:c>
      <x:c r="K1147" s="12">
        <x:f>英雄升级调参!$F$100</x:f>
        <x:v>22470</x:v>
      </x:c>
      <x:c r="L1147" s="6" t="n">
        <x:f>ROUNDUP(F1147/J1147,0)</x:f>
        <x:v>15</x:v>
      </x:c>
      <x:c r="M1147" s="6" t="n">
        <x:f>IF(G1147=0,"无伤害",ROUNDUP(K1147/MAX(1,ROUND(G1147*$AC$32,0)),0))</x:f>
        <x:v>8</x:v>
      </x:c>
      <x:c r="N1147" s="6" t="n">
        <x:f>ROUNDUP(F1147/英雄升级调参!$H$100,0)</x:f>
        <x:v>10</x:v>
      </x:c>
      <x:c r="O1147" s="6">
        <x:f>ROUNDUP(F1147/英雄升级调参!$K$100,0)</x:f>
        <x:v>6</x:v>
      </x:c>
      <x:c r="P1147" s="6" t="str">
        <x:f>$AA$32</x:f>
        <x:v>精英：15次标准普攻击杀；7.5次主要攻击致死</x:v>
      </x:c>
      <x:c r="Q1147" s="6"/>
      <x:c r="R1147" s="6"/>
      <x:c r="S1147" s="6"/>
      <x:c r="T1147" s="6"/>
    </x:row>
    <x:row r="1148" ht="21" customHeight="1">
      <x:c r="A1148" s="14" t="n">
        <x:f>$V$32</x:f>
        <x:v>60019</x:v>
      </x:c>
      <x:c r="B1148" s="14" t="str">
        <x:f>$W$32</x:f>
        <x:v>菠萝战士</x:v>
      </x:c>
      <x:c r="C1148" s="6" t="str">
        <x:f>$X$32</x:f>
        <x:v>精英</x:v>
      </x:c>
      <x:c r="D1148" s="6">
        <x:v>36</x:v>
      </x:c>
      <x:c r="E1148" s="6">
        <x:v>32</x:v>
      </x:c>
      <x:c r="F1148" s="12">
        <x:f>ROUND(J1148*$W$4*H1148,0)</x:f>
        <x:v>34920</x:v>
      </x:c>
      <x:c r="G1148" s="12">
        <x:f>ROUND(J1148*$W$4*$W$5*I1148,0)</x:f>
        <x:v>2069</x:v>
      </x:c>
      <x:c r="H1148" s="11" t="n">
        <x:f>$Y$32</x:f>
        <x:v>3.75</x:v>
      </x:c>
      <x:c r="I1148" s="11" t="n">
        <x:f>$Z$32</x:f>
        <x:v>2.9629629629629632</x:v>
      </x:c>
      <x:c r="J1148" s="12">
        <x:f>英雄升级调参!$E$101</x:f>
        <x:v>2328</x:v>
      </x:c>
      <x:c r="K1148" s="12">
        <x:f>英雄升级调参!$F$101</x:f>
        <x:v>23280</x:v>
      </x:c>
      <x:c r="L1148" s="6" t="n">
        <x:f>ROUNDUP(F1148/J1148,0)</x:f>
        <x:v>15</x:v>
      </x:c>
      <x:c r="M1148" s="6" t="n">
        <x:f>IF(G1148=0,"无伤害",ROUNDUP(K1148/MAX(1,ROUND(G1148*$AC$32,0)),0))</x:f>
        <x:v>8</x:v>
      </x:c>
      <x:c r="N1148" s="6" t="n">
        <x:f>ROUNDUP(F1148/英雄升级调参!$H$101,0)</x:f>
        <x:v>10</x:v>
      </x:c>
      <x:c r="O1148" s="6">
        <x:f>ROUNDUP(F1148/英雄升级调参!$K$101,0)</x:f>
        <x:v>6</x:v>
      </x:c>
      <x:c r="P1148" s="6" t="str">
        <x:f>$AA$32</x:f>
        <x:v>精英：15次标准普攻击杀；7.5次主要攻击致死</x:v>
      </x:c>
      <x:c r="Q1148" s="6"/>
      <x:c r="R1148" s="6"/>
      <x:c r="S1148" s="6"/>
      <x:c r="T1148" s="6"/>
    </x:row>
    <x:row r="1149" ht="21" customHeight="1">
      <x:c r="A1149" s="14" t="n">
        <x:f>$V$32</x:f>
        <x:v>60019</x:v>
      </x:c>
      <x:c r="B1149" s="14" t="str">
        <x:f>$W$32</x:f>
        <x:v>菠萝战士</x:v>
      </x:c>
      <x:c r="C1149" s="6" t="str">
        <x:f>$X$32</x:f>
        <x:v>精英</x:v>
      </x:c>
      <x:c r="D1149" s="6">
        <x:v>37</x:v>
      </x:c>
      <x:c r="E1149" s="6">
        <x:v>32</x:v>
      </x:c>
      <x:c r="F1149" s="12">
        <x:f>ROUND(J1149*$W$4*H1149,0)</x:f>
        <x:v>36135</x:v>
      </x:c>
      <x:c r="G1149" s="12">
        <x:f>ROUND(J1149*$W$4*$W$5*I1149,0)</x:f>
        <x:v>2141</x:v>
      </x:c>
      <x:c r="H1149" s="11" t="n">
        <x:f>$Y$32</x:f>
        <x:v>3.75</x:v>
      </x:c>
      <x:c r="I1149" s="11" t="n">
        <x:f>$Z$32</x:f>
        <x:v>2.9629629629629632</x:v>
      </x:c>
      <x:c r="J1149" s="12">
        <x:f>英雄升级调参!$E$102</x:f>
        <x:v>2409</x:v>
      </x:c>
      <x:c r="K1149" s="12">
        <x:f>英雄升级调参!$F$102</x:f>
        <x:v>24090</x:v>
      </x:c>
      <x:c r="L1149" s="6" t="n">
        <x:f>ROUNDUP(F1149/J1149,0)</x:f>
        <x:v>15</x:v>
      </x:c>
      <x:c r="M1149" s="6" t="n">
        <x:f>IF(G1149=0,"无伤害",ROUNDUP(K1149/MAX(1,ROUND(G1149*$AC$32,0)),0))</x:f>
        <x:v>8</x:v>
      </x:c>
      <x:c r="N1149" s="6" t="n">
        <x:f>ROUNDUP(F1149/英雄升级调参!$H$102,0)</x:f>
        <x:v>10</x:v>
      </x:c>
      <x:c r="O1149" s="6">
        <x:f>ROUNDUP(F1149/英雄升级调参!$K$102,0)</x:f>
        <x:v>6</x:v>
      </x:c>
      <x:c r="P1149" s="6" t="str">
        <x:f>$AA$32</x:f>
        <x:v>精英：15次标准普攻击杀；7.5次主要攻击致死</x:v>
      </x:c>
      <x:c r="Q1149" s="6"/>
      <x:c r="R1149" s="6"/>
      <x:c r="S1149" s="6"/>
      <x:c r="T1149" s="6"/>
    </x:row>
    <x:row r="1150" ht="21" customHeight="1">
      <x:c r="A1150" s="14" t="n">
        <x:f>$V$32</x:f>
        <x:v>60019</x:v>
      </x:c>
      <x:c r="B1150" s="14" t="str">
        <x:f>$W$32</x:f>
        <x:v>菠萝战士</x:v>
      </x:c>
      <x:c r="C1150" s="6" t="str">
        <x:f>$X$32</x:f>
        <x:v>精英</x:v>
      </x:c>
      <x:c r="D1150" s="6">
        <x:v>38</x:v>
      </x:c>
      <x:c r="E1150" s="6">
        <x:v>32</x:v>
      </x:c>
      <x:c r="F1150" s="12">
        <x:f>ROUND(J1150*$W$4*H1150,0)</x:f>
        <x:v>37350</x:v>
      </x:c>
      <x:c r="G1150" s="12">
        <x:f>ROUND(J1150*$W$4*$W$5*I1150,0)</x:f>
        <x:v>2213</x:v>
      </x:c>
      <x:c r="H1150" s="11" t="n">
        <x:f>$Y$32</x:f>
        <x:v>3.75</x:v>
      </x:c>
      <x:c r="I1150" s="11" t="n">
        <x:f>$Z$32</x:f>
        <x:v>2.9629629629629632</x:v>
      </x:c>
      <x:c r="J1150" s="12">
        <x:f>英雄升级调参!$E$103</x:f>
        <x:v>2490</x:v>
      </x:c>
      <x:c r="K1150" s="12">
        <x:f>英雄升级调参!$F$103</x:f>
        <x:v>24900</x:v>
      </x:c>
      <x:c r="L1150" s="6" t="n">
        <x:f>ROUNDUP(F1150/J1150,0)</x:f>
        <x:v>15</x:v>
      </x:c>
      <x:c r="M1150" s="6" t="n">
        <x:f>IF(G1150=0,"无伤害",ROUNDUP(K1150/MAX(1,ROUND(G1150*$AC$32,0)),0))</x:f>
        <x:v>8</x:v>
      </x:c>
      <x:c r="N1150" s="6" t="n">
        <x:f>ROUNDUP(F1150/英雄升级调参!$H$103,0)</x:f>
        <x:v>10</x:v>
      </x:c>
      <x:c r="O1150" s="6">
        <x:f>ROUNDUP(F1150/英雄升级调参!$K$103,0)</x:f>
        <x:v>6</x:v>
      </x:c>
      <x:c r="P1150" s="6" t="str">
        <x:f>$AA$32</x:f>
        <x:v>精英：15次标准普攻击杀；7.5次主要攻击致死</x:v>
      </x:c>
      <x:c r="Q1150" s="6"/>
      <x:c r="R1150" s="6"/>
      <x:c r="S1150" s="6"/>
      <x:c r="T1150" s="6"/>
    </x:row>
    <x:row r="1151" ht="21" customHeight="1">
      <x:c r="A1151" s="14" t="n">
        <x:f>$V$32</x:f>
        <x:v>60019</x:v>
      </x:c>
      <x:c r="B1151" s="14" t="str">
        <x:f>$W$32</x:f>
        <x:v>菠萝战士</x:v>
      </x:c>
      <x:c r="C1151" s="6" t="str">
        <x:f>$X$32</x:f>
        <x:v>精英</x:v>
      </x:c>
      <x:c r="D1151" s="6">
        <x:v>39</x:v>
      </x:c>
      <x:c r="E1151" s="6">
        <x:v>32</x:v>
      </x:c>
      <x:c r="F1151" s="12">
        <x:f>ROUND(J1151*$W$4*H1151,0)</x:f>
        <x:v>38565</x:v>
      </x:c>
      <x:c r="G1151" s="12">
        <x:f>ROUND(J1151*$W$4*$W$5*I1151,0)</x:f>
        <x:v>2285</x:v>
      </x:c>
      <x:c r="H1151" s="11" t="n">
        <x:f>$Y$32</x:f>
        <x:v>3.75</x:v>
      </x:c>
      <x:c r="I1151" s="11" t="n">
        <x:f>$Z$32</x:f>
        <x:v>2.9629629629629632</x:v>
      </x:c>
      <x:c r="J1151" s="12">
        <x:f>英雄升级调参!$E$104</x:f>
        <x:v>2571</x:v>
      </x:c>
      <x:c r="K1151" s="12">
        <x:f>英雄升级调参!$F$104</x:f>
        <x:v>25710</x:v>
      </x:c>
      <x:c r="L1151" s="6" t="n">
        <x:f>ROUNDUP(F1151/J1151,0)</x:f>
        <x:v>15</x:v>
      </x:c>
      <x:c r="M1151" s="6" t="n">
        <x:f>IF(G1151=0,"无伤害",ROUNDUP(K1151/MAX(1,ROUND(G1151*$AC$32,0)),0))</x:f>
        <x:v>8</x:v>
      </x:c>
      <x:c r="N1151" s="6" t="n">
        <x:f>ROUNDUP(F1151/英雄升级调参!$H$104,0)</x:f>
        <x:v>10</x:v>
      </x:c>
      <x:c r="O1151" s="6">
        <x:f>ROUNDUP(F1151/英雄升级调参!$K$104,0)</x:f>
        <x:v>6</x:v>
      </x:c>
      <x:c r="P1151" s="6" t="str">
        <x:f>$AA$32</x:f>
        <x:v>精英：15次标准普攻击杀；7.5次主要攻击致死</x:v>
      </x:c>
      <x:c r="Q1151" s="6"/>
      <x:c r="R1151" s="6"/>
      <x:c r="S1151" s="6"/>
      <x:c r="T1151" s="6"/>
    </x:row>
    <x:row r="1152" ht="21" customHeight="1">
      <x:c r="A1152" s="14" t="n">
        <x:f>$V$32</x:f>
        <x:v>60019</x:v>
      </x:c>
      <x:c r="B1152" s="14" t="str">
        <x:f>$W$32</x:f>
        <x:v>菠萝战士</x:v>
      </x:c>
      <x:c r="C1152" s="6" t="str">
        <x:f>$X$32</x:f>
        <x:v>精英</x:v>
      </x:c>
      <x:c r="D1152" s="6">
        <x:v>40</x:v>
      </x:c>
      <x:c r="E1152" s="6">
        <x:v>32</x:v>
      </x:c>
      <x:c r="F1152" s="12">
        <x:f>ROUND(J1152*$W$4*H1152,0)</x:f>
        <x:v>42210</x:v>
      </x:c>
      <x:c r="G1152" s="12">
        <x:f>ROUND(J1152*$W$4*$W$5*I1152,0)</x:f>
        <x:v>2501</x:v>
      </x:c>
      <x:c r="H1152" s="11" t="n">
        <x:f>$Y$32</x:f>
        <x:v>3.75</x:v>
      </x:c>
      <x:c r="I1152" s="11" t="n">
        <x:f>$Z$32</x:f>
        <x:v>2.9629629629629632</x:v>
      </x:c>
      <x:c r="J1152" s="12">
        <x:f>英雄升级调参!$E$105</x:f>
        <x:v>2814</x:v>
      </x:c>
      <x:c r="K1152" s="12">
        <x:f>英雄升级调参!$F$105</x:f>
        <x:v>28140</x:v>
      </x:c>
      <x:c r="L1152" s="6" t="n">
        <x:f>ROUNDUP(F1152/J1152,0)</x:f>
        <x:v>15</x:v>
      </x:c>
      <x:c r="M1152" s="6" t="n">
        <x:f>IF(G1152=0,"无伤害",ROUNDUP(K1152/MAX(1,ROUND(G1152*$AC$32,0)),0))</x:f>
        <x:v>8</x:v>
      </x:c>
      <x:c r="N1152" s="6" t="n">
        <x:f>ROUNDUP(F1152/英雄升级调参!$H$105,0)</x:f>
        <x:v>10</x:v>
      </x:c>
      <x:c r="O1152" s="6">
        <x:f>ROUNDUP(F1152/英雄升级调参!$K$105,0)</x:f>
        <x:v>6</x:v>
      </x:c>
      <x:c r="P1152" s="6" t="str">
        <x:f>$AA$32</x:f>
        <x:v>精英：15次标准普攻击杀；7.5次主要攻击致死</x:v>
      </x:c>
      <x:c r="Q1152" s="6"/>
      <x:c r="R1152" s="6"/>
      <x:c r="S1152" s="6"/>
      <x:c r="T1152" s="6"/>
    </x:row>
    <x:row r="1153" ht="21" customHeight="1">
      <x:c r="A1153" s="14" t="n">
        <x:f>$V$32</x:f>
        <x:v>60019</x:v>
      </x:c>
      <x:c r="B1153" s="14" t="str">
        <x:f>$W$32</x:f>
        <x:v>菠萝战士</x:v>
      </x:c>
      <x:c r="C1153" s="6" t="str">
        <x:f>$X$32</x:f>
        <x:v>精英</x:v>
      </x:c>
      <x:c r="D1153" s="6">
        <x:v>41</x:v>
      </x:c>
      <x:c r="E1153" s="6">
        <x:v>32</x:v>
      </x:c>
      <x:c r="F1153" s="12">
        <x:f>ROUND(J1153*$W$4*H1153,0)</x:f>
        <x:v>43560</x:v>
      </x:c>
      <x:c r="G1153" s="12">
        <x:f>ROUND(J1153*$W$4*$W$5*I1153,0)</x:f>
        <x:v>2581</x:v>
      </x:c>
      <x:c r="H1153" s="11" t="n">
        <x:f>$Y$32</x:f>
        <x:v>3.75</x:v>
      </x:c>
      <x:c r="I1153" s="11" t="n">
        <x:f>$Z$32</x:f>
        <x:v>2.9629629629629632</x:v>
      </x:c>
      <x:c r="J1153" s="12">
        <x:f>英雄升级调参!$E$106</x:f>
        <x:v>2904</x:v>
      </x:c>
      <x:c r="K1153" s="12">
        <x:f>英雄升级调参!$F$106</x:f>
        <x:v>29040</x:v>
      </x:c>
      <x:c r="L1153" s="6" t="n">
        <x:f>ROUNDUP(F1153/J1153,0)</x:f>
        <x:v>15</x:v>
      </x:c>
      <x:c r="M1153" s="6" t="n">
        <x:f>IF(G1153=0,"无伤害",ROUNDUP(K1153/MAX(1,ROUND(G1153*$AC$32,0)),0))</x:f>
        <x:v>8</x:v>
      </x:c>
      <x:c r="N1153" s="6" t="n">
        <x:f>ROUNDUP(F1153/英雄升级调参!$H$106,0)</x:f>
        <x:v>10</x:v>
      </x:c>
      <x:c r="O1153" s="6">
        <x:f>ROUNDUP(F1153/英雄升级调参!$K$106,0)</x:f>
        <x:v>6</x:v>
      </x:c>
      <x:c r="P1153" s="6" t="str">
        <x:f>$AA$32</x:f>
        <x:v>精英：15次标准普攻击杀；7.5次主要攻击致死</x:v>
      </x:c>
      <x:c r="Q1153" s="6"/>
      <x:c r="R1153" s="6"/>
      <x:c r="S1153" s="6"/>
      <x:c r="T1153" s="6"/>
    </x:row>
    <x:row r="1154" ht="21" customHeight="1">
      <x:c r="A1154" s="14" t="n">
        <x:f>$V$32</x:f>
        <x:v>60019</x:v>
      </x:c>
      <x:c r="B1154" s="14" t="str">
        <x:f>$W$32</x:f>
        <x:v>菠萝战士</x:v>
      </x:c>
      <x:c r="C1154" s="6" t="str">
        <x:f>$X$32</x:f>
        <x:v>精英</x:v>
      </x:c>
      <x:c r="D1154" s="6">
        <x:v>42</x:v>
      </x:c>
      <x:c r="E1154" s="6">
        <x:v>32</x:v>
      </x:c>
      <x:c r="F1154" s="12">
        <x:f>ROUND(J1154*$W$4*H1154,0)</x:f>
        <x:v>44910</x:v>
      </x:c>
      <x:c r="G1154" s="12">
        <x:f>ROUND(J1154*$W$4*$W$5*I1154,0)</x:f>
        <x:v>2661</x:v>
      </x:c>
      <x:c r="H1154" s="11" t="n">
        <x:f>$Y$32</x:f>
        <x:v>3.75</x:v>
      </x:c>
      <x:c r="I1154" s="11" t="n">
        <x:f>$Z$32</x:f>
        <x:v>2.9629629629629632</x:v>
      </x:c>
      <x:c r="J1154" s="12">
        <x:f>英雄升级调参!$E$107</x:f>
        <x:v>2994</x:v>
      </x:c>
      <x:c r="K1154" s="12">
        <x:f>英雄升级调参!$F$107</x:f>
        <x:v>29940</x:v>
      </x:c>
      <x:c r="L1154" s="6" t="n">
        <x:f>ROUNDUP(F1154/J1154,0)</x:f>
        <x:v>15</x:v>
      </x:c>
      <x:c r="M1154" s="6" t="n">
        <x:f>IF(G1154=0,"无伤害",ROUNDUP(K1154/MAX(1,ROUND(G1154*$AC$32,0)),0))</x:f>
        <x:v>8</x:v>
      </x:c>
      <x:c r="N1154" s="6" t="n">
        <x:f>ROUNDUP(F1154/英雄升级调参!$H$107,0)</x:f>
        <x:v>10</x:v>
      </x:c>
      <x:c r="O1154" s="6">
        <x:f>ROUNDUP(F1154/英雄升级调参!$K$107,0)</x:f>
        <x:v>6</x:v>
      </x:c>
      <x:c r="P1154" s="6" t="str">
        <x:f>$AA$32</x:f>
        <x:v>精英：15次标准普攻击杀；7.5次主要攻击致死</x:v>
      </x:c>
      <x:c r="Q1154" s="6"/>
      <x:c r="R1154" s="6"/>
      <x:c r="S1154" s="6"/>
      <x:c r="T1154" s="6"/>
    </x:row>
    <x:row r="1155" ht="21" customHeight="1">
      <x:c r="A1155" s="14" t="n">
        <x:f>$V$32</x:f>
        <x:v>60019</x:v>
      </x:c>
      <x:c r="B1155" s="14" t="str">
        <x:f>$W$32</x:f>
        <x:v>菠萝战士</x:v>
      </x:c>
      <x:c r="C1155" s="6" t="str">
        <x:f>$X$32</x:f>
        <x:v>精英</x:v>
      </x:c>
      <x:c r="D1155" s="6">
        <x:v>43</x:v>
      </x:c>
      <x:c r="E1155" s="6">
        <x:v>32</x:v>
      </x:c>
      <x:c r="F1155" s="12">
        <x:f>ROUND(J1155*$W$4*H1155,0)</x:f>
        <x:v>46260</x:v>
      </x:c>
      <x:c r="G1155" s="12">
        <x:f>ROUND(J1155*$W$4*$W$5*I1155,0)</x:f>
        <x:v>2741</x:v>
      </x:c>
      <x:c r="H1155" s="11" t="n">
        <x:f>$Y$32</x:f>
        <x:v>3.75</x:v>
      </x:c>
      <x:c r="I1155" s="11" t="n">
        <x:f>$Z$32</x:f>
        <x:v>2.9629629629629632</x:v>
      </x:c>
      <x:c r="J1155" s="12">
        <x:f>英雄升级调参!$E$108</x:f>
        <x:v>3084</x:v>
      </x:c>
      <x:c r="K1155" s="12">
        <x:f>英雄升级调参!$F$108</x:f>
        <x:v>30840</x:v>
      </x:c>
      <x:c r="L1155" s="6" t="n">
        <x:f>ROUNDUP(F1155/J1155,0)</x:f>
        <x:v>15</x:v>
      </x:c>
      <x:c r="M1155" s="6" t="n">
        <x:f>IF(G1155=0,"无伤害",ROUNDUP(K1155/MAX(1,ROUND(G1155*$AC$32,0)),0))</x:f>
        <x:v>8</x:v>
      </x:c>
      <x:c r="N1155" s="6" t="n">
        <x:f>ROUNDUP(F1155/英雄升级调参!$H$108,0)</x:f>
        <x:v>10</x:v>
      </x:c>
      <x:c r="O1155" s="6">
        <x:f>ROUNDUP(F1155/英雄升级调参!$K$108,0)</x:f>
        <x:v>6</x:v>
      </x:c>
      <x:c r="P1155" s="6" t="str">
        <x:f>$AA$32</x:f>
        <x:v>精英：15次标准普攻击杀；7.5次主要攻击致死</x:v>
      </x:c>
      <x:c r="Q1155" s="6"/>
      <x:c r="R1155" s="6"/>
      <x:c r="S1155" s="6"/>
      <x:c r="T1155" s="6"/>
    </x:row>
    <x:row r="1156" ht="21" customHeight="1">
      <x:c r="A1156" s="14" t="n">
        <x:f>$V$32</x:f>
        <x:v>60019</x:v>
      </x:c>
      <x:c r="B1156" s="14" t="str">
        <x:f>$W$32</x:f>
        <x:v>菠萝战士</x:v>
      </x:c>
      <x:c r="C1156" s="6" t="str">
        <x:f>$X$32</x:f>
        <x:v>精英</x:v>
      </x:c>
      <x:c r="D1156" s="6">
        <x:v>44</x:v>
      </x:c>
      <x:c r="E1156" s="6">
        <x:v>32</x:v>
      </x:c>
      <x:c r="F1156" s="12">
        <x:f>ROUND(J1156*$W$4*H1156,0)</x:f>
        <x:v>47610</x:v>
      </x:c>
      <x:c r="G1156" s="12">
        <x:f>ROUND(J1156*$W$4*$W$5*I1156,0)</x:f>
        <x:v>2821</x:v>
      </x:c>
      <x:c r="H1156" s="11" t="n">
        <x:f>$Y$32</x:f>
        <x:v>3.75</x:v>
      </x:c>
      <x:c r="I1156" s="11" t="n">
        <x:f>$Z$32</x:f>
        <x:v>2.9629629629629632</x:v>
      </x:c>
      <x:c r="J1156" s="12">
        <x:f>英雄升级调参!$E$109</x:f>
        <x:v>3174</x:v>
      </x:c>
      <x:c r="K1156" s="12">
        <x:f>英雄升级调参!$F$109</x:f>
        <x:v>31740</x:v>
      </x:c>
      <x:c r="L1156" s="6" t="n">
        <x:f>ROUNDUP(F1156/J1156,0)</x:f>
        <x:v>15</x:v>
      </x:c>
      <x:c r="M1156" s="6" t="n">
        <x:f>IF(G1156=0,"无伤害",ROUNDUP(K1156/MAX(1,ROUND(G1156*$AC$32,0)),0))</x:f>
        <x:v>8</x:v>
      </x:c>
      <x:c r="N1156" s="6" t="n">
        <x:f>ROUNDUP(F1156/英雄升级调参!$H$109,0)</x:f>
        <x:v>10</x:v>
      </x:c>
      <x:c r="O1156" s="6">
        <x:f>ROUNDUP(F1156/英雄升级调参!$K$109,0)</x:f>
        <x:v>6</x:v>
      </x:c>
      <x:c r="P1156" s="6" t="str">
        <x:f>$AA$32</x:f>
        <x:v>精英：15次标准普攻击杀；7.5次主要攻击致死</x:v>
      </x:c>
      <x:c r="Q1156" s="6"/>
      <x:c r="R1156" s="6"/>
      <x:c r="S1156" s="6"/>
      <x:c r="T1156" s="6"/>
    </x:row>
    <x:row r="1157" ht="21" customHeight="1">
      <x:c r="A1157" s="14" t="n">
        <x:f>$V$32</x:f>
        <x:v>60019</x:v>
      </x:c>
      <x:c r="B1157" s="14" t="str">
        <x:f>$W$32</x:f>
        <x:v>菠萝战士</x:v>
      </x:c>
      <x:c r="C1157" s="6" t="str">
        <x:f>$X$32</x:f>
        <x:v>精英</x:v>
      </x:c>
      <x:c r="D1157" s="6">
        <x:v>45</x:v>
      </x:c>
      <x:c r="E1157" s="6">
        <x:v>32</x:v>
      </x:c>
      <x:c r="F1157" s="12">
        <x:f>ROUND(J1157*$W$4*H1157,0)</x:f>
        <x:v>51660</x:v>
      </x:c>
      <x:c r="G1157" s="12">
        <x:f>ROUND(J1157*$W$4*$W$5*I1157,0)</x:f>
        <x:v>3061</x:v>
      </x:c>
      <x:c r="H1157" s="11" t="n">
        <x:f>$Y$32</x:f>
        <x:v>3.75</x:v>
      </x:c>
      <x:c r="I1157" s="11" t="n">
        <x:f>$Z$32</x:f>
        <x:v>2.9629629629629632</x:v>
      </x:c>
      <x:c r="J1157" s="12">
        <x:f>英雄升级调参!$E$110</x:f>
        <x:v>3444</x:v>
      </x:c>
      <x:c r="K1157" s="12">
        <x:f>英雄升级调参!$F$110</x:f>
        <x:v>34440</x:v>
      </x:c>
      <x:c r="L1157" s="6" t="n">
        <x:f>ROUNDUP(F1157/J1157,0)</x:f>
        <x:v>15</x:v>
      </x:c>
      <x:c r="M1157" s="6" t="n">
        <x:f>IF(G1157=0,"无伤害",ROUNDUP(K1157/MAX(1,ROUND(G1157*$AC$32,0)),0))</x:f>
        <x:v>8</x:v>
      </x:c>
      <x:c r="N1157" s="6" t="n">
        <x:f>ROUNDUP(F1157/英雄升级调参!$H$110,0)</x:f>
        <x:v>10</x:v>
      </x:c>
      <x:c r="O1157" s="6">
        <x:f>ROUNDUP(F1157/英雄升级调参!$K$110,0)</x:f>
        <x:v>6</x:v>
      </x:c>
      <x:c r="P1157" s="6" t="str">
        <x:f>$AA$32</x:f>
        <x:v>精英：15次标准普攻击杀；7.5次主要攻击致死</x:v>
      </x:c>
      <x:c r="Q1157" s="6"/>
      <x:c r="R1157" s="6"/>
      <x:c r="S1157" s="6"/>
      <x:c r="T1157" s="6"/>
    </x:row>
    <x:row r="1158" ht="21" customHeight="1">
      <x:c r="A1158" s="14" t="n">
        <x:f>$V$32</x:f>
        <x:v>60019</x:v>
      </x:c>
      <x:c r="B1158" s="14" t="str">
        <x:f>$W$32</x:f>
        <x:v>菠萝战士</x:v>
      </x:c>
      <x:c r="C1158" s="6" t="str">
        <x:f>$X$32</x:f>
        <x:v>精英</x:v>
      </x:c>
      <x:c r="D1158" s="6">
        <x:v>46</x:v>
      </x:c>
      <x:c r="E1158" s="6">
        <x:v>32</x:v>
      </x:c>
      <x:c r="F1158" s="12">
        <x:f>ROUND(J1158*$W$4*H1158,0)</x:f>
        <x:v>53145</x:v>
      </x:c>
      <x:c r="G1158" s="12">
        <x:f>ROUND(J1158*$W$4*$W$5*I1158,0)</x:f>
        <x:v>3149</x:v>
      </x:c>
      <x:c r="H1158" s="11" t="n">
        <x:f>$Y$32</x:f>
        <x:v>3.75</x:v>
      </x:c>
      <x:c r="I1158" s="11" t="n">
        <x:f>$Z$32</x:f>
        <x:v>2.9629629629629632</x:v>
      </x:c>
      <x:c r="J1158" s="12">
        <x:f>英雄升级调参!$E$111</x:f>
        <x:v>3543</x:v>
      </x:c>
      <x:c r="K1158" s="12">
        <x:f>英雄升级调参!$F$111</x:f>
        <x:v>35430</x:v>
      </x:c>
      <x:c r="L1158" s="6" t="n">
        <x:f>ROUNDUP(F1158/J1158,0)</x:f>
        <x:v>15</x:v>
      </x:c>
      <x:c r="M1158" s="6" t="n">
        <x:f>IF(G1158=0,"无伤害",ROUNDUP(K1158/MAX(1,ROUND(G1158*$AC$32,0)),0))</x:f>
        <x:v>8</x:v>
      </x:c>
      <x:c r="N1158" s="6" t="n">
        <x:f>ROUNDUP(F1158/英雄升级调参!$H$111,0)</x:f>
        <x:v>10</x:v>
      </x:c>
      <x:c r="O1158" s="6">
        <x:f>ROUNDUP(F1158/英雄升级调参!$K$111,0)</x:f>
        <x:v>6</x:v>
      </x:c>
      <x:c r="P1158" s="6" t="str">
        <x:f>$AA$32</x:f>
        <x:v>精英：15次标准普攻击杀；7.5次主要攻击致死</x:v>
      </x:c>
      <x:c r="Q1158" s="6"/>
      <x:c r="R1158" s="6"/>
      <x:c r="S1158" s="6"/>
      <x:c r="T1158" s="6"/>
    </x:row>
    <x:row r="1159" ht="21" customHeight="1">
      <x:c r="A1159" s="14" t="n">
        <x:f>$V$32</x:f>
        <x:v>60019</x:v>
      </x:c>
      <x:c r="B1159" s="14" t="str">
        <x:f>$W$32</x:f>
        <x:v>菠萝战士</x:v>
      </x:c>
      <x:c r="C1159" s="6" t="str">
        <x:f>$X$32</x:f>
        <x:v>精英</x:v>
      </x:c>
      <x:c r="D1159" s="6">
        <x:v>47</x:v>
      </x:c>
      <x:c r="E1159" s="6">
        <x:v>32</x:v>
      </x:c>
      <x:c r="F1159" s="12">
        <x:f>ROUND(J1159*$W$4*H1159,0)</x:f>
        <x:v>54630</x:v>
      </x:c>
      <x:c r="G1159" s="12">
        <x:f>ROUND(J1159*$W$4*$W$5*I1159,0)</x:f>
        <x:v>3237</x:v>
      </x:c>
      <x:c r="H1159" s="11" t="n">
        <x:f>$Y$32</x:f>
        <x:v>3.75</x:v>
      </x:c>
      <x:c r="I1159" s="11" t="n">
        <x:f>$Z$32</x:f>
        <x:v>2.9629629629629632</x:v>
      </x:c>
      <x:c r="J1159" s="12">
        <x:f>英雄升级调参!$E$112</x:f>
        <x:v>3642</x:v>
      </x:c>
      <x:c r="K1159" s="12">
        <x:f>英雄升级调参!$F$112</x:f>
        <x:v>36420</x:v>
      </x:c>
      <x:c r="L1159" s="6" t="n">
        <x:f>ROUNDUP(F1159/J1159,0)</x:f>
        <x:v>15</x:v>
      </x:c>
      <x:c r="M1159" s="6" t="n">
        <x:f>IF(G1159=0,"无伤害",ROUNDUP(K1159/MAX(1,ROUND(G1159*$AC$32,0)),0))</x:f>
        <x:v>8</x:v>
      </x:c>
      <x:c r="N1159" s="6" t="n">
        <x:f>ROUNDUP(F1159/英雄升级调参!$H$112,0)</x:f>
        <x:v>10</x:v>
      </x:c>
      <x:c r="O1159" s="6">
        <x:f>ROUNDUP(F1159/英雄升级调参!$K$112,0)</x:f>
        <x:v>6</x:v>
      </x:c>
      <x:c r="P1159" s="6" t="str">
        <x:f>$AA$32</x:f>
        <x:v>精英：15次标准普攻击杀；7.5次主要攻击致死</x:v>
      </x:c>
      <x:c r="Q1159" s="6"/>
      <x:c r="R1159" s="6"/>
      <x:c r="S1159" s="6"/>
      <x:c r="T1159" s="6"/>
    </x:row>
    <x:row r="1160" ht="21" customHeight="1">
      <x:c r="A1160" s="14" t="n">
        <x:f>$V$32</x:f>
        <x:v>60019</x:v>
      </x:c>
      <x:c r="B1160" s="14" t="str">
        <x:f>$W$32</x:f>
        <x:v>菠萝战士</x:v>
      </x:c>
      <x:c r="C1160" s="6" t="str">
        <x:f>$X$32</x:f>
        <x:v>精英</x:v>
      </x:c>
      <x:c r="D1160" s="6">
        <x:v>48</x:v>
      </x:c>
      <x:c r="E1160" s="6">
        <x:v>32</x:v>
      </x:c>
      <x:c r="F1160" s="12">
        <x:f>ROUND(J1160*$W$4*H1160,0)</x:f>
        <x:v>56115</x:v>
      </x:c>
      <x:c r="G1160" s="12">
        <x:f>ROUND(J1160*$W$4*$W$5*I1160,0)</x:f>
        <x:v>3325</x:v>
      </x:c>
      <x:c r="H1160" s="11" t="n">
        <x:f>$Y$32</x:f>
        <x:v>3.75</x:v>
      </x:c>
      <x:c r="I1160" s="11" t="n">
        <x:f>$Z$32</x:f>
        <x:v>2.9629629629629632</x:v>
      </x:c>
      <x:c r="J1160" s="12">
        <x:f>英雄升级调参!$E$113</x:f>
        <x:v>3741</x:v>
      </x:c>
      <x:c r="K1160" s="12">
        <x:f>英雄升级调参!$F$113</x:f>
        <x:v>37410</x:v>
      </x:c>
      <x:c r="L1160" s="6" t="n">
        <x:f>ROUNDUP(F1160/J1160,0)</x:f>
        <x:v>15</x:v>
      </x:c>
      <x:c r="M1160" s="6" t="n">
        <x:f>IF(G1160=0,"无伤害",ROUNDUP(K1160/MAX(1,ROUND(G1160*$AC$32,0)),0))</x:f>
        <x:v>8</x:v>
      </x:c>
      <x:c r="N1160" s="6" t="n">
        <x:f>ROUNDUP(F1160/英雄升级调参!$H$113,0)</x:f>
        <x:v>10</x:v>
      </x:c>
      <x:c r="O1160" s="6">
        <x:f>ROUNDUP(F1160/英雄升级调参!$K$113,0)</x:f>
        <x:v>6</x:v>
      </x:c>
      <x:c r="P1160" s="6" t="str">
        <x:f>$AA$32</x:f>
        <x:v>精英：15次标准普攻击杀；7.5次主要攻击致死</x:v>
      </x:c>
      <x:c r="Q1160" s="6"/>
      <x:c r="R1160" s="6"/>
      <x:c r="S1160" s="6"/>
      <x:c r="T1160" s="6"/>
    </x:row>
    <x:row r="1161" ht="21" customHeight="1">
      <x:c r="A1161" s="14" t="n">
        <x:f>$V$32</x:f>
        <x:v>60019</x:v>
      </x:c>
      <x:c r="B1161" s="14" t="str">
        <x:f>$W$32</x:f>
        <x:v>菠萝战士</x:v>
      </x:c>
      <x:c r="C1161" s="6" t="str">
        <x:f>$X$32</x:f>
        <x:v>精英</x:v>
      </x:c>
      <x:c r="D1161" s="6">
        <x:v>49</x:v>
      </x:c>
      <x:c r="E1161" s="6">
        <x:v>32</x:v>
      </x:c>
      <x:c r="F1161" s="12">
        <x:f>ROUND(J1161*$W$4*H1161,0)</x:f>
        <x:v>57600</x:v>
      </x:c>
      <x:c r="G1161" s="12">
        <x:f>ROUND(J1161*$W$4*$W$5*I1161,0)</x:f>
        <x:v>3413</x:v>
      </x:c>
      <x:c r="H1161" s="11" t="n">
        <x:f>$Y$32</x:f>
        <x:v>3.75</x:v>
      </x:c>
      <x:c r="I1161" s="11" t="n">
        <x:f>$Z$32</x:f>
        <x:v>2.9629629629629632</x:v>
      </x:c>
      <x:c r="J1161" s="12">
        <x:f>英雄升级调参!$E$114</x:f>
        <x:v>3840</x:v>
      </x:c>
      <x:c r="K1161" s="12">
        <x:f>英雄升级调参!$F$114</x:f>
        <x:v>38400</x:v>
      </x:c>
      <x:c r="L1161" s="6" t="n">
        <x:f>ROUNDUP(F1161/J1161,0)</x:f>
        <x:v>15</x:v>
      </x:c>
      <x:c r="M1161" s="6" t="n">
        <x:f>IF(G1161=0,"无伤害",ROUNDUP(K1161/MAX(1,ROUND(G1161*$AC$32,0)),0))</x:f>
        <x:v>8</x:v>
      </x:c>
      <x:c r="N1161" s="6" t="n">
        <x:f>ROUNDUP(F1161/英雄升级调参!$H$114,0)</x:f>
        <x:v>10</x:v>
      </x:c>
      <x:c r="O1161" s="6">
        <x:f>ROUNDUP(F1161/英雄升级调参!$K$114,0)</x:f>
        <x:v>6</x:v>
      </x:c>
      <x:c r="P1161" s="6" t="str">
        <x:f>$AA$32</x:f>
        <x:v>精英：15次标准普攻击杀；7.5次主要攻击致死</x:v>
      </x:c>
      <x:c r="Q1161" s="6"/>
      <x:c r="R1161" s="6"/>
      <x:c r="S1161" s="6"/>
      <x:c r="T1161" s="6"/>
    </x:row>
    <x:row r="1162" ht="21" customHeight="1">
      <x:c r="A1162" s="14" t="n">
        <x:f>$V$32</x:f>
        <x:v>60019</x:v>
      </x:c>
      <x:c r="B1162" s="14" t="str">
        <x:f>$W$32</x:f>
        <x:v>菠萝战士</x:v>
      </x:c>
      <x:c r="C1162" s="6" t="str">
        <x:f>$X$32</x:f>
        <x:v>精英</x:v>
      </x:c>
      <x:c r="D1162" s="6">
        <x:v>50</x:v>
      </x:c>
      <x:c r="E1162" s="6">
        <x:v>32</x:v>
      </x:c>
      <x:c r="F1162" s="12">
        <x:f>ROUND(J1162*$W$4*H1162,0)</x:f>
        <x:v>62055</x:v>
      </x:c>
      <x:c r="G1162" s="12">
        <x:f>ROUND(J1162*$W$4*$W$5*I1162,0)</x:f>
        <x:v>3677</x:v>
      </x:c>
      <x:c r="H1162" s="11" t="n">
        <x:f>$Y$32</x:f>
        <x:v>3.75</x:v>
      </x:c>
      <x:c r="I1162" s="11" t="n">
        <x:f>$Z$32</x:f>
        <x:v>2.9629629629629632</x:v>
      </x:c>
      <x:c r="J1162" s="12">
        <x:f>英雄升级调参!$E$115</x:f>
        <x:v>4137</x:v>
      </x:c>
      <x:c r="K1162" s="12">
        <x:f>英雄升级调参!$F$115</x:f>
        <x:v>41370</x:v>
      </x:c>
      <x:c r="L1162" s="6" t="n">
        <x:f>ROUNDUP(F1162/J1162,0)</x:f>
        <x:v>15</x:v>
      </x:c>
      <x:c r="M1162" s="6" t="n">
        <x:f>IF(G1162=0,"无伤害",ROUNDUP(K1162/MAX(1,ROUND(G1162*$AC$32,0)),0))</x:f>
        <x:v>8</x:v>
      </x:c>
      <x:c r="N1162" s="6" t="n">
        <x:f>ROUNDUP(F1162/英雄升级调参!$H$115,0)</x:f>
        <x:v>10</x:v>
      </x:c>
      <x:c r="O1162" s="6">
        <x:f>ROUNDUP(F1162/英雄升级调参!$K$115,0)</x:f>
        <x:v>6</x:v>
      </x:c>
      <x:c r="P1162" s="6" t="str">
        <x:f>$AA$32</x:f>
        <x:v>精英：15次标准普攻击杀；7.5次主要攻击致死</x:v>
      </x:c>
      <x:c r="Q1162" s="6"/>
      <x:c r="R1162" s="6"/>
      <x:c r="S1162" s="6"/>
      <x:c r="T1162" s="6"/>
    </x:row>
    <x:row r="1163" ht="21" customHeight="1">
      <x:c r="A1163" s="14" t="n">
        <x:f>$V$33</x:f>
        <x:v>60020</x:v>
      </x:c>
      <x:c r="B1163" s="14" t="str">
        <x:f>$W$33</x:f>
        <x:v>小雪人</x:v>
      </x:c>
      <x:c r="C1163" s="6" t="str">
        <x:f>$X$33</x:f>
        <x:v>普通</x:v>
      </x:c>
      <x:c r="D1163" s="6">
        <x:v>1</x:v>
      </x:c>
      <x:c r="E1163" s="6">
        <x:v>33</x:v>
      </x:c>
      <x:c r="F1163" s="12" t="n">
        <x:f>ROUND(J1163*$W$4*H1163,0)</x:f>
        <x:v>240</x:v>
      </x:c>
      <x:c r="G1163" s="12" t="n">
        <x:f>ROUND(J1163*$W$4*$W$5*I1163,0)</x:f>
        <x:v>60</x:v>
      </x:c>
      <x:c r="H1163" s="11" t="n">
        <x:f>$Y$33</x:f>
        <x:v>1</x:v>
      </x:c>
      <x:c r="I1163" s="11" t="n">
        <x:f>$Z$33</x:f>
        <x:v>3.3333333333333335</x:v>
      </x:c>
      <x:c r="J1163" s="12" t="n">
        <x:f>英雄升级调参!$E$66</x:f>
        <x:v>60</x:v>
      </x:c>
      <x:c r="K1163" s="12" t="n">
        <x:f>英雄升级调参!$F$66</x:f>
        <x:v>600</x:v>
      </x:c>
      <x:c r="L1163" s="6" t="n">
        <x:f>ROUNDUP(F1163/J1163,0)</x:f>
        <x:v>4</x:v>
      </x:c>
      <x:c r="M1163" s="6" t="n">
        <x:f>IF(G1163=0,"无伤害",ROUNDUP(K1163/MAX(1,ROUND(G1163*$AC$33,0)),0))</x:f>
        <x:v>10</x:v>
      </x:c>
      <x:c r="N1163" s="6">
        <x:f>ROUNDUP(F1163/英雄升级调参!$H$66,0)</x:f>
        <x:v>2</x:v>
      </x:c>
      <x:c r="O1163" s="6">
        <x:f>ROUNDUP(F1163/英雄升级调参!$K$66,0)</x:f>
        <x:v>1</x:v>
      </x:c>
      <x:c r="P1163" s="6" t="str">
        <x:f>$AA$33</x:f>
        <x:v>普通：4次标准普攻击杀；10次主要攻击致死</x:v>
      </x:c>
      <x:c r="Q1163" s="6"/>
      <x:c r="R1163" s="6"/>
      <x:c r="S1163" s="6"/>
      <x:c r="T1163" s="6"/>
    </x:row>
    <x:row r="1164" ht="21" customHeight="1">
      <x:c r="A1164" s="14" t="n">
        <x:f>$V$33</x:f>
        <x:v>60020</x:v>
      </x:c>
      <x:c r="B1164" s="14" t="str">
        <x:f>$W$33</x:f>
        <x:v>小雪人</x:v>
      </x:c>
      <x:c r="C1164" s="6" t="str">
        <x:f>$X$33</x:f>
        <x:v>普通</x:v>
      </x:c>
      <x:c r="D1164" s="6">
        <x:v>2</x:v>
      </x:c>
      <x:c r="E1164" s="6">
        <x:v>33</x:v>
      </x:c>
      <x:c r="F1164" s="12">
        <x:f>ROUND(J1164*$W$4*H1164,0)</x:f>
        <x:v>312</x:v>
      </x:c>
      <x:c r="G1164" s="12">
        <x:f>ROUND(J1164*$W$4*$W$5*I1164,0)</x:f>
        <x:v>78</x:v>
      </x:c>
      <x:c r="H1164" s="11" t="n">
        <x:f>$Y$33</x:f>
        <x:v>1</x:v>
      </x:c>
      <x:c r="I1164" s="11" t="n">
        <x:f>$Z$33</x:f>
        <x:v>3.3333333333333335</x:v>
      </x:c>
      <x:c r="J1164" s="12">
        <x:f>英雄升级调参!$E$67</x:f>
        <x:v>78</x:v>
      </x:c>
      <x:c r="K1164" s="12">
        <x:f>英雄升级调参!$F$67</x:f>
        <x:v>780</x:v>
      </x:c>
      <x:c r="L1164" s="6" t="n">
        <x:f>ROUNDUP(F1164/J1164,0)</x:f>
        <x:v>4</x:v>
      </x:c>
      <x:c r="M1164" s="6" t="n">
        <x:f>IF(G1164=0,"无伤害",ROUNDUP(K1164/MAX(1,ROUND(G1164*$AC$33,0)),0))</x:f>
        <x:v>10</x:v>
      </x:c>
      <x:c r="N1164" s="6">
        <x:f>ROUNDUP(F1164/英雄升级调参!$H$67,0)</x:f>
        <x:v>2</x:v>
      </x:c>
      <x:c r="O1164" s="6">
        <x:f>ROUNDUP(F1164/英雄升级调参!$K$67,0)</x:f>
        <x:v>1</x:v>
      </x:c>
      <x:c r="P1164" s="6" t="str">
        <x:f>$AA$33</x:f>
        <x:v>普通：4次标准普攻击杀；10次主要攻击致死</x:v>
      </x:c>
      <x:c r="Q1164" s="6"/>
      <x:c r="R1164" s="6"/>
      <x:c r="S1164" s="6"/>
      <x:c r="T1164" s="6"/>
    </x:row>
    <x:row r="1165" ht="21" customHeight="1">
      <x:c r="A1165" s="14" t="n">
        <x:f>$V$33</x:f>
        <x:v>60020</x:v>
      </x:c>
      <x:c r="B1165" s="14" t="str">
        <x:f>$W$33</x:f>
        <x:v>小雪人</x:v>
      </x:c>
      <x:c r="C1165" s="6" t="str">
        <x:f>$X$33</x:f>
        <x:v>普通</x:v>
      </x:c>
      <x:c r="D1165" s="6">
        <x:v>3</x:v>
      </x:c>
      <x:c r="E1165" s="6">
        <x:v>33</x:v>
      </x:c>
      <x:c r="F1165" s="12">
        <x:f>ROUND(J1165*$W$4*H1165,0)</x:f>
        <x:v>384</x:v>
      </x:c>
      <x:c r="G1165" s="12">
        <x:f>ROUND(J1165*$W$4*$W$5*I1165,0)</x:f>
        <x:v>96</x:v>
      </x:c>
      <x:c r="H1165" s="11" t="n">
        <x:f>$Y$33</x:f>
        <x:v>1</x:v>
      </x:c>
      <x:c r="I1165" s="11" t="n">
        <x:f>$Z$33</x:f>
        <x:v>3.3333333333333335</x:v>
      </x:c>
      <x:c r="J1165" s="12">
        <x:f>英雄升级调参!$E$68</x:f>
        <x:v>96</x:v>
      </x:c>
      <x:c r="K1165" s="12">
        <x:f>英雄升级调参!$F$68</x:f>
        <x:v>960</x:v>
      </x:c>
      <x:c r="L1165" s="6" t="n">
        <x:f>ROUNDUP(F1165/J1165,0)</x:f>
        <x:v>4</x:v>
      </x:c>
      <x:c r="M1165" s="6" t="n">
        <x:f>IF(G1165=0,"无伤害",ROUNDUP(K1165/MAX(1,ROUND(G1165*$AC$33,0)),0))</x:f>
        <x:v>10</x:v>
      </x:c>
      <x:c r="N1165" s="6">
        <x:f>ROUNDUP(F1165/英雄升级调参!$H$68,0)</x:f>
        <x:v>2</x:v>
      </x:c>
      <x:c r="O1165" s="6">
        <x:f>ROUNDUP(F1165/英雄升级调参!$K$68,0)</x:f>
        <x:v>1</x:v>
      </x:c>
      <x:c r="P1165" s="6" t="str">
        <x:f>$AA$33</x:f>
        <x:v>普通：4次标准普攻击杀；10次主要攻击致死</x:v>
      </x:c>
      <x:c r="Q1165" s="6"/>
      <x:c r="R1165" s="6"/>
      <x:c r="S1165" s="6"/>
      <x:c r="T1165" s="6"/>
    </x:row>
    <x:row r="1166" ht="21" customHeight="1">
      <x:c r="A1166" s="14" t="n">
        <x:f>$V$33</x:f>
        <x:v>60020</x:v>
      </x:c>
      <x:c r="B1166" s="14" t="str">
        <x:f>$W$33</x:f>
        <x:v>小雪人</x:v>
      </x:c>
      <x:c r="C1166" s="6" t="str">
        <x:f>$X$33</x:f>
        <x:v>普通</x:v>
      </x:c>
      <x:c r="D1166" s="6">
        <x:v>4</x:v>
      </x:c>
      <x:c r="E1166" s="6">
        <x:v>33</x:v>
      </x:c>
      <x:c r="F1166" s="12">
        <x:f>ROUND(J1166*$W$4*H1166,0)</x:f>
        <x:v>456</x:v>
      </x:c>
      <x:c r="G1166" s="12">
        <x:f>ROUND(J1166*$W$4*$W$5*I1166,0)</x:f>
        <x:v>114</x:v>
      </x:c>
      <x:c r="H1166" s="11" t="n">
        <x:f>$Y$33</x:f>
        <x:v>1</x:v>
      </x:c>
      <x:c r="I1166" s="11" t="n">
        <x:f>$Z$33</x:f>
        <x:v>3.3333333333333335</x:v>
      </x:c>
      <x:c r="J1166" s="12">
        <x:f>英雄升级调参!$E$69</x:f>
        <x:v>114</x:v>
      </x:c>
      <x:c r="K1166" s="12">
        <x:f>英雄升级调参!$F$69</x:f>
        <x:v>1140</x:v>
      </x:c>
      <x:c r="L1166" s="6" t="n">
        <x:f>ROUNDUP(F1166/J1166,0)</x:f>
        <x:v>4</x:v>
      </x:c>
      <x:c r="M1166" s="6" t="n">
        <x:f>IF(G1166=0,"无伤害",ROUNDUP(K1166/MAX(1,ROUND(G1166*$AC$33,0)),0))</x:f>
        <x:v>10</x:v>
      </x:c>
      <x:c r="N1166" s="6">
        <x:f>ROUNDUP(F1166/英雄升级调参!$H$69,0)</x:f>
        <x:v>2</x:v>
      </x:c>
      <x:c r="O1166" s="6">
        <x:f>ROUNDUP(F1166/英雄升级调参!$K$69,0)</x:f>
        <x:v>1</x:v>
      </x:c>
      <x:c r="P1166" s="6" t="str">
        <x:f>$AA$33</x:f>
        <x:v>普通：4次标准普攻击杀；10次主要攻击致死</x:v>
      </x:c>
      <x:c r="Q1166" s="6"/>
      <x:c r="R1166" s="6"/>
      <x:c r="S1166" s="6"/>
      <x:c r="T1166" s="6"/>
    </x:row>
    <x:row r="1167" ht="21" customHeight="1">
      <x:c r="A1167" s="14" t="n">
        <x:f>$V$33</x:f>
        <x:v>60020</x:v>
      </x:c>
      <x:c r="B1167" s="14" t="str">
        <x:f>$W$33</x:f>
        <x:v>小雪人</x:v>
      </x:c>
      <x:c r="C1167" s="6" t="str">
        <x:f>$X$33</x:f>
        <x:v>普通</x:v>
      </x:c>
      <x:c r="D1167" s="6">
        <x:v>5</x:v>
      </x:c>
      <x:c r="E1167" s="6">
        <x:v>33</x:v>
      </x:c>
      <x:c r="F1167" s="12">
        <x:f>ROUND(J1167*$W$4*H1167,0)</x:f>
        <x:v>672</x:v>
      </x:c>
      <x:c r="G1167" s="12">
        <x:f>ROUND(J1167*$W$4*$W$5*I1167,0)</x:f>
        <x:v>168</x:v>
      </x:c>
      <x:c r="H1167" s="11" t="n">
        <x:f>$Y$33</x:f>
        <x:v>1</x:v>
      </x:c>
      <x:c r="I1167" s="11" t="n">
        <x:f>$Z$33</x:f>
        <x:v>3.3333333333333335</x:v>
      </x:c>
      <x:c r="J1167" s="12">
        <x:f>英雄升级调参!$E$70</x:f>
        <x:v>168</x:v>
      </x:c>
      <x:c r="K1167" s="12">
        <x:f>英雄升级调参!$F$70</x:f>
        <x:v>1680</x:v>
      </x:c>
      <x:c r="L1167" s="6" t="n">
        <x:f>ROUNDUP(F1167/J1167,0)</x:f>
        <x:v>4</x:v>
      </x:c>
      <x:c r="M1167" s="6" t="n">
        <x:f>IF(G1167=0,"无伤害",ROUNDUP(K1167/MAX(1,ROUND(G1167*$AC$33,0)),0))</x:f>
        <x:v>10</x:v>
      </x:c>
      <x:c r="N1167" s="6">
        <x:f>ROUNDUP(F1167/英雄升级调参!$H$70,0)</x:f>
        <x:v>2</x:v>
      </x:c>
      <x:c r="O1167" s="6" t="n">
        <x:f>ROUNDUP(F1167/英雄升级调参!$K$70,0)</x:f>
        <x:v>2</x:v>
      </x:c>
      <x:c r="P1167" s="6" t="str">
        <x:f>$AA$33</x:f>
        <x:v>普通：4次标准普攻击杀；10次主要攻击致死</x:v>
      </x:c>
      <x:c r="Q1167" s="6"/>
      <x:c r="R1167" s="6"/>
      <x:c r="S1167" s="6"/>
      <x:c r="T1167" s="6"/>
    </x:row>
    <x:row r="1168" ht="21" customHeight="1">
      <x:c r="A1168" s="14" t="n">
        <x:f>$V$33</x:f>
        <x:v>60020</x:v>
      </x:c>
      <x:c r="B1168" s="14" t="str">
        <x:f>$W$33</x:f>
        <x:v>小雪人</x:v>
      </x:c>
      <x:c r="C1168" s="6" t="str">
        <x:f>$X$33</x:f>
        <x:v>普通</x:v>
      </x:c>
      <x:c r="D1168" s="6">
        <x:v>6</x:v>
      </x:c>
      <x:c r="E1168" s="6">
        <x:v>33</x:v>
      </x:c>
      <x:c r="F1168" s="12">
        <x:f>ROUND(J1168*$W$4*H1168,0)</x:f>
        <x:v>780</x:v>
      </x:c>
      <x:c r="G1168" s="12">
        <x:f>ROUND(J1168*$W$4*$W$5*I1168,0)</x:f>
        <x:v>195</x:v>
      </x:c>
      <x:c r="H1168" s="11" t="n">
        <x:f>$Y$33</x:f>
        <x:v>1</x:v>
      </x:c>
      <x:c r="I1168" s="11" t="n">
        <x:f>$Z$33</x:f>
        <x:v>3.3333333333333335</x:v>
      </x:c>
      <x:c r="J1168" s="12">
        <x:f>英雄升级调参!$E$71</x:f>
        <x:v>195</x:v>
      </x:c>
      <x:c r="K1168" s="12">
        <x:f>英雄升级调参!$F$71</x:f>
        <x:v>1950</x:v>
      </x:c>
      <x:c r="L1168" s="6" t="n">
        <x:f>ROUNDUP(F1168/J1168,0)</x:f>
        <x:v>4</x:v>
      </x:c>
      <x:c r="M1168" s="6" t="n">
        <x:f>IF(G1168=0,"无伤害",ROUNDUP(K1168/MAX(1,ROUND(G1168*$AC$33,0)),0))</x:f>
        <x:v>10</x:v>
      </x:c>
      <x:c r="N1168" s="6">
        <x:f>ROUNDUP(F1168/英雄升级调参!$H$71,0)</x:f>
        <x:v>2</x:v>
      </x:c>
      <x:c r="O1168" s="6" t="n">
        <x:f>ROUNDUP(F1168/英雄升级调参!$K$71,0)</x:f>
        <x:v>2</x:v>
      </x:c>
      <x:c r="P1168" s="6" t="str">
        <x:f>$AA$33</x:f>
        <x:v>普通：4次标准普攻击杀；10次主要攻击致死</x:v>
      </x:c>
      <x:c r="Q1168" s="6"/>
      <x:c r="R1168" s="6"/>
      <x:c r="S1168" s="6"/>
      <x:c r="T1168" s="6"/>
    </x:row>
    <x:row r="1169" ht="21" customHeight="1">
      <x:c r="A1169" s="14" t="n">
        <x:f>$V$33</x:f>
        <x:v>60020</x:v>
      </x:c>
      <x:c r="B1169" s="14" t="str">
        <x:f>$W$33</x:f>
        <x:v>小雪人</x:v>
      </x:c>
      <x:c r="C1169" s="6" t="str">
        <x:f>$X$33</x:f>
        <x:v>普通</x:v>
      </x:c>
      <x:c r="D1169" s="6">
        <x:v>7</x:v>
      </x:c>
      <x:c r="E1169" s="6">
        <x:v>33</x:v>
      </x:c>
      <x:c r="F1169" s="12">
        <x:f>ROUND(J1169*$W$4*H1169,0)</x:f>
        <x:v>888</x:v>
      </x:c>
      <x:c r="G1169" s="12">
        <x:f>ROUND(J1169*$W$4*$W$5*I1169,0)</x:f>
        <x:v>222</x:v>
      </x:c>
      <x:c r="H1169" s="11" t="n">
        <x:f>$Y$33</x:f>
        <x:v>1</x:v>
      </x:c>
      <x:c r="I1169" s="11" t="n">
        <x:f>$Z$33</x:f>
        <x:v>3.3333333333333335</x:v>
      </x:c>
      <x:c r="J1169" s="12">
        <x:f>英雄升级调参!$E$72</x:f>
        <x:v>222</x:v>
      </x:c>
      <x:c r="K1169" s="12">
        <x:f>英雄升级调参!$F$72</x:f>
        <x:v>2220</x:v>
      </x:c>
      <x:c r="L1169" s="6" t="n">
        <x:f>ROUNDUP(F1169/J1169,0)</x:f>
        <x:v>4</x:v>
      </x:c>
      <x:c r="M1169" s="6" t="n">
        <x:f>IF(G1169=0,"无伤害",ROUNDUP(K1169/MAX(1,ROUND(G1169*$AC$33,0)),0))</x:f>
        <x:v>10</x:v>
      </x:c>
      <x:c r="N1169" s="6" t="n">
        <x:f>ROUNDUP(F1169/英雄升级调参!$H$72,0)</x:f>
        <x:v>3</x:v>
      </x:c>
      <x:c r="O1169" s="6" t="n">
        <x:f>ROUNDUP(F1169/英雄升级调参!$K$72,0)</x:f>
        <x:v>2</x:v>
      </x:c>
      <x:c r="P1169" s="6" t="str">
        <x:f>$AA$33</x:f>
        <x:v>普通：4次标准普攻击杀；10次主要攻击致死</x:v>
      </x:c>
      <x:c r="Q1169" s="6"/>
      <x:c r="R1169" s="6"/>
      <x:c r="S1169" s="6"/>
      <x:c r="T1169" s="6"/>
    </x:row>
    <x:row r="1170" ht="21" customHeight="1">
      <x:c r="A1170" s="14" t="n">
        <x:f>$V$33</x:f>
        <x:v>60020</x:v>
      </x:c>
      <x:c r="B1170" s="14" t="str">
        <x:f>$W$33</x:f>
        <x:v>小雪人</x:v>
      </x:c>
      <x:c r="C1170" s="6" t="str">
        <x:f>$X$33</x:f>
        <x:v>普通</x:v>
      </x:c>
      <x:c r="D1170" s="6">
        <x:v>8</x:v>
      </x:c>
      <x:c r="E1170" s="6">
        <x:v>33</x:v>
      </x:c>
      <x:c r="F1170" s="12">
        <x:f>ROUND(J1170*$W$4*H1170,0)</x:f>
        <x:v>996</x:v>
      </x:c>
      <x:c r="G1170" s="12">
        <x:f>ROUND(J1170*$W$4*$W$5*I1170,0)</x:f>
        <x:v>249</x:v>
      </x:c>
      <x:c r="H1170" s="11" t="n">
        <x:f>$Y$33</x:f>
        <x:v>1</x:v>
      </x:c>
      <x:c r="I1170" s="11" t="n">
        <x:f>$Z$33</x:f>
        <x:v>3.3333333333333335</x:v>
      </x:c>
      <x:c r="J1170" s="12">
        <x:f>英雄升级调参!$E$73</x:f>
        <x:v>249</x:v>
      </x:c>
      <x:c r="K1170" s="12">
        <x:f>英雄升级调参!$F$73</x:f>
        <x:v>2490</x:v>
      </x:c>
      <x:c r="L1170" s="6" t="n">
        <x:f>ROUNDUP(F1170/J1170,0)</x:f>
        <x:v>4</x:v>
      </x:c>
      <x:c r="M1170" s="6" t="n">
        <x:f>IF(G1170=0,"无伤害",ROUNDUP(K1170/MAX(1,ROUND(G1170*$AC$33,0)),0))</x:f>
        <x:v>10</x:v>
      </x:c>
      <x:c r="N1170" s="6" t="n">
        <x:f>ROUNDUP(F1170/英雄升级调参!$H$73,0)</x:f>
        <x:v>3</x:v>
      </x:c>
      <x:c r="O1170" s="6" t="n">
        <x:f>ROUNDUP(F1170/英雄升级调参!$K$73,0)</x:f>
        <x:v>2</x:v>
      </x:c>
      <x:c r="P1170" s="6" t="str">
        <x:f>$AA$33</x:f>
        <x:v>普通：4次标准普攻击杀；10次主要攻击致死</x:v>
      </x:c>
      <x:c r="Q1170" s="6"/>
      <x:c r="R1170" s="6"/>
      <x:c r="S1170" s="6"/>
      <x:c r="T1170" s="6"/>
    </x:row>
    <x:row r="1171" ht="21" customHeight="1">
      <x:c r="A1171" s="14" t="n">
        <x:f>$V$33</x:f>
        <x:v>60020</x:v>
      </x:c>
      <x:c r="B1171" s="14" t="str">
        <x:f>$W$33</x:f>
        <x:v>小雪人</x:v>
      </x:c>
      <x:c r="C1171" s="6" t="str">
        <x:f>$X$33</x:f>
        <x:v>普通</x:v>
      </x:c>
      <x:c r="D1171" s="6">
        <x:v>9</x:v>
      </x:c>
      <x:c r="E1171" s="6">
        <x:v>33</x:v>
      </x:c>
      <x:c r="F1171" s="12">
        <x:f>ROUND(J1171*$W$4*H1171,0)</x:f>
        <x:v>1104</x:v>
      </x:c>
      <x:c r="G1171" s="12">
        <x:f>ROUND(J1171*$W$4*$W$5*I1171,0)</x:f>
        <x:v>276</x:v>
      </x:c>
      <x:c r="H1171" s="11" t="n">
        <x:f>$Y$33</x:f>
        <x:v>1</x:v>
      </x:c>
      <x:c r="I1171" s="11" t="n">
        <x:f>$Z$33</x:f>
        <x:v>3.3333333333333335</x:v>
      </x:c>
      <x:c r="J1171" s="12">
        <x:f>英雄升级调参!$E$74</x:f>
        <x:v>276</x:v>
      </x:c>
      <x:c r="K1171" s="12">
        <x:f>英雄升级调参!$F$74</x:f>
        <x:v>2760</x:v>
      </x:c>
      <x:c r="L1171" s="6" t="n">
        <x:f>ROUNDUP(F1171/J1171,0)</x:f>
        <x:v>4</x:v>
      </x:c>
      <x:c r="M1171" s="6" t="n">
        <x:f>IF(G1171=0,"无伤害",ROUNDUP(K1171/MAX(1,ROUND(G1171*$AC$33,0)),0))</x:f>
        <x:v>10</x:v>
      </x:c>
      <x:c r="N1171" s="6" t="n">
        <x:f>ROUNDUP(F1171/英雄升级调参!$H$74,0)</x:f>
        <x:v>3</x:v>
      </x:c>
      <x:c r="O1171" s="6" t="n">
        <x:f>ROUNDUP(F1171/英雄升级调参!$K$74,0)</x:f>
        <x:v>2</x:v>
      </x:c>
      <x:c r="P1171" s="6" t="str">
        <x:f>$AA$33</x:f>
        <x:v>普通：4次标准普攻击杀；10次主要攻击致死</x:v>
      </x:c>
      <x:c r="Q1171" s="6"/>
      <x:c r="R1171" s="6"/>
      <x:c r="S1171" s="6"/>
      <x:c r="T1171" s="6"/>
    </x:row>
    <x:row r="1172" ht="21" customHeight="1">
      <x:c r="A1172" s="14" t="n">
        <x:f>$V$33</x:f>
        <x:v>60020</x:v>
      </x:c>
      <x:c r="B1172" s="14" t="str">
        <x:f>$W$33</x:f>
        <x:v>小雪人</x:v>
      </x:c>
      <x:c r="C1172" s="6" t="str">
        <x:f>$X$33</x:f>
        <x:v>普通</x:v>
      </x:c>
      <x:c r="D1172" s="6">
        <x:v>10</x:v>
      </x:c>
      <x:c r="E1172" s="6">
        <x:v>33</x:v>
      </x:c>
      <x:c r="F1172" s="12">
        <x:f>ROUND(J1172*$W$4*H1172,0)</x:f>
        <x:v>1428</x:v>
      </x:c>
      <x:c r="G1172" s="12">
        <x:f>ROUND(J1172*$W$4*$W$5*I1172,0)</x:f>
        <x:v>357</x:v>
      </x:c>
      <x:c r="H1172" s="11" t="n">
        <x:f>$Y$33</x:f>
        <x:v>1</x:v>
      </x:c>
      <x:c r="I1172" s="11" t="n">
        <x:f>$Z$33</x:f>
        <x:v>3.3333333333333335</x:v>
      </x:c>
      <x:c r="J1172" s="12">
        <x:f>英雄升级调参!$E$75</x:f>
        <x:v>357</x:v>
      </x:c>
      <x:c r="K1172" s="12">
        <x:f>英雄升级调参!$F$75</x:f>
        <x:v>3570</x:v>
      </x:c>
      <x:c r="L1172" s="6" t="n">
        <x:f>ROUNDUP(F1172/J1172,0)</x:f>
        <x:v>4</x:v>
      </x:c>
      <x:c r="M1172" s="6" t="n">
        <x:f>IF(G1172=0,"无伤害",ROUNDUP(K1172/MAX(1,ROUND(G1172*$AC$33,0)),0))</x:f>
        <x:v>10</x:v>
      </x:c>
      <x:c r="N1172" s="6" t="n">
        <x:f>ROUNDUP(F1172/英雄升级调参!$H$75,0)</x:f>
        <x:v>3</x:v>
      </x:c>
      <x:c r="O1172" s="6" t="n">
        <x:f>ROUNDUP(F1172/英雄升级调参!$K$75,0)</x:f>
        <x:v>2</x:v>
      </x:c>
      <x:c r="P1172" s="6" t="str">
        <x:f>$AA$33</x:f>
        <x:v>普通：4次标准普攻击杀；10次主要攻击致死</x:v>
      </x:c>
      <x:c r="Q1172" s="6"/>
      <x:c r="R1172" s="6"/>
      <x:c r="S1172" s="6"/>
      <x:c r="T1172" s="6"/>
    </x:row>
    <x:row r="1173" ht="21" customHeight="1">
      <x:c r="A1173" s="14" t="n">
        <x:f>$V$33</x:f>
        <x:v>60020</x:v>
      </x:c>
      <x:c r="B1173" s="14" t="str">
        <x:f>$W$33</x:f>
        <x:v>小雪人</x:v>
      </x:c>
      <x:c r="C1173" s="6" t="str">
        <x:f>$X$33</x:f>
        <x:v>普通</x:v>
      </x:c>
      <x:c r="D1173" s="6">
        <x:v>11</x:v>
      </x:c>
      <x:c r="E1173" s="6">
        <x:v>33</x:v>
      </x:c>
      <x:c r="F1173" s="12">
        <x:f>ROUND(J1173*$W$4*H1173,0)</x:f>
        <x:v>1572</x:v>
      </x:c>
      <x:c r="G1173" s="12">
        <x:f>ROUND(J1173*$W$4*$W$5*I1173,0)</x:f>
        <x:v>393</x:v>
      </x:c>
      <x:c r="H1173" s="11" t="n">
        <x:f>$Y$33</x:f>
        <x:v>1</x:v>
      </x:c>
      <x:c r="I1173" s="11" t="n">
        <x:f>$Z$33</x:f>
        <x:v>3.3333333333333335</x:v>
      </x:c>
      <x:c r="J1173" s="12">
        <x:f>英雄升级调参!$E$76</x:f>
        <x:v>393</x:v>
      </x:c>
      <x:c r="K1173" s="12">
        <x:f>英雄升级调参!$F$76</x:f>
        <x:v>3930</x:v>
      </x:c>
      <x:c r="L1173" s="6" t="n">
        <x:f>ROUNDUP(F1173/J1173,0)</x:f>
        <x:v>4</x:v>
      </x:c>
      <x:c r="M1173" s="6" t="n">
        <x:f>IF(G1173=0,"无伤害",ROUNDUP(K1173/MAX(1,ROUND(G1173*$AC$33,0)),0))</x:f>
        <x:v>10</x:v>
      </x:c>
      <x:c r="N1173" s="6" t="n">
        <x:f>ROUNDUP(F1173/英雄升级调参!$H$76,0)</x:f>
        <x:v>3</x:v>
      </x:c>
      <x:c r="O1173" s="6" t="n">
        <x:f>ROUNDUP(F1173/英雄升级调参!$K$76,0)</x:f>
        <x:v>2</x:v>
      </x:c>
      <x:c r="P1173" s="6" t="str">
        <x:f>$AA$33</x:f>
        <x:v>普通：4次标准普攻击杀；10次主要攻击致死</x:v>
      </x:c>
      <x:c r="Q1173" s="6"/>
      <x:c r="R1173" s="6"/>
      <x:c r="S1173" s="6"/>
      <x:c r="T1173" s="6"/>
    </x:row>
    <x:row r="1174" ht="21" customHeight="1">
      <x:c r="A1174" s="14" t="n">
        <x:f>$V$33</x:f>
        <x:v>60020</x:v>
      </x:c>
      <x:c r="B1174" s="14" t="str">
        <x:f>$W$33</x:f>
        <x:v>小雪人</x:v>
      </x:c>
      <x:c r="C1174" s="6" t="str">
        <x:f>$X$33</x:f>
        <x:v>普通</x:v>
      </x:c>
      <x:c r="D1174" s="6">
        <x:v>12</x:v>
      </x:c>
      <x:c r="E1174" s="6">
        <x:v>33</x:v>
      </x:c>
      <x:c r="F1174" s="12">
        <x:f>ROUND(J1174*$W$4*H1174,0)</x:f>
        <x:v>1716</x:v>
      </x:c>
      <x:c r="G1174" s="12">
        <x:f>ROUND(J1174*$W$4*$W$5*I1174,0)</x:f>
        <x:v>429</x:v>
      </x:c>
      <x:c r="H1174" s="11" t="n">
        <x:f>$Y$33</x:f>
        <x:v>1</x:v>
      </x:c>
      <x:c r="I1174" s="11" t="n">
        <x:f>$Z$33</x:f>
        <x:v>3.3333333333333335</x:v>
      </x:c>
      <x:c r="J1174" s="12">
        <x:f>英雄升级调参!$E$77</x:f>
        <x:v>429</x:v>
      </x:c>
      <x:c r="K1174" s="12">
        <x:f>英雄升级调参!$F$77</x:f>
        <x:v>4290</x:v>
      </x:c>
      <x:c r="L1174" s="6" t="n">
        <x:f>ROUNDUP(F1174/J1174,0)</x:f>
        <x:v>4</x:v>
      </x:c>
      <x:c r="M1174" s="6" t="n">
        <x:f>IF(G1174=0,"无伤害",ROUNDUP(K1174/MAX(1,ROUND(G1174*$AC$33,0)),0))</x:f>
        <x:v>10</x:v>
      </x:c>
      <x:c r="N1174" s="6" t="n">
        <x:f>ROUNDUP(F1174/英雄升级调参!$H$77,0)</x:f>
        <x:v>3</x:v>
      </x:c>
      <x:c r="O1174" s="6" t="n">
        <x:f>ROUNDUP(F1174/英雄升级调参!$K$77,0)</x:f>
        <x:v>2</x:v>
      </x:c>
      <x:c r="P1174" s="6" t="str">
        <x:f>$AA$33</x:f>
        <x:v>普通：4次标准普攻击杀；10次主要攻击致死</x:v>
      </x:c>
      <x:c r="Q1174" s="6"/>
      <x:c r="R1174" s="6"/>
      <x:c r="S1174" s="6"/>
      <x:c r="T1174" s="6"/>
    </x:row>
    <x:row r="1175" ht="21" customHeight="1">
      <x:c r="A1175" s="14" t="n">
        <x:f>$V$33</x:f>
        <x:v>60020</x:v>
      </x:c>
      <x:c r="B1175" s="14" t="str">
        <x:f>$W$33</x:f>
        <x:v>小雪人</x:v>
      </x:c>
      <x:c r="C1175" s="6" t="str">
        <x:f>$X$33</x:f>
        <x:v>普通</x:v>
      </x:c>
      <x:c r="D1175" s="6">
        <x:v>13</x:v>
      </x:c>
      <x:c r="E1175" s="6">
        <x:v>33</x:v>
      </x:c>
      <x:c r="F1175" s="12">
        <x:f>ROUND(J1175*$W$4*H1175,0)</x:f>
        <x:v>1860</x:v>
      </x:c>
      <x:c r="G1175" s="12">
        <x:f>ROUND(J1175*$W$4*$W$5*I1175,0)</x:f>
        <x:v>465</x:v>
      </x:c>
      <x:c r="H1175" s="11" t="n">
        <x:f>$Y$33</x:f>
        <x:v>1</x:v>
      </x:c>
      <x:c r="I1175" s="11" t="n">
        <x:f>$Z$33</x:f>
        <x:v>3.3333333333333335</x:v>
      </x:c>
      <x:c r="J1175" s="12">
        <x:f>英雄升级调参!$E$78</x:f>
        <x:v>465</x:v>
      </x:c>
      <x:c r="K1175" s="12">
        <x:f>英雄升级调参!$F$78</x:f>
        <x:v>4650</x:v>
      </x:c>
      <x:c r="L1175" s="6" t="n">
        <x:f>ROUNDUP(F1175/J1175,0)</x:f>
        <x:v>4</x:v>
      </x:c>
      <x:c r="M1175" s="6" t="n">
        <x:f>IF(G1175=0,"无伤害",ROUNDUP(K1175/MAX(1,ROUND(G1175*$AC$33,0)),0))</x:f>
        <x:v>10</x:v>
      </x:c>
      <x:c r="N1175" s="6" t="n">
        <x:f>ROUNDUP(F1175/英雄升级调参!$H$78,0)</x:f>
        <x:v>3</x:v>
      </x:c>
      <x:c r="O1175" s="6" t="n">
        <x:f>ROUNDUP(F1175/英雄升级调参!$K$78,0)</x:f>
        <x:v>2</x:v>
      </x:c>
      <x:c r="P1175" s="6" t="str">
        <x:f>$AA$33</x:f>
        <x:v>普通：4次标准普攻击杀；10次主要攻击致死</x:v>
      </x:c>
      <x:c r="Q1175" s="6"/>
      <x:c r="R1175" s="6"/>
      <x:c r="S1175" s="6"/>
      <x:c r="T1175" s="6"/>
    </x:row>
    <x:row r="1176" ht="21" customHeight="1">
      <x:c r="A1176" s="14" t="n">
        <x:f>$V$33</x:f>
        <x:v>60020</x:v>
      </x:c>
      <x:c r="B1176" s="14" t="str">
        <x:f>$W$33</x:f>
        <x:v>小雪人</x:v>
      </x:c>
      <x:c r="C1176" s="6" t="str">
        <x:f>$X$33</x:f>
        <x:v>普通</x:v>
      </x:c>
      <x:c r="D1176" s="6">
        <x:v>14</x:v>
      </x:c>
      <x:c r="E1176" s="6">
        <x:v>33</x:v>
      </x:c>
      <x:c r="F1176" s="12">
        <x:f>ROUND(J1176*$W$4*H1176,0)</x:f>
        <x:v>2004</x:v>
      </x:c>
      <x:c r="G1176" s="12">
        <x:f>ROUND(J1176*$W$4*$W$5*I1176,0)</x:f>
        <x:v>501</x:v>
      </x:c>
      <x:c r="H1176" s="11" t="n">
        <x:f>$Y$33</x:f>
        <x:v>1</x:v>
      </x:c>
      <x:c r="I1176" s="11" t="n">
        <x:f>$Z$33</x:f>
        <x:v>3.3333333333333335</x:v>
      </x:c>
      <x:c r="J1176" s="12">
        <x:f>英雄升级调参!$E$79</x:f>
        <x:v>501</x:v>
      </x:c>
      <x:c r="K1176" s="12">
        <x:f>英雄升级调参!$F$79</x:f>
        <x:v>5010</x:v>
      </x:c>
      <x:c r="L1176" s="6" t="n">
        <x:f>ROUNDUP(F1176/J1176,0)</x:f>
        <x:v>4</x:v>
      </x:c>
      <x:c r="M1176" s="6" t="n">
        <x:f>IF(G1176=0,"无伤害",ROUNDUP(K1176/MAX(1,ROUND(G1176*$AC$33,0)),0))</x:f>
        <x:v>10</x:v>
      </x:c>
      <x:c r="N1176" s="6" t="n">
        <x:f>ROUNDUP(F1176/英雄升级调参!$H$79,0)</x:f>
        <x:v>3</x:v>
      </x:c>
      <x:c r="O1176" s="6" t="n">
        <x:f>ROUNDUP(F1176/英雄升级调参!$K$79,0)</x:f>
        <x:v>2</x:v>
      </x:c>
      <x:c r="P1176" s="6" t="str">
        <x:f>$AA$33</x:f>
        <x:v>普通：4次标准普攻击杀；10次主要攻击致死</x:v>
      </x:c>
      <x:c r="Q1176" s="6"/>
      <x:c r="R1176" s="6"/>
      <x:c r="S1176" s="6"/>
      <x:c r="T1176" s="6"/>
    </x:row>
    <x:row r="1177" ht="21" customHeight="1">
      <x:c r="A1177" s="14" t="n">
        <x:f>$V$33</x:f>
        <x:v>60020</x:v>
      </x:c>
      <x:c r="B1177" s="14" t="str">
        <x:f>$W$33</x:f>
        <x:v>小雪人</x:v>
      </x:c>
      <x:c r="C1177" s="6" t="str">
        <x:f>$X$33</x:f>
        <x:v>普通</x:v>
      </x:c>
      <x:c r="D1177" s="6">
        <x:v>15</x:v>
      </x:c>
      <x:c r="E1177" s="6">
        <x:v>33</x:v>
      </x:c>
      <x:c r="F1177" s="12">
        <x:f>ROUND(J1177*$W$4*H1177,0)</x:f>
        <x:v>2436</x:v>
      </x:c>
      <x:c r="G1177" s="12">
        <x:f>ROUND(J1177*$W$4*$W$5*I1177,0)</x:f>
        <x:v>609</x:v>
      </x:c>
      <x:c r="H1177" s="11" t="n">
        <x:f>$Y$33</x:f>
        <x:v>1</x:v>
      </x:c>
      <x:c r="I1177" s="11" t="n">
        <x:f>$Z$33</x:f>
        <x:v>3.3333333333333335</x:v>
      </x:c>
      <x:c r="J1177" s="12">
        <x:f>英雄升级调参!$E$80</x:f>
        <x:v>609</x:v>
      </x:c>
      <x:c r="K1177" s="12">
        <x:f>英雄升级调参!$F$80</x:f>
        <x:v>6090</x:v>
      </x:c>
      <x:c r="L1177" s="6" t="n">
        <x:f>ROUNDUP(F1177/J1177,0)</x:f>
        <x:v>4</x:v>
      </x:c>
      <x:c r="M1177" s="6" t="n">
        <x:f>IF(G1177=0,"无伤害",ROUNDUP(K1177/MAX(1,ROUND(G1177*$AC$33,0)),0))</x:f>
        <x:v>10</x:v>
      </x:c>
      <x:c r="N1177" s="6" t="n">
        <x:f>ROUNDUP(F1177/英雄升级调参!$H$80,0)</x:f>
        <x:v>3</x:v>
      </x:c>
      <x:c r="O1177" s="6" t="n">
        <x:f>ROUNDUP(F1177/英雄升级调参!$K$80,0)</x:f>
        <x:v>2</x:v>
      </x:c>
      <x:c r="P1177" s="6" t="str">
        <x:f>$AA$33</x:f>
        <x:v>普通：4次标准普攻击杀；10次主要攻击致死</x:v>
      </x:c>
      <x:c r="Q1177" s="6"/>
      <x:c r="R1177" s="6"/>
      <x:c r="S1177" s="6"/>
      <x:c r="T1177" s="6"/>
    </x:row>
    <x:row r="1178" ht="21" customHeight="1">
      <x:c r="A1178" s="14" t="n">
        <x:f>$V$33</x:f>
        <x:v>60020</x:v>
      </x:c>
      <x:c r="B1178" s="14" t="str">
        <x:f>$W$33</x:f>
        <x:v>小雪人</x:v>
      </x:c>
      <x:c r="C1178" s="6" t="str">
        <x:f>$X$33</x:f>
        <x:v>普通</x:v>
      </x:c>
      <x:c r="D1178" s="6">
        <x:v>16</x:v>
      </x:c>
      <x:c r="E1178" s="6">
        <x:v>33</x:v>
      </x:c>
      <x:c r="F1178" s="12">
        <x:f>ROUND(J1178*$W$4*H1178,0)</x:f>
        <x:v>2616</x:v>
      </x:c>
      <x:c r="G1178" s="12">
        <x:f>ROUND(J1178*$W$4*$W$5*I1178,0)</x:f>
        <x:v>654</x:v>
      </x:c>
      <x:c r="H1178" s="11" t="n">
        <x:f>$Y$33</x:f>
        <x:v>1</x:v>
      </x:c>
      <x:c r="I1178" s="11" t="n">
        <x:f>$Z$33</x:f>
        <x:v>3.3333333333333335</x:v>
      </x:c>
      <x:c r="J1178" s="12">
        <x:f>英雄升级调参!$E$81</x:f>
        <x:v>654</x:v>
      </x:c>
      <x:c r="K1178" s="12">
        <x:f>英雄升级调参!$F$81</x:f>
        <x:v>6540</x:v>
      </x:c>
      <x:c r="L1178" s="6" t="n">
        <x:f>ROUNDUP(F1178/J1178,0)</x:f>
        <x:v>4</x:v>
      </x:c>
      <x:c r="M1178" s="6" t="n">
        <x:f>IF(G1178=0,"无伤害",ROUNDUP(K1178/MAX(1,ROUND(G1178*$AC$33,0)),0))</x:f>
        <x:v>10</x:v>
      </x:c>
      <x:c r="N1178" s="6" t="n">
        <x:f>ROUNDUP(F1178/英雄升级调参!$H$81,0)</x:f>
        <x:v>3</x:v>
      </x:c>
      <x:c r="O1178" s="6" t="n">
        <x:f>ROUNDUP(F1178/英雄升级调参!$K$81,0)</x:f>
        <x:v>2</x:v>
      </x:c>
      <x:c r="P1178" s="6" t="str">
        <x:f>$AA$33</x:f>
        <x:v>普通：4次标准普攻击杀；10次主要攻击致死</x:v>
      </x:c>
      <x:c r="Q1178" s="6"/>
      <x:c r="R1178" s="6"/>
      <x:c r="S1178" s="6"/>
      <x:c r="T1178" s="6"/>
    </x:row>
    <x:row r="1179" ht="21" customHeight="1">
      <x:c r="A1179" s="14" t="n">
        <x:f>$V$33</x:f>
        <x:v>60020</x:v>
      </x:c>
      <x:c r="B1179" s="14" t="str">
        <x:f>$W$33</x:f>
        <x:v>小雪人</x:v>
      </x:c>
      <x:c r="C1179" s="6" t="str">
        <x:f>$X$33</x:f>
        <x:v>普通</x:v>
      </x:c>
      <x:c r="D1179" s="6">
        <x:v>17</x:v>
      </x:c>
      <x:c r="E1179" s="6">
        <x:v>33</x:v>
      </x:c>
      <x:c r="F1179" s="12">
        <x:f>ROUND(J1179*$W$4*H1179,0)</x:f>
        <x:v>2796</x:v>
      </x:c>
      <x:c r="G1179" s="12">
        <x:f>ROUND(J1179*$W$4*$W$5*I1179,0)</x:f>
        <x:v>699</x:v>
      </x:c>
      <x:c r="H1179" s="11" t="n">
        <x:f>$Y$33</x:f>
        <x:v>1</x:v>
      </x:c>
      <x:c r="I1179" s="11" t="n">
        <x:f>$Z$33</x:f>
        <x:v>3.3333333333333335</x:v>
      </x:c>
      <x:c r="J1179" s="12">
        <x:f>英雄升级调参!$E$82</x:f>
        <x:v>699</x:v>
      </x:c>
      <x:c r="K1179" s="12">
        <x:f>英雄升级调参!$F$82</x:f>
        <x:v>6990</x:v>
      </x:c>
      <x:c r="L1179" s="6" t="n">
        <x:f>ROUNDUP(F1179/J1179,0)</x:f>
        <x:v>4</x:v>
      </x:c>
      <x:c r="M1179" s="6" t="n">
        <x:f>IF(G1179=0,"无伤害",ROUNDUP(K1179/MAX(1,ROUND(G1179*$AC$33,0)),0))</x:f>
        <x:v>10</x:v>
      </x:c>
      <x:c r="N1179" s="6" t="n">
        <x:f>ROUNDUP(F1179/英雄升级调参!$H$82,0)</x:f>
        <x:v>3</x:v>
      </x:c>
      <x:c r="O1179" s="6" t="n">
        <x:f>ROUNDUP(F1179/英雄升级调参!$K$82,0)</x:f>
        <x:v>2</x:v>
      </x:c>
      <x:c r="P1179" s="6" t="str">
        <x:f>$AA$33</x:f>
        <x:v>普通：4次标准普攻击杀；10次主要攻击致死</x:v>
      </x:c>
      <x:c r="Q1179" s="6"/>
      <x:c r="R1179" s="6"/>
      <x:c r="S1179" s="6"/>
      <x:c r="T1179" s="6"/>
    </x:row>
    <x:row r="1180" ht="21" customHeight="1">
      <x:c r="A1180" s="14" t="n">
        <x:f>$V$33</x:f>
        <x:v>60020</x:v>
      </x:c>
      <x:c r="B1180" s="14" t="str">
        <x:f>$W$33</x:f>
        <x:v>小雪人</x:v>
      </x:c>
      <x:c r="C1180" s="6" t="str">
        <x:f>$X$33</x:f>
        <x:v>普通</x:v>
      </x:c>
      <x:c r="D1180" s="6">
        <x:v>18</x:v>
      </x:c>
      <x:c r="E1180" s="6">
        <x:v>33</x:v>
      </x:c>
      <x:c r="F1180" s="12">
        <x:f>ROUND(J1180*$W$4*H1180,0)</x:f>
        <x:v>2976</x:v>
      </x:c>
      <x:c r="G1180" s="12">
        <x:f>ROUND(J1180*$W$4*$W$5*I1180,0)</x:f>
        <x:v>744</x:v>
      </x:c>
      <x:c r="H1180" s="11" t="n">
        <x:f>$Y$33</x:f>
        <x:v>1</x:v>
      </x:c>
      <x:c r="I1180" s="11" t="n">
        <x:f>$Z$33</x:f>
        <x:v>3.3333333333333335</x:v>
      </x:c>
      <x:c r="J1180" s="12">
        <x:f>英雄升级调参!$E$83</x:f>
        <x:v>744</x:v>
      </x:c>
      <x:c r="K1180" s="12">
        <x:f>英雄升级调参!$F$83</x:f>
        <x:v>7440</x:v>
      </x:c>
      <x:c r="L1180" s="6" t="n">
        <x:f>ROUNDUP(F1180/J1180,0)</x:f>
        <x:v>4</x:v>
      </x:c>
      <x:c r="M1180" s="6" t="n">
        <x:f>IF(G1180=0,"无伤害",ROUNDUP(K1180/MAX(1,ROUND(G1180*$AC$33,0)),0))</x:f>
        <x:v>10</x:v>
      </x:c>
      <x:c r="N1180" s="6" t="n">
        <x:f>ROUNDUP(F1180/英雄升级调参!$H$83,0)</x:f>
        <x:v>3</x:v>
      </x:c>
      <x:c r="O1180" s="6" t="n">
        <x:f>ROUNDUP(F1180/英雄升级调参!$K$83,0)</x:f>
        <x:v>2</x:v>
      </x:c>
      <x:c r="P1180" s="6" t="str">
        <x:f>$AA$33</x:f>
        <x:v>普通：4次标准普攻击杀；10次主要攻击致死</x:v>
      </x:c>
      <x:c r="Q1180" s="6"/>
      <x:c r="R1180" s="6"/>
      <x:c r="S1180" s="6"/>
      <x:c r="T1180" s="6"/>
    </x:row>
    <x:row r="1181" ht="21" customHeight="1">
      <x:c r="A1181" s="14" t="n">
        <x:f>$V$33</x:f>
        <x:v>60020</x:v>
      </x:c>
      <x:c r="B1181" s="14" t="str">
        <x:f>$W$33</x:f>
        <x:v>小雪人</x:v>
      </x:c>
      <x:c r="C1181" s="6" t="str">
        <x:f>$X$33</x:f>
        <x:v>普通</x:v>
      </x:c>
      <x:c r="D1181" s="6">
        <x:v>19</x:v>
      </x:c>
      <x:c r="E1181" s="6">
        <x:v>33</x:v>
      </x:c>
      <x:c r="F1181" s="12">
        <x:f>ROUND(J1181*$W$4*H1181,0)</x:f>
        <x:v>3156</x:v>
      </x:c>
      <x:c r="G1181" s="12">
        <x:f>ROUND(J1181*$W$4*$W$5*I1181,0)</x:f>
        <x:v>789</x:v>
      </x:c>
      <x:c r="H1181" s="11" t="n">
        <x:f>$Y$33</x:f>
        <x:v>1</x:v>
      </x:c>
      <x:c r="I1181" s="11" t="n">
        <x:f>$Z$33</x:f>
        <x:v>3.3333333333333335</x:v>
      </x:c>
      <x:c r="J1181" s="12">
        <x:f>英雄升级调参!$E$84</x:f>
        <x:v>789</x:v>
      </x:c>
      <x:c r="K1181" s="12">
        <x:f>英雄升级调参!$F$84</x:f>
        <x:v>7890</x:v>
      </x:c>
      <x:c r="L1181" s="6" t="n">
        <x:f>ROUNDUP(F1181/J1181,0)</x:f>
        <x:v>4</x:v>
      </x:c>
      <x:c r="M1181" s="6" t="n">
        <x:f>IF(G1181=0,"无伤害",ROUNDUP(K1181/MAX(1,ROUND(G1181*$AC$33,0)),0))</x:f>
        <x:v>10</x:v>
      </x:c>
      <x:c r="N1181" s="6" t="n">
        <x:f>ROUNDUP(F1181/英雄升级调参!$H$84,0)</x:f>
        <x:v>3</x:v>
      </x:c>
      <x:c r="O1181" s="6" t="n">
        <x:f>ROUNDUP(F1181/英雄升级调参!$K$84,0)</x:f>
        <x:v>2</x:v>
      </x:c>
      <x:c r="P1181" s="6" t="str">
        <x:f>$AA$33</x:f>
        <x:v>普通：4次标准普攻击杀；10次主要攻击致死</x:v>
      </x:c>
      <x:c r="Q1181" s="6"/>
      <x:c r="R1181" s="6"/>
      <x:c r="S1181" s="6"/>
      <x:c r="T1181" s="6"/>
    </x:row>
    <x:row r="1182" ht="21" customHeight="1">
      <x:c r="A1182" s="14" t="n">
        <x:f>$V$33</x:f>
        <x:v>60020</x:v>
      </x:c>
      <x:c r="B1182" s="14" t="str">
        <x:f>$W$33</x:f>
        <x:v>小雪人</x:v>
      </x:c>
      <x:c r="C1182" s="6" t="str">
        <x:f>$X$33</x:f>
        <x:v>普通</x:v>
      </x:c>
      <x:c r="D1182" s="6">
        <x:v>20</x:v>
      </x:c>
      <x:c r="E1182" s="6">
        <x:v>33</x:v>
      </x:c>
      <x:c r="F1182" s="12">
        <x:f>ROUND(J1182*$W$4*H1182,0)</x:f>
        <x:v>3696</x:v>
      </x:c>
      <x:c r="G1182" s="12">
        <x:f>ROUND(J1182*$W$4*$W$5*I1182,0)</x:f>
        <x:v>924</x:v>
      </x:c>
      <x:c r="H1182" s="11" t="n">
        <x:f>$Y$33</x:f>
        <x:v>1</x:v>
      </x:c>
      <x:c r="I1182" s="11" t="n">
        <x:f>$Z$33</x:f>
        <x:v>3.3333333333333335</x:v>
      </x:c>
      <x:c r="J1182" s="12">
        <x:f>英雄升级调参!$E$85</x:f>
        <x:v>924</x:v>
      </x:c>
      <x:c r="K1182" s="12">
        <x:f>英雄升级调参!$F$85</x:f>
        <x:v>9240</x:v>
      </x:c>
      <x:c r="L1182" s="6" t="n">
        <x:f>ROUNDUP(F1182/J1182,0)</x:f>
        <x:v>4</x:v>
      </x:c>
      <x:c r="M1182" s="6" t="n">
        <x:f>IF(G1182=0,"无伤害",ROUNDUP(K1182/MAX(1,ROUND(G1182*$AC$33,0)),0))</x:f>
        <x:v>10</x:v>
      </x:c>
      <x:c r="N1182" s="6" t="n">
        <x:f>ROUNDUP(F1182/英雄升级调参!$H$85,0)</x:f>
        <x:v>3</x:v>
      </x:c>
      <x:c r="O1182" s="6" t="n">
        <x:f>ROUNDUP(F1182/英雄升级调参!$K$85,0)</x:f>
        <x:v>2</x:v>
      </x:c>
      <x:c r="P1182" s="6" t="str">
        <x:f>$AA$33</x:f>
        <x:v>普通：4次标准普攻击杀；10次主要攻击致死</x:v>
      </x:c>
      <x:c r="Q1182" s="6"/>
      <x:c r="R1182" s="6"/>
      <x:c r="S1182" s="6"/>
      <x:c r="T1182" s="6"/>
    </x:row>
    <x:row r="1183" ht="21" customHeight="1">
      <x:c r="A1183" s="14" t="n">
        <x:f>$V$33</x:f>
        <x:v>60020</x:v>
      </x:c>
      <x:c r="B1183" s="14" t="str">
        <x:f>$W$33</x:f>
        <x:v>小雪人</x:v>
      </x:c>
      <x:c r="C1183" s="6" t="str">
        <x:f>$X$33</x:f>
        <x:v>普通</x:v>
      </x:c>
      <x:c r="D1183" s="6">
        <x:v>21</x:v>
      </x:c>
      <x:c r="E1183" s="6">
        <x:v>33</x:v>
      </x:c>
      <x:c r="F1183" s="12">
        <x:f>ROUND(J1183*$W$4*H1183,0)</x:f>
        <x:v>3912</x:v>
      </x:c>
      <x:c r="G1183" s="12">
        <x:f>ROUND(J1183*$W$4*$W$5*I1183,0)</x:f>
        <x:v>978</x:v>
      </x:c>
      <x:c r="H1183" s="11" t="n">
        <x:f>$Y$33</x:f>
        <x:v>1</x:v>
      </x:c>
      <x:c r="I1183" s="11" t="n">
        <x:f>$Z$33</x:f>
        <x:v>3.3333333333333335</x:v>
      </x:c>
      <x:c r="J1183" s="12">
        <x:f>英雄升级调参!$E$86</x:f>
        <x:v>978</x:v>
      </x:c>
      <x:c r="K1183" s="12">
        <x:f>英雄升级调参!$F$86</x:f>
        <x:v>9780</x:v>
      </x:c>
      <x:c r="L1183" s="6" t="n">
        <x:f>ROUNDUP(F1183/J1183,0)</x:f>
        <x:v>4</x:v>
      </x:c>
      <x:c r="M1183" s="6" t="n">
        <x:f>IF(G1183=0,"无伤害",ROUNDUP(K1183/MAX(1,ROUND(G1183*$AC$33,0)),0))</x:f>
        <x:v>10</x:v>
      </x:c>
      <x:c r="N1183" s="6" t="n">
        <x:f>ROUNDUP(F1183/英雄升级调参!$H$86,0)</x:f>
        <x:v>3</x:v>
      </x:c>
      <x:c r="O1183" s="6" t="n">
        <x:f>ROUNDUP(F1183/英雄升级调参!$K$86,0)</x:f>
        <x:v>2</x:v>
      </x:c>
      <x:c r="P1183" s="6" t="str">
        <x:f>$AA$33</x:f>
        <x:v>普通：4次标准普攻击杀；10次主要攻击致死</x:v>
      </x:c>
      <x:c r="Q1183" s="6"/>
      <x:c r="R1183" s="6"/>
      <x:c r="S1183" s="6"/>
      <x:c r="T1183" s="6"/>
    </x:row>
    <x:row r="1184" ht="21" customHeight="1">
      <x:c r="A1184" s="14" t="n">
        <x:f>$V$33</x:f>
        <x:v>60020</x:v>
      </x:c>
      <x:c r="B1184" s="14" t="str">
        <x:f>$W$33</x:f>
        <x:v>小雪人</x:v>
      </x:c>
      <x:c r="C1184" s="6" t="str">
        <x:f>$X$33</x:f>
        <x:v>普通</x:v>
      </x:c>
      <x:c r="D1184" s="6">
        <x:v>22</x:v>
      </x:c>
      <x:c r="E1184" s="6">
        <x:v>33</x:v>
      </x:c>
      <x:c r="F1184" s="12">
        <x:f>ROUND(J1184*$W$4*H1184,0)</x:f>
        <x:v>4128</x:v>
      </x:c>
      <x:c r="G1184" s="12">
        <x:f>ROUND(J1184*$W$4*$W$5*I1184,0)</x:f>
        <x:v>1032</x:v>
      </x:c>
      <x:c r="H1184" s="11" t="n">
        <x:f>$Y$33</x:f>
        <x:v>1</x:v>
      </x:c>
      <x:c r="I1184" s="11" t="n">
        <x:f>$Z$33</x:f>
        <x:v>3.3333333333333335</x:v>
      </x:c>
      <x:c r="J1184" s="12">
        <x:f>英雄升级调参!$E$87</x:f>
        <x:v>1032</x:v>
      </x:c>
      <x:c r="K1184" s="12">
        <x:f>英雄升级调参!$F$87</x:f>
        <x:v>10320</x:v>
      </x:c>
      <x:c r="L1184" s="6" t="n">
        <x:f>ROUNDUP(F1184/J1184,0)</x:f>
        <x:v>4</x:v>
      </x:c>
      <x:c r="M1184" s="6" t="n">
        <x:f>IF(G1184=0,"无伤害",ROUNDUP(K1184/MAX(1,ROUND(G1184*$AC$33,0)),0))</x:f>
        <x:v>10</x:v>
      </x:c>
      <x:c r="N1184" s="6" t="n">
        <x:f>ROUNDUP(F1184/英雄升级调参!$H$87,0)</x:f>
        <x:v>3</x:v>
      </x:c>
      <x:c r="O1184" s="6" t="n">
        <x:f>ROUNDUP(F1184/英雄升级调参!$K$87,0)</x:f>
        <x:v>2</x:v>
      </x:c>
      <x:c r="P1184" s="6" t="str">
        <x:f>$AA$33</x:f>
        <x:v>普通：4次标准普攻击杀；10次主要攻击致死</x:v>
      </x:c>
      <x:c r="Q1184" s="6"/>
      <x:c r="R1184" s="6"/>
      <x:c r="S1184" s="6"/>
      <x:c r="T1184" s="6"/>
    </x:row>
    <x:row r="1185" ht="21" customHeight="1">
      <x:c r="A1185" s="14" t="n">
        <x:f>$V$33</x:f>
        <x:v>60020</x:v>
      </x:c>
      <x:c r="B1185" s="14" t="str">
        <x:f>$W$33</x:f>
        <x:v>小雪人</x:v>
      </x:c>
      <x:c r="C1185" s="6" t="str">
        <x:f>$X$33</x:f>
        <x:v>普通</x:v>
      </x:c>
      <x:c r="D1185" s="6">
        <x:v>23</x:v>
      </x:c>
      <x:c r="E1185" s="6">
        <x:v>33</x:v>
      </x:c>
      <x:c r="F1185" s="12">
        <x:f>ROUND(J1185*$W$4*H1185,0)</x:f>
        <x:v>4344</x:v>
      </x:c>
      <x:c r="G1185" s="12">
        <x:f>ROUND(J1185*$W$4*$W$5*I1185,0)</x:f>
        <x:v>1086</x:v>
      </x:c>
      <x:c r="H1185" s="11" t="n">
        <x:f>$Y$33</x:f>
        <x:v>1</x:v>
      </x:c>
      <x:c r="I1185" s="11" t="n">
        <x:f>$Z$33</x:f>
        <x:v>3.3333333333333335</x:v>
      </x:c>
      <x:c r="J1185" s="12">
        <x:f>英雄升级调参!$E$88</x:f>
        <x:v>1086</x:v>
      </x:c>
      <x:c r="K1185" s="12">
        <x:f>英雄升级调参!$F$88</x:f>
        <x:v>10860</x:v>
      </x:c>
      <x:c r="L1185" s="6" t="n">
        <x:f>ROUNDUP(F1185/J1185,0)</x:f>
        <x:v>4</x:v>
      </x:c>
      <x:c r="M1185" s="6" t="n">
        <x:f>IF(G1185=0,"无伤害",ROUNDUP(K1185/MAX(1,ROUND(G1185*$AC$33,0)),0))</x:f>
        <x:v>10</x:v>
      </x:c>
      <x:c r="N1185" s="6" t="n">
        <x:f>ROUNDUP(F1185/英雄升级调参!$H$88,0)</x:f>
        <x:v>3</x:v>
      </x:c>
      <x:c r="O1185" s="6" t="n">
        <x:f>ROUNDUP(F1185/英雄升级调参!$K$88,0)</x:f>
        <x:v>2</x:v>
      </x:c>
      <x:c r="P1185" s="6" t="str">
        <x:f>$AA$33</x:f>
        <x:v>普通：4次标准普攻击杀；10次主要攻击致死</x:v>
      </x:c>
      <x:c r="Q1185" s="6"/>
      <x:c r="R1185" s="6"/>
      <x:c r="S1185" s="6"/>
      <x:c r="T1185" s="6"/>
    </x:row>
    <x:row r="1186" ht="21" customHeight="1">
      <x:c r="A1186" s="14" t="n">
        <x:f>$V$33</x:f>
        <x:v>60020</x:v>
      </x:c>
      <x:c r="B1186" s="14" t="str">
        <x:f>$W$33</x:f>
        <x:v>小雪人</x:v>
      </x:c>
      <x:c r="C1186" s="6" t="str">
        <x:f>$X$33</x:f>
        <x:v>普通</x:v>
      </x:c>
      <x:c r="D1186" s="6">
        <x:v>24</x:v>
      </x:c>
      <x:c r="E1186" s="6">
        <x:v>33</x:v>
      </x:c>
      <x:c r="F1186" s="12">
        <x:f>ROUND(J1186*$W$4*H1186,0)</x:f>
        <x:v>4560</x:v>
      </x:c>
      <x:c r="G1186" s="12">
        <x:f>ROUND(J1186*$W$4*$W$5*I1186,0)</x:f>
        <x:v>1140</x:v>
      </x:c>
      <x:c r="H1186" s="11" t="n">
        <x:f>$Y$33</x:f>
        <x:v>1</x:v>
      </x:c>
      <x:c r="I1186" s="11" t="n">
        <x:f>$Z$33</x:f>
        <x:v>3.3333333333333335</x:v>
      </x:c>
      <x:c r="J1186" s="12">
        <x:f>英雄升级调参!$E$89</x:f>
        <x:v>1140</x:v>
      </x:c>
      <x:c r="K1186" s="12">
        <x:f>英雄升级调参!$F$89</x:f>
        <x:v>11400</x:v>
      </x:c>
      <x:c r="L1186" s="6" t="n">
        <x:f>ROUNDUP(F1186/J1186,0)</x:f>
        <x:v>4</x:v>
      </x:c>
      <x:c r="M1186" s="6" t="n">
        <x:f>IF(G1186=0,"无伤害",ROUNDUP(K1186/MAX(1,ROUND(G1186*$AC$33,0)),0))</x:f>
        <x:v>10</x:v>
      </x:c>
      <x:c r="N1186" s="6" t="n">
        <x:f>ROUNDUP(F1186/英雄升级调参!$H$89,0)</x:f>
        <x:v>3</x:v>
      </x:c>
      <x:c r="O1186" s="6" t="n">
        <x:f>ROUNDUP(F1186/英雄升级调参!$K$89,0)</x:f>
        <x:v>2</x:v>
      </x:c>
      <x:c r="P1186" s="6" t="str">
        <x:f>$AA$33</x:f>
        <x:v>普通：4次标准普攻击杀；10次主要攻击致死</x:v>
      </x:c>
      <x:c r="Q1186" s="6"/>
      <x:c r="R1186" s="6"/>
      <x:c r="S1186" s="6"/>
      <x:c r="T1186" s="6"/>
    </x:row>
    <x:row r="1187" ht="21" customHeight="1">
      <x:c r="A1187" s="14" t="n">
        <x:f>$V$33</x:f>
        <x:v>60020</x:v>
      </x:c>
      <x:c r="B1187" s="14" t="str">
        <x:f>$W$33</x:f>
        <x:v>小雪人</x:v>
      </x:c>
      <x:c r="C1187" s="6" t="str">
        <x:f>$X$33</x:f>
        <x:v>普通</x:v>
      </x:c>
      <x:c r="D1187" s="6">
        <x:v>25</x:v>
      </x:c>
      <x:c r="E1187" s="6">
        <x:v>33</x:v>
      </x:c>
      <x:c r="F1187" s="12">
        <x:f>ROUND(J1187*$W$4*H1187,0)</x:f>
        <x:v>5208</x:v>
      </x:c>
      <x:c r="G1187" s="12">
        <x:f>ROUND(J1187*$W$4*$W$5*I1187,0)</x:f>
        <x:v>1302</x:v>
      </x:c>
      <x:c r="H1187" s="11" t="n">
        <x:f>$Y$33</x:f>
        <x:v>1</x:v>
      </x:c>
      <x:c r="I1187" s="11" t="n">
        <x:f>$Z$33</x:f>
        <x:v>3.3333333333333335</x:v>
      </x:c>
      <x:c r="J1187" s="12">
        <x:f>英雄升级调参!$E$90</x:f>
        <x:v>1302</x:v>
      </x:c>
      <x:c r="K1187" s="12">
        <x:f>英雄升级调参!$F$90</x:f>
        <x:v>13020</x:v>
      </x:c>
      <x:c r="L1187" s="6" t="n">
        <x:f>ROUNDUP(F1187/J1187,0)</x:f>
        <x:v>4</x:v>
      </x:c>
      <x:c r="M1187" s="6" t="n">
        <x:f>IF(G1187=0,"无伤害",ROUNDUP(K1187/MAX(1,ROUND(G1187*$AC$33,0)),0))</x:f>
        <x:v>10</x:v>
      </x:c>
      <x:c r="N1187" s="6" t="n">
        <x:f>ROUNDUP(F1187/英雄升级调参!$H$90,0)</x:f>
        <x:v>3</x:v>
      </x:c>
      <x:c r="O1187" s="6" t="n">
        <x:f>ROUNDUP(F1187/英雄升级调参!$K$90,0)</x:f>
        <x:v>2</x:v>
      </x:c>
      <x:c r="P1187" s="6" t="str">
        <x:f>$AA$33</x:f>
        <x:v>普通：4次标准普攻击杀；10次主要攻击致死</x:v>
      </x:c>
      <x:c r="Q1187" s="6"/>
      <x:c r="R1187" s="6"/>
      <x:c r="S1187" s="6"/>
      <x:c r="T1187" s="6"/>
    </x:row>
    <x:row r="1188" ht="21" customHeight="1">
      <x:c r="A1188" s="14" t="n">
        <x:f>$V$33</x:f>
        <x:v>60020</x:v>
      </x:c>
      <x:c r="B1188" s="14" t="str">
        <x:f>$W$33</x:f>
        <x:v>小雪人</x:v>
      </x:c>
      <x:c r="C1188" s="6" t="str">
        <x:f>$X$33</x:f>
        <x:v>普通</x:v>
      </x:c>
      <x:c r="D1188" s="6">
        <x:v>26</x:v>
      </x:c>
      <x:c r="E1188" s="6">
        <x:v>33</x:v>
      </x:c>
      <x:c r="F1188" s="12">
        <x:f>ROUND(J1188*$W$4*H1188,0)</x:f>
        <x:v>5460</x:v>
      </x:c>
      <x:c r="G1188" s="12">
        <x:f>ROUND(J1188*$W$4*$W$5*I1188,0)</x:f>
        <x:v>1365</x:v>
      </x:c>
      <x:c r="H1188" s="11" t="n">
        <x:f>$Y$33</x:f>
        <x:v>1</x:v>
      </x:c>
      <x:c r="I1188" s="11" t="n">
        <x:f>$Z$33</x:f>
        <x:v>3.3333333333333335</x:v>
      </x:c>
      <x:c r="J1188" s="12">
        <x:f>英雄升级调参!$E$91</x:f>
        <x:v>1365</x:v>
      </x:c>
      <x:c r="K1188" s="12">
        <x:f>英雄升级调参!$F$91</x:f>
        <x:v>13650</x:v>
      </x:c>
      <x:c r="L1188" s="6" t="n">
        <x:f>ROUNDUP(F1188/J1188,0)</x:f>
        <x:v>4</x:v>
      </x:c>
      <x:c r="M1188" s="6" t="n">
        <x:f>IF(G1188=0,"无伤害",ROUNDUP(K1188/MAX(1,ROUND(G1188*$AC$33,0)),0))</x:f>
        <x:v>10</x:v>
      </x:c>
      <x:c r="N1188" s="6" t="n">
        <x:f>ROUNDUP(F1188/英雄升级调参!$H$91,0)</x:f>
        <x:v>3</x:v>
      </x:c>
      <x:c r="O1188" s="6" t="n">
        <x:f>ROUNDUP(F1188/英雄升级调参!$K$91,0)</x:f>
        <x:v>2</x:v>
      </x:c>
      <x:c r="P1188" s="6" t="str">
        <x:f>$AA$33</x:f>
        <x:v>普通：4次标准普攻击杀；10次主要攻击致死</x:v>
      </x:c>
      <x:c r="Q1188" s="6"/>
      <x:c r="R1188" s="6"/>
      <x:c r="S1188" s="6"/>
      <x:c r="T1188" s="6"/>
    </x:row>
    <x:row r="1189" ht="21" customHeight="1">
      <x:c r="A1189" s="14" t="n">
        <x:f>$V$33</x:f>
        <x:v>60020</x:v>
      </x:c>
      <x:c r="B1189" s="14" t="str">
        <x:f>$W$33</x:f>
        <x:v>小雪人</x:v>
      </x:c>
      <x:c r="C1189" s="6" t="str">
        <x:f>$X$33</x:f>
        <x:v>普通</x:v>
      </x:c>
      <x:c r="D1189" s="6">
        <x:v>27</x:v>
      </x:c>
      <x:c r="E1189" s="6">
        <x:v>33</x:v>
      </x:c>
      <x:c r="F1189" s="12">
        <x:f>ROUND(J1189*$W$4*H1189,0)</x:f>
        <x:v>5712</x:v>
      </x:c>
      <x:c r="G1189" s="12">
        <x:f>ROUND(J1189*$W$4*$W$5*I1189,0)</x:f>
        <x:v>1428</x:v>
      </x:c>
      <x:c r="H1189" s="11" t="n">
        <x:f>$Y$33</x:f>
        <x:v>1</x:v>
      </x:c>
      <x:c r="I1189" s="11" t="n">
        <x:f>$Z$33</x:f>
        <x:v>3.3333333333333335</x:v>
      </x:c>
      <x:c r="J1189" s="12">
        <x:f>英雄升级调参!$E$92</x:f>
        <x:v>1428</x:v>
      </x:c>
      <x:c r="K1189" s="12">
        <x:f>英雄升级调参!$F$92</x:f>
        <x:v>14280</x:v>
      </x:c>
      <x:c r="L1189" s="6" t="n">
        <x:f>ROUNDUP(F1189/J1189,0)</x:f>
        <x:v>4</x:v>
      </x:c>
      <x:c r="M1189" s="6" t="n">
        <x:f>IF(G1189=0,"无伤害",ROUNDUP(K1189/MAX(1,ROUND(G1189*$AC$33,0)),0))</x:f>
        <x:v>10</x:v>
      </x:c>
      <x:c r="N1189" s="6" t="n">
        <x:f>ROUNDUP(F1189/英雄升级调参!$H$92,0)</x:f>
        <x:v>3</x:v>
      </x:c>
      <x:c r="O1189" s="6" t="n">
        <x:f>ROUNDUP(F1189/英雄升级调参!$K$92,0)</x:f>
        <x:v>2</x:v>
      </x:c>
      <x:c r="P1189" s="6" t="str">
        <x:f>$AA$33</x:f>
        <x:v>普通：4次标准普攻击杀；10次主要攻击致死</x:v>
      </x:c>
      <x:c r="Q1189" s="6"/>
      <x:c r="R1189" s="6"/>
      <x:c r="S1189" s="6"/>
      <x:c r="T1189" s="6"/>
    </x:row>
    <x:row r="1190" ht="21" customHeight="1">
      <x:c r="A1190" s="14" t="n">
        <x:f>$V$33</x:f>
        <x:v>60020</x:v>
      </x:c>
      <x:c r="B1190" s="14" t="str">
        <x:f>$W$33</x:f>
        <x:v>小雪人</x:v>
      </x:c>
      <x:c r="C1190" s="6" t="str">
        <x:f>$X$33</x:f>
        <x:v>普通</x:v>
      </x:c>
      <x:c r="D1190" s="6">
        <x:v>28</x:v>
      </x:c>
      <x:c r="E1190" s="6">
        <x:v>33</x:v>
      </x:c>
      <x:c r="F1190" s="12">
        <x:f>ROUND(J1190*$W$4*H1190,0)</x:f>
        <x:v>5964</x:v>
      </x:c>
      <x:c r="G1190" s="12">
        <x:f>ROUND(J1190*$W$4*$W$5*I1190,0)</x:f>
        <x:v>1491</x:v>
      </x:c>
      <x:c r="H1190" s="11" t="n">
        <x:f>$Y$33</x:f>
        <x:v>1</x:v>
      </x:c>
      <x:c r="I1190" s="11" t="n">
        <x:f>$Z$33</x:f>
        <x:v>3.3333333333333335</x:v>
      </x:c>
      <x:c r="J1190" s="12">
        <x:f>英雄升级调参!$E$93</x:f>
        <x:v>1491</x:v>
      </x:c>
      <x:c r="K1190" s="12">
        <x:f>英雄升级调参!$F$93</x:f>
        <x:v>14910</x:v>
      </x:c>
      <x:c r="L1190" s="6" t="n">
        <x:f>ROUNDUP(F1190/J1190,0)</x:f>
        <x:v>4</x:v>
      </x:c>
      <x:c r="M1190" s="6" t="n">
        <x:f>IF(G1190=0,"无伤害",ROUNDUP(K1190/MAX(1,ROUND(G1190*$AC$33,0)),0))</x:f>
        <x:v>10</x:v>
      </x:c>
      <x:c r="N1190" s="6" t="n">
        <x:f>ROUNDUP(F1190/英雄升级调参!$H$93,0)</x:f>
        <x:v>3</x:v>
      </x:c>
      <x:c r="O1190" s="6" t="n">
        <x:f>ROUNDUP(F1190/英雄升级调参!$K$93,0)</x:f>
        <x:v>2</x:v>
      </x:c>
      <x:c r="P1190" s="6" t="str">
        <x:f>$AA$33</x:f>
        <x:v>普通：4次标准普攻击杀；10次主要攻击致死</x:v>
      </x:c>
      <x:c r="Q1190" s="6"/>
      <x:c r="R1190" s="6"/>
      <x:c r="S1190" s="6"/>
      <x:c r="T1190" s="6"/>
    </x:row>
    <x:row r="1191" ht="21" customHeight="1">
      <x:c r="A1191" s="14" t="n">
        <x:f>$V$33</x:f>
        <x:v>60020</x:v>
      </x:c>
      <x:c r="B1191" s="14" t="str">
        <x:f>$W$33</x:f>
        <x:v>小雪人</x:v>
      </x:c>
      <x:c r="C1191" s="6" t="str">
        <x:f>$X$33</x:f>
        <x:v>普通</x:v>
      </x:c>
      <x:c r="D1191" s="6">
        <x:v>29</x:v>
      </x:c>
      <x:c r="E1191" s="6">
        <x:v>33</x:v>
      </x:c>
      <x:c r="F1191" s="12">
        <x:f>ROUND(J1191*$W$4*H1191,0)</x:f>
        <x:v>6216</x:v>
      </x:c>
      <x:c r="G1191" s="12">
        <x:f>ROUND(J1191*$W$4*$W$5*I1191,0)</x:f>
        <x:v>1554</x:v>
      </x:c>
      <x:c r="H1191" s="11" t="n">
        <x:f>$Y$33</x:f>
        <x:v>1</x:v>
      </x:c>
      <x:c r="I1191" s="11" t="n">
        <x:f>$Z$33</x:f>
        <x:v>3.3333333333333335</x:v>
      </x:c>
      <x:c r="J1191" s="12">
        <x:f>英雄升级调参!$E$94</x:f>
        <x:v>1554</x:v>
      </x:c>
      <x:c r="K1191" s="12">
        <x:f>英雄升级调参!$F$94</x:f>
        <x:v>15540</x:v>
      </x:c>
      <x:c r="L1191" s="6" t="n">
        <x:f>ROUNDUP(F1191/J1191,0)</x:f>
        <x:v>4</x:v>
      </x:c>
      <x:c r="M1191" s="6" t="n">
        <x:f>IF(G1191=0,"无伤害",ROUNDUP(K1191/MAX(1,ROUND(G1191*$AC$33,0)),0))</x:f>
        <x:v>10</x:v>
      </x:c>
      <x:c r="N1191" s="6" t="n">
        <x:f>ROUNDUP(F1191/英雄升级调参!$H$94,0)</x:f>
        <x:v>3</x:v>
      </x:c>
      <x:c r="O1191" s="6" t="n">
        <x:f>ROUNDUP(F1191/英雄升级调参!$K$94,0)</x:f>
        <x:v>2</x:v>
      </x:c>
      <x:c r="P1191" s="6" t="str">
        <x:f>$AA$33</x:f>
        <x:v>普通：4次标准普攻击杀；10次主要攻击致死</x:v>
      </x:c>
      <x:c r="Q1191" s="6"/>
      <x:c r="R1191" s="6"/>
      <x:c r="S1191" s="6"/>
      <x:c r="T1191" s="6"/>
    </x:row>
    <x:row r="1192" ht="21" customHeight="1">
      <x:c r="A1192" s="14" t="n">
        <x:f>$V$33</x:f>
        <x:v>60020</x:v>
      </x:c>
      <x:c r="B1192" s="14" t="str">
        <x:f>$W$33</x:f>
        <x:v>小雪人</x:v>
      </x:c>
      <x:c r="C1192" s="6" t="str">
        <x:f>$X$33</x:f>
        <x:v>普通</x:v>
      </x:c>
      <x:c r="D1192" s="6">
        <x:v>30</x:v>
      </x:c>
      <x:c r="E1192" s="6">
        <x:v>33</x:v>
      </x:c>
      <x:c r="F1192" s="12">
        <x:f>ROUND(J1192*$W$4*H1192,0)</x:f>
        <x:v>6972</x:v>
      </x:c>
      <x:c r="G1192" s="12">
        <x:f>ROUND(J1192*$W$4*$W$5*I1192,0)</x:f>
        <x:v>1743</x:v>
      </x:c>
      <x:c r="H1192" s="11" t="n">
        <x:f>$Y$33</x:f>
        <x:v>1</x:v>
      </x:c>
      <x:c r="I1192" s="11" t="n">
        <x:f>$Z$33</x:f>
        <x:v>3.3333333333333335</x:v>
      </x:c>
      <x:c r="J1192" s="12">
        <x:f>英雄升级调参!$E$95</x:f>
        <x:v>1743</x:v>
      </x:c>
      <x:c r="K1192" s="12">
        <x:f>英雄升级调参!$F$95</x:f>
        <x:v>17430</x:v>
      </x:c>
      <x:c r="L1192" s="6" t="n">
        <x:f>ROUNDUP(F1192/J1192,0)</x:f>
        <x:v>4</x:v>
      </x:c>
      <x:c r="M1192" s="6" t="n">
        <x:f>IF(G1192=0,"无伤害",ROUNDUP(K1192/MAX(1,ROUND(G1192*$AC$33,0)),0))</x:f>
        <x:v>10</x:v>
      </x:c>
      <x:c r="N1192" s="6" t="n">
        <x:f>ROUNDUP(F1192/英雄升级调参!$H$95,0)</x:f>
        <x:v>3</x:v>
      </x:c>
      <x:c r="O1192" s="6" t="n">
        <x:f>ROUNDUP(F1192/英雄升级调参!$K$95,0)</x:f>
        <x:v>2</x:v>
      </x:c>
      <x:c r="P1192" s="6" t="str">
        <x:f>$AA$33</x:f>
        <x:v>普通：4次标准普攻击杀；10次主要攻击致死</x:v>
      </x:c>
      <x:c r="Q1192" s="6"/>
      <x:c r="R1192" s="6"/>
      <x:c r="S1192" s="6"/>
      <x:c r="T1192" s="6"/>
    </x:row>
    <x:row r="1193" ht="21" customHeight="1">
      <x:c r="A1193" s="14" t="n">
        <x:f>$V$33</x:f>
        <x:v>60020</x:v>
      </x:c>
      <x:c r="B1193" s="14" t="str">
        <x:f>$W$33</x:f>
        <x:v>小雪人</x:v>
      </x:c>
      <x:c r="C1193" s="6" t="str">
        <x:f>$X$33</x:f>
        <x:v>普通</x:v>
      </x:c>
      <x:c r="D1193" s="6">
        <x:v>31</x:v>
      </x:c>
      <x:c r="E1193" s="6">
        <x:v>33</x:v>
      </x:c>
      <x:c r="F1193" s="12">
        <x:f>ROUND(J1193*$W$4*H1193,0)</x:f>
        <x:v>7260</x:v>
      </x:c>
      <x:c r="G1193" s="12">
        <x:f>ROUND(J1193*$W$4*$W$5*I1193,0)</x:f>
        <x:v>1815</x:v>
      </x:c>
      <x:c r="H1193" s="11" t="n">
        <x:f>$Y$33</x:f>
        <x:v>1</x:v>
      </x:c>
      <x:c r="I1193" s="11" t="n">
        <x:f>$Z$33</x:f>
        <x:v>3.3333333333333335</x:v>
      </x:c>
      <x:c r="J1193" s="12">
        <x:f>英雄升级调参!$E$96</x:f>
        <x:v>1815</x:v>
      </x:c>
      <x:c r="K1193" s="12">
        <x:f>英雄升级调参!$F$96</x:f>
        <x:v>18150</x:v>
      </x:c>
      <x:c r="L1193" s="6" t="n">
        <x:f>ROUNDUP(F1193/J1193,0)</x:f>
        <x:v>4</x:v>
      </x:c>
      <x:c r="M1193" s="6" t="n">
        <x:f>IF(G1193=0,"无伤害",ROUNDUP(K1193/MAX(1,ROUND(G1193*$AC$33,0)),0))</x:f>
        <x:v>10</x:v>
      </x:c>
      <x:c r="N1193" s="6" t="n">
        <x:f>ROUNDUP(F1193/英雄升级调参!$H$96,0)</x:f>
        <x:v>3</x:v>
      </x:c>
      <x:c r="O1193" s="6" t="n">
        <x:f>ROUNDUP(F1193/英雄升级调参!$K$96,0)</x:f>
        <x:v>2</x:v>
      </x:c>
      <x:c r="P1193" s="6" t="str">
        <x:f>$AA$33</x:f>
        <x:v>普通：4次标准普攻击杀；10次主要攻击致死</x:v>
      </x:c>
      <x:c r="Q1193" s="6"/>
      <x:c r="R1193" s="6"/>
      <x:c r="S1193" s="6"/>
      <x:c r="T1193" s="6"/>
    </x:row>
    <x:row r="1194" ht="21" customHeight="1">
      <x:c r="A1194" s="14" t="n">
        <x:f>$V$33</x:f>
        <x:v>60020</x:v>
      </x:c>
      <x:c r="B1194" s="14" t="str">
        <x:f>$W$33</x:f>
        <x:v>小雪人</x:v>
      </x:c>
      <x:c r="C1194" s="6" t="str">
        <x:f>$X$33</x:f>
        <x:v>普通</x:v>
      </x:c>
      <x:c r="D1194" s="6">
        <x:v>32</x:v>
      </x:c>
      <x:c r="E1194" s="6">
        <x:v>33</x:v>
      </x:c>
      <x:c r="F1194" s="12">
        <x:f>ROUND(J1194*$W$4*H1194,0)</x:f>
        <x:v>7548</x:v>
      </x:c>
      <x:c r="G1194" s="12">
        <x:f>ROUND(J1194*$W$4*$W$5*I1194,0)</x:f>
        <x:v>1887</x:v>
      </x:c>
      <x:c r="H1194" s="11" t="n">
        <x:f>$Y$33</x:f>
        <x:v>1</x:v>
      </x:c>
      <x:c r="I1194" s="11" t="n">
        <x:f>$Z$33</x:f>
        <x:v>3.3333333333333335</x:v>
      </x:c>
      <x:c r="J1194" s="12">
        <x:f>英雄升级调参!$E$97</x:f>
        <x:v>1887</x:v>
      </x:c>
      <x:c r="K1194" s="12">
        <x:f>英雄升级调参!$F$97</x:f>
        <x:v>18870</x:v>
      </x:c>
      <x:c r="L1194" s="6" t="n">
        <x:f>ROUNDUP(F1194/J1194,0)</x:f>
        <x:v>4</x:v>
      </x:c>
      <x:c r="M1194" s="6" t="n">
        <x:f>IF(G1194=0,"无伤害",ROUNDUP(K1194/MAX(1,ROUND(G1194*$AC$33,0)),0))</x:f>
        <x:v>10</x:v>
      </x:c>
      <x:c r="N1194" s="6" t="n">
        <x:f>ROUNDUP(F1194/英雄升级调参!$H$97,0)</x:f>
        <x:v>3</x:v>
      </x:c>
      <x:c r="O1194" s="6" t="n">
        <x:f>ROUNDUP(F1194/英雄升级调参!$K$97,0)</x:f>
        <x:v>2</x:v>
      </x:c>
      <x:c r="P1194" s="6" t="str">
        <x:f>$AA$33</x:f>
        <x:v>普通：4次标准普攻击杀；10次主要攻击致死</x:v>
      </x:c>
      <x:c r="Q1194" s="6"/>
      <x:c r="R1194" s="6"/>
      <x:c r="S1194" s="6"/>
      <x:c r="T1194" s="6"/>
    </x:row>
    <x:row r="1195" ht="21" customHeight="1">
      <x:c r="A1195" s="14" t="n">
        <x:f>$V$33</x:f>
        <x:v>60020</x:v>
      </x:c>
      <x:c r="B1195" s="14" t="str">
        <x:f>$W$33</x:f>
        <x:v>小雪人</x:v>
      </x:c>
      <x:c r="C1195" s="6" t="str">
        <x:f>$X$33</x:f>
        <x:v>普通</x:v>
      </x:c>
      <x:c r="D1195" s="6">
        <x:v>33</x:v>
      </x:c>
      <x:c r="E1195" s="6">
        <x:v>33</x:v>
      </x:c>
      <x:c r="F1195" s="12">
        <x:f>ROUND(J1195*$W$4*H1195,0)</x:f>
        <x:v>7836</x:v>
      </x:c>
      <x:c r="G1195" s="12">
        <x:f>ROUND(J1195*$W$4*$W$5*I1195,0)</x:f>
        <x:v>1959</x:v>
      </x:c>
      <x:c r="H1195" s="11" t="n">
        <x:f>$Y$33</x:f>
        <x:v>1</x:v>
      </x:c>
      <x:c r="I1195" s="11" t="n">
        <x:f>$Z$33</x:f>
        <x:v>3.3333333333333335</x:v>
      </x:c>
      <x:c r="J1195" s="12">
        <x:f>英雄升级调参!$E$98</x:f>
        <x:v>1959</x:v>
      </x:c>
      <x:c r="K1195" s="12">
        <x:f>英雄升级调参!$F$98</x:f>
        <x:v>19590</x:v>
      </x:c>
      <x:c r="L1195" s="6" t="n">
        <x:f>ROUNDUP(F1195/J1195,0)</x:f>
        <x:v>4</x:v>
      </x:c>
      <x:c r="M1195" s="6" t="n">
        <x:f>IF(G1195=0,"无伤害",ROUNDUP(K1195/MAX(1,ROUND(G1195*$AC$33,0)),0))</x:f>
        <x:v>10</x:v>
      </x:c>
      <x:c r="N1195" s="6" t="n">
        <x:f>ROUNDUP(F1195/英雄升级调参!$H$98,0)</x:f>
        <x:v>3</x:v>
      </x:c>
      <x:c r="O1195" s="6" t="n">
        <x:f>ROUNDUP(F1195/英雄升级调参!$K$98,0)</x:f>
        <x:v>2</x:v>
      </x:c>
      <x:c r="P1195" s="6" t="str">
        <x:f>$AA$33</x:f>
        <x:v>普通：4次标准普攻击杀；10次主要攻击致死</x:v>
      </x:c>
      <x:c r="Q1195" s="6"/>
      <x:c r="R1195" s="6"/>
      <x:c r="S1195" s="6"/>
      <x:c r="T1195" s="6"/>
    </x:row>
    <x:row r="1196" ht="21" customHeight="1">
      <x:c r="A1196" s="14" t="n">
        <x:f>$V$33</x:f>
        <x:v>60020</x:v>
      </x:c>
      <x:c r="B1196" s="14" t="str">
        <x:f>$W$33</x:f>
        <x:v>小雪人</x:v>
      </x:c>
      <x:c r="C1196" s="6" t="str">
        <x:f>$X$33</x:f>
        <x:v>普通</x:v>
      </x:c>
      <x:c r="D1196" s="6">
        <x:v>34</x:v>
      </x:c>
      <x:c r="E1196" s="6">
        <x:v>33</x:v>
      </x:c>
      <x:c r="F1196" s="12">
        <x:f>ROUND(J1196*$W$4*H1196,0)</x:f>
        <x:v>8124</x:v>
      </x:c>
      <x:c r="G1196" s="12">
        <x:f>ROUND(J1196*$W$4*$W$5*I1196,0)</x:f>
        <x:v>2031</x:v>
      </x:c>
      <x:c r="H1196" s="11" t="n">
        <x:f>$Y$33</x:f>
        <x:v>1</x:v>
      </x:c>
      <x:c r="I1196" s="11" t="n">
        <x:f>$Z$33</x:f>
        <x:v>3.3333333333333335</x:v>
      </x:c>
      <x:c r="J1196" s="12">
        <x:f>英雄升级调参!$E$99</x:f>
        <x:v>2031</x:v>
      </x:c>
      <x:c r="K1196" s="12">
        <x:f>英雄升级调参!$F$99</x:f>
        <x:v>20310</x:v>
      </x:c>
      <x:c r="L1196" s="6" t="n">
        <x:f>ROUNDUP(F1196/J1196,0)</x:f>
        <x:v>4</x:v>
      </x:c>
      <x:c r="M1196" s="6" t="n">
        <x:f>IF(G1196=0,"无伤害",ROUNDUP(K1196/MAX(1,ROUND(G1196*$AC$33,0)),0))</x:f>
        <x:v>10</x:v>
      </x:c>
      <x:c r="N1196" s="6" t="n">
        <x:f>ROUNDUP(F1196/英雄升级调参!$H$99,0)</x:f>
        <x:v>3</x:v>
      </x:c>
      <x:c r="O1196" s="6" t="n">
        <x:f>ROUNDUP(F1196/英雄升级调参!$K$99,0)</x:f>
        <x:v>2</x:v>
      </x:c>
      <x:c r="P1196" s="6" t="str">
        <x:f>$AA$33</x:f>
        <x:v>普通：4次标准普攻击杀；10次主要攻击致死</x:v>
      </x:c>
      <x:c r="Q1196" s="6"/>
      <x:c r="R1196" s="6"/>
      <x:c r="S1196" s="6"/>
      <x:c r="T1196" s="6"/>
    </x:row>
    <x:row r="1197" ht="21" customHeight="1">
      <x:c r="A1197" s="14" t="n">
        <x:f>$V$33</x:f>
        <x:v>60020</x:v>
      </x:c>
      <x:c r="B1197" s="14" t="str">
        <x:f>$W$33</x:f>
        <x:v>小雪人</x:v>
      </x:c>
      <x:c r="C1197" s="6" t="str">
        <x:f>$X$33</x:f>
        <x:v>普通</x:v>
      </x:c>
      <x:c r="D1197" s="6">
        <x:v>35</x:v>
      </x:c>
      <x:c r="E1197" s="6">
        <x:v>33</x:v>
      </x:c>
      <x:c r="F1197" s="12">
        <x:f>ROUND(J1197*$W$4*H1197,0)</x:f>
        <x:v>8988</x:v>
      </x:c>
      <x:c r="G1197" s="12">
        <x:f>ROUND(J1197*$W$4*$W$5*I1197,0)</x:f>
        <x:v>2247</x:v>
      </x:c>
      <x:c r="H1197" s="11" t="n">
        <x:f>$Y$33</x:f>
        <x:v>1</x:v>
      </x:c>
      <x:c r="I1197" s="11" t="n">
        <x:f>$Z$33</x:f>
        <x:v>3.3333333333333335</x:v>
      </x:c>
      <x:c r="J1197" s="12">
        <x:f>英雄升级调参!$E$100</x:f>
        <x:v>2247</x:v>
      </x:c>
      <x:c r="K1197" s="12">
        <x:f>英雄升级调参!$F$100</x:f>
        <x:v>22470</x:v>
      </x:c>
      <x:c r="L1197" s="6" t="n">
        <x:f>ROUNDUP(F1197/J1197,0)</x:f>
        <x:v>4</x:v>
      </x:c>
      <x:c r="M1197" s="6" t="n">
        <x:f>IF(G1197=0,"无伤害",ROUNDUP(K1197/MAX(1,ROUND(G1197*$AC$33,0)),0))</x:f>
        <x:v>10</x:v>
      </x:c>
      <x:c r="N1197" s="6" t="n">
        <x:f>ROUNDUP(F1197/英雄升级调参!$H$100,0)</x:f>
        <x:v>3</x:v>
      </x:c>
      <x:c r="O1197" s="6" t="n">
        <x:f>ROUNDUP(F1197/英雄升级调参!$K$100,0)</x:f>
        <x:v>2</x:v>
      </x:c>
      <x:c r="P1197" s="6" t="str">
        <x:f>$AA$33</x:f>
        <x:v>普通：4次标准普攻击杀；10次主要攻击致死</x:v>
      </x:c>
      <x:c r="Q1197" s="6"/>
      <x:c r="R1197" s="6"/>
      <x:c r="S1197" s="6"/>
      <x:c r="T1197" s="6"/>
    </x:row>
    <x:row r="1198" ht="21" customHeight="1">
      <x:c r="A1198" s="14" t="n">
        <x:f>$V$33</x:f>
        <x:v>60020</x:v>
      </x:c>
      <x:c r="B1198" s="14" t="str">
        <x:f>$W$33</x:f>
        <x:v>小雪人</x:v>
      </x:c>
      <x:c r="C1198" s="6" t="str">
        <x:f>$X$33</x:f>
        <x:v>普通</x:v>
      </x:c>
      <x:c r="D1198" s="6">
        <x:v>36</x:v>
      </x:c>
      <x:c r="E1198" s="6">
        <x:v>33</x:v>
      </x:c>
      <x:c r="F1198" s="12">
        <x:f>ROUND(J1198*$W$4*H1198,0)</x:f>
        <x:v>9312</x:v>
      </x:c>
      <x:c r="G1198" s="12">
        <x:f>ROUND(J1198*$W$4*$W$5*I1198,0)</x:f>
        <x:v>2328</x:v>
      </x:c>
      <x:c r="H1198" s="11" t="n">
        <x:f>$Y$33</x:f>
        <x:v>1</x:v>
      </x:c>
      <x:c r="I1198" s="11" t="n">
        <x:f>$Z$33</x:f>
        <x:v>3.3333333333333335</x:v>
      </x:c>
      <x:c r="J1198" s="12">
        <x:f>英雄升级调参!$E$101</x:f>
        <x:v>2328</x:v>
      </x:c>
      <x:c r="K1198" s="12">
        <x:f>英雄升级调参!$F$101</x:f>
        <x:v>23280</x:v>
      </x:c>
      <x:c r="L1198" s="6" t="n">
        <x:f>ROUNDUP(F1198/J1198,0)</x:f>
        <x:v>4</x:v>
      </x:c>
      <x:c r="M1198" s="6" t="n">
        <x:f>IF(G1198=0,"无伤害",ROUNDUP(K1198/MAX(1,ROUND(G1198*$AC$33,0)),0))</x:f>
        <x:v>10</x:v>
      </x:c>
      <x:c r="N1198" s="6" t="n">
        <x:f>ROUNDUP(F1198/英雄升级调参!$H$101,0)</x:f>
        <x:v>3</x:v>
      </x:c>
      <x:c r="O1198" s="6" t="n">
        <x:f>ROUNDUP(F1198/英雄升级调参!$K$101,0)</x:f>
        <x:v>2</x:v>
      </x:c>
      <x:c r="P1198" s="6" t="str">
        <x:f>$AA$33</x:f>
        <x:v>普通：4次标准普攻击杀；10次主要攻击致死</x:v>
      </x:c>
      <x:c r="Q1198" s="6"/>
      <x:c r="R1198" s="6"/>
      <x:c r="S1198" s="6"/>
      <x:c r="T1198" s="6"/>
    </x:row>
    <x:row r="1199" ht="21" customHeight="1">
      <x:c r="A1199" s="14" t="n">
        <x:f>$V$33</x:f>
        <x:v>60020</x:v>
      </x:c>
      <x:c r="B1199" s="14" t="str">
        <x:f>$W$33</x:f>
        <x:v>小雪人</x:v>
      </x:c>
      <x:c r="C1199" s="6" t="str">
        <x:f>$X$33</x:f>
        <x:v>普通</x:v>
      </x:c>
      <x:c r="D1199" s="6">
        <x:v>37</x:v>
      </x:c>
      <x:c r="E1199" s="6">
        <x:v>33</x:v>
      </x:c>
      <x:c r="F1199" s="12">
        <x:f>ROUND(J1199*$W$4*H1199,0)</x:f>
        <x:v>9636</x:v>
      </x:c>
      <x:c r="G1199" s="12">
        <x:f>ROUND(J1199*$W$4*$W$5*I1199,0)</x:f>
        <x:v>2409</x:v>
      </x:c>
      <x:c r="H1199" s="11" t="n">
        <x:f>$Y$33</x:f>
        <x:v>1</x:v>
      </x:c>
      <x:c r="I1199" s="11" t="n">
        <x:f>$Z$33</x:f>
        <x:v>3.3333333333333335</x:v>
      </x:c>
      <x:c r="J1199" s="12">
        <x:f>英雄升级调参!$E$102</x:f>
        <x:v>2409</x:v>
      </x:c>
      <x:c r="K1199" s="12">
        <x:f>英雄升级调参!$F$102</x:f>
        <x:v>24090</x:v>
      </x:c>
      <x:c r="L1199" s="6" t="n">
        <x:f>ROUNDUP(F1199/J1199,0)</x:f>
        <x:v>4</x:v>
      </x:c>
      <x:c r="M1199" s="6" t="n">
        <x:f>IF(G1199=0,"无伤害",ROUNDUP(K1199/MAX(1,ROUND(G1199*$AC$33,0)),0))</x:f>
        <x:v>10</x:v>
      </x:c>
      <x:c r="N1199" s="6" t="n">
        <x:f>ROUNDUP(F1199/英雄升级调参!$H$102,0)</x:f>
        <x:v>3</x:v>
      </x:c>
      <x:c r="O1199" s="6" t="n">
        <x:f>ROUNDUP(F1199/英雄升级调参!$K$102,0)</x:f>
        <x:v>2</x:v>
      </x:c>
      <x:c r="P1199" s="6" t="str">
        <x:f>$AA$33</x:f>
        <x:v>普通：4次标准普攻击杀；10次主要攻击致死</x:v>
      </x:c>
      <x:c r="Q1199" s="6"/>
      <x:c r="R1199" s="6"/>
      <x:c r="S1199" s="6"/>
      <x:c r="T1199" s="6"/>
    </x:row>
    <x:row r="1200" ht="21" customHeight="1">
      <x:c r="A1200" s="14" t="n">
        <x:f>$V$33</x:f>
        <x:v>60020</x:v>
      </x:c>
      <x:c r="B1200" s="14" t="str">
        <x:f>$W$33</x:f>
        <x:v>小雪人</x:v>
      </x:c>
      <x:c r="C1200" s="6" t="str">
        <x:f>$X$33</x:f>
        <x:v>普通</x:v>
      </x:c>
      <x:c r="D1200" s="6">
        <x:v>38</x:v>
      </x:c>
      <x:c r="E1200" s="6">
        <x:v>33</x:v>
      </x:c>
      <x:c r="F1200" s="12">
        <x:f>ROUND(J1200*$W$4*H1200,0)</x:f>
        <x:v>9960</x:v>
      </x:c>
      <x:c r="G1200" s="12">
        <x:f>ROUND(J1200*$W$4*$W$5*I1200,0)</x:f>
        <x:v>2490</x:v>
      </x:c>
      <x:c r="H1200" s="11" t="n">
        <x:f>$Y$33</x:f>
        <x:v>1</x:v>
      </x:c>
      <x:c r="I1200" s="11" t="n">
        <x:f>$Z$33</x:f>
        <x:v>3.3333333333333335</x:v>
      </x:c>
      <x:c r="J1200" s="12">
        <x:f>英雄升级调参!$E$103</x:f>
        <x:v>2490</x:v>
      </x:c>
      <x:c r="K1200" s="12">
        <x:f>英雄升级调参!$F$103</x:f>
        <x:v>24900</x:v>
      </x:c>
      <x:c r="L1200" s="6" t="n">
        <x:f>ROUNDUP(F1200/J1200,0)</x:f>
        <x:v>4</x:v>
      </x:c>
      <x:c r="M1200" s="6" t="n">
        <x:f>IF(G1200=0,"无伤害",ROUNDUP(K1200/MAX(1,ROUND(G1200*$AC$33,0)),0))</x:f>
        <x:v>10</x:v>
      </x:c>
      <x:c r="N1200" s="6" t="n">
        <x:f>ROUNDUP(F1200/英雄升级调参!$H$103,0)</x:f>
        <x:v>3</x:v>
      </x:c>
      <x:c r="O1200" s="6" t="n">
        <x:f>ROUNDUP(F1200/英雄升级调参!$K$103,0)</x:f>
        <x:v>2</x:v>
      </x:c>
      <x:c r="P1200" s="6" t="str">
        <x:f>$AA$33</x:f>
        <x:v>普通：4次标准普攻击杀；10次主要攻击致死</x:v>
      </x:c>
      <x:c r="Q1200" s="6"/>
      <x:c r="R1200" s="6"/>
      <x:c r="S1200" s="6"/>
      <x:c r="T1200" s="6"/>
    </x:row>
    <x:row r="1201" ht="21" customHeight="1">
      <x:c r="A1201" s="14" t="n">
        <x:f>$V$33</x:f>
        <x:v>60020</x:v>
      </x:c>
      <x:c r="B1201" s="14" t="str">
        <x:f>$W$33</x:f>
        <x:v>小雪人</x:v>
      </x:c>
      <x:c r="C1201" s="6" t="str">
        <x:f>$X$33</x:f>
        <x:v>普通</x:v>
      </x:c>
      <x:c r="D1201" s="6">
        <x:v>39</x:v>
      </x:c>
      <x:c r="E1201" s="6">
        <x:v>33</x:v>
      </x:c>
      <x:c r="F1201" s="12">
        <x:f>ROUND(J1201*$W$4*H1201,0)</x:f>
        <x:v>10284</x:v>
      </x:c>
      <x:c r="G1201" s="12">
        <x:f>ROUND(J1201*$W$4*$W$5*I1201,0)</x:f>
        <x:v>2571</x:v>
      </x:c>
      <x:c r="H1201" s="11" t="n">
        <x:f>$Y$33</x:f>
        <x:v>1</x:v>
      </x:c>
      <x:c r="I1201" s="11" t="n">
        <x:f>$Z$33</x:f>
        <x:v>3.3333333333333335</x:v>
      </x:c>
      <x:c r="J1201" s="12">
        <x:f>英雄升级调参!$E$104</x:f>
        <x:v>2571</x:v>
      </x:c>
      <x:c r="K1201" s="12">
        <x:f>英雄升级调参!$F$104</x:f>
        <x:v>25710</x:v>
      </x:c>
      <x:c r="L1201" s="6" t="n">
        <x:f>ROUNDUP(F1201/J1201,0)</x:f>
        <x:v>4</x:v>
      </x:c>
      <x:c r="M1201" s="6" t="n">
        <x:f>IF(G1201=0,"无伤害",ROUNDUP(K1201/MAX(1,ROUND(G1201*$AC$33,0)),0))</x:f>
        <x:v>10</x:v>
      </x:c>
      <x:c r="N1201" s="6" t="n">
        <x:f>ROUNDUP(F1201/英雄升级调参!$H$104,0)</x:f>
        <x:v>3</x:v>
      </x:c>
      <x:c r="O1201" s="6" t="n">
        <x:f>ROUNDUP(F1201/英雄升级调参!$K$104,0)</x:f>
        <x:v>2</x:v>
      </x:c>
      <x:c r="P1201" s="6" t="str">
        <x:f>$AA$33</x:f>
        <x:v>普通：4次标准普攻击杀；10次主要攻击致死</x:v>
      </x:c>
      <x:c r="Q1201" s="6"/>
      <x:c r="R1201" s="6"/>
      <x:c r="S1201" s="6"/>
      <x:c r="T1201" s="6"/>
    </x:row>
    <x:row r="1202" ht="21" customHeight="1">
      <x:c r="A1202" s="14" t="n">
        <x:f>$V$33</x:f>
        <x:v>60020</x:v>
      </x:c>
      <x:c r="B1202" s="14" t="str">
        <x:f>$W$33</x:f>
        <x:v>小雪人</x:v>
      </x:c>
      <x:c r="C1202" s="6" t="str">
        <x:f>$X$33</x:f>
        <x:v>普通</x:v>
      </x:c>
      <x:c r="D1202" s="6">
        <x:v>40</x:v>
      </x:c>
      <x:c r="E1202" s="6">
        <x:v>33</x:v>
      </x:c>
      <x:c r="F1202" s="12">
        <x:f>ROUND(J1202*$W$4*H1202,0)</x:f>
        <x:v>11256</x:v>
      </x:c>
      <x:c r="G1202" s="12">
        <x:f>ROUND(J1202*$W$4*$W$5*I1202,0)</x:f>
        <x:v>2814</x:v>
      </x:c>
      <x:c r="H1202" s="11" t="n">
        <x:f>$Y$33</x:f>
        <x:v>1</x:v>
      </x:c>
      <x:c r="I1202" s="11" t="n">
        <x:f>$Z$33</x:f>
        <x:v>3.3333333333333335</x:v>
      </x:c>
      <x:c r="J1202" s="12">
        <x:f>英雄升级调参!$E$105</x:f>
        <x:v>2814</x:v>
      </x:c>
      <x:c r="K1202" s="12">
        <x:f>英雄升级调参!$F$105</x:f>
        <x:v>28140</x:v>
      </x:c>
      <x:c r="L1202" s="6" t="n">
        <x:f>ROUNDUP(F1202/J1202,0)</x:f>
        <x:v>4</x:v>
      </x:c>
      <x:c r="M1202" s="6" t="n">
        <x:f>IF(G1202=0,"无伤害",ROUNDUP(K1202/MAX(1,ROUND(G1202*$AC$33,0)),0))</x:f>
        <x:v>10</x:v>
      </x:c>
      <x:c r="N1202" s="6" t="n">
        <x:f>ROUNDUP(F1202/英雄升级调参!$H$105,0)</x:f>
        <x:v>3</x:v>
      </x:c>
      <x:c r="O1202" s="6" t="n">
        <x:f>ROUNDUP(F1202/英雄升级调参!$K$105,0)</x:f>
        <x:v>2</x:v>
      </x:c>
      <x:c r="P1202" s="6" t="str">
        <x:f>$AA$33</x:f>
        <x:v>普通：4次标准普攻击杀；10次主要攻击致死</x:v>
      </x:c>
      <x:c r="Q1202" s="6"/>
      <x:c r="R1202" s="6"/>
      <x:c r="S1202" s="6"/>
      <x:c r="T1202" s="6"/>
    </x:row>
    <x:row r="1203" ht="21" customHeight="1">
      <x:c r="A1203" s="14" t="n">
        <x:f>$V$33</x:f>
        <x:v>60020</x:v>
      </x:c>
      <x:c r="B1203" s="14" t="str">
        <x:f>$W$33</x:f>
        <x:v>小雪人</x:v>
      </x:c>
      <x:c r="C1203" s="6" t="str">
        <x:f>$X$33</x:f>
        <x:v>普通</x:v>
      </x:c>
      <x:c r="D1203" s="6">
        <x:v>41</x:v>
      </x:c>
      <x:c r="E1203" s="6">
        <x:v>33</x:v>
      </x:c>
      <x:c r="F1203" s="12">
        <x:f>ROUND(J1203*$W$4*H1203,0)</x:f>
        <x:v>11616</x:v>
      </x:c>
      <x:c r="G1203" s="12">
        <x:f>ROUND(J1203*$W$4*$W$5*I1203,0)</x:f>
        <x:v>2904</x:v>
      </x:c>
      <x:c r="H1203" s="11" t="n">
        <x:f>$Y$33</x:f>
        <x:v>1</x:v>
      </x:c>
      <x:c r="I1203" s="11" t="n">
        <x:f>$Z$33</x:f>
        <x:v>3.3333333333333335</x:v>
      </x:c>
      <x:c r="J1203" s="12">
        <x:f>英雄升级调参!$E$106</x:f>
        <x:v>2904</x:v>
      </x:c>
      <x:c r="K1203" s="12">
        <x:f>英雄升级调参!$F$106</x:f>
        <x:v>29040</x:v>
      </x:c>
      <x:c r="L1203" s="6" t="n">
        <x:f>ROUNDUP(F1203/J1203,0)</x:f>
        <x:v>4</x:v>
      </x:c>
      <x:c r="M1203" s="6" t="n">
        <x:f>IF(G1203=0,"无伤害",ROUNDUP(K1203/MAX(1,ROUND(G1203*$AC$33,0)),0))</x:f>
        <x:v>10</x:v>
      </x:c>
      <x:c r="N1203" s="6" t="n">
        <x:f>ROUNDUP(F1203/英雄升级调参!$H$106,0)</x:f>
        <x:v>3</x:v>
      </x:c>
      <x:c r="O1203" s="6" t="n">
        <x:f>ROUNDUP(F1203/英雄升级调参!$K$106,0)</x:f>
        <x:v>2</x:v>
      </x:c>
      <x:c r="P1203" s="6" t="str">
        <x:f>$AA$33</x:f>
        <x:v>普通：4次标准普攻击杀；10次主要攻击致死</x:v>
      </x:c>
      <x:c r="Q1203" s="6"/>
      <x:c r="R1203" s="6"/>
      <x:c r="S1203" s="6"/>
      <x:c r="T1203" s="6"/>
    </x:row>
    <x:row r="1204" ht="21" customHeight="1">
      <x:c r="A1204" s="14" t="n">
        <x:f>$V$33</x:f>
        <x:v>60020</x:v>
      </x:c>
      <x:c r="B1204" s="14" t="str">
        <x:f>$W$33</x:f>
        <x:v>小雪人</x:v>
      </x:c>
      <x:c r="C1204" s="6" t="str">
        <x:f>$X$33</x:f>
        <x:v>普通</x:v>
      </x:c>
      <x:c r="D1204" s="6">
        <x:v>42</x:v>
      </x:c>
      <x:c r="E1204" s="6">
        <x:v>33</x:v>
      </x:c>
      <x:c r="F1204" s="12">
        <x:f>ROUND(J1204*$W$4*H1204,0)</x:f>
        <x:v>11976</x:v>
      </x:c>
      <x:c r="G1204" s="12">
        <x:f>ROUND(J1204*$W$4*$W$5*I1204,0)</x:f>
        <x:v>2994</x:v>
      </x:c>
      <x:c r="H1204" s="11" t="n">
        <x:f>$Y$33</x:f>
        <x:v>1</x:v>
      </x:c>
      <x:c r="I1204" s="11" t="n">
        <x:f>$Z$33</x:f>
        <x:v>3.3333333333333335</x:v>
      </x:c>
      <x:c r="J1204" s="12">
        <x:f>英雄升级调参!$E$107</x:f>
        <x:v>2994</x:v>
      </x:c>
      <x:c r="K1204" s="12">
        <x:f>英雄升级调参!$F$107</x:f>
        <x:v>29940</x:v>
      </x:c>
      <x:c r="L1204" s="6" t="n">
        <x:f>ROUNDUP(F1204/J1204,0)</x:f>
        <x:v>4</x:v>
      </x:c>
      <x:c r="M1204" s="6" t="n">
        <x:f>IF(G1204=0,"无伤害",ROUNDUP(K1204/MAX(1,ROUND(G1204*$AC$33,0)),0))</x:f>
        <x:v>10</x:v>
      </x:c>
      <x:c r="N1204" s="6" t="n">
        <x:f>ROUNDUP(F1204/英雄升级调参!$H$107,0)</x:f>
        <x:v>3</x:v>
      </x:c>
      <x:c r="O1204" s="6" t="n">
        <x:f>ROUNDUP(F1204/英雄升级调参!$K$107,0)</x:f>
        <x:v>2</x:v>
      </x:c>
      <x:c r="P1204" s="6" t="str">
        <x:f>$AA$33</x:f>
        <x:v>普通：4次标准普攻击杀；10次主要攻击致死</x:v>
      </x:c>
      <x:c r="Q1204" s="6"/>
      <x:c r="R1204" s="6"/>
      <x:c r="S1204" s="6"/>
      <x:c r="T1204" s="6"/>
    </x:row>
    <x:row r="1205" ht="21" customHeight="1">
      <x:c r="A1205" s="14" t="n">
        <x:f>$V$33</x:f>
        <x:v>60020</x:v>
      </x:c>
      <x:c r="B1205" s="14" t="str">
        <x:f>$W$33</x:f>
        <x:v>小雪人</x:v>
      </x:c>
      <x:c r="C1205" s="6" t="str">
        <x:f>$X$33</x:f>
        <x:v>普通</x:v>
      </x:c>
      <x:c r="D1205" s="6">
        <x:v>43</x:v>
      </x:c>
      <x:c r="E1205" s="6">
        <x:v>33</x:v>
      </x:c>
      <x:c r="F1205" s="12">
        <x:f>ROUND(J1205*$W$4*H1205,0)</x:f>
        <x:v>12336</x:v>
      </x:c>
      <x:c r="G1205" s="12">
        <x:f>ROUND(J1205*$W$4*$W$5*I1205,0)</x:f>
        <x:v>3084</x:v>
      </x:c>
      <x:c r="H1205" s="11" t="n">
        <x:f>$Y$33</x:f>
        <x:v>1</x:v>
      </x:c>
      <x:c r="I1205" s="11" t="n">
        <x:f>$Z$33</x:f>
        <x:v>3.3333333333333335</x:v>
      </x:c>
      <x:c r="J1205" s="12">
        <x:f>英雄升级调参!$E$108</x:f>
        <x:v>3084</x:v>
      </x:c>
      <x:c r="K1205" s="12">
        <x:f>英雄升级调参!$F$108</x:f>
        <x:v>30840</x:v>
      </x:c>
      <x:c r="L1205" s="6" t="n">
        <x:f>ROUNDUP(F1205/J1205,0)</x:f>
        <x:v>4</x:v>
      </x:c>
      <x:c r="M1205" s="6" t="n">
        <x:f>IF(G1205=0,"无伤害",ROUNDUP(K1205/MAX(1,ROUND(G1205*$AC$33,0)),0))</x:f>
        <x:v>10</x:v>
      </x:c>
      <x:c r="N1205" s="6" t="n">
        <x:f>ROUNDUP(F1205/英雄升级调参!$H$108,0)</x:f>
        <x:v>3</x:v>
      </x:c>
      <x:c r="O1205" s="6" t="n">
        <x:f>ROUNDUP(F1205/英雄升级调参!$K$108,0)</x:f>
        <x:v>2</x:v>
      </x:c>
      <x:c r="P1205" s="6" t="str">
        <x:f>$AA$33</x:f>
        <x:v>普通：4次标准普攻击杀；10次主要攻击致死</x:v>
      </x:c>
      <x:c r="Q1205" s="6"/>
      <x:c r="R1205" s="6"/>
      <x:c r="S1205" s="6"/>
      <x:c r="T1205" s="6"/>
    </x:row>
    <x:row r="1206" ht="21" customHeight="1">
      <x:c r="A1206" s="14" t="n">
        <x:f>$V$33</x:f>
        <x:v>60020</x:v>
      </x:c>
      <x:c r="B1206" s="14" t="str">
        <x:f>$W$33</x:f>
        <x:v>小雪人</x:v>
      </x:c>
      <x:c r="C1206" s="6" t="str">
        <x:f>$X$33</x:f>
        <x:v>普通</x:v>
      </x:c>
      <x:c r="D1206" s="6">
        <x:v>44</x:v>
      </x:c>
      <x:c r="E1206" s="6">
        <x:v>33</x:v>
      </x:c>
      <x:c r="F1206" s="12">
        <x:f>ROUND(J1206*$W$4*H1206,0)</x:f>
        <x:v>12696</x:v>
      </x:c>
      <x:c r="G1206" s="12">
        <x:f>ROUND(J1206*$W$4*$W$5*I1206,0)</x:f>
        <x:v>3174</x:v>
      </x:c>
      <x:c r="H1206" s="11" t="n">
        <x:f>$Y$33</x:f>
        <x:v>1</x:v>
      </x:c>
      <x:c r="I1206" s="11" t="n">
        <x:f>$Z$33</x:f>
        <x:v>3.3333333333333335</x:v>
      </x:c>
      <x:c r="J1206" s="12">
        <x:f>英雄升级调参!$E$109</x:f>
        <x:v>3174</x:v>
      </x:c>
      <x:c r="K1206" s="12">
        <x:f>英雄升级调参!$F$109</x:f>
        <x:v>31740</x:v>
      </x:c>
      <x:c r="L1206" s="6" t="n">
        <x:f>ROUNDUP(F1206/J1206,0)</x:f>
        <x:v>4</x:v>
      </x:c>
      <x:c r="M1206" s="6" t="n">
        <x:f>IF(G1206=0,"无伤害",ROUNDUP(K1206/MAX(1,ROUND(G1206*$AC$33,0)),0))</x:f>
        <x:v>10</x:v>
      </x:c>
      <x:c r="N1206" s="6" t="n">
        <x:f>ROUNDUP(F1206/英雄升级调参!$H$109,0)</x:f>
        <x:v>3</x:v>
      </x:c>
      <x:c r="O1206" s="6" t="n">
        <x:f>ROUNDUP(F1206/英雄升级调参!$K$109,0)</x:f>
        <x:v>2</x:v>
      </x:c>
      <x:c r="P1206" s="6" t="str">
        <x:f>$AA$33</x:f>
        <x:v>普通：4次标准普攻击杀；10次主要攻击致死</x:v>
      </x:c>
      <x:c r="Q1206" s="6"/>
      <x:c r="R1206" s="6"/>
      <x:c r="S1206" s="6"/>
      <x:c r="T1206" s="6"/>
    </x:row>
    <x:row r="1207" ht="21" customHeight="1">
      <x:c r="A1207" s="14" t="n">
        <x:f>$V$33</x:f>
        <x:v>60020</x:v>
      </x:c>
      <x:c r="B1207" s="14" t="str">
        <x:f>$W$33</x:f>
        <x:v>小雪人</x:v>
      </x:c>
      <x:c r="C1207" s="6" t="str">
        <x:f>$X$33</x:f>
        <x:v>普通</x:v>
      </x:c>
      <x:c r="D1207" s="6">
        <x:v>45</x:v>
      </x:c>
      <x:c r="E1207" s="6">
        <x:v>33</x:v>
      </x:c>
      <x:c r="F1207" s="12">
        <x:f>ROUND(J1207*$W$4*H1207,0)</x:f>
        <x:v>13776</x:v>
      </x:c>
      <x:c r="G1207" s="12">
        <x:f>ROUND(J1207*$W$4*$W$5*I1207,0)</x:f>
        <x:v>3444</x:v>
      </x:c>
      <x:c r="H1207" s="11" t="n">
        <x:f>$Y$33</x:f>
        <x:v>1</x:v>
      </x:c>
      <x:c r="I1207" s="11" t="n">
        <x:f>$Z$33</x:f>
        <x:v>3.3333333333333335</x:v>
      </x:c>
      <x:c r="J1207" s="12">
        <x:f>英雄升级调参!$E$110</x:f>
        <x:v>3444</x:v>
      </x:c>
      <x:c r="K1207" s="12">
        <x:f>英雄升级调参!$F$110</x:f>
        <x:v>34440</x:v>
      </x:c>
      <x:c r="L1207" s="6" t="n">
        <x:f>ROUNDUP(F1207/J1207,0)</x:f>
        <x:v>4</x:v>
      </x:c>
      <x:c r="M1207" s="6" t="n">
        <x:f>IF(G1207=0,"无伤害",ROUNDUP(K1207/MAX(1,ROUND(G1207*$AC$33,0)),0))</x:f>
        <x:v>10</x:v>
      </x:c>
      <x:c r="N1207" s="6" t="n">
        <x:f>ROUNDUP(F1207/英雄升级调参!$H$110,0)</x:f>
        <x:v>3</x:v>
      </x:c>
      <x:c r="O1207" s="6" t="n">
        <x:f>ROUNDUP(F1207/英雄升级调参!$K$110,0)</x:f>
        <x:v>2</x:v>
      </x:c>
      <x:c r="P1207" s="6" t="str">
        <x:f>$AA$33</x:f>
        <x:v>普通：4次标准普攻击杀；10次主要攻击致死</x:v>
      </x:c>
      <x:c r="Q1207" s="6"/>
      <x:c r="R1207" s="6"/>
      <x:c r="S1207" s="6"/>
      <x:c r="T1207" s="6"/>
    </x:row>
    <x:row r="1208" ht="21" customHeight="1">
      <x:c r="A1208" s="14" t="n">
        <x:f>$V$33</x:f>
        <x:v>60020</x:v>
      </x:c>
      <x:c r="B1208" s="14" t="str">
        <x:f>$W$33</x:f>
        <x:v>小雪人</x:v>
      </x:c>
      <x:c r="C1208" s="6" t="str">
        <x:f>$X$33</x:f>
        <x:v>普通</x:v>
      </x:c>
      <x:c r="D1208" s="6">
        <x:v>46</x:v>
      </x:c>
      <x:c r="E1208" s="6">
        <x:v>33</x:v>
      </x:c>
      <x:c r="F1208" s="12">
        <x:f>ROUND(J1208*$W$4*H1208,0)</x:f>
        <x:v>14172</x:v>
      </x:c>
      <x:c r="G1208" s="12">
        <x:f>ROUND(J1208*$W$4*$W$5*I1208,0)</x:f>
        <x:v>3543</x:v>
      </x:c>
      <x:c r="H1208" s="11" t="n">
        <x:f>$Y$33</x:f>
        <x:v>1</x:v>
      </x:c>
      <x:c r="I1208" s="11" t="n">
        <x:f>$Z$33</x:f>
        <x:v>3.3333333333333335</x:v>
      </x:c>
      <x:c r="J1208" s="12">
        <x:f>英雄升级调参!$E$111</x:f>
        <x:v>3543</x:v>
      </x:c>
      <x:c r="K1208" s="12">
        <x:f>英雄升级调参!$F$111</x:f>
        <x:v>35430</x:v>
      </x:c>
      <x:c r="L1208" s="6" t="n">
        <x:f>ROUNDUP(F1208/J1208,0)</x:f>
        <x:v>4</x:v>
      </x:c>
      <x:c r="M1208" s="6" t="n">
        <x:f>IF(G1208=0,"无伤害",ROUNDUP(K1208/MAX(1,ROUND(G1208*$AC$33,0)),0))</x:f>
        <x:v>10</x:v>
      </x:c>
      <x:c r="N1208" s="6" t="n">
        <x:f>ROUNDUP(F1208/英雄升级调参!$H$111,0)</x:f>
        <x:v>3</x:v>
      </x:c>
      <x:c r="O1208" s="6" t="n">
        <x:f>ROUNDUP(F1208/英雄升级调参!$K$111,0)</x:f>
        <x:v>2</x:v>
      </x:c>
      <x:c r="P1208" s="6" t="str">
        <x:f>$AA$33</x:f>
        <x:v>普通：4次标准普攻击杀；10次主要攻击致死</x:v>
      </x:c>
      <x:c r="Q1208" s="6"/>
      <x:c r="R1208" s="6"/>
      <x:c r="S1208" s="6"/>
      <x:c r="T1208" s="6"/>
    </x:row>
    <x:row r="1209" ht="21" customHeight="1">
      <x:c r="A1209" s="14" t="n">
        <x:f>$V$33</x:f>
        <x:v>60020</x:v>
      </x:c>
      <x:c r="B1209" s="14" t="str">
        <x:f>$W$33</x:f>
        <x:v>小雪人</x:v>
      </x:c>
      <x:c r="C1209" s="6" t="str">
        <x:f>$X$33</x:f>
        <x:v>普通</x:v>
      </x:c>
      <x:c r="D1209" s="6">
        <x:v>47</x:v>
      </x:c>
      <x:c r="E1209" s="6">
        <x:v>33</x:v>
      </x:c>
      <x:c r="F1209" s="12">
        <x:f>ROUND(J1209*$W$4*H1209,0)</x:f>
        <x:v>14568</x:v>
      </x:c>
      <x:c r="G1209" s="12">
        <x:f>ROUND(J1209*$W$4*$W$5*I1209,0)</x:f>
        <x:v>3642</x:v>
      </x:c>
      <x:c r="H1209" s="11" t="n">
        <x:f>$Y$33</x:f>
        <x:v>1</x:v>
      </x:c>
      <x:c r="I1209" s="11" t="n">
        <x:f>$Z$33</x:f>
        <x:v>3.3333333333333335</x:v>
      </x:c>
      <x:c r="J1209" s="12">
        <x:f>英雄升级调参!$E$112</x:f>
        <x:v>3642</x:v>
      </x:c>
      <x:c r="K1209" s="12">
        <x:f>英雄升级调参!$F$112</x:f>
        <x:v>36420</x:v>
      </x:c>
      <x:c r="L1209" s="6" t="n">
        <x:f>ROUNDUP(F1209/J1209,0)</x:f>
        <x:v>4</x:v>
      </x:c>
      <x:c r="M1209" s="6" t="n">
        <x:f>IF(G1209=0,"无伤害",ROUNDUP(K1209/MAX(1,ROUND(G1209*$AC$33,0)),0))</x:f>
        <x:v>10</x:v>
      </x:c>
      <x:c r="N1209" s="6" t="n">
        <x:f>ROUNDUP(F1209/英雄升级调参!$H$112,0)</x:f>
        <x:v>3</x:v>
      </x:c>
      <x:c r="O1209" s="6" t="n">
        <x:f>ROUNDUP(F1209/英雄升级调参!$K$112,0)</x:f>
        <x:v>2</x:v>
      </x:c>
      <x:c r="P1209" s="6" t="str">
        <x:f>$AA$33</x:f>
        <x:v>普通：4次标准普攻击杀；10次主要攻击致死</x:v>
      </x:c>
      <x:c r="Q1209" s="6"/>
      <x:c r="R1209" s="6"/>
      <x:c r="S1209" s="6"/>
      <x:c r="T1209" s="6"/>
    </x:row>
    <x:row r="1210" ht="21" customHeight="1">
      <x:c r="A1210" s="14" t="n">
        <x:f>$V$33</x:f>
        <x:v>60020</x:v>
      </x:c>
      <x:c r="B1210" s="14" t="str">
        <x:f>$W$33</x:f>
        <x:v>小雪人</x:v>
      </x:c>
      <x:c r="C1210" s="6" t="str">
        <x:f>$X$33</x:f>
        <x:v>普通</x:v>
      </x:c>
      <x:c r="D1210" s="6">
        <x:v>48</x:v>
      </x:c>
      <x:c r="E1210" s="6">
        <x:v>33</x:v>
      </x:c>
      <x:c r="F1210" s="12">
        <x:f>ROUND(J1210*$W$4*H1210,0)</x:f>
        <x:v>14964</x:v>
      </x:c>
      <x:c r="G1210" s="12">
        <x:f>ROUND(J1210*$W$4*$W$5*I1210,0)</x:f>
        <x:v>3741</x:v>
      </x:c>
      <x:c r="H1210" s="11" t="n">
        <x:f>$Y$33</x:f>
        <x:v>1</x:v>
      </x:c>
      <x:c r="I1210" s="11" t="n">
        <x:f>$Z$33</x:f>
        <x:v>3.3333333333333335</x:v>
      </x:c>
      <x:c r="J1210" s="12">
        <x:f>英雄升级调参!$E$113</x:f>
        <x:v>3741</x:v>
      </x:c>
      <x:c r="K1210" s="12">
        <x:f>英雄升级调参!$F$113</x:f>
        <x:v>37410</x:v>
      </x:c>
      <x:c r="L1210" s="6" t="n">
        <x:f>ROUNDUP(F1210/J1210,0)</x:f>
        <x:v>4</x:v>
      </x:c>
      <x:c r="M1210" s="6" t="n">
        <x:f>IF(G1210=0,"无伤害",ROUNDUP(K1210/MAX(1,ROUND(G1210*$AC$33,0)),0))</x:f>
        <x:v>10</x:v>
      </x:c>
      <x:c r="N1210" s="6" t="n">
        <x:f>ROUNDUP(F1210/英雄升级调参!$H$113,0)</x:f>
        <x:v>3</x:v>
      </x:c>
      <x:c r="O1210" s="6" t="n">
        <x:f>ROUNDUP(F1210/英雄升级调参!$K$113,0)</x:f>
        <x:v>2</x:v>
      </x:c>
      <x:c r="P1210" s="6" t="str">
        <x:f>$AA$33</x:f>
        <x:v>普通：4次标准普攻击杀；10次主要攻击致死</x:v>
      </x:c>
      <x:c r="Q1210" s="6"/>
      <x:c r="R1210" s="6"/>
      <x:c r="S1210" s="6"/>
      <x:c r="T1210" s="6"/>
    </x:row>
    <x:row r="1211" ht="21" customHeight="1">
      <x:c r="A1211" s="14" t="n">
        <x:f>$V$33</x:f>
        <x:v>60020</x:v>
      </x:c>
      <x:c r="B1211" s="14" t="str">
        <x:f>$W$33</x:f>
        <x:v>小雪人</x:v>
      </x:c>
      <x:c r="C1211" s="6" t="str">
        <x:f>$X$33</x:f>
        <x:v>普通</x:v>
      </x:c>
      <x:c r="D1211" s="6">
        <x:v>49</x:v>
      </x:c>
      <x:c r="E1211" s="6">
        <x:v>33</x:v>
      </x:c>
      <x:c r="F1211" s="12">
        <x:f>ROUND(J1211*$W$4*H1211,0)</x:f>
        <x:v>15360</x:v>
      </x:c>
      <x:c r="G1211" s="12">
        <x:f>ROUND(J1211*$W$4*$W$5*I1211,0)</x:f>
        <x:v>3840</x:v>
      </x:c>
      <x:c r="H1211" s="11" t="n">
        <x:f>$Y$33</x:f>
        <x:v>1</x:v>
      </x:c>
      <x:c r="I1211" s="11" t="n">
        <x:f>$Z$33</x:f>
        <x:v>3.3333333333333335</x:v>
      </x:c>
      <x:c r="J1211" s="12">
        <x:f>英雄升级调参!$E$114</x:f>
        <x:v>3840</x:v>
      </x:c>
      <x:c r="K1211" s="12">
        <x:f>英雄升级调参!$F$114</x:f>
        <x:v>38400</x:v>
      </x:c>
      <x:c r="L1211" s="6" t="n">
        <x:f>ROUNDUP(F1211/J1211,0)</x:f>
        <x:v>4</x:v>
      </x:c>
      <x:c r="M1211" s="6" t="n">
        <x:f>IF(G1211=0,"无伤害",ROUNDUP(K1211/MAX(1,ROUND(G1211*$AC$33,0)),0))</x:f>
        <x:v>10</x:v>
      </x:c>
      <x:c r="N1211" s="6" t="n">
        <x:f>ROUNDUP(F1211/英雄升级调参!$H$114,0)</x:f>
        <x:v>3</x:v>
      </x:c>
      <x:c r="O1211" s="6" t="n">
        <x:f>ROUNDUP(F1211/英雄升级调参!$K$114,0)</x:f>
        <x:v>2</x:v>
      </x:c>
      <x:c r="P1211" s="6" t="str">
        <x:f>$AA$33</x:f>
        <x:v>普通：4次标准普攻击杀；10次主要攻击致死</x:v>
      </x:c>
      <x:c r="Q1211" s="6"/>
      <x:c r="R1211" s="6"/>
      <x:c r="S1211" s="6"/>
      <x:c r="T1211" s="6"/>
    </x:row>
    <x:row r="1212" ht="21" customHeight="1">
      <x:c r="A1212" s="14" t="n">
        <x:f>$V$33</x:f>
        <x:v>60020</x:v>
      </x:c>
      <x:c r="B1212" s="14" t="str">
        <x:f>$W$33</x:f>
        <x:v>小雪人</x:v>
      </x:c>
      <x:c r="C1212" s="6" t="str">
        <x:f>$X$33</x:f>
        <x:v>普通</x:v>
      </x:c>
      <x:c r="D1212" s="6">
        <x:v>50</x:v>
      </x:c>
      <x:c r="E1212" s="6">
        <x:v>33</x:v>
      </x:c>
      <x:c r="F1212" s="12">
        <x:f>ROUND(J1212*$W$4*H1212,0)</x:f>
        <x:v>16548</x:v>
      </x:c>
      <x:c r="G1212" s="12">
        <x:f>ROUND(J1212*$W$4*$W$5*I1212,0)</x:f>
        <x:v>4137</x:v>
      </x:c>
      <x:c r="H1212" s="11" t="n">
        <x:f>$Y$33</x:f>
        <x:v>1</x:v>
      </x:c>
      <x:c r="I1212" s="11" t="n">
        <x:f>$Z$33</x:f>
        <x:v>3.3333333333333335</x:v>
      </x:c>
      <x:c r="J1212" s="12">
        <x:f>英雄升级调参!$E$115</x:f>
        <x:v>4137</x:v>
      </x:c>
      <x:c r="K1212" s="12">
        <x:f>英雄升级调参!$F$115</x:f>
        <x:v>41370</x:v>
      </x:c>
      <x:c r="L1212" s="6" t="n">
        <x:f>ROUNDUP(F1212/J1212,0)</x:f>
        <x:v>4</x:v>
      </x:c>
      <x:c r="M1212" s="6" t="n">
        <x:f>IF(G1212=0,"无伤害",ROUNDUP(K1212/MAX(1,ROUND(G1212*$AC$33,0)),0))</x:f>
        <x:v>10</x:v>
      </x:c>
      <x:c r="N1212" s="6" t="n">
        <x:f>ROUNDUP(F1212/英雄升级调参!$H$115,0)</x:f>
        <x:v>3</x:v>
      </x:c>
      <x:c r="O1212" s="6" t="n">
        <x:f>ROUNDUP(F1212/英雄升级调参!$K$115,0)</x:f>
        <x:v>2</x:v>
      </x:c>
      <x:c r="P1212" s="6" t="str">
        <x:f>$AA$33</x:f>
        <x:v>普通：4次标准普攻击杀；10次主要攻击致死</x:v>
      </x:c>
      <x:c r="Q1212" s="6"/>
      <x:c r="R1212" s="6"/>
      <x:c r="S1212" s="6"/>
      <x:c r="T1212" s="6"/>
    </x:row>
    <x:row r="1213" ht="21" customHeight="1">
      <x:c r="A1213" s="14" t="n">
        <x:f>$V$34</x:f>
        <x:v>60021</x:v>
      </x:c>
      <x:c r="B1213" s="14" t="str">
        <x:f>$W$34</x:f>
        <x:v>草莓雪球怪</x:v>
      </x:c>
      <x:c r="C1213" s="6" t="str">
        <x:f>$X$34</x:f>
        <x:v>中等</x:v>
      </x:c>
      <x:c r="D1213" s="6">
        <x:v>1</x:v>
      </x:c>
      <x:c r="E1213" s="6">
        <x:v>34</x:v>
      </x:c>
      <x:c r="F1213" s="12" t="n">
        <x:f>ROUND(J1213*$W$4*H1213,0)</x:f>
        <x:v>240</x:v>
      </x:c>
      <x:c r="G1213" s="12" t="n">
        <x:f>ROUND(J1213*$W$4*$W$5*I1213,0)</x:f>
        <x:v>60</x:v>
      </x:c>
      <x:c r="H1213" s="11" t="n">
        <x:f>$Y$34</x:f>
        <x:v>1</x:v>
      </x:c>
      <x:c r="I1213" s="11" t="n">
        <x:f>$Z$34</x:f>
        <x:v>3.3333333333333335</x:v>
      </x:c>
      <x:c r="J1213" s="12" t="n">
        <x:f>英雄升级调参!$E$66</x:f>
        <x:v>60</x:v>
      </x:c>
      <x:c r="K1213" s="12" t="n">
        <x:f>英雄升级调参!$F$66</x:f>
        <x:v>600</x:v>
      </x:c>
      <x:c r="L1213" s="6" t="n">
        <x:f>ROUNDUP(F1213/J1213,0)</x:f>
        <x:v>4</x:v>
      </x:c>
      <x:c r="M1213" s="6" t="n">
        <x:f>IF(G1213=0,"无伤害",ROUNDUP(K1213/MAX(1,ROUND(G1213*$AC$34,0)),0))</x:f>
        <x:v>10</x:v>
      </x:c>
      <x:c r="N1213" s="6">
        <x:f>ROUNDUP(F1213/英雄升级调参!$H$66,0)</x:f>
        <x:v>2</x:v>
      </x:c>
      <x:c r="O1213" s="6">
        <x:f>ROUNDUP(F1213/英雄升级调参!$K$66,0)</x:f>
        <x:v>1</x:v>
      </x:c>
      <x:c r="P1213" s="6" t="str">
        <x:f>$AA$34</x:f>
        <x:v>普通：4次标准普攻击杀；10次主要攻击致死</x:v>
      </x:c>
      <x:c r="Q1213" s="6"/>
      <x:c r="R1213" s="6"/>
      <x:c r="S1213" s="6"/>
      <x:c r="T1213" s="6"/>
    </x:row>
    <x:row r="1214" ht="21" customHeight="1">
      <x:c r="A1214" s="14" t="n">
        <x:f>$V$34</x:f>
        <x:v>60021</x:v>
      </x:c>
      <x:c r="B1214" s="14" t="str">
        <x:f>$W$34</x:f>
        <x:v>草莓雪球怪</x:v>
      </x:c>
      <x:c r="C1214" s="6" t="str">
        <x:f>$X$34</x:f>
        <x:v>中等</x:v>
      </x:c>
      <x:c r="D1214" s="6">
        <x:v>2</x:v>
      </x:c>
      <x:c r="E1214" s="6">
        <x:v>34</x:v>
      </x:c>
      <x:c r="F1214" s="12">
        <x:f>ROUND(J1214*$W$4*H1214,0)</x:f>
        <x:v>312</x:v>
      </x:c>
      <x:c r="G1214" s="12">
        <x:f>ROUND(J1214*$W$4*$W$5*I1214,0)</x:f>
        <x:v>78</x:v>
      </x:c>
      <x:c r="H1214" s="11" t="n">
        <x:f>$Y$34</x:f>
        <x:v>1</x:v>
      </x:c>
      <x:c r="I1214" s="11" t="n">
        <x:f>$Z$34</x:f>
        <x:v>3.3333333333333335</x:v>
      </x:c>
      <x:c r="J1214" s="12">
        <x:f>英雄升级调参!$E$67</x:f>
        <x:v>78</x:v>
      </x:c>
      <x:c r="K1214" s="12">
        <x:f>英雄升级调参!$F$67</x:f>
        <x:v>780</x:v>
      </x:c>
      <x:c r="L1214" s="6" t="n">
        <x:f>ROUNDUP(F1214/J1214,0)</x:f>
        <x:v>4</x:v>
      </x:c>
      <x:c r="M1214" s="6" t="n">
        <x:f>IF(G1214=0,"无伤害",ROUNDUP(K1214/MAX(1,ROUND(G1214*$AC$34,0)),0))</x:f>
        <x:v>10</x:v>
      </x:c>
      <x:c r="N1214" s="6">
        <x:f>ROUNDUP(F1214/英雄升级调参!$H$67,0)</x:f>
        <x:v>2</x:v>
      </x:c>
      <x:c r="O1214" s="6">
        <x:f>ROUNDUP(F1214/英雄升级调参!$K$67,0)</x:f>
        <x:v>1</x:v>
      </x:c>
      <x:c r="P1214" s="6" t="str">
        <x:f>$AA$34</x:f>
        <x:v>普通：4次标准普攻击杀；10次主要攻击致死</x:v>
      </x:c>
      <x:c r="Q1214" s="6"/>
      <x:c r="R1214" s="6"/>
      <x:c r="S1214" s="6"/>
      <x:c r="T1214" s="6"/>
    </x:row>
    <x:row r="1215" ht="21" customHeight="1">
      <x:c r="A1215" s="14" t="n">
        <x:f>$V$34</x:f>
        <x:v>60021</x:v>
      </x:c>
      <x:c r="B1215" s="14" t="str">
        <x:f>$W$34</x:f>
        <x:v>草莓雪球怪</x:v>
      </x:c>
      <x:c r="C1215" s="6" t="str">
        <x:f>$X$34</x:f>
        <x:v>中等</x:v>
      </x:c>
      <x:c r="D1215" s="6">
        <x:v>3</x:v>
      </x:c>
      <x:c r="E1215" s="6">
        <x:v>34</x:v>
      </x:c>
      <x:c r="F1215" s="12">
        <x:f>ROUND(J1215*$W$4*H1215,0)</x:f>
        <x:v>384</x:v>
      </x:c>
      <x:c r="G1215" s="12">
        <x:f>ROUND(J1215*$W$4*$W$5*I1215,0)</x:f>
        <x:v>96</x:v>
      </x:c>
      <x:c r="H1215" s="11" t="n">
        <x:f>$Y$34</x:f>
        <x:v>1</x:v>
      </x:c>
      <x:c r="I1215" s="11" t="n">
        <x:f>$Z$34</x:f>
        <x:v>3.3333333333333335</x:v>
      </x:c>
      <x:c r="J1215" s="12">
        <x:f>英雄升级调参!$E$68</x:f>
        <x:v>96</x:v>
      </x:c>
      <x:c r="K1215" s="12">
        <x:f>英雄升级调参!$F$68</x:f>
        <x:v>960</x:v>
      </x:c>
      <x:c r="L1215" s="6" t="n">
        <x:f>ROUNDUP(F1215/J1215,0)</x:f>
        <x:v>4</x:v>
      </x:c>
      <x:c r="M1215" s="6" t="n">
        <x:f>IF(G1215=0,"无伤害",ROUNDUP(K1215/MAX(1,ROUND(G1215*$AC$34,0)),0))</x:f>
        <x:v>10</x:v>
      </x:c>
      <x:c r="N1215" s="6">
        <x:f>ROUNDUP(F1215/英雄升级调参!$H$68,0)</x:f>
        <x:v>2</x:v>
      </x:c>
      <x:c r="O1215" s="6">
        <x:f>ROUNDUP(F1215/英雄升级调参!$K$68,0)</x:f>
        <x:v>1</x:v>
      </x:c>
      <x:c r="P1215" s="6" t="str">
        <x:f>$AA$34</x:f>
        <x:v>普通：4次标准普攻击杀；10次主要攻击致死</x:v>
      </x:c>
      <x:c r="Q1215" s="6"/>
      <x:c r="R1215" s="6"/>
      <x:c r="S1215" s="6"/>
      <x:c r="T1215" s="6"/>
    </x:row>
    <x:row r="1216" ht="21" customHeight="1">
      <x:c r="A1216" s="14" t="n">
        <x:f>$V$34</x:f>
        <x:v>60021</x:v>
      </x:c>
      <x:c r="B1216" s="14" t="str">
        <x:f>$W$34</x:f>
        <x:v>草莓雪球怪</x:v>
      </x:c>
      <x:c r="C1216" s="6" t="str">
        <x:f>$X$34</x:f>
        <x:v>中等</x:v>
      </x:c>
      <x:c r="D1216" s="6">
        <x:v>4</x:v>
      </x:c>
      <x:c r="E1216" s="6">
        <x:v>34</x:v>
      </x:c>
      <x:c r="F1216" s="12">
        <x:f>ROUND(J1216*$W$4*H1216,0)</x:f>
        <x:v>456</x:v>
      </x:c>
      <x:c r="G1216" s="12">
        <x:f>ROUND(J1216*$W$4*$W$5*I1216,0)</x:f>
        <x:v>114</x:v>
      </x:c>
      <x:c r="H1216" s="11" t="n">
        <x:f>$Y$34</x:f>
        <x:v>1</x:v>
      </x:c>
      <x:c r="I1216" s="11" t="n">
        <x:f>$Z$34</x:f>
        <x:v>3.3333333333333335</x:v>
      </x:c>
      <x:c r="J1216" s="12">
        <x:f>英雄升级调参!$E$69</x:f>
        <x:v>114</x:v>
      </x:c>
      <x:c r="K1216" s="12">
        <x:f>英雄升级调参!$F$69</x:f>
        <x:v>1140</x:v>
      </x:c>
      <x:c r="L1216" s="6" t="n">
        <x:f>ROUNDUP(F1216/J1216,0)</x:f>
        <x:v>4</x:v>
      </x:c>
      <x:c r="M1216" s="6" t="n">
        <x:f>IF(G1216=0,"无伤害",ROUNDUP(K1216/MAX(1,ROUND(G1216*$AC$34,0)),0))</x:f>
        <x:v>10</x:v>
      </x:c>
      <x:c r="N1216" s="6">
        <x:f>ROUNDUP(F1216/英雄升级调参!$H$69,0)</x:f>
        <x:v>2</x:v>
      </x:c>
      <x:c r="O1216" s="6">
        <x:f>ROUNDUP(F1216/英雄升级调参!$K$69,0)</x:f>
        <x:v>1</x:v>
      </x:c>
      <x:c r="P1216" s="6" t="str">
        <x:f>$AA$34</x:f>
        <x:v>普通：4次标准普攻击杀；10次主要攻击致死</x:v>
      </x:c>
      <x:c r="Q1216" s="6"/>
      <x:c r="R1216" s="6"/>
      <x:c r="S1216" s="6"/>
      <x:c r="T1216" s="6"/>
    </x:row>
    <x:row r="1217" ht="21" customHeight="1">
      <x:c r="A1217" s="14" t="n">
        <x:f>$V$34</x:f>
        <x:v>60021</x:v>
      </x:c>
      <x:c r="B1217" s="14" t="str">
        <x:f>$W$34</x:f>
        <x:v>草莓雪球怪</x:v>
      </x:c>
      <x:c r="C1217" s="6" t="str">
        <x:f>$X$34</x:f>
        <x:v>中等</x:v>
      </x:c>
      <x:c r="D1217" s="6">
        <x:v>5</x:v>
      </x:c>
      <x:c r="E1217" s="6">
        <x:v>34</x:v>
      </x:c>
      <x:c r="F1217" s="12">
        <x:f>ROUND(J1217*$W$4*H1217,0)</x:f>
        <x:v>672</x:v>
      </x:c>
      <x:c r="G1217" s="12">
        <x:f>ROUND(J1217*$W$4*$W$5*I1217,0)</x:f>
        <x:v>168</x:v>
      </x:c>
      <x:c r="H1217" s="11" t="n">
        <x:f>$Y$34</x:f>
        <x:v>1</x:v>
      </x:c>
      <x:c r="I1217" s="11" t="n">
        <x:f>$Z$34</x:f>
        <x:v>3.3333333333333335</x:v>
      </x:c>
      <x:c r="J1217" s="12">
        <x:f>英雄升级调参!$E$70</x:f>
        <x:v>168</x:v>
      </x:c>
      <x:c r="K1217" s="12">
        <x:f>英雄升级调参!$F$70</x:f>
        <x:v>1680</x:v>
      </x:c>
      <x:c r="L1217" s="6" t="n">
        <x:f>ROUNDUP(F1217/J1217,0)</x:f>
        <x:v>4</x:v>
      </x:c>
      <x:c r="M1217" s="6" t="n">
        <x:f>IF(G1217=0,"无伤害",ROUNDUP(K1217/MAX(1,ROUND(G1217*$AC$34,0)),0))</x:f>
        <x:v>10</x:v>
      </x:c>
      <x:c r="N1217" s="6">
        <x:f>ROUNDUP(F1217/英雄升级调参!$H$70,0)</x:f>
        <x:v>2</x:v>
      </x:c>
      <x:c r="O1217" s="6" t="n">
        <x:f>ROUNDUP(F1217/英雄升级调参!$K$70,0)</x:f>
        <x:v>2</x:v>
      </x:c>
      <x:c r="P1217" s="6" t="str">
        <x:f>$AA$34</x:f>
        <x:v>普通：4次标准普攻击杀；10次主要攻击致死</x:v>
      </x:c>
      <x:c r="Q1217" s="6"/>
      <x:c r="R1217" s="6"/>
      <x:c r="S1217" s="6"/>
      <x:c r="T1217" s="6"/>
    </x:row>
    <x:row r="1218" ht="21" customHeight="1">
      <x:c r="A1218" s="14" t="n">
        <x:f>$V$34</x:f>
        <x:v>60021</x:v>
      </x:c>
      <x:c r="B1218" s="14" t="str">
        <x:f>$W$34</x:f>
        <x:v>草莓雪球怪</x:v>
      </x:c>
      <x:c r="C1218" s="6" t="str">
        <x:f>$X$34</x:f>
        <x:v>中等</x:v>
      </x:c>
      <x:c r="D1218" s="6">
        <x:v>6</x:v>
      </x:c>
      <x:c r="E1218" s="6">
        <x:v>34</x:v>
      </x:c>
      <x:c r="F1218" s="12">
        <x:f>ROUND(J1218*$W$4*H1218,0)</x:f>
        <x:v>780</x:v>
      </x:c>
      <x:c r="G1218" s="12">
        <x:f>ROUND(J1218*$W$4*$W$5*I1218,0)</x:f>
        <x:v>195</x:v>
      </x:c>
      <x:c r="H1218" s="11" t="n">
        <x:f>$Y$34</x:f>
        <x:v>1</x:v>
      </x:c>
      <x:c r="I1218" s="11" t="n">
        <x:f>$Z$34</x:f>
        <x:v>3.3333333333333335</x:v>
      </x:c>
      <x:c r="J1218" s="12">
        <x:f>英雄升级调参!$E$71</x:f>
        <x:v>195</x:v>
      </x:c>
      <x:c r="K1218" s="12">
        <x:f>英雄升级调参!$F$71</x:f>
        <x:v>1950</x:v>
      </x:c>
      <x:c r="L1218" s="6" t="n">
        <x:f>ROUNDUP(F1218/J1218,0)</x:f>
        <x:v>4</x:v>
      </x:c>
      <x:c r="M1218" s="6" t="n">
        <x:f>IF(G1218=0,"无伤害",ROUNDUP(K1218/MAX(1,ROUND(G1218*$AC$34,0)),0))</x:f>
        <x:v>10</x:v>
      </x:c>
      <x:c r="N1218" s="6">
        <x:f>ROUNDUP(F1218/英雄升级调参!$H$71,0)</x:f>
        <x:v>2</x:v>
      </x:c>
      <x:c r="O1218" s="6" t="n">
        <x:f>ROUNDUP(F1218/英雄升级调参!$K$71,0)</x:f>
        <x:v>2</x:v>
      </x:c>
      <x:c r="P1218" s="6" t="str">
        <x:f>$AA$34</x:f>
        <x:v>普通：4次标准普攻击杀；10次主要攻击致死</x:v>
      </x:c>
      <x:c r="Q1218" s="6"/>
      <x:c r="R1218" s="6"/>
      <x:c r="S1218" s="6"/>
      <x:c r="T1218" s="6"/>
    </x:row>
    <x:row r="1219" ht="21" customHeight="1">
      <x:c r="A1219" s="14" t="n">
        <x:f>$V$34</x:f>
        <x:v>60021</x:v>
      </x:c>
      <x:c r="B1219" s="14" t="str">
        <x:f>$W$34</x:f>
        <x:v>草莓雪球怪</x:v>
      </x:c>
      <x:c r="C1219" s="6" t="str">
        <x:f>$X$34</x:f>
        <x:v>中等</x:v>
      </x:c>
      <x:c r="D1219" s="6">
        <x:v>7</x:v>
      </x:c>
      <x:c r="E1219" s="6">
        <x:v>34</x:v>
      </x:c>
      <x:c r="F1219" s="12">
        <x:f>ROUND(J1219*$W$4*H1219,0)</x:f>
        <x:v>888</x:v>
      </x:c>
      <x:c r="G1219" s="12">
        <x:f>ROUND(J1219*$W$4*$W$5*I1219,0)</x:f>
        <x:v>222</x:v>
      </x:c>
      <x:c r="H1219" s="11" t="n">
        <x:f>$Y$34</x:f>
        <x:v>1</x:v>
      </x:c>
      <x:c r="I1219" s="11" t="n">
        <x:f>$Z$34</x:f>
        <x:v>3.3333333333333335</x:v>
      </x:c>
      <x:c r="J1219" s="12">
        <x:f>英雄升级调参!$E$72</x:f>
        <x:v>222</x:v>
      </x:c>
      <x:c r="K1219" s="12">
        <x:f>英雄升级调参!$F$72</x:f>
        <x:v>2220</x:v>
      </x:c>
      <x:c r="L1219" s="6" t="n">
        <x:f>ROUNDUP(F1219/J1219,0)</x:f>
        <x:v>4</x:v>
      </x:c>
      <x:c r="M1219" s="6" t="n">
        <x:f>IF(G1219=0,"无伤害",ROUNDUP(K1219/MAX(1,ROUND(G1219*$AC$34,0)),0))</x:f>
        <x:v>10</x:v>
      </x:c>
      <x:c r="N1219" s="6" t="n">
        <x:f>ROUNDUP(F1219/英雄升级调参!$H$72,0)</x:f>
        <x:v>3</x:v>
      </x:c>
      <x:c r="O1219" s="6" t="n">
        <x:f>ROUNDUP(F1219/英雄升级调参!$K$72,0)</x:f>
        <x:v>2</x:v>
      </x:c>
      <x:c r="P1219" s="6" t="str">
        <x:f>$AA$34</x:f>
        <x:v>普通：4次标准普攻击杀；10次主要攻击致死</x:v>
      </x:c>
      <x:c r="Q1219" s="6"/>
      <x:c r="R1219" s="6"/>
      <x:c r="S1219" s="6"/>
      <x:c r="T1219" s="6"/>
    </x:row>
    <x:row r="1220" ht="21" customHeight="1">
      <x:c r="A1220" s="14" t="n">
        <x:f>$V$34</x:f>
        <x:v>60021</x:v>
      </x:c>
      <x:c r="B1220" s="14" t="str">
        <x:f>$W$34</x:f>
        <x:v>草莓雪球怪</x:v>
      </x:c>
      <x:c r="C1220" s="6" t="str">
        <x:f>$X$34</x:f>
        <x:v>中等</x:v>
      </x:c>
      <x:c r="D1220" s="6">
        <x:v>8</x:v>
      </x:c>
      <x:c r="E1220" s="6">
        <x:v>34</x:v>
      </x:c>
      <x:c r="F1220" s="12">
        <x:f>ROUND(J1220*$W$4*H1220,0)</x:f>
        <x:v>996</x:v>
      </x:c>
      <x:c r="G1220" s="12">
        <x:f>ROUND(J1220*$W$4*$W$5*I1220,0)</x:f>
        <x:v>249</x:v>
      </x:c>
      <x:c r="H1220" s="11" t="n">
        <x:f>$Y$34</x:f>
        <x:v>1</x:v>
      </x:c>
      <x:c r="I1220" s="11" t="n">
        <x:f>$Z$34</x:f>
        <x:v>3.3333333333333335</x:v>
      </x:c>
      <x:c r="J1220" s="12">
        <x:f>英雄升级调参!$E$73</x:f>
        <x:v>249</x:v>
      </x:c>
      <x:c r="K1220" s="12">
        <x:f>英雄升级调参!$F$73</x:f>
        <x:v>2490</x:v>
      </x:c>
      <x:c r="L1220" s="6" t="n">
        <x:f>ROUNDUP(F1220/J1220,0)</x:f>
        <x:v>4</x:v>
      </x:c>
      <x:c r="M1220" s="6" t="n">
        <x:f>IF(G1220=0,"无伤害",ROUNDUP(K1220/MAX(1,ROUND(G1220*$AC$34,0)),0))</x:f>
        <x:v>10</x:v>
      </x:c>
      <x:c r="N1220" s="6" t="n">
        <x:f>ROUNDUP(F1220/英雄升级调参!$H$73,0)</x:f>
        <x:v>3</x:v>
      </x:c>
      <x:c r="O1220" s="6" t="n">
        <x:f>ROUNDUP(F1220/英雄升级调参!$K$73,0)</x:f>
        <x:v>2</x:v>
      </x:c>
      <x:c r="P1220" s="6" t="str">
        <x:f>$AA$34</x:f>
        <x:v>普通：4次标准普攻击杀；10次主要攻击致死</x:v>
      </x:c>
      <x:c r="Q1220" s="6"/>
      <x:c r="R1220" s="6"/>
      <x:c r="S1220" s="6"/>
      <x:c r="T1220" s="6"/>
    </x:row>
    <x:row r="1221" ht="21" customHeight="1">
      <x:c r="A1221" s="14" t="n">
        <x:f>$V$34</x:f>
        <x:v>60021</x:v>
      </x:c>
      <x:c r="B1221" s="14" t="str">
        <x:f>$W$34</x:f>
        <x:v>草莓雪球怪</x:v>
      </x:c>
      <x:c r="C1221" s="6" t="str">
        <x:f>$X$34</x:f>
        <x:v>中等</x:v>
      </x:c>
      <x:c r="D1221" s="6">
        <x:v>9</x:v>
      </x:c>
      <x:c r="E1221" s="6">
        <x:v>34</x:v>
      </x:c>
      <x:c r="F1221" s="12">
        <x:f>ROUND(J1221*$W$4*H1221,0)</x:f>
        <x:v>1104</x:v>
      </x:c>
      <x:c r="G1221" s="12">
        <x:f>ROUND(J1221*$W$4*$W$5*I1221,0)</x:f>
        <x:v>276</x:v>
      </x:c>
      <x:c r="H1221" s="11" t="n">
        <x:f>$Y$34</x:f>
        <x:v>1</x:v>
      </x:c>
      <x:c r="I1221" s="11" t="n">
        <x:f>$Z$34</x:f>
        <x:v>3.3333333333333335</x:v>
      </x:c>
      <x:c r="J1221" s="12">
        <x:f>英雄升级调参!$E$74</x:f>
        <x:v>276</x:v>
      </x:c>
      <x:c r="K1221" s="12">
        <x:f>英雄升级调参!$F$74</x:f>
        <x:v>2760</x:v>
      </x:c>
      <x:c r="L1221" s="6" t="n">
        <x:f>ROUNDUP(F1221/J1221,0)</x:f>
        <x:v>4</x:v>
      </x:c>
      <x:c r="M1221" s="6" t="n">
        <x:f>IF(G1221=0,"无伤害",ROUNDUP(K1221/MAX(1,ROUND(G1221*$AC$34,0)),0))</x:f>
        <x:v>10</x:v>
      </x:c>
      <x:c r="N1221" s="6" t="n">
        <x:f>ROUNDUP(F1221/英雄升级调参!$H$74,0)</x:f>
        <x:v>3</x:v>
      </x:c>
      <x:c r="O1221" s="6" t="n">
        <x:f>ROUNDUP(F1221/英雄升级调参!$K$74,0)</x:f>
        <x:v>2</x:v>
      </x:c>
      <x:c r="P1221" s="6" t="str">
        <x:f>$AA$34</x:f>
        <x:v>普通：4次标准普攻击杀；10次主要攻击致死</x:v>
      </x:c>
      <x:c r="Q1221" s="6"/>
      <x:c r="R1221" s="6"/>
      <x:c r="S1221" s="6"/>
      <x:c r="T1221" s="6"/>
    </x:row>
    <x:row r="1222" ht="21" customHeight="1">
      <x:c r="A1222" s="14" t="n">
        <x:f>$V$34</x:f>
        <x:v>60021</x:v>
      </x:c>
      <x:c r="B1222" s="14" t="str">
        <x:f>$W$34</x:f>
        <x:v>草莓雪球怪</x:v>
      </x:c>
      <x:c r="C1222" s="6" t="str">
        <x:f>$X$34</x:f>
        <x:v>中等</x:v>
      </x:c>
      <x:c r="D1222" s="6">
        <x:v>10</x:v>
      </x:c>
      <x:c r="E1222" s="6">
        <x:v>34</x:v>
      </x:c>
      <x:c r="F1222" s="12">
        <x:f>ROUND(J1222*$W$4*H1222,0)</x:f>
        <x:v>1428</x:v>
      </x:c>
      <x:c r="G1222" s="12">
        <x:f>ROUND(J1222*$W$4*$W$5*I1222,0)</x:f>
        <x:v>357</x:v>
      </x:c>
      <x:c r="H1222" s="11" t="n">
        <x:f>$Y$34</x:f>
        <x:v>1</x:v>
      </x:c>
      <x:c r="I1222" s="11" t="n">
        <x:f>$Z$34</x:f>
        <x:v>3.3333333333333335</x:v>
      </x:c>
      <x:c r="J1222" s="12">
        <x:f>英雄升级调参!$E$75</x:f>
        <x:v>357</x:v>
      </x:c>
      <x:c r="K1222" s="12">
        <x:f>英雄升级调参!$F$75</x:f>
        <x:v>3570</x:v>
      </x:c>
      <x:c r="L1222" s="6" t="n">
        <x:f>ROUNDUP(F1222/J1222,0)</x:f>
        <x:v>4</x:v>
      </x:c>
      <x:c r="M1222" s="6" t="n">
        <x:f>IF(G1222=0,"无伤害",ROUNDUP(K1222/MAX(1,ROUND(G1222*$AC$34,0)),0))</x:f>
        <x:v>10</x:v>
      </x:c>
      <x:c r="N1222" s="6" t="n">
        <x:f>ROUNDUP(F1222/英雄升级调参!$H$75,0)</x:f>
        <x:v>3</x:v>
      </x:c>
      <x:c r="O1222" s="6" t="n">
        <x:f>ROUNDUP(F1222/英雄升级调参!$K$75,0)</x:f>
        <x:v>2</x:v>
      </x:c>
      <x:c r="P1222" s="6" t="str">
        <x:f>$AA$34</x:f>
        <x:v>普通：4次标准普攻击杀；10次主要攻击致死</x:v>
      </x:c>
      <x:c r="Q1222" s="6"/>
      <x:c r="R1222" s="6"/>
      <x:c r="S1222" s="6"/>
      <x:c r="T1222" s="6"/>
    </x:row>
    <x:row r="1223" ht="21" customHeight="1">
      <x:c r="A1223" s="14" t="n">
        <x:f>$V$34</x:f>
        <x:v>60021</x:v>
      </x:c>
      <x:c r="B1223" s="14" t="str">
        <x:f>$W$34</x:f>
        <x:v>草莓雪球怪</x:v>
      </x:c>
      <x:c r="C1223" s="6" t="str">
        <x:f>$X$34</x:f>
        <x:v>中等</x:v>
      </x:c>
      <x:c r="D1223" s="6">
        <x:v>11</x:v>
      </x:c>
      <x:c r="E1223" s="6">
        <x:v>34</x:v>
      </x:c>
      <x:c r="F1223" s="12">
        <x:f>ROUND(J1223*$W$4*H1223,0)</x:f>
        <x:v>1572</x:v>
      </x:c>
      <x:c r="G1223" s="12">
        <x:f>ROUND(J1223*$W$4*$W$5*I1223,0)</x:f>
        <x:v>393</x:v>
      </x:c>
      <x:c r="H1223" s="11" t="n">
        <x:f>$Y$34</x:f>
        <x:v>1</x:v>
      </x:c>
      <x:c r="I1223" s="11" t="n">
        <x:f>$Z$34</x:f>
        <x:v>3.3333333333333335</x:v>
      </x:c>
      <x:c r="J1223" s="12">
        <x:f>英雄升级调参!$E$76</x:f>
        <x:v>393</x:v>
      </x:c>
      <x:c r="K1223" s="12">
        <x:f>英雄升级调参!$F$76</x:f>
        <x:v>3930</x:v>
      </x:c>
      <x:c r="L1223" s="6" t="n">
        <x:f>ROUNDUP(F1223/J1223,0)</x:f>
        <x:v>4</x:v>
      </x:c>
      <x:c r="M1223" s="6" t="n">
        <x:f>IF(G1223=0,"无伤害",ROUNDUP(K1223/MAX(1,ROUND(G1223*$AC$34,0)),0))</x:f>
        <x:v>10</x:v>
      </x:c>
      <x:c r="N1223" s="6" t="n">
        <x:f>ROUNDUP(F1223/英雄升级调参!$H$76,0)</x:f>
        <x:v>3</x:v>
      </x:c>
      <x:c r="O1223" s="6" t="n">
        <x:f>ROUNDUP(F1223/英雄升级调参!$K$76,0)</x:f>
        <x:v>2</x:v>
      </x:c>
      <x:c r="P1223" s="6" t="str">
        <x:f>$AA$34</x:f>
        <x:v>普通：4次标准普攻击杀；10次主要攻击致死</x:v>
      </x:c>
      <x:c r="Q1223" s="6"/>
      <x:c r="R1223" s="6"/>
      <x:c r="S1223" s="6"/>
      <x:c r="T1223" s="6"/>
    </x:row>
    <x:row r="1224" ht="21" customHeight="1">
      <x:c r="A1224" s="14" t="n">
        <x:f>$V$34</x:f>
        <x:v>60021</x:v>
      </x:c>
      <x:c r="B1224" s="14" t="str">
        <x:f>$W$34</x:f>
        <x:v>草莓雪球怪</x:v>
      </x:c>
      <x:c r="C1224" s="6" t="str">
        <x:f>$X$34</x:f>
        <x:v>中等</x:v>
      </x:c>
      <x:c r="D1224" s="6">
        <x:v>12</x:v>
      </x:c>
      <x:c r="E1224" s="6">
        <x:v>34</x:v>
      </x:c>
      <x:c r="F1224" s="12">
        <x:f>ROUND(J1224*$W$4*H1224,0)</x:f>
        <x:v>1716</x:v>
      </x:c>
      <x:c r="G1224" s="12">
        <x:f>ROUND(J1224*$W$4*$W$5*I1224,0)</x:f>
        <x:v>429</x:v>
      </x:c>
      <x:c r="H1224" s="11" t="n">
        <x:f>$Y$34</x:f>
        <x:v>1</x:v>
      </x:c>
      <x:c r="I1224" s="11" t="n">
        <x:f>$Z$34</x:f>
        <x:v>3.3333333333333335</x:v>
      </x:c>
      <x:c r="J1224" s="12">
        <x:f>英雄升级调参!$E$77</x:f>
        <x:v>429</x:v>
      </x:c>
      <x:c r="K1224" s="12">
        <x:f>英雄升级调参!$F$77</x:f>
        <x:v>4290</x:v>
      </x:c>
      <x:c r="L1224" s="6" t="n">
        <x:f>ROUNDUP(F1224/J1224,0)</x:f>
        <x:v>4</x:v>
      </x:c>
      <x:c r="M1224" s="6" t="n">
        <x:f>IF(G1224=0,"无伤害",ROUNDUP(K1224/MAX(1,ROUND(G1224*$AC$34,0)),0))</x:f>
        <x:v>10</x:v>
      </x:c>
      <x:c r="N1224" s="6" t="n">
        <x:f>ROUNDUP(F1224/英雄升级调参!$H$77,0)</x:f>
        <x:v>3</x:v>
      </x:c>
      <x:c r="O1224" s="6" t="n">
        <x:f>ROUNDUP(F1224/英雄升级调参!$K$77,0)</x:f>
        <x:v>2</x:v>
      </x:c>
      <x:c r="P1224" s="6" t="str">
        <x:f>$AA$34</x:f>
        <x:v>普通：4次标准普攻击杀；10次主要攻击致死</x:v>
      </x:c>
      <x:c r="Q1224" s="6"/>
      <x:c r="R1224" s="6"/>
      <x:c r="S1224" s="6"/>
      <x:c r="T1224" s="6"/>
    </x:row>
    <x:row r="1225" ht="21" customHeight="1">
      <x:c r="A1225" s="14" t="n">
        <x:f>$V$34</x:f>
        <x:v>60021</x:v>
      </x:c>
      <x:c r="B1225" s="14" t="str">
        <x:f>$W$34</x:f>
        <x:v>草莓雪球怪</x:v>
      </x:c>
      <x:c r="C1225" s="6" t="str">
        <x:f>$X$34</x:f>
        <x:v>中等</x:v>
      </x:c>
      <x:c r="D1225" s="6">
        <x:v>13</x:v>
      </x:c>
      <x:c r="E1225" s="6">
        <x:v>34</x:v>
      </x:c>
      <x:c r="F1225" s="12">
        <x:f>ROUND(J1225*$W$4*H1225,0)</x:f>
        <x:v>1860</x:v>
      </x:c>
      <x:c r="G1225" s="12">
        <x:f>ROUND(J1225*$W$4*$W$5*I1225,0)</x:f>
        <x:v>465</x:v>
      </x:c>
      <x:c r="H1225" s="11" t="n">
        <x:f>$Y$34</x:f>
        <x:v>1</x:v>
      </x:c>
      <x:c r="I1225" s="11" t="n">
        <x:f>$Z$34</x:f>
        <x:v>3.3333333333333335</x:v>
      </x:c>
      <x:c r="J1225" s="12">
        <x:f>英雄升级调参!$E$78</x:f>
        <x:v>465</x:v>
      </x:c>
      <x:c r="K1225" s="12">
        <x:f>英雄升级调参!$F$78</x:f>
        <x:v>4650</x:v>
      </x:c>
      <x:c r="L1225" s="6" t="n">
        <x:f>ROUNDUP(F1225/J1225,0)</x:f>
        <x:v>4</x:v>
      </x:c>
      <x:c r="M1225" s="6" t="n">
        <x:f>IF(G1225=0,"无伤害",ROUNDUP(K1225/MAX(1,ROUND(G1225*$AC$34,0)),0))</x:f>
        <x:v>10</x:v>
      </x:c>
      <x:c r="N1225" s="6" t="n">
        <x:f>ROUNDUP(F1225/英雄升级调参!$H$78,0)</x:f>
        <x:v>3</x:v>
      </x:c>
      <x:c r="O1225" s="6" t="n">
        <x:f>ROUNDUP(F1225/英雄升级调参!$K$78,0)</x:f>
        <x:v>2</x:v>
      </x:c>
      <x:c r="P1225" s="6" t="str">
        <x:f>$AA$34</x:f>
        <x:v>普通：4次标准普攻击杀；10次主要攻击致死</x:v>
      </x:c>
      <x:c r="Q1225" s="6"/>
      <x:c r="R1225" s="6"/>
      <x:c r="S1225" s="6"/>
      <x:c r="T1225" s="6"/>
    </x:row>
    <x:row r="1226" ht="21" customHeight="1">
      <x:c r="A1226" s="14" t="n">
        <x:f>$V$34</x:f>
        <x:v>60021</x:v>
      </x:c>
      <x:c r="B1226" s="14" t="str">
        <x:f>$W$34</x:f>
        <x:v>草莓雪球怪</x:v>
      </x:c>
      <x:c r="C1226" s="6" t="str">
        <x:f>$X$34</x:f>
        <x:v>中等</x:v>
      </x:c>
      <x:c r="D1226" s="6">
        <x:v>14</x:v>
      </x:c>
      <x:c r="E1226" s="6">
        <x:v>34</x:v>
      </x:c>
      <x:c r="F1226" s="12">
        <x:f>ROUND(J1226*$W$4*H1226,0)</x:f>
        <x:v>2004</x:v>
      </x:c>
      <x:c r="G1226" s="12">
        <x:f>ROUND(J1226*$W$4*$W$5*I1226,0)</x:f>
        <x:v>501</x:v>
      </x:c>
      <x:c r="H1226" s="11" t="n">
        <x:f>$Y$34</x:f>
        <x:v>1</x:v>
      </x:c>
      <x:c r="I1226" s="11" t="n">
        <x:f>$Z$34</x:f>
        <x:v>3.3333333333333335</x:v>
      </x:c>
      <x:c r="J1226" s="12">
        <x:f>英雄升级调参!$E$79</x:f>
        <x:v>501</x:v>
      </x:c>
      <x:c r="K1226" s="12">
        <x:f>英雄升级调参!$F$79</x:f>
        <x:v>5010</x:v>
      </x:c>
      <x:c r="L1226" s="6" t="n">
        <x:f>ROUNDUP(F1226/J1226,0)</x:f>
        <x:v>4</x:v>
      </x:c>
      <x:c r="M1226" s="6" t="n">
        <x:f>IF(G1226=0,"无伤害",ROUNDUP(K1226/MAX(1,ROUND(G1226*$AC$34,0)),0))</x:f>
        <x:v>10</x:v>
      </x:c>
      <x:c r="N1226" s="6" t="n">
        <x:f>ROUNDUP(F1226/英雄升级调参!$H$79,0)</x:f>
        <x:v>3</x:v>
      </x:c>
      <x:c r="O1226" s="6" t="n">
        <x:f>ROUNDUP(F1226/英雄升级调参!$K$79,0)</x:f>
        <x:v>2</x:v>
      </x:c>
      <x:c r="P1226" s="6" t="str">
        <x:f>$AA$34</x:f>
        <x:v>普通：4次标准普攻击杀；10次主要攻击致死</x:v>
      </x:c>
      <x:c r="Q1226" s="6"/>
      <x:c r="R1226" s="6"/>
      <x:c r="S1226" s="6"/>
      <x:c r="T1226" s="6"/>
    </x:row>
    <x:row r="1227" ht="21" customHeight="1">
      <x:c r="A1227" s="14" t="n">
        <x:f>$V$34</x:f>
        <x:v>60021</x:v>
      </x:c>
      <x:c r="B1227" s="14" t="str">
        <x:f>$W$34</x:f>
        <x:v>草莓雪球怪</x:v>
      </x:c>
      <x:c r="C1227" s="6" t="str">
        <x:f>$X$34</x:f>
        <x:v>中等</x:v>
      </x:c>
      <x:c r="D1227" s="6">
        <x:v>15</x:v>
      </x:c>
      <x:c r="E1227" s="6">
        <x:v>34</x:v>
      </x:c>
      <x:c r="F1227" s="12">
        <x:f>ROUND(J1227*$W$4*H1227,0)</x:f>
        <x:v>2436</x:v>
      </x:c>
      <x:c r="G1227" s="12">
        <x:f>ROUND(J1227*$W$4*$W$5*I1227,0)</x:f>
        <x:v>609</x:v>
      </x:c>
      <x:c r="H1227" s="11" t="n">
        <x:f>$Y$34</x:f>
        <x:v>1</x:v>
      </x:c>
      <x:c r="I1227" s="11" t="n">
        <x:f>$Z$34</x:f>
        <x:v>3.3333333333333335</x:v>
      </x:c>
      <x:c r="J1227" s="12">
        <x:f>英雄升级调参!$E$80</x:f>
        <x:v>609</x:v>
      </x:c>
      <x:c r="K1227" s="12">
        <x:f>英雄升级调参!$F$80</x:f>
        <x:v>6090</x:v>
      </x:c>
      <x:c r="L1227" s="6" t="n">
        <x:f>ROUNDUP(F1227/J1227,0)</x:f>
        <x:v>4</x:v>
      </x:c>
      <x:c r="M1227" s="6" t="n">
        <x:f>IF(G1227=0,"无伤害",ROUNDUP(K1227/MAX(1,ROUND(G1227*$AC$34,0)),0))</x:f>
        <x:v>10</x:v>
      </x:c>
      <x:c r="N1227" s="6" t="n">
        <x:f>ROUNDUP(F1227/英雄升级调参!$H$80,0)</x:f>
        <x:v>3</x:v>
      </x:c>
      <x:c r="O1227" s="6" t="n">
        <x:f>ROUNDUP(F1227/英雄升级调参!$K$80,0)</x:f>
        <x:v>2</x:v>
      </x:c>
      <x:c r="P1227" s="6" t="str">
        <x:f>$AA$34</x:f>
        <x:v>普通：4次标准普攻击杀；10次主要攻击致死</x:v>
      </x:c>
      <x:c r="Q1227" s="6"/>
      <x:c r="R1227" s="6"/>
      <x:c r="S1227" s="6"/>
      <x:c r="T1227" s="6"/>
    </x:row>
    <x:row r="1228" ht="21" customHeight="1">
      <x:c r="A1228" s="14" t="n">
        <x:f>$V$34</x:f>
        <x:v>60021</x:v>
      </x:c>
      <x:c r="B1228" s="14" t="str">
        <x:f>$W$34</x:f>
        <x:v>草莓雪球怪</x:v>
      </x:c>
      <x:c r="C1228" s="6" t="str">
        <x:f>$X$34</x:f>
        <x:v>中等</x:v>
      </x:c>
      <x:c r="D1228" s="6">
        <x:v>16</x:v>
      </x:c>
      <x:c r="E1228" s="6">
        <x:v>34</x:v>
      </x:c>
      <x:c r="F1228" s="12">
        <x:f>ROUND(J1228*$W$4*H1228,0)</x:f>
        <x:v>2616</x:v>
      </x:c>
      <x:c r="G1228" s="12">
        <x:f>ROUND(J1228*$W$4*$W$5*I1228,0)</x:f>
        <x:v>654</x:v>
      </x:c>
      <x:c r="H1228" s="11" t="n">
        <x:f>$Y$34</x:f>
        <x:v>1</x:v>
      </x:c>
      <x:c r="I1228" s="11" t="n">
        <x:f>$Z$34</x:f>
        <x:v>3.3333333333333335</x:v>
      </x:c>
      <x:c r="J1228" s="12">
        <x:f>英雄升级调参!$E$81</x:f>
        <x:v>654</x:v>
      </x:c>
      <x:c r="K1228" s="12">
        <x:f>英雄升级调参!$F$81</x:f>
        <x:v>6540</x:v>
      </x:c>
      <x:c r="L1228" s="6" t="n">
        <x:f>ROUNDUP(F1228/J1228,0)</x:f>
        <x:v>4</x:v>
      </x:c>
      <x:c r="M1228" s="6" t="n">
        <x:f>IF(G1228=0,"无伤害",ROUNDUP(K1228/MAX(1,ROUND(G1228*$AC$34,0)),0))</x:f>
        <x:v>10</x:v>
      </x:c>
      <x:c r="N1228" s="6" t="n">
        <x:f>ROUNDUP(F1228/英雄升级调参!$H$81,0)</x:f>
        <x:v>3</x:v>
      </x:c>
      <x:c r="O1228" s="6" t="n">
        <x:f>ROUNDUP(F1228/英雄升级调参!$K$81,0)</x:f>
        <x:v>2</x:v>
      </x:c>
      <x:c r="P1228" s="6" t="str">
        <x:f>$AA$34</x:f>
        <x:v>普通：4次标准普攻击杀；10次主要攻击致死</x:v>
      </x:c>
      <x:c r="Q1228" s="6"/>
      <x:c r="R1228" s="6"/>
      <x:c r="S1228" s="6"/>
      <x:c r="T1228" s="6"/>
    </x:row>
    <x:row r="1229" ht="21" customHeight="1">
      <x:c r="A1229" s="14" t="n">
        <x:f>$V$34</x:f>
        <x:v>60021</x:v>
      </x:c>
      <x:c r="B1229" s="14" t="str">
        <x:f>$W$34</x:f>
        <x:v>草莓雪球怪</x:v>
      </x:c>
      <x:c r="C1229" s="6" t="str">
        <x:f>$X$34</x:f>
        <x:v>中等</x:v>
      </x:c>
      <x:c r="D1229" s="6">
        <x:v>17</x:v>
      </x:c>
      <x:c r="E1229" s="6">
        <x:v>34</x:v>
      </x:c>
      <x:c r="F1229" s="12">
        <x:f>ROUND(J1229*$W$4*H1229,0)</x:f>
        <x:v>2796</x:v>
      </x:c>
      <x:c r="G1229" s="12">
        <x:f>ROUND(J1229*$W$4*$W$5*I1229,0)</x:f>
        <x:v>699</x:v>
      </x:c>
      <x:c r="H1229" s="11" t="n">
        <x:f>$Y$34</x:f>
        <x:v>1</x:v>
      </x:c>
      <x:c r="I1229" s="11" t="n">
        <x:f>$Z$34</x:f>
        <x:v>3.3333333333333335</x:v>
      </x:c>
      <x:c r="J1229" s="12">
        <x:f>英雄升级调参!$E$82</x:f>
        <x:v>699</x:v>
      </x:c>
      <x:c r="K1229" s="12">
        <x:f>英雄升级调参!$F$82</x:f>
        <x:v>6990</x:v>
      </x:c>
      <x:c r="L1229" s="6" t="n">
        <x:f>ROUNDUP(F1229/J1229,0)</x:f>
        <x:v>4</x:v>
      </x:c>
      <x:c r="M1229" s="6" t="n">
        <x:f>IF(G1229=0,"无伤害",ROUNDUP(K1229/MAX(1,ROUND(G1229*$AC$34,0)),0))</x:f>
        <x:v>10</x:v>
      </x:c>
      <x:c r="N1229" s="6" t="n">
        <x:f>ROUNDUP(F1229/英雄升级调参!$H$82,0)</x:f>
        <x:v>3</x:v>
      </x:c>
      <x:c r="O1229" s="6" t="n">
        <x:f>ROUNDUP(F1229/英雄升级调参!$K$82,0)</x:f>
        <x:v>2</x:v>
      </x:c>
      <x:c r="P1229" s="6" t="str">
        <x:f>$AA$34</x:f>
        <x:v>普通：4次标准普攻击杀；10次主要攻击致死</x:v>
      </x:c>
      <x:c r="Q1229" s="6"/>
      <x:c r="R1229" s="6"/>
      <x:c r="S1229" s="6"/>
      <x:c r="T1229" s="6"/>
    </x:row>
    <x:row r="1230" ht="21" customHeight="1">
      <x:c r="A1230" s="14" t="n">
        <x:f>$V$34</x:f>
        <x:v>60021</x:v>
      </x:c>
      <x:c r="B1230" s="14" t="str">
        <x:f>$W$34</x:f>
        <x:v>草莓雪球怪</x:v>
      </x:c>
      <x:c r="C1230" s="6" t="str">
        <x:f>$X$34</x:f>
        <x:v>中等</x:v>
      </x:c>
      <x:c r="D1230" s="6">
        <x:v>18</x:v>
      </x:c>
      <x:c r="E1230" s="6">
        <x:v>34</x:v>
      </x:c>
      <x:c r="F1230" s="12">
        <x:f>ROUND(J1230*$W$4*H1230,0)</x:f>
        <x:v>2976</x:v>
      </x:c>
      <x:c r="G1230" s="12">
        <x:f>ROUND(J1230*$W$4*$W$5*I1230,0)</x:f>
        <x:v>744</x:v>
      </x:c>
      <x:c r="H1230" s="11" t="n">
        <x:f>$Y$34</x:f>
        <x:v>1</x:v>
      </x:c>
      <x:c r="I1230" s="11" t="n">
        <x:f>$Z$34</x:f>
        <x:v>3.3333333333333335</x:v>
      </x:c>
      <x:c r="J1230" s="12">
        <x:f>英雄升级调参!$E$83</x:f>
        <x:v>744</x:v>
      </x:c>
      <x:c r="K1230" s="12">
        <x:f>英雄升级调参!$F$83</x:f>
        <x:v>7440</x:v>
      </x:c>
      <x:c r="L1230" s="6" t="n">
        <x:f>ROUNDUP(F1230/J1230,0)</x:f>
        <x:v>4</x:v>
      </x:c>
      <x:c r="M1230" s="6" t="n">
        <x:f>IF(G1230=0,"无伤害",ROUNDUP(K1230/MAX(1,ROUND(G1230*$AC$34,0)),0))</x:f>
        <x:v>10</x:v>
      </x:c>
      <x:c r="N1230" s="6" t="n">
        <x:f>ROUNDUP(F1230/英雄升级调参!$H$83,0)</x:f>
        <x:v>3</x:v>
      </x:c>
      <x:c r="O1230" s="6" t="n">
        <x:f>ROUNDUP(F1230/英雄升级调参!$K$83,0)</x:f>
        <x:v>2</x:v>
      </x:c>
      <x:c r="P1230" s="6" t="str">
        <x:f>$AA$34</x:f>
        <x:v>普通：4次标准普攻击杀；10次主要攻击致死</x:v>
      </x:c>
      <x:c r="Q1230" s="6"/>
      <x:c r="R1230" s="6"/>
      <x:c r="S1230" s="6"/>
      <x:c r="T1230" s="6"/>
    </x:row>
    <x:row r="1231" ht="21" customHeight="1">
      <x:c r="A1231" s="14" t="n">
        <x:f>$V$34</x:f>
        <x:v>60021</x:v>
      </x:c>
      <x:c r="B1231" s="14" t="str">
        <x:f>$W$34</x:f>
        <x:v>草莓雪球怪</x:v>
      </x:c>
      <x:c r="C1231" s="6" t="str">
        <x:f>$X$34</x:f>
        <x:v>中等</x:v>
      </x:c>
      <x:c r="D1231" s="6">
        <x:v>19</x:v>
      </x:c>
      <x:c r="E1231" s="6">
        <x:v>34</x:v>
      </x:c>
      <x:c r="F1231" s="12">
        <x:f>ROUND(J1231*$W$4*H1231,0)</x:f>
        <x:v>3156</x:v>
      </x:c>
      <x:c r="G1231" s="12">
        <x:f>ROUND(J1231*$W$4*$W$5*I1231,0)</x:f>
        <x:v>789</x:v>
      </x:c>
      <x:c r="H1231" s="11" t="n">
        <x:f>$Y$34</x:f>
        <x:v>1</x:v>
      </x:c>
      <x:c r="I1231" s="11" t="n">
        <x:f>$Z$34</x:f>
        <x:v>3.3333333333333335</x:v>
      </x:c>
      <x:c r="J1231" s="12">
        <x:f>英雄升级调参!$E$84</x:f>
        <x:v>789</x:v>
      </x:c>
      <x:c r="K1231" s="12">
        <x:f>英雄升级调参!$F$84</x:f>
        <x:v>7890</x:v>
      </x:c>
      <x:c r="L1231" s="6" t="n">
        <x:f>ROUNDUP(F1231/J1231,0)</x:f>
        <x:v>4</x:v>
      </x:c>
      <x:c r="M1231" s="6" t="n">
        <x:f>IF(G1231=0,"无伤害",ROUNDUP(K1231/MAX(1,ROUND(G1231*$AC$34,0)),0))</x:f>
        <x:v>10</x:v>
      </x:c>
      <x:c r="N1231" s="6" t="n">
        <x:f>ROUNDUP(F1231/英雄升级调参!$H$84,0)</x:f>
        <x:v>3</x:v>
      </x:c>
      <x:c r="O1231" s="6" t="n">
        <x:f>ROUNDUP(F1231/英雄升级调参!$K$84,0)</x:f>
        <x:v>2</x:v>
      </x:c>
      <x:c r="P1231" s="6" t="str">
        <x:f>$AA$34</x:f>
        <x:v>普通：4次标准普攻击杀；10次主要攻击致死</x:v>
      </x:c>
      <x:c r="Q1231" s="6"/>
      <x:c r="R1231" s="6"/>
      <x:c r="S1231" s="6"/>
      <x:c r="T1231" s="6"/>
    </x:row>
    <x:row r="1232" ht="21" customHeight="1">
      <x:c r="A1232" s="14" t="n">
        <x:f>$V$34</x:f>
        <x:v>60021</x:v>
      </x:c>
      <x:c r="B1232" s="14" t="str">
        <x:f>$W$34</x:f>
        <x:v>草莓雪球怪</x:v>
      </x:c>
      <x:c r="C1232" s="6" t="str">
        <x:f>$X$34</x:f>
        <x:v>中等</x:v>
      </x:c>
      <x:c r="D1232" s="6">
        <x:v>20</x:v>
      </x:c>
      <x:c r="E1232" s="6">
        <x:v>34</x:v>
      </x:c>
      <x:c r="F1232" s="12">
        <x:f>ROUND(J1232*$W$4*H1232,0)</x:f>
        <x:v>3696</x:v>
      </x:c>
      <x:c r="G1232" s="12">
        <x:f>ROUND(J1232*$W$4*$W$5*I1232,0)</x:f>
        <x:v>924</x:v>
      </x:c>
      <x:c r="H1232" s="11" t="n">
        <x:f>$Y$34</x:f>
        <x:v>1</x:v>
      </x:c>
      <x:c r="I1232" s="11" t="n">
        <x:f>$Z$34</x:f>
        <x:v>3.3333333333333335</x:v>
      </x:c>
      <x:c r="J1232" s="12">
        <x:f>英雄升级调参!$E$85</x:f>
        <x:v>924</x:v>
      </x:c>
      <x:c r="K1232" s="12">
        <x:f>英雄升级调参!$F$85</x:f>
        <x:v>9240</x:v>
      </x:c>
      <x:c r="L1232" s="6" t="n">
        <x:f>ROUNDUP(F1232/J1232,0)</x:f>
        <x:v>4</x:v>
      </x:c>
      <x:c r="M1232" s="6" t="n">
        <x:f>IF(G1232=0,"无伤害",ROUNDUP(K1232/MAX(1,ROUND(G1232*$AC$34,0)),0))</x:f>
        <x:v>10</x:v>
      </x:c>
      <x:c r="N1232" s="6" t="n">
        <x:f>ROUNDUP(F1232/英雄升级调参!$H$85,0)</x:f>
        <x:v>3</x:v>
      </x:c>
      <x:c r="O1232" s="6" t="n">
        <x:f>ROUNDUP(F1232/英雄升级调参!$K$85,0)</x:f>
        <x:v>2</x:v>
      </x:c>
      <x:c r="P1232" s="6" t="str">
        <x:f>$AA$34</x:f>
        <x:v>普通：4次标准普攻击杀；10次主要攻击致死</x:v>
      </x:c>
      <x:c r="Q1232" s="6"/>
      <x:c r="R1232" s="6"/>
      <x:c r="S1232" s="6"/>
      <x:c r="T1232" s="6"/>
    </x:row>
    <x:row r="1233" ht="21" customHeight="1">
      <x:c r="A1233" s="14" t="n">
        <x:f>$V$34</x:f>
        <x:v>60021</x:v>
      </x:c>
      <x:c r="B1233" s="14" t="str">
        <x:f>$W$34</x:f>
        <x:v>草莓雪球怪</x:v>
      </x:c>
      <x:c r="C1233" s="6" t="str">
        <x:f>$X$34</x:f>
        <x:v>中等</x:v>
      </x:c>
      <x:c r="D1233" s="6">
        <x:v>21</x:v>
      </x:c>
      <x:c r="E1233" s="6">
        <x:v>34</x:v>
      </x:c>
      <x:c r="F1233" s="12">
        <x:f>ROUND(J1233*$W$4*H1233,0)</x:f>
        <x:v>3912</x:v>
      </x:c>
      <x:c r="G1233" s="12">
        <x:f>ROUND(J1233*$W$4*$W$5*I1233,0)</x:f>
        <x:v>978</x:v>
      </x:c>
      <x:c r="H1233" s="11" t="n">
        <x:f>$Y$34</x:f>
        <x:v>1</x:v>
      </x:c>
      <x:c r="I1233" s="11" t="n">
        <x:f>$Z$34</x:f>
        <x:v>3.3333333333333335</x:v>
      </x:c>
      <x:c r="J1233" s="12">
        <x:f>英雄升级调参!$E$86</x:f>
        <x:v>978</x:v>
      </x:c>
      <x:c r="K1233" s="12">
        <x:f>英雄升级调参!$F$86</x:f>
        <x:v>9780</x:v>
      </x:c>
      <x:c r="L1233" s="6" t="n">
        <x:f>ROUNDUP(F1233/J1233,0)</x:f>
        <x:v>4</x:v>
      </x:c>
      <x:c r="M1233" s="6" t="n">
        <x:f>IF(G1233=0,"无伤害",ROUNDUP(K1233/MAX(1,ROUND(G1233*$AC$34,0)),0))</x:f>
        <x:v>10</x:v>
      </x:c>
      <x:c r="N1233" s="6" t="n">
        <x:f>ROUNDUP(F1233/英雄升级调参!$H$86,0)</x:f>
        <x:v>3</x:v>
      </x:c>
      <x:c r="O1233" s="6" t="n">
        <x:f>ROUNDUP(F1233/英雄升级调参!$K$86,0)</x:f>
        <x:v>2</x:v>
      </x:c>
      <x:c r="P1233" s="6" t="str">
        <x:f>$AA$34</x:f>
        <x:v>普通：4次标准普攻击杀；10次主要攻击致死</x:v>
      </x:c>
      <x:c r="Q1233" s="6"/>
      <x:c r="R1233" s="6"/>
      <x:c r="S1233" s="6"/>
      <x:c r="T1233" s="6"/>
    </x:row>
    <x:row r="1234" ht="21" customHeight="1">
      <x:c r="A1234" s="14" t="n">
        <x:f>$V$34</x:f>
        <x:v>60021</x:v>
      </x:c>
      <x:c r="B1234" s="14" t="str">
        <x:f>$W$34</x:f>
        <x:v>草莓雪球怪</x:v>
      </x:c>
      <x:c r="C1234" s="6" t="str">
        <x:f>$X$34</x:f>
        <x:v>中等</x:v>
      </x:c>
      <x:c r="D1234" s="6">
        <x:v>22</x:v>
      </x:c>
      <x:c r="E1234" s="6">
        <x:v>34</x:v>
      </x:c>
      <x:c r="F1234" s="12">
        <x:f>ROUND(J1234*$W$4*H1234,0)</x:f>
        <x:v>4128</x:v>
      </x:c>
      <x:c r="G1234" s="12">
        <x:f>ROUND(J1234*$W$4*$W$5*I1234,0)</x:f>
        <x:v>1032</x:v>
      </x:c>
      <x:c r="H1234" s="11" t="n">
        <x:f>$Y$34</x:f>
        <x:v>1</x:v>
      </x:c>
      <x:c r="I1234" s="11" t="n">
        <x:f>$Z$34</x:f>
        <x:v>3.3333333333333335</x:v>
      </x:c>
      <x:c r="J1234" s="12">
        <x:f>英雄升级调参!$E$87</x:f>
        <x:v>1032</x:v>
      </x:c>
      <x:c r="K1234" s="12">
        <x:f>英雄升级调参!$F$87</x:f>
        <x:v>10320</x:v>
      </x:c>
      <x:c r="L1234" s="6" t="n">
        <x:f>ROUNDUP(F1234/J1234,0)</x:f>
        <x:v>4</x:v>
      </x:c>
      <x:c r="M1234" s="6" t="n">
        <x:f>IF(G1234=0,"无伤害",ROUNDUP(K1234/MAX(1,ROUND(G1234*$AC$34,0)),0))</x:f>
        <x:v>10</x:v>
      </x:c>
      <x:c r="N1234" s="6" t="n">
        <x:f>ROUNDUP(F1234/英雄升级调参!$H$87,0)</x:f>
        <x:v>3</x:v>
      </x:c>
      <x:c r="O1234" s="6" t="n">
        <x:f>ROUNDUP(F1234/英雄升级调参!$K$87,0)</x:f>
        <x:v>2</x:v>
      </x:c>
      <x:c r="P1234" s="6" t="str">
        <x:f>$AA$34</x:f>
        <x:v>普通：4次标准普攻击杀；10次主要攻击致死</x:v>
      </x:c>
      <x:c r="Q1234" s="6"/>
      <x:c r="R1234" s="6"/>
      <x:c r="S1234" s="6"/>
      <x:c r="T1234" s="6"/>
    </x:row>
    <x:row r="1235" ht="21" customHeight="1">
      <x:c r="A1235" s="14" t="n">
        <x:f>$V$34</x:f>
        <x:v>60021</x:v>
      </x:c>
      <x:c r="B1235" s="14" t="str">
        <x:f>$W$34</x:f>
        <x:v>草莓雪球怪</x:v>
      </x:c>
      <x:c r="C1235" s="6" t="str">
        <x:f>$X$34</x:f>
        <x:v>中等</x:v>
      </x:c>
      <x:c r="D1235" s="6">
        <x:v>23</x:v>
      </x:c>
      <x:c r="E1235" s="6">
        <x:v>34</x:v>
      </x:c>
      <x:c r="F1235" s="12">
        <x:f>ROUND(J1235*$W$4*H1235,0)</x:f>
        <x:v>4344</x:v>
      </x:c>
      <x:c r="G1235" s="12">
        <x:f>ROUND(J1235*$W$4*$W$5*I1235,0)</x:f>
        <x:v>1086</x:v>
      </x:c>
      <x:c r="H1235" s="11" t="n">
        <x:f>$Y$34</x:f>
        <x:v>1</x:v>
      </x:c>
      <x:c r="I1235" s="11" t="n">
        <x:f>$Z$34</x:f>
        <x:v>3.3333333333333335</x:v>
      </x:c>
      <x:c r="J1235" s="12">
        <x:f>英雄升级调参!$E$88</x:f>
        <x:v>1086</x:v>
      </x:c>
      <x:c r="K1235" s="12">
        <x:f>英雄升级调参!$F$88</x:f>
        <x:v>10860</x:v>
      </x:c>
      <x:c r="L1235" s="6" t="n">
        <x:f>ROUNDUP(F1235/J1235,0)</x:f>
        <x:v>4</x:v>
      </x:c>
      <x:c r="M1235" s="6" t="n">
        <x:f>IF(G1235=0,"无伤害",ROUNDUP(K1235/MAX(1,ROUND(G1235*$AC$34,0)),0))</x:f>
        <x:v>10</x:v>
      </x:c>
      <x:c r="N1235" s="6" t="n">
        <x:f>ROUNDUP(F1235/英雄升级调参!$H$88,0)</x:f>
        <x:v>3</x:v>
      </x:c>
      <x:c r="O1235" s="6" t="n">
        <x:f>ROUNDUP(F1235/英雄升级调参!$K$88,0)</x:f>
        <x:v>2</x:v>
      </x:c>
      <x:c r="P1235" s="6" t="str">
        <x:f>$AA$34</x:f>
        <x:v>普通：4次标准普攻击杀；10次主要攻击致死</x:v>
      </x:c>
      <x:c r="Q1235" s="6"/>
      <x:c r="R1235" s="6"/>
      <x:c r="S1235" s="6"/>
      <x:c r="T1235" s="6"/>
    </x:row>
    <x:row r="1236" ht="21" customHeight="1">
      <x:c r="A1236" s="14" t="n">
        <x:f>$V$34</x:f>
        <x:v>60021</x:v>
      </x:c>
      <x:c r="B1236" s="14" t="str">
        <x:f>$W$34</x:f>
        <x:v>草莓雪球怪</x:v>
      </x:c>
      <x:c r="C1236" s="6" t="str">
        <x:f>$X$34</x:f>
        <x:v>中等</x:v>
      </x:c>
      <x:c r="D1236" s="6">
        <x:v>24</x:v>
      </x:c>
      <x:c r="E1236" s="6">
        <x:v>34</x:v>
      </x:c>
      <x:c r="F1236" s="12">
        <x:f>ROUND(J1236*$W$4*H1236,0)</x:f>
        <x:v>4560</x:v>
      </x:c>
      <x:c r="G1236" s="12">
        <x:f>ROUND(J1236*$W$4*$W$5*I1236,0)</x:f>
        <x:v>1140</x:v>
      </x:c>
      <x:c r="H1236" s="11" t="n">
        <x:f>$Y$34</x:f>
        <x:v>1</x:v>
      </x:c>
      <x:c r="I1236" s="11" t="n">
        <x:f>$Z$34</x:f>
        <x:v>3.3333333333333335</x:v>
      </x:c>
      <x:c r="J1236" s="12">
        <x:f>英雄升级调参!$E$89</x:f>
        <x:v>1140</x:v>
      </x:c>
      <x:c r="K1236" s="12">
        <x:f>英雄升级调参!$F$89</x:f>
        <x:v>11400</x:v>
      </x:c>
      <x:c r="L1236" s="6" t="n">
        <x:f>ROUNDUP(F1236/J1236,0)</x:f>
        <x:v>4</x:v>
      </x:c>
      <x:c r="M1236" s="6" t="n">
        <x:f>IF(G1236=0,"无伤害",ROUNDUP(K1236/MAX(1,ROUND(G1236*$AC$34,0)),0))</x:f>
        <x:v>10</x:v>
      </x:c>
      <x:c r="N1236" s="6" t="n">
        <x:f>ROUNDUP(F1236/英雄升级调参!$H$89,0)</x:f>
        <x:v>3</x:v>
      </x:c>
      <x:c r="O1236" s="6" t="n">
        <x:f>ROUNDUP(F1236/英雄升级调参!$K$89,0)</x:f>
        <x:v>2</x:v>
      </x:c>
      <x:c r="P1236" s="6" t="str">
        <x:f>$AA$34</x:f>
        <x:v>普通：4次标准普攻击杀；10次主要攻击致死</x:v>
      </x:c>
      <x:c r="Q1236" s="6"/>
      <x:c r="R1236" s="6"/>
      <x:c r="S1236" s="6"/>
      <x:c r="T1236" s="6"/>
    </x:row>
    <x:row r="1237" ht="21" customHeight="1">
      <x:c r="A1237" s="14" t="n">
        <x:f>$V$34</x:f>
        <x:v>60021</x:v>
      </x:c>
      <x:c r="B1237" s="14" t="str">
        <x:f>$W$34</x:f>
        <x:v>草莓雪球怪</x:v>
      </x:c>
      <x:c r="C1237" s="6" t="str">
        <x:f>$X$34</x:f>
        <x:v>中等</x:v>
      </x:c>
      <x:c r="D1237" s="6">
        <x:v>25</x:v>
      </x:c>
      <x:c r="E1237" s="6">
        <x:v>34</x:v>
      </x:c>
      <x:c r="F1237" s="12">
        <x:f>ROUND(J1237*$W$4*H1237,0)</x:f>
        <x:v>5208</x:v>
      </x:c>
      <x:c r="G1237" s="12">
        <x:f>ROUND(J1237*$W$4*$W$5*I1237,0)</x:f>
        <x:v>1302</x:v>
      </x:c>
      <x:c r="H1237" s="11" t="n">
        <x:f>$Y$34</x:f>
        <x:v>1</x:v>
      </x:c>
      <x:c r="I1237" s="11" t="n">
        <x:f>$Z$34</x:f>
        <x:v>3.3333333333333335</x:v>
      </x:c>
      <x:c r="J1237" s="12">
        <x:f>英雄升级调参!$E$90</x:f>
        <x:v>1302</x:v>
      </x:c>
      <x:c r="K1237" s="12">
        <x:f>英雄升级调参!$F$90</x:f>
        <x:v>13020</x:v>
      </x:c>
      <x:c r="L1237" s="6" t="n">
        <x:f>ROUNDUP(F1237/J1237,0)</x:f>
        <x:v>4</x:v>
      </x:c>
      <x:c r="M1237" s="6" t="n">
        <x:f>IF(G1237=0,"无伤害",ROUNDUP(K1237/MAX(1,ROUND(G1237*$AC$34,0)),0))</x:f>
        <x:v>10</x:v>
      </x:c>
      <x:c r="N1237" s="6" t="n">
        <x:f>ROUNDUP(F1237/英雄升级调参!$H$90,0)</x:f>
        <x:v>3</x:v>
      </x:c>
      <x:c r="O1237" s="6" t="n">
        <x:f>ROUNDUP(F1237/英雄升级调参!$K$90,0)</x:f>
        <x:v>2</x:v>
      </x:c>
      <x:c r="P1237" s="6" t="str">
        <x:f>$AA$34</x:f>
        <x:v>普通：4次标准普攻击杀；10次主要攻击致死</x:v>
      </x:c>
      <x:c r="Q1237" s="6"/>
      <x:c r="R1237" s="6"/>
      <x:c r="S1237" s="6"/>
      <x:c r="T1237" s="6"/>
    </x:row>
    <x:row r="1238" ht="21" customHeight="1">
      <x:c r="A1238" s="14" t="n">
        <x:f>$V$34</x:f>
        <x:v>60021</x:v>
      </x:c>
      <x:c r="B1238" s="14" t="str">
        <x:f>$W$34</x:f>
        <x:v>草莓雪球怪</x:v>
      </x:c>
      <x:c r="C1238" s="6" t="str">
        <x:f>$X$34</x:f>
        <x:v>中等</x:v>
      </x:c>
      <x:c r="D1238" s="6">
        <x:v>26</x:v>
      </x:c>
      <x:c r="E1238" s="6">
        <x:v>34</x:v>
      </x:c>
      <x:c r="F1238" s="12">
        <x:f>ROUND(J1238*$W$4*H1238,0)</x:f>
        <x:v>5460</x:v>
      </x:c>
      <x:c r="G1238" s="12">
        <x:f>ROUND(J1238*$W$4*$W$5*I1238,0)</x:f>
        <x:v>1365</x:v>
      </x:c>
      <x:c r="H1238" s="11" t="n">
        <x:f>$Y$34</x:f>
        <x:v>1</x:v>
      </x:c>
      <x:c r="I1238" s="11" t="n">
        <x:f>$Z$34</x:f>
        <x:v>3.3333333333333335</x:v>
      </x:c>
      <x:c r="J1238" s="12">
        <x:f>英雄升级调参!$E$91</x:f>
        <x:v>1365</x:v>
      </x:c>
      <x:c r="K1238" s="12">
        <x:f>英雄升级调参!$F$91</x:f>
        <x:v>13650</x:v>
      </x:c>
      <x:c r="L1238" s="6" t="n">
        <x:f>ROUNDUP(F1238/J1238,0)</x:f>
        <x:v>4</x:v>
      </x:c>
      <x:c r="M1238" s="6" t="n">
        <x:f>IF(G1238=0,"无伤害",ROUNDUP(K1238/MAX(1,ROUND(G1238*$AC$34,0)),0))</x:f>
        <x:v>10</x:v>
      </x:c>
      <x:c r="N1238" s="6" t="n">
        <x:f>ROUNDUP(F1238/英雄升级调参!$H$91,0)</x:f>
        <x:v>3</x:v>
      </x:c>
      <x:c r="O1238" s="6" t="n">
        <x:f>ROUNDUP(F1238/英雄升级调参!$K$91,0)</x:f>
        <x:v>2</x:v>
      </x:c>
      <x:c r="P1238" s="6" t="str">
        <x:f>$AA$34</x:f>
        <x:v>普通：4次标准普攻击杀；10次主要攻击致死</x:v>
      </x:c>
      <x:c r="Q1238" s="6"/>
      <x:c r="R1238" s="6"/>
      <x:c r="S1238" s="6"/>
      <x:c r="T1238" s="6"/>
    </x:row>
    <x:row r="1239" ht="21" customHeight="1">
      <x:c r="A1239" s="14" t="n">
        <x:f>$V$34</x:f>
        <x:v>60021</x:v>
      </x:c>
      <x:c r="B1239" s="14" t="str">
        <x:f>$W$34</x:f>
        <x:v>草莓雪球怪</x:v>
      </x:c>
      <x:c r="C1239" s="6" t="str">
        <x:f>$X$34</x:f>
        <x:v>中等</x:v>
      </x:c>
      <x:c r="D1239" s="6">
        <x:v>27</x:v>
      </x:c>
      <x:c r="E1239" s="6">
        <x:v>34</x:v>
      </x:c>
      <x:c r="F1239" s="12">
        <x:f>ROUND(J1239*$W$4*H1239,0)</x:f>
        <x:v>5712</x:v>
      </x:c>
      <x:c r="G1239" s="12">
        <x:f>ROUND(J1239*$W$4*$W$5*I1239,0)</x:f>
        <x:v>1428</x:v>
      </x:c>
      <x:c r="H1239" s="11" t="n">
        <x:f>$Y$34</x:f>
        <x:v>1</x:v>
      </x:c>
      <x:c r="I1239" s="11" t="n">
        <x:f>$Z$34</x:f>
        <x:v>3.3333333333333335</x:v>
      </x:c>
      <x:c r="J1239" s="12">
        <x:f>英雄升级调参!$E$92</x:f>
        <x:v>1428</x:v>
      </x:c>
      <x:c r="K1239" s="12">
        <x:f>英雄升级调参!$F$92</x:f>
        <x:v>14280</x:v>
      </x:c>
      <x:c r="L1239" s="6" t="n">
        <x:f>ROUNDUP(F1239/J1239,0)</x:f>
        <x:v>4</x:v>
      </x:c>
      <x:c r="M1239" s="6" t="n">
        <x:f>IF(G1239=0,"无伤害",ROUNDUP(K1239/MAX(1,ROUND(G1239*$AC$34,0)),0))</x:f>
        <x:v>10</x:v>
      </x:c>
      <x:c r="N1239" s="6" t="n">
        <x:f>ROUNDUP(F1239/英雄升级调参!$H$92,0)</x:f>
        <x:v>3</x:v>
      </x:c>
      <x:c r="O1239" s="6" t="n">
        <x:f>ROUNDUP(F1239/英雄升级调参!$K$92,0)</x:f>
        <x:v>2</x:v>
      </x:c>
      <x:c r="P1239" s="6" t="str">
        <x:f>$AA$34</x:f>
        <x:v>普通：4次标准普攻击杀；10次主要攻击致死</x:v>
      </x:c>
      <x:c r="Q1239" s="6"/>
      <x:c r="R1239" s="6"/>
      <x:c r="S1239" s="6"/>
      <x:c r="T1239" s="6"/>
    </x:row>
    <x:row r="1240" ht="21" customHeight="1">
      <x:c r="A1240" s="14" t="n">
        <x:f>$V$34</x:f>
        <x:v>60021</x:v>
      </x:c>
      <x:c r="B1240" s="14" t="str">
        <x:f>$W$34</x:f>
        <x:v>草莓雪球怪</x:v>
      </x:c>
      <x:c r="C1240" s="6" t="str">
        <x:f>$X$34</x:f>
        <x:v>中等</x:v>
      </x:c>
      <x:c r="D1240" s="6">
        <x:v>28</x:v>
      </x:c>
      <x:c r="E1240" s="6">
        <x:v>34</x:v>
      </x:c>
      <x:c r="F1240" s="12">
        <x:f>ROUND(J1240*$W$4*H1240,0)</x:f>
        <x:v>5964</x:v>
      </x:c>
      <x:c r="G1240" s="12">
        <x:f>ROUND(J1240*$W$4*$W$5*I1240,0)</x:f>
        <x:v>1491</x:v>
      </x:c>
      <x:c r="H1240" s="11" t="n">
        <x:f>$Y$34</x:f>
        <x:v>1</x:v>
      </x:c>
      <x:c r="I1240" s="11" t="n">
        <x:f>$Z$34</x:f>
        <x:v>3.3333333333333335</x:v>
      </x:c>
      <x:c r="J1240" s="12">
        <x:f>英雄升级调参!$E$93</x:f>
        <x:v>1491</x:v>
      </x:c>
      <x:c r="K1240" s="12">
        <x:f>英雄升级调参!$F$93</x:f>
        <x:v>14910</x:v>
      </x:c>
      <x:c r="L1240" s="6" t="n">
        <x:f>ROUNDUP(F1240/J1240,0)</x:f>
        <x:v>4</x:v>
      </x:c>
      <x:c r="M1240" s="6" t="n">
        <x:f>IF(G1240=0,"无伤害",ROUNDUP(K1240/MAX(1,ROUND(G1240*$AC$34,0)),0))</x:f>
        <x:v>10</x:v>
      </x:c>
      <x:c r="N1240" s="6" t="n">
        <x:f>ROUNDUP(F1240/英雄升级调参!$H$93,0)</x:f>
        <x:v>3</x:v>
      </x:c>
      <x:c r="O1240" s="6" t="n">
        <x:f>ROUNDUP(F1240/英雄升级调参!$K$93,0)</x:f>
        <x:v>2</x:v>
      </x:c>
      <x:c r="P1240" s="6" t="str">
        <x:f>$AA$34</x:f>
        <x:v>普通：4次标准普攻击杀；10次主要攻击致死</x:v>
      </x:c>
      <x:c r="Q1240" s="6"/>
      <x:c r="R1240" s="6"/>
      <x:c r="S1240" s="6"/>
      <x:c r="T1240" s="6"/>
    </x:row>
    <x:row r="1241" ht="21" customHeight="1">
      <x:c r="A1241" s="14" t="n">
        <x:f>$V$34</x:f>
        <x:v>60021</x:v>
      </x:c>
      <x:c r="B1241" s="14" t="str">
        <x:f>$W$34</x:f>
        <x:v>草莓雪球怪</x:v>
      </x:c>
      <x:c r="C1241" s="6" t="str">
        <x:f>$X$34</x:f>
        <x:v>中等</x:v>
      </x:c>
      <x:c r="D1241" s="6">
        <x:v>29</x:v>
      </x:c>
      <x:c r="E1241" s="6">
        <x:v>34</x:v>
      </x:c>
      <x:c r="F1241" s="12">
        <x:f>ROUND(J1241*$W$4*H1241,0)</x:f>
        <x:v>6216</x:v>
      </x:c>
      <x:c r="G1241" s="12">
        <x:f>ROUND(J1241*$W$4*$W$5*I1241,0)</x:f>
        <x:v>1554</x:v>
      </x:c>
      <x:c r="H1241" s="11" t="n">
        <x:f>$Y$34</x:f>
        <x:v>1</x:v>
      </x:c>
      <x:c r="I1241" s="11" t="n">
        <x:f>$Z$34</x:f>
        <x:v>3.3333333333333335</x:v>
      </x:c>
      <x:c r="J1241" s="12">
        <x:f>英雄升级调参!$E$94</x:f>
        <x:v>1554</x:v>
      </x:c>
      <x:c r="K1241" s="12">
        <x:f>英雄升级调参!$F$94</x:f>
        <x:v>15540</x:v>
      </x:c>
      <x:c r="L1241" s="6" t="n">
        <x:f>ROUNDUP(F1241/J1241,0)</x:f>
        <x:v>4</x:v>
      </x:c>
      <x:c r="M1241" s="6" t="n">
        <x:f>IF(G1241=0,"无伤害",ROUNDUP(K1241/MAX(1,ROUND(G1241*$AC$34,0)),0))</x:f>
        <x:v>10</x:v>
      </x:c>
      <x:c r="N1241" s="6" t="n">
        <x:f>ROUNDUP(F1241/英雄升级调参!$H$94,0)</x:f>
        <x:v>3</x:v>
      </x:c>
      <x:c r="O1241" s="6" t="n">
        <x:f>ROUNDUP(F1241/英雄升级调参!$K$94,0)</x:f>
        <x:v>2</x:v>
      </x:c>
      <x:c r="P1241" s="6" t="str">
        <x:f>$AA$34</x:f>
        <x:v>普通：4次标准普攻击杀；10次主要攻击致死</x:v>
      </x:c>
      <x:c r="Q1241" s="6"/>
      <x:c r="R1241" s="6"/>
      <x:c r="S1241" s="6"/>
      <x:c r="T1241" s="6"/>
    </x:row>
    <x:row r="1242" ht="21" customHeight="1">
      <x:c r="A1242" s="14" t="n">
        <x:f>$V$34</x:f>
        <x:v>60021</x:v>
      </x:c>
      <x:c r="B1242" s="14" t="str">
        <x:f>$W$34</x:f>
        <x:v>草莓雪球怪</x:v>
      </x:c>
      <x:c r="C1242" s="6" t="str">
        <x:f>$X$34</x:f>
        <x:v>中等</x:v>
      </x:c>
      <x:c r="D1242" s="6">
        <x:v>30</x:v>
      </x:c>
      <x:c r="E1242" s="6">
        <x:v>34</x:v>
      </x:c>
      <x:c r="F1242" s="12">
        <x:f>ROUND(J1242*$W$4*H1242,0)</x:f>
        <x:v>6972</x:v>
      </x:c>
      <x:c r="G1242" s="12">
        <x:f>ROUND(J1242*$W$4*$W$5*I1242,0)</x:f>
        <x:v>1743</x:v>
      </x:c>
      <x:c r="H1242" s="11" t="n">
        <x:f>$Y$34</x:f>
        <x:v>1</x:v>
      </x:c>
      <x:c r="I1242" s="11" t="n">
        <x:f>$Z$34</x:f>
        <x:v>3.3333333333333335</x:v>
      </x:c>
      <x:c r="J1242" s="12">
        <x:f>英雄升级调参!$E$95</x:f>
        <x:v>1743</x:v>
      </x:c>
      <x:c r="K1242" s="12">
        <x:f>英雄升级调参!$F$95</x:f>
        <x:v>17430</x:v>
      </x:c>
      <x:c r="L1242" s="6" t="n">
        <x:f>ROUNDUP(F1242/J1242,0)</x:f>
        <x:v>4</x:v>
      </x:c>
      <x:c r="M1242" s="6" t="n">
        <x:f>IF(G1242=0,"无伤害",ROUNDUP(K1242/MAX(1,ROUND(G1242*$AC$34,0)),0))</x:f>
        <x:v>10</x:v>
      </x:c>
      <x:c r="N1242" s="6" t="n">
        <x:f>ROUNDUP(F1242/英雄升级调参!$H$95,0)</x:f>
        <x:v>3</x:v>
      </x:c>
      <x:c r="O1242" s="6" t="n">
        <x:f>ROUNDUP(F1242/英雄升级调参!$K$95,0)</x:f>
        <x:v>2</x:v>
      </x:c>
      <x:c r="P1242" s="6" t="str">
        <x:f>$AA$34</x:f>
        <x:v>普通：4次标准普攻击杀；10次主要攻击致死</x:v>
      </x:c>
      <x:c r="Q1242" s="6"/>
      <x:c r="R1242" s="6"/>
      <x:c r="S1242" s="6"/>
      <x:c r="T1242" s="6"/>
    </x:row>
    <x:row r="1243" ht="21" customHeight="1">
      <x:c r="A1243" s="14" t="n">
        <x:f>$V$34</x:f>
        <x:v>60021</x:v>
      </x:c>
      <x:c r="B1243" s="14" t="str">
        <x:f>$W$34</x:f>
        <x:v>草莓雪球怪</x:v>
      </x:c>
      <x:c r="C1243" s="6" t="str">
        <x:f>$X$34</x:f>
        <x:v>中等</x:v>
      </x:c>
      <x:c r="D1243" s="6">
        <x:v>31</x:v>
      </x:c>
      <x:c r="E1243" s="6">
        <x:v>34</x:v>
      </x:c>
      <x:c r="F1243" s="12">
        <x:f>ROUND(J1243*$W$4*H1243,0)</x:f>
        <x:v>7260</x:v>
      </x:c>
      <x:c r="G1243" s="12">
        <x:f>ROUND(J1243*$W$4*$W$5*I1243,0)</x:f>
        <x:v>1815</x:v>
      </x:c>
      <x:c r="H1243" s="11" t="n">
        <x:f>$Y$34</x:f>
        <x:v>1</x:v>
      </x:c>
      <x:c r="I1243" s="11" t="n">
        <x:f>$Z$34</x:f>
        <x:v>3.3333333333333335</x:v>
      </x:c>
      <x:c r="J1243" s="12">
        <x:f>英雄升级调参!$E$96</x:f>
        <x:v>1815</x:v>
      </x:c>
      <x:c r="K1243" s="12">
        <x:f>英雄升级调参!$F$96</x:f>
        <x:v>18150</x:v>
      </x:c>
      <x:c r="L1243" s="6" t="n">
        <x:f>ROUNDUP(F1243/J1243,0)</x:f>
        <x:v>4</x:v>
      </x:c>
      <x:c r="M1243" s="6" t="n">
        <x:f>IF(G1243=0,"无伤害",ROUNDUP(K1243/MAX(1,ROUND(G1243*$AC$34,0)),0))</x:f>
        <x:v>10</x:v>
      </x:c>
      <x:c r="N1243" s="6" t="n">
        <x:f>ROUNDUP(F1243/英雄升级调参!$H$96,0)</x:f>
        <x:v>3</x:v>
      </x:c>
      <x:c r="O1243" s="6" t="n">
        <x:f>ROUNDUP(F1243/英雄升级调参!$K$96,0)</x:f>
        <x:v>2</x:v>
      </x:c>
      <x:c r="P1243" s="6" t="str">
        <x:f>$AA$34</x:f>
        <x:v>普通：4次标准普攻击杀；10次主要攻击致死</x:v>
      </x:c>
      <x:c r="Q1243" s="6"/>
      <x:c r="R1243" s="6"/>
      <x:c r="S1243" s="6"/>
      <x:c r="T1243" s="6"/>
    </x:row>
    <x:row r="1244" ht="21" customHeight="1">
      <x:c r="A1244" s="14" t="n">
        <x:f>$V$34</x:f>
        <x:v>60021</x:v>
      </x:c>
      <x:c r="B1244" s="14" t="str">
        <x:f>$W$34</x:f>
        <x:v>草莓雪球怪</x:v>
      </x:c>
      <x:c r="C1244" s="6" t="str">
        <x:f>$X$34</x:f>
        <x:v>中等</x:v>
      </x:c>
      <x:c r="D1244" s="6">
        <x:v>32</x:v>
      </x:c>
      <x:c r="E1244" s="6">
        <x:v>34</x:v>
      </x:c>
      <x:c r="F1244" s="12">
        <x:f>ROUND(J1244*$W$4*H1244,0)</x:f>
        <x:v>7548</x:v>
      </x:c>
      <x:c r="G1244" s="12">
        <x:f>ROUND(J1244*$W$4*$W$5*I1244,0)</x:f>
        <x:v>1887</x:v>
      </x:c>
      <x:c r="H1244" s="11" t="n">
        <x:f>$Y$34</x:f>
        <x:v>1</x:v>
      </x:c>
      <x:c r="I1244" s="11" t="n">
        <x:f>$Z$34</x:f>
        <x:v>3.3333333333333335</x:v>
      </x:c>
      <x:c r="J1244" s="12">
        <x:f>英雄升级调参!$E$97</x:f>
        <x:v>1887</x:v>
      </x:c>
      <x:c r="K1244" s="12">
        <x:f>英雄升级调参!$F$97</x:f>
        <x:v>18870</x:v>
      </x:c>
      <x:c r="L1244" s="6" t="n">
        <x:f>ROUNDUP(F1244/J1244,0)</x:f>
        <x:v>4</x:v>
      </x:c>
      <x:c r="M1244" s="6" t="n">
        <x:f>IF(G1244=0,"无伤害",ROUNDUP(K1244/MAX(1,ROUND(G1244*$AC$34,0)),0))</x:f>
        <x:v>10</x:v>
      </x:c>
      <x:c r="N1244" s="6" t="n">
        <x:f>ROUNDUP(F1244/英雄升级调参!$H$97,0)</x:f>
        <x:v>3</x:v>
      </x:c>
      <x:c r="O1244" s="6" t="n">
        <x:f>ROUNDUP(F1244/英雄升级调参!$K$97,0)</x:f>
        <x:v>2</x:v>
      </x:c>
      <x:c r="P1244" s="6" t="str">
        <x:f>$AA$34</x:f>
        <x:v>普通：4次标准普攻击杀；10次主要攻击致死</x:v>
      </x:c>
      <x:c r="Q1244" s="6"/>
      <x:c r="R1244" s="6"/>
      <x:c r="S1244" s="6"/>
      <x:c r="T1244" s="6"/>
    </x:row>
    <x:row r="1245" ht="21" customHeight="1">
      <x:c r="A1245" s="14" t="n">
        <x:f>$V$34</x:f>
        <x:v>60021</x:v>
      </x:c>
      <x:c r="B1245" s="14" t="str">
        <x:f>$W$34</x:f>
        <x:v>草莓雪球怪</x:v>
      </x:c>
      <x:c r="C1245" s="6" t="str">
        <x:f>$X$34</x:f>
        <x:v>中等</x:v>
      </x:c>
      <x:c r="D1245" s="6">
        <x:v>33</x:v>
      </x:c>
      <x:c r="E1245" s="6">
        <x:v>34</x:v>
      </x:c>
      <x:c r="F1245" s="12">
        <x:f>ROUND(J1245*$W$4*H1245,0)</x:f>
        <x:v>7836</x:v>
      </x:c>
      <x:c r="G1245" s="12">
        <x:f>ROUND(J1245*$W$4*$W$5*I1245,0)</x:f>
        <x:v>1959</x:v>
      </x:c>
      <x:c r="H1245" s="11" t="n">
        <x:f>$Y$34</x:f>
        <x:v>1</x:v>
      </x:c>
      <x:c r="I1245" s="11" t="n">
        <x:f>$Z$34</x:f>
        <x:v>3.3333333333333335</x:v>
      </x:c>
      <x:c r="J1245" s="12">
        <x:f>英雄升级调参!$E$98</x:f>
        <x:v>1959</x:v>
      </x:c>
      <x:c r="K1245" s="12">
        <x:f>英雄升级调参!$F$98</x:f>
        <x:v>19590</x:v>
      </x:c>
      <x:c r="L1245" s="6" t="n">
        <x:f>ROUNDUP(F1245/J1245,0)</x:f>
        <x:v>4</x:v>
      </x:c>
      <x:c r="M1245" s="6" t="n">
        <x:f>IF(G1245=0,"无伤害",ROUNDUP(K1245/MAX(1,ROUND(G1245*$AC$34,0)),0))</x:f>
        <x:v>10</x:v>
      </x:c>
      <x:c r="N1245" s="6" t="n">
        <x:f>ROUNDUP(F1245/英雄升级调参!$H$98,0)</x:f>
        <x:v>3</x:v>
      </x:c>
      <x:c r="O1245" s="6" t="n">
        <x:f>ROUNDUP(F1245/英雄升级调参!$K$98,0)</x:f>
        <x:v>2</x:v>
      </x:c>
      <x:c r="P1245" s="6" t="str">
        <x:f>$AA$34</x:f>
        <x:v>普通：4次标准普攻击杀；10次主要攻击致死</x:v>
      </x:c>
      <x:c r="Q1245" s="6"/>
      <x:c r="R1245" s="6"/>
      <x:c r="S1245" s="6"/>
      <x:c r="T1245" s="6"/>
    </x:row>
    <x:row r="1246" ht="21" customHeight="1">
      <x:c r="A1246" s="14" t="n">
        <x:f>$V$34</x:f>
        <x:v>60021</x:v>
      </x:c>
      <x:c r="B1246" s="14" t="str">
        <x:f>$W$34</x:f>
        <x:v>草莓雪球怪</x:v>
      </x:c>
      <x:c r="C1246" s="6" t="str">
        <x:f>$X$34</x:f>
        <x:v>中等</x:v>
      </x:c>
      <x:c r="D1246" s="6">
        <x:v>34</x:v>
      </x:c>
      <x:c r="E1246" s="6">
        <x:v>34</x:v>
      </x:c>
      <x:c r="F1246" s="12">
        <x:f>ROUND(J1246*$W$4*H1246,0)</x:f>
        <x:v>8124</x:v>
      </x:c>
      <x:c r="G1246" s="12">
        <x:f>ROUND(J1246*$W$4*$W$5*I1246,0)</x:f>
        <x:v>2031</x:v>
      </x:c>
      <x:c r="H1246" s="11" t="n">
        <x:f>$Y$34</x:f>
        <x:v>1</x:v>
      </x:c>
      <x:c r="I1246" s="11" t="n">
        <x:f>$Z$34</x:f>
        <x:v>3.3333333333333335</x:v>
      </x:c>
      <x:c r="J1246" s="12">
        <x:f>英雄升级调参!$E$99</x:f>
        <x:v>2031</x:v>
      </x:c>
      <x:c r="K1246" s="12">
        <x:f>英雄升级调参!$F$99</x:f>
        <x:v>20310</x:v>
      </x:c>
      <x:c r="L1246" s="6" t="n">
        <x:f>ROUNDUP(F1246/J1246,0)</x:f>
        <x:v>4</x:v>
      </x:c>
      <x:c r="M1246" s="6" t="n">
        <x:f>IF(G1246=0,"无伤害",ROUNDUP(K1246/MAX(1,ROUND(G1246*$AC$34,0)),0))</x:f>
        <x:v>10</x:v>
      </x:c>
      <x:c r="N1246" s="6" t="n">
        <x:f>ROUNDUP(F1246/英雄升级调参!$H$99,0)</x:f>
        <x:v>3</x:v>
      </x:c>
      <x:c r="O1246" s="6" t="n">
        <x:f>ROUNDUP(F1246/英雄升级调参!$K$99,0)</x:f>
        <x:v>2</x:v>
      </x:c>
      <x:c r="P1246" s="6" t="str">
        <x:f>$AA$34</x:f>
        <x:v>普通：4次标准普攻击杀；10次主要攻击致死</x:v>
      </x:c>
      <x:c r="Q1246" s="6"/>
      <x:c r="R1246" s="6"/>
      <x:c r="S1246" s="6"/>
      <x:c r="T1246" s="6"/>
    </x:row>
    <x:row r="1247" ht="21" customHeight="1">
      <x:c r="A1247" s="14" t="n">
        <x:f>$V$34</x:f>
        <x:v>60021</x:v>
      </x:c>
      <x:c r="B1247" s="14" t="str">
        <x:f>$W$34</x:f>
        <x:v>草莓雪球怪</x:v>
      </x:c>
      <x:c r="C1247" s="6" t="str">
        <x:f>$X$34</x:f>
        <x:v>中等</x:v>
      </x:c>
      <x:c r="D1247" s="6">
        <x:v>35</x:v>
      </x:c>
      <x:c r="E1247" s="6">
        <x:v>34</x:v>
      </x:c>
      <x:c r="F1247" s="12">
        <x:f>ROUND(J1247*$W$4*H1247,0)</x:f>
        <x:v>8988</x:v>
      </x:c>
      <x:c r="G1247" s="12">
        <x:f>ROUND(J1247*$W$4*$W$5*I1247,0)</x:f>
        <x:v>2247</x:v>
      </x:c>
      <x:c r="H1247" s="11" t="n">
        <x:f>$Y$34</x:f>
        <x:v>1</x:v>
      </x:c>
      <x:c r="I1247" s="11" t="n">
        <x:f>$Z$34</x:f>
        <x:v>3.3333333333333335</x:v>
      </x:c>
      <x:c r="J1247" s="12">
        <x:f>英雄升级调参!$E$100</x:f>
        <x:v>2247</x:v>
      </x:c>
      <x:c r="K1247" s="12">
        <x:f>英雄升级调参!$F$100</x:f>
        <x:v>22470</x:v>
      </x:c>
      <x:c r="L1247" s="6" t="n">
        <x:f>ROUNDUP(F1247/J1247,0)</x:f>
        <x:v>4</x:v>
      </x:c>
      <x:c r="M1247" s="6" t="n">
        <x:f>IF(G1247=0,"无伤害",ROUNDUP(K1247/MAX(1,ROUND(G1247*$AC$34,0)),0))</x:f>
        <x:v>10</x:v>
      </x:c>
      <x:c r="N1247" s="6" t="n">
        <x:f>ROUNDUP(F1247/英雄升级调参!$H$100,0)</x:f>
        <x:v>3</x:v>
      </x:c>
      <x:c r="O1247" s="6" t="n">
        <x:f>ROUNDUP(F1247/英雄升级调参!$K$100,0)</x:f>
        <x:v>2</x:v>
      </x:c>
      <x:c r="P1247" s="6" t="str">
        <x:f>$AA$34</x:f>
        <x:v>普通：4次标准普攻击杀；10次主要攻击致死</x:v>
      </x:c>
      <x:c r="Q1247" s="6"/>
      <x:c r="R1247" s="6"/>
      <x:c r="S1247" s="6"/>
      <x:c r="T1247" s="6"/>
    </x:row>
    <x:row r="1248" ht="21" customHeight="1">
      <x:c r="A1248" s="14" t="n">
        <x:f>$V$34</x:f>
        <x:v>60021</x:v>
      </x:c>
      <x:c r="B1248" s="14" t="str">
        <x:f>$W$34</x:f>
        <x:v>草莓雪球怪</x:v>
      </x:c>
      <x:c r="C1248" s="6" t="str">
        <x:f>$X$34</x:f>
        <x:v>中等</x:v>
      </x:c>
      <x:c r="D1248" s="6">
        <x:v>36</x:v>
      </x:c>
      <x:c r="E1248" s="6">
        <x:v>34</x:v>
      </x:c>
      <x:c r="F1248" s="12">
        <x:f>ROUND(J1248*$W$4*H1248,0)</x:f>
        <x:v>9312</x:v>
      </x:c>
      <x:c r="G1248" s="12">
        <x:f>ROUND(J1248*$W$4*$W$5*I1248,0)</x:f>
        <x:v>2328</x:v>
      </x:c>
      <x:c r="H1248" s="11" t="n">
        <x:f>$Y$34</x:f>
        <x:v>1</x:v>
      </x:c>
      <x:c r="I1248" s="11" t="n">
        <x:f>$Z$34</x:f>
        <x:v>3.3333333333333335</x:v>
      </x:c>
      <x:c r="J1248" s="12">
        <x:f>英雄升级调参!$E$101</x:f>
        <x:v>2328</x:v>
      </x:c>
      <x:c r="K1248" s="12">
        <x:f>英雄升级调参!$F$101</x:f>
        <x:v>23280</x:v>
      </x:c>
      <x:c r="L1248" s="6" t="n">
        <x:f>ROUNDUP(F1248/J1248,0)</x:f>
        <x:v>4</x:v>
      </x:c>
      <x:c r="M1248" s="6" t="n">
        <x:f>IF(G1248=0,"无伤害",ROUNDUP(K1248/MAX(1,ROUND(G1248*$AC$34,0)),0))</x:f>
        <x:v>10</x:v>
      </x:c>
      <x:c r="N1248" s="6" t="n">
        <x:f>ROUNDUP(F1248/英雄升级调参!$H$101,0)</x:f>
        <x:v>3</x:v>
      </x:c>
      <x:c r="O1248" s="6" t="n">
        <x:f>ROUNDUP(F1248/英雄升级调参!$K$101,0)</x:f>
        <x:v>2</x:v>
      </x:c>
      <x:c r="P1248" s="6" t="str">
        <x:f>$AA$34</x:f>
        <x:v>普通：4次标准普攻击杀；10次主要攻击致死</x:v>
      </x:c>
      <x:c r="Q1248" s="6"/>
      <x:c r="R1248" s="6"/>
      <x:c r="S1248" s="6"/>
      <x:c r="T1248" s="6"/>
    </x:row>
    <x:row r="1249" ht="21" customHeight="1">
      <x:c r="A1249" s="14" t="n">
        <x:f>$V$34</x:f>
        <x:v>60021</x:v>
      </x:c>
      <x:c r="B1249" s="14" t="str">
        <x:f>$W$34</x:f>
        <x:v>草莓雪球怪</x:v>
      </x:c>
      <x:c r="C1249" s="6" t="str">
        <x:f>$X$34</x:f>
        <x:v>中等</x:v>
      </x:c>
      <x:c r="D1249" s="6">
        <x:v>37</x:v>
      </x:c>
      <x:c r="E1249" s="6">
        <x:v>34</x:v>
      </x:c>
      <x:c r="F1249" s="12">
        <x:f>ROUND(J1249*$W$4*H1249,0)</x:f>
        <x:v>9636</x:v>
      </x:c>
      <x:c r="G1249" s="12">
        <x:f>ROUND(J1249*$W$4*$W$5*I1249,0)</x:f>
        <x:v>2409</x:v>
      </x:c>
      <x:c r="H1249" s="11" t="n">
        <x:f>$Y$34</x:f>
        <x:v>1</x:v>
      </x:c>
      <x:c r="I1249" s="11" t="n">
        <x:f>$Z$34</x:f>
        <x:v>3.3333333333333335</x:v>
      </x:c>
      <x:c r="J1249" s="12">
        <x:f>英雄升级调参!$E$102</x:f>
        <x:v>2409</x:v>
      </x:c>
      <x:c r="K1249" s="12">
        <x:f>英雄升级调参!$F$102</x:f>
        <x:v>24090</x:v>
      </x:c>
      <x:c r="L1249" s="6" t="n">
        <x:f>ROUNDUP(F1249/J1249,0)</x:f>
        <x:v>4</x:v>
      </x:c>
      <x:c r="M1249" s="6" t="n">
        <x:f>IF(G1249=0,"无伤害",ROUNDUP(K1249/MAX(1,ROUND(G1249*$AC$34,0)),0))</x:f>
        <x:v>10</x:v>
      </x:c>
      <x:c r="N1249" s="6" t="n">
        <x:f>ROUNDUP(F1249/英雄升级调参!$H$102,0)</x:f>
        <x:v>3</x:v>
      </x:c>
      <x:c r="O1249" s="6" t="n">
        <x:f>ROUNDUP(F1249/英雄升级调参!$K$102,0)</x:f>
        <x:v>2</x:v>
      </x:c>
      <x:c r="P1249" s="6" t="str">
        <x:f>$AA$34</x:f>
        <x:v>普通：4次标准普攻击杀；10次主要攻击致死</x:v>
      </x:c>
      <x:c r="Q1249" s="6"/>
      <x:c r="R1249" s="6"/>
      <x:c r="S1249" s="6"/>
      <x:c r="T1249" s="6"/>
    </x:row>
    <x:row r="1250" ht="21" customHeight="1">
      <x:c r="A1250" s="14" t="n">
        <x:f>$V$34</x:f>
        <x:v>60021</x:v>
      </x:c>
      <x:c r="B1250" s="14" t="str">
        <x:f>$W$34</x:f>
        <x:v>草莓雪球怪</x:v>
      </x:c>
      <x:c r="C1250" s="6" t="str">
        <x:f>$X$34</x:f>
        <x:v>中等</x:v>
      </x:c>
      <x:c r="D1250" s="6">
        <x:v>38</x:v>
      </x:c>
      <x:c r="E1250" s="6">
        <x:v>34</x:v>
      </x:c>
      <x:c r="F1250" s="12">
        <x:f>ROUND(J1250*$W$4*H1250,0)</x:f>
        <x:v>9960</x:v>
      </x:c>
      <x:c r="G1250" s="12">
        <x:f>ROUND(J1250*$W$4*$W$5*I1250,0)</x:f>
        <x:v>2490</x:v>
      </x:c>
      <x:c r="H1250" s="11" t="n">
        <x:f>$Y$34</x:f>
        <x:v>1</x:v>
      </x:c>
      <x:c r="I1250" s="11" t="n">
        <x:f>$Z$34</x:f>
        <x:v>3.3333333333333335</x:v>
      </x:c>
      <x:c r="J1250" s="12">
        <x:f>英雄升级调参!$E$103</x:f>
        <x:v>2490</x:v>
      </x:c>
      <x:c r="K1250" s="12">
        <x:f>英雄升级调参!$F$103</x:f>
        <x:v>24900</x:v>
      </x:c>
      <x:c r="L1250" s="6" t="n">
        <x:f>ROUNDUP(F1250/J1250,0)</x:f>
        <x:v>4</x:v>
      </x:c>
      <x:c r="M1250" s="6" t="n">
        <x:f>IF(G1250=0,"无伤害",ROUNDUP(K1250/MAX(1,ROUND(G1250*$AC$34,0)),0))</x:f>
        <x:v>10</x:v>
      </x:c>
      <x:c r="N1250" s="6" t="n">
        <x:f>ROUNDUP(F1250/英雄升级调参!$H$103,0)</x:f>
        <x:v>3</x:v>
      </x:c>
      <x:c r="O1250" s="6" t="n">
        <x:f>ROUNDUP(F1250/英雄升级调参!$K$103,0)</x:f>
        <x:v>2</x:v>
      </x:c>
      <x:c r="P1250" s="6" t="str">
        <x:f>$AA$34</x:f>
        <x:v>普通：4次标准普攻击杀；10次主要攻击致死</x:v>
      </x:c>
      <x:c r="Q1250" s="6"/>
      <x:c r="R1250" s="6"/>
      <x:c r="S1250" s="6"/>
      <x:c r="T1250" s="6"/>
    </x:row>
    <x:row r="1251" ht="21" customHeight="1">
      <x:c r="A1251" s="14" t="n">
        <x:f>$V$34</x:f>
        <x:v>60021</x:v>
      </x:c>
      <x:c r="B1251" s="14" t="str">
        <x:f>$W$34</x:f>
        <x:v>草莓雪球怪</x:v>
      </x:c>
      <x:c r="C1251" s="6" t="str">
        <x:f>$X$34</x:f>
        <x:v>中等</x:v>
      </x:c>
      <x:c r="D1251" s="6">
        <x:v>39</x:v>
      </x:c>
      <x:c r="E1251" s="6">
        <x:v>34</x:v>
      </x:c>
      <x:c r="F1251" s="12">
        <x:f>ROUND(J1251*$W$4*H1251,0)</x:f>
        <x:v>10284</x:v>
      </x:c>
      <x:c r="G1251" s="12">
        <x:f>ROUND(J1251*$W$4*$W$5*I1251,0)</x:f>
        <x:v>2571</x:v>
      </x:c>
      <x:c r="H1251" s="11" t="n">
        <x:f>$Y$34</x:f>
        <x:v>1</x:v>
      </x:c>
      <x:c r="I1251" s="11" t="n">
        <x:f>$Z$34</x:f>
        <x:v>3.3333333333333335</x:v>
      </x:c>
      <x:c r="J1251" s="12">
        <x:f>英雄升级调参!$E$104</x:f>
        <x:v>2571</x:v>
      </x:c>
      <x:c r="K1251" s="12">
        <x:f>英雄升级调参!$F$104</x:f>
        <x:v>25710</x:v>
      </x:c>
      <x:c r="L1251" s="6" t="n">
        <x:f>ROUNDUP(F1251/J1251,0)</x:f>
        <x:v>4</x:v>
      </x:c>
      <x:c r="M1251" s="6" t="n">
        <x:f>IF(G1251=0,"无伤害",ROUNDUP(K1251/MAX(1,ROUND(G1251*$AC$34,0)),0))</x:f>
        <x:v>10</x:v>
      </x:c>
      <x:c r="N1251" s="6" t="n">
        <x:f>ROUNDUP(F1251/英雄升级调参!$H$104,0)</x:f>
        <x:v>3</x:v>
      </x:c>
      <x:c r="O1251" s="6" t="n">
        <x:f>ROUNDUP(F1251/英雄升级调参!$K$104,0)</x:f>
        <x:v>2</x:v>
      </x:c>
      <x:c r="P1251" s="6" t="str">
        <x:f>$AA$34</x:f>
        <x:v>普通：4次标准普攻击杀；10次主要攻击致死</x:v>
      </x:c>
      <x:c r="Q1251" s="6"/>
      <x:c r="R1251" s="6"/>
      <x:c r="S1251" s="6"/>
      <x:c r="T1251" s="6"/>
    </x:row>
    <x:row r="1252" ht="21" customHeight="1">
      <x:c r="A1252" s="14" t="n">
        <x:f>$V$34</x:f>
        <x:v>60021</x:v>
      </x:c>
      <x:c r="B1252" s="14" t="str">
        <x:f>$W$34</x:f>
        <x:v>草莓雪球怪</x:v>
      </x:c>
      <x:c r="C1252" s="6" t="str">
        <x:f>$X$34</x:f>
        <x:v>中等</x:v>
      </x:c>
      <x:c r="D1252" s="6">
        <x:v>40</x:v>
      </x:c>
      <x:c r="E1252" s="6">
        <x:v>34</x:v>
      </x:c>
      <x:c r="F1252" s="12">
        <x:f>ROUND(J1252*$W$4*H1252,0)</x:f>
        <x:v>11256</x:v>
      </x:c>
      <x:c r="G1252" s="12">
        <x:f>ROUND(J1252*$W$4*$W$5*I1252,0)</x:f>
        <x:v>2814</x:v>
      </x:c>
      <x:c r="H1252" s="11" t="n">
        <x:f>$Y$34</x:f>
        <x:v>1</x:v>
      </x:c>
      <x:c r="I1252" s="11" t="n">
        <x:f>$Z$34</x:f>
        <x:v>3.3333333333333335</x:v>
      </x:c>
      <x:c r="J1252" s="12">
        <x:f>英雄升级调参!$E$105</x:f>
        <x:v>2814</x:v>
      </x:c>
      <x:c r="K1252" s="12">
        <x:f>英雄升级调参!$F$105</x:f>
        <x:v>28140</x:v>
      </x:c>
      <x:c r="L1252" s="6" t="n">
        <x:f>ROUNDUP(F1252/J1252,0)</x:f>
        <x:v>4</x:v>
      </x:c>
      <x:c r="M1252" s="6" t="n">
        <x:f>IF(G1252=0,"无伤害",ROUNDUP(K1252/MAX(1,ROUND(G1252*$AC$34,0)),0))</x:f>
        <x:v>10</x:v>
      </x:c>
      <x:c r="N1252" s="6" t="n">
        <x:f>ROUNDUP(F1252/英雄升级调参!$H$105,0)</x:f>
        <x:v>3</x:v>
      </x:c>
      <x:c r="O1252" s="6" t="n">
        <x:f>ROUNDUP(F1252/英雄升级调参!$K$105,0)</x:f>
        <x:v>2</x:v>
      </x:c>
      <x:c r="P1252" s="6" t="str">
        <x:f>$AA$34</x:f>
        <x:v>普通：4次标准普攻击杀；10次主要攻击致死</x:v>
      </x:c>
      <x:c r="Q1252" s="6"/>
      <x:c r="R1252" s="6"/>
      <x:c r="S1252" s="6"/>
      <x:c r="T1252" s="6"/>
    </x:row>
    <x:row r="1253" ht="21" customHeight="1">
      <x:c r="A1253" s="14" t="n">
        <x:f>$V$34</x:f>
        <x:v>60021</x:v>
      </x:c>
      <x:c r="B1253" s="14" t="str">
        <x:f>$W$34</x:f>
        <x:v>草莓雪球怪</x:v>
      </x:c>
      <x:c r="C1253" s="6" t="str">
        <x:f>$X$34</x:f>
        <x:v>中等</x:v>
      </x:c>
      <x:c r="D1253" s="6">
        <x:v>41</x:v>
      </x:c>
      <x:c r="E1253" s="6">
        <x:v>34</x:v>
      </x:c>
      <x:c r="F1253" s="12">
        <x:f>ROUND(J1253*$W$4*H1253,0)</x:f>
        <x:v>11616</x:v>
      </x:c>
      <x:c r="G1253" s="12">
        <x:f>ROUND(J1253*$W$4*$W$5*I1253,0)</x:f>
        <x:v>2904</x:v>
      </x:c>
      <x:c r="H1253" s="11" t="n">
        <x:f>$Y$34</x:f>
        <x:v>1</x:v>
      </x:c>
      <x:c r="I1253" s="11" t="n">
        <x:f>$Z$34</x:f>
        <x:v>3.3333333333333335</x:v>
      </x:c>
      <x:c r="J1253" s="12">
        <x:f>英雄升级调参!$E$106</x:f>
        <x:v>2904</x:v>
      </x:c>
      <x:c r="K1253" s="12">
        <x:f>英雄升级调参!$F$106</x:f>
        <x:v>29040</x:v>
      </x:c>
      <x:c r="L1253" s="6" t="n">
        <x:f>ROUNDUP(F1253/J1253,0)</x:f>
        <x:v>4</x:v>
      </x:c>
      <x:c r="M1253" s="6" t="n">
        <x:f>IF(G1253=0,"无伤害",ROUNDUP(K1253/MAX(1,ROUND(G1253*$AC$34,0)),0))</x:f>
        <x:v>10</x:v>
      </x:c>
      <x:c r="N1253" s="6" t="n">
        <x:f>ROUNDUP(F1253/英雄升级调参!$H$106,0)</x:f>
        <x:v>3</x:v>
      </x:c>
      <x:c r="O1253" s="6" t="n">
        <x:f>ROUNDUP(F1253/英雄升级调参!$K$106,0)</x:f>
        <x:v>2</x:v>
      </x:c>
      <x:c r="P1253" s="6" t="str">
        <x:f>$AA$34</x:f>
        <x:v>普通：4次标准普攻击杀；10次主要攻击致死</x:v>
      </x:c>
      <x:c r="Q1253" s="6"/>
      <x:c r="R1253" s="6"/>
      <x:c r="S1253" s="6"/>
      <x:c r="T1253" s="6"/>
    </x:row>
    <x:row r="1254" ht="21" customHeight="1">
      <x:c r="A1254" s="14" t="n">
        <x:f>$V$34</x:f>
        <x:v>60021</x:v>
      </x:c>
      <x:c r="B1254" s="14" t="str">
        <x:f>$W$34</x:f>
        <x:v>草莓雪球怪</x:v>
      </x:c>
      <x:c r="C1254" s="6" t="str">
        <x:f>$X$34</x:f>
        <x:v>中等</x:v>
      </x:c>
      <x:c r="D1254" s="6">
        <x:v>42</x:v>
      </x:c>
      <x:c r="E1254" s="6">
        <x:v>34</x:v>
      </x:c>
      <x:c r="F1254" s="12">
        <x:f>ROUND(J1254*$W$4*H1254,0)</x:f>
        <x:v>11976</x:v>
      </x:c>
      <x:c r="G1254" s="12">
        <x:f>ROUND(J1254*$W$4*$W$5*I1254,0)</x:f>
        <x:v>2994</x:v>
      </x:c>
      <x:c r="H1254" s="11" t="n">
        <x:f>$Y$34</x:f>
        <x:v>1</x:v>
      </x:c>
      <x:c r="I1254" s="11" t="n">
        <x:f>$Z$34</x:f>
        <x:v>3.3333333333333335</x:v>
      </x:c>
      <x:c r="J1254" s="12">
        <x:f>英雄升级调参!$E$107</x:f>
        <x:v>2994</x:v>
      </x:c>
      <x:c r="K1254" s="12">
        <x:f>英雄升级调参!$F$107</x:f>
        <x:v>29940</x:v>
      </x:c>
      <x:c r="L1254" s="6" t="n">
        <x:f>ROUNDUP(F1254/J1254,0)</x:f>
        <x:v>4</x:v>
      </x:c>
      <x:c r="M1254" s="6" t="n">
        <x:f>IF(G1254=0,"无伤害",ROUNDUP(K1254/MAX(1,ROUND(G1254*$AC$34,0)),0))</x:f>
        <x:v>10</x:v>
      </x:c>
      <x:c r="N1254" s="6" t="n">
        <x:f>ROUNDUP(F1254/英雄升级调参!$H$107,0)</x:f>
        <x:v>3</x:v>
      </x:c>
      <x:c r="O1254" s="6" t="n">
        <x:f>ROUNDUP(F1254/英雄升级调参!$K$107,0)</x:f>
        <x:v>2</x:v>
      </x:c>
      <x:c r="P1254" s="6" t="str">
        <x:f>$AA$34</x:f>
        <x:v>普通：4次标准普攻击杀；10次主要攻击致死</x:v>
      </x:c>
      <x:c r="Q1254" s="6"/>
      <x:c r="R1254" s="6"/>
      <x:c r="S1254" s="6"/>
      <x:c r="T1254" s="6"/>
    </x:row>
    <x:row r="1255" ht="21" customHeight="1">
      <x:c r="A1255" s="14" t="n">
        <x:f>$V$34</x:f>
        <x:v>60021</x:v>
      </x:c>
      <x:c r="B1255" s="14" t="str">
        <x:f>$W$34</x:f>
        <x:v>草莓雪球怪</x:v>
      </x:c>
      <x:c r="C1255" s="6" t="str">
        <x:f>$X$34</x:f>
        <x:v>中等</x:v>
      </x:c>
      <x:c r="D1255" s="6">
        <x:v>43</x:v>
      </x:c>
      <x:c r="E1255" s="6">
        <x:v>34</x:v>
      </x:c>
      <x:c r="F1255" s="12">
        <x:f>ROUND(J1255*$W$4*H1255,0)</x:f>
        <x:v>12336</x:v>
      </x:c>
      <x:c r="G1255" s="12">
        <x:f>ROUND(J1255*$W$4*$W$5*I1255,0)</x:f>
        <x:v>3084</x:v>
      </x:c>
      <x:c r="H1255" s="11" t="n">
        <x:f>$Y$34</x:f>
        <x:v>1</x:v>
      </x:c>
      <x:c r="I1255" s="11" t="n">
        <x:f>$Z$34</x:f>
        <x:v>3.3333333333333335</x:v>
      </x:c>
      <x:c r="J1255" s="12">
        <x:f>英雄升级调参!$E$108</x:f>
        <x:v>3084</x:v>
      </x:c>
      <x:c r="K1255" s="12">
        <x:f>英雄升级调参!$F$108</x:f>
        <x:v>30840</x:v>
      </x:c>
      <x:c r="L1255" s="6" t="n">
        <x:f>ROUNDUP(F1255/J1255,0)</x:f>
        <x:v>4</x:v>
      </x:c>
      <x:c r="M1255" s="6" t="n">
        <x:f>IF(G1255=0,"无伤害",ROUNDUP(K1255/MAX(1,ROUND(G1255*$AC$34,0)),0))</x:f>
        <x:v>10</x:v>
      </x:c>
      <x:c r="N1255" s="6" t="n">
        <x:f>ROUNDUP(F1255/英雄升级调参!$H$108,0)</x:f>
        <x:v>3</x:v>
      </x:c>
      <x:c r="O1255" s="6" t="n">
        <x:f>ROUNDUP(F1255/英雄升级调参!$K$108,0)</x:f>
        <x:v>2</x:v>
      </x:c>
      <x:c r="P1255" s="6" t="str">
        <x:f>$AA$34</x:f>
        <x:v>普通：4次标准普攻击杀；10次主要攻击致死</x:v>
      </x:c>
      <x:c r="Q1255" s="6"/>
      <x:c r="R1255" s="6"/>
      <x:c r="S1255" s="6"/>
      <x:c r="T1255" s="6"/>
    </x:row>
    <x:row r="1256" ht="21" customHeight="1">
      <x:c r="A1256" s="14" t="n">
        <x:f>$V$34</x:f>
        <x:v>60021</x:v>
      </x:c>
      <x:c r="B1256" s="14" t="str">
        <x:f>$W$34</x:f>
        <x:v>草莓雪球怪</x:v>
      </x:c>
      <x:c r="C1256" s="6" t="str">
        <x:f>$X$34</x:f>
        <x:v>中等</x:v>
      </x:c>
      <x:c r="D1256" s="6">
        <x:v>44</x:v>
      </x:c>
      <x:c r="E1256" s="6">
        <x:v>34</x:v>
      </x:c>
      <x:c r="F1256" s="12">
        <x:f>ROUND(J1256*$W$4*H1256,0)</x:f>
        <x:v>12696</x:v>
      </x:c>
      <x:c r="G1256" s="12">
        <x:f>ROUND(J1256*$W$4*$W$5*I1256,0)</x:f>
        <x:v>3174</x:v>
      </x:c>
      <x:c r="H1256" s="11" t="n">
        <x:f>$Y$34</x:f>
        <x:v>1</x:v>
      </x:c>
      <x:c r="I1256" s="11" t="n">
        <x:f>$Z$34</x:f>
        <x:v>3.3333333333333335</x:v>
      </x:c>
      <x:c r="J1256" s="12">
        <x:f>英雄升级调参!$E$109</x:f>
        <x:v>3174</x:v>
      </x:c>
      <x:c r="K1256" s="12">
        <x:f>英雄升级调参!$F$109</x:f>
        <x:v>31740</x:v>
      </x:c>
      <x:c r="L1256" s="6" t="n">
        <x:f>ROUNDUP(F1256/J1256,0)</x:f>
        <x:v>4</x:v>
      </x:c>
      <x:c r="M1256" s="6" t="n">
        <x:f>IF(G1256=0,"无伤害",ROUNDUP(K1256/MAX(1,ROUND(G1256*$AC$34,0)),0))</x:f>
        <x:v>10</x:v>
      </x:c>
      <x:c r="N1256" s="6" t="n">
        <x:f>ROUNDUP(F1256/英雄升级调参!$H$109,0)</x:f>
        <x:v>3</x:v>
      </x:c>
      <x:c r="O1256" s="6" t="n">
        <x:f>ROUNDUP(F1256/英雄升级调参!$K$109,0)</x:f>
        <x:v>2</x:v>
      </x:c>
      <x:c r="P1256" s="6" t="str">
        <x:f>$AA$34</x:f>
        <x:v>普通：4次标准普攻击杀；10次主要攻击致死</x:v>
      </x:c>
      <x:c r="Q1256" s="6"/>
      <x:c r="R1256" s="6"/>
      <x:c r="S1256" s="6"/>
      <x:c r="T1256" s="6"/>
    </x:row>
    <x:row r="1257" ht="21" customHeight="1">
      <x:c r="A1257" s="14" t="n">
        <x:f>$V$34</x:f>
        <x:v>60021</x:v>
      </x:c>
      <x:c r="B1257" s="14" t="str">
        <x:f>$W$34</x:f>
        <x:v>草莓雪球怪</x:v>
      </x:c>
      <x:c r="C1257" s="6" t="str">
        <x:f>$X$34</x:f>
        <x:v>中等</x:v>
      </x:c>
      <x:c r="D1257" s="6">
        <x:v>45</x:v>
      </x:c>
      <x:c r="E1257" s="6">
        <x:v>34</x:v>
      </x:c>
      <x:c r="F1257" s="12">
        <x:f>ROUND(J1257*$W$4*H1257,0)</x:f>
        <x:v>13776</x:v>
      </x:c>
      <x:c r="G1257" s="12">
        <x:f>ROUND(J1257*$W$4*$W$5*I1257,0)</x:f>
        <x:v>3444</x:v>
      </x:c>
      <x:c r="H1257" s="11" t="n">
        <x:f>$Y$34</x:f>
        <x:v>1</x:v>
      </x:c>
      <x:c r="I1257" s="11" t="n">
        <x:f>$Z$34</x:f>
        <x:v>3.3333333333333335</x:v>
      </x:c>
      <x:c r="J1257" s="12">
        <x:f>英雄升级调参!$E$110</x:f>
        <x:v>3444</x:v>
      </x:c>
      <x:c r="K1257" s="12">
        <x:f>英雄升级调参!$F$110</x:f>
        <x:v>34440</x:v>
      </x:c>
      <x:c r="L1257" s="6" t="n">
        <x:f>ROUNDUP(F1257/J1257,0)</x:f>
        <x:v>4</x:v>
      </x:c>
      <x:c r="M1257" s="6" t="n">
        <x:f>IF(G1257=0,"无伤害",ROUNDUP(K1257/MAX(1,ROUND(G1257*$AC$34,0)),0))</x:f>
        <x:v>10</x:v>
      </x:c>
      <x:c r="N1257" s="6" t="n">
        <x:f>ROUNDUP(F1257/英雄升级调参!$H$110,0)</x:f>
        <x:v>3</x:v>
      </x:c>
      <x:c r="O1257" s="6" t="n">
        <x:f>ROUNDUP(F1257/英雄升级调参!$K$110,0)</x:f>
        <x:v>2</x:v>
      </x:c>
      <x:c r="P1257" s="6" t="str">
        <x:f>$AA$34</x:f>
        <x:v>普通：4次标准普攻击杀；10次主要攻击致死</x:v>
      </x:c>
      <x:c r="Q1257" s="6"/>
      <x:c r="R1257" s="6"/>
      <x:c r="S1257" s="6"/>
      <x:c r="T1257" s="6"/>
    </x:row>
    <x:row r="1258" ht="21" customHeight="1">
      <x:c r="A1258" s="14" t="n">
        <x:f>$V$34</x:f>
        <x:v>60021</x:v>
      </x:c>
      <x:c r="B1258" s="14" t="str">
        <x:f>$W$34</x:f>
        <x:v>草莓雪球怪</x:v>
      </x:c>
      <x:c r="C1258" s="6" t="str">
        <x:f>$X$34</x:f>
        <x:v>中等</x:v>
      </x:c>
      <x:c r="D1258" s="6">
        <x:v>46</x:v>
      </x:c>
      <x:c r="E1258" s="6">
        <x:v>34</x:v>
      </x:c>
      <x:c r="F1258" s="12">
        <x:f>ROUND(J1258*$W$4*H1258,0)</x:f>
        <x:v>14172</x:v>
      </x:c>
      <x:c r="G1258" s="12">
        <x:f>ROUND(J1258*$W$4*$W$5*I1258,0)</x:f>
        <x:v>3543</x:v>
      </x:c>
      <x:c r="H1258" s="11" t="n">
        <x:f>$Y$34</x:f>
        <x:v>1</x:v>
      </x:c>
      <x:c r="I1258" s="11" t="n">
        <x:f>$Z$34</x:f>
        <x:v>3.3333333333333335</x:v>
      </x:c>
      <x:c r="J1258" s="12">
        <x:f>英雄升级调参!$E$111</x:f>
        <x:v>3543</x:v>
      </x:c>
      <x:c r="K1258" s="12">
        <x:f>英雄升级调参!$F$111</x:f>
        <x:v>35430</x:v>
      </x:c>
      <x:c r="L1258" s="6" t="n">
        <x:f>ROUNDUP(F1258/J1258,0)</x:f>
        <x:v>4</x:v>
      </x:c>
      <x:c r="M1258" s="6" t="n">
        <x:f>IF(G1258=0,"无伤害",ROUNDUP(K1258/MAX(1,ROUND(G1258*$AC$34,0)),0))</x:f>
        <x:v>10</x:v>
      </x:c>
      <x:c r="N1258" s="6" t="n">
        <x:f>ROUNDUP(F1258/英雄升级调参!$H$111,0)</x:f>
        <x:v>3</x:v>
      </x:c>
      <x:c r="O1258" s="6" t="n">
        <x:f>ROUNDUP(F1258/英雄升级调参!$K$111,0)</x:f>
        <x:v>2</x:v>
      </x:c>
      <x:c r="P1258" s="6" t="str">
        <x:f>$AA$34</x:f>
        <x:v>普通：4次标准普攻击杀；10次主要攻击致死</x:v>
      </x:c>
      <x:c r="Q1258" s="6"/>
      <x:c r="R1258" s="6"/>
      <x:c r="S1258" s="6"/>
      <x:c r="T1258" s="6"/>
    </x:row>
    <x:row r="1259" ht="21" customHeight="1">
      <x:c r="A1259" s="14" t="n">
        <x:f>$V$34</x:f>
        <x:v>60021</x:v>
      </x:c>
      <x:c r="B1259" s="14" t="str">
        <x:f>$W$34</x:f>
        <x:v>草莓雪球怪</x:v>
      </x:c>
      <x:c r="C1259" s="6" t="str">
        <x:f>$X$34</x:f>
        <x:v>中等</x:v>
      </x:c>
      <x:c r="D1259" s="6">
        <x:v>47</x:v>
      </x:c>
      <x:c r="E1259" s="6">
        <x:v>34</x:v>
      </x:c>
      <x:c r="F1259" s="12">
        <x:f>ROUND(J1259*$W$4*H1259,0)</x:f>
        <x:v>14568</x:v>
      </x:c>
      <x:c r="G1259" s="12">
        <x:f>ROUND(J1259*$W$4*$W$5*I1259,0)</x:f>
        <x:v>3642</x:v>
      </x:c>
      <x:c r="H1259" s="11" t="n">
        <x:f>$Y$34</x:f>
        <x:v>1</x:v>
      </x:c>
      <x:c r="I1259" s="11" t="n">
        <x:f>$Z$34</x:f>
        <x:v>3.3333333333333335</x:v>
      </x:c>
      <x:c r="J1259" s="12">
        <x:f>英雄升级调参!$E$112</x:f>
        <x:v>3642</x:v>
      </x:c>
      <x:c r="K1259" s="12">
        <x:f>英雄升级调参!$F$112</x:f>
        <x:v>36420</x:v>
      </x:c>
      <x:c r="L1259" s="6" t="n">
        <x:f>ROUNDUP(F1259/J1259,0)</x:f>
        <x:v>4</x:v>
      </x:c>
      <x:c r="M1259" s="6" t="n">
        <x:f>IF(G1259=0,"无伤害",ROUNDUP(K1259/MAX(1,ROUND(G1259*$AC$34,0)),0))</x:f>
        <x:v>10</x:v>
      </x:c>
      <x:c r="N1259" s="6" t="n">
        <x:f>ROUNDUP(F1259/英雄升级调参!$H$112,0)</x:f>
        <x:v>3</x:v>
      </x:c>
      <x:c r="O1259" s="6" t="n">
        <x:f>ROUNDUP(F1259/英雄升级调参!$K$112,0)</x:f>
        <x:v>2</x:v>
      </x:c>
      <x:c r="P1259" s="6" t="str">
        <x:f>$AA$34</x:f>
        <x:v>普通：4次标准普攻击杀；10次主要攻击致死</x:v>
      </x:c>
      <x:c r="Q1259" s="6"/>
      <x:c r="R1259" s="6"/>
      <x:c r="S1259" s="6"/>
      <x:c r="T1259" s="6"/>
    </x:row>
    <x:row r="1260" ht="21" customHeight="1">
      <x:c r="A1260" s="14" t="n">
        <x:f>$V$34</x:f>
        <x:v>60021</x:v>
      </x:c>
      <x:c r="B1260" s="14" t="str">
        <x:f>$W$34</x:f>
        <x:v>草莓雪球怪</x:v>
      </x:c>
      <x:c r="C1260" s="6" t="str">
        <x:f>$X$34</x:f>
        <x:v>中等</x:v>
      </x:c>
      <x:c r="D1260" s="6">
        <x:v>48</x:v>
      </x:c>
      <x:c r="E1260" s="6">
        <x:v>34</x:v>
      </x:c>
      <x:c r="F1260" s="12">
        <x:f>ROUND(J1260*$W$4*H1260,0)</x:f>
        <x:v>14964</x:v>
      </x:c>
      <x:c r="G1260" s="12">
        <x:f>ROUND(J1260*$W$4*$W$5*I1260,0)</x:f>
        <x:v>3741</x:v>
      </x:c>
      <x:c r="H1260" s="11" t="n">
        <x:f>$Y$34</x:f>
        <x:v>1</x:v>
      </x:c>
      <x:c r="I1260" s="11" t="n">
        <x:f>$Z$34</x:f>
        <x:v>3.3333333333333335</x:v>
      </x:c>
      <x:c r="J1260" s="12">
        <x:f>英雄升级调参!$E$113</x:f>
        <x:v>3741</x:v>
      </x:c>
      <x:c r="K1260" s="12">
        <x:f>英雄升级调参!$F$113</x:f>
        <x:v>37410</x:v>
      </x:c>
      <x:c r="L1260" s="6" t="n">
        <x:f>ROUNDUP(F1260/J1260,0)</x:f>
        <x:v>4</x:v>
      </x:c>
      <x:c r="M1260" s="6" t="n">
        <x:f>IF(G1260=0,"无伤害",ROUNDUP(K1260/MAX(1,ROUND(G1260*$AC$34,0)),0))</x:f>
        <x:v>10</x:v>
      </x:c>
      <x:c r="N1260" s="6" t="n">
        <x:f>ROUNDUP(F1260/英雄升级调参!$H$113,0)</x:f>
        <x:v>3</x:v>
      </x:c>
      <x:c r="O1260" s="6" t="n">
        <x:f>ROUNDUP(F1260/英雄升级调参!$K$113,0)</x:f>
        <x:v>2</x:v>
      </x:c>
      <x:c r="P1260" s="6" t="str">
        <x:f>$AA$34</x:f>
        <x:v>普通：4次标准普攻击杀；10次主要攻击致死</x:v>
      </x:c>
      <x:c r="Q1260" s="6"/>
      <x:c r="R1260" s="6"/>
      <x:c r="S1260" s="6"/>
      <x:c r="T1260" s="6"/>
    </x:row>
    <x:row r="1261" ht="21" customHeight="1">
      <x:c r="A1261" s="14" t="n">
        <x:f>$V$34</x:f>
        <x:v>60021</x:v>
      </x:c>
      <x:c r="B1261" s="14" t="str">
        <x:f>$W$34</x:f>
        <x:v>草莓雪球怪</x:v>
      </x:c>
      <x:c r="C1261" s="6" t="str">
        <x:f>$X$34</x:f>
        <x:v>中等</x:v>
      </x:c>
      <x:c r="D1261" s="6">
        <x:v>49</x:v>
      </x:c>
      <x:c r="E1261" s="6">
        <x:v>34</x:v>
      </x:c>
      <x:c r="F1261" s="12">
        <x:f>ROUND(J1261*$W$4*H1261,0)</x:f>
        <x:v>15360</x:v>
      </x:c>
      <x:c r="G1261" s="12">
        <x:f>ROUND(J1261*$W$4*$W$5*I1261,0)</x:f>
        <x:v>3840</x:v>
      </x:c>
      <x:c r="H1261" s="11" t="n">
        <x:f>$Y$34</x:f>
        <x:v>1</x:v>
      </x:c>
      <x:c r="I1261" s="11" t="n">
        <x:f>$Z$34</x:f>
        <x:v>3.3333333333333335</x:v>
      </x:c>
      <x:c r="J1261" s="12">
        <x:f>英雄升级调参!$E$114</x:f>
        <x:v>3840</x:v>
      </x:c>
      <x:c r="K1261" s="12">
        <x:f>英雄升级调参!$F$114</x:f>
        <x:v>38400</x:v>
      </x:c>
      <x:c r="L1261" s="6" t="n">
        <x:f>ROUNDUP(F1261/J1261,0)</x:f>
        <x:v>4</x:v>
      </x:c>
      <x:c r="M1261" s="6" t="n">
        <x:f>IF(G1261=0,"无伤害",ROUNDUP(K1261/MAX(1,ROUND(G1261*$AC$34,0)),0))</x:f>
        <x:v>10</x:v>
      </x:c>
      <x:c r="N1261" s="6" t="n">
        <x:f>ROUNDUP(F1261/英雄升级调参!$H$114,0)</x:f>
        <x:v>3</x:v>
      </x:c>
      <x:c r="O1261" s="6" t="n">
        <x:f>ROUNDUP(F1261/英雄升级调参!$K$114,0)</x:f>
        <x:v>2</x:v>
      </x:c>
      <x:c r="P1261" s="6" t="str">
        <x:f>$AA$34</x:f>
        <x:v>普通：4次标准普攻击杀；10次主要攻击致死</x:v>
      </x:c>
      <x:c r="Q1261" s="6"/>
      <x:c r="R1261" s="6"/>
      <x:c r="S1261" s="6"/>
      <x:c r="T1261" s="6"/>
    </x:row>
    <x:row r="1262" ht="21" customHeight="1">
      <x:c r="A1262" s="14" t="n">
        <x:f>$V$34</x:f>
        <x:v>60021</x:v>
      </x:c>
      <x:c r="B1262" s="14" t="str">
        <x:f>$W$34</x:f>
        <x:v>草莓雪球怪</x:v>
      </x:c>
      <x:c r="C1262" s="6" t="str">
        <x:f>$X$34</x:f>
        <x:v>中等</x:v>
      </x:c>
      <x:c r="D1262" s="6">
        <x:v>50</x:v>
      </x:c>
      <x:c r="E1262" s="6">
        <x:v>34</x:v>
      </x:c>
      <x:c r="F1262" s="12">
        <x:f>ROUND(J1262*$W$4*H1262,0)</x:f>
        <x:v>16548</x:v>
      </x:c>
      <x:c r="G1262" s="12">
        <x:f>ROUND(J1262*$W$4*$W$5*I1262,0)</x:f>
        <x:v>4137</x:v>
      </x:c>
      <x:c r="H1262" s="11" t="n">
        <x:f>$Y$34</x:f>
        <x:v>1</x:v>
      </x:c>
      <x:c r="I1262" s="11" t="n">
        <x:f>$Z$34</x:f>
        <x:v>3.3333333333333335</x:v>
      </x:c>
      <x:c r="J1262" s="12">
        <x:f>英雄升级调参!$E$115</x:f>
        <x:v>4137</x:v>
      </x:c>
      <x:c r="K1262" s="12">
        <x:f>英雄升级调参!$F$115</x:f>
        <x:v>41370</x:v>
      </x:c>
      <x:c r="L1262" s="6" t="n">
        <x:f>ROUNDUP(F1262/J1262,0)</x:f>
        <x:v>4</x:v>
      </x:c>
      <x:c r="M1262" s="6" t="n">
        <x:f>IF(G1262=0,"无伤害",ROUNDUP(K1262/MAX(1,ROUND(G1262*$AC$34,0)),0))</x:f>
        <x:v>10</x:v>
      </x:c>
      <x:c r="N1262" s="6" t="n">
        <x:f>ROUNDUP(F1262/英雄升级调参!$H$115,0)</x:f>
        <x:v>3</x:v>
      </x:c>
      <x:c r="O1262" s="6" t="n">
        <x:f>ROUNDUP(F1262/英雄升级调参!$K$115,0)</x:f>
        <x:v>2</x:v>
      </x:c>
      <x:c r="P1262" s="6" t="str">
        <x:f>$AA$34</x:f>
        <x:v>普通：4次标准普攻击杀；10次主要攻击致死</x:v>
      </x:c>
      <x:c r="Q1262" s="6"/>
      <x:c r="R1262" s="6"/>
      <x:c r="S1262" s="6"/>
      <x:c r="T1262" s="6"/>
    </x:row>
    <x:row r="1263" ht="21" customHeight="1">
      <x:c r="A1263" s="14" t="n">
        <x:f>$V$35</x:f>
        <x:v>60022</x:v>
      </x:c>
      <x:c r="B1263" s="14" t="str">
        <x:f>$W$35</x:f>
        <x:v>西瓜BOSS</x:v>
      </x:c>
      <x:c r="C1263" s="6" t="str">
        <x:f>$X$35</x:f>
        <x:v>BOSS</x:v>
      </x:c>
      <x:c r="D1263" s="6">
        <x:v>1</x:v>
      </x:c>
      <x:c r="E1263" s="6">
        <x:v>35</x:v>
      </x:c>
      <x:c r="F1263" s="12" t="n">
        <x:f>ROUND(J1263*$W$4*H1263,0)</x:f>
        <x:v>1800</x:v>
      </x:c>
      <x:c r="G1263" s="12" t="n">
        <x:f>ROUND(J1263*$W$4*$W$5*I1263,0)</x:f>
        <x:v>80</x:v>
      </x:c>
      <x:c r="H1263" s="11" t="n">
        <x:f>$Y$35</x:f>
        <x:v>7.5</x:v>
      </x:c>
      <x:c r="I1263" s="11" t="n">
        <x:f>$Z$35</x:f>
        <x:v>4.444444444444445</x:v>
      </x:c>
      <x:c r="J1263" s="12" t="n">
        <x:f>英雄升级调参!$E$66</x:f>
        <x:v>60</x:v>
      </x:c>
      <x:c r="K1263" s="12" t="n">
        <x:f>英雄升级调参!$F$66</x:f>
        <x:v>600</x:v>
      </x:c>
      <x:c r="L1263" s="6" t="n">
        <x:f>ROUNDUP(F1263/J1263,0)</x:f>
        <x:v>30</x:v>
      </x:c>
      <x:c r="M1263" s="6" t="n">
        <x:f>IF(G1263=0,"无伤害",ROUNDUP(K1263/MAX(1,ROUND(G1263*$AC$35,0)),0))</x:f>
        <x:v>5</x:v>
      </x:c>
      <x:c r="N1263" s="6">
        <x:f>ROUNDUP(F1263/英雄升级调参!$H$66,0)</x:f>
        <x:v>10</x:v>
      </x:c>
      <x:c r="O1263" s="6">
        <x:f>ROUNDUP(F1263/英雄升级调参!$K$66,0)</x:f>
        <x:v>6</x:v>
      </x:c>
      <x:c r="P1263" s="6" t="str">
        <x:f>$AA$35</x:f>
        <x:v>BOSS：30次标准普攻击杀；5次主要攻击致死</x:v>
      </x:c>
      <x:c r="Q1263" s="6"/>
      <x:c r="R1263" s="6"/>
      <x:c r="S1263" s="6"/>
      <x:c r="T1263" s="6"/>
    </x:row>
    <x:row r="1264" ht="21" customHeight="1">
      <x:c r="A1264" s="14" t="n">
        <x:f>$V$35</x:f>
        <x:v>60022</x:v>
      </x:c>
      <x:c r="B1264" s="14" t="str">
        <x:f>$W$35</x:f>
        <x:v>西瓜BOSS</x:v>
      </x:c>
      <x:c r="C1264" s="6" t="str">
        <x:f>$X$35</x:f>
        <x:v>BOSS</x:v>
      </x:c>
      <x:c r="D1264" s="6">
        <x:v>2</x:v>
      </x:c>
      <x:c r="E1264" s="6">
        <x:v>35</x:v>
      </x:c>
      <x:c r="F1264" s="12">
        <x:f>ROUND(J1264*$W$4*H1264,0)</x:f>
        <x:v>2340</x:v>
      </x:c>
      <x:c r="G1264" s="12">
        <x:f>ROUND(J1264*$W$4*$W$5*I1264,0)</x:f>
        <x:v>104</x:v>
      </x:c>
      <x:c r="H1264" s="11" t="n">
        <x:f>$Y$35</x:f>
        <x:v>7.5</x:v>
      </x:c>
      <x:c r="I1264" s="11" t="n">
        <x:f>$Z$35</x:f>
        <x:v>4.444444444444445</x:v>
      </x:c>
      <x:c r="J1264" s="12">
        <x:f>英雄升级调参!$E$67</x:f>
        <x:v>78</x:v>
      </x:c>
      <x:c r="K1264" s="12">
        <x:f>英雄升级调参!$F$67</x:f>
        <x:v>780</x:v>
      </x:c>
      <x:c r="L1264" s="6" t="n">
        <x:f>ROUNDUP(F1264/J1264,0)</x:f>
        <x:v>30</x:v>
      </x:c>
      <x:c r="M1264" s="6" t="n">
        <x:f>IF(G1264=0,"无伤害",ROUNDUP(K1264/MAX(1,ROUND(G1264*$AC$35,0)),0))</x:f>
        <x:v>5</x:v>
      </x:c>
      <x:c r="N1264" s="6">
        <x:f>ROUNDUP(F1264/英雄升级调参!$H$67,0)</x:f>
        <x:v>11</x:v>
      </x:c>
      <x:c r="O1264" s="6">
        <x:f>ROUNDUP(F1264/英雄升级调参!$K$67,0)</x:f>
        <x:v>6</x:v>
      </x:c>
      <x:c r="P1264" s="6" t="str">
        <x:f>$AA$35</x:f>
        <x:v>BOSS：30次标准普攻击杀；5次主要攻击致死</x:v>
      </x:c>
      <x:c r="Q1264" s="6"/>
      <x:c r="R1264" s="6"/>
      <x:c r="S1264" s="6"/>
      <x:c r="T1264" s="6"/>
    </x:row>
    <x:row r="1265" ht="21" customHeight="1">
      <x:c r="A1265" s="14" t="n">
        <x:f>$V$35</x:f>
        <x:v>60022</x:v>
      </x:c>
      <x:c r="B1265" s="14" t="str">
        <x:f>$W$35</x:f>
        <x:v>西瓜BOSS</x:v>
      </x:c>
      <x:c r="C1265" s="6" t="str">
        <x:f>$X$35</x:f>
        <x:v>BOSS</x:v>
      </x:c>
      <x:c r="D1265" s="6">
        <x:v>3</x:v>
      </x:c>
      <x:c r="E1265" s="6">
        <x:v>35</x:v>
      </x:c>
      <x:c r="F1265" s="12">
        <x:f>ROUND(J1265*$W$4*H1265,0)</x:f>
        <x:v>2880</x:v>
      </x:c>
      <x:c r="G1265" s="12">
        <x:f>ROUND(J1265*$W$4*$W$5*I1265,0)</x:f>
        <x:v>128</x:v>
      </x:c>
      <x:c r="H1265" s="11" t="n">
        <x:f>$Y$35</x:f>
        <x:v>7.5</x:v>
      </x:c>
      <x:c r="I1265" s="11" t="n">
        <x:f>$Z$35</x:f>
        <x:v>4.444444444444445</x:v>
      </x:c>
      <x:c r="J1265" s="12">
        <x:f>英雄升级调参!$E$68</x:f>
        <x:v>96</x:v>
      </x:c>
      <x:c r="K1265" s="12">
        <x:f>英雄升级调参!$F$68</x:f>
        <x:v>960</x:v>
      </x:c>
      <x:c r="L1265" s="6" t="n">
        <x:f>ROUNDUP(F1265/J1265,0)</x:f>
        <x:v>30</x:v>
      </x:c>
      <x:c r="M1265" s="6" t="n">
        <x:f>IF(G1265=0,"无伤害",ROUNDUP(K1265/MAX(1,ROUND(G1265*$AC$35,0)),0))</x:f>
        <x:v>5</x:v>
      </x:c>
      <x:c r="N1265" s="6">
        <x:f>ROUNDUP(F1265/英雄升级调参!$H$68,0)</x:f>
        <x:v>12</x:v>
      </x:c>
      <x:c r="O1265" s="6">
        <x:f>ROUNDUP(F1265/英雄升级调参!$K$68,0)</x:f>
        <x:v>7</x:v>
      </x:c>
      <x:c r="P1265" s="6" t="str">
        <x:f>$AA$35</x:f>
        <x:v>BOSS：30次标准普攻击杀；5次主要攻击致死</x:v>
      </x:c>
      <x:c r="Q1265" s="6"/>
      <x:c r="R1265" s="6"/>
      <x:c r="S1265" s="6"/>
      <x:c r="T1265" s="6"/>
    </x:row>
    <x:row r="1266" ht="21" customHeight="1">
      <x:c r="A1266" s="14" t="n">
        <x:f>$V$35</x:f>
        <x:v>60022</x:v>
      </x:c>
      <x:c r="B1266" s="14" t="str">
        <x:f>$W$35</x:f>
        <x:v>西瓜BOSS</x:v>
      </x:c>
      <x:c r="C1266" s="6" t="str">
        <x:f>$X$35</x:f>
        <x:v>BOSS</x:v>
      </x:c>
      <x:c r="D1266" s="6">
        <x:v>4</x:v>
      </x:c>
      <x:c r="E1266" s="6">
        <x:v>35</x:v>
      </x:c>
      <x:c r="F1266" s="12">
        <x:f>ROUND(J1266*$W$4*H1266,0)</x:f>
        <x:v>3420</x:v>
      </x:c>
      <x:c r="G1266" s="12">
        <x:f>ROUND(J1266*$W$4*$W$5*I1266,0)</x:f>
        <x:v>152</x:v>
      </x:c>
      <x:c r="H1266" s="11" t="n">
        <x:f>$Y$35</x:f>
        <x:v>7.5</x:v>
      </x:c>
      <x:c r="I1266" s="11" t="n">
        <x:f>$Z$35</x:f>
        <x:v>4.444444444444445</x:v>
      </x:c>
      <x:c r="J1266" s="12">
        <x:f>英雄升级调参!$E$69</x:f>
        <x:v>114</x:v>
      </x:c>
      <x:c r="K1266" s="12">
        <x:f>英雄升级调参!$F$69</x:f>
        <x:v>1140</x:v>
      </x:c>
      <x:c r="L1266" s="6" t="n">
        <x:f>ROUNDUP(F1266/J1266,0)</x:f>
        <x:v>30</x:v>
      </x:c>
      <x:c r="M1266" s="6" t="n">
        <x:f>IF(G1266=0,"无伤害",ROUNDUP(K1266/MAX(1,ROUND(G1266*$AC$35,0)),0))</x:f>
        <x:v>5</x:v>
      </x:c>
      <x:c r="N1266" s="6">
        <x:f>ROUNDUP(F1266/英雄升级调参!$H$69,0)</x:f>
        <x:v>13</x:v>
      </x:c>
      <x:c r="O1266" s="6">
        <x:f>ROUNDUP(F1266/英雄升级调参!$K$69,0)</x:f>
        <x:v>7</x:v>
      </x:c>
      <x:c r="P1266" s="6" t="str">
        <x:f>$AA$35</x:f>
        <x:v>BOSS：30次标准普攻击杀；5次主要攻击致死</x:v>
      </x:c>
      <x:c r="Q1266" s="6"/>
      <x:c r="R1266" s="6"/>
      <x:c r="S1266" s="6"/>
      <x:c r="T1266" s="6"/>
    </x:row>
    <x:row r="1267" ht="21" customHeight="1">
      <x:c r="A1267" s="14" t="n">
        <x:f>$V$35</x:f>
        <x:v>60022</x:v>
      </x:c>
      <x:c r="B1267" s="14" t="str">
        <x:f>$W$35</x:f>
        <x:v>西瓜BOSS</x:v>
      </x:c>
      <x:c r="C1267" s="6" t="str">
        <x:f>$X$35</x:f>
        <x:v>BOSS</x:v>
      </x:c>
      <x:c r="D1267" s="6">
        <x:v>5</x:v>
      </x:c>
      <x:c r="E1267" s="6">
        <x:v>35</x:v>
      </x:c>
      <x:c r="F1267" s="12">
        <x:f>ROUND(J1267*$W$4*H1267,0)</x:f>
        <x:v>5040</x:v>
      </x:c>
      <x:c r="G1267" s="12">
        <x:f>ROUND(J1267*$W$4*$W$5*I1267,0)</x:f>
        <x:v>224</x:v>
      </x:c>
      <x:c r="H1267" s="11" t="n">
        <x:f>$Y$35</x:f>
        <x:v>7.5</x:v>
      </x:c>
      <x:c r="I1267" s="11" t="n">
        <x:f>$Z$35</x:f>
        <x:v>4.444444444444445</x:v>
      </x:c>
      <x:c r="J1267" s="12">
        <x:f>英雄升级调参!$E$70</x:f>
        <x:v>168</x:v>
      </x:c>
      <x:c r="K1267" s="12">
        <x:f>英雄升级调参!$F$70</x:f>
        <x:v>1680</x:v>
      </x:c>
      <x:c r="L1267" s="6" t="n">
        <x:f>ROUNDUP(F1267/J1267,0)</x:f>
        <x:v>30</x:v>
      </x:c>
      <x:c r="M1267" s="6" t="n">
        <x:f>IF(G1267=0,"无伤害",ROUNDUP(K1267/MAX(1,ROUND(G1267*$AC$35,0)),0))</x:f>
        <x:v>5</x:v>
      </x:c>
      <x:c r="N1267" s="6">
        <x:f>ROUNDUP(F1267/英雄升级调参!$H$70,0)</x:f>
        <x:v>15</x:v>
      </x:c>
      <x:c r="O1267" s="6">
        <x:f>ROUNDUP(F1267/英雄升级调参!$K$70,0)</x:f>
        <x:v>9</x:v>
      </x:c>
      <x:c r="P1267" s="6" t="str">
        <x:f>$AA$35</x:f>
        <x:v>BOSS：30次标准普攻击杀；5次主要攻击致死</x:v>
      </x:c>
      <x:c r="Q1267" s="6"/>
      <x:c r="R1267" s="6"/>
      <x:c r="S1267" s="6"/>
      <x:c r="T1267" s="6"/>
    </x:row>
    <x:row r="1268" ht="21" customHeight="1">
      <x:c r="A1268" s="14" t="n">
        <x:f>$V$35</x:f>
        <x:v>60022</x:v>
      </x:c>
      <x:c r="B1268" s="14" t="str">
        <x:f>$W$35</x:f>
        <x:v>西瓜BOSS</x:v>
      </x:c>
      <x:c r="C1268" s="6" t="str">
        <x:f>$X$35</x:f>
        <x:v>BOSS</x:v>
      </x:c>
      <x:c r="D1268" s="6">
        <x:v>6</x:v>
      </x:c>
      <x:c r="E1268" s="6">
        <x:v>35</x:v>
      </x:c>
      <x:c r="F1268" s="12">
        <x:f>ROUND(J1268*$W$4*H1268,0)</x:f>
        <x:v>5850</x:v>
      </x:c>
      <x:c r="G1268" s="12">
        <x:f>ROUND(J1268*$W$4*$W$5*I1268,0)</x:f>
        <x:v>260</x:v>
      </x:c>
      <x:c r="H1268" s="11" t="n">
        <x:f>$Y$35</x:f>
        <x:v>7.5</x:v>
      </x:c>
      <x:c r="I1268" s="11" t="n">
        <x:f>$Z$35</x:f>
        <x:v>4.444444444444445</x:v>
      </x:c>
      <x:c r="J1268" s="12">
        <x:f>英雄升级调参!$E$71</x:f>
        <x:v>195</x:v>
      </x:c>
      <x:c r="K1268" s="12">
        <x:f>英雄升级调参!$F$71</x:f>
        <x:v>1950</x:v>
      </x:c>
      <x:c r="L1268" s="6" t="n">
        <x:f>ROUNDUP(F1268/J1268,0)</x:f>
        <x:v>30</x:v>
      </x:c>
      <x:c r="M1268" s="6" t="n">
        <x:f>IF(G1268=0,"无伤害",ROUNDUP(K1268/MAX(1,ROUND(G1268*$AC$35,0)),0))</x:f>
        <x:v>5</x:v>
      </x:c>
      <x:c r="N1268" s="6">
        <x:f>ROUNDUP(F1268/英雄升级调参!$H$71,0)</x:f>
        <x:v>15</x:v>
      </x:c>
      <x:c r="O1268" s="6">
        <x:f>ROUNDUP(F1268/英雄升级调参!$K$71,0)</x:f>
        <x:v>9</x:v>
      </x:c>
      <x:c r="P1268" s="6" t="str">
        <x:f>$AA$35</x:f>
        <x:v>BOSS：30次标准普攻击杀；5次主要攻击致死</x:v>
      </x:c>
      <x:c r="Q1268" s="6"/>
      <x:c r="R1268" s="6"/>
      <x:c r="S1268" s="6"/>
      <x:c r="T1268" s="6"/>
    </x:row>
    <x:row r="1269" ht="21" customHeight="1">
      <x:c r="A1269" s="14" t="n">
        <x:f>$V$35</x:f>
        <x:v>60022</x:v>
      </x:c>
      <x:c r="B1269" s="14" t="str">
        <x:f>$W$35</x:f>
        <x:v>西瓜BOSS</x:v>
      </x:c>
      <x:c r="C1269" s="6" t="str">
        <x:f>$X$35</x:f>
        <x:v>BOSS</x:v>
      </x:c>
      <x:c r="D1269" s="6">
        <x:v>7</x:v>
      </x:c>
      <x:c r="E1269" s="6">
        <x:v>35</x:v>
      </x:c>
      <x:c r="F1269" s="12">
        <x:f>ROUND(J1269*$W$4*H1269,0)</x:f>
        <x:v>6660</x:v>
      </x:c>
      <x:c r="G1269" s="12">
        <x:f>ROUND(J1269*$W$4*$W$5*I1269,0)</x:f>
        <x:v>296</x:v>
      </x:c>
      <x:c r="H1269" s="11" t="n">
        <x:f>$Y$35</x:f>
        <x:v>7.5</x:v>
      </x:c>
      <x:c r="I1269" s="11" t="n">
        <x:f>$Z$35</x:f>
        <x:v>4.444444444444445</x:v>
      </x:c>
      <x:c r="J1269" s="12">
        <x:f>英雄升级调参!$E$72</x:f>
        <x:v>222</x:v>
      </x:c>
      <x:c r="K1269" s="12">
        <x:f>英雄升级调参!$F$72</x:f>
        <x:v>2220</x:v>
      </x:c>
      <x:c r="L1269" s="6" t="n">
        <x:f>ROUNDUP(F1269/J1269,0)</x:f>
        <x:v>30</x:v>
      </x:c>
      <x:c r="M1269" s="6" t="n">
        <x:f>IF(G1269=0,"无伤害",ROUNDUP(K1269/MAX(1,ROUND(G1269*$AC$35,0)),0))</x:f>
        <x:v>5</x:v>
      </x:c>
      <x:c r="N1269" s="6">
        <x:f>ROUNDUP(F1269/英雄升级调参!$H$72,0)</x:f>
        <x:v>16</x:v>
      </x:c>
      <x:c r="O1269" s="6">
        <x:f>ROUNDUP(F1269/英雄升级调参!$K$72,0)</x:f>
        <x:v>9</x:v>
      </x:c>
      <x:c r="P1269" s="6" t="str">
        <x:f>$AA$35</x:f>
        <x:v>BOSS：30次标准普攻击杀；5次主要攻击致死</x:v>
      </x:c>
      <x:c r="Q1269" s="6"/>
      <x:c r="R1269" s="6"/>
      <x:c r="S1269" s="6"/>
      <x:c r="T1269" s="6"/>
    </x:row>
    <x:row r="1270" ht="21" customHeight="1">
      <x:c r="A1270" s="14" t="n">
        <x:f>$V$35</x:f>
        <x:v>60022</x:v>
      </x:c>
      <x:c r="B1270" s="14" t="str">
        <x:f>$W$35</x:f>
        <x:v>西瓜BOSS</x:v>
      </x:c>
      <x:c r="C1270" s="6" t="str">
        <x:f>$X$35</x:f>
        <x:v>BOSS</x:v>
      </x:c>
      <x:c r="D1270" s="6">
        <x:v>8</x:v>
      </x:c>
      <x:c r="E1270" s="6">
        <x:v>35</x:v>
      </x:c>
      <x:c r="F1270" s="12">
        <x:f>ROUND(J1270*$W$4*H1270,0)</x:f>
        <x:v>7470</x:v>
      </x:c>
      <x:c r="G1270" s="12">
        <x:f>ROUND(J1270*$W$4*$W$5*I1270,0)</x:f>
        <x:v>332</x:v>
      </x:c>
      <x:c r="H1270" s="11" t="n">
        <x:f>$Y$35</x:f>
        <x:v>7.5</x:v>
      </x:c>
      <x:c r="I1270" s="11" t="n">
        <x:f>$Z$35</x:f>
        <x:v>4.444444444444445</x:v>
      </x:c>
      <x:c r="J1270" s="12">
        <x:f>英雄升级调参!$E$73</x:f>
        <x:v>249</x:v>
      </x:c>
      <x:c r="K1270" s="12">
        <x:f>英雄升级调参!$F$73</x:f>
        <x:v>2490</x:v>
      </x:c>
      <x:c r="L1270" s="6" t="n">
        <x:f>ROUNDUP(F1270/J1270,0)</x:f>
        <x:v>30</x:v>
      </x:c>
      <x:c r="M1270" s="6" t="n">
        <x:f>IF(G1270=0,"无伤害",ROUNDUP(K1270/MAX(1,ROUND(G1270*$AC$35,0)),0))</x:f>
        <x:v>5</x:v>
      </x:c>
      <x:c r="N1270" s="6">
        <x:f>ROUNDUP(F1270/英雄升级调参!$H$73,0)</x:f>
        <x:v>16</x:v>
      </x:c>
      <x:c r="O1270" s="6">
        <x:f>ROUNDUP(F1270/英雄升级调参!$K$73,0)</x:f>
        <x:v>9</x:v>
      </x:c>
      <x:c r="P1270" s="6" t="str">
        <x:f>$AA$35</x:f>
        <x:v>BOSS：30次标准普攻击杀；5次主要攻击致死</x:v>
      </x:c>
      <x:c r="Q1270" s="6"/>
      <x:c r="R1270" s="6"/>
      <x:c r="S1270" s="6"/>
      <x:c r="T1270" s="6"/>
    </x:row>
    <x:row r="1271" ht="21" customHeight="1">
      <x:c r="A1271" s="14" t="n">
        <x:f>$V$35</x:f>
        <x:v>60022</x:v>
      </x:c>
      <x:c r="B1271" s="14" t="str">
        <x:f>$W$35</x:f>
        <x:v>西瓜BOSS</x:v>
      </x:c>
      <x:c r="C1271" s="6" t="str">
        <x:f>$X$35</x:f>
        <x:v>BOSS</x:v>
      </x:c>
      <x:c r="D1271" s="6">
        <x:v>9</x:v>
      </x:c>
      <x:c r="E1271" s="6">
        <x:v>35</x:v>
      </x:c>
      <x:c r="F1271" s="12">
        <x:f>ROUND(J1271*$W$4*H1271,0)</x:f>
        <x:v>8280</x:v>
      </x:c>
      <x:c r="G1271" s="12">
        <x:f>ROUND(J1271*$W$4*$W$5*I1271,0)</x:f>
        <x:v>368</x:v>
      </x:c>
      <x:c r="H1271" s="11" t="n">
        <x:f>$Y$35</x:f>
        <x:v>7.5</x:v>
      </x:c>
      <x:c r="I1271" s="11" t="n">
        <x:f>$Z$35</x:f>
        <x:v>4.444444444444445</x:v>
      </x:c>
      <x:c r="J1271" s="12">
        <x:f>英雄升级调参!$E$74</x:f>
        <x:v>276</x:v>
      </x:c>
      <x:c r="K1271" s="12">
        <x:f>英雄升级调参!$F$74</x:f>
        <x:v>2760</x:v>
      </x:c>
      <x:c r="L1271" s="6" t="n">
        <x:f>ROUNDUP(F1271/J1271,0)</x:f>
        <x:v>30</x:v>
      </x:c>
      <x:c r="M1271" s="6" t="n">
        <x:f>IF(G1271=0,"无伤害",ROUNDUP(K1271/MAX(1,ROUND(G1271*$AC$35,0)),0))</x:f>
        <x:v>5</x:v>
      </x:c>
      <x:c r="N1271" s="6">
        <x:f>ROUNDUP(F1271/英雄升级调参!$H$74,0)</x:f>
        <x:v>16</x:v>
      </x:c>
      <x:c r="O1271" s="6">
        <x:f>ROUNDUP(F1271/英雄升级调参!$K$74,0)</x:f>
        <x:v>10</x:v>
      </x:c>
      <x:c r="P1271" s="6" t="str">
        <x:f>$AA$35</x:f>
        <x:v>BOSS：30次标准普攻击杀；5次主要攻击致死</x:v>
      </x:c>
      <x:c r="Q1271" s="6"/>
      <x:c r="R1271" s="6"/>
      <x:c r="S1271" s="6"/>
      <x:c r="T1271" s="6"/>
    </x:row>
    <x:row r="1272" ht="21" customHeight="1">
      <x:c r="A1272" s="14" t="n">
        <x:f>$V$35</x:f>
        <x:v>60022</x:v>
      </x:c>
      <x:c r="B1272" s="14" t="str">
        <x:f>$W$35</x:f>
        <x:v>西瓜BOSS</x:v>
      </x:c>
      <x:c r="C1272" s="6" t="str">
        <x:f>$X$35</x:f>
        <x:v>BOSS</x:v>
      </x:c>
      <x:c r="D1272" s="6">
        <x:v>10</x:v>
      </x:c>
      <x:c r="E1272" s="6">
        <x:v>35</x:v>
      </x:c>
      <x:c r="F1272" s="12">
        <x:f>ROUND(J1272*$W$4*H1272,0)</x:f>
        <x:v>10710</x:v>
      </x:c>
      <x:c r="G1272" s="12">
        <x:f>ROUND(J1272*$W$4*$W$5*I1272,0)</x:f>
        <x:v>476</x:v>
      </x:c>
      <x:c r="H1272" s="11" t="n">
        <x:f>$Y$35</x:f>
        <x:v>7.5</x:v>
      </x:c>
      <x:c r="I1272" s="11" t="n">
        <x:f>$Z$35</x:f>
        <x:v>4.444444444444445</x:v>
      </x:c>
      <x:c r="J1272" s="12">
        <x:f>英雄升级调参!$E$75</x:f>
        <x:v>357</x:v>
      </x:c>
      <x:c r="K1272" s="12">
        <x:f>英雄升级调参!$F$75</x:f>
        <x:v>3570</x:v>
      </x:c>
      <x:c r="L1272" s="6" t="n">
        <x:f>ROUNDUP(F1272/J1272,0)</x:f>
        <x:v>30</x:v>
      </x:c>
      <x:c r="M1272" s="6" t="n">
        <x:f>IF(G1272=0,"无伤害",ROUNDUP(K1272/MAX(1,ROUND(G1272*$AC$35,0)),0))</x:f>
        <x:v>5</x:v>
      </x:c>
      <x:c r="N1272" s="6">
        <x:f>ROUNDUP(F1272/英雄升级调参!$H$75,0)</x:f>
        <x:v>17</x:v>
      </x:c>
      <x:c r="O1272" s="6">
        <x:f>ROUNDUP(F1272/英雄升级调参!$K$75,0)</x:f>
        <x:v>10</x:v>
      </x:c>
      <x:c r="P1272" s="6" t="str">
        <x:f>$AA$35</x:f>
        <x:v>BOSS：30次标准普攻击杀；5次主要攻击致死</x:v>
      </x:c>
      <x:c r="Q1272" s="6"/>
      <x:c r="R1272" s="6"/>
      <x:c r="S1272" s="6"/>
      <x:c r="T1272" s="6"/>
    </x:row>
    <x:row r="1273" ht="21" customHeight="1">
      <x:c r="A1273" s="14" t="n">
        <x:f>$V$35</x:f>
        <x:v>60022</x:v>
      </x:c>
      <x:c r="B1273" s="14" t="str">
        <x:f>$W$35</x:f>
        <x:v>西瓜BOSS</x:v>
      </x:c>
      <x:c r="C1273" s="6" t="str">
        <x:f>$X$35</x:f>
        <x:v>BOSS</x:v>
      </x:c>
      <x:c r="D1273" s="6">
        <x:v>11</x:v>
      </x:c>
      <x:c r="E1273" s="6">
        <x:v>35</x:v>
      </x:c>
      <x:c r="F1273" s="12">
        <x:f>ROUND(J1273*$W$4*H1273,0)</x:f>
        <x:v>11790</x:v>
      </x:c>
      <x:c r="G1273" s="12">
        <x:f>ROUND(J1273*$W$4*$W$5*I1273,0)</x:f>
        <x:v>524</x:v>
      </x:c>
      <x:c r="H1273" s="11" t="n">
        <x:f>$Y$35</x:f>
        <x:v>7.5</x:v>
      </x:c>
      <x:c r="I1273" s="11" t="n">
        <x:f>$Z$35</x:f>
        <x:v>4.444444444444445</x:v>
      </x:c>
      <x:c r="J1273" s="12">
        <x:f>英雄升级调参!$E$76</x:f>
        <x:v>393</x:v>
      </x:c>
      <x:c r="K1273" s="12">
        <x:f>英雄升级调参!$F$76</x:f>
        <x:v>3930</x:v>
      </x:c>
      <x:c r="L1273" s="6" t="n">
        <x:f>ROUNDUP(F1273/J1273,0)</x:f>
        <x:v>30</x:v>
      </x:c>
      <x:c r="M1273" s="6" t="n">
        <x:f>IF(G1273=0,"无伤害",ROUNDUP(K1273/MAX(1,ROUND(G1273*$AC$35,0)),0))</x:f>
        <x:v>5</x:v>
      </x:c>
      <x:c r="N1273" s="6">
        <x:f>ROUNDUP(F1273/英雄升级调参!$H$76,0)</x:f>
        <x:v>17</x:v>
      </x:c>
      <x:c r="O1273" s="6">
        <x:f>ROUNDUP(F1273/英雄升级调参!$K$76,0)</x:f>
        <x:v>10</x:v>
      </x:c>
      <x:c r="P1273" s="6" t="str">
        <x:f>$AA$35</x:f>
        <x:v>BOSS：30次标准普攻击杀；5次主要攻击致死</x:v>
      </x:c>
      <x:c r="Q1273" s="6"/>
      <x:c r="R1273" s="6"/>
      <x:c r="S1273" s="6"/>
      <x:c r="T1273" s="6"/>
    </x:row>
    <x:row r="1274" ht="21" customHeight="1">
      <x:c r="A1274" s="14" t="n">
        <x:f>$V$35</x:f>
        <x:v>60022</x:v>
      </x:c>
      <x:c r="B1274" s="14" t="str">
        <x:f>$W$35</x:f>
        <x:v>西瓜BOSS</x:v>
      </x:c>
      <x:c r="C1274" s="6" t="str">
        <x:f>$X$35</x:f>
        <x:v>BOSS</x:v>
      </x:c>
      <x:c r="D1274" s="6">
        <x:v>12</x:v>
      </x:c>
      <x:c r="E1274" s="6">
        <x:v>35</x:v>
      </x:c>
      <x:c r="F1274" s="12">
        <x:f>ROUND(J1274*$W$4*H1274,0)</x:f>
        <x:v>12870</x:v>
      </x:c>
      <x:c r="G1274" s="12">
        <x:f>ROUND(J1274*$W$4*$W$5*I1274,0)</x:f>
        <x:v>572</x:v>
      </x:c>
      <x:c r="H1274" s="11" t="n">
        <x:f>$Y$35</x:f>
        <x:v>7.5</x:v>
      </x:c>
      <x:c r="I1274" s="11" t="n">
        <x:f>$Z$35</x:f>
        <x:v>4.444444444444445</x:v>
      </x:c>
      <x:c r="J1274" s="12">
        <x:f>英雄升级调参!$E$77</x:f>
        <x:v>429</x:v>
      </x:c>
      <x:c r="K1274" s="12">
        <x:f>英雄升级调参!$F$77</x:f>
        <x:v>4290</x:v>
      </x:c>
      <x:c r="L1274" s="6" t="n">
        <x:f>ROUNDUP(F1274/J1274,0)</x:f>
        <x:v>30</x:v>
      </x:c>
      <x:c r="M1274" s="6" t="n">
        <x:f>IF(G1274=0,"无伤害",ROUNDUP(K1274/MAX(1,ROUND(G1274*$AC$35,0)),0))</x:f>
        <x:v>5</x:v>
      </x:c>
      <x:c r="N1274" s="6">
        <x:f>ROUNDUP(F1274/英雄升级调参!$H$77,0)</x:f>
        <x:v>18</x:v>
      </x:c>
      <x:c r="O1274" s="6">
        <x:f>ROUNDUP(F1274/英雄升级调参!$K$77,0)</x:f>
        <x:v>11</x:v>
      </x:c>
      <x:c r="P1274" s="6" t="str">
        <x:f>$AA$35</x:f>
        <x:v>BOSS：30次标准普攻击杀；5次主要攻击致死</x:v>
      </x:c>
      <x:c r="Q1274" s="6"/>
      <x:c r="R1274" s="6"/>
      <x:c r="S1274" s="6"/>
      <x:c r="T1274" s="6"/>
    </x:row>
    <x:row r="1275" ht="21" customHeight="1">
      <x:c r="A1275" s="14" t="n">
        <x:f>$V$35</x:f>
        <x:v>60022</x:v>
      </x:c>
      <x:c r="B1275" s="14" t="str">
        <x:f>$W$35</x:f>
        <x:v>西瓜BOSS</x:v>
      </x:c>
      <x:c r="C1275" s="6" t="str">
        <x:f>$X$35</x:f>
        <x:v>BOSS</x:v>
      </x:c>
      <x:c r="D1275" s="6">
        <x:v>13</x:v>
      </x:c>
      <x:c r="E1275" s="6">
        <x:v>35</x:v>
      </x:c>
      <x:c r="F1275" s="12">
        <x:f>ROUND(J1275*$W$4*H1275,0)</x:f>
        <x:v>13950</x:v>
      </x:c>
      <x:c r="G1275" s="12">
        <x:f>ROUND(J1275*$W$4*$W$5*I1275,0)</x:f>
        <x:v>620</x:v>
      </x:c>
      <x:c r="H1275" s="11" t="n">
        <x:f>$Y$35</x:f>
        <x:v>7.5</x:v>
      </x:c>
      <x:c r="I1275" s="11" t="n">
        <x:f>$Z$35</x:f>
        <x:v>4.444444444444445</x:v>
      </x:c>
      <x:c r="J1275" s="12">
        <x:f>英雄升级调参!$E$78</x:f>
        <x:v>465</x:v>
      </x:c>
      <x:c r="K1275" s="12">
        <x:f>英雄升级调参!$F$78</x:f>
        <x:v>4650</x:v>
      </x:c>
      <x:c r="L1275" s="6" t="n">
        <x:f>ROUNDUP(F1275/J1275,0)</x:f>
        <x:v>30</x:v>
      </x:c>
      <x:c r="M1275" s="6" t="n">
        <x:f>IF(G1275=0,"无伤害",ROUNDUP(K1275/MAX(1,ROUND(G1275*$AC$35,0)),0))</x:f>
        <x:v>5</x:v>
      </x:c>
      <x:c r="N1275" s="6">
        <x:f>ROUNDUP(F1275/英雄升级调参!$H$78,0)</x:f>
        <x:v>18</x:v>
      </x:c>
      <x:c r="O1275" s="6">
        <x:f>ROUNDUP(F1275/英雄升级调参!$K$78,0)</x:f>
        <x:v>11</x:v>
      </x:c>
      <x:c r="P1275" s="6" t="str">
        <x:f>$AA$35</x:f>
        <x:v>BOSS：30次标准普攻击杀；5次主要攻击致死</x:v>
      </x:c>
      <x:c r="Q1275" s="6"/>
      <x:c r="R1275" s="6"/>
      <x:c r="S1275" s="6"/>
      <x:c r="T1275" s="6"/>
    </x:row>
    <x:row r="1276" ht="21" customHeight="1">
      <x:c r="A1276" s="14" t="n">
        <x:f>$V$35</x:f>
        <x:v>60022</x:v>
      </x:c>
      <x:c r="B1276" s="14" t="str">
        <x:f>$W$35</x:f>
        <x:v>西瓜BOSS</x:v>
      </x:c>
      <x:c r="C1276" s="6" t="str">
        <x:f>$X$35</x:f>
        <x:v>BOSS</x:v>
      </x:c>
      <x:c r="D1276" s="6">
        <x:v>14</x:v>
      </x:c>
      <x:c r="E1276" s="6">
        <x:v>35</x:v>
      </x:c>
      <x:c r="F1276" s="12">
        <x:f>ROUND(J1276*$W$4*H1276,0)</x:f>
        <x:v>15030</x:v>
      </x:c>
      <x:c r="G1276" s="12">
        <x:f>ROUND(J1276*$W$4*$W$5*I1276,0)</x:f>
        <x:v>668</x:v>
      </x:c>
      <x:c r="H1276" s="11" t="n">
        <x:f>$Y$35</x:f>
        <x:v>7.5</x:v>
      </x:c>
      <x:c r="I1276" s="11" t="n">
        <x:f>$Z$35</x:f>
        <x:v>4.444444444444445</x:v>
      </x:c>
      <x:c r="J1276" s="12">
        <x:f>英雄升级调参!$E$79</x:f>
        <x:v>501</x:v>
      </x:c>
      <x:c r="K1276" s="12">
        <x:f>英雄升级调参!$F$79</x:f>
        <x:v>5010</x:v>
      </x:c>
      <x:c r="L1276" s="6" t="n">
        <x:f>ROUNDUP(F1276/J1276,0)</x:f>
        <x:v>30</x:v>
      </x:c>
      <x:c r="M1276" s="6" t="n">
        <x:f>IF(G1276=0,"无伤害",ROUNDUP(K1276/MAX(1,ROUND(G1276*$AC$35,0)),0))</x:f>
        <x:v>5</x:v>
      </x:c>
      <x:c r="N1276" s="6">
        <x:f>ROUNDUP(F1276/英雄升级调参!$H$79,0)</x:f>
        <x:v>18</x:v>
      </x:c>
      <x:c r="O1276" s="6">
        <x:f>ROUNDUP(F1276/英雄升级调参!$K$79,0)</x:f>
        <x:v>11</x:v>
      </x:c>
      <x:c r="P1276" s="6" t="str">
        <x:f>$AA$35</x:f>
        <x:v>BOSS：30次标准普攻击杀；5次主要攻击致死</x:v>
      </x:c>
      <x:c r="Q1276" s="6"/>
      <x:c r="R1276" s="6"/>
      <x:c r="S1276" s="6"/>
      <x:c r="T1276" s="6"/>
    </x:row>
    <x:row r="1277" ht="21" customHeight="1">
      <x:c r="A1277" s="14" t="n">
        <x:f>$V$35</x:f>
        <x:v>60022</x:v>
      </x:c>
      <x:c r="B1277" s="14" t="str">
        <x:f>$W$35</x:f>
        <x:v>西瓜BOSS</x:v>
      </x:c>
      <x:c r="C1277" s="6" t="str">
        <x:f>$X$35</x:f>
        <x:v>BOSS</x:v>
      </x:c>
      <x:c r="D1277" s="6">
        <x:v>15</x:v>
      </x:c>
      <x:c r="E1277" s="6">
        <x:v>35</x:v>
      </x:c>
      <x:c r="F1277" s="12">
        <x:f>ROUND(J1277*$W$4*H1277,0)</x:f>
        <x:v>18270</x:v>
      </x:c>
      <x:c r="G1277" s="12">
        <x:f>ROUND(J1277*$W$4*$W$5*I1277,0)</x:f>
        <x:v>812</x:v>
      </x:c>
      <x:c r="H1277" s="11" t="n">
        <x:f>$Y$35</x:f>
        <x:v>7.5</x:v>
      </x:c>
      <x:c r="I1277" s="11" t="n">
        <x:f>$Z$35</x:f>
        <x:v>4.444444444444445</x:v>
      </x:c>
      <x:c r="J1277" s="12">
        <x:f>英雄升级调参!$E$80</x:f>
        <x:v>609</x:v>
      </x:c>
      <x:c r="K1277" s="12">
        <x:f>英雄升级调参!$F$80</x:f>
        <x:v>6090</x:v>
      </x:c>
      <x:c r="L1277" s="6" t="n">
        <x:f>ROUNDUP(F1277/J1277,0)</x:f>
        <x:v>30</x:v>
      </x:c>
      <x:c r="M1277" s="6" t="n">
        <x:f>IF(G1277=0,"无伤害",ROUNDUP(K1277/MAX(1,ROUND(G1277*$AC$35,0)),0))</x:f>
        <x:v>5</x:v>
      </x:c>
      <x:c r="N1277" s="6">
        <x:f>ROUNDUP(F1277/英雄升级调参!$H$80,0)</x:f>
        <x:v>18</x:v>
      </x:c>
      <x:c r="O1277" s="6">
        <x:f>ROUNDUP(F1277/英雄升级调参!$K$80,0)</x:f>
        <x:v>11</x:v>
      </x:c>
      <x:c r="P1277" s="6" t="str">
        <x:f>$AA$35</x:f>
        <x:v>BOSS：30次标准普攻击杀；5次主要攻击致死</x:v>
      </x:c>
      <x:c r="Q1277" s="6"/>
      <x:c r="R1277" s="6"/>
      <x:c r="S1277" s="6"/>
      <x:c r="T1277" s="6"/>
    </x:row>
    <x:row r="1278" ht="21" customHeight="1">
      <x:c r="A1278" s="14" t="n">
        <x:f>$V$35</x:f>
        <x:v>60022</x:v>
      </x:c>
      <x:c r="B1278" s="14" t="str">
        <x:f>$W$35</x:f>
        <x:v>西瓜BOSS</x:v>
      </x:c>
      <x:c r="C1278" s="6" t="str">
        <x:f>$X$35</x:f>
        <x:v>BOSS</x:v>
      </x:c>
      <x:c r="D1278" s="6">
        <x:v>16</x:v>
      </x:c>
      <x:c r="E1278" s="6">
        <x:v>35</x:v>
      </x:c>
      <x:c r="F1278" s="12">
        <x:f>ROUND(J1278*$W$4*H1278,0)</x:f>
        <x:v>19620</x:v>
      </x:c>
      <x:c r="G1278" s="12">
        <x:f>ROUND(J1278*$W$4*$W$5*I1278,0)</x:f>
        <x:v>872</x:v>
      </x:c>
      <x:c r="H1278" s="11" t="n">
        <x:f>$Y$35</x:f>
        <x:v>7.5</x:v>
      </x:c>
      <x:c r="I1278" s="11" t="n">
        <x:f>$Z$35</x:f>
        <x:v>4.444444444444445</x:v>
      </x:c>
      <x:c r="J1278" s="12">
        <x:f>英雄升级调参!$E$81</x:f>
        <x:v>654</x:v>
      </x:c>
      <x:c r="K1278" s="12">
        <x:f>英雄升级调参!$F$81</x:f>
        <x:v>6540</x:v>
      </x:c>
      <x:c r="L1278" s="6" t="n">
        <x:f>ROUNDUP(F1278/J1278,0)</x:f>
        <x:v>30</x:v>
      </x:c>
      <x:c r="M1278" s="6" t="n">
        <x:f>IF(G1278=0,"无伤害",ROUNDUP(K1278/MAX(1,ROUND(G1278*$AC$35,0)),0))</x:f>
        <x:v>5</x:v>
      </x:c>
      <x:c r="N1278" s="6">
        <x:f>ROUNDUP(F1278/英雄升级调参!$H$81,0)</x:f>
        <x:v>18</x:v>
      </x:c>
      <x:c r="O1278" s="6">
        <x:f>ROUNDUP(F1278/英雄升级调参!$K$81,0)</x:f>
        <x:v>11</x:v>
      </x:c>
      <x:c r="P1278" s="6" t="str">
        <x:f>$AA$35</x:f>
        <x:v>BOSS：30次标准普攻击杀；5次主要攻击致死</x:v>
      </x:c>
      <x:c r="Q1278" s="6"/>
      <x:c r="R1278" s="6"/>
      <x:c r="S1278" s="6"/>
      <x:c r="T1278" s="6"/>
    </x:row>
    <x:row r="1279" ht="21" customHeight="1">
      <x:c r="A1279" s="14" t="n">
        <x:f>$V$35</x:f>
        <x:v>60022</x:v>
      </x:c>
      <x:c r="B1279" s="14" t="str">
        <x:f>$W$35</x:f>
        <x:v>西瓜BOSS</x:v>
      </x:c>
      <x:c r="C1279" s="6" t="str">
        <x:f>$X$35</x:f>
        <x:v>BOSS</x:v>
      </x:c>
      <x:c r="D1279" s="6">
        <x:v>17</x:v>
      </x:c>
      <x:c r="E1279" s="6">
        <x:v>35</x:v>
      </x:c>
      <x:c r="F1279" s="12">
        <x:f>ROUND(J1279*$W$4*H1279,0)</x:f>
        <x:v>20970</x:v>
      </x:c>
      <x:c r="G1279" s="12">
        <x:f>ROUND(J1279*$W$4*$W$5*I1279,0)</x:f>
        <x:v>932</x:v>
      </x:c>
      <x:c r="H1279" s="11" t="n">
        <x:f>$Y$35</x:f>
        <x:v>7.5</x:v>
      </x:c>
      <x:c r="I1279" s="11" t="n">
        <x:f>$Z$35</x:f>
        <x:v>4.444444444444445</x:v>
      </x:c>
      <x:c r="J1279" s="12">
        <x:f>英雄升级调参!$E$82</x:f>
        <x:v>699</x:v>
      </x:c>
      <x:c r="K1279" s="12">
        <x:f>英雄升级调参!$F$82</x:f>
        <x:v>6990</x:v>
      </x:c>
      <x:c r="L1279" s="6" t="n">
        <x:f>ROUNDUP(F1279/J1279,0)</x:f>
        <x:v>30</x:v>
      </x:c>
      <x:c r="M1279" s="6" t="n">
        <x:f>IF(G1279=0,"无伤害",ROUNDUP(K1279/MAX(1,ROUND(G1279*$AC$35,0)),0))</x:f>
        <x:v>5</x:v>
      </x:c>
      <x:c r="N1279" s="6">
        <x:f>ROUNDUP(F1279/英雄升级调参!$H$82,0)</x:f>
        <x:v>19</x:v>
      </x:c>
      <x:c r="O1279" s="6">
        <x:f>ROUNDUP(F1279/英雄升级调参!$K$82,0)</x:f>
        <x:v>11</x:v>
      </x:c>
      <x:c r="P1279" s="6" t="str">
        <x:f>$AA$35</x:f>
        <x:v>BOSS：30次标准普攻击杀；5次主要攻击致死</x:v>
      </x:c>
      <x:c r="Q1279" s="6"/>
      <x:c r="R1279" s="6"/>
      <x:c r="S1279" s="6"/>
      <x:c r="T1279" s="6"/>
    </x:row>
    <x:row r="1280" ht="21" customHeight="1">
      <x:c r="A1280" s="14" t="n">
        <x:f>$V$35</x:f>
        <x:v>60022</x:v>
      </x:c>
      <x:c r="B1280" s="14" t="str">
        <x:f>$W$35</x:f>
        <x:v>西瓜BOSS</x:v>
      </x:c>
      <x:c r="C1280" s="6" t="str">
        <x:f>$X$35</x:f>
        <x:v>BOSS</x:v>
      </x:c>
      <x:c r="D1280" s="6">
        <x:v>18</x:v>
      </x:c>
      <x:c r="E1280" s="6">
        <x:v>35</x:v>
      </x:c>
      <x:c r="F1280" s="12">
        <x:f>ROUND(J1280*$W$4*H1280,0)</x:f>
        <x:v>22320</x:v>
      </x:c>
      <x:c r="G1280" s="12">
        <x:f>ROUND(J1280*$W$4*$W$5*I1280,0)</x:f>
        <x:v>992</x:v>
      </x:c>
      <x:c r="H1280" s="11" t="n">
        <x:f>$Y$35</x:f>
        <x:v>7.5</x:v>
      </x:c>
      <x:c r="I1280" s="11" t="n">
        <x:f>$Z$35</x:f>
        <x:v>4.444444444444445</x:v>
      </x:c>
      <x:c r="J1280" s="12">
        <x:f>英雄升级调参!$E$83</x:f>
        <x:v>744</x:v>
      </x:c>
      <x:c r="K1280" s="12">
        <x:f>英雄升级调参!$F$83</x:f>
        <x:v>7440</x:v>
      </x:c>
      <x:c r="L1280" s="6" t="n">
        <x:f>ROUNDUP(F1280/J1280,0)</x:f>
        <x:v>30</x:v>
      </x:c>
      <x:c r="M1280" s="6" t="n">
        <x:f>IF(G1280=0,"无伤害",ROUNDUP(K1280/MAX(1,ROUND(G1280*$AC$35,0)),0))</x:f>
        <x:v>5</x:v>
      </x:c>
      <x:c r="N1280" s="6">
        <x:f>ROUNDUP(F1280/英雄升级调参!$H$83,0)</x:f>
        <x:v>19</x:v>
      </x:c>
      <x:c r="O1280" s="6">
        <x:f>ROUNDUP(F1280/英雄升级调参!$K$83,0)</x:f>
        <x:v>11</x:v>
      </x:c>
      <x:c r="P1280" s="6" t="str">
        <x:f>$AA$35</x:f>
        <x:v>BOSS：30次标准普攻击杀；5次主要攻击致死</x:v>
      </x:c>
      <x:c r="Q1280" s="6"/>
      <x:c r="R1280" s="6"/>
      <x:c r="S1280" s="6"/>
      <x:c r="T1280" s="6"/>
    </x:row>
    <x:row r="1281" ht="21" customHeight="1">
      <x:c r="A1281" s="14" t="n">
        <x:f>$V$35</x:f>
        <x:v>60022</x:v>
      </x:c>
      <x:c r="B1281" s="14" t="str">
        <x:f>$W$35</x:f>
        <x:v>西瓜BOSS</x:v>
      </x:c>
      <x:c r="C1281" s="6" t="str">
        <x:f>$X$35</x:f>
        <x:v>BOSS</x:v>
      </x:c>
      <x:c r="D1281" s="6">
        <x:v>19</x:v>
      </x:c>
      <x:c r="E1281" s="6">
        <x:v>35</x:v>
      </x:c>
      <x:c r="F1281" s="12">
        <x:f>ROUND(J1281*$W$4*H1281,0)</x:f>
        <x:v>23670</x:v>
      </x:c>
      <x:c r="G1281" s="12">
        <x:f>ROUND(J1281*$W$4*$W$5*I1281,0)</x:f>
        <x:v>1052</x:v>
      </x:c>
      <x:c r="H1281" s="11" t="n">
        <x:f>$Y$35</x:f>
        <x:v>7.5</x:v>
      </x:c>
      <x:c r="I1281" s="11" t="n">
        <x:f>$Z$35</x:f>
        <x:v>4.444444444444445</x:v>
      </x:c>
      <x:c r="J1281" s="12">
        <x:f>英雄升级调参!$E$84</x:f>
        <x:v>789</x:v>
      </x:c>
      <x:c r="K1281" s="12">
        <x:f>英雄升级调参!$F$84</x:f>
        <x:v>7890</x:v>
      </x:c>
      <x:c r="L1281" s="6" t="n">
        <x:f>ROUNDUP(F1281/J1281,0)</x:f>
        <x:v>30</x:v>
      </x:c>
      <x:c r="M1281" s="6" t="n">
        <x:f>IF(G1281=0,"无伤害",ROUNDUP(K1281/MAX(1,ROUND(G1281*$AC$35,0)),0))</x:f>
        <x:v>5</x:v>
      </x:c>
      <x:c r="N1281" s="6">
        <x:f>ROUNDUP(F1281/英雄升级调参!$H$84,0)</x:f>
        <x:v>19</x:v>
      </x:c>
      <x:c r="O1281" s="6">
        <x:f>ROUNDUP(F1281/英雄升级调参!$K$84,0)</x:f>
        <x:v>11</x:v>
      </x:c>
      <x:c r="P1281" s="6" t="str">
        <x:f>$AA$35</x:f>
        <x:v>BOSS：30次标准普攻击杀；5次主要攻击致死</x:v>
      </x:c>
      <x:c r="Q1281" s="6"/>
      <x:c r="R1281" s="6"/>
      <x:c r="S1281" s="6"/>
      <x:c r="T1281" s="6"/>
    </x:row>
    <x:row r="1282" ht="21" customHeight="1">
      <x:c r="A1282" s="14" t="n">
        <x:f>$V$35</x:f>
        <x:v>60022</x:v>
      </x:c>
      <x:c r="B1282" s="14" t="str">
        <x:f>$W$35</x:f>
        <x:v>西瓜BOSS</x:v>
      </x:c>
      <x:c r="C1282" s="6" t="str">
        <x:f>$X$35</x:f>
        <x:v>BOSS</x:v>
      </x:c>
      <x:c r="D1282" s="6">
        <x:v>20</x:v>
      </x:c>
      <x:c r="E1282" s="6">
        <x:v>35</x:v>
      </x:c>
      <x:c r="F1282" s="12">
        <x:f>ROUND(J1282*$W$4*H1282,0)</x:f>
        <x:v>27720</x:v>
      </x:c>
      <x:c r="G1282" s="12">
        <x:f>ROUND(J1282*$W$4*$W$5*I1282,0)</x:f>
        <x:v>1232</x:v>
      </x:c>
      <x:c r="H1282" s="11" t="n">
        <x:f>$Y$35</x:f>
        <x:v>7.5</x:v>
      </x:c>
      <x:c r="I1282" s="11" t="n">
        <x:f>$Z$35</x:f>
        <x:v>4.444444444444445</x:v>
      </x:c>
      <x:c r="J1282" s="12">
        <x:f>英雄升级调参!$E$85</x:f>
        <x:v>924</x:v>
      </x:c>
      <x:c r="K1282" s="12">
        <x:f>英雄升级调参!$F$85</x:f>
        <x:v>9240</x:v>
      </x:c>
      <x:c r="L1282" s="6" t="n">
        <x:f>ROUNDUP(F1282/J1282,0)</x:f>
        <x:v>30</x:v>
      </x:c>
      <x:c r="M1282" s="6" t="n">
        <x:f>IF(G1282=0,"无伤害",ROUNDUP(K1282/MAX(1,ROUND(G1282*$AC$35,0)),0))</x:f>
        <x:v>5</x:v>
      </x:c>
      <x:c r="N1282" s="6">
        <x:f>ROUNDUP(F1282/英雄升级调参!$H$85,0)</x:f>
        <x:v>19</x:v>
      </x:c>
      <x:c r="O1282" s="6">
        <x:f>ROUNDUP(F1282/英雄升级调参!$K$85,0)</x:f>
        <x:v>11</x:v>
      </x:c>
      <x:c r="P1282" s="6" t="str">
        <x:f>$AA$35</x:f>
        <x:v>BOSS：30次标准普攻击杀；5次主要攻击致死</x:v>
      </x:c>
      <x:c r="Q1282" s="6"/>
      <x:c r="R1282" s="6"/>
      <x:c r="S1282" s="6"/>
      <x:c r="T1282" s="6"/>
    </x:row>
    <x:row r="1283" ht="21" customHeight="1">
      <x:c r="A1283" s="14" t="n">
        <x:f>$V$35</x:f>
        <x:v>60022</x:v>
      </x:c>
      <x:c r="B1283" s="14" t="str">
        <x:f>$W$35</x:f>
        <x:v>西瓜BOSS</x:v>
      </x:c>
      <x:c r="C1283" s="6" t="str">
        <x:f>$X$35</x:f>
        <x:v>BOSS</x:v>
      </x:c>
      <x:c r="D1283" s="6">
        <x:v>21</x:v>
      </x:c>
      <x:c r="E1283" s="6">
        <x:v>35</x:v>
      </x:c>
      <x:c r="F1283" s="12">
        <x:f>ROUND(J1283*$W$4*H1283,0)</x:f>
        <x:v>29340</x:v>
      </x:c>
      <x:c r="G1283" s="12">
        <x:f>ROUND(J1283*$W$4*$W$5*I1283,0)</x:f>
        <x:v>1304</x:v>
      </x:c>
      <x:c r="H1283" s="11" t="n">
        <x:f>$Y$35</x:f>
        <x:v>7.5</x:v>
      </x:c>
      <x:c r="I1283" s="11" t="n">
        <x:f>$Z$35</x:f>
        <x:v>4.444444444444445</x:v>
      </x:c>
      <x:c r="J1283" s="12">
        <x:f>英雄升级调参!$E$86</x:f>
        <x:v>978</x:v>
      </x:c>
      <x:c r="K1283" s="12">
        <x:f>英雄升级调参!$F$86</x:f>
        <x:v>9780</x:v>
      </x:c>
      <x:c r="L1283" s="6" t="n">
        <x:f>ROUNDUP(F1283/J1283,0)</x:f>
        <x:v>30</x:v>
      </x:c>
      <x:c r="M1283" s="6" t="n">
        <x:f>IF(G1283=0,"无伤害",ROUNDUP(K1283/MAX(1,ROUND(G1283*$AC$35,0)),0))</x:f>
        <x:v>5</x:v>
      </x:c>
      <x:c r="N1283" s="6">
        <x:f>ROUNDUP(F1283/英雄升级调参!$H$86,0)</x:f>
        <x:v>19</x:v>
      </x:c>
      <x:c r="O1283" s="6">
        <x:f>ROUNDUP(F1283/英雄升级调参!$K$86,0)</x:f>
        <x:v>12</x:v>
      </x:c>
      <x:c r="P1283" s="6" t="str">
        <x:f>$AA$35</x:f>
        <x:v>BOSS：30次标准普攻击杀；5次主要攻击致死</x:v>
      </x:c>
      <x:c r="Q1283" s="6"/>
      <x:c r="R1283" s="6"/>
      <x:c r="S1283" s="6"/>
      <x:c r="T1283" s="6"/>
    </x:row>
    <x:row r="1284" ht="21" customHeight="1">
      <x:c r="A1284" s="14" t="n">
        <x:f>$V$35</x:f>
        <x:v>60022</x:v>
      </x:c>
      <x:c r="B1284" s="14" t="str">
        <x:f>$W$35</x:f>
        <x:v>西瓜BOSS</x:v>
      </x:c>
      <x:c r="C1284" s="6" t="str">
        <x:f>$X$35</x:f>
        <x:v>BOSS</x:v>
      </x:c>
      <x:c r="D1284" s="6">
        <x:v>22</x:v>
      </x:c>
      <x:c r="E1284" s="6">
        <x:v>35</x:v>
      </x:c>
      <x:c r="F1284" s="12">
        <x:f>ROUND(J1284*$W$4*H1284,0)</x:f>
        <x:v>30960</x:v>
      </x:c>
      <x:c r="G1284" s="12">
        <x:f>ROUND(J1284*$W$4*$W$5*I1284,0)</x:f>
        <x:v>1376</x:v>
      </x:c>
      <x:c r="H1284" s="11" t="n">
        <x:f>$Y$35</x:f>
        <x:v>7.5</x:v>
      </x:c>
      <x:c r="I1284" s="11" t="n">
        <x:f>$Z$35</x:f>
        <x:v>4.444444444444445</x:v>
      </x:c>
      <x:c r="J1284" s="12">
        <x:f>英雄升级调参!$E$87</x:f>
        <x:v>1032</x:v>
      </x:c>
      <x:c r="K1284" s="12">
        <x:f>英雄升级调参!$F$87</x:f>
        <x:v>10320</x:v>
      </x:c>
      <x:c r="L1284" s="6" t="n">
        <x:f>ROUNDUP(F1284/J1284,0)</x:f>
        <x:v>30</x:v>
      </x:c>
      <x:c r="M1284" s="6" t="n">
        <x:f>IF(G1284=0,"无伤害",ROUNDUP(K1284/MAX(1,ROUND(G1284*$AC$35,0)),0))</x:f>
        <x:v>5</x:v>
      </x:c>
      <x:c r="N1284" s="6">
        <x:f>ROUNDUP(F1284/英雄升级调参!$H$87,0)</x:f>
        <x:v>19</x:v>
      </x:c>
      <x:c r="O1284" s="6">
        <x:f>ROUNDUP(F1284/英雄升级调参!$K$87,0)</x:f>
        <x:v>12</x:v>
      </x:c>
      <x:c r="P1284" s="6" t="str">
        <x:f>$AA$35</x:f>
        <x:v>BOSS：30次标准普攻击杀；5次主要攻击致死</x:v>
      </x:c>
      <x:c r="Q1284" s="6"/>
      <x:c r="R1284" s="6"/>
      <x:c r="S1284" s="6"/>
      <x:c r="T1284" s="6"/>
    </x:row>
    <x:row r="1285" ht="21" customHeight="1">
      <x:c r="A1285" s="14" t="n">
        <x:f>$V$35</x:f>
        <x:v>60022</x:v>
      </x:c>
      <x:c r="B1285" s="14" t="str">
        <x:f>$W$35</x:f>
        <x:v>西瓜BOSS</x:v>
      </x:c>
      <x:c r="C1285" s="6" t="str">
        <x:f>$X$35</x:f>
        <x:v>BOSS</x:v>
      </x:c>
      <x:c r="D1285" s="6">
        <x:v>23</x:v>
      </x:c>
      <x:c r="E1285" s="6">
        <x:v>35</x:v>
      </x:c>
      <x:c r="F1285" s="12">
        <x:f>ROUND(J1285*$W$4*H1285,0)</x:f>
        <x:v>32580</x:v>
      </x:c>
      <x:c r="G1285" s="12">
        <x:f>ROUND(J1285*$W$4*$W$5*I1285,0)</x:f>
        <x:v>1448</x:v>
      </x:c>
      <x:c r="H1285" s="11" t="n">
        <x:f>$Y$35</x:f>
        <x:v>7.5</x:v>
      </x:c>
      <x:c r="I1285" s="11" t="n">
        <x:f>$Z$35</x:f>
        <x:v>4.444444444444445</x:v>
      </x:c>
      <x:c r="J1285" s="12">
        <x:f>英雄升级调参!$E$88</x:f>
        <x:v>1086</x:v>
      </x:c>
      <x:c r="K1285" s="12">
        <x:f>英雄升级调参!$F$88</x:f>
        <x:v>10860</x:v>
      </x:c>
      <x:c r="L1285" s="6" t="n">
        <x:f>ROUNDUP(F1285/J1285,0)</x:f>
        <x:v>30</x:v>
      </x:c>
      <x:c r="M1285" s="6" t="n">
        <x:f>IF(G1285=0,"无伤害",ROUNDUP(K1285/MAX(1,ROUND(G1285*$AC$35,0)),0))</x:f>
        <x:v>5</x:v>
      </x:c>
      <x:c r="N1285" s="6">
        <x:f>ROUNDUP(F1285/英雄升级调参!$H$88,0)</x:f>
        <x:v>19</x:v>
      </x:c>
      <x:c r="O1285" s="6">
        <x:f>ROUNDUP(F1285/英雄升级调参!$K$88,0)</x:f>
        <x:v>12</x:v>
      </x:c>
      <x:c r="P1285" s="6" t="str">
        <x:f>$AA$35</x:f>
        <x:v>BOSS：30次标准普攻击杀；5次主要攻击致死</x:v>
      </x:c>
      <x:c r="Q1285" s="6"/>
      <x:c r="R1285" s="6"/>
      <x:c r="S1285" s="6"/>
      <x:c r="T1285" s="6"/>
    </x:row>
    <x:row r="1286" ht="21" customHeight="1">
      <x:c r="A1286" s="14" t="n">
        <x:f>$V$35</x:f>
        <x:v>60022</x:v>
      </x:c>
      <x:c r="B1286" s="14" t="str">
        <x:f>$W$35</x:f>
        <x:v>西瓜BOSS</x:v>
      </x:c>
      <x:c r="C1286" s="6" t="str">
        <x:f>$X$35</x:f>
        <x:v>BOSS</x:v>
      </x:c>
      <x:c r="D1286" s="6">
        <x:v>24</x:v>
      </x:c>
      <x:c r="E1286" s="6">
        <x:v>35</x:v>
      </x:c>
      <x:c r="F1286" s="12">
        <x:f>ROUND(J1286*$W$4*H1286,0)</x:f>
        <x:v>34200</x:v>
      </x:c>
      <x:c r="G1286" s="12">
        <x:f>ROUND(J1286*$W$4*$W$5*I1286,0)</x:f>
        <x:v>1520</x:v>
      </x:c>
      <x:c r="H1286" s="11" t="n">
        <x:f>$Y$35</x:f>
        <x:v>7.5</x:v>
      </x:c>
      <x:c r="I1286" s="11" t="n">
        <x:f>$Z$35</x:f>
        <x:v>4.444444444444445</x:v>
      </x:c>
      <x:c r="J1286" s="12">
        <x:f>英雄升级调参!$E$89</x:f>
        <x:v>1140</x:v>
      </x:c>
      <x:c r="K1286" s="12">
        <x:f>英雄升级调参!$F$89</x:f>
        <x:v>11400</x:v>
      </x:c>
      <x:c r="L1286" s="6" t="n">
        <x:f>ROUNDUP(F1286/J1286,0)</x:f>
        <x:v>30</x:v>
      </x:c>
      <x:c r="M1286" s="6" t="n">
        <x:f>IF(G1286=0,"无伤害",ROUNDUP(K1286/MAX(1,ROUND(G1286*$AC$35,0)),0))</x:f>
        <x:v>5</x:v>
      </x:c>
      <x:c r="N1286" s="6">
        <x:f>ROUNDUP(F1286/英雄升级调参!$H$89,0)</x:f>
        <x:v>19</x:v>
      </x:c>
      <x:c r="O1286" s="6">
        <x:f>ROUNDUP(F1286/英雄升级调参!$K$89,0)</x:f>
        <x:v>12</x:v>
      </x:c>
      <x:c r="P1286" s="6" t="str">
        <x:f>$AA$35</x:f>
        <x:v>BOSS：30次标准普攻击杀；5次主要攻击致死</x:v>
      </x:c>
      <x:c r="Q1286" s="6"/>
      <x:c r="R1286" s="6"/>
      <x:c r="S1286" s="6"/>
      <x:c r="T1286" s="6"/>
    </x:row>
    <x:row r="1287" ht="21" customHeight="1">
      <x:c r="A1287" s="14" t="n">
        <x:f>$V$35</x:f>
        <x:v>60022</x:v>
      </x:c>
      <x:c r="B1287" s="14" t="str">
        <x:f>$W$35</x:f>
        <x:v>西瓜BOSS</x:v>
      </x:c>
      <x:c r="C1287" s="6" t="str">
        <x:f>$X$35</x:f>
        <x:v>BOSS</x:v>
      </x:c>
      <x:c r="D1287" s="6">
        <x:v>25</x:v>
      </x:c>
      <x:c r="E1287" s="6">
        <x:v>35</x:v>
      </x:c>
      <x:c r="F1287" s="12">
        <x:f>ROUND(J1287*$W$4*H1287,0)</x:f>
        <x:v>39060</x:v>
      </x:c>
      <x:c r="G1287" s="12">
        <x:f>ROUND(J1287*$W$4*$W$5*I1287,0)</x:f>
        <x:v>1736</x:v>
      </x:c>
      <x:c r="H1287" s="11" t="n">
        <x:f>$Y$35</x:f>
        <x:v>7.5</x:v>
      </x:c>
      <x:c r="I1287" s="11" t="n">
        <x:f>$Z$35</x:f>
        <x:v>4.444444444444445</x:v>
      </x:c>
      <x:c r="J1287" s="12">
        <x:f>英雄升级调参!$E$90</x:f>
        <x:v>1302</x:v>
      </x:c>
      <x:c r="K1287" s="12">
        <x:f>英雄升级调参!$F$90</x:f>
        <x:v>13020</x:v>
      </x:c>
      <x:c r="L1287" s="6" t="n">
        <x:f>ROUNDUP(F1287/J1287,0)</x:f>
        <x:v>30</x:v>
      </x:c>
      <x:c r="M1287" s="6" t="n">
        <x:f>IF(G1287=0,"无伤害",ROUNDUP(K1287/MAX(1,ROUND(G1287*$AC$35,0)),0))</x:f>
        <x:v>5</x:v>
      </x:c>
      <x:c r="N1287" s="6">
        <x:f>ROUNDUP(F1287/英雄升级调参!$H$90,0)</x:f>
        <x:v>19</x:v>
      </x:c>
      <x:c r="O1287" s="6">
        <x:f>ROUNDUP(F1287/英雄升级调参!$K$90,0)</x:f>
        <x:v>12</x:v>
      </x:c>
      <x:c r="P1287" s="6" t="str">
        <x:f>$AA$35</x:f>
        <x:v>BOSS：30次标准普攻击杀；5次主要攻击致死</x:v>
      </x:c>
      <x:c r="Q1287" s="6"/>
      <x:c r="R1287" s="6"/>
      <x:c r="S1287" s="6"/>
      <x:c r="T1287" s="6"/>
    </x:row>
    <x:row r="1288" ht="21" customHeight="1">
      <x:c r="A1288" s="14" t="n">
        <x:f>$V$35</x:f>
        <x:v>60022</x:v>
      </x:c>
      <x:c r="B1288" s="14" t="str">
        <x:f>$W$35</x:f>
        <x:v>西瓜BOSS</x:v>
      </x:c>
      <x:c r="C1288" s="6" t="str">
        <x:f>$X$35</x:f>
        <x:v>BOSS</x:v>
      </x:c>
      <x:c r="D1288" s="6">
        <x:v>26</x:v>
      </x:c>
      <x:c r="E1288" s="6">
        <x:v>35</x:v>
      </x:c>
      <x:c r="F1288" s="12">
        <x:f>ROUND(J1288*$W$4*H1288,0)</x:f>
        <x:v>40950</x:v>
      </x:c>
      <x:c r="G1288" s="12">
        <x:f>ROUND(J1288*$W$4*$W$5*I1288,0)</x:f>
        <x:v>1820</x:v>
      </x:c>
      <x:c r="H1288" s="11" t="n">
        <x:f>$Y$35</x:f>
        <x:v>7.5</x:v>
      </x:c>
      <x:c r="I1288" s="11" t="n">
        <x:f>$Z$35</x:f>
        <x:v>4.444444444444445</x:v>
      </x:c>
      <x:c r="J1288" s="12">
        <x:f>英雄升级调参!$E$91</x:f>
        <x:v>1365</x:v>
      </x:c>
      <x:c r="K1288" s="12">
        <x:f>英雄升级调参!$F$91</x:f>
        <x:v>13650</x:v>
      </x:c>
      <x:c r="L1288" s="6" t="n">
        <x:f>ROUNDUP(F1288/J1288,0)</x:f>
        <x:v>30</x:v>
      </x:c>
      <x:c r="M1288" s="6" t="n">
        <x:f>IF(G1288=0,"无伤害",ROUNDUP(K1288/MAX(1,ROUND(G1288*$AC$35,0)),0))</x:f>
        <x:v>5</x:v>
      </x:c>
      <x:c r="N1288" s="6">
        <x:f>ROUNDUP(F1288/英雄升级调参!$H$91,0)</x:f>
        <x:v>19</x:v>
      </x:c>
      <x:c r="O1288" s="6">
        <x:f>ROUNDUP(F1288/英雄升级调参!$K$91,0)</x:f>
        <x:v>12</x:v>
      </x:c>
      <x:c r="P1288" s="6" t="str">
        <x:f>$AA$35</x:f>
        <x:v>BOSS：30次标准普攻击杀；5次主要攻击致死</x:v>
      </x:c>
      <x:c r="Q1288" s="6"/>
      <x:c r="R1288" s="6"/>
      <x:c r="S1288" s="6"/>
      <x:c r="T1288" s="6"/>
    </x:row>
    <x:row r="1289" ht="21" customHeight="1">
      <x:c r="A1289" s="14" t="n">
        <x:f>$V$35</x:f>
        <x:v>60022</x:v>
      </x:c>
      <x:c r="B1289" s="14" t="str">
        <x:f>$W$35</x:f>
        <x:v>西瓜BOSS</x:v>
      </x:c>
      <x:c r="C1289" s="6" t="str">
        <x:f>$X$35</x:f>
        <x:v>BOSS</x:v>
      </x:c>
      <x:c r="D1289" s="6">
        <x:v>27</x:v>
      </x:c>
      <x:c r="E1289" s="6">
        <x:v>35</x:v>
      </x:c>
      <x:c r="F1289" s="12">
        <x:f>ROUND(J1289*$W$4*H1289,0)</x:f>
        <x:v>42840</x:v>
      </x:c>
      <x:c r="G1289" s="12">
        <x:f>ROUND(J1289*$W$4*$W$5*I1289,0)</x:f>
        <x:v>1904</x:v>
      </x:c>
      <x:c r="H1289" s="11" t="n">
        <x:f>$Y$35</x:f>
        <x:v>7.5</x:v>
      </x:c>
      <x:c r="I1289" s="11" t="n">
        <x:f>$Z$35</x:f>
        <x:v>4.444444444444445</x:v>
      </x:c>
      <x:c r="J1289" s="12">
        <x:f>英雄升级调参!$E$92</x:f>
        <x:v>1428</x:v>
      </x:c>
      <x:c r="K1289" s="12">
        <x:f>英雄升级调参!$F$92</x:f>
        <x:v>14280</x:v>
      </x:c>
      <x:c r="L1289" s="6" t="n">
        <x:f>ROUNDUP(F1289/J1289,0)</x:f>
        <x:v>30</x:v>
      </x:c>
      <x:c r="M1289" s="6" t="n">
        <x:f>IF(G1289=0,"无伤害",ROUNDUP(K1289/MAX(1,ROUND(G1289*$AC$35,0)),0))</x:f>
        <x:v>5</x:v>
      </x:c>
      <x:c r="N1289" s="6">
        <x:f>ROUNDUP(F1289/英雄升级调参!$H$92,0)</x:f>
        <x:v>19</x:v>
      </x:c>
      <x:c r="O1289" s="6">
        <x:f>ROUNDUP(F1289/英雄升级调参!$K$92,0)</x:f>
        <x:v>12</x:v>
      </x:c>
      <x:c r="P1289" s="6" t="str">
        <x:f>$AA$35</x:f>
        <x:v>BOSS：30次标准普攻击杀；5次主要攻击致死</x:v>
      </x:c>
      <x:c r="Q1289" s="6"/>
      <x:c r="R1289" s="6"/>
      <x:c r="S1289" s="6"/>
      <x:c r="T1289" s="6"/>
    </x:row>
    <x:row r="1290" ht="21" customHeight="1">
      <x:c r="A1290" s="14" t="n">
        <x:f>$V$35</x:f>
        <x:v>60022</x:v>
      </x:c>
      <x:c r="B1290" s="14" t="str">
        <x:f>$W$35</x:f>
        <x:v>西瓜BOSS</x:v>
      </x:c>
      <x:c r="C1290" s="6" t="str">
        <x:f>$X$35</x:f>
        <x:v>BOSS</x:v>
      </x:c>
      <x:c r="D1290" s="6">
        <x:v>28</x:v>
      </x:c>
      <x:c r="E1290" s="6">
        <x:v>35</x:v>
      </x:c>
      <x:c r="F1290" s="12">
        <x:f>ROUND(J1290*$W$4*H1290,0)</x:f>
        <x:v>44730</x:v>
      </x:c>
      <x:c r="G1290" s="12">
        <x:f>ROUND(J1290*$W$4*$W$5*I1290,0)</x:f>
        <x:v>1988</x:v>
      </x:c>
      <x:c r="H1290" s="11" t="n">
        <x:f>$Y$35</x:f>
        <x:v>7.5</x:v>
      </x:c>
      <x:c r="I1290" s="11" t="n">
        <x:f>$Z$35</x:f>
        <x:v>4.444444444444445</x:v>
      </x:c>
      <x:c r="J1290" s="12">
        <x:f>英雄升级调参!$E$93</x:f>
        <x:v>1491</x:v>
      </x:c>
      <x:c r="K1290" s="12">
        <x:f>英雄升级调参!$F$93</x:f>
        <x:v>14910</x:v>
      </x:c>
      <x:c r="L1290" s="6" t="n">
        <x:f>ROUNDUP(F1290/J1290,0)</x:f>
        <x:v>30</x:v>
      </x:c>
      <x:c r="M1290" s="6" t="n">
        <x:f>IF(G1290=0,"无伤害",ROUNDUP(K1290/MAX(1,ROUND(G1290*$AC$35,0)),0))</x:f>
        <x:v>5</x:v>
      </x:c>
      <x:c r="N1290" s="6" t="n">
        <x:f>ROUNDUP(F1290/英雄升级调参!$H$93,0)</x:f>
        <x:v>20</x:v>
      </x:c>
      <x:c r="O1290" s="6">
        <x:f>ROUNDUP(F1290/英雄升级调参!$K$93,0)</x:f>
        <x:v>12</x:v>
      </x:c>
      <x:c r="P1290" s="6" t="str">
        <x:f>$AA$35</x:f>
        <x:v>BOSS：30次标准普攻击杀；5次主要攻击致死</x:v>
      </x:c>
      <x:c r="Q1290" s="6"/>
      <x:c r="R1290" s="6"/>
      <x:c r="S1290" s="6"/>
      <x:c r="T1290" s="6"/>
    </x:row>
    <x:row r="1291" ht="21" customHeight="1">
      <x:c r="A1291" s="14" t="n">
        <x:f>$V$35</x:f>
        <x:v>60022</x:v>
      </x:c>
      <x:c r="B1291" s="14" t="str">
        <x:f>$W$35</x:f>
        <x:v>西瓜BOSS</x:v>
      </x:c>
      <x:c r="C1291" s="6" t="str">
        <x:f>$X$35</x:f>
        <x:v>BOSS</x:v>
      </x:c>
      <x:c r="D1291" s="6">
        <x:v>29</x:v>
      </x:c>
      <x:c r="E1291" s="6">
        <x:v>35</x:v>
      </x:c>
      <x:c r="F1291" s="12">
        <x:f>ROUND(J1291*$W$4*H1291,0)</x:f>
        <x:v>46620</x:v>
      </x:c>
      <x:c r="G1291" s="12">
        <x:f>ROUND(J1291*$W$4*$W$5*I1291,0)</x:f>
        <x:v>2072</x:v>
      </x:c>
      <x:c r="H1291" s="11" t="n">
        <x:f>$Y$35</x:f>
        <x:v>7.5</x:v>
      </x:c>
      <x:c r="I1291" s="11" t="n">
        <x:f>$Z$35</x:f>
        <x:v>4.444444444444445</x:v>
      </x:c>
      <x:c r="J1291" s="12">
        <x:f>英雄升级调参!$E$94</x:f>
        <x:v>1554</x:v>
      </x:c>
      <x:c r="K1291" s="12">
        <x:f>英雄升级调参!$F$94</x:f>
        <x:v>15540</x:v>
      </x:c>
      <x:c r="L1291" s="6" t="n">
        <x:f>ROUNDUP(F1291/J1291,0)</x:f>
        <x:v>30</x:v>
      </x:c>
      <x:c r="M1291" s="6" t="n">
        <x:f>IF(G1291=0,"无伤害",ROUNDUP(K1291/MAX(1,ROUND(G1291*$AC$35,0)),0))</x:f>
        <x:v>5</x:v>
      </x:c>
      <x:c r="N1291" s="6" t="n">
        <x:f>ROUNDUP(F1291/英雄升级调参!$H$94,0)</x:f>
        <x:v>20</x:v>
      </x:c>
      <x:c r="O1291" s="6">
        <x:f>ROUNDUP(F1291/英雄升级调参!$K$94,0)</x:f>
        <x:v>12</x:v>
      </x:c>
      <x:c r="P1291" s="6" t="str">
        <x:f>$AA$35</x:f>
        <x:v>BOSS：30次标准普攻击杀；5次主要攻击致死</x:v>
      </x:c>
      <x:c r="Q1291" s="6"/>
      <x:c r="R1291" s="6"/>
      <x:c r="S1291" s="6"/>
      <x:c r="T1291" s="6"/>
    </x:row>
    <x:row r="1292" ht="21" customHeight="1">
      <x:c r="A1292" s="14" t="n">
        <x:f>$V$35</x:f>
        <x:v>60022</x:v>
      </x:c>
      <x:c r="B1292" s="14" t="str">
        <x:f>$W$35</x:f>
        <x:v>西瓜BOSS</x:v>
      </x:c>
      <x:c r="C1292" s="6" t="str">
        <x:f>$X$35</x:f>
        <x:v>BOSS</x:v>
      </x:c>
      <x:c r="D1292" s="6">
        <x:v>30</x:v>
      </x:c>
      <x:c r="E1292" s="6">
        <x:v>35</x:v>
      </x:c>
      <x:c r="F1292" s="12">
        <x:f>ROUND(J1292*$W$4*H1292,0)</x:f>
        <x:v>52290</x:v>
      </x:c>
      <x:c r="G1292" s="12">
        <x:f>ROUND(J1292*$W$4*$W$5*I1292,0)</x:f>
        <x:v>2324</x:v>
      </x:c>
      <x:c r="H1292" s="11" t="n">
        <x:f>$Y$35</x:f>
        <x:v>7.5</x:v>
      </x:c>
      <x:c r="I1292" s="11" t="n">
        <x:f>$Z$35</x:f>
        <x:v>4.444444444444445</x:v>
      </x:c>
      <x:c r="J1292" s="12">
        <x:f>英雄升级调参!$E$95</x:f>
        <x:v>1743</x:v>
      </x:c>
      <x:c r="K1292" s="12">
        <x:f>英雄升级调参!$F$95</x:f>
        <x:v>17430</x:v>
      </x:c>
      <x:c r="L1292" s="6" t="n">
        <x:f>ROUNDUP(F1292/J1292,0)</x:f>
        <x:v>30</x:v>
      </x:c>
      <x:c r="M1292" s="6" t="n">
        <x:f>IF(G1292=0,"无伤害",ROUNDUP(K1292/MAX(1,ROUND(G1292*$AC$35,0)),0))</x:f>
        <x:v>5</x:v>
      </x:c>
      <x:c r="N1292" s="6" t="n">
        <x:f>ROUNDUP(F1292/英雄升级调参!$H$95,0)</x:f>
        <x:v>20</x:v>
      </x:c>
      <x:c r="O1292" s="6">
        <x:f>ROUNDUP(F1292/英雄升级调参!$K$95,0)</x:f>
        <x:v>12</x:v>
      </x:c>
      <x:c r="P1292" s="6" t="str">
        <x:f>$AA$35</x:f>
        <x:v>BOSS：30次标准普攻击杀；5次主要攻击致死</x:v>
      </x:c>
      <x:c r="Q1292" s="6"/>
      <x:c r="R1292" s="6"/>
      <x:c r="S1292" s="6"/>
      <x:c r="T1292" s="6"/>
    </x:row>
    <x:row r="1293" ht="21" customHeight="1">
      <x:c r="A1293" s="14" t="n">
        <x:f>$V$35</x:f>
        <x:v>60022</x:v>
      </x:c>
      <x:c r="B1293" s="14" t="str">
        <x:f>$W$35</x:f>
        <x:v>西瓜BOSS</x:v>
      </x:c>
      <x:c r="C1293" s="6" t="str">
        <x:f>$X$35</x:f>
        <x:v>BOSS</x:v>
      </x:c>
      <x:c r="D1293" s="6">
        <x:v>31</x:v>
      </x:c>
      <x:c r="E1293" s="6">
        <x:v>35</x:v>
      </x:c>
      <x:c r="F1293" s="12">
        <x:f>ROUND(J1293*$W$4*H1293,0)</x:f>
        <x:v>54450</x:v>
      </x:c>
      <x:c r="G1293" s="12">
        <x:f>ROUND(J1293*$W$4*$W$5*I1293,0)</x:f>
        <x:v>2420</x:v>
      </x:c>
      <x:c r="H1293" s="11" t="n">
        <x:f>$Y$35</x:f>
        <x:v>7.5</x:v>
      </x:c>
      <x:c r="I1293" s="11" t="n">
        <x:f>$Z$35</x:f>
        <x:v>4.444444444444445</x:v>
      </x:c>
      <x:c r="J1293" s="12">
        <x:f>英雄升级调参!$E$96</x:f>
        <x:v>1815</x:v>
      </x:c>
      <x:c r="K1293" s="12">
        <x:f>英雄升级调参!$F$96</x:f>
        <x:v>18150</x:v>
      </x:c>
      <x:c r="L1293" s="6" t="n">
        <x:f>ROUNDUP(F1293/J1293,0)</x:f>
        <x:v>30</x:v>
      </x:c>
      <x:c r="M1293" s="6" t="n">
        <x:f>IF(G1293=0,"无伤害",ROUNDUP(K1293/MAX(1,ROUND(G1293*$AC$35,0)),0))</x:f>
        <x:v>5</x:v>
      </x:c>
      <x:c r="N1293" s="6" t="n">
        <x:f>ROUNDUP(F1293/英雄升级调参!$H$96,0)</x:f>
        <x:v>20</x:v>
      </x:c>
      <x:c r="O1293" s="6">
        <x:f>ROUNDUP(F1293/英雄升级调参!$K$96,0)</x:f>
        <x:v>12</x:v>
      </x:c>
      <x:c r="P1293" s="6" t="str">
        <x:f>$AA$35</x:f>
        <x:v>BOSS：30次标准普攻击杀；5次主要攻击致死</x:v>
      </x:c>
      <x:c r="Q1293" s="6"/>
      <x:c r="R1293" s="6"/>
      <x:c r="S1293" s="6"/>
      <x:c r="T1293" s="6"/>
    </x:row>
    <x:row r="1294" ht="21" customHeight="1">
      <x:c r="A1294" s="14" t="n">
        <x:f>$V$35</x:f>
        <x:v>60022</x:v>
      </x:c>
      <x:c r="B1294" s="14" t="str">
        <x:f>$W$35</x:f>
        <x:v>西瓜BOSS</x:v>
      </x:c>
      <x:c r="C1294" s="6" t="str">
        <x:f>$X$35</x:f>
        <x:v>BOSS</x:v>
      </x:c>
      <x:c r="D1294" s="6">
        <x:v>32</x:v>
      </x:c>
      <x:c r="E1294" s="6">
        <x:v>35</x:v>
      </x:c>
      <x:c r="F1294" s="12">
        <x:f>ROUND(J1294*$W$4*H1294,0)</x:f>
        <x:v>56610</x:v>
      </x:c>
      <x:c r="G1294" s="12">
        <x:f>ROUND(J1294*$W$4*$W$5*I1294,0)</x:f>
        <x:v>2516</x:v>
      </x:c>
      <x:c r="H1294" s="11" t="n">
        <x:f>$Y$35</x:f>
        <x:v>7.5</x:v>
      </x:c>
      <x:c r="I1294" s="11" t="n">
        <x:f>$Z$35</x:f>
        <x:v>4.444444444444445</x:v>
      </x:c>
      <x:c r="J1294" s="12">
        <x:f>英雄升级调参!$E$97</x:f>
        <x:v>1887</x:v>
      </x:c>
      <x:c r="K1294" s="12">
        <x:f>英雄升级调参!$F$97</x:f>
        <x:v>18870</x:v>
      </x:c>
      <x:c r="L1294" s="6" t="n">
        <x:f>ROUNDUP(F1294/J1294,0)</x:f>
        <x:v>30</x:v>
      </x:c>
      <x:c r="M1294" s="6" t="n">
        <x:f>IF(G1294=0,"无伤害",ROUNDUP(K1294/MAX(1,ROUND(G1294*$AC$35,0)),0))</x:f>
        <x:v>5</x:v>
      </x:c>
      <x:c r="N1294" s="6" t="n">
        <x:f>ROUNDUP(F1294/英雄升级调参!$H$97,0)</x:f>
        <x:v>20</x:v>
      </x:c>
      <x:c r="O1294" s="6">
        <x:f>ROUNDUP(F1294/英雄升级调参!$K$97,0)</x:f>
        <x:v>12</x:v>
      </x:c>
      <x:c r="P1294" s="6" t="str">
        <x:f>$AA$35</x:f>
        <x:v>BOSS：30次标准普攻击杀；5次主要攻击致死</x:v>
      </x:c>
      <x:c r="Q1294" s="6"/>
      <x:c r="R1294" s="6"/>
      <x:c r="S1294" s="6"/>
      <x:c r="T1294" s="6"/>
    </x:row>
    <x:row r="1295" ht="21" customHeight="1">
      <x:c r="A1295" s="14" t="n">
        <x:f>$V$35</x:f>
        <x:v>60022</x:v>
      </x:c>
      <x:c r="B1295" s="14" t="str">
        <x:f>$W$35</x:f>
        <x:v>西瓜BOSS</x:v>
      </x:c>
      <x:c r="C1295" s="6" t="str">
        <x:f>$X$35</x:f>
        <x:v>BOSS</x:v>
      </x:c>
      <x:c r="D1295" s="6">
        <x:v>33</x:v>
      </x:c>
      <x:c r="E1295" s="6">
        <x:v>35</x:v>
      </x:c>
      <x:c r="F1295" s="12">
        <x:f>ROUND(J1295*$W$4*H1295,0)</x:f>
        <x:v>58770</x:v>
      </x:c>
      <x:c r="G1295" s="12">
        <x:f>ROUND(J1295*$W$4*$W$5*I1295,0)</x:f>
        <x:v>2612</x:v>
      </x:c>
      <x:c r="H1295" s="11" t="n">
        <x:f>$Y$35</x:f>
        <x:v>7.5</x:v>
      </x:c>
      <x:c r="I1295" s="11" t="n">
        <x:f>$Z$35</x:f>
        <x:v>4.444444444444445</x:v>
      </x:c>
      <x:c r="J1295" s="12">
        <x:f>英雄升级调参!$E$98</x:f>
        <x:v>1959</x:v>
      </x:c>
      <x:c r="K1295" s="12">
        <x:f>英雄升级调参!$F$98</x:f>
        <x:v>19590</x:v>
      </x:c>
      <x:c r="L1295" s="6" t="n">
        <x:f>ROUNDUP(F1295/J1295,0)</x:f>
        <x:v>30</x:v>
      </x:c>
      <x:c r="M1295" s="6" t="n">
        <x:f>IF(G1295=0,"无伤害",ROUNDUP(K1295/MAX(1,ROUND(G1295*$AC$35,0)),0))</x:f>
        <x:v>5</x:v>
      </x:c>
      <x:c r="N1295" s="6" t="n">
        <x:f>ROUNDUP(F1295/英雄升级调参!$H$98,0)</x:f>
        <x:v>20</x:v>
      </x:c>
      <x:c r="O1295" s="6">
        <x:f>ROUNDUP(F1295/英雄升级调参!$K$98,0)</x:f>
        <x:v>12</x:v>
      </x:c>
      <x:c r="P1295" s="6" t="str">
        <x:f>$AA$35</x:f>
        <x:v>BOSS：30次标准普攻击杀；5次主要攻击致死</x:v>
      </x:c>
      <x:c r="Q1295" s="6"/>
      <x:c r="R1295" s="6"/>
      <x:c r="S1295" s="6"/>
      <x:c r="T1295" s="6"/>
    </x:row>
    <x:row r="1296" ht="21" customHeight="1">
      <x:c r="A1296" s="14" t="n">
        <x:f>$V$35</x:f>
        <x:v>60022</x:v>
      </x:c>
      <x:c r="B1296" s="14" t="str">
        <x:f>$W$35</x:f>
        <x:v>西瓜BOSS</x:v>
      </x:c>
      <x:c r="C1296" s="6" t="str">
        <x:f>$X$35</x:f>
        <x:v>BOSS</x:v>
      </x:c>
      <x:c r="D1296" s="6">
        <x:v>34</x:v>
      </x:c>
      <x:c r="E1296" s="6">
        <x:v>35</x:v>
      </x:c>
      <x:c r="F1296" s="12">
        <x:f>ROUND(J1296*$W$4*H1296,0)</x:f>
        <x:v>60930</x:v>
      </x:c>
      <x:c r="G1296" s="12">
        <x:f>ROUND(J1296*$W$4*$W$5*I1296,0)</x:f>
        <x:v>2708</x:v>
      </x:c>
      <x:c r="H1296" s="11" t="n">
        <x:f>$Y$35</x:f>
        <x:v>7.5</x:v>
      </x:c>
      <x:c r="I1296" s="11" t="n">
        <x:f>$Z$35</x:f>
        <x:v>4.444444444444445</x:v>
      </x:c>
      <x:c r="J1296" s="12">
        <x:f>英雄升级调参!$E$99</x:f>
        <x:v>2031</x:v>
      </x:c>
      <x:c r="K1296" s="12">
        <x:f>英雄升级调参!$F$99</x:f>
        <x:v>20310</x:v>
      </x:c>
      <x:c r="L1296" s="6" t="n">
        <x:f>ROUNDUP(F1296/J1296,0)</x:f>
        <x:v>30</x:v>
      </x:c>
      <x:c r="M1296" s="6" t="n">
        <x:f>IF(G1296=0,"无伤害",ROUNDUP(K1296/MAX(1,ROUND(G1296*$AC$35,0)),0))</x:f>
        <x:v>5</x:v>
      </x:c>
      <x:c r="N1296" s="6" t="n">
        <x:f>ROUNDUP(F1296/英雄升级调参!$H$99,0)</x:f>
        <x:v>20</x:v>
      </x:c>
      <x:c r="O1296" s="6">
        <x:f>ROUNDUP(F1296/英雄升级调参!$K$99,0)</x:f>
        <x:v>12</x:v>
      </x:c>
      <x:c r="P1296" s="6" t="str">
        <x:f>$AA$35</x:f>
        <x:v>BOSS：30次标准普攻击杀；5次主要攻击致死</x:v>
      </x:c>
      <x:c r="Q1296" s="6"/>
      <x:c r="R1296" s="6"/>
      <x:c r="S1296" s="6"/>
      <x:c r="T1296" s="6"/>
    </x:row>
    <x:row r="1297" ht="21" customHeight="1">
      <x:c r="A1297" s="14" t="n">
        <x:f>$V$35</x:f>
        <x:v>60022</x:v>
      </x:c>
      <x:c r="B1297" s="14" t="str">
        <x:f>$W$35</x:f>
        <x:v>西瓜BOSS</x:v>
      </x:c>
      <x:c r="C1297" s="6" t="str">
        <x:f>$X$35</x:f>
        <x:v>BOSS</x:v>
      </x:c>
      <x:c r="D1297" s="6">
        <x:v>35</x:v>
      </x:c>
      <x:c r="E1297" s="6">
        <x:v>35</x:v>
      </x:c>
      <x:c r="F1297" s="12">
        <x:f>ROUND(J1297*$W$4*H1297,0)</x:f>
        <x:v>67410</x:v>
      </x:c>
      <x:c r="G1297" s="12">
        <x:f>ROUND(J1297*$W$4*$W$5*I1297,0)</x:f>
        <x:v>2996</x:v>
      </x:c>
      <x:c r="H1297" s="11" t="n">
        <x:f>$Y$35</x:f>
        <x:v>7.5</x:v>
      </x:c>
      <x:c r="I1297" s="11" t="n">
        <x:f>$Z$35</x:f>
        <x:v>4.444444444444445</x:v>
      </x:c>
      <x:c r="J1297" s="12">
        <x:f>英雄升级调参!$E$100</x:f>
        <x:v>2247</x:v>
      </x:c>
      <x:c r="K1297" s="12">
        <x:f>英雄升级调参!$F$100</x:f>
        <x:v>22470</x:v>
      </x:c>
      <x:c r="L1297" s="6" t="n">
        <x:f>ROUNDUP(F1297/J1297,0)</x:f>
        <x:v>30</x:v>
      </x:c>
      <x:c r="M1297" s="6" t="n">
        <x:f>IF(G1297=0,"无伤害",ROUNDUP(K1297/MAX(1,ROUND(G1297*$AC$35,0)),0))</x:f>
        <x:v>5</x:v>
      </x:c>
      <x:c r="N1297" s="6" t="n">
        <x:f>ROUNDUP(F1297/英雄升级调参!$H$100,0)</x:f>
        <x:v>20</x:v>
      </x:c>
      <x:c r="O1297" s="6">
        <x:f>ROUNDUP(F1297/英雄升级调参!$K$100,0)</x:f>
        <x:v>12</x:v>
      </x:c>
      <x:c r="P1297" s="6" t="str">
        <x:f>$AA$35</x:f>
        <x:v>BOSS：30次标准普攻击杀；5次主要攻击致死</x:v>
      </x:c>
      <x:c r="Q1297" s="6"/>
      <x:c r="R1297" s="6"/>
      <x:c r="S1297" s="6"/>
      <x:c r="T1297" s="6"/>
    </x:row>
    <x:row r="1298" ht="21" customHeight="1">
      <x:c r="A1298" s="14" t="n">
        <x:f>$V$35</x:f>
        <x:v>60022</x:v>
      </x:c>
      <x:c r="B1298" s="14" t="str">
        <x:f>$W$35</x:f>
        <x:v>西瓜BOSS</x:v>
      </x:c>
      <x:c r="C1298" s="6" t="str">
        <x:f>$X$35</x:f>
        <x:v>BOSS</x:v>
      </x:c>
      <x:c r="D1298" s="6">
        <x:v>36</x:v>
      </x:c>
      <x:c r="E1298" s="6">
        <x:v>35</x:v>
      </x:c>
      <x:c r="F1298" s="12">
        <x:f>ROUND(J1298*$W$4*H1298,0)</x:f>
        <x:v>69840</x:v>
      </x:c>
      <x:c r="G1298" s="12">
        <x:f>ROUND(J1298*$W$4*$W$5*I1298,0)</x:f>
        <x:v>3104</x:v>
      </x:c>
      <x:c r="H1298" s="11" t="n">
        <x:f>$Y$35</x:f>
        <x:v>7.5</x:v>
      </x:c>
      <x:c r="I1298" s="11" t="n">
        <x:f>$Z$35</x:f>
        <x:v>4.444444444444445</x:v>
      </x:c>
      <x:c r="J1298" s="12">
        <x:f>英雄升级调参!$E$101</x:f>
        <x:v>2328</x:v>
      </x:c>
      <x:c r="K1298" s="12">
        <x:f>英雄升级调参!$F$101</x:f>
        <x:v>23280</x:v>
      </x:c>
      <x:c r="L1298" s="6" t="n">
        <x:f>ROUNDUP(F1298/J1298,0)</x:f>
        <x:v>30</x:v>
      </x:c>
      <x:c r="M1298" s="6" t="n">
        <x:f>IF(G1298=0,"无伤害",ROUNDUP(K1298/MAX(1,ROUND(G1298*$AC$35,0)),0))</x:f>
        <x:v>5</x:v>
      </x:c>
      <x:c r="N1298" s="6" t="n">
        <x:f>ROUNDUP(F1298/英雄升级调参!$H$101,0)</x:f>
        <x:v>20</x:v>
      </x:c>
      <x:c r="O1298" s="6">
        <x:f>ROUNDUP(F1298/英雄升级调参!$K$101,0)</x:f>
        <x:v>12</x:v>
      </x:c>
      <x:c r="P1298" s="6" t="str">
        <x:f>$AA$35</x:f>
        <x:v>BOSS：30次标准普攻击杀；5次主要攻击致死</x:v>
      </x:c>
      <x:c r="Q1298" s="6"/>
      <x:c r="R1298" s="6"/>
      <x:c r="S1298" s="6"/>
      <x:c r="T1298" s="6"/>
    </x:row>
    <x:row r="1299" ht="21" customHeight="1">
      <x:c r="A1299" s="14" t="n">
        <x:f>$V$35</x:f>
        <x:v>60022</x:v>
      </x:c>
      <x:c r="B1299" s="14" t="str">
        <x:f>$W$35</x:f>
        <x:v>西瓜BOSS</x:v>
      </x:c>
      <x:c r="C1299" s="6" t="str">
        <x:f>$X$35</x:f>
        <x:v>BOSS</x:v>
      </x:c>
      <x:c r="D1299" s="6">
        <x:v>37</x:v>
      </x:c>
      <x:c r="E1299" s="6">
        <x:v>35</x:v>
      </x:c>
      <x:c r="F1299" s="12">
        <x:f>ROUND(J1299*$W$4*H1299,0)</x:f>
        <x:v>72270</x:v>
      </x:c>
      <x:c r="G1299" s="12">
        <x:f>ROUND(J1299*$W$4*$W$5*I1299,0)</x:f>
        <x:v>3212</x:v>
      </x:c>
      <x:c r="H1299" s="11" t="n">
        <x:f>$Y$35</x:f>
        <x:v>7.5</x:v>
      </x:c>
      <x:c r="I1299" s="11" t="n">
        <x:f>$Z$35</x:f>
        <x:v>4.444444444444445</x:v>
      </x:c>
      <x:c r="J1299" s="12">
        <x:f>英雄升级调参!$E$102</x:f>
        <x:v>2409</x:v>
      </x:c>
      <x:c r="K1299" s="12">
        <x:f>英雄升级调参!$F$102</x:f>
        <x:v>24090</x:v>
      </x:c>
      <x:c r="L1299" s="6" t="n">
        <x:f>ROUNDUP(F1299/J1299,0)</x:f>
        <x:v>30</x:v>
      </x:c>
      <x:c r="M1299" s="6" t="n">
        <x:f>IF(G1299=0,"无伤害",ROUNDUP(K1299/MAX(1,ROUND(G1299*$AC$35,0)),0))</x:f>
        <x:v>5</x:v>
      </x:c>
      <x:c r="N1299" s="6" t="n">
        <x:f>ROUNDUP(F1299/英雄升级调参!$H$102,0)</x:f>
        <x:v>20</x:v>
      </x:c>
      <x:c r="O1299" s="6">
        <x:f>ROUNDUP(F1299/英雄升级调参!$K$102,0)</x:f>
        <x:v>12</x:v>
      </x:c>
      <x:c r="P1299" s="6" t="str">
        <x:f>$AA$35</x:f>
        <x:v>BOSS：30次标准普攻击杀；5次主要攻击致死</x:v>
      </x:c>
      <x:c r="Q1299" s="6"/>
      <x:c r="R1299" s="6"/>
      <x:c r="S1299" s="6"/>
      <x:c r="T1299" s="6"/>
    </x:row>
    <x:row r="1300" ht="21" customHeight="1">
      <x:c r="A1300" s="14" t="n">
        <x:f>$V$35</x:f>
        <x:v>60022</x:v>
      </x:c>
      <x:c r="B1300" s="14" t="str">
        <x:f>$W$35</x:f>
        <x:v>西瓜BOSS</x:v>
      </x:c>
      <x:c r="C1300" s="6" t="str">
        <x:f>$X$35</x:f>
        <x:v>BOSS</x:v>
      </x:c>
      <x:c r="D1300" s="6">
        <x:v>38</x:v>
      </x:c>
      <x:c r="E1300" s="6">
        <x:v>35</x:v>
      </x:c>
      <x:c r="F1300" s="12">
        <x:f>ROUND(J1300*$W$4*H1300,0)</x:f>
        <x:v>74700</x:v>
      </x:c>
      <x:c r="G1300" s="12">
        <x:f>ROUND(J1300*$W$4*$W$5*I1300,0)</x:f>
        <x:v>3320</x:v>
      </x:c>
      <x:c r="H1300" s="11" t="n">
        <x:f>$Y$35</x:f>
        <x:v>7.5</x:v>
      </x:c>
      <x:c r="I1300" s="11" t="n">
        <x:f>$Z$35</x:f>
        <x:v>4.444444444444445</x:v>
      </x:c>
      <x:c r="J1300" s="12">
        <x:f>英雄升级调参!$E$103</x:f>
        <x:v>2490</x:v>
      </x:c>
      <x:c r="K1300" s="12">
        <x:f>英雄升级调参!$F$103</x:f>
        <x:v>24900</x:v>
      </x:c>
      <x:c r="L1300" s="6" t="n">
        <x:f>ROUNDUP(F1300/J1300,0)</x:f>
        <x:v>30</x:v>
      </x:c>
      <x:c r="M1300" s="6" t="n">
        <x:f>IF(G1300=0,"无伤害",ROUNDUP(K1300/MAX(1,ROUND(G1300*$AC$35,0)),0))</x:f>
        <x:v>5</x:v>
      </x:c>
      <x:c r="N1300" s="6" t="n">
        <x:f>ROUNDUP(F1300/英雄升级调参!$H$103,0)</x:f>
        <x:v>20</x:v>
      </x:c>
      <x:c r="O1300" s="6">
        <x:f>ROUNDUP(F1300/英雄升级调参!$K$103,0)</x:f>
        <x:v>12</x:v>
      </x:c>
      <x:c r="P1300" s="6" t="str">
        <x:f>$AA$35</x:f>
        <x:v>BOSS：30次标准普攻击杀；5次主要攻击致死</x:v>
      </x:c>
      <x:c r="Q1300" s="6"/>
      <x:c r="R1300" s="6"/>
      <x:c r="S1300" s="6"/>
      <x:c r="T1300" s="6"/>
    </x:row>
    <x:row r="1301" ht="21" customHeight="1">
      <x:c r="A1301" s="14" t="n">
        <x:f>$V$35</x:f>
        <x:v>60022</x:v>
      </x:c>
      <x:c r="B1301" s="14" t="str">
        <x:f>$W$35</x:f>
        <x:v>西瓜BOSS</x:v>
      </x:c>
      <x:c r="C1301" s="6" t="str">
        <x:f>$X$35</x:f>
        <x:v>BOSS</x:v>
      </x:c>
      <x:c r="D1301" s="6">
        <x:v>39</x:v>
      </x:c>
      <x:c r="E1301" s="6">
        <x:v>35</x:v>
      </x:c>
      <x:c r="F1301" s="12">
        <x:f>ROUND(J1301*$W$4*H1301,0)</x:f>
        <x:v>77130</x:v>
      </x:c>
      <x:c r="G1301" s="12">
        <x:f>ROUND(J1301*$W$4*$W$5*I1301,0)</x:f>
        <x:v>3428</x:v>
      </x:c>
      <x:c r="H1301" s="11" t="n">
        <x:f>$Y$35</x:f>
        <x:v>7.5</x:v>
      </x:c>
      <x:c r="I1301" s="11" t="n">
        <x:f>$Z$35</x:f>
        <x:v>4.444444444444445</x:v>
      </x:c>
      <x:c r="J1301" s="12">
        <x:f>英雄升级调参!$E$104</x:f>
        <x:v>2571</x:v>
      </x:c>
      <x:c r="K1301" s="12">
        <x:f>英雄升级调参!$F$104</x:f>
        <x:v>25710</x:v>
      </x:c>
      <x:c r="L1301" s="6" t="n">
        <x:f>ROUNDUP(F1301/J1301,0)</x:f>
        <x:v>30</x:v>
      </x:c>
      <x:c r="M1301" s="6" t="n">
        <x:f>IF(G1301=0,"无伤害",ROUNDUP(K1301/MAX(1,ROUND(G1301*$AC$35,0)),0))</x:f>
        <x:v>5</x:v>
      </x:c>
      <x:c r="N1301" s="6" t="n">
        <x:f>ROUNDUP(F1301/英雄升级调参!$H$104,0)</x:f>
        <x:v>20</x:v>
      </x:c>
      <x:c r="O1301" s="6">
        <x:f>ROUNDUP(F1301/英雄升级调参!$K$104,0)</x:f>
        <x:v>12</x:v>
      </x:c>
      <x:c r="P1301" s="6" t="str">
        <x:f>$AA$35</x:f>
        <x:v>BOSS：30次标准普攻击杀；5次主要攻击致死</x:v>
      </x:c>
      <x:c r="Q1301" s="6"/>
      <x:c r="R1301" s="6"/>
      <x:c r="S1301" s="6"/>
      <x:c r="T1301" s="6"/>
    </x:row>
    <x:row r="1302" ht="21" customHeight="1">
      <x:c r="A1302" s="14" t="n">
        <x:f>$V$35</x:f>
        <x:v>60022</x:v>
      </x:c>
      <x:c r="B1302" s="14" t="str">
        <x:f>$W$35</x:f>
        <x:v>西瓜BOSS</x:v>
      </x:c>
      <x:c r="C1302" s="6" t="str">
        <x:f>$X$35</x:f>
        <x:v>BOSS</x:v>
      </x:c>
      <x:c r="D1302" s="6">
        <x:v>40</x:v>
      </x:c>
      <x:c r="E1302" s="6">
        <x:v>35</x:v>
      </x:c>
      <x:c r="F1302" s="12">
        <x:f>ROUND(J1302*$W$4*H1302,0)</x:f>
        <x:v>84420</x:v>
      </x:c>
      <x:c r="G1302" s="12">
        <x:f>ROUND(J1302*$W$4*$W$5*I1302,0)</x:f>
        <x:v>3752</x:v>
      </x:c>
      <x:c r="H1302" s="11" t="n">
        <x:f>$Y$35</x:f>
        <x:v>7.5</x:v>
      </x:c>
      <x:c r="I1302" s="11" t="n">
        <x:f>$Z$35</x:f>
        <x:v>4.444444444444445</x:v>
      </x:c>
      <x:c r="J1302" s="12">
        <x:f>英雄升级调参!$E$105</x:f>
        <x:v>2814</x:v>
      </x:c>
      <x:c r="K1302" s="12">
        <x:f>英雄升级调参!$F$105</x:f>
        <x:v>28140</x:v>
      </x:c>
      <x:c r="L1302" s="6" t="n">
        <x:f>ROUNDUP(F1302/J1302,0)</x:f>
        <x:v>30</x:v>
      </x:c>
      <x:c r="M1302" s="6" t="n">
        <x:f>IF(G1302=0,"无伤害",ROUNDUP(K1302/MAX(1,ROUND(G1302*$AC$35,0)),0))</x:f>
        <x:v>5</x:v>
      </x:c>
      <x:c r="N1302" s="6" t="n">
        <x:f>ROUNDUP(F1302/英雄升级调参!$H$105,0)</x:f>
        <x:v>20</x:v>
      </x:c>
      <x:c r="O1302" s="6">
        <x:f>ROUNDUP(F1302/英雄升级调参!$K$105,0)</x:f>
        <x:v>12</x:v>
      </x:c>
      <x:c r="P1302" s="6" t="str">
        <x:f>$AA$35</x:f>
        <x:v>BOSS：30次标准普攻击杀；5次主要攻击致死</x:v>
      </x:c>
      <x:c r="Q1302" s="6"/>
      <x:c r="R1302" s="6"/>
      <x:c r="S1302" s="6"/>
      <x:c r="T1302" s="6"/>
    </x:row>
    <x:row r="1303" ht="21" customHeight="1">
      <x:c r="A1303" s="14" t="n">
        <x:f>$V$35</x:f>
        <x:v>60022</x:v>
      </x:c>
      <x:c r="B1303" s="14" t="str">
        <x:f>$W$35</x:f>
        <x:v>西瓜BOSS</x:v>
      </x:c>
      <x:c r="C1303" s="6" t="str">
        <x:f>$X$35</x:f>
        <x:v>BOSS</x:v>
      </x:c>
      <x:c r="D1303" s="6">
        <x:v>41</x:v>
      </x:c>
      <x:c r="E1303" s="6">
        <x:v>35</x:v>
      </x:c>
      <x:c r="F1303" s="12">
        <x:f>ROUND(J1303*$W$4*H1303,0)</x:f>
        <x:v>87120</x:v>
      </x:c>
      <x:c r="G1303" s="12">
        <x:f>ROUND(J1303*$W$4*$W$5*I1303,0)</x:f>
        <x:v>3872</x:v>
      </x:c>
      <x:c r="H1303" s="11" t="n">
        <x:f>$Y$35</x:f>
        <x:v>7.5</x:v>
      </x:c>
      <x:c r="I1303" s="11" t="n">
        <x:f>$Z$35</x:f>
        <x:v>4.444444444444445</x:v>
      </x:c>
      <x:c r="J1303" s="12">
        <x:f>英雄升级调参!$E$106</x:f>
        <x:v>2904</x:v>
      </x:c>
      <x:c r="K1303" s="12">
        <x:f>英雄升级调参!$F$106</x:f>
        <x:v>29040</x:v>
      </x:c>
      <x:c r="L1303" s="6" t="n">
        <x:f>ROUNDUP(F1303/J1303,0)</x:f>
        <x:v>30</x:v>
      </x:c>
      <x:c r="M1303" s="6" t="n">
        <x:f>IF(G1303=0,"无伤害",ROUNDUP(K1303/MAX(1,ROUND(G1303*$AC$35,0)),0))</x:f>
        <x:v>5</x:v>
      </x:c>
      <x:c r="N1303" s="6" t="n">
        <x:f>ROUNDUP(F1303/英雄升级调参!$H$106,0)</x:f>
        <x:v>20</x:v>
      </x:c>
      <x:c r="O1303" s="6">
        <x:f>ROUNDUP(F1303/英雄升级调参!$K$106,0)</x:f>
        <x:v>12</x:v>
      </x:c>
      <x:c r="P1303" s="6" t="str">
        <x:f>$AA$35</x:f>
        <x:v>BOSS：30次标准普攻击杀；5次主要攻击致死</x:v>
      </x:c>
      <x:c r="Q1303" s="6"/>
      <x:c r="R1303" s="6"/>
      <x:c r="S1303" s="6"/>
      <x:c r="T1303" s="6"/>
    </x:row>
    <x:row r="1304" ht="21" customHeight="1">
      <x:c r="A1304" s="14" t="n">
        <x:f>$V$35</x:f>
        <x:v>60022</x:v>
      </x:c>
      <x:c r="B1304" s="14" t="str">
        <x:f>$W$35</x:f>
        <x:v>西瓜BOSS</x:v>
      </x:c>
      <x:c r="C1304" s="6" t="str">
        <x:f>$X$35</x:f>
        <x:v>BOSS</x:v>
      </x:c>
      <x:c r="D1304" s="6">
        <x:v>42</x:v>
      </x:c>
      <x:c r="E1304" s="6">
        <x:v>35</x:v>
      </x:c>
      <x:c r="F1304" s="12">
        <x:f>ROUND(J1304*$W$4*H1304,0)</x:f>
        <x:v>89820</x:v>
      </x:c>
      <x:c r="G1304" s="12">
        <x:f>ROUND(J1304*$W$4*$W$5*I1304,0)</x:f>
        <x:v>3992</x:v>
      </x:c>
      <x:c r="H1304" s="11" t="n">
        <x:f>$Y$35</x:f>
        <x:v>7.5</x:v>
      </x:c>
      <x:c r="I1304" s="11" t="n">
        <x:f>$Z$35</x:f>
        <x:v>4.444444444444445</x:v>
      </x:c>
      <x:c r="J1304" s="12">
        <x:f>英雄升级调参!$E$107</x:f>
        <x:v>2994</x:v>
      </x:c>
      <x:c r="K1304" s="12">
        <x:f>英雄升级调参!$F$107</x:f>
        <x:v>29940</x:v>
      </x:c>
      <x:c r="L1304" s="6" t="n">
        <x:f>ROUNDUP(F1304/J1304,0)</x:f>
        <x:v>30</x:v>
      </x:c>
      <x:c r="M1304" s="6" t="n">
        <x:f>IF(G1304=0,"无伤害",ROUNDUP(K1304/MAX(1,ROUND(G1304*$AC$35,0)),0))</x:f>
        <x:v>5</x:v>
      </x:c>
      <x:c r="N1304" s="6" t="n">
        <x:f>ROUNDUP(F1304/英雄升级调参!$H$107,0)</x:f>
        <x:v>20</x:v>
      </x:c>
      <x:c r="O1304" s="6">
        <x:f>ROUNDUP(F1304/英雄升级调参!$K$107,0)</x:f>
        <x:v>12</x:v>
      </x:c>
      <x:c r="P1304" s="6" t="str">
        <x:f>$AA$35</x:f>
        <x:v>BOSS：30次标准普攻击杀；5次主要攻击致死</x:v>
      </x:c>
      <x:c r="Q1304" s="6"/>
      <x:c r="R1304" s="6"/>
      <x:c r="S1304" s="6"/>
      <x:c r="T1304" s="6"/>
    </x:row>
    <x:row r="1305" ht="21" customHeight="1">
      <x:c r="A1305" s="14" t="n">
        <x:f>$V$35</x:f>
        <x:v>60022</x:v>
      </x:c>
      <x:c r="B1305" s="14" t="str">
        <x:f>$W$35</x:f>
        <x:v>西瓜BOSS</x:v>
      </x:c>
      <x:c r="C1305" s="6" t="str">
        <x:f>$X$35</x:f>
        <x:v>BOSS</x:v>
      </x:c>
      <x:c r="D1305" s="6">
        <x:v>43</x:v>
      </x:c>
      <x:c r="E1305" s="6">
        <x:v>35</x:v>
      </x:c>
      <x:c r="F1305" s="12">
        <x:f>ROUND(J1305*$W$4*H1305,0)</x:f>
        <x:v>92520</x:v>
      </x:c>
      <x:c r="G1305" s="12">
        <x:f>ROUND(J1305*$W$4*$W$5*I1305,0)</x:f>
        <x:v>4112</x:v>
      </x:c>
      <x:c r="H1305" s="11" t="n">
        <x:f>$Y$35</x:f>
        <x:v>7.5</x:v>
      </x:c>
      <x:c r="I1305" s="11" t="n">
        <x:f>$Z$35</x:f>
        <x:v>4.444444444444445</x:v>
      </x:c>
      <x:c r="J1305" s="12">
        <x:f>英雄升级调参!$E$108</x:f>
        <x:v>3084</x:v>
      </x:c>
      <x:c r="K1305" s="12">
        <x:f>英雄升级调参!$F$108</x:f>
        <x:v>30840</x:v>
      </x:c>
      <x:c r="L1305" s="6" t="n">
        <x:f>ROUNDUP(F1305/J1305,0)</x:f>
        <x:v>30</x:v>
      </x:c>
      <x:c r="M1305" s="6" t="n">
        <x:f>IF(G1305=0,"无伤害",ROUNDUP(K1305/MAX(1,ROUND(G1305*$AC$35,0)),0))</x:f>
        <x:v>5</x:v>
      </x:c>
      <x:c r="N1305" s="6" t="n">
        <x:f>ROUNDUP(F1305/英雄升级调参!$H$108,0)</x:f>
        <x:v>20</x:v>
      </x:c>
      <x:c r="O1305" s="6">
        <x:f>ROUNDUP(F1305/英雄升级调参!$K$108,0)</x:f>
        <x:v>12</x:v>
      </x:c>
      <x:c r="P1305" s="6" t="str">
        <x:f>$AA$35</x:f>
        <x:v>BOSS：30次标准普攻击杀；5次主要攻击致死</x:v>
      </x:c>
      <x:c r="Q1305" s="6"/>
      <x:c r="R1305" s="6"/>
      <x:c r="S1305" s="6"/>
      <x:c r="T1305" s="6"/>
    </x:row>
    <x:row r="1306" ht="21" customHeight="1">
      <x:c r="A1306" s="14" t="n">
        <x:f>$V$35</x:f>
        <x:v>60022</x:v>
      </x:c>
      <x:c r="B1306" s="14" t="str">
        <x:f>$W$35</x:f>
        <x:v>西瓜BOSS</x:v>
      </x:c>
      <x:c r="C1306" s="6" t="str">
        <x:f>$X$35</x:f>
        <x:v>BOSS</x:v>
      </x:c>
      <x:c r="D1306" s="6">
        <x:v>44</x:v>
      </x:c>
      <x:c r="E1306" s="6">
        <x:v>35</x:v>
      </x:c>
      <x:c r="F1306" s="12">
        <x:f>ROUND(J1306*$W$4*H1306,0)</x:f>
        <x:v>95220</x:v>
      </x:c>
      <x:c r="G1306" s="12">
        <x:f>ROUND(J1306*$W$4*$W$5*I1306,0)</x:f>
        <x:v>4232</x:v>
      </x:c>
      <x:c r="H1306" s="11" t="n">
        <x:f>$Y$35</x:f>
        <x:v>7.5</x:v>
      </x:c>
      <x:c r="I1306" s="11" t="n">
        <x:f>$Z$35</x:f>
        <x:v>4.444444444444445</x:v>
      </x:c>
      <x:c r="J1306" s="12">
        <x:f>英雄升级调参!$E$109</x:f>
        <x:v>3174</x:v>
      </x:c>
      <x:c r="K1306" s="12">
        <x:f>英雄升级调参!$F$109</x:f>
        <x:v>31740</x:v>
      </x:c>
      <x:c r="L1306" s="6" t="n">
        <x:f>ROUNDUP(F1306/J1306,0)</x:f>
        <x:v>30</x:v>
      </x:c>
      <x:c r="M1306" s="6" t="n">
        <x:f>IF(G1306=0,"无伤害",ROUNDUP(K1306/MAX(1,ROUND(G1306*$AC$35,0)),0))</x:f>
        <x:v>5</x:v>
      </x:c>
      <x:c r="N1306" s="6" t="n">
        <x:f>ROUNDUP(F1306/英雄升级调参!$H$109,0)</x:f>
        <x:v>20</x:v>
      </x:c>
      <x:c r="O1306" s="6">
        <x:f>ROUNDUP(F1306/英雄升级调参!$K$109,0)</x:f>
        <x:v>12</x:v>
      </x:c>
      <x:c r="P1306" s="6" t="str">
        <x:f>$AA$35</x:f>
        <x:v>BOSS：30次标准普攻击杀；5次主要攻击致死</x:v>
      </x:c>
      <x:c r="Q1306" s="6"/>
      <x:c r="R1306" s="6"/>
      <x:c r="S1306" s="6"/>
      <x:c r="T1306" s="6"/>
    </x:row>
    <x:row r="1307" ht="21" customHeight="1">
      <x:c r="A1307" s="14" t="n">
        <x:f>$V$35</x:f>
        <x:v>60022</x:v>
      </x:c>
      <x:c r="B1307" s="14" t="str">
        <x:f>$W$35</x:f>
        <x:v>西瓜BOSS</x:v>
      </x:c>
      <x:c r="C1307" s="6" t="str">
        <x:f>$X$35</x:f>
        <x:v>BOSS</x:v>
      </x:c>
      <x:c r="D1307" s="6">
        <x:v>45</x:v>
      </x:c>
      <x:c r="E1307" s="6">
        <x:v>35</x:v>
      </x:c>
      <x:c r="F1307" s="12">
        <x:f>ROUND(J1307*$W$4*H1307,0)</x:f>
        <x:v>103320</x:v>
      </x:c>
      <x:c r="G1307" s="12">
        <x:f>ROUND(J1307*$W$4*$W$5*I1307,0)</x:f>
        <x:v>4592</x:v>
      </x:c>
      <x:c r="H1307" s="11" t="n">
        <x:f>$Y$35</x:f>
        <x:v>7.5</x:v>
      </x:c>
      <x:c r="I1307" s="11" t="n">
        <x:f>$Z$35</x:f>
        <x:v>4.444444444444445</x:v>
      </x:c>
      <x:c r="J1307" s="12">
        <x:f>英雄升级调参!$E$110</x:f>
        <x:v>3444</x:v>
      </x:c>
      <x:c r="K1307" s="12">
        <x:f>英雄升级调参!$F$110</x:f>
        <x:v>34440</x:v>
      </x:c>
      <x:c r="L1307" s="6" t="n">
        <x:f>ROUNDUP(F1307/J1307,0)</x:f>
        <x:v>30</x:v>
      </x:c>
      <x:c r="M1307" s="6" t="n">
        <x:f>IF(G1307=0,"无伤害",ROUNDUP(K1307/MAX(1,ROUND(G1307*$AC$35,0)),0))</x:f>
        <x:v>5</x:v>
      </x:c>
      <x:c r="N1307" s="6" t="n">
        <x:f>ROUNDUP(F1307/英雄升级调参!$H$110,0)</x:f>
        <x:v>20</x:v>
      </x:c>
      <x:c r="O1307" s="6">
        <x:f>ROUNDUP(F1307/英雄升级调参!$K$110,0)</x:f>
        <x:v>12</x:v>
      </x:c>
      <x:c r="P1307" s="6" t="str">
        <x:f>$AA$35</x:f>
        <x:v>BOSS：30次标准普攻击杀；5次主要攻击致死</x:v>
      </x:c>
      <x:c r="Q1307" s="6"/>
      <x:c r="R1307" s="6"/>
      <x:c r="S1307" s="6"/>
      <x:c r="T1307" s="6"/>
    </x:row>
    <x:row r="1308" ht="21" customHeight="1">
      <x:c r="A1308" s="14" t="n">
        <x:f>$V$35</x:f>
        <x:v>60022</x:v>
      </x:c>
      <x:c r="B1308" s="14" t="str">
        <x:f>$W$35</x:f>
        <x:v>西瓜BOSS</x:v>
      </x:c>
      <x:c r="C1308" s="6" t="str">
        <x:f>$X$35</x:f>
        <x:v>BOSS</x:v>
      </x:c>
      <x:c r="D1308" s="6">
        <x:v>46</x:v>
      </x:c>
      <x:c r="E1308" s="6">
        <x:v>35</x:v>
      </x:c>
      <x:c r="F1308" s="12">
        <x:f>ROUND(J1308*$W$4*H1308,0)</x:f>
        <x:v>106290</x:v>
      </x:c>
      <x:c r="G1308" s="12">
        <x:f>ROUND(J1308*$W$4*$W$5*I1308,0)</x:f>
        <x:v>4724</x:v>
      </x:c>
      <x:c r="H1308" s="11" t="n">
        <x:f>$Y$35</x:f>
        <x:v>7.5</x:v>
      </x:c>
      <x:c r="I1308" s="11" t="n">
        <x:f>$Z$35</x:f>
        <x:v>4.444444444444445</x:v>
      </x:c>
      <x:c r="J1308" s="12">
        <x:f>英雄升级调参!$E$111</x:f>
        <x:v>3543</x:v>
      </x:c>
      <x:c r="K1308" s="12">
        <x:f>英雄升级调参!$F$111</x:f>
        <x:v>35430</x:v>
      </x:c>
      <x:c r="L1308" s="6" t="n">
        <x:f>ROUNDUP(F1308/J1308,0)</x:f>
        <x:v>30</x:v>
      </x:c>
      <x:c r="M1308" s="6" t="n">
        <x:f>IF(G1308=0,"无伤害",ROUNDUP(K1308/MAX(1,ROUND(G1308*$AC$35,0)),0))</x:f>
        <x:v>5</x:v>
      </x:c>
      <x:c r="N1308" s="6" t="n">
        <x:f>ROUNDUP(F1308/英雄升级调参!$H$111,0)</x:f>
        <x:v>20</x:v>
      </x:c>
      <x:c r="O1308" s="6">
        <x:f>ROUNDUP(F1308/英雄升级调参!$K$111,0)</x:f>
        <x:v>12</x:v>
      </x:c>
      <x:c r="P1308" s="6" t="str">
        <x:f>$AA$35</x:f>
        <x:v>BOSS：30次标准普攻击杀；5次主要攻击致死</x:v>
      </x:c>
      <x:c r="Q1308" s="6"/>
      <x:c r="R1308" s="6"/>
      <x:c r="S1308" s="6"/>
      <x:c r="T1308" s="6"/>
    </x:row>
    <x:row r="1309" ht="21" customHeight="1">
      <x:c r="A1309" s="14" t="n">
        <x:f>$V$35</x:f>
        <x:v>60022</x:v>
      </x:c>
      <x:c r="B1309" s="14" t="str">
        <x:f>$W$35</x:f>
        <x:v>西瓜BOSS</x:v>
      </x:c>
      <x:c r="C1309" s="6" t="str">
        <x:f>$X$35</x:f>
        <x:v>BOSS</x:v>
      </x:c>
      <x:c r="D1309" s="6">
        <x:v>47</x:v>
      </x:c>
      <x:c r="E1309" s="6">
        <x:v>35</x:v>
      </x:c>
      <x:c r="F1309" s="12">
        <x:f>ROUND(J1309*$W$4*H1309,0)</x:f>
        <x:v>109260</x:v>
      </x:c>
      <x:c r="G1309" s="12">
        <x:f>ROUND(J1309*$W$4*$W$5*I1309,0)</x:f>
        <x:v>4856</x:v>
      </x:c>
      <x:c r="H1309" s="11" t="n">
        <x:f>$Y$35</x:f>
        <x:v>7.5</x:v>
      </x:c>
      <x:c r="I1309" s="11" t="n">
        <x:f>$Z$35</x:f>
        <x:v>4.444444444444445</x:v>
      </x:c>
      <x:c r="J1309" s="12">
        <x:f>英雄升级调参!$E$112</x:f>
        <x:v>3642</x:v>
      </x:c>
      <x:c r="K1309" s="12">
        <x:f>英雄升级调参!$F$112</x:f>
        <x:v>36420</x:v>
      </x:c>
      <x:c r="L1309" s="6" t="n">
        <x:f>ROUNDUP(F1309/J1309,0)</x:f>
        <x:v>30</x:v>
      </x:c>
      <x:c r="M1309" s="6" t="n">
        <x:f>IF(G1309=0,"无伤害",ROUNDUP(K1309/MAX(1,ROUND(G1309*$AC$35,0)),0))</x:f>
        <x:v>5</x:v>
      </x:c>
      <x:c r="N1309" s="6" t="n">
        <x:f>ROUNDUP(F1309/英雄升级调参!$H$112,0)</x:f>
        <x:v>20</x:v>
      </x:c>
      <x:c r="O1309" s="6">
        <x:f>ROUNDUP(F1309/英雄升级调参!$K$112,0)</x:f>
        <x:v>12</x:v>
      </x:c>
      <x:c r="P1309" s="6" t="str">
        <x:f>$AA$35</x:f>
        <x:v>BOSS：30次标准普攻击杀；5次主要攻击致死</x:v>
      </x:c>
      <x:c r="Q1309" s="6"/>
      <x:c r="R1309" s="6"/>
      <x:c r="S1309" s="6"/>
      <x:c r="T1309" s="6"/>
    </x:row>
    <x:row r="1310" ht="21" customHeight="1">
      <x:c r="A1310" s="14" t="n">
        <x:f>$V$35</x:f>
        <x:v>60022</x:v>
      </x:c>
      <x:c r="B1310" s="14" t="str">
        <x:f>$W$35</x:f>
        <x:v>西瓜BOSS</x:v>
      </x:c>
      <x:c r="C1310" s="6" t="str">
        <x:f>$X$35</x:f>
        <x:v>BOSS</x:v>
      </x:c>
      <x:c r="D1310" s="6">
        <x:v>48</x:v>
      </x:c>
      <x:c r="E1310" s="6">
        <x:v>35</x:v>
      </x:c>
      <x:c r="F1310" s="12">
        <x:f>ROUND(J1310*$W$4*H1310,0)</x:f>
        <x:v>112230</x:v>
      </x:c>
      <x:c r="G1310" s="12">
        <x:f>ROUND(J1310*$W$4*$W$5*I1310,0)</x:f>
        <x:v>4988</x:v>
      </x:c>
      <x:c r="H1310" s="11" t="n">
        <x:f>$Y$35</x:f>
        <x:v>7.5</x:v>
      </x:c>
      <x:c r="I1310" s="11" t="n">
        <x:f>$Z$35</x:f>
        <x:v>4.444444444444445</x:v>
      </x:c>
      <x:c r="J1310" s="12">
        <x:f>英雄升级调参!$E$113</x:f>
        <x:v>3741</x:v>
      </x:c>
      <x:c r="K1310" s="12">
        <x:f>英雄升级调参!$F$113</x:f>
        <x:v>37410</x:v>
      </x:c>
      <x:c r="L1310" s="6" t="n">
        <x:f>ROUNDUP(F1310/J1310,0)</x:f>
        <x:v>30</x:v>
      </x:c>
      <x:c r="M1310" s="6" t="n">
        <x:f>IF(G1310=0,"无伤害",ROUNDUP(K1310/MAX(1,ROUND(G1310*$AC$35,0)),0))</x:f>
        <x:v>5</x:v>
      </x:c>
      <x:c r="N1310" s="6" t="n">
        <x:f>ROUNDUP(F1310/英雄升级调参!$H$113,0)</x:f>
        <x:v>20</x:v>
      </x:c>
      <x:c r="O1310" s="6">
        <x:f>ROUNDUP(F1310/英雄升级调参!$K$113,0)</x:f>
        <x:v>12</x:v>
      </x:c>
      <x:c r="P1310" s="6" t="str">
        <x:f>$AA$35</x:f>
        <x:v>BOSS：30次标准普攻击杀；5次主要攻击致死</x:v>
      </x:c>
      <x:c r="Q1310" s="6"/>
      <x:c r="R1310" s="6"/>
      <x:c r="S1310" s="6"/>
      <x:c r="T1310" s="6"/>
    </x:row>
    <x:row r="1311" ht="21" customHeight="1">
      <x:c r="A1311" s="14" t="n">
        <x:f>$V$35</x:f>
        <x:v>60022</x:v>
      </x:c>
      <x:c r="B1311" s="14" t="str">
        <x:f>$W$35</x:f>
        <x:v>西瓜BOSS</x:v>
      </x:c>
      <x:c r="C1311" s="6" t="str">
        <x:f>$X$35</x:f>
        <x:v>BOSS</x:v>
      </x:c>
      <x:c r="D1311" s="6">
        <x:v>49</x:v>
      </x:c>
      <x:c r="E1311" s="6">
        <x:v>35</x:v>
      </x:c>
      <x:c r="F1311" s="12">
        <x:f>ROUND(J1311*$W$4*H1311,0)</x:f>
        <x:v>115200</x:v>
      </x:c>
      <x:c r="G1311" s="12">
        <x:f>ROUND(J1311*$W$4*$W$5*I1311,0)</x:f>
        <x:v>5120</x:v>
      </x:c>
      <x:c r="H1311" s="11" t="n">
        <x:f>$Y$35</x:f>
        <x:v>7.5</x:v>
      </x:c>
      <x:c r="I1311" s="11" t="n">
        <x:f>$Z$35</x:f>
        <x:v>4.444444444444445</x:v>
      </x:c>
      <x:c r="J1311" s="12">
        <x:f>英雄升级调参!$E$114</x:f>
        <x:v>3840</x:v>
      </x:c>
      <x:c r="K1311" s="12">
        <x:f>英雄升级调参!$F$114</x:f>
        <x:v>38400</x:v>
      </x:c>
      <x:c r="L1311" s="6" t="n">
        <x:f>ROUNDUP(F1311/J1311,0)</x:f>
        <x:v>30</x:v>
      </x:c>
      <x:c r="M1311" s="6" t="n">
        <x:f>IF(G1311=0,"无伤害",ROUNDUP(K1311/MAX(1,ROUND(G1311*$AC$35,0)),0))</x:f>
        <x:v>5</x:v>
      </x:c>
      <x:c r="N1311" s="6" t="n">
        <x:f>ROUNDUP(F1311/英雄升级调参!$H$114,0)</x:f>
        <x:v>20</x:v>
      </x:c>
      <x:c r="O1311" s="6">
        <x:f>ROUNDUP(F1311/英雄升级调参!$K$114,0)</x:f>
        <x:v>12</x:v>
      </x:c>
      <x:c r="P1311" s="6" t="str">
        <x:f>$AA$35</x:f>
        <x:v>BOSS：30次标准普攻击杀；5次主要攻击致死</x:v>
      </x:c>
      <x:c r="Q1311" s="6"/>
      <x:c r="R1311" s="6"/>
      <x:c r="S1311" s="6"/>
      <x:c r="T1311" s="6"/>
    </x:row>
    <x:row r="1312" ht="21" customHeight="1">
      <x:c r="A1312" s="14" t="n">
        <x:f>$V$35</x:f>
        <x:v>60022</x:v>
      </x:c>
      <x:c r="B1312" s="14" t="str">
        <x:f>$W$35</x:f>
        <x:v>西瓜BOSS</x:v>
      </x:c>
      <x:c r="C1312" s="6" t="str">
        <x:f>$X$35</x:f>
        <x:v>BOSS</x:v>
      </x:c>
      <x:c r="D1312" s="6">
        <x:v>50</x:v>
      </x:c>
      <x:c r="E1312" s="6">
        <x:v>35</x:v>
      </x:c>
      <x:c r="F1312" s="12">
        <x:f>ROUND(J1312*$W$4*H1312,0)</x:f>
        <x:v>124110</x:v>
      </x:c>
      <x:c r="G1312" s="12">
        <x:f>ROUND(J1312*$W$4*$W$5*I1312,0)</x:f>
        <x:v>5516</x:v>
      </x:c>
      <x:c r="H1312" s="11" t="n">
        <x:f>$Y$35</x:f>
        <x:v>7.5</x:v>
      </x:c>
      <x:c r="I1312" s="11" t="n">
        <x:f>$Z$35</x:f>
        <x:v>4.444444444444445</x:v>
      </x:c>
      <x:c r="J1312" s="12">
        <x:f>英雄升级调参!$E$115</x:f>
        <x:v>4137</x:v>
      </x:c>
      <x:c r="K1312" s="12">
        <x:f>英雄升级调参!$F$115</x:f>
        <x:v>41370</x:v>
      </x:c>
      <x:c r="L1312" s="6" t="n">
        <x:f>ROUNDUP(F1312/J1312,0)</x:f>
        <x:v>30</x:v>
      </x:c>
      <x:c r="M1312" s="6" t="n">
        <x:f>IF(G1312=0,"无伤害",ROUNDUP(K1312/MAX(1,ROUND(G1312*$AC$35,0)),0))</x:f>
        <x:v>5</x:v>
      </x:c>
      <x:c r="N1312" s="6" t="n">
        <x:f>ROUNDUP(F1312/英雄升级调参!$H$115,0)</x:f>
        <x:v>20</x:v>
      </x:c>
      <x:c r="O1312" s="6">
        <x:f>ROUNDUP(F1312/英雄升级调参!$K$115,0)</x:f>
        <x:v>12</x:v>
      </x:c>
      <x:c r="P1312" s="6" t="str">
        <x:f>$AA$35</x:f>
        <x:v>BOSS：30次标准普攻击杀；5次主要攻击致死</x:v>
      </x:c>
      <x:c r="Q1312" s="6"/>
      <x:c r="R1312" s="6"/>
      <x:c r="S1312" s="6"/>
      <x:c r="T1312" s="6"/>
    </x:row>
    <x:row r="1313" ht="21" customHeight="1">
      <x:c r="A1313" s="14" t="n">
        <x:f t="shared" ref="A1313:A1344" si="401">$V$36</x:f>
        <x:v>60023</x:v>
      </x:c>
      <x:c r="B1313" s="14" t="str">
        <x:f t="shared" ref="B1313:B1344" si="402">$W$36</x:f>
        <x:v>蓝莓</x:v>
      </x:c>
      <x:c r="C1313" s="6" t="str">
        <x:f t="shared" ref="C1313:C1344" si="403">$X$36</x:f>
        <x:v>蓝莓</x:v>
      </x:c>
      <x:c r="D1313" s="6">
        <x:v>1</x:v>
      </x:c>
      <x:c r="E1313" s="6">
        <x:v>36</x:v>
      </x:c>
      <x:c r="F1313" s="12" t="n">
        <x:f>ROUND(J1313*$W$4*H1313,0)</x:f>
        <x:v>60</x:v>
      </x:c>
      <x:c r="G1313" s="12" t="n">
        <x:f>ROUND(J1313*$W$4*$W$5*I1313,0)</x:f>
        <x:v>0</x:v>
      </x:c>
      <x:c r="H1313" s="11" t="n">
        <x:f t="shared" ref="H1313:H1344" si="404">$Y$36</x:f>
        <x:v>0.25</x:v>
      </x:c>
      <x:c r="I1313" s="11" t="n">
        <x:f t="shared" ref="I1313:I1344" si="405">$Z$36</x:f>
        <x:v>0</x:v>
      </x:c>
      <x:c r="J1313" s="12" t="n">
        <x:f>英雄升级调参!$E$66</x:f>
        <x:v>60</x:v>
      </x:c>
      <x:c r="K1313" s="12" t="n">
        <x:f>英雄升级调参!$F$66</x:f>
        <x:v>600</x:v>
      </x:c>
      <x:c r="L1313" s="6" t="n">
        <x:f>ROUNDUP(F1313/J1313,0)</x:f>
        <x:v>1</x:v>
      </x:c>
      <x:c r="M1313" s="6" t="str">
        <x:f>IF(G1313=0,"无伤害",ROUNDUP(K1313/G1313,0))</x:f>
        <x:v>无伤害</x:v>
      </x:c>
      <x:c r="N1313" s="6" t="n">
        <x:f>ROUNDUP(F1313/英雄升级调参!$H$66,0)</x:f>
        <x:v>1</x:v>
      </x:c>
      <x:c r="O1313" s="6" t="n">
        <x:f>ROUNDUP(F1313/英雄升级调参!$K$66,0)</x:f>
        <x:v>1</x:v>
      </x:c>
      <x:c r="P1313" s="6" t="str">
        <x:f t="shared" ref="P1313:P1344" si="406">$AA$36</x:f>
        <x:v>蓝莓1下；攻击沿用现值</x:v>
      </x:c>
      <x:c r="Q1313" s="6"/>
      <x:c r="R1313" s="6"/>
      <x:c r="S1313" s="6"/>
      <x:c r="T1313" s="6"/>
    </x:row>
    <x:row r="1314" ht="21" customHeight="1">
      <x:c r="A1314" s="14">
        <x:f t="shared" si="401"/>
        <x:v>60023</x:v>
      </x:c>
      <x:c r="B1314" s="14" t="str">
        <x:f t="shared" si="402"/>
        <x:v>蓝莓</x:v>
      </x:c>
      <x:c r="C1314" s="6" t="str">
        <x:f t="shared" si="403"/>
        <x:v>蓝莓</x:v>
      </x:c>
      <x:c r="D1314" s="6">
        <x:v>2</x:v>
      </x:c>
      <x:c r="E1314" s="6">
        <x:v>36</x:v>
      </x:c>
      <x:c r="F1314" s="12">
        <x:f>ROUND(J1314*$W$4*H1314,0)</x:f>
        <x:v>78</x:v>
      </x:c>
      <x:c r="G1314" s="12" t="n">
        <x:f>ROUND(J1314*$W$4*$W$5*I1314,0)</x:f>
        <x:v>0</x:v>
      </x:c>
      <x:c r="H1314" s="11">
        <x:f t="shared" si="404"/>
        <x:v>0.25</x:v>
      </x:c>
      <x:c r="I1314" s="11">
        <x:f t="shared" si="405"/>
        <x:v>0</x:v>
      </x:c>
      <x:c r="J1314" s="12">
        <x:f>英雄升级调参!$E$67</x:f>
        <x:v>78</x:v>
      </x:c>
      <x:c r="K1314" s="12">
        <x:f>英雄升级调参!$F$67</x:f>
        <x:v>780</x:v>
      </x:c>
      <x:c r="L1314" s="6" t="n">
        <x:f>ROUNDUP(F1314/J1314,0)</x:f>
        <x:v>1</x:v>
      </x:c>
      <x:c r="M1314" s="6" t="str">
        <x:f>IF(G1314=0,"无伤害",ROUNDUP(K1314/G1314,0))</x:f>
        <x:v>无伤害</x:v>
      </x:c>
      <x:c r="N1314" s="6" t="n">
        <x:f>ROUNDUP(F1314/英雄升级调参!$H$67,0)</x:f>
        <x:v>1</x:v>
      </x:c>
      <x:c r="O1314" s="6" t="n">
        <x:f>ROUNDUP(F1314/英雄升级调参!$K$67,0)</x:f>
        <x:v>1</x:v>
      </x:c>
      <x:c r="P1314" s="6" t="str">
        <x:f t="shared" si="406"/>
        <x:v>蓝莓1下；攻击沿用现值</x:v>
      </x:c>
      <x:c r="Q1314" s="6"/>
      <x:c r="R1314" s="6"/>
      <x:c r="S1314" s="6"/>
      <x:c r="T1314" s="6"/>
    </x:row>
    <x:row r="1315" ht="21" customHeight="1">
      <x:c r="A1315" s="14">
        <x:f t="shared" si="401"/>
        <x:v>60023</x:v>
      </x:c>
      <x:c r="B1315" s="14" t="str">
        <x:f t="shared" si="402"/>
        <x:v>蓝莓</x:v>
      </x:c>
      <x:c r="C1315" s="6" t="str">
        <x:f t="shared" si="403"/>
        <x:v>蓝莓</x:v>
      </x:c>
      <x:c r="D1315" s="6">
        <x:v>3</x:v>
      </x:c>
      <x:c r="E1315" s="6">
        <x:v>36</x:v>
      </x:c>
      <x:c r="F1315" s="12">
        <x:f>ROUND(J1315*$W$4*H1315,0)</x:f>
        <x:v>96</x:v>
      </x:c>
      <x:c r="G1315" s="12" t="n">
        <x:f>ROUND(J1315*$W$4*$W$5*I1315,0)</x:f>
        <x:v>0</x:v>
      </x:c>
      <x:c r="H1315" s="11">
        <x:f t="shared" si="404"/>
        <x:v>0.25</x:v>
      </x:c>
      <x:c r="I1315" s="11">
        <x:f t="shared" si="405"/>
        <x:v>0</x:v>
      </x:c>
      <x:c r="J1315" s="12">
        <x:f>英雄升级调参!$E$68</x:f>
        <x:v>96</x:v>
      </x:c>
      <x:c r="K1315" s="12">
        <x:f>英雄升级调参!$F$68</x:f>
        <x:v>960</x:v>
      </x:c>
      <x:c r="L1315" s="6" t="n">
        <x:f>ROUNDUP(F1315/J1315,0)</x:f>
        <x:v>1</x:v>
      </x:c>
      <x:c r="M1315" s="6" t="str">
        <x:f>IF(G1315=0,"无伤害",ROUNDUP(K1315/G1315,0))</x:f>
        <x:v>无伤害</x:v>
      </x:c>
      <x:c r="N1315" s="6" t="n">
        <x:f>ROUNDUP(F1315/英雄升级调参!$H$68,0)</x:f>
        <x:v>1</x:v>
      </x:c>
      <x:c r="O1315" s="6" t="n">
        <x:f>ROUNDUP(F1315/英雄升级调参!$K$68,0)</x:f>
        <x:v>1</x:v>
      </x:c>
      <x:c r="P1315" s="6" t="str">
        <x:f t="shared" si="406"/>
        <x:v>蓝莓1下；攻击沿用现值</x:v>
      </x:c>
      <x:c r="Q1315" s="6"/>
      <x:c r="R1315" s="6"/>
      <x:c r="S1315" s="6"/>
      <x:c r="T1315" s="6"/>
    </x:row>
    <x:row r="1316" ht="21" customHeight="1">
      <x:c r="A1316" s="14">
        <x:f t="shared" si="401"/>
        <x:v>60023</x:v>
      </x:c>
      <x:c r="B1316" s="14" t="str">
        <x:f t="shared" si="402"/>
        <x:v>蓝莓</x:v>
      </x:c>
      <x:c r="C1316" s="6" t="str">
        <x:f t="shared" si="403"/>
        <x:v>蓝莓</x:v>
      </x:c>
      <x:c r="D1316" s="6">
        <x:v>4</x:v>
      </x:c>
      <x:c r="E1316" s="6">
        <x:v>36</x:v>
      </x:c>
      <x:c r="F1316" s="12">
        <x:f>ROUND(J1316*$W$4*H1316,0)</x:f>
        <x:v>114</x:v>
      </x:c>
      <x:c r="G1316" s="12" t="n">
        <x:f>ROUND(J1316*$W$4*$W$5*I1316,0)</x:f>
        <x:v>0</x:v>
      </x:c>
      <x:c r="H1316" s="11">
        <x:f t="shared" si="404"/>
        <x:v>0.25</x:v>
      </x:c>
      <x:c r="I1316" s="11">
        <x:f t="shared" si="405"/>
        <x:v>0</x:v>
      </x:c>
      <x:c r="J1316" s="12">
        <x:f>英雄升级调参!$E$69</x:f>
        <x:v>114</x:v>
      </x:c>
      <x:c r="K1316" s="12">
        <x:f>英雄升级调参!$F$69</x:f>
        <x:v>1140</x:v>
      </x:c>
      <x:c r="L1316" s="6" t="n">
        <x:f>ROUNDUP(F1316/J1316,0)</x:f>
        <x:v>1</x:v>
      </x:c>
      <x:c r="M1316" s="6" t="str">
        <x:f>IF(G1316=0,"无伤害",ROUNDUP(K1316/G1316,0))</x:f>
        <x:v>无伤害</x:v>
      </x:c>
      <x:c r="N1316" s="6" t="n">
        <x:f>ROUNDUP(F1316/英雄升级调参!$H$69,0)</x:f>
        <x:v>1</x:v>
      </x:c>
      <x:c r="O1316" s="6" t="n">
        <x:f>ROUNDUP(F1316/英雄升级调参!$K$69,0)</x:f>
        <x:v>1</x:v>
      </x:c>
      <x:c r="P1316" s="6" t="str">
        <x:f t="shared" si="406"/>
        <x:v>蓝莓1下；攻击沿用现值</x:v>
      </x:c>
      <x:c r="Q1316" s="6"/>
      <x:c r="R1316" s="6"/>
      <x:c r="S1316" s="6"/>
      <x:c r="T1316" s="6"/>
    </x:row>
    <x:row r="1317" ht="21" customHeight="1">
      <x:c r="A1317" s="14">
        <x:f t="shared" si="401"/>
        <x:v>60023</x:v>
      </x:c>
      <x:c r="B1317" s="14" t="str">
        <x:f t="shared" si="402"/>
        <x:v>蓝莓</x:v>
      </x:c>
      <x:c r="C1317" s="6" t="str">
        <x:f t="shared" si="403"/>
        <x:v>蓝莓</x:v>
      </x:c>
      <x:c r="D1317" s="6">
        <x:v>5</x:v>
      </x:c>
      <x:c r="E1317" s="6">
        <x:v>36</x:v>
      </x:c>
      <x:c r="F1317" s="12">
        <x:f>ROUND(J1317*$W$4*H1317,0)</x:f>
        <x:v>168</x:v>
      </x:c>
      <x:c r="G1317" s="12" t="n">
        <x:f>ROUND(J1317*$W$4*$W$5*I1317,0)</x:f>
        <x:v>0</x:v>
      </x:c>
      <x:c r="H1317" s="11">
        <x:f t="shared" si="404"/>
        <x:v>0.25</x:v>
      </x:c>
      <x:c r="I1317" s="11">
        <x:f t="shared" si="405"/>
        <x:v>0</x:v>
      </x:c>
      <x:c r="J1317" s="12">
        <x:f>英雄升级调参!$E$70</x:f>
        <x:v>168</x:v>
      </x:c>
      <x:c r="K1317" s="12">
        <x:f>英雄升级调参!$F$70</x:f>
        <x:v>1680</x:v>
      </x:c>
      <x:c r="L1317" s="6" t="n">
        <x:f>ROUNDUP(F1317/J1317,0)</x:f>
        <x:v>1</x:v>
      </x:c>
      <x:c r="M1317" s="6" t="str">
        <x:f>IF(G1317=0,"无伤害",ROUNDUP(K1317/G1317,0))</x:f>
        <x:v>无伤害</x:v>
      </x:c>
      <x:c r="N1317" s="6" t="n">
        <x:f>ROUNDUP(F1317/英雄升级调参!$H$70,0)</x:f>
        <x:v>1</x:v>
      </x:c>
      <x:c r="O1317" s="6" t="n">
        <x:f>ROUNDUP(F1317/英雄升级调参!$K$70,0)</x:f>
        <x:v>1</x:v>
      </x:c>
      <x:c r="P1317" s="6" t="str">
        <x:f t="shared" si="406"/>
        <x:v>蓝莓1下；攻击沿用现值</x:v>
      </x:c>
      <x:c r="Q1317" s="6"/>
      <x:c r="R1317" s="6"/>
      <x:c r="S1317" s="6"/>
      <x:c r="T1317" s="6"/>
    </x:row>
    <x:row r="1318" ht="21" customHeight="1">
      <x:c r="A1318" s="14">
        <x:f t="shared" si="401"/>
        <x:v>60023</x:v>
      </x:c>
      <x:c r="B1318" s="14" t="str">
        <x:f t="shared" si="402"/>
        <x:v>蓝莓</x:v>
      </x:c>
      <x:c r="C1318" s="6" t="str">
        <x:f t="shared" si="403"/>
        <x:v>蓝莓</x:v>
      </x:c>
      <x:c r="D1318" s="6">
        <x:v>6</x:v>
      </x:c>
      <x:c r="E1318" s="6">
        <x:v>36</x:v>
      </x:c>
      <x:c r="F1318" s="12">
        <x:f>ROUND(J1318*$W$4*H1318,0)</x:f>
        <x:v>195</x:v>
      </x:c>
      <x:c r="G1318" s="12" t="n">
        <x:f>ROUND(J1318*$W$4*$W$5*I1318,0)</x:f>
        <x:v>0</x:v>
      </x:c>
      <x:c r="H1318" s="11">
        <x:f t="shared" si="404"/>
        <x:v>0.25</x:v>
      </x:c>
      <x:c r="I1318" s="11">
        <x:f t="shared" si="405"/>
        <x:v>0</x:v>
      </x:c>
      <x:c r="J1318" s="12">
        <x:f>英雄升级调参!$E$71</x:f>
        <x:v>195</x:v>
      </x:c>
      <x:c r="K1318" s="12">
        <x:f>英雄升级调参!$F$71</x:f>
        <x:v>1950</x:v>
      </x:c>
      <x:c r="L1318" s="6" t="n">
        <x:f>ROUNDUP(F1318/J1318,0)</x:f>
        <x:v>1</x:v>
      </x:c>
      <x:c r="M1318" s="6" t="str">
        <x:f>IF(G1318=0,"无伤害",ROUNDUP(K1318/G1318,0))</x:f>
        <x:v>无伤害</x:v>
      </x:c>
      <x:c r="N1318" s="6" t="n">
        <x:f>ROUNDUP(F1318/英雄升级调参!$H$71,0)</x:f>
        <x:v>1</x:v>
      </x:c>
      <x:c r="O1318" s="6" t="n">
        <x:f>ROUNDUP(F1318/英雄升级调参!$K$71,0)</x:f>
        <x:v>1</x:v>
      </x:c>
      <x:c r="P1318" s="6" t="str">
        <x:f t="shared" si="406"/>
        <x:v>蓝莓1下；攻击沿用现值</x:v>
      </x:c>
      <x:c r="Q1318" s="6"/>
      <x:c r="R1318" s="6"/>
      <x:c r="S1318" s="6"/>
      <x:c r="T1318" s="6"/>
    </x:row>
    <x:row r="1319" ht="21" customHeight="1">
      <x:c r="A1319" s="14">
        <x:f t="shared" si="401"/>
        <x:v>60023</x:v>
      </x:c>
      <x:c r="B1319" s="14" t="str">
        <x:f t="shared" si="402"/>
        <x:v>蓝莓</x:v>
      </x:c>
      <x:c r="C1319" s="6" t="str">
        <x:f t="shared" si="403"/>
        <x:v>蓝莓</x:v>
      </x:c>
      <x:c r="D1319" s="6">
        <x:v>7</x:v>
      </x:c>
      <x:c r="E1319" s="6">
        <x:v>36</x:v>
      </x:c>
      <x:c r="F1319" s="12">
        <x:f>ROUND(J1319*$W$4*H1319,0)</x:f>
        <x:v>222</x:v>
      </x:c>
      <x:c r="G1319" s="12" t="n">
        <x:f>ROUND(J1319*$W$4*$W$5*I1319,0)</x:f>
        <x:v>0</x:v>
      </x:c>
      <x:c r="H1319" s="11">
        <x:f t="shared" si="404"/>
        <x:v>0.25</x:v>
      </x:c>
      <x:c r="I1319" s="11">
        <x:f t="shared" si="405"/>
        <x:v>0</x:v>
      </x:c>
      <x:c r="J1319" s="12">
        <x:f>英雄升级调参!$E$72</x:f>
        <x:v>222</x:v>
      </x:c>
      <x:c r="K1319" s="12">
        <x:f>英雄升级调参!$F$72</x:f>
        <x:v>2220</x:v>
      </x:c>
      <x:c r="L1319" s="6" t="n">
        <x:f>ROUNDUP(F1319/J1319,0)</x:f>
        <x:v>1</x:v>
      </x:c>
      <x:c r="M1319" s="6" t="str">
        <x:f>IF(G1319=0,"无伤害",ROUNDUP(K1319/G1319,0))</x:f>
        <x:v>无伤害</x:v>
      </x:c>
      <x:c r="N1319" s="6" t="n">
        <x:f>ROUNDUP(F1319/英雄升级调参!$H$72,0)</x:f>
        <x:v>1</x:v>
      </x:c>
      <x:c r="O1319" s="6" t="n">
        <x:f>ROUNDUP(F1319/英雄升级调参!$K$72,0)</x:f>
        <x:v>1</x:v>
      </x:c>
      <x:c r="P1319" s="6" t="str">
        <x:f t="shared" si="406"/>
        <x:v>蓝莓1下；攻击沿用现值</x:v>
      </x:c>
      <x:c r="Q1319" s="6"/>
      <x:c r="R1319" s="6"/>
      <x:c r="S1319" s="6"/>
      <x:c r="T1319" s="6"/>
    </x:row>
    <x:row r="1320" ht="21" customHeight="1">
      <x:c r="A1320" s="14">
        <x:f t="shared" si="401"/>
        <x:v>60023</x:v>
      </x:c>
      <x:c r="B1320" s="14" t="str">
        <x:f t="shared" si="402"/>
        <x:v>蓝莓</x:v>
      </x:c>
      <x:c r="C1320" s="6" t="str">
        <x:f t="shared" si="403"/>
        <x:v>蓝莓</x:v>
      </x:c>
      <x:c r="D1320" s="6">
        <x:v>8</x:v>
      </x:c>
      <x:c r="E1320" s="6">
        <x:v>36</x:v>
      </x:c>
      <x:c r="F1320" s="12">
        <x:f>ROUND(J1320*$W$4*H1320,0)</x:f>
        <x:v>249</x:v>
      </x:c>
      <x:c r="G1320" s="12" t="n">
        <x:f>ROUND(J1320*$W$4*$W$5*I1320,0)</x:f>
        <x:v>0</x:v>
      </x:c>
      <x:c r="H1320" s="11">
        <x:f t="shared" si="404"/>
        <x:v>0.25</x:v>
      </x:c>
      <x:c r="I1320" s="11">
        <x:f t="shared" si="405"/>
        <x:v>0</x:v>
      </x:c>
      <x:c r="J1320" s="12">
        <x:f>英雄升级调参!$E$73</x:f>
        <x:v>249</x:v>
      </x:c>
      <x:c r="K1320" s="12">
        <x:f>英雄升级调参!$F$73</x:f>
        <x:v>2490</x:v>
      </x:c>
      <x:c r="L1320" s="6" t="n">
        <x:f>ROUNDUP(F1320/J1320,0)</x:f>
        <x:v>1</x:v>
      </x:c>
      <x:c r="M1320" s="6" t="str">
        <x:f>IF(G1320=0,"无伤害",ROUNDUP(K1320/G1320,0))</x:f>
        <x:v>无伤害</x:v>
      </x:c>
      <x:c r="N1320" s="6" t="n">
        <x:f>ROUNDUP(F1320/英雄升级调参!$H$73,0)</x:f>
        <x:v>1</x:v>
      </x:c>
      <x:c r="O1320" s="6" t="n">
        <x:f>ROUNDUP(F1320/英雄升级调参!$K$73,0)</x:f>
        <x:v>1</x:v>
      </x:c>
      <x:c r="P1320" s="6" t="str">
        <x:f t="shared" si="406"/>
        <x:v>蓝莓1下；攻击沿用现值</x:v>
      </x:c>
      <x:c r="Q1320" s="6"/>
      <x:c r="R1320" s="6"/>
      <x:c r="S1320" s="6"/>
      <x:c r="T1320" s="6"/>
    </x:row>
    <x:row r="1321" ht="21" customHeight="1">
      <x:c r="A1321" s="14">
        <x:f t="shared" si="401"/>
        <x:v>60023</x:v>
      </x:c>
      <x:c r="B1321" s="14" t="str">
        <x:f t="shared" si="402"/>
        <x:v>蓝莓</x:v>
      </x:c>
      <x:c r="C1321" s="6" t="str">
        <x:f t="shared" si="403"/>
        <x:v>蓝莓</x:v>
      </x:c>
      <x:c r="D1321" s="6">
        <x:v>9</x:v>
      </x:c>
      <x:c r="E1321" s="6">
        <x:v>36</x:v>
      </x:c>
      <x:c r="F1321" s="12">
        <x:f>ROUND(J1321*$W$4*H1321,0)</x:f>
        <x:v>276</x:v>
      </x:c>
      <x:c r="G1321" s="12" t="n">
        <x:f>ROUND(J1321*$W$4*$W$5*I1321,0)</x:f>
        <x:v>0</x:v>
      </x:c>
      <x:c r="H1321" s="11">
        <x:f t="shared" si="404"/>
        <x:v>0.25</x:v>
      </x:c>
      <x:c r="I1321" s="11">
        <x:f t="shared" si="405"/>
        <x:v>0</x:v>
      </x:c>
      <x:c r="J1321" s="12">
        <x:f>英雄升级调参!$E$74</x:f>
        <x:v>276</x:v>
      </x:c>
      <x:c r="K1321" s="12">
        <x:f>英雄升级调参!$F$74</x:f>
        <x:v>2760</x:v>
      </x:c>
      <x:c r="L1321" s="6" t="n">
        <x:f>ROUNDUP(F1321/J1321,0)</x:f>
        <x:v>1</x:v>
      </x:c>
      <x:c r="M1321" s="6" t="str">
        <x:f>IF(G1321=0,"无伤害",ROUNDUP(K1321/G1321,0))</x:f>
        <x:v>无伤害</x:v>
      </x:c>
      <x:c r="N1321" s="6" t="n">
        <x:f>ROUNDUP(F1321/英雄升级调参!$H$74,0)</x:f>
        <x:v>1</x:v>
      </x:c>
      <x:c r="O1321" s="6" t="n">
        <x:f>ROUNDUP(F1321/英雄升级调参!$K$74,0)</x:f>
        <x:v>1</x:v>
      </x:c>
      <x:c r="P1321" s="6" t="str">
        <x:f t="shared" si="406"/>
        <x:v>蓝莓1下；攻击沿用现值</x:v>
      </x:c>
      <x:c r="Q1321" s="6"/>
      <x:c r="R1321" s="6"/>
      <x:c r="S1321" s="6"/>
      <x:c r="T1321" s="6"/>
    </x:row>
    <x:row r="1322" ht="21" customHeight="1">
      <x:c r="A1322" s="14">
        <x:f t="shared" si="401"/>
        <x:v>60023</x:v>
      </x:c>
      <x:c r="B1322" s="14" t="str">
        <x:f t="shared" si="402"/>
        <x:v>蓝莓</x:v>
      </x:c>
      <x:c r="C1322" s="6" t="str">
        <x:f t="shared" si="403"/>
        <x:v>蓝莓</x:v>
      </x:c>
      <x:c r="D1322" s="6">
        <x:v>10</x:v>
      </x:c>
      <x:c r="E1322" s="6">
        <x:v>36</x:v>
      </x:c>
      <x:c r="F1322" s="12">
        <x:f>ROUND(J1322*$W$4*H1322,0)</x:f>
        <x:v>357</x:v>
      </x:c>
      <x:c r="G1322" s="12" t="n">
        <x:f>ROUND(J1322*$W$4*$W$5*I1322,0)</x:f>
        <x:v>0</x:v>
      </x:c>
      <x:c r="H1322" s="11">
        <x:f t="shared" si="404"/>
        <x:v>0.25</x:v>
      </x:c>
      <x:c r="I1322" s="11">
        <x:f t="shared" si="405"/>
        <x:v>0</x:v>
      </x:c>
      <x:c r="J1322" s="12">
        <x:f>英雄升级调参!$E$75</x:f>
        <x:v>357</x:v>
      </x:c>
      <x:c r="K1322" s="12">
        <x:f>英雄升级调参!$F$75</x:f>
        <x:v>3570</x:v>
      </x:c>
      <x:c r="L1322" s="6" t="n">
        <x:f>ROUNDUP(F1322/J1322,0)</x:f>
        <x:v>1</x:v>
      </x:c>
      <x:c r="M1322" s="6" t="str">
        <x:f>IF(G1322=0,"无伤害",ROUNDUP(K1322/G1322,0))</x:f>
        <x:v>无伤害</x:v>
      </x:c>
      <x:c r="N1322" s="6" t="n">
        <x:f>ROUNDUP(F1322/英雄升级调参!$H$75,0)</x:f>
        <x:v>1</x:v>
      </x:c>
      <x:c r="O1322" s="6" t="n">
        <x:f>ROUNDUP(F1322/英雄升级调参!$K$75,0)</x:f>
        <x:v>1</x:v>
      </x:c>
      <x:c r="P1322" s="6" t="str">
        <x:f t="shared" si="406"/>
        <x:v>蓝莓1下；攻击沿用现值</x:v>
      </x:c>
      <x:c r="Q1322" s="6"/>
      <x:c r="R1322" s="6"/>
      <x:c r="S1322" s="6"/>
      <x:c r="T1322" s="6"/>
    </x:row>
    <x:row r="1323" ht="21" customHeight="1">
      <x:c r="A1323" s="14">
        <x:f t="shared" si="401"/>
        <x:v>60023</x:v>
      </x:c>
      <x:c r="B1323" s="14" t="str">
        <x:f t="shared" si="402"/>
        <x:v>蓝莓</x:v>
      </x:c>
      <x:c r="C1323" s="6" t="str">
        <x:f t="shared" si="403"/>
        <x:v>蓝莓</x:v>
      </x:c>
      <x:c r="D1323" s="6">
        <x:v>11</x:v>
      </x:c>
      <x:c r="E1323" s="6">
        <x:v>36</x:v>
      </x:c>
      <x:c r="F1323" s="12">
        <x:f>ROUND(J1323*$W$4*H1323,0)</x:f>
        <x:v>393</x:v>
      </x:c>
      <x:c r="G1323" s="12" t="n">
        <x:f>ROUND(J1323*$W$4*$W$5*I1323,0)</x:f>
        <x:v>0</x:v>
      </x:c>
      <x:c r="H1323" s="11">
        <x:f t="shared" si="404"/>
        <x:v>0.25</x:v>
      </x:c>
      <x:c r="I1323" s="11">
        <x:f t="shared" si="405"/>
        <x:v>0</x:v>
      </x:c>
      <x:c r="J1323" s="12">
        <x:f>英雄升级调参!$E$76</x:f>
        <x:v>393</x:v>
      </x:c>
      <x:c r="K1323" s="12">
        <x:f>英雄升级调参!$F$76</x:f>
        <x:v>3930</x:v>
      </x:c>
      <x:c r="L1323" s="6" t="n">
        <x:f>ROUNDUP(F1323/J1323,0)</x:f>
        <x:v>1</x:v>
      </x:c>
      <x:c r="M1323" s="6" t="str">
        <x:f>IF(G1323=0,"无伤害",ROUNDUP(K1323/G1323,0))</x:f>
        <x:v>无伤害</x:v>
      </x:c>
      <x:c r="N1323" s="6" t="n">
        <x:f>ROUNDUP(F1323/英雄升级调参!$H$76,0)</x:f>
        <x:v>1</x:v>
      </x:c>
      <x:c r="O1323" s="6" t="n">
        <x:f>ROUNDUP(F1323/英雄升级调参!$K$76,0)</x:f>
        <x:v>1</x:v>
      </x:c>
      <x:c r="P1323" s="6" t="str">
        <x:f t="shared" si="406"/>
        <x:v>蓝莓1下；攻击沿用现值</x:v>
      </x:c>
      <x:c r="Q1323" s="6"/>
      <x:c r="R1323" s="6"/>
      <x:c r="S1323" s="6"/>
      <x:c r="T1323" s="6"/>
    </x:row>
    <x:row r="1324" ht="21" customHeight="1">
      <x:c r="A1324" s="14">
        <x:f t="shared" si="401"/>
        <x:v>60023</x:v>
      </x:c>
      <x:c r="B1324" s="14" t="str">
        <x:f t="shared" si="402"/>
        <x:v>蓝莓</x:v>
      </x:c>
      <x:c r="C1324" s="6" t="str">
        <x:f t="shared" si="403"/>
        <x:v>蓝莓</x:v>
      </x:c>
      <x:c r="D1324" s="6">
        <x:v>12</x:v>
      </x:c>
      <x:c r="E1324" s="6">
        <x:v>36</x:v>
      </x:c>
      <x:c r="F1324" s="12">
        <x:f>ROUND(J1324*$W$4*H1324,0)</x:f>
        <x:v>429</x:v>
      </x:c>
      <x:c r="G1324" s="12" t="n">
        <x:f>ROUND(J1324*$W$4*$W$5*I1324,0)</x:f>
        <x:v>0</x:v>
      </x:c>
      <x:c r="H1324" s="11">
        <x:f t="shared" si="404"/>
        <x:v>0.25</x:v>
      </x:c>
      <x:c r="I1324" s="11">
        <x:f t="shared" si="405"/>
        <x:v>0</x:v>
      </x:c>
      <x:c r="J1324" s="12">
        <x:f>英雄升级调参!$E$77</x:f>
        <x:v>429</x:v>
      </x:c>
      <x:c r="K1324" s="12">
        <x:f>英雄升级调参!$F$77</x:f>
        <x:v>4290</x:v>
      </x:c>
      <x:c r="L1324" s="6" t="n">
        <x:f>ROUNDUP(F1324/J1324,0)</x:f>
        <x:v>1</x:v>
      </x:c>
      <x:c r="M1324" s="6" t="str">
        <x:f>IF(G1324=0,"无伤害",ROUNDUP(K1324/G1324,0))</x:f>
        <x:v>无伤害</x:v>
      </x:c>
      <x:c r="N1324" s="6" t="n">
        <x:f>ROUNDUP(F1324/英雄升级调参!$H$77,0)</x:f>
        <x:v>1</x:v>
      </x:c>
      <x:c r="O1324" s="6" t="n">
        <x:f>ROUNDUP(F1324/英雄升级调参!$K$77,0)</x:f>
        <x:v>1</x:v>
      </x:c>
      <x:c r="P1324" s="6" t="str">
        <x:f t="shared" si="406"/>
        <x:v>蓝莓1下；攻击沿用现值</x:v>
      </x:c>
      <x:c r="Q1324" s="6"/>
      <x:c r="R1324" s="6"/>
      <x:c r="S1324" s="6"/>
      <x:c r="T1324" s="6"/>
    </x:row>
    <x:row r="1325" ht="21" customHeight="1">
      <x:c r="A1325" s="14">
        <x:f t="shared" si="401"/>
        <x:v>60023</x:v>
      </x:c>
      <x:c r="B1325" s="14" t="str">
        <x:f t="shared" si="402"/>
        <x:v>蓝莓</x:v>
      </x:c>
      <x:c r="C1325" s="6" t="str">
        <x:f t="shared" si="403"/>
        <x:v>蓝莓</x:v>
      </x:c>
      <x:c r="D1325" s="6">
        <x:v>13</x:v>
      </x:c>
      <x:c r="E1325" s="6">
        <x:v>36</x:v>
      </x:c>
      <x:c r="F1325" s="12">
        <x:f>ROUND(J1325*$W$4*H1325,0)</x:f>
        <x:v>465</x:v>
      </x:c>
      <x:c r="G1325" s="12" t="n">
        <x:f>ROUND(J1325*$W$4*$W$5*I1325,0)</x:f>
        <x:v>0</x:v>
      </x:c>
      <x:c r="H1325" s="11">
        <x:f t="shared" si="404"/>
        <x:v>0.25</x:v>
      </x:c>
      <x:c r="I1325" s="11">
        <x:f t="shared" si="405"/>
        <x:v>0</x:v>
      </x:c>
      <x:c r="J1325" s="12">
        <x:f>英雄升级调参!$E$78</x:f>
        <x:v>465</x:v>
      </x:c>
      <x:c r="K1325" s="12">
        <x:f>英雄升级调参!$F$78</x:f>
        <x:v>4650</x:v>
      </x:c>
      <x:c r="L1325" s="6" t="n">
        <x:f>ROUNDUP(F1325/J1325,0)</x:f>
        <x:v>1</x:v>
      </x:c>
      <x:c r="M1325" s="6" t="str">
        <x:f>IF(G1325=0,"无伤害",ROUNDUP(K1325/G1325,0))</x:f>
        <x:v>无伤害</x:v>
      </x:c>
      <x:c r="N1325" s="6" t="n">
        <x:f>ROUNDUP(F1325/英雄升级调参!$H$78,0)</x:f>
        <x:v>1</x:v>
      </x:c>
      <x:c r="O1325" s="6" t="n">
        <x:f>ROUNDUP(F1325/英雄升级调参!$K$78,0)</x:f>
        <x:v>1</x:v>
      </x:c>
      <x:c r="P1325" s="6" t="str">
        <x:f t="shared" si="406"/>
        <x:v>蓝莓1下；攻击沿用现值</x:v>
      </x:c>
      <x:c r="Q1325" s="6"/>
      <x:c r="R1325" s="6"/>
      <x:c r="S1325" s="6"/>
      <x:c r="T1325" s="6"/>
    </x:row>
    <x:row r="1326" ht="21" customHeight="1">
      <x:c r="A1326" s="14">
        <x:f t="shared" si="401"/>
        <x:v>60023</x:v>
      </x:c>
      <x:c r="B1326" s="14" t="str">
        <x:f t="shared" si="402"/>
        <x:v>蓝莓</x:v>
      </x:c>
      <x:c r="C1326" s="6" t="str">
        <x:f t="shared" si="403"/>
        <x:v>蓝莓</x:v>
      </x:c>
      <x:c r="D1326" s="6">
        <x:v>14</x:v>
      </x:c>
      <x:c r="E1326" s="6">
        <x:v>36</x:v>
      </x:c>
      <x:c r="F1326" s="12">
        <x:f>ROUND(J1326*$W$4*H1326,0)</x:f>
        <x:v>501</x:v>
      </x:c>
      <x:c r="G1326" s="12" t="n">
        <x:f>ROUND(J1326*$W$4*$W$5*I1326,0)</x:f>
        <x:v>0</x:v>
      </x:c>
      <x:c r="H1326" s="11">
        <x:f t="shared" si="404"/>
        <x:v>0.25</x:v>
      </x:c>
      <x:c r="I1326" s="11">
        <x:f t="shared" si="405"/>
        <x:v>0</x:v>
      </x:c>
      <x:c r="J1326" s="12">
        <x:f>英雄升级调参!$E$79</x:f>
        <x:v>501</x:v>
      </x:c>
      <x:c r="K1326" s="12">
        <x:f>英雄升级调参!$F$79</x:f>
        <x:v>5010</x:v>
      </x:c>
      <x:c r="L1326" s="6" t="n">
        <x:f>ROUNDUP(F1326/J1326,0)</x:f>
        <x:v>1</x:v>
      </x:c>
      <x:c r="M1326" s="6" t="str">
        <x:f>IF(G1326=0,"无伤害",ROUNDUP(K1326/G1326,0))</x:f>
        <x:v>无伤害</x:v>
      </x:c>
      <x:c r="N1326" s="6" t="n">
        <x:f>ROUNDUP(F1326/英雄升级调参!$H$79,0)</x:f>
        <x:v>1</x:v>
      </x:c>
      <x:c r="O1326" s="6" t="n">
        <x:f>ROUNDUP(F1326/英雄升级调参!$K$79,0)</x:f>
        <x:v>1</x:v>
      </x:c>
      <x:c r="P1326" s="6" t="str">
        <x:f t="shared" si="406"/>
        <x:v>蓝莓1下；攻击沿用现值</x:v>
      </x:c>
      <x:c r="Q1326" s="6"/>
      <x:c r="R1326" s="6"/>
      <x:c r="S1326" s="6"/>
      <x:c r="T1326" s="6"/>
    </x:row>
    <x:row r="1327" ht="21" customHeight="1">
      <x:c r="A1327" s="14">
        <x:f t="shared" si="401"/>
        <x:v>60023</x:v>
      </x:c>
      <x:c r="B1327" s="14" t="str">
        <x:f t="shared" si="402"/>
        <x:v>蓝莓</x:v>
      </x:c>
      <x:c r="C1327" s="6" t="str">
        <x:f t="shared" si="403"/>
        <x:v>蓝莓</x:v>
      </x:c>
      <x:c r="D1327" s="6">
        <x:v>15</x:v>
      </x:c>
      <x:c r="E1327" s="6">
        <x:v>36</x:v>
      </x:c>
      <x:c r="F1327" s="12">
        <x:f>ROUND(J1327*$W$4*H1327,0)</x:f>
        <x:v>609</x:v>
      </x:c>
      <x:c r="G1327" s="12" t="n">
        <x:f>ROUND(J1327*$W$4*$W$5*I1327,0)</x:f>
        <x:v>0</x:v>
      </x:c>
      <x:c r="H1327" s="11">
        <x:f t="shared" si="404"/>
        <x:v>0.25</x:v>
      </x:c>
      <x:c r="I1327" s="11">
        <x:f t="shared" si="405"/>
        <x:v>0</x:v>
      </x:c>
      <x:c r="J1327" s="12">
        <x:f>英雄升级调参!$E$80</x:f>
        <x:v>609</x:v>
      </x:c>
      <x:c r="K1327" s="12">
        <x:f>英雄升级调参!$F$80</x:f>
        <x:v>6090</x:v>
      </x:c>
      <x:c r="L1327" s="6" t="n">
        <x:f>ROUNDUP(F1327/J1327,0)</x:f>
        <x:v>1</x:v>
      </x:c>
      <x:c r="M1327" s="6" t="str">
        <x:f>IF(G1327=0,"无伤害",ROUNDUP(K1327/G1327,0))</x:f>
        <x:v>无伤害</x:v>
      </x:c>
      <x:c r="N1327" s="6" t="n">
        <x:f>ROUNDUP(F1327/英雄升级调参!$H$80,0)</x:f>
        <x:v>1</x:v>
      </x:c>
      <x:c r="O1327" s="6" t="n">
        <x:f>ROUNDUP(F1327/英雄升级调参!$K$80,0)</x:f>
        <x:v>1</x:v>
      </x:c>
      <x:c r="P1327" s="6" t="str">
        <x:f t="shared" si="406"/>
        <x:v>蓝莓1下；攻击沿用现值</x:v>
      </x:c>
      <x:c r="Q1327" s="6"/>
      <x:c r="R1327" s="6"/>
      <x:c r="S1327" s="6"/>
      <x:c r="T1327" s="6"/>
    </x:row>
    <x:row r="1328" ht="21" customHeight="1">
      <x:c r="A1328" s="14">
        <x:f t="shared" si="401"/>
        <x:v>60023</x:v>
      </x:c>
      <x:c r="B1328" s="14" t="str">
        <x:f t="shared" si="402"/>
        <x:v>蓝莓</x:v>
      </x:c>
      <x:c r="C1328" s="6" t="str">
        <x:f t="shared" si="403"/>
        <x:v>蓝莓</x:v>
      </x:c>
      <x:c r="D1328" s="6">
        <x:v>16</x:v>
      </x:c>
      <x:c r="E1328" s="6">
        <x:v>36</x:v>
      </x:c>
      <x:c r="F1328" s="12">
        <x:f>ROUND(J1328*$W$4*H1328,0)</x:f>
        <x:v>654</x:v>
      </x:c>
      <x:c r="G1328" s="12" t="n">
        <x:f>ROUND(J1328*$W$4*$W$5*I1328,0)</x:f>
        <x:v>0</x:v>
      </x:c>
      <x:c r="H1328" s="11">
        <x:f t="shared" si="404"/>
        <x:v>0.25</x:v>
      </x:c>
      <x:c r="I1328" s="11">
        <x:f t="shared" si="405"/>
        <x:v>0</x:v>
      </x:c>
      <x:c r="J1328" s="12">
        <x:f>英雄升级调参!$E$81</x:f>
        <x:v>654</x:v>
      </x:c>
      <x:c r="K1328" s="12">
        <x:f>英雄升级调参!$F$81</x:f>
        <x:v>6540</x:v>
      </x:c>
      <x:c r="L1328" s="6" t="n">
        <x:f>ROUNDUP(F1328/J1328,0)</x:f>
        <x:v>1</x:v>
      </x:c>
      <x:c r="M1328" s="6" t="str">
        <x:f>IF(G1328=0,"无伤害",ROUNDUP(K1328/G1328,0))</x:f>
        <x:v>无伤害</x:v>
      </x:c>
      <x:c r="N1328" s="6" t="n">
        <x:f>ROUNDUP(F1328/英雄升级调参!$H$81,0)</x:f>
        <x:v>1</x:v>
      </x:c>
      <x:c r="O1328" s="6" t="n">
        <x:f>ROUNDUP(F1328/英雄升级调参!$K$81,0)</x:f>
        <x:v>1</x:v>
      </x:c>
      <x:c r="P1328" s="6" t="str">
        <x:f t="shared" si="406"/>
        <x:v>蓝莓1下；攻击沿用现值</x:v>
      </x:c>
      <x:c r="Q1328" s="6"/>
      <x:c r="R1328" s="6"/>
      <x:c r="S1328" s="6"/>
      <x:c r="T1328" s="6"/>
    </x:row>
    <x:row r="1329" ht="21" customHeight="1">
      <x:c r="A1329" s="14">
        <x:f t="shared" si="401"/>
        <x:v>60023</x:v>
      </x:c>
      <x:c r="B1329" s="14" t="str">
        <x:f t="shared" si="402"/>
        <x:v>蓝莓</x:v>
      </x:c>
      <x:c r="C1329" s="6" t="str">
        <x:f t="shared" si="403"/>
        <x:v>蓝莓</x:v>
      </x:c>
      <x:c r="D1329" s="6">
        <x:v>17</x:v>
      </x:c>
      <x:c r="E1329" s="6">
        <x:v>36</x:v>
      </x:c>
      <x:c r="F1329" s="12">
        <x:f>ROUND(J1329*$W$4*H1329,0)</x:f>
        <x:v>699</x:v>
      </x:c>
      <x:c r="G1329" s="12" t="n">
        <x:f>ROUND(J1329*$W$4*$W$5*I1329,0)</x:f>
        <x:v>0</x:v>
      </x:c>
      <x:c r="H1329" s="11">
        <x:f t="shared" si="404"/>
        <x:v>0.25</x:v>
      </x:c>
      <x:c r="I1329" s="11">
        <x:f t="shared" si="405"/>
        <x:v>0</x:v>
      </x:c>
      <x:c r="J1329" s="12">
        <x:f>英雄升级调参!$E$82</x:f>
        <x:v>699</x:v>
      </x:c>
      <x:c r="K1329" s="12">
        <x:f>英雄升级调参!$F$82</x:f>
        <x:v>6990</x:v>
      </x:c>
      <x:c r="L1329" s="6" t="n">
        <x:f>ROUNDUP(F1329/J1329,0)</x:f>
        <x:v>1</x:v>
      </x:c>
      <x:c r="M1329" s="6" t="str">
        <x:f>IF(G1329=0,"无伤害",ROUNDUP(K1329/G1329,0))</x:f>
        <x:v>无伤害</x:v>
      </x:c>
      <x:c r="N1329" s="6" t="n">
        <x:f>ROUNDUP(F1329/英雄升级调参!$H$82,0)</x:f>
        <x:v>1</x:v>
      </x:c>
      <x:c r="O1329" s="6" t="n">
        <x:f>ROUNDUP(F1329/英雄升级调参!$K$82,0)</x:f>
        <x:v>1</x:v>
      </x:c>
      <x:c r="P1329" s="6" t="str">
        <x:f t="shared" si="406"/>
        <x:v>蓝莓1下；攻击沿用现值</x:v>
      </x:c>
      <x:c r="Q1329" s="6"/>
      <x:c r="R1329" s="6"/>
      <x:c r="S1329" s="6"/>
      <x:c r="T1329" s="6"/>
    </x:row>
    <x:row r="1330" ht="21" customHeight="1">
      <x:c r="A1330" s="14">
        <x:f t="shared" si="401"/>
        <x:v>60023</x:v>
      </x:c>
      <x:c r="B1330" s="14" t="str">
        <x:f t="shared" si="402"/>
        <x:v>蓝莓</x:v>
      </x:c>
      <x:c r="C1330" s="6" t="str">
        <x:f t="shared" si="403"/>
        <x:v>蓝莓</x:v>
      </x:c>
      <x:c r="D1330" s="6">
        <x:v>18</x:v>
      </x:c>
      <x:c r="E1330" s="6">
        <x:v>36</x:v>
      </x:c>
      <x:c r="F1330" s="12">
        <x:f>ROUND(J1330*$W$4*H1330,0)</x:f>
        <x:v>744</x:v>
      </x:c>
      <x:c r="G1330" s="12" t="n">
        <x:f>ROUND(J1330*$W$4*$W$5*I1330,0)</x:f>
        <x:v>0</x:v>
      </x:c>
      <x:c r="H1330" s="11">
        <x:f t="shared" si="404"/>
        <x:v>0.25</x:v>
      </x:c>
      <x:c r="I1330" s="11">
        <x:f t="shared" si="405"/>
        <x:v>0</x:v>
      </x:c>
      <x:c r="J1330" s="12">
        <x:f>英雄升级调参!$E$83</x:f>
        <x:v>744</x:v>
      </x:c>
      <x:c r="K1330" s="12">
        <x:f>英雄升级调参!$F$83</x:f>
        <x:v>7440</x:v>
      </x:c>
      <x:c r="L1330" s="6" t="n">
        <x:f>ROUNDUP(F1330/J1330,0)</x:f>
        <x:v>1</x:v>
      </x:c>
      <x:c r="M1330" s="6" t="str">
        <x:f>IF(G1330=0,"无伤害",ROUNDUP(K1330/G1330,0))</x:f>
        <x:v>无伤害</x:v>
      </x:c>
      <x:c r="N1330" s="6" t="n">
        <x:f>ROUNDUP(F1330/英雄升级调参!$H$83,0)</x:f>
        <x:v>1</x:v>
      </x:c>
      <x:c r="O1330" s="6" t="n">
        <x:f>ROUNDUP(F1330/英雄升级调参!$K$83,0)</x:f>
        <x:v>1</x:v>
      </x:c>
      <x:c r="P1330" s="6" t="str">
        <x:f t="shared" si="406"/>
        <x:v>蓝莓1下；攻击沿用现值</x:v>
      </x:c>
      <x:c r="Q1330" s="6"/>
      <x:c r="R1330" s="6"/>
      <x:c r="S1330" s="6"/>
      <x:c r="T1330" s="6"/>
    </x:row>
    <x:row r="1331" ht="21" customHeight="1">
      <x:c r="A1331" s="14">
        <x:f t="shared" si="401"/>
        <x:v>60023</x:v>
      </x:c>
      <x:c r="B1331" s="14" t="str">
        <x:f t="shared" si="402"/>
        <x:v>蓝莓</x:v>
      </x:c>
      <x:c r="C1331" s="6" t="str">
        <x:f t="shared" si="403"/>
        <x:v>蓝莓</x:v>
      </x:c>
      <x:c r="D1331" s="6">
        <x:v>19</x:v>
      </x:c>
      <x:c r="E1331" s="6">
        <x:v>36</x:v>
      </x:c>
      <x:c r="F1331" s="12">
        <x:f>ROUND(J1331*$W$4*H1331,0)</x:f>
        <x:v>789</x:v>
      </x:c>
      <x:c r="G1331" s="12" t="n">
        <x:f>ROUND(J1331*$W$4*$W$5*I1331,0)</x:f>
        <x:v>0</x:v>
      </x:c>
      <x:c r="H1331" s="11">
        <x:f t="shared" si="404"/>
        <x:v>0.25</x:v>
      </x:c>
      <x:c r="I1331" s="11">
        <x:f t="shared" si="405"/>
        <x:v>0</x:v>
      </x:c>
      <x:c r="J1331" s="12">
        <x:f>英雄升级调参!$E$84</x:f>
        <x:v>789</x:v>
      </x:c>
      <x:c r="K1331" s="12">
        <x:f>英雄升级调参!$F$84</x:f>
        <x:v>7890</x:v>
      </x:c>
      <x:c r="L1331" s="6" t="n">
        <x:f>ROUNDUP(F1331/J1331,0)</x:f>
        <x:v>1</x:v>
      </x:c>
      <x:c r="M1331" s="6" t="str">
        <x:f>IF(G1331=0,"无伤害",ROUNDUP(K1331/G1331,0))</x:f>
        <x:v>无伤害</x:v>
      </x:c>
      <x:c r="N1331" s="6" t="n">
        <x:f>ROUNDUP(F1331/英雄升级调参!$H$84,0)</x:f>
        <x:v>1</x:v>
      </x:c>
      <x:c r="O1331" s="6" t="n">
        <x:f>ROUNDUP(F1331/英雄升级调参!$K$84,0)</x:f>
        <x:v>1</x:v>
      </x:c>
      <x:c r="P1331" s="6" t="str">
        <x:f t="shared" si="406"/>
        <x:v>蓝莓1下；攻击沿用现值</x:v>
      </x:c>
      <x:c r="Q1331" s="6"/>
      <x:c r="R1331" s="6"/>
      <x:c r="S1331" s="6"/>
      <x:c r="T1331" s="6"/>
    </x:row>
    <x:row r="1332" ht="21" customHeight="1">
      <x:c r="A1332" s="14">
        <x:f t="shared" si="401"/>
        <x:v>60023</x:v>
      </x:c>
      <x:c r="B1332" s="14" t="str">
        <x:f t="shared" si="402"/>
        <x:v>蓝莓</x:v>
      </x:c>
      <x:c r="C1332" s="6" t="str">
        <x:f t="shared" si="403"/>
        <x:v>蓝莓</x:v>
      </x:c>
      <x:c r="D1332" s="6">
        <x:v>20</x:v>
      </x:c>
      <x:c r="E1332" s="6">
        <x:v>36</x:v>
      </x:c>
      <x:c r="F1332" s="12">
        <x:f>ROUND(J1332*$W$4*H1332,0)</x:f>
        <x:v>924</x:v>
      </x:c>
      <x:c r="G1332" s="12" t="n">
        <x:f>ROUND(J1332*$W$4*$W$5*I1332,0)</x:f>
        <x:v>0</x:v>
      </x:c>
      <x:c r="H1332" s="11">
        <x:f t="shared" si="404"/>
        <x:v>0.25</x:v>
      </x:c>
      <x:c r="I1332" s="11">
        <x:f t="shared" si="405"/>
        <x:v>0</x:v>
      </x:c>
      <x:c r="J1332" s="12">
        <x:f>英雄升级调参!$E$85</x:f>
        <x:v>924</x:v>
      </x:c>
      <x:c r="K1332" s="12">
        <x:f>英雄升级调参!$F$85</x:f>
        <x:v>9240</x:v>
      </x:c>
      <x:c r="L1332" s="6" t="n">
        <x:f>ROUNDUP(F1332/J1332,0)</x:f>
        <x:v>1</x:v>
      </x:c>
      <x:c r="M1332" s="6" t="str">
        <x:f>IF(G1332=0,"无伤害",ROUNDUP(K1332/G1332,0))</x:f>
        <x:v>无伤害</x:v>
      </x:c>
      <x:c r="N1332" s="6" t="n">
        <x:f>ROUNDUP(F1332/英雄升级调参!$H$85,0)</x:f>
        <x:v>1</x:v>
      </x:c>
      <x:c r="O1332" s="6" t="n">
        <x:f>ROUNDUP(F1332/英雄升级调参!$K$85,0)</x:f>
        <x:v>1</x:v>
      </x:c>
      <x:c r="P1332" s="6" t="str">
        <x:f t="shared" si="406"/>
        <x:v>蓝莓1下；攻击沿用现值</x:v>
      </x:c>
      <x:c r="Q1332" s="6"/>
      <x:c r="R1332" s="6"/>
      <x:c r="S1332" s="6"/>
      <x:c r="T1332" s="6"/>
    </x:row>
    <x:row r="1333" ht="21" customHeight="1">
      <x:c r="A1333" s="14">
        <x:f t="shared" si="401"/>
        <x:v>60023</x:v>
      </x:c>
      <x:c r="B1333" s="14" t="str">
        <x:f t="shared" si="402"/>
        <x:v>蓝莓</x:v>
      </x:c>
      <x:c r="C1333" s="6" t="str">
        <x:f t="shared" si="403"/>
        <x:v>蓝莓</x:v>
      </x:c>
      <x:c r="D1333" s="6">
        <x:v>21</x:v>
      </x:c>
      <x:c r="E1333" s="6">
        <x:v>36</x:v>
      </x:c>
      <x:c r="F1333" s="12">
        <x:f>ROUND(J1333*$W$4*H1333,0)</x:f>
        <x:v>978</x:v>
      </x:c>
      <x:c r="G1333" s="12" t="n">
        <x:f>ROUND(J1333*$W$4*$W$5*I1333,0)</x:f>
        <x:v>0</x:v>
      </x:c>
      <x:c r="H1333" s="11">
        <x:f t="shared" si="404"/>
        <x:v>0.25</x:v>
      </x:c>
      <x:c r="I1333" s="11">
        <x:f t="shared" si="405"/>
        <x:v>0</x:v>
      </x:c>
      <x:c r="J1333" s="12">
        <x:f>英雄升级调参!$E$86</x:f>
        <x:v>978</x:v>
      </x:c>
      <x:c r="K1333" s="12">
        <x:f>英雄升级调参!$F$86</x:f>
        <x:v>9780</x:v>
      </x:c>
      <x:c r="L1333" s="6" t="n">
        <x:f>ROUNDUP(F1333/J1333,0)</x:f>
        <x:v>1</x:v>
      </x:c>
      <x:c r="M1333" s="6" t="str">
        <x:f>IF(G1333=0,"无伤害",ROUNDUP(K1333/G1333,0))</x:f>
        <x:v>无伤害</x:v>
      </x:c>
      <x:c r="N1333" s="6" t="n">
        <x:f>ROUNDUP(F1333/英雄升级调参!$H$86,0)</x:f>
        <x:v>1</x:v>
      </x:c>
      <x:c r="O1333" s="6" t="n">
        <x:f>ROUNDUP(F1333/英雄升级调参!$K$86,0)</x:f>
        <x:v>1</x:v>
      </x:c>
      <x:c r="P1333" s="6" t="str">
        <x:f t="shared" si="406"/>
        <x:v>蓝莓1下；攻击沿用现值</x:v>
      </x:c>
      <x:c r="Q1333" s="6"/>
      <x:c r="R1333" s="6"/>
      <x:c r="S1333" s="6"/>
      <x:c r="T1333" s="6"/>
    </x:row>
    <x:row r="1334" ht="21" customHeight="1">
      <x:c r="A1334" s="14">
        <x:f t="shared" si="401"/>
        <x:v>60023</x:v>
      </x:c>
      <x:c r="B1334" s="14" t="str">
        <x:f t="shared" si="402"/>
        <x:v>蓝莓</x:v>
      </x:c>
      <x:c r="C1334" s="6" t="str">
        <x:f t="shared" si="403"/>
        <x:v>蓝莓</x:v>
      </x:c>
      <x:c r="D1334" s="6">
        <x:v>22</x:v>
      </x:c>
      <x:c r="E1334" s="6">
        <x:v>36</x:v>
      </x:c>
      <x:c r="F1334" s="12">
        <x:f>ROUND(J1334*$W$4*H1334,0)</x:f>
        <x:v>1032</x:v>
      </x:c>
      <x:c r="G1334" s="12" t="n">
        <x:f>ROUND(J1334*$W$4*$W$5*I1334,0)</x:f>
        <x:v>0</x:v>
      </x:c>
      <x:c r="H1334" s="11">
        <x:f t="shared" si="404"/>
        <x:v>0.25</x:v>
      </x:c>
      <x:c r="I1334" s="11">
        <x:f t="shared" si="405"/>
        <x:v>0</x:v>
      </x:c>
      <x:c r="J1334" s="12">
        <x:f>英雄升级调参!$E$87</x:f>
        <x:v>1032</x:v>
      </x:c>
      <x:c r="K1334" s="12">
        <x:f>英雄升级调参!$F$87</x:f>
        <x:v>10320</x:v>
      </x:c>
      <x:c r="L1334" s="6" t="n">
        <x:f>ROUNDUP(F1334/J1334,0)</x:f>
        <x:v>1</x:v>
      </x:c>
      <x:c r="M1334" s="6" t="str">
        <x:f>IF(G1334=0,"无伤害",ROUNDUP(K1334/G1334,0))</x:f>
        <x:v>无伤害</x:v>
      </x:c>
      <x:c r="N1334" s="6" t="n">
        <x:f>ROUNDUP(F1334/英雄升级调参!$H$87,0)</x:f>
        <x:v>1</x:v>
      </x:c>
      <x:c r="O1334" s="6" t="n">
        <x:f>ROUNDUP(F1334/英雄升级调参!$K$87,0)</x:f>
        <x:v>1</x:v>
      </x:c>
      <x:c r="P1334" s="6" t="str">
        <x:f t="shared" si="406"/>
        <x:v>蓝莓1下；攻击沿用现值</x:v>
      </x:c>
      <x:c r="Q1334" s="6"/>
      <x:c r="R1334" s="6"/>
      <x:c r="S1334" s="6"/>
      <x:c r="T1334" s="6"/>
    </x:row>
    <x:row r="1335" ht="21" customHeight="1">
      <x:c r="A1335" s="14">
        <x:f t="shared" si="401"/>
        <x:v>60023</x:v>
      </x:c>
      <x:c r="B1335" s="14" t="str">
        <x:f t="shared" si="402"/>
        <x:v>蓝莓</x:v>
      </x:c>
      <x:c r="C1335" s="6" t="str">
        <x:f t="shared" si="403"/>
        <x:v>蓝莓</x:v>
      </x:c>
      <x:c r="D1335" s="6">
        <x:v>23</x:v>
      </x:c>
      <x:c r="E1335" s="6">
        <x:v>36</x:v>
      </x:c>
      <x:c r="F1335" s="12">
        <x:f>ROUND(J1335*$W$4*H1335,0)</x:f>
        <x:v>1086</x:v>
      </x:c>
      <x:c r="G1335" s="12" t="n">
        <x:f>ROUND(J1335*$W$4*$W$5*I1335,0)</x:f>
        <x:v>0</x:v>
      </x:c>
      <x:c r="H1335" s="11">
        <x:f t="shared" si="404"/>
        <x:v>0.25</x:v>
      </x:c>
      <x:c r="I1335" s="11">
        <x:f t="shared" si="405"/>
        <x:v>0</x:v>
      </x:c>
      <x:c r="J1335" s="12">
        <x:f>英雄升级调参!$E$88</x:f>
        <x:v>1086</x:v>
      </x:c>
      <x:c r="K1335" s="12">
        <x:f>英雄升级调参!$F$88</x:f>
        <x:v>10860</x:v>
      </x:c>
      <x:c r="L1335" s="6" t="n">
        <x:f>ROUNDUP(F1335/J1335,0)</x:f>
        <x:v>1</x:v>
      </x:c>
      <x:c r="M1335" s="6" t="str">
        <x:f>IF(G1335=0,"无伤害",ROUNDUP(K1335/G1335,0))</x:f>
        <x:v>无伤害</x:v>
      </x:c>
      <x:c r="N1335" s="6" t="n">
        <x:f>ROUNDUP(F1335/英雄升级调参!$H$88,0)</x:f>
        <x:v>1</x:v>
      </x:c>
      <x:c r="O1335" s="6" t="n">
        <x:f>ROUNDUP(F1335/英雄升级调参!$K$88,0)</x:f>
        <x:v>1</x:v>
      </x:c>
      <x:c r="P1335" s="6" t="str">
        <x:f t="shared" si="406"/>
        <x:v>蓝莓1下；攻击沿用现值</x:v>
      </x:c>
      <x:c r="Q1335" s="6"/>
      <x:c r="R1335" s="6"/>
      <x:c r="S1335" s="6"/>
      <x:c r="T1335" s="6"/>
    </x:row>
    <x:row r="1336" ht="21" customHeight="1">
      <x:c r="A1336" s="14">
        <x:f t="shared" si="401"/>
        <x:v>60023</x:v>
      </x:c>
      <x:c r="B1336" s="14" t="str">
        <x:f t="shared" si="402"/>
        <x:v>蓝莓</x:v>
      </x:c>
      <x:c r="C1336" s="6" t="str">
        <x:f t="shared" si="403"/>
        <x:v>蓝莓</x:v>
      </x:c>
      <x:c r="D1336" s="6">
        <x:v>24</x:v>
      </x:c>
      <x:c r="E1336" s="6">
        <x:v>36</x:v>
      </x:c>
      <x:c r="F1336" s="12">
        <x:f>ROUND(J1336*$W$4*H1336,0)</x:f>
        <x:v>1140</x:v>
      </x:c>
      <x:c r="G1336" s="12" t="n">
        <x:f>ROUND(J1336*$W$4*$W$5*I1336,0)</x:f>
        <x:v>0</x:v>
      </x:c>
      <x:c r="H1336" s="11">
        <x:f t="shared" si="404"/>
        <x:v>0.25</x:v>
      </x:c>
      <x:c r="I1336" s="11">
        <x:f t="shared" si="405"/>
        <x:v>0</x:v>
      </x:c>
      <x:c r="J1336" s="12">
        <x:f>英雄升级调参!$E$89</x:f>
        <x:v>1140</x:v>
      </x:c>
      <x:c r="K1336" s="12">
        <x:f>英雄升级调参!$F$89</x:f>
        <x:v>11400</x:v>
      </x:c>
      <x:c r="L1336" s="6" t="n">
        <x:f>ROUNDUP(F1336/J1336,0)</x:f>
        <x:v>1</x:v>
      </x:c>
      <x:c r="M1336" s="6" t="str">
        <x:f>IF(G1336=0,"无伤害",ROUNDUP(K1336/G1336,0))</x:f>
        <x:v>无伤害</x:v>
      </x:c>
      <x:c r="N1336" s="6" t="n">
        <x:f>ROUNDUP(F1336/英雄升级调参!$H$89,0)</x:f>
        <x:v>1</x:v>
      </x:c>
      <x:c r="O1336" s="6" t="n">
        <x:f>ROUNDUP(F1336/英雄升级调参!$K$89,0)</x:f>
        <x:v>1</x:v>
      </x:c>
      <x:c r="P1336" s="6" t="str">
        <x:f t="shared" si="406"/>
        <x:v>蓝莓1下；攻击沿用现值</x:v>
      </x:c>
      <x:c r="Q1336" s="6"/>
      <x:c r="R1336" s="6"/>
      <x:c r="S1336" s="6"/>
      <x:c r="T1336" s="6"/>
    </x:row>
    <x:row r="1337" ht="21" customHeight="1">
      <x:c r="A1337" s="14">
        <x:f t="shared" si="401"/>
        <x:v>60023</x:v>
      </x:c>
      <x:c r="B1337" s="14" t="str">
        <x:f t="shared" si="402"/>
        <x:v>蓝莓</x:v>
      </x:c>
      <x:c r="C1337" s="6" t="str">
        <x:f t="shared" si="403"/>
        <x:v>蓝莓</x:v>
      </x:c>
      <x:c r="D1337" s="6">
        <x:v>25</x:v>
      </x:c>
      <x:c r="E1337" s="6">
        <x:v>36</x:v>
      </x:c>
      <x:c r="F1337" s="12">
        <x:f>ROUND(J1337*$W$4*H1337,0)</x:f>
        <x:v>1302</x:v>
      </x:c>
      <x:c r="G1337" s="12" t="n">
        <x:f>ROUND(J1337*$W$4*$W$5*I1337,0)</x:f>
        <x:v>0</x:v>
      </x:c>
      <x:c r="H1337" s="11">
        <x:f t="shared" si="404"/>
        <x:v>0.25</x:v>
      </x:c>
      <x:c r="I1337" s="11">
        <x:f t="shared" si="405"/>
        <x:v>0</x:v>
      </x:c>
      <x:c r="J1337" s="12">
        <x:f>英雄升级调参!$E$90</x:f>
        <x:v>1302</x:v>
      </x:c>
      <x:c r="K1337" s="12">
        <x:f>英雄升级调参!$F$90</x:f>
        <x:v>13020</x:v>
      </x:c>
      <x:c r="L1337" s="6" t="n">
        <x:f>ROUNDUP(F1337/J1337,0)</x:f>
        <x:v>1</x:v>
      </x:c>
      <x:c r="M1337" s="6" t="str">
        <x:f>IF(G1337=0,"无伤害",ROUNDUP(K1337/G1337,0))</x:f>
        <x:v>无伤害</x:v>
      </x:c>
      <x:c r="N1337" s="6" t="n">
        <x:f>ROUNDUP(F1337/英雄升级调参!$H$90,0)</x:f>
        <x:v>1</x:v>
      </x:c>
      <x:c r="O1337" s="6" t="n">
        <x:f>ROUNDUP(F1337/英雄升级调参!$K$90,0)</x:f>
        <x:v>1</x:v>
      </x:c>
      <x:c r="P1337" s="6" t="str">
        <x:f t="shared" si="406"/>
        <x:v>蓝莓1下；攻击沿用现值</x:v>
      </x:c>
      <x:c r="Q1337" s="6"/>
      <x:c r="R1337" s="6"/>
      <x:c r="S1337" s="6"/>
      <x:c r="T1337" s="6"/>
    </x:row>
    <x:row r="1338" ht="21" customHeight="1">
      <x:c r="A1338" s="14">
        <x:f t="shared" si="401"/>
        <x:v>60023</x:v>
      </x:c>
      <x:c r="B1338" s="14" t="str">
        <x:f t="shared" si="402"/>
        <x:v>蓝莓</x:v>
      </x:c>
      <x:c r="C1338" s="6" t="str">
        <x:f t="shared" si="403"/>
        <x:v>蓝莓</x:v>
      </x:c>
      <x:c r="D1338" s="6">
        <x:v>26</x:v>
      </x:c>
      <x:c r="E1338" s="6">
        <x:v>36</x:v>
      </x:c>
      <x:c r="F1338" s="12">
        <x:f>ROUND(J1338*$W$4*H1338,0)</x:f>
        <x:v>1365</x:v>
      </x:c>
      <x:c r="G1338" s="12" t="n">
        <x:f>ROUND(J1338*$W$4*$W$5*I1338,0)</x:f>
        <x:v>0</x:v>
      </x:c>
      <x:c r="H1338" s="11">
        <x:f t="shared" si="404"/>
        <x:v>0.25</x:v>
      </x:c>
      <x:c r="I1338" s="11">
        <x:f t="shared" si="405"/>
        <x:v>0</x:v>
      </x:c>
      <x:c r="J1338" s="12">
        <x:f>英雄升级调参!$E$91</x:f>
        <x:v>1365</x:v>
      </x:c>
      <x:c r="K1338" s="12">
        <x:f>英雄升级调参!$F$91</x:f>
        <x:v>13650</x:v>
      </x:c>
      <x:c r="L1338" s="6" t="n">
        <x:f>ROUNDUP(F1338/J1338,0)</x:f>
        <x:v>1</x:v>
      </x:c>
      <x:c r="M1338" s="6" t="str">
        <x:f>IF(G1338=0,"无伤害",ROUNDUP(K1338/G1338,0))</x:f>
        <x:v>无伤害</x:v>
      </x:c>
      <x:c r="N1338" s="6" t="n">
        <x:f>ROUNDUP(F1338/英雄升级调参!$H$91,0)</x:f>
        <x:v>1</x:v>
      </x:c>
      <x:c r="O1338" s="6" t="n">
        <x:f>ROUNDUP(F1338/英雄升级调参!$K$91,0)</x:f>
        <x:v>1</x:v>
      </x:c>
      <x:c r="P1338" s="6" t="str">
        <x:f t="shared" si="406"/>
        <x:v>蓝莓1下；攻击沿用现值</x:v>
      </x:c>
      <x:c r="Q1338" s="6"/>
      <x:c r="R1338" s="6"/>
      <x:c r="S1338" s="6"/>
      <x:c r="T1338" s="6"/>
    </x:row>
    <x:row r="1339" ht="21" customHeight="1">
      <x:c r="A1339" s="14">
        <x:f t="shared" si="401"/>
        <x:v>60023</x:v>
      </x:c>
      <x:c r="B1339" s="14" t="str">
        <x:f t="shared" si="402"/>
        <x:v>蓝莓</x:v>
      </x:c>
      <x:c r="C1339" s="6" t="str">
        <x:f t="shared" si="403"/>
        <x:v>蓝莓</x:v>
      </x:c>
      <x:c r="D1339" s="6">
        <x:v>27</x:v>
      </x:c>
      <x:c r="E1339" s="6">
        <x:v>36</x:v>
      </x:c>
      <x:c r="F1339" s="12">
        <x:f>ROUND(J1339*$W$4*H1339,0)</x:f>
        <x:v>1428</x:v>
      </x:c>
      <x:c r="G1339" s="12" t="n">
        <x:f>ROUND(J1339*$W$4*$W$5*I1339,0)</x:f>
        <x:v>0</x:v>
      </x:c>
      <x:c r="H1339" s="11">
        <x:f t="shared" si="404"/>
        <x:v>0.25</x:v>
      </x:c>
      <x:c r="I1339" s="11">
        <x:f t="shared" si="405"/>
        <x:v>0</x:v>
      </x:c>
      <x:c r="J1339" s="12">
        <x:f>英雄升级调参!$E$92</x:f>
        <x:v>1428</x:v>
      </x:c>
      <x:c r="K1339" s="12">
        <x:f>英雄升级调参!$F$92</x:f>
        <x:v>14280</x:v>
      </x:c>
      <x:c r="L1339" s="6" t="n">
        <x:f>ROUNDUP(F1339/J1339,0)</x:f>
        <x:v>1</x:v>
      </x:c>
      <x:c r="M1339" s="6" t="str">
        <x:f>IF(G1339=0,"无伤害",ROUNDUP(K1339/G1339,0))</x:f>
        <x:v>无伤害</x:v>
      </x:c>
      <x:c r="N1339" s="6" t="n">
        <x:f>ROUNDUP(F1339/英雄升级调参!$H$92,0)</x:f>
        <x:v>1</x:v>
      </x:c>
      <x:c r="O1339" s="6" t="n">
        <x:f>ROUNDUP(F1339/英雄升级调参!$K$92,0)</x:f>
        <x:v>1</x:v>
      </x:c>
      <x:c r="P1339" s="6" t="str">
        <x:f t="shared" si="406"/>
        <x:v>蓝莓1下；攻击沿用现值</x:v>
      </x:c>
      <x:c r="Q1339" s="6"/>
      <x:c r="R1339" s="6"/>
      <x:c r="S1339" s="6"/>
      <x:c r="T1339" s="6"/>
    </x:row>
    <x:row r="1340" ht="21" customHeight="1">
      <x:c r="A1340" s="14">
        <x:f t="shared" si="401"/>
        <x:v>60023</x:v>
      </x:c>
      <x:c r="B1340" s="14" t="str">
        <x:f t="shared" si="402"/>
        <x:v>蓝莓</x:v>
      </x:c>
      <x:c r="C1340" s="6" t="str">
        <x:f t="shared" si="403"/>
        <x:v>蓝莓</x:v>
      </x:c>
      <x:c r="D1340" s="6">
        <x:v>28</x:v>
      </x:c>
      <x:c r="E1340" s="6">
        <x:v>36</x:v>
      </x:c>
      <x:c r="F1340" s="12">
        <x:f>ROUND(J1340*$W$4*H1340,0)</x:f>
        <x:v>1491</x:v>
      </x:c>
      <x:c r="G1340" s="12" t="n">
        <x:f>ROUND(J1340*$W$4*$W$5*I1340,0)</x:f>
        <x:v>0</x:v>
      </x:c>
      <x:c r="H1340" s="11">
        <x:f t="shared" si="404"/>
        <x:v>0.25</x:v>
      </x:c>
      <x:c r="I1340" s="11">
        <x:f t="shared" si="405"/>
        <x:v>0</x:v>
      </x:c>
      <x:c r="J1340" s="12">
        <x:f>英雄升级调参!$E$93</x:f>
        <x:v>1491</x:v>
      </x:c>
      <x:c r="K1340" s="12">
        <x:f>英雄升级调参!$F$93</x:f>
        <x:v>14910</x:v>
      </x:c>
      <x:c r="L1340" s="6" t="n">
        <x:f>ROUNDUP(F1340/J1340,0)</x:f>
        <x:v>1</x:v>
      </x:c>
      <x:c r="M1340" s="6" t="str">
        <x:f>IF(G1340=0,"无伤害",ROUNDUP(K1340/G1340,0))</x:f>
        <x:v>无伤害</x:v>
      </x:c>
      <x:c r="N1340" s="6" t="n">
        <x:f>ROUNDUP(F1340/英雄升级调参!$H$93,0)</x:f>
        <x:v>1</x:v>
      </x:c>
      <x:c r="O1340" s="6" t="n">
        <x:f>ROUNDUP(F1340/英雄升级调参!$K$93,0)</x:f>
        <x:v>1</x:v>
      </x:c>
      <x:c r="P1340" s="6" t="str">
        <x:f t="shared" si="406"/>
        <x:v>蓝莓1下；攻击沿用现值</x:v>
      </x:c>
      <x:c r="Q1340" s="6"/>
      <x:c r="R1340" s="6"/>
      <x:c r="S1340" s="6"/>
      <x:c r="T1340" s="6"/>
    </x:row>
    <x:row r="1341" ht="21" customHeight="1">
      <x:c r="A1341" s="14">
        <x:f t="shared" si="401"/>
        <x:v>60023</x:v>
      </x:c>
      <x:c r="B1341" s="14" t="str">
        <x:f t="shared" si="402"/>
        <x:v>蓝莓</x:v>
      </x:c>
      <x:c r="C1341" s="6" t="str">
        <x:f t="shared" si="403"/>
        <x:v>蓝莓</x:v>
      </x:c>
      <x:c r="D1341" s="6">
        <x:v>29</x:v>
      </x:c>
      <x:c r="E1341" s="6">
        <x:v>36</x:v>
      </x:c>
      <x:c r="F1341" s="12">
        <x:f>ROUND(J1341*$W$4*H1341,0)</x:f>
        <x:v>1554</x:v>
      </x:c>
      <x:c r="G1341" s="12" t="n">
        <x:f>ROUND(J1341*$W$4*$W$5*I1341,0)</x:f>
        <x:v>0</x:v>
      </x:c>
      <x:c r="H1341" s="11">
        <x:f t="shared" si="404"/>
        <x:v>0.25</x:v>
      </x:c>
      <x:c r="I1341" s="11">
        <x:f t="shared" si="405"/>
        <x:v>0</x:v>
      </x:c>
      <x:c r="J1341" s="12">
        <x:f>英雄升级调参!$E$94</x:f>
        <x:v>1554</x:v>
      </x:c>
      <x:c r="K1341" s="12">
        <x:f>英雄升级调参!$F$94</x:f>
        <x:v>15540</x:v>
      </x:c>
      <x:c r="L1341" s="6" t="n">
        <x:f>ROUNDUP(F1341/J1341,0)</x:f>
        <x:v>1</x:v>
      </x:c>
      <x:c r="M1341" s="6" t="str">
        <x:f>IF(G1341=0,"无伤害",ROUNDUP(K1341/G1341,0))</x:f>
        <x:v>无伤害</x:v>
      </x:c>
      <x:c r="N1341" s="6" t="n">
        <x:f>ROUNDUP(F1341/英雄升级调参!$H$94,0)</x:f>
        <x:v>1</x:v>
      </x:c>
      <x:c r="O1341" s="6" t="n">
        <x:f>ROUNDUP(F1341/英雄升级调参!$K$94,0)</x:f>
        <x:v>1</x:v>
      </x:c>
      <x:c r="P1341" s="6" t="str">
        <x:f t="shared" si="406"/>
        <x:v>蓝莓1下；攻击沿用现值</x:v>
      </x:c>
      <x:c r="Q1341" s="6"/>
      <x:c r="R1341" s="6"/>
      <x:c r="S1341" s="6"/>
      <x:c r="T1341" s="6"/>
    </x:row>
    <x:row r="1342" ht="21" customHeight="1">
      <x:c r="A1342" s="14">
        <x:f t="shared" si="401"/>
        <x:v>60023</x:v>
      </x:c>
      <x:c r="B1342" s="14" t="str">
        <x:f t="shared" si="402"/>
        <x:v>蓝莓</x:v>
      </x:c>
      <x:c r="C1342" s="6" t="str">
        <x:f t="shared" si="403"/>
        <x:v>蓝莓</x:v>
      </x:c>
      <x:c r="D1342" s="6">
        <x:v>30</x:v>
      </x:c>
      <x:c r="E1342" s="6">
        <x:v>36</x:v>
      </x:c>
      <x:c r="F1342" s="12">
        <x:f>ROUND(J1342*$W$4*H1342,0)</x:f>
        <x:v>1743</x:v>
      </x:c>
      <x:c r="G1342" s="12" t="n">
        <x:f>ROUND(J1342*$W$4*$W$5*I1342,0)</x:f>
        <x:v>0</x:v>
      </x:c>
      <x:c r="H1342" s="11">
        <x:f t="shared" si="404"/>
        <x:v>0.25</x:v>
      </x:c>
      <x:c r="I1342" s="11">
        <x:f t="shared" si="405"/>
        <x:v>0</x:v>
      </x:c>
      <x:c r="J1342" s="12">
        <x:f>英雄升级调参!$E$95</x:f>
        <x:v>1743</x:v>
      </x:c>
      <x:c r="K1342" s="12">
        <x:f>英雄升级调参!$F$95</x:f>
        <x:v>17430</x:v>
      </x:c>
      <x:c r="L1342" s="6" t="n">
        <x:f>ROUNDUP(F1342/J1342,0)</x:f>
        <x:v>1</x:v>
      </x:c>
      <x:c r="M1342" s="6" t="str">
        <x:f>IF(G1342=0,"无伤害",ROUNDUP(K1342/G1342,0))</x:f>
        <x:v>无伤害</x:v>
      </x:c>
      <x:c r="N1342" s="6" t="n">
        <x:f>ROUNDUP(F1342/英雄升级调参!$H$95,0)</x:f>
        <x:v>1</x:v>
      </x:c>
      <x:c r="O1342" s="6" t="n">
        <x:f>ROUNDUP(F1342/英雄升级调参!$K$95,0)</x:f>
        <x:v>1</x:v>
      </x:c>
      <x:c r="P1342" s="6" t="str">
        <x:f t="shared" si="406"/>
        <x:v>蓝莓1下；攻击沿用现值</x:v>
      </x:c>
      <x:c r="Q1342" s="6"/>
      <x:c r="R1342" s="6"/>
      <x:c r="S1342" s="6"/>
      <x:c r="T1342" s="6"/>
    </x:row>
    <x:row r="1343" ht="21" customHeight="1">
      <x:c r="A1343" s="14">
        <x:f t="shared" si="401"/>
        <x:v>60023</x:v>
      </x:c>
      <x:c r="B1343" s="14" t="str">
        <x:f t="shared" si="402"/>
        <x:v>蓝莓</x:v>
      </x:c>
      <x:c r="C1343" s="6" t="str">
        <x:f t="shared" si="403"/>
        <x:v>蓝莓</x:v>
      </x:c>
      <x:c r="D1343" s="6">
        <x:v>31</x:v>
      </x:c>
      <x:c r="E1343" s="6">
        <x:v>36</x:v>
      </x:c>
      <x:c r="F1343" s="12">
        <x:f>ROUND(J1343*$W$4*H1343,0)</x:f>
        <x:v>1815</x:v>
      </x:c>
      <x:c r="G1343" s="12" t="n">
        <x:f>ROUND(J1343*$W$4*$W$5*I1343,0)</x:f>
        <x:v>0</x:v>
      </x:c>
      <x:c r="H1343" s="11">
        <x:f t="shared" si="404"/>
        <x:v>0.25</x:v>
      </x:c>
      <x:c r="I1343" s="11">
        <x:f t="shared" si="405"/>
        <x:v>0</x:v>
      </x:c>
      <x:c r="J1343" s="12">
        <x:f>英雄升级调参!$E$96</x:f>
        <x:v>1815</x:v>
      </x:c>
      <x:c r="K1343" s="12">
        <x:f>英雄升级调参!$F$96</x:f>
        <x:v>18150</x:v>
      </x:c>
      <x:c r="L1343" s="6" t="n">
        <x:f>ROUNDUP(F1343/J1343,0)</x:f>
        <x:v>1</x:v>
      </x:c>
      <x:c r="M1343" s="6" t="str">
        <x:f>IF(G1343=0,"无伤害",ROUNDUP(K1343/G1343,0))</x:f>
        <x:v>无伤害</x:v>
      </x:c>
      <x:c r="N1343" s="6" t="n">
        <x:f>ROUNDUP(F1343/英雄升级调参!$H$96,0)</x:f>
        <x:v>1</x:v>
      </x:c>
      <x:c r="O1343" s="6" t="n">
        <x:f>ROUNDUP(F1343/英雄升级调参!$K$96,0)</x:f>
        <x:v>1</x:v>
      </x:c>
      <x:c r="P1343" s="6" t="str">
        <x:f t="shared" si="406"/>
        <x:v>蓝莓1下；攻击沿用现值</x:v>
      </x:c>
      <x:c r="Q1343" s="6"/>
      <x:c r="R1343" s="6"/>
      <x:c r="S1343" s="6"/>
      <x:c r="T1343" s="6"/>
    </x:row>
    <x:row r="1344" ht="21" customHeight="1">
      <x:c r="A1344" s="14">
        <x:f t="shared" si="401"/>
        <x:v>60023</x:v>
      </x:c>
      <x:c r="B1344" s="14" t="str">
        <x:f t="shared" si="402"/>
        <x:v>蓝莓</x:v>
      </x:c>
      <x:c r="C1344" s="6" t="str">
        <x:f t="shared" si="403"/>
        <x:v>蓝莓</x:v>
      </x:c>
      <x:c r="D1344" s="6">
        <x:v>32</x:v>
      </x:c>
      <x:c r="E1344" s="6">
        <x:v>36</x:v>
      </x:c>
      <x:c r="F1344" s="12">
        <x:f>ROUND(J1344*$W$4*H1344,0)</x:f>
        <x:v>1887</x:v>
      </x:c>
      <x:c r="G1344" s="12" t="n">
        <x:f>ROUND(J1344*$W$4*$W$5*I1344,0)</x:f>
        <x:v>0</x:v>
      </x:c>
      <x:c r="H1344" s="11">
        <x:f t="shared" si="404"/>
        <x:v>0.25</x:v>
      </x:c>
      <x:c r="I1344" s="11">
        <x:f t="shared" si="405"/>
        <x:v>0</x:v>
      </x:c>
      <x:c r="J1344" s="12">
        <x:f>英雄升级调参!$E$97</x:f>
        <x:v>1887</x:v>
      </x:c>
      <x:c r="K1344" s="12">
        <x:f>英雄升级调参!$F$97</x:f>
        <x:v>18870</x:v>
      </x:c>
      <x:c r="L1344" s="6" t="n">
        <x:f>ROUNDUP(F1344/J1344,0)</x:f>
        <x:v>1</x:v>
      </x:c>
      <x:c r="M1344" s="6" t="str">
        <x:f>IF(G1344=0,"无伤害",ROUNDUP(K1344/G1344,0))</x:f>
        <x:v>无伤害</x:v>
      </x:c>
      <x:c r="N1344" s="6" t="n">
        <x:f>ROUNDUP(F1344/英雄升级调参!$H$97,0)</x:f>
        <x:v>1</x:v>
      </x:c>
      <x:c r="O1344" s="6" t="n">
        <x:f>ROUNDUP(F1344/英雄升级调参!$K$97,0)</x:f>
        <x:v>1</x:v>
      </x:c>
      <x:c r="P1344" s="6" t="str">
        <x:f t="shared" si="406"/>
        <x:v>蓝莓1下；攻击沿用现值</x:v>
      </x:c>
      <x:c r="Q1344" s="6"/>
      <x:c r="R1344" s="6"/>
      <x:c r="S1344" s="6"/>
      <x:c r="T1344" s="6"/>
    </x:row>
    <x:row r="1345" ht="21" customHeight="1">
      <x:c r="A1345" s="14" t="n">
        <x:f t="shared" ref="A1345:A1362" si="407">$V$36</x:f>
        <x:v>60023</x:v>
      </x:c>
      <x:c r="B1345" s="14" t="str">
        <x:f t="shared" ref="B1345:B1362" si="408">$W$36</x:f>
        <x:v>蓝莓</x:v>
      </x:c>
      <x:c r="C1345" s="6" t="str">
        <x:f t="shared" ref="C1345:C1362" si="409">$X$36</x:f>
        <x:v>蓝莓</x:v>
      </x:c>
      <x:c r="D1345" s="6">
        <x:v>33</x:v>
      </x:c>
      <x:c r="E1345" s="6">
        <x:v>36</x:v>
      </x:c>
      <x:c r="F1345" s="12">
        <x:f>ROUND(J1345*$W$4*H1345,0)</x:f>
        <x:v>1959</x:v>
      </x:c>
      <x:c r="G1345" s="12" t="n">
        <x:f>ROUND(J1345*$W$4*$W$5*I1345,0)</x:f>
        <x:v>0</x:v>
      </x:c>
      <x:c r="H1345" s="11" t="n">
        <x:f t="shared" ref="H1345:H1362" si="410">$Y$36</x:f>
        <x:v>0.25</x:v>
      </x:c>
      <x:c r="I1345" s="11" t="n">
        <x:f t="shared" ref="I1345:I1362" si="411">$Z$36</x:f>
        <x:v>0</x:v>
      </x:c>
      <x:c r="J1345" s="12">
        <x:f>英雄升级调参!$E$98</x:f>
        <x:v>1959</x:v>
      </x:c>
      <x:c r="K1345" s="12">
        <x:f>英雄升级调参!$F$98</x:f>
        <x:v>19590</x:v>
      </x:c>
      <x:c r="L1345" s="6" t="n">
        <x:f>ROUNDUP(F1345/J1345,0)</x:f>
        <x:v>1</x:v>
      </x:c>
      <x:c r="M1345" s="6" t="str">
        <x:f>IF(G1345=0,"无伤害",ROUNDUP(K1345/G1345,0))</x:f>
        <x:v>无伤害</x:v>
      </x:c>
      <x:c r="N1345" s="6" t="n">
        <x:f>ROUNDUP(F1345/英雄升级调参!$H$98,0)</x:f>
        <x:v>1</x:v>
      </x:c>
      <x:c r="O1345" s="6" t="n">
        <x:f>ROUNDUP(F1345/英雄升级调参!$K$98,0)</x:f>
        <x:v>1</x:v>
      </x:c>
      <x:c r="P1345" s="6" t="str">
        <x:f t="shared" ref="P1345:P1362" si="412">$AA$36</x:f>
        <x:v>蓝莓1下；攻击沿用现值</x:v>
      </x:c>
      <x:c r="Q1345" s="6"/>
      <x:c r="R1345" s="6"/>
      <x:c r="S1345" s="6"/>
      <x:c r="T1345" s="6"/>
    </x:row>
    <x:row r="1346" ht="21" customHeight="1">
      <x:c r="A1346" s="14">
        <x:f t="shared" si="407"/>
        <x:v>60023</x:v>
      </x:c>
      <x:c r="B1346" s="14" t="str">
        <x:f t="shared" si="408"/>
        <x:v>蓝莓</x:v>
      </x:c>
      <x:c r="C1346" s="6" t="str">
        <x:f t="shared" si="409"/>
        <x:v>蓝莓</x:v>
      </x:c>
      <x:c r="D1346" s="6">
        <x:v>34</x:v>
      </x:c>
      <x:c r="E1346" s="6">
        <x:v>36</x:v>
      </x:c>
      <x:c r="F1346" s="12">
        <x:f>ROUND(J1346*$W$4*H1346,0)</x:f>
        <x:v>2031</x:v>
      </x:c>
      <x:c r="G1346" s="12" t="n">
        <x:f>ROUND(J1346*$W$4*$W$5*I1346,0)</x:f>
        <x:v>0</x:v>
      </x:c>
      <x:c r="H1346" s="11">
        <x:f t="shared" si="410"/>
        <x:v>0.25</x:v>
      </x:c>
      <x:c r="I1346" s="11">
        <x:f t="shared" si="411"/>
        <x:v>0</x:v>
      </x:c>
      <x:c r="J1346" s="12">
        <x:f>英雄升级调参!$E$99</x:f>
        <x:v>2031</x:v>
      </x:c>
      <x:c r="K1346" s="12">
        <x:f>英雄升级调参!$F$99</x:f>
        <x:v>20310</x:v>
      </x:c>
      <x:c r="L1346" s="6" t="n">
        <x:f>ROUNDUP(F1346/J1346,0)</x:f>
        <x:v>1</x:v>
      </x:c>
      <x:c r="M1346" s="6" t="str">
        <x:f>IF(G1346=0,"无伤害",ROUNDUP(K1346/G1346,0))</x:f>
        <x:v>无伤害</x:v>
      </x:c>
      <x:c r="N1346" s="6" t="n">
        <x:f>ROUNDUP(F1346/英雄升级调参!$H$99,0)</x:f>
        <x:v>1</x:v>
      </x:c>
      <x:c r="O1346" s="6" t="n">
        <x:f>ROUNDUP(F1346/英雄升级调参!$K$99,0)</x:f>
        <x:v>1</x:v>
      </x:c>
      <x:c r="P1346" s="6" t="str">
        <x:f t="shared" si="412"/>
        <x:v>蓝莓1下；攻击沿用现值</x:v>
      </x:c>
      <x:c r="Q1346" s="6"/>
      <x:c r="R1346" s="6"/>
      <x:c r="S1346" s="6"/>
      <x:c r="T1346" s="6"/>
    </x:row>
    <x:row r="1347" ht="21" customHeight="1">
      <x:c r="A1347" s="14">
        <x:f t="shared" si="407"/>
        <x:v>60023</x:v>
      </x:c>
      <x:c r="B1347" s="14" t="str">
        <x:f t="shared" si="408"/>
        <x:v>蓝莓</x:v>
      </x:c>
      <x:c r="C1347" s="6" t="str">
        <x:f t="shared" si="409"/>
        <x:v>蓝莓</x:v>
      </x:c>
      <x:c r="D1347" s="6">
        <x:v>35</x:v>
      </x:c>
      <x:c r="E1347" s="6">
        <x:v>36</x:v>
      </x:c>
      <x:c r="F1347" s="12">
        <x:f>ROUND(J1347*$W$4*H1347,0)</x:f>
        <x:v>2247</x:v>
      </x:c>
      <x:c r="G1347" s="12" t="n">
        <x:f>ROUND(J1347*$W$4*$W$5*I1347,0)</x:f>
        <x:v>0</x:v>
      </x:c>
      <x:c r="H1347" s="11">
        <x:f t="shared" si="410"/>
        <x:v>0.25</x:v>
      </x:c>
      <x:c r="I1347" s="11">
        <x:f t="shared" si="411"/>
        <x:v>0</x:v>
      </x:c>
      <x:c r="J1347" s="12">
        <x:f>英雄升级调参!$E$100</x:f>
        <x:v>2247</x:v>
      </x:c>
      <x:c r="K1347" s="12">
        <x:f>英雄升级调参!$F$100</x:f>
        <x:v>22470</x:v>
      </x:c>
      <x:c r="L1347" s="6" t="n">
        <x:f>ROUNDUP(F1347/J1347,0)</x:f>
        <x:v>1</x:v>
      </x:c>
      <x:c r="M1347" s="6" t="str">
        <x:f>IF(G1347=0,"无伤害",ROUNDUP(K1347/G1347,0))</x:f>
        <x:v>无伤害</x:v>
      </x:c>
      <x:c r="N1347" s="6" t="n">
        <x:f>ROUNDUP(F1347/英雄升级调参!$H$100,0)</x:f>
        <x:v>1</x:v>
      </x:c>
      <x:c r="O1347" s="6" t="n">
        <x:f>ROUNDUP(F1347/英雄升级调参!$K$100,0)</x:f>
        <x:v>1</x:v>
      </x:c>
      <x:c r="P1347" s="6" t="str">
        <x:f t="shared" si="412"/>
        <x:v>蓝莓1下；攻击沿用现值</x:v>
      </x:c>
      <x:c r="Q1347" s="6"/>
      <x:c r="R1347" s="6"/>
      <x:c r="S1347" s="6"/>
      <x:c r="T1347" s="6"/>
    </x:row>
    <x:row r="1348" ht="21" customHeight="1">
      <x:c r="A1348" s="14">
        <x:f t="shared" si="407"/>
        <x:v>60023</x:v>
      </x:c>
      <x:c r="B1348" s="14" t="str">
        <x:f t="shared" si="408"/>
        <x:v>蓝莓</x:v>
      </x:c>
      <x:c r="C1348" s="6" t="str">
        <x:f t="shared" si="409"/>
        <x:v>蓝莓</x:v>
      </x:c>
      <x:c r="D1348" s="6">
        <x:v>36</x:v>
      </x:c>
      <x:c r="E1348" s="6">
        <x:v>36</x:v>
      </x:c>
      <x:c r="F1348" s="12">
        <x:f>ROUND(J1348*$W$4*H1348,0)</x:f>
        <x:v>2328</x:v>
      </x:c>
      <x:c r="G1348" s="12" t="n">
        <x:f>ROUND(J1348*$W$4*$W$5*I1348,0)</x:f>
        <x:v>0</x:v>
      </x:c>
      <x:c r="H1348" s="11">
        <x:f t="shared" si="410"/>
        <x:v>0.25</x:v>
      </x:c>
      <x:c r="I1348" s="11">
        <x:f t="shared" si="411"/>
        <x:v>0</x:v>
      </x:c>
      <x:c r="J1348" s="12">
        <x:f>英雄升级调参!$E$101</x:f>
        <x:v>2328</x:v>
      </x:c>
      <x:c r="K1348" s="12">
        <x:f>英雄升级调参!$F$101</x:f>
        <x:v>23280</x:v>
      </x:c>
      <x:c r="L1348" s="6" t="n">
        <x:f>ROUNDUP(F1348/J1348,0)</x:f>
        <x:v>1</x:v>
      </x:c>
      <x:c r="M1348" s="6" t="str">
        <x:f>IF(G1348=0,"无伤害",ROUNDUP(K1348/G1348,0))</x:f>
        <x:v>无伤害</x:v>
      </x:c>
      <x:c r="N1348" s="6" t="n">
        <x:f>ROUNDUP(F1348/英雄升级调参!$H$101,0)</x:f>
        <x:v>1</x:v>
      </x:c>
      <x:c r="O1348" s="6" t="n">
        <x:f>ROUNDUP(F1348/英雄升级调参!$K$101,0)</x:f>
        <x:v>1</x:v>
      </x:c>
      <x:c r="P1348" s="6" t="str">
        <x:f t="shared" si="412"/>
        <x:v>蓝莓1下；攻击沿用现值</x:v>
      </x:c>
      <x:c r="Q1348" s="6"/>
      <x:c r="R1348" s="6"/>
      <x:c r="S1348" s="6"/>
      <x:c r="T1348" s="6"/>
    </x:row>
    <x:row r="1349" ht="21" customHeight="1">
      <x:c r="A1349" s="14">
        <x:f t="shared" si="407"/>
        <x:v>60023</x:v>
      </x:c>
      <x:c r="B1349" s="14" t="str">
        <x:f t="shared" si="408"/>
        <x:v>蓝莓</x:v>
      </x:c>
      <x:c r="C1349" s="6" t="str">
        <x:f t="shared" si="409"/>
        <x:v>蓝莓</x:v>
      </x:c>
      <x:c r="D1349" s="6">
        <x:v>37</x:v>
      </x:c>
      <x:c r="E1349" s="6">
        <x:v>36</x:v>
      </x:c>
      <x:c r="F1349" s="12">
        <x:f>ROUND(J1349*$W$4*H1349,0)</x:f>
        <x:v>2409</x:v>
      </x:c>
      <x:c r="G1349" s="12" t="n">
        <x:f>ROUND(J1349*$W$4*$W$5*I1349,0)</x:f>
        <x:v>0</x:v>
      </x:c>
      <x:c r="H1349" s="11">
        <x:f t="shared" si="410"/>
        <x:v>0.25</x:v>
      </x:c>
      <x:c r="I1349" s="11">
        <x:f t="shared" si="411"/>
        <x:v>0</x:v>
      </x:c>
      <x:c r="J1349" s="12">
        <x:f>英雄升级调参!$E$102</x:f>
        <x:v>2409</x:v>
      </x:c>
      <x:c r="K1349" s="12">
        <x:f>英雄升级调参!$F$102</x:f>
        <x:v>24090</x:v>
      </x:c>
      <x:c r="L1349" s="6" t="n">
        <x:f>ROUNDUP(F1349/J1349,0)</x:f>
        <x:v>1</x:v>
      </x:c>
      <x:c r="M1349" s="6" t="str">
        <x:f>IF(G1349=0,"无伤害",ROUNDUP(K1349/G1349,0))</x:f>
        <x:v>无伤害</x:v>
      </x:c>
      <x:c r="N1349" s="6" t="n">
        <x:f>ROUNDUP(F1349/英雄升级调参!$H$102,0)</x:f>
        <x:v>1</x:v>
      </x:c>
      <x:c r="O1349" s="6" t="n">
        <x:f>ROUNDUP(F1349/英雄升级调参!$K$102,0)</x:f>
        <x:v>1</x:v>
      </x:c>
      <x:c r="P1349" s="6" t="str">
        <x:f t="shared" si="412"/>
        <x:v>蓝莓1下；攻击沿用现值</x:v>
      </x:c>
      <x:c r="Q1349" s="6"/>
      <x:c r="R1349" s="6"/>
      <x:c r="S1349" s="6"/>
      <x:c r="T1349" s="6"/>
    </x:row>
    <x:row r="1350" ht="21" customHeight="1">
      <x:c r="A1350" s="14">
        <x:f t="shared" si="407"/>
        <x:v>60023</x:v>
      </x:c>
      <x:c r="B1350" s="14" t="str">
        <x:f t="shared" si="408"/>
        <x:v>蓝莓</x:v>
      </x:c>
      <x:c r="C1350" s="6" t="str">
        <x:f t="shared" si="409"/>
        <x:v>蓝莓</x:v>
      </x:c>
      <x:c r="D1350" s="6">
        <x:v>38</x:v>
      </x:c>
      <x:c r="E1350" s="6">
        <x:v>36</x:v>
      </x:c>
      <x:c r="F1350" s="12">
        <x:f>ROUND(J1350*$W$4*H1350,0)</x:f>
        <x:v>2490</x:v>
      </x:c>
      <x:c r="G1350" s="12" t="n">
        <x:f>ROUND(J1350*$W$4*$W$5*I1350,0)</x:f>
        <x:v>0</x:v>
      </x:c>
      <x:c r="H1350" s="11">
        <x:f t="shared" si="410"/>
        <x:v>0.25</x:v>
      </x:c>
      <x:c r="I1350" s="11">
        <x:f t="shared" si="411"/>
        <x:v>0</x:v>
      </x:c>
      <x:c r="J1350" s="12">
        <x:f>英雄升级调参!$E$103</x:f>
        <x:v>2490</x:v>
      </x:c>
      <x:c r="K1350" s="12">
        <x:f>英雄升级调参!$F$103</x:f>
        <x:v>24900</x:v>
      </x:c>
      <x:c r="L1350" s="6" t="n">
        <x:f>ROUNDUP(F1350/J1350,0)</x:f>
        <x:v>1</x:v>
      </x:c>
      <x:c r="M1350" s="6" t="str">
        <x:f>IF(G1350=0,"无伤害",ROUNDUP(K1350/G1350,0))</x:f>
        <x:v>无伤害</x:v>
      </x:c>
      <x:c r="N1350" s="6" t="n">
        <x:f>ROUNDUP(F1350/英雄升级调参!$H$103,0)</x:f>
        <x:v>1</x:v>
      </x:c>
      <x:c r="O1350" s="6" t="n">
        <x:f>ROUNDUP(F1350/英雄升级调参!$K$103,0)</x:f>
        <x:v>1</x:v>
      </x:c>
      <x:c r="P1350" s="6" t="str">
        <x:f t="shared" si="412"/>
        <x:v>蓝莓1下；攻击沿用现值</x:v>
      </x:c>
      <x:c r="Q1350" s="6"/>
      <x:c r="R1350" s="6"/>
      <x:c r="S1350" s="6"/>
      <x:c r="T1350" s="6"/>
    </x:row>
    <x:row r="1351" ht="21" customHeight="1">
      <x:c r="A1351" s="14">
        <x:f t="shared" si="407"/>
        <x:v>60023</x:v>
      </x:c>
      <x:c r="B1351" s="14" t="str">
        <x:f t="shared" si="408"/>
        <x:v>蓝莓</x:v>
      </x:c>
      <x:c r="C1351" s="6" t="str">
        <x:f t="shared" si="409"/>
        <x:v>蓝莓</x:v>
      </x:c>
      <x:c r="D1351" s="6">
        <x:v>39</x:v>
      </x:c>
      <x:c r="E1351" s="6">
        <x:v>36</x:v>
      </x:c>
      <x:c r="F1351" s="12">
        <x:f>ROUND(J1351*$W$4*H1351,0)</x:f>
        <x:v>2571</x:v>
      </x:c>
      <x:c r="G1351" s="12" t="n">
        <x:f>ROUND(J1351*$W$4*$W$5*I1351,0)</x:f>
        <x:v>0</x:v>
      </x:c>
      <x:c r="H1351" s="11">
        <x:f t="shared" si="410"/>
        <x:v>0.25</x:v>
      </x:c>
      <x:c r="I1351" s="11">
        <x:f t="shared" si="411"/>
        <x:v>0</x:v>
      </x:c>
      <x:c r="J1351" s="12">
        <x:f>英雄升级调参!$E$104</x:f>
        <x:v>2571</x:v>
      </x:c>
      <x:c r="K1351" s="12">
        <x:f>英雄升级调参!$F$104</x:f>
        <x:v>25710</x:v>
      </x:c>
      <x:c r="L1351" s="6" t="n">
        <x:f>ROUNDUP(F1351/J1351,0)</x:f>
        <x:v>1</x:v>
      </x:c>
      <x:c r="M1351" s="6" t="str">
        <x:f>IF(G1351=0,"无伤害",ROUNDUP(K1351/G1351,0))</x:f>
        <x:v>无伤害</x:v>
      </x:c>
      <x:c r="N1351" s="6" t="n">
        <x:f>ROUNDUP(F1351/英雄升级调参!$H$104,0)</x:f>
        <x:v>1</x:v>
      </x:c>
      <x:c r="O1351" s="6" t="n">
        <x:f>ROUNDUP(F1351/英雄升级调参!$K$104,0)</x:f>
        <x:v>1</x:v>
      </x:c>
      <x:c r="P1351" s="6" t="str">
        <x:f t="shared" si="412"/>
        <x:v>蓝莓1下；攻击沿用现值</x:v>
      </x:c>
      <x:c r="Q1351" s="6"/>
      <x:c r="R1351" s="6"/>
      <x:c r="S1351" s="6"/>
      <x:c r="T1351" s="6"/>
    </x:row>
    <x:row r="1352" ht="21" customHeight="1">
      <x:c r="A1352" s="14">
        <x:f t="shared" si="407"/>
        <x:v>60023</x:v>
      </x:c>
      <x:c r="B1352" s="14" t="str">
        <x:f t="shared" si="408"/>
        <x:v>蓝莓</x:v>
      </x:c>
      <x:c r="C1352" s="6" t="str">
        <x:f t="shared" si="409"/>
        <x:v>蓝莓</x:v>
      </x:c>
      <x:c r="D1352" s="6">
        <x:v>40</x:v>
      </x:c>
      <x:c r="E1352" s="6">
        <x:v>36</x:v>
      </x:c>
      <x:c r="F1352" s="12">
        <x:f>ROUND(J1352*$W$4*H1352,0)</x:f>
        <x:v>2814</x:v>
      </x:c>
      <x:c r="G1352" s="12" t="n">
        <x:f>ROUND(J1352*$W$4*$W$5*I1352,0)</x:f>
        <x:v>0</x:v>
      </x:c>
      <x:c r="H1352" s="11">
        <x:f t="shared" si="410"/>
        <x:v>0.25</x:v>
      </x:c>
      <x:c r="I1352" s="11">
        <x:f t="shared" si="411"/>
        <x:v>0</x:v>
      </x:c>
      <x:c r="J1352" s="12">
        <x:f>英雄升级调参!$E$105</x:f>
        <x:v>2814</x:v>
      </x:c>
      <x:c r="K1352" s="12">
        <x:f>英雄升级调参!$F$105</x:f>
        <x:v>28140</x:v>
      </x:c>
      <x:c r="L1352" s="6" t="n">
        <x:f>ROUNDUP(F1352/J1352,0)</x:f>
        <x:v>1</x:v>
      </x:c>
      <x:c r="M1352" s="6" t="str">
        <x:f>IF(G1352=0,"无伤害",ROUNDUP(K1352/G1352,0))</x:f>
        <x:v>无伤害</x:v>
      </x:c>
      <x:c r="N1352" s="6" t="n">
        <x:f>ROUNDUP(F1352/英雄升级调参!$H$105,0)</x:f>
        <x:v>1</x:v>
      </x:c>
      <x:c r="O1352" s="6" t="n">
        <x:f>ROUNDUP(F1352/英雄升级调参!$K$105,0)</x:f>
        <x:v>1</x:v>
      </x:c>
      <x:c r="P1352" s="6" t="str">
        <x:f t="shared" si="412"/>
        <x:v>蓝莓1下；攻击沿用现值</x:v>
      </x:c>
      <x:c r="Q1352" s="6"/>
      <x:c r="R1352" s="6"/>
      <x:c r="S1352" s="6"/>
      <x:c r="T1352" s="6"/>
    </x:row>
    <x:row r="1353" ht="21" customHeight="1">
      <x:c r="A1353" s="14">
        <x:f t="shared" si="407"/>
        <x:v>60023</x:v>
      </x:c>
      <x:c r="B1353" s="14" t="str">
        <x:f t="shared" si="408"/>
        <x:v>蓝莓</x:v>
      </x:c>
      <x:c r="C1353" s="6" t="str">
        <x:f t="shared" si="409"/>
        <x:v>蓝莓</x:v>
      </x:c>
      <x:c r="D1353" s="6">
        <x:v>41</x:v>
      </x:c>
      <x:c r="E1353" s="6">
        <x:v>36</x:v>
      </x:c>
      <x:c r="F1353" s="12">
        <x:f>ROUND(J1353*$W$4*H1353,0)</x:f>
        <x:v>2904</x:v>
      </x:c>
      <x:c r="G1353" s="12" t="n">
        <x:f>ROUND(J1353*$W$4*$W$5*I1353,0)</x:f>
        <x:v>0</x:v>
      </x:c>
      <x:c r="H1353" s="11">
        <x:f t="shared" si="410"/>
        <x:v>0.25</x:v>
      </x:c>
      <x:c r="I1353" s="11">
        <x:f t="shared" si="411"/>
        <x:v>0</x:v>
      </x:c>
      <x:c r="J1353" s="12">
        <x:f>英雄升级调参!$E$106</x:f>
        <x:v>2904</x:v>
      </x:c>
      <x:c r="K1353" s="12">
        <x:f>英雄升级调参!$F$106</x:f>
        <x:v>29040</x:v>
      </x:c>
      <x:c r="L1353" s="6" t="n">
        <x:f>ROUNDUP(F1353/J1353,0)</x:f>
        <x:v>1</x:v>
      </x:c>
      <x:c r="M1353" s="6" t="str">
        <x:f>IF(G1353=0,"无伤害",ROUNDUP(K1353/G1353,0))</x:f>
        <x:v>无伤害</x:v>
      </x:c>
      <x:c r="N1353" s="6" t="n">
        <x:f>ROUNDUP(F1353/英雄升级调参!$H$106,0)</x:f>
        <x:v>1</x:v>
      </x:c>
      <x:c r="O1353" s="6" t="n">
        <x:f>ROUNDUP(F1353/英雄升级调参!$K$106,0)</x:f>
        <x:v>1</x:v>
      </x:c>
      <x:c r="P1353" s="6" t="str">
        <x:f t="shared" si="412"/>
        <x:v>蓝莓1下；攻击沿用现值</x:v>
      </x:c>
      <x:c r="Q1353" s="6"/>
      <x:c r="R1353" s="6"/>
      <x:c r="S1353" s="6"/>
      <x:c r="T1353" s="6"/>
    </x:row>
    <x:row r="1354" ht="21" customHeight="1">
      <x:c r="A1354" s="14">
        <x:f t="shared" si="407"/>
        <x:v>60023</x:v>
      </x:c>
      <x:c r="B1354" s="14" t="str">
        <x:f t="shared" si="408"/>
        <x:v>蓝莓</x:v>
      </x:c>
      <x:c r="C1354" s="6" t="str">
        <x:f t="shared" si="409"/>
        <x:v>蓝莓</x:v>
      </x:c>
      <x:c r="D1354" s="6">
        <x:v>42</x:v>
      </x:c>
      <x:c r="E1354" s="6">
        <x:v>36</x:v>
      </x:c>
      <x:c r="F1354" s="12">
        <x:f>ROUND(J1354*$W$4*H1354,0)</x:f>
        <x:v>2994</x:v>
      </x:c>
      <x:c r="G1354" s="12" t="n">
        <x:f>ROUND(J1354*$W$4*$W$5*I1354,0)</x:f>
        <x:v>0</x:v>
      </x:c>
      <x:c r="H1354" s="11">
        <x:f t="shared" si="410"/>
        <x:v>0.25</x:v>
      </x:c>
      <x:c r="I1354" s="11">
        <x:f t="shared" si="411"/>
        <x:v>0</x:v>
      </x:c>
      <x:c r="J1354" s="12">
        <x:f>英雄升级调参!$E$107</x:f>
        <x:v>2994</x:v>
      </x:c>
      <x:c r="K1354" s="12">
        <x:f>英雄升级调参!$F$107</x:f>
        <x:v>29940</x:v>
      </x:c>
      <x:c r="L1354" s="6" t="n">
        <x:f>ROUNDUP(F1354/J1354,0)</x:f>
        <x:v>1</x:v>
      </x:c>
      <x:c r="M1354" s="6" t="str">
        <x:f>IF(G1354=0,"无伤害",ROUNDUP(K1354/G1354,0))</x:f>
        <x:v>无伤害</x:v>
      </x:c>
      <x:c r="N1354" s="6" t="n">
        <x:f>ROUNDUP(F1354/英雄升级调参!$H$107,0)</x:f>
        <x:v>1</x:v>
      </x:c>
      <x:c r="O1354" s="6" t="n">
        <x:f>ROUNDUP(F1354/英雄升级调参!$K$107,0)</x:f>
        <x:v>1</x:v>
      </x:c>
      <x:c r="P1354" s="6" t="str">
        <x:f t="shared" si="412"/>
        <x:v>蓝莓1下；攻击沿用现值</x:v>
      </x:c>
      <x:c r="Q1354" s="6"/>
      <x:c r="R1354" s="6"/>
      <x:c r="S1354" s="6"/>
      <x:c r="T1354" s="6"/>
    </x:row>
    <x:row r="1355" ht="21" customHeight="1">
      <x:c r="A1355" s="14">
        <x:f t="shared" si="407"/>
        <x:v>60023</x:v>
      </x:c>
      <x:c r="B1355" s="14" t="str">
        <x:f t="shared" si="408"/>
        <x:v>蓝莓</x:v>
      </x:c>
      <x:c r="C1355" s="6" t="str">
        <x:f t="shared" si="409"/>
        <x:v>蓝莓</x:v>
      </x:c>
      <x:c r="D1355" s="6">
        <x:v>43</x:v>
      </x:c>
      <x:c r="E1355" s="6">
        <x:v>36</x:v>
      </x:c>
      <x:c r="F1355" s="12">
        <x:f>ROUND(J1355*$W$4*H1355,0)</x:f>
        <x:v>3084</x:v>
      </x:c>
      <x:c r="G1355" s="12" t="n">
        <x:f>ROUND(J1355*$W$4*$W$5*I1355,0)</x:f>
        <x:v>0</x:v>
      </x:c>
      <x:c r="H1355" s="11">
        <x:f t="shared" si="410"/>
        <x:v>0.25</x:v>
      </x:c>
      <x:c r="I1355" s="11">
        <x:f t="shared" si="411"/>
        <x:v>0</x:v>
      </x:c>
      <x:c r="J1355" s="12">
        <x:f>英雄升级调参!$E$108</x:f>
        <x:v>3084</x:v>
      </x:c>
      <x:c r="K1355" s="12">
        <x:f>英雄升级调参!$F$108</x:f>
        <x:v>30840</x:v>
      </x:c>
      <x:c r="L1355" s="6" t="n">
        <x:f>ROUNDUP(F1355/J1355,0)</x:f>
        <x:v>1</x:v>
      </x:c>
      <x:c r="M1355" s="6" t="str">
        <x:f>IF(G1355=0,"无伤害",ROUNDUP(K1355/G1355,0))</x:f>
        <x:v>无伤害</x:v>
      </x:c>
      <x:c r="N1355" s="6" t="n">
        <x:f>ROUNDUP(F1355/英雄升级调参!$H$108,0)</x:f>
        <x:v>1</x:v>
      </x:c>
      <x:c r="O1355" s="6" t="n">
        <x:f>ROUNDUP(F1355/英雄升级调参!$K$108,0)</x:f>
        <x:v>1</x:v>
      </x:c>
      <x:c r="P1355" s="6" t="str">
        <x:f t="shared" si="412"/>
        <x:v>蓝莓1下；攻击沿用现值</x:v>
      </x:c>
      <x:c r="Q1355" s="6"/>
      <x:c r="R1355" s="6"/>
      <x:c r="S1355" s="6"/>
      <x:c r="T1355" s="6"/>
    </x:row>
    <x:row r="1356" ht="21" customHeight="1">
      <x:c r="A1356" s="14">
        <x:f t="shared" si="407"/>
        <x:v>60023</x:v>
      </x:c>
      <x:c r="B1356" s="14" t="str">
        <x:f t="shared" si="408"/>
        <x:v>蓝莓</x:v>
      </x:c>
      <x:c r="C1356" s="6" t="str">
        <x:f t="shared" si="409"/>
        <x:v>蓝莓</x:v>
      </x:c>
      <x:c r="D1356" s="6">
        <x:v>44</x:v>
      </x:c>
      <x:c r="E1356" s="6">
        <x:v>36</x:v>
      </x:c>
      <x:c r="F1356" s="12">
        <x:f>ROUND(J1356*$W$4*H1356,0)</x:f>
        <x:v>3174</x:v>
      </x:c>
      <x:c r="G1356" s="12" t="n">
        <x:f>ROUND(J1356*$W$4*$W$5*I1356,0)</x:f>
        <x:v>0</x:v>
      </x:c>
      <x:c r="H1356" s="11">
        <x:f t="shared" si="410"/>
        <x:v>0.25</x:v>
      </x:c>
      <x:c r="I1356" s="11">
        <x:f t="shared" si="411"/>
        <x:v>0</x:v>
      </x:c>
      <x:c r="J1356" s="12">
        <x:f>英雄升级调参!$E$109</x:f>
        <x:v>3174</x:v>
      </x:c>
      <x:c r="K1356" s="12">
        <x:f>英雄升级调参!$F$109</x:f>
        <x:v>31740</x:v>
      </x:c>
      <x:c r="L1356" s="6" t="n">
        <x:f>ROUNDUP(F1356/J1356,0)</x:f>
        <x:v>1</x:v>
      </x:c>
      <x:c r="M1356" s="6" t="str">
        <x:f>IF(G1356=0,"无伤害",ROUNDUP(K1356/G1356,0))</x:f>
        <x:v>无伤害</x:v>
      </x:c>
      <x:c r="N1356" s="6" t="n">
        <x:f>ROUNDUP(F1356/英雄升级调参!$H$109,0)</x:f>
        <x:v>1</x:v>
      </x:c>
      <x:c r="O1356" s="6" t="n">
        <x:f>ROUNDUP(F1356/英雄升级调参!$K$109,0)</x:f>
        <x:v>1</x:v>
      </x:c>
      <x:c r="P1356" s="6" t="str">
        <x:f t="shared" si="412"/>
        <x:v>蓝莓1下；攻击沿用现值</x:v>
      </x:c>
      <x:c r="Q1356" s="6"/>
      <x:c r="R1356" s="6"/>
      <x:c r="S1356" s="6"/>
      <x:c r="T1356" s="6"/>
    </x:row>
    <x:row r="1357" ht="21" customHeight="1">
      <x:c r="A1357" s="14">
        <x:f t="shared" si="407"/>
        <x:v>60023</x:v>
      </x:c>
      <x:c r="B1357" s="14" t="str">
        <x:f t="shared" si="408"/>
        <x:v>蓝莓</x:v>
      </x:c>
      <x:c r="C1357" s="6" t="str">
        <x:f t="shared" si="409"/>
        <x:v>蓝莓</x:v>
      </x:c>
      <x:c r="D1357" s="6">
        <x:v>45</x:v>
      </x:c>
      <x:c r="E1357" s="6">
        <x:v>36</x:v>
      </x:c>
      <x:c r="F1357" s="12">
        <x:f>ROUND(J1357*$W$4*H1357,0)</x:f>
        <x:v>3444</x:v>
      </x:c>
      <x:c r="G1357" s="12" t="n">
        <x:f>ROUND(J1357*$W$4*$W$5*I1357,0)</x:f>
        <x:v>0</x:v>
      </x:c>
      <x:c r="H1357" s="11">
        <x:f t="shared" si="410"/>
        <x:v>0.25</x:v>
      </x:c>
      <x:c r="I1357" s="11">
        <x:f t="shared" si="411"/>
        <x:v>0</x:v>
      </x:c>
      <x:c r="J1357" s="12">
        <x:f>英雄升级调参!$E$110</x:f>
        <x:v>3444</x:v>
      </x:c>
      <x:c r="K1357" s="12">
        <x:f>英雄升级调参!$F$110</x:f>
        <x:v>34440</x:v>
      </x:c>
      <x:c r="L1357" s="6" t="n">
        <x:f>ROUNDUP(F1357/J1357,0)</x:f>
        <x:v>1</x:v>
      </x:c>
      <x:c r="M1357" s="6" t="str">
        <x:f>IF(G1357=0,"无伤害",ROUNDUP(K1357/G1357,0))</x:f>
        <x:v>无伤害</x:v>
      </x:c>
      <x:c r="N1357" s="6" t="n">
        <x:f>ROUNDUP(F1357/英雄升级调参!$H$110,0)</x:f>
        <x:v>1</x:v>
      </x:c>
      <x:c r="O1357" s="6" t="n">
        <x:f>ROUNDUP(F1357/英雄升级调参!$K$110,0)</x:f>
        <x:v>1</x:v>
      </x:c>
      <x:c r="P1357" s="6" t="str">
        <x:f t="shared" si="412"/>
        <x:v>蓝莓1下；攻击沿用现值</x:v>
      </x:c>
      <x:c r="Q1357" s="6"/>
      <x:c r="R1357" s="6"/>
      <x:c r="S1357" s="6"/>
      <x:c r="T1357" s="6"/>
    </x:row>
    <x:row r="1358" ht="21" customHeight="1">
      <x:c r="A1358" s="14">
        <x:f t="shared" si="407"/>
        <x:v>60023</x:v>
      </x:c>
      <x:c r="B1358" s="14" t="str">
        <x:f t="shared" si="408"/>
        <x:v>蓝莓</x:v>
      </x:c>
      <x:c r="C1358" s="6" t="str">
        <x:f t="shared" si="409"/>
        <x:v>蓝莓</x:v>
      </x:c>
      <x:c r="D1358" s="6">
        <x:v>46</x:v>
      </x:c>
      <x:c r="E1358" s="6">
        <x:v>36</x:v>
      </x:c>
      <x:c r="F1358" s="12">
        <x:f>ROUND(J1358*$W$4*H1358,0)</x:f>
        <x:v>3543</x:v>
      </x:c>
      <x:c r="G1358" s="12" t="n">
        <x:f>ROUND(J1358*$W$4*$W$5*I1358,0)</x:f>
        <x:v>0</x:v>
      </x:c>
      <x:c r="H1358" s="11">
        <x:f t="shared" si="410"/>
        <x:v>0.25</x:v>
      </x:c>
      <x:c r="I1358" s="11">
        <x:f t="shared" si="411"/>
        <x:v>0</x:v>
      </x:c>
      <x:c r="J1358" s="12">
        <x:f>英雄升级调参!$E$111</x:f>
        <x:v>3543</x:v>
      </x:c>
      <x:c r="K1358" s="12">
        <x:f>英雄升级调参!$F$111</x:f>
        <x:v>35430</x:v>
      </x:c>
      <x:c r="L1358" s="6" t="n">
        <x:f>ROUNDUP(F1358/J1358,0)</x:f>
        <x:v>1</x:v>
      </x:c>
      <x:c r="M1358" s="6" t="str">
        <x:f>IF(G1358=0,"无伤害",ROUNDUP(K1358/G1358,0))</x:f>
        <x:v>无伤害</x:v>
      </x:c>
      <x:c r="N1358" s="6" t="n">
        <x:f>ROUNDUP(F1358/英雄升级调参!$H$111,0)</x:f>
        <x:v>1</x:v>
      </x:c>
      <x:c r="O1358" s="6" t="n">
        <x:f>ROUNDUP(F1358/英雄升级调参!$K$111,0)</x:f>
        <x:v>1</x:v>
      </x:c>
      <x:c r="P1358" s="6" t="str">
        <x:f t="shared" si="412"/>
        <x:v>蓝莓1下；攻击沿用现值</x:v>
      </x:c>
      <x:c r="Q1358" s="6"/>
      <x:c r="R1358" s="6"/>
      <x:c r="S1358" s="6"/>
      <x:c r="T1358" s="6"/>
    </x:row>
    <x:row r="1359" ht="21" customHeight="1">
      <x:c r="A1359" s="14">
        <x:f t="shared" si="407"/>
        <x:v>60023</x:v>
      </x:c>
      <x:c r="B1359" s="14" t="str">
        <x:f t="shared" si="408"/>
        <x:v>蓝莓</x:v>
      </x:c>
      <x:c r="C1359" s="6" t="str">
        <x:f t="shared" si="409"/>
        <x:v>蓝莓</x:v>
      </x:c>
      <x:c r="D1359" s="6">
        <x:v>47</x:v>
      </x:c>
      <x:c r="E1359" s="6">
        <x:v>36</x:v>
      </x:c>
      <x:c r="F1359" s="12">
        <x:f>ROUND(J1359*$W$4*H1359,0)</x:f>
        <x:v>3642</x:v>
      </x:c>
      <x:c r="G1359" s="12" t="n">
        <x:f>ROUND(J1359*$W$4*$W$5*I1359,0)</x:f>
        <x:v>0</x:v>
      </x:c>
      <x:c r="H1359" s="11">
        <x:f t="shared" si="410"/>
        <x:v>0.25</x:v>
      </x:c>
      <x:c r="I1359" s="11">
        <x:f t="shared" si="411"/>
        <x:v>0</x:v>
      </x:c>
      <x:c r="J1359" s="12">
        <x:f>英雄升级调参!$E$112</x:f>
        <x:v>3642</x:v>
      </x:c>
      <x:c r="K1359" s="12">
        <x:f>英雄升级调参!$F$112</x:f>
        <x:v>36420</x:v>
      </x:c>
      <x:c r="L1359" s="6" t="n">
        <x:f>ROUNDUP(F1359/J1359,0)</x:f>
        <x:v>1</x:v>
      </x:c>
      <x:c r="M1359" s="6" t="str">
        <x:f>IF(G1359=0,"无伤害",ROUNDUP(K1359/G1359,0))</x:f>
        <x:v>无伤害</x:v>
      </x:c>
      <x:c r="N1359" s="6" t="n">
        <x:f>ROUNDUP(F1359/英雄升级调参!$H$112,0)</x:f>
        <x:v>1</x:v>
      </x:c>
      <x:c r="O1359" s="6" t="n">
        <x:f>ROUNDUP(F1359/英雄升级调参!$K$112,0)</x:f>
        <x:v>1</x:v>
      </x:c>
      <x:c r="P1359" s="6" t="str">
        <x:f t="shared" si="412"/>
        <x:v>蓝莓1下；攻击沿用现值</x:v>
      </x:c>
      <x:c r="Q1359" s="6"/>
      <x:c r="R1359" s="6"/>
      <x:c r="S1359" s="6"/>
      <x:c r="T1359" s="6"/>
    </x:row>
    <x:row r="1360" ht="21" customHeight="1">
      <x:c r="A1360" s="14">
        <x:f t="shared" si="407"/>
        <x:v>60023</x:v>
      </x:c>
      <x:c r="B1360" s="14" t="str">
        <x:f t="shared" si="408"/>
        <x:v>蓝莓</x:v>
      </x:c>
      <x:c r="C1360" s="6" t="str">
        <x:f t="shared" si="409"/>
        <x:v>蓝莓</x:v>
      </x:c>
      <x:c r="D1360" s="6">
        <x:v>48</x:v>
      </x:c>
      <x:c r="E1360" s="6">
        <x:v>36</x:v>
      </x:c>
      <x:c r="F1360" s="12">
        <x:f>ROUND(J1360*$W$4*H1360,0)</x:f>
        <x:v>3741</x:v>
      </x:c>
      <x:c r="G1360" s="12" t="n">
        <x:f>ROUND(J1360*$W$4*$W$5*I1360,0)</x:f>
        <x:v>0</x:v>
      </x:c>
      <x:c r="H1360" s="11">
        <x:f t="shared" si="410"/>
        <x:v>0.25</x:v>
      </x:c>
      <x:c r="I1360" s="11">
        <x:f t="shared" si="411"/>
        <x:v>0</x:v>
      </x:c>
      <x:c r="J1360" s="12">
        <x:f>英雄升级调参!$E$113</x:f>
        <x:v>3741</x:v>
      </x:c>
      <x:c r="K1360" s="12">
        <x:f>英雄升级调参!$F$113</x:f>
        <x:v>37410</x:v>
      </x:c>
      <x:c r="L1360" s="6" t="n">
        <x:f>ROUNDUP(F1360/J1360,0)</x:f>
        <x:v>1</x:v>
      </x:c>
      <x:c r="M1360" s="6" t="str">
        <x:f>IF(G1360=0,"无伤害",ROUNDUP(K1360/G1360,0))</x:f>
        <x:v>无伤害</x:v>
      </x:c>
      <x:c r="N1360" s="6" t="n">
        <x:f>ROUNDUP(F1360/英雄升级调参!$H$113,0)</x:f>
        <x:v>1</x:v>
      </x:c>
      <x:c r="O1360" s="6" t="n">
        <x:f>ROUNDUP(F1360/英雄升级调参!$K$113,0)</x:f>
        <x:v>1</x:v>
      </x:c>
      <x:c r="P1360" s="6" t="str">
        <x:f t="shared" si="412"/>
        <x:v>蓝莓1下；攻击沿用现值</x:v>
      </x:c>
      <x:c r="Q1360" s="6"/>
      <x:c r="R1360" s="6"/>
      <x:c r="S1360" s="6"/>
      <x:c r="T1360" s="6"/>
    </x:row>
    <x:row r="1361" ht="21" customHeight="1">
      <x:c r="A1361" s="14">
        <x:f t="shared" si="407"/>
        <x:v>60023</x:v>
      </x:c>
      <x:c r="B1361" s="14" t="str">
        <x:f t="shared" si="408"/>
        <x:v>蓝莓</x:v>
      </x:c>
      <x:c r="C1361" s="6" t="str">
        <x:f t="shared" si="409"/>
        <x:v>蓝莓</x:v>
      </x:c>
      <x:c r="D1361" s="6">
        <x:v>49</x:v>
      </x:c>
      <x:c r="E1361" s="6">
        <x:v>36</x:v>
      </x:c>
      <x:c r="F1361" s="12">
        <x:f>ROUND(J1361*$W$4*H1361,0)</x:f>
        <x:v>3840</x:v>
      </x:c>
      <x:c r="G1361" s="12" t="n">
        <x:f>ROUND(J1361*$W$4*$W$5*I1361,0)</x:f>
        <x:v>0</x:v>
      </x:c>
      <x:c r="H1361" s="11">
        <x:f t="shared" si="410"/>
        <x:v>0.25</x:v>
      </x:c>
      <x:c r="I1361" s="11">
        <x:f t="shared" si="411"/>
        <x:v>0</x:v>
      </x:c>
      <x:c r="J1361" s="12">
        <x:f>英雄升级调参!$E$114</x:f>
        <x:v>3840</x:v>
      </x:c>
      <x:c r="K1361" s="12">
        <x:f>英雄升级调参!$F$114</x:f>
        <x:v>38400</x:v>
      </x:c>
      <x:c r="L1361" s="6" t="n">
        <x:f>ROUNDUP(F1361/J1361,0)</x:f>
        <x:v>1</x:v>
      </x:c>
      <x:c r="M1361" s="6" t="str">
        <x:f>IF(G1361=0,"无伤害",ROUNDUP(K1361/G1361,0))</x:f>
        <x:v>无伤害</x:v>
      </x:c>
      <x:c r="N1361" s="6" t="n">
        <x:f>ROUNDUP(F1361/英雄升级调参!$H$114,0)</x:f>
        <x:v>1</x:v>
      </x:c>
      <x:c r="O1361" s="6" t="n">
        <x:f>ROUNDUP(F1361/英雄升级调参!$K$114,0)</x:f>
        <x:v>1</x:v>
      </x:c>
      <x:c r="P1361" s="6" t="str">
        <x:f t="shared" si="412"/>
        <x:v>蓝莓1下；攻击沿用现值</x:v>
      </x:c>
      <x:c r="Q1361" s="6"/>
      <x:c r="R1361" s="6"/>
      <x:c r="S1361" s="6"/>
      <x:c r="T1361" s="6"/>
    </x:row>
    <x:row r="1362" ht="21" customHeight="1">
      <x:c r="A1362" s="14">
        <x:f t="shared" si="407"/>
        <x:v>60023</x:v>
      </x:c>
      <x:c r="B1362" s="14" t="str">
        <x:f t="shared" si="408"/>
        <x:v>蓝莓</x:v>
      </x:c>
      <x:c r="C1362" s="6" t="str">
        <x:f t="shared" si="409"/>
        <x:v>蓝莓</x:v>
      </x:c>
      <x:c r="D1362" s="6">
        <x:v>50</x:v>
      </x:c>
      <x:c r="E1362" s="6">
        <x:v>36</x:v>
      </x:c>
      <x:c r="F1362" s="12">
        <x:f>ROUND(J1362*$W$4*H1362,0)</x:f>
        <x:v>4137</x:v>
      </x:c>
      <x:c r="G1362" s="12" t="n">
        <x:f>ROUND(J1362*$W$4*$W$5*I1362,0)</x:f>
        <x:v>0</x:v>
      </x:c>
      <x:c r="H1362" s="11">
        <x:f t="shared" si="410"/>
        <x:v>0.25</x:v>
      </x:c>
      <x:c r="I1362" s="11">
        <x:f t="shared" si="411"/>
        <x:v>0</x:v>
      </x:c>
      <x:c r="J1362" s="12">
        <x:f>英雄升级调参!$E$115</x:f>
        <x:v>4137</x:v>
      </x:c>
      <x:c r="K1362" s="12">
        <x:f>英雄升级调参!$F$115</x:f>
        <x:v>41370</x:v>
      </x:c>
      <x:c r="L1362" s="6" t="n">
        <x:f>ROUNDUP(F1362/J1362,0)</x:f>
        <x:v>1</x:v>
      </x:c>
      <x:c r="M1362" s="6" t="str">
        <x:f>IF(G1362=0,"无伤害",ROUNDUP(K1362/G1362,0))</x:f>
        <x:v>无伤害</x:v>
      </x:c>
      <x:c r="N1362" s="6" t="n">
        <x:f>ROUNDUP(F1362/英雄升级调参!$H$115,0)</x:f>
        <x:v>1</x:v>
      </x:c>
      <x:c r="O1362" s="6" t="n">
        <x:f>ROUNDUP(F1362/英雄升级调参!$K$115,0)</x:f>
        <x:v>1</x:v>
      </x:c>
      <x:c r="P1362" s="6" t="str">
        <x:f t="shared" si="412"/>
        <x:v>蓝莓1下；攻击沿用现值</x:v>
      </x:c>
      <x:c r="Q1362" s="6"/>
      <x:c r="R1362" s="6"/>
      <x:c r="S1362" s="6"/>
      <x:c r="T1362" s="6"/>
    </x:row>
    <x:row r="1363" ht="21" customHeight="1">
      <x:c r="A1363" s="14" t="n">
        <x:f>$V$37</x:f>
        <x:v>60024</x:v>
      </x:c>
      <x:c r="B1363" s="14" t="str">
        <x:f>$W$37</x:f>
        <x:v>荔枝滚滚BOSS</x:v>
      </x:c>
      <x:c r="C1363" s="6" t="str">
        <x:f>$X$37</x:f>
        <x:v>BOSS</x:v>
      </x:c>
      <x:c r="D1363" s="6">
        <x:v>1</x:v>
      </x:c>
      <x:c r="E1363" s="6">
        <x:v>37</x:v>
      </x:c>
      <x:c r="F1363" s="12" t="n">
        <x:f>ROUND(J1363*$W$4*H1363,0)</x:f>
        <x:v>1800</x:v>
      </x:c>
      <x:c r="G1363" s="12">
        <x:f>ROUND((ROUND(J1363*$W$4*$W$5*I1363,0))*1/2,0)</x:f>
        <x:v>300</x:v>
      </x:c>
      <x:c r="H1363" s="11" t="n">
        <x:f>$Y$37</x:f>
        <x:v>7.5</x:v>
      </x:c>
      <x:c r="I1363" s="11" t="n">
        <x:f>$Z$37</x:f>
        <x:v>33.333333333333336</x:v>
      </x:c>
      <x:c r="J1363" s="12" t="n">
        <x:f>英雄升级调参!$E$66</x:f>
        <x:v>60</x:v>
      </x:c>
      <x:c r="K1363" s="12" t="n">
        <x:f>英雄升级调参!$F$66</x:f>
        <x:v>600</x:v>
      </x:c>
      <x:c r="L1363" s="6" t="n">
        <x:f>ROUNDUP(F1363/J1363,0)</x:f>
        <x:v>30</x:v>
      </x:c>
      <x:c r="M1363" s="6">
        <x:f>IF(G1363=0,"无伤害",ROUNDUP(K1363/MAX(1,ROUND(G1363*$AC$37,0)),0))</x:f>
        <x:v>10</x:v>
      </x:c>
      <x:c r="N1363" s="6">
        <x:f>ROUNDUP(F1363/英雄升级调参!$H$66,0)</x:f>
        <x:v>10</x:v>
      </x:c>
      <x:c r="O1363" s="6">
        <x:f>ROUNDUP(F1363/英雄升级调参!$K$66,0)</x:f>
        <x:v>6</x:v>
      </x:c>
      <x:c r="P1363" s="6" t="str">
        <x:f>$AA$37</x:f>
        <x:v>BOSS：30次标准普攻击杀；5次主要攻击致死</x:v>
      </x:c>
      <x:c r="Q1363" s="6"/>
      <x:c r="R1363" s="6"/>
      <x:c r="S1363" s="6"/>
      <x:c r="T1363" s="6"/>
    </x:row>
    <x:row r="1364" ht="21" customHeight="1">
      <x:c r="A1364" s="14" t="n">
        <x:f>$V$37</x:f>
        <x:v>60024</x:v>
      </x:c>
      <x:c r="B1364" s="14" t="str">
        <x:f>$W$37</x:f>
        <x:v>荔枝滚滚BOSS</x:v>
      </x:c>
      <x:c r="C1364" s="6" t="str">
        <x:f>$X$37</x:f>
        <x:v>BOSS</x:v>
      </x:c>
      <x:c r="D1364" s="6">
        <x:v>2</x:v>
      </x:c>
      <x:c r="E1364" s="6">
        <x:v>37</x:v>
      </x:c>
      <x:c r="F1364" s="12">
        <x:f>ROUND(J1364*$W$4*H1364,0)</x:f>
        <x:v>2340</x:v>
      </x:c>
      <x:c r="G1364" s="12">
        <x:f>ROUND(J1364*$W$4*$W$5*I1364,0)</x:f>
        <x:v>780</x:v>
      </x:c>
      <x:c r="H1364" s="11" t="n">
        <x:f>$Y$37</x:f>
        <x:v>7.5</x:v>
      </x:c>
      <x:c r="I1364" s="11" t="n">
        <x:f>$Z$37</x:f>
        <x:v>33.333333333333336</x:v>
      </x:c>
      <x:c r="J1364" s="12">
        <x:f>英雄升级调参!$E$67</x:f>
        <x:v>78</x:v>
      </x:c>
      <x:c r="K1364" s="12">
        <x:f>英雄升级调参!$F$67</x:f>
        <x:v>780</x:v>
      </x:c>
      <x:c r="L1364" s="6" t="n">
        <x:f>ROUNDUP(F1364/J1364,0)</x:f>
        <x:v>30</x:v>
      </x:c>
      <x:c r="M1364" s="6" t="n">
        <x:f>IF(G1364=0,"无伤害",ROUNDUP(K1364/MAX(1,ROUND(G1364*$AC$37,0)),0))</x:f>
        <x:v>5</x:v>
      </x:c>
      <x:c r="N1364" s="6">
        <x:f>ROUNDUP(F1364/英雄升级调参!$H$67,0)</x:f>
        <x:v>11</x:v>
      </x:c>
      <x:c r="O1364" s="6">
        <x:f>ROUNDUP(F1364/英雄升级调参!$K$67,0)</x:f>
        <x:v>6</x:v>
      </x:c>
      <x:c r="P1364" s="6" t="str">
        <x:f>$AA$37</x:f>
        <x:v>BOSS：30次标准普攻击杀；5次主要攻击致死</x:v>
      </x:c>
      <x:c r="Q1364" s="6"/>
      <x:c r="R1364" s="6"/>
      <x:c r="S1364" s="6"/>
      <x:c r="T1364" s="6"/>
    </x:row>
    <x:row r="1365" ht="21" customHeight="1">
      <x:c r="A1365" s="14" t="n">
        <x:f>$V$37</x:f>
        <x:v>60024</x:v>
      </x:c>
      <x:c r="B1365" s="14" t="str">
        <x:f>$W$37</x:f>
        <x:v>荔枝滚滚BOSS</x:v>
      </x:c>
      <x:c r="C1365" s="6" t="str">
        <x:f>$X$37</x:f>
        <x:v>BOSS</x:v>
      </x:c>
      <x:c r="D1365" s="6">
        <x:v>3</x:v>
      </x:c>
      <x:c r="E1365" s="6">
        <x:v>37</x:v>
      </x:c>
      <x:c r="F1365" s="12">
        <x:f>ROUND(J1365*$W$4*H1365,0)</x:f>
        <x:v>2880</x:v>
      </x:c>
      <x:c r="G1365" s="12">
        <x:f>ROUND(J1365*$W$4*$W$5*I1365,0)</x:f>
        <x:v>960</x:v>
      </x:c>
      <x:c r="H1365" s="11" t="n">
        <x:f>$Y$37</x:f>
        <x:v>7.5</x:v>
      </x:c>
      <x:c r="I1365" s="11" t="n">
        <x:f>$Z$37</x:f>
        <x:v>33.333333333333336</x:v>
      </x:c>
      <x:c r="J1365" s="12">
        <x:f>英雄升级调参!$E$68</x:f>
        <x:v>96</x:v>
      </x:c>
      <x:c r="K1365" s="12">
        <x:f>英雄升级调参!$F$68</x:f>
        <x:v>960</x:v>
      </x:c>
      <x:c r="L1365" s="6" t="n">
        <x:f>ROUNDUP(F1365/J1365,0)</x:f>
        <x:v>30</x:v>
      </x:c>
      <x:c r="M1365" s="6" t="n">
        <x:f>IF(G1365=0,"无伤害",ROUNDUP(K1365/MAX(1,ROUND(G1365*$AC$37,0)),0))</x:f>
        <x:v>5</x:v>
      </x:c>
      <x:c r="N1365" s="6">
        <x:f>ROUNDUP(F1365/英雄升级调参!$H$68,0)</x:f>
        <x:v>12</x:v>
      </x:c>
      <x:c r="O1365" s="6">
        <x:f>ROUNDUP(F1365/英雄升级调参!$K$68,0)</x:f>
        <x:v>7</x:v>
      </x:c>
      <x:c r="P1365" s="6" t="str">
        <x:f>$AA$37</x:f>
        <x:v>BOSS：30次标准普攻击杀；5次主要攻击致死</x:v>
      </x:c>
      <x:c r="Q1365" s="6"/>
      <x:c r="R1365" s="6"/>
      <x:c r="S1365" s="6"/>
      <x:c r="T1365" s="6"/>
    </x:row>
    <x:row r="1366" ht="21" customHeight="1">
      <x:c r="A1366" s="14" t="n">
        <x:f>$V$37</x:f>
        <x:v>60024</x:v>
      </x:c>
      <x:c r="B1366" s="14" t="str">
        <x:f>$W$37</x:f>
        <x:v>荔枝滚滚BOSS</x:v>
      </x:c>
      <x:c r="C1366" s="6" t="str">
        <x:f>$X$37</x:f>
        <x:v>BOSS</x:v>
      </x:c>
      <x:c r="D1366" s="6">
        <x:v>4</x:v>
      </x:c>
      <x:c r="E1366" s="6">
        <x:v>37</x:v>
      </x:c>
      <x:c r="F1366" s="12">
        <x:f>ROUND(J1366*$W$4*H1366,0)</x:f>
        <x:v>3420</x:v>
      </x:c>
      <x:c r="G1366" s="12">
        <x:f>ROUND(J1366*$W$4*$W$5*I1366,0)</x:f>
        <x:v>1140</x:v>
      </x:c>
      <x:c r="H1366" s="11" t="n">
        <x:f>$Y$37</x:f>
        <x:v>7.5</x:v>
      </x:c>
      <x:c r="I1366" s="11" t="n">
        <x:f>$Z$37</x:f>
        <x:v>33.333333333333336</x:v>
      </x:c>
      <x:c r="J1366" s="12">
        <x:f>英雄升级调参!$E$69</x:f>
        <x:v>114</x:v>
      </x:c>
      <x:c r="K1366" s="12">
        <x:f>英雄升级调参!$F$69</x:f>
        <x:v>1140</x:v>
      </x:c>
      <x:c r="L1366" s="6" t="n">
        <x:f>ROUNDUP(F1366/J1366,0)</x:f>
        <x:v>30</x:v>
      </x:c>
      <x:c r="M1366" s="6" t="n">
        <x:f>IF(G1366=0,"无伤害",ROUNDUP(K1366/MAX(1,ROUND(G1366*$AC$37,0)),0))</x:f>
        <x:v>5</x:v>
      </x:c>
      <x:c r="N1366" s="6">
        <x:f>ROUNDUP(F1366/英雄升级调参!$H$69,0)</x:f>
        <x:v>13</x:v>
      </x:c>
      <x:c r="O1366" s="6">
        <x:f>ROUNDUP(F1366/英雄升级调参!$K$69,0)</x:f>
        <x:v>7</x:v>
      </x:c>
      <x:c r="P1366" s="6" t="str">
        <x:f>$AA$37</x:f>
        <x:v>BOSS：30次标准普攻击杀；5次主要攻击致死</x:v>
      </x:c>
      <x:c r="Q1366" s="6"/>
      <x:c r="R1366" s="6"/>
      <x:c r="S1366" s="6"/>
      <x:c r="T1366" s="6"/>
    </x:row>
    <x:row r="1367" ht="21" customHeight="1">
      <x:c r="A1367" s="14" t="n">
        <x:f>$V$37</x:f>
        <x:v>60024</x:v>
      </x:c>
      <x:c r="B1367" s="14" t="str">
        <x:f>$W$37</x:f>
        <x:v>荔枝滚滚BOSS</x:v>
      </x:c>
      <x:c r="C1367" s="6" t="str">
        <x:f>$X$37</x:f>
        <x:v>BOSS</x:v>
      </x:c>
      <x:c r="D1367" s="6">
        <x:v>5</x:v>
      </x:c>
      <x:c r="E1367" s="6">
        <x:v>37</x:v>
      </x:c>
      <x:c r="F1367" s="12">
        <x:f>ROUND(J1367*$W$4*H1367,0)</x:f>
        <x:v>5040</x:v>
      </x:c>
      <x:c r="G1367" s="12">
        <x:f>ROUND(J1367*$W$4*$W$5*I1367,0)</x:f>
        <x:v>1680</x:v>
      </x:c>
      <x:c r="H1367" s="11" t="n">
        <x:f>$Y$37</x:f>
        <x:v>7.5</x:v>
      </x:c>
      <x:c r="I1367" s="11" t="n">
        <x:f>$Z$37</x:f>
        <x:v>33.333333333333336</x:v>
      </x:c>
      <x:c r="J1367" s="12">
        <x:f>英雄升级调参!$E$70</x:f>
        <x:v>168</x:v>
      </x:c>
      <x:c r="K1367" s="12">
        <x:f>英雄升级调参!$F$70</x:f>
        <x:v>1680</x:v>
      </x:c>
      <x:c r="L1367" s="6" t="n">
        <x:f>ROUNDUP(F1367/J1367,0)</x:f>
        <x:v>30</x:v>
      </x:c>
      <x:c r="M1367" s="6" t="n">
        <x:f>IF(G1367=0,"无伤害",ROUNDUP(K1367/MAX(1,ROUND(G1367*$AC$37,0)),0))</x:f>
        <x:v>5</x:v>
      </x:c>
      <x:c r="N1367" s="6">
        <x:f>ROUNDUP(F1367/英雄升级调参!$H$70,0)</x:f>
        <x:v>15</x:v>
      </x:c>
      <x:c r="O1367" s="6">
        <x:f>ROUNDUP(F1367/英雄升级调参!$K$70,0)</x:f>
        <x:v>9</x:v>
      </x:c>
      <x:c r="P1367" s="6" t="str">
        <x:f>$AA$37</x:f>
        <x:v>BOSS：30次标准普攻击杀；5次主要攻击致死</x:v>
      </x:c>
      <x:c r="Q1367" s="6"/>
      <x:c r="R1367" s="6"/>
      <x:c r="S1367" s="6"/>
      <x:c r="T1367" s="6"/>
    </x:row>
    <x:row r="1368" ht="21" customHeight="1">
      <x:c r="A1368" s="14" t="n">
        <x:f>$V$37</x:f>
        <x:v>60024</x:v>
      </x:c>
      <x:c r="B1368" s="14" t="str">
        <x:f>$W$37</x:f>
        <x:v>荔枝滚滚BOSS</x:v>
      </x:c>
      <x:c r="C1368" s="6" t="str">
        <x:f>$X$37</x:f>
        <x:v>BOSS</x:v>
      </x:c>
      <x:c r="D1368" s="6">
        <x:v>6</x:v>
      </x:c>
      <x:c r="E1368" s="6">
        <x:v>37</x:v>
      </x:c>
      <x:c r="F1368" s="12">
        <x:f>ROUND(J1368*$W$4*H1368,0)</x:f>
        <x:v>5850</x:v>
      </x:c>
      <x:c r="G1368" s="12">
        <x:f>ROUND(J1368*$W$4*$W$5*I1368,0)</x:f>
        <x:v>1950</x:v>
      </x:c>
      <x:c r="H1368" s="11" t="n">
        <x:f>$Y$37</x:f>
        <x:v>7.5</x:v>
      </x:c>
      <x:c r="I1368" s="11" t="n">
        <x:f>$Z$37</x:f>
        <x:v>33.333333333333336</x:v>
      </x:c>
      <x:c r="J1368" s="12">
        <x:f>英雄升级调参!$E$71</x:f>
        <x:v>195</x:v>
      </x:c>
      <x:c r="K1368" s="12">
        <x:f>英雄升级调参!$F$71</x:f>
        <x:v>1950</x:v>
      </x:c>
      <x:c r="L1368" s="6" t="n">
        <x:f>ROUNDUP(F1368/J1368,0)</x:f>
        <x:v>30</x:v>
      </x:c>
      <x:c r="M1368" s="6" t="n">
        <x:f>IF(G1368=0,"无伤害",ROUNDUP(K1368/MAX(1,ROUND(G1368*$AC$37,0)),0))</x:f>
        <x:v>5</x:v>
      </x:c>
      <x:c r="N1368" s="6">
        <x:f>ROUNDUP(F1368/英雄升级调参!$H$71,0)</x:f>
        <x:v>15</x:v>
      </x:c>
      <x:c r="O1368" s="6">
        <x:f>ROUNDUP(F1368/英雄升级调参!$K$71,0)</x:f>
        <x:v>9</x:v>
      </x:c>
      <x:c r="P1368" s="6" t="str">
        <x:f>$AA$37</x:f>
        <x:v>BOSS：30次标准普攻击杀；5次主要攻击致死</x:v>
      </x:c>
      <x:c r="Q1368" s="6"/>
      <x:c r="R1368" s="6"/>
      <x:c r="S1368" s="6"/>
      <x:c r="T1368" s="6"/>
    </x:row>
    <x:row r="1369" ht="21" customHeight="1">
      <x:c r="A1369" s="14" t="n">
        <x:f>$V$37</x:f>
        <x:v>60024</x:v>
      </x:c>
      <x:c r="B1369" s="14" t="str">
        <x:f>$W$37</x:f>
        <x:v>荔枝滚滚BOSS</x:v>
      </x:c>
      <x:c r="C1369" s="6" t="str">
        <x:f>$X$37</x:f>
        <x:v>BOSS</x:v>
      </x:c>
      <x:c r="D1369" s="6">
        <x:v>7</x:v>
      </x:c>
      <x:c r="E1369" s="6">
        <x:v>37</x:v>
      </x:c>
      <x:c r="F1369" s="12">
        <x:f>ROUND(J1369*$W$4*H1369,0)</x:f>
        <x:v>6660</x:v>
      </x:c>
      <x:c r="G1369" s="12">
        <x:f>ROUND(J1369*$W$4*$W$5*I1369,0)</x:f>
        <x:v>2220</x:v>
      </x:c>
      <x:c r="H1369" s="11" t="n">
        <x:f>$Y$37</x:f>
        <x:v>7.5</x:v>
      </x:c>
      <x:c r="I1369" s="11" t="n">
        <x:f>$Z$37</x:f>
        <x:v>33.333333333333336</x:v>
      </x:c>
      <x:c r="J1369" s="12">
        <x:f>英雄升级调参!$E$72</x:f>
        <x:v>222</x:v>
      </x:c>
      <x:c r="K1369" s="12">
        <x:f>英雄升级调参!$F$72</x:f>
        <x:v>2220</x:v>
      </x:c>
      <x:c r="L1369" s="6" t="n">
        <x:f>ROUNDUP(F1369/J1369,0)</x:f>
        <x:v>30</x:v>
      </x:c>
      <x:c r="M1369" s="6" t="n">
        <x:f>IF(G1369=0,"无伤害",ROUNDUP(K1369/MAX(1,ROUND(G1369*$AC$37,0)),0))</x:f>
        <x:v>5</x:v>
      </x:c>
      <x:c r="N1369" s="6">
        <x:f>ROUNDUP(F1369/英雄升级调参!$H$72,0)</x:f>
        <x:v>16</x:v>
      </x:c>
      <x:c r="O1369" s="6">
        <x:f>ROUNDUP(F1369/英雄升级调参!$K$72,0)</x:f>
        <x:v>9</x:v>
      </x:c>
      <x:c r="P1369" s="6" t="str">
        <x:f>$AA$37</x:f>
        <x:v>BOSS：30次标准普攻击杀；5次主要攻击致死</x:v>
      </x:c>
      <x:c r="Q1369" s="6"/>
      <x:c r="R1369" s="6"/>
      <x:c r="S1369" s="6"/>
      <x:c r="T1369" s="6"/>
    </x:row>
    <x:row r="1370" ht="21" customHeight="1">
      <x:c r="A1370" s="14" t="n">
        <x:f>$V$37</x:f>
        <x:v>60024</x:v>
      </x:c>
      <x:c r="B1370" s="14" t="str">
        <x:f>$W$37</x:f>
        <x:v>荔枝滚滚BOSS</x:v>
      </x:c>
      <x:c r="C1370" s="6" t="str">
        <x:f>$X$37</x:f>
        <x:v>BOSS</x:v>
      </x:c>
      <x:c r="D1370" s="6">
        <x:v>8</x:v>
      </x:c>
      <x:c r="E1370" s="6">
        <x:v>37</x:v>
      </x:c>
      <x:c r="F1370" s="12">
        <x:f>ROUND(J1370*$W$4*H1370,0)</x:f>
        <x:v>7470</x:v>
      </x:c>
      <x:c r="G1370" s="12">
        <x:f>ROUND(J1370*$W$4*$W$5*I1370,0)</x:f>
        <x:v>2490</x:v>
      </x:c>
      <x:c r="H1370" s="11" t="n">
        <x:f>$Y$37</x:f>
        <x:v>7.5</x:v>
      </x:c>
      <x:c r="I1370" s="11" t="n">
        <x:f>$Z$37</x:f>
        <x:v>33.333333333333336</x:v>
      </x:c>
      <x:c r="J1370" s="12">
        <x:f>英雄升级调参!$E$73</x:f>
        <x:v>249</x:v>
      </x:c>
      <x:c r="K1370" s="12">
        <x:f>英雄升级调参!$F$73</x:f>
        <x:v>2490</x:v>
      </x:c>
      <x:c r="L1370" s="6" t="n">
        <x:f>ROUNDUP(F1370/J1370,0)</x:f>
        <x:v>30</x:v>
      </x:c>
      <x:c r="M1370" s="6" t="n">
        <x:f>IF(G1370=0,"无伤害",ROUNDUP(K1370/MAX(1,ROUND(G1370*$AC$37,0)),0))</x:f>
        <x:v>5</x:v>
      </x:c>
      <x:c r="N1370" s="6">
        <x:f>ROUNDUP(F1370/英雄升级调参!$H$73,0)</x:f>
        <x:v>16</x:v>
      </x:c>
      <x:c r="O1370" s="6">
        <x:f>ROUNDUP(F1370/英雄升级调参!$K$73,0)</x:f>
        <x:v>9</x:v>
      </x:c>
      <x:c r="P1370" s="6" t="str">
        <x:f>$AA$37</x:f>
        <x:v>BOSS：30次标准普攻击杀；5次主要攻击致死</x:v>
      </x:c>
      <x:c r="Q1370" s="6"/>
      <x:c r="R1370" s="6"/>
      <x:c r="S1370" s="6"/>
      <x:c r="T1370" s="6"/>
    </x:row>
    <x:row r="1371" ht="21" customHeight="1">
      <x:c r="A1371" s="14" t="n">
        <x:f>$V$37</x:f>
        <x:v>60024</x:v>
      </x:c>
      <x:c r="B1371" s="14" t="str">
        <x:f>$W$37</x:f>
        <x:v>荔枝滚滚BOSS</x:v>
      </x:c>
      <x:c r="C1371" s="6" t="str">
        <x:f>$X$37</x:f>
        <x:v>BOSS</x:v>
      </x:c>
      <x:c r="D1371" s="6">
        <x:v>9</x:v>
      </x:c>
      <x:c r="E1371" s="6">
        <x:v>37</x:v>
      </x:c>
      <x:c r="F1371" s="12">
        <x:f>ROUND(J1371*$W$4*H1371,0)</x:f>
        <x:v>8280</x:v>
      </x:c>
      <x:c r="G1371" s="12">
        <x:f>ROUND(J1371*$W$4*$W$5*I1371,0)</x:f>
        <x:v>2760</x:v>
      </x:c>
      <x:c r="H1371" s="11" t="n">
        <x:f>$Y$37</x:f>
        <x:v>7.5</x:v>
      </x:c>
      <x:c r="I1371" s="11" t="n">
        <x:f>$Z$37</x:f>
        <x:v>33.333333333333336</x:v>
      </x:c>
      <x:c r="J1371" s="12">
        <x:f>英雄升级调参!$E$74</x:f>
        <x:v>276</x:v>
      </x:c>
      <x:c r="K1371" s="12">
        <x:f>英雄升级调参!$F$74</x:f>
        <x:v>2760</x:v>
      </x:c>
      <x:c r="L1371" s="6" t="n">
        <x:f>ROUNDUP(F1371/J1371,0)</x:f>
        <x:v>30</x:v>
      </x:c>
      <x:c r="M1371" s="6" t="n">
        <x:f>IF(G1371=0,"无伤害",ROUNDUP(K1371/MAX(1,ROUND(G1371*$AC$37,0)),0))</x:f>
        <x:v>5</x:v>
      </x:c>
      <x:c r="N1371" s="6">
        <x:f>ROUNDUP(F1371/英雄升级调参!$H$74,0)</x:f>
        <x:v>16</x:v>
      </x:c>
      <x:c r="O1371" s="6">
        <x:f>ROUNDUP(F1371/英雄升级调参!$K$74,0)</x:f>
        <x:v>10</x:v>
      </x:c>
      <x:c r="P1371" s="6" t="str">
        <x:f>$AA$37</x:f>
        <x:v>BOSS：30次标准普攻击杀；5次主要攻击致死</x:v>
      </x:c>
      <x:c r="Q1371" s="6"/>
      <x:c r="R1371" s="6"/>
      <x:c r="S1371" s="6"/>
      <x:c r="T1371" s="6"/>
    </x:row>
    <x:row r="1372" ht="21" customHeight="1">
      <x:c r="A1372" s="14" t="n">
        <x:f>$V$37</x:f>
        <x:v>60024</x:v>
      </x:c>
      <x:c r="B1372" s="14" t="str">
        <x:f>$W$37</x:f>
        <x:v>荔枝滚滚BOSS</x:v>
      </x:c>
      <x:c r="C1372" s="6" t="str">
        <x:f>$X$37</x:f>
        <x:v>BOSS</x:v>
      </x:c>
      <x:c r="D1372" s="6">
        <x:v>10</x:v>
      </x:c>
      <x:c r="E1372" s="6">
        <x:v>37</x:v>
      </x:c>
      <x:c r="F1372" s="12">
        <x:f>ROUND(J1372*$W$4*H1372,0)</x:f>
        <x:v>10710</x:v>
      </x:c>
      <x:c r="G1372" s="12">
        <x:f>ROUND(J1372*$W$4*$W$5*I1372,0)</x:f>
        <x:v>3570</x:v>
      </x:c>
      <x:c r="H1372" s="11" t="n">
        <x:f>$Y$37</x:f>
        <x:v>7.5</x:v>
      </x:c>
      <x:c r="I1372" s="11" t="n">
        <x:f>$Z$37</x:f>
        <x:v>33.333333333333336</x:v>
      </x:c>
      <x:c r="J1372" s="12">
        <x:f>英雄升级调参!$E$75</x:f>
        <x:v>357</x:v>
      </x:c>
      <x:c r="K1372" s="12">
        <x:f>英雄升级调参!$F$75</x:f>
        <x:v>3570</x:v>
      </x:c>
      <x:c r="L1372" s="6" t="n">
        <x:f>ROUNDUP(F1372/J1372,0)</x:f>
        <x:v>30</x:v>
      </x:c>
      <x:c r="M1372" s="6" t="n">
        <x:f>IF(G1372=0,"无伤害",ROUNDUP(K1372/MAX(1,ROUND(G1372*$AC$37,0)),0))</x:f>
        <x:v>5</x:v>
      </x:c>
      <x:c r="N1372" s="6">
        <x:f>ROUNDUP(F1372/英雄升级调参!$H$75,0)</x:f>
        <x:v>17</x:v>
      </x:c>
      <x:c r="O1372" s="6">
        <x:f>ROUNDUP(F1372/英雄升级调参!$K$75,0)</x:f>
        <x:v>10</x:v>
      </x:c>
      <x:c r="P1372" s="6" t="str">
        <x:f>$AA$37</x:f>
        <x:v>BOSS：30次标准普攻击杀；5次主要攻击致死</x:v>
      </x:c>
      <x:c r="Q1372" s="6"/>
      <x:c r="R1372" s="6"/>
      <x:c r="S1372" s="6"/>
      <x:c r="T1372" s="6"/>
    </x:row>
    <x:row r="1373" ht="21" customHeight="1">
      <x:c r="A1373" s="14" t="n">
        <x:f>$V$37</x:f>
        <x:v>60024</x:v>
      </x:c>
      <x:c r="B1373" s="14" t="str">
        <x:f>$W$37</x:f>
        <x:v>荔枝滚滚BOSS</x:v>
      </x:c>
      <x:c r="C1373" s="6" t="str">
        <x:f>$X$37</x:f>
        <x:v>BOSS</x:v>
      </x:c>
      <x:c r="D1373" s="6">
        <x:v>11</x:v>
      </x:c>
      <x:c r="E1373" s="6">
        <x:v>37</x:v>
      </x:c>
      <x:c r="F1373" s="12">
        <x:f>ROUND(J1373*$W$4*H1373,0)</x:f>
        <x:v>11790</x:v>
      </x:c>
      <x:c r="G1373" s="12">
        <x:f>ROUND(J1373*$W$4*$W$5*I1373,0)</x:f>
        <x:v>3930</x:v>
      </x:c>
      <x:c r="H1373" s="11" t="n">
        <x:f>$Y$37</x:f>
        <x:v>7.5</x:v>
      </x:c>
      <x:c r="I1373" s="11" t="n">
        <x:f>$Z$37</x:f>
        <x:v>33.333333333333336</x:v>
      </x:c>
      <x:c r="J1373" s="12">
        <x:f>英雄升级调参!$E$76</x:f>
        <x:v>393</x:v>
      </x:c>
      <x:c r="K1373" s="12">
        <x:f>英雄升级调参!$F$76</x:f>
        <x:v>3930</x:v>
      </x:c>
      <x:c r="L1373" s="6" t="n">
        <x:f>ROUNDUP(F1373/J1373,0)</x:f>
        <x:v>30</x:v>
      </x:c>
      <x:c r="M1373" s="6" t="n">
        <x:f>IF(G1373=0,"无伤害",ROUNDUP(K1373/MAX(1,ROUND(G1373*$AC$37,0)),0))</x:f>
        <x:v>5</x:v>
      </x:c>
      <x:c r="N1373" s="6">
        <x:f>ROUNDUP(F1373/英雄升级调参!$H$76,0)</x:f>
        <x:v>17</x:v>
      </x:c>
      <x:c r="O1373" s="6">
        <x:f>ROUNDUP(F1373/英雄升级调参!$K$76,0)</x:f>
        <x:v>10</x:v>
      </x:c>
      <x:c r="P1373" s="6" t="str">
        <x:f>$AA$37</x:f>
        <x:v>BOSS：30次标准普攻击杀；5次主要攻击致死</x:v>
      </x:c>
      <x:c r="Q1373" s="6"/>
      <x:c r="R1373" s="6"/>
      <x:c r="S1373" s="6"/>
      <x:c r="T1373" s="6"/>
    </x:row>
    <x:row r="1374" ht="21" customHeight="1">
      <x:c r="A1374" s="14" t="n">
        <x:f>$V$37</x:f>
        <x:v>60024</x:v>
      </x:c>
      <x:c r="B1374" s="14" t="str">
        <x:f>$W$37</x:f>
        <x:v>荔枝滚滚BOSS</x:v>
      </x:c>
      <x:c r="C1374" s="6" t="str">
        <x:f>$X$37</x:f>
        <x:v>BOSS</x:v>
      </x:c>
      <x:c r="D1374" s="6">
        <x:v>12</x:v>
      </x:c>
      <x:c r="E1374" s="6">
        <x:v>37</x:v>
      </x:c>
      <x:c r="F1374" s="12">
        <x:f>ROUND(J1374*$W$4*H1374,0)</x:f>
        <x:v>12870</x:v>
      </x:c>
      <x:c r="G1374" s="12">
        <x:f>ROUND(J1374*$W$4*$W$5*I1374,0)</x:f>
        <x:v>4290</x:v>
      </x:c>
      <x:c r="H1374" s="11" t="n">
        <x:f>$Y$37</x:f>
        <x:v>7.5</x:v>
      </x:c>
      <x:c r="I1374" s="11" t="n">
        <x:f>$Z$37</x:f>
        <x:v>33.333333333333336</x:v>
      </x:c>
      <x:c r="J1374" s="12">
        <x:f>英雄升级调参!$E$77</x:f>
        <x:v>429</x:v>
      </x:c>
      <x:c r="K1374" s="12">
        <x:f>英雄升级调参!$F$77</x:f>
        <x:v>4290</x:v>
      </x:c>
      <x:c r="L1374" s="6" t="n">
        <x:f>ROUNDUP(F1374/J1374,0)</x:f>
        <x:v>30</x:v>
      </x:c>
      <x:c r="M1374" s="6" t="n">
        <x:f>IF(G1374=0,"无伤害",ROUNDUP(K1374/MAX(1,ROUND(G1374*$AC$37,0)),0))</x:f>
        <x:v>5</x:v>
      </x:c>
      <x:c r="N1374" s="6">
        <x:f>ROUNDUP(F1374/英雄升级调参!$H$77,0)</x:f>
        <x:v>18</x:v>
      </x:c>
      <x:c r="O1374" s="6">
        <x:f>ROUNDUP(F1374/英雄升级调参!$K$77,0)</x:f>
        <x:v>11</x:v>
      </x:c>
      <x:c r="P1374" s="6" t="str">
        <x:f>$AA$37</x:f>
        <x:v>BOSS：30次标准普攻击杀；5次主要攻击致死</x:v>
      </x:c>
      <x:c r="Q1374" s="6"/>
      <x:c r="R1374" s="6"/>
      <x:c r="S1374" s="6"/>
      <x:c r="T1374" s="6"/>
    </x:row>
    <x:row r="1375" ht="21" customHeight="1">
      <x:c r="A1375" s="14" t="n">
        <x:f>$V$37</x:f>
        <x:v>60024</x:v>
      </x:c>
      <x:c r="B1375" s="14" t="str">
        <x:f>$W$37</x:f>
        <x:v>荔枝滚滚BOSS</x:v>
      </x:c>
      <x:c r="C1375" s="6" t="str">
        <x:f>$X$37</x:f>
        <x:v>BOSS</x:v>
      </x:c>
      <x:c r="D1375" s="6">
        <x:v>13</x:v>
      </x:c>
      <x:c r="E1375" s="6">
        <x:v>37</x:v>
      </x:c>
      <x:c r="F1375" s="12">
        <x:f>ROUND(J1375*$W$4*H1375,0)</x:f>
        <x:v>13950</x:v>
      </x:c>
      <x:c r="G1375" s="12">
        <x:f>ROUND(J1375*$W$4*$W$5*I1375,0)</x:f>
        <x:v>4650</x:v>
      </x:c>
      <x:c r="H1375" s="11" t="n">
        <x:f>$Y$37</x:f>
        <x:v>7.5</x:v>
      </x:c>
      <x:c r="I1375" s="11" t="n">
        <x:f>$Z$37</x:f>
        <x:v>33.333333333333336</x:v>
      </x:c>
      <x:c r="J1375" s="12">
        <x:f>英雄升级调参!$E$78</x:f>
        <x:v>465</x:v>
      </x:c>
      <x:c r="K1375" s="12">
        <x:f>英雄升级调参!$F$78</x:f>
        <x:v>4650</x:v>
      </x:c>
      <x:c r="L1375" s="6" t="n">
        <x:f>ROUNDUP(F1375/J1375,0)</x:f>
        <x:v>30</x:v>
      </x:c>
      <x:c r="M1375" s="6" t="n">
        <x:f>IF(G1375=0,"无伤害",ROUNDUP(K1375/MAX(1,ROUND(G1375*$AC$37,0)),0))</x:f>
        <x:v>5</x:v>
      </x:c>
      <x:c r="N1375" s="6">
        <x:f>ROUNDUP(F1375/英雄升级调参!$H$78,0)</x:f>
        <x:v>18</x:v>
      </x:c>
      <x:c r="O1375" s="6">
        <x:f>ROUNDUP(F1375/英雄升级调参!$K$78,0)</x:f>
        <x:v>11</x:v>
      </x:c>
      <x:c r="P1375" s="6" t="str">
        <x:f>$AA$37</x:f>
        <x:v>BOSS：30次标准普攻击杀；5次主要攻击致死</x:v>
      </x:c>
      <x:c r="Q1375" s="6"/>
      <x:c r="R1375" s="6"/>
      <x:c r="S1375" s="6"/>
      <x:c r="T1375" s="6"/>
    </x:row>
    <x:row r="1376" ht="21" customHeight="1">
      <x:c r="A1376" s="14" t="n">
        <x:f>$V$37</x:f>
        <x:v>60024</x:v>
      </x:c>
      <x:c r="B1376" s="14" t="str">
        <x:f>$W$37</x:f>
        <x:v>荔枝滚滚BOSS</x:v>
      </x:c>
      <x:c r="C1376" s="6" t="str">
        <x:f>$X$37</x:f>
        <x:v>BOSS</x:v>
      </x:c>
      <x:c r="D1376" s="6">
        <x:v>14</x:v>
      </x:c>
      <x:c r="E1376" s="6">
        <x:v>37</x:v>
      </x:c>
      <x:c r="F1376" s="12">
        <x:f>ROUND(J1376*$W$4*H1376,0)</x:f>
        <x:v>15030</x:v>
      </x:c>
      <x:c r="G1376" s="12">
        <x:f>ROUND(J1376*$W$4*$W$5*I1376,0)</x:f>
        <x:v>5010</x:v>
      </x:c>
      <x:c r="H1376" s="11" t="n">
        <x:f>$Y$37</x:f>
        <x:v>7.5</x:v>
      </x:c>
      <x:c r="I1376" s="11" t="n">
        <x:f>$Z$37</x:f>
        <x:v>33.333333333333336</x:v>
      </x:c>
      <x:c r="J1376" s="12">
        <x:f>英雄升级调参!$E$79</x:f>
        <x:v>501</x:v>
      </x:c>
      <x:c r="K1376" s="12">
        <x:f>英雄升级调参!$F$79</x:f>
        <x:v>5010</x:v>
      </x:c>
      <x:c r="L1376" s="6" t="n">
        <x:f>ROUNDUP(F1376/J1376,0)</x:f>
        <x:v>30</x:v>
      </x:c>
      <x:c r="M1376" s="6" t="n">
        <x:f>IF(G1376=0,"无伤害",ROUNDUP(K1376/MAX(1,ROUND(G1376*$AC$37,0)),0))</x:f>
        <x:v>5</x:v>
      </x:c>
      <x:c r="N1376" s="6">
        <x:f>ROUNDUP(F1376/英雄升级调参!$H$79,0)</x:f>
        <x:v>18</x:v>
      </x:c>
      <x:c r="O1376" s="6">
        <x:f>ROUNDUP(F1376/英雄升级调参!$K$79,0)</x:f>
        <x:v>11</x:v>
      </x:c>
      <x:c r="P1376" s="6" t="str">
        <x:f>$AA$37</x:f>
        <x:v>BOSS：30次标准普攻击杀；5次主要攻击致死</x:v>
      </x:c>
      <x:c r="Q1376" s="6"/>
      <x:c r="R1376" s="6"/>
      <x:c r="S1376" s="6"/>
      <x:c r="T1376" s="6"/>
    </x:row>
    <x:row r="1377" ht="21" customHeight="1">
      <x:c r="A1377" s="14" t="n">
        <x:f>$V$37</x:f>
        <x:v>60024</x:v>
      </x:c>
      <x:c r="B1377" s="14" t="str">
        <x:f>$W$37</x:f>
        <x:v>荔枝滚滚BOSS</x:v>
      </x:c>
      <x:c r="C1377" s="6" t="str">
        <x:f>$X$37</x:f>
        <x:v>BOSS</x:v>
      </x:c>
      <x:c r="D1377" s="6">
        <x:v>15</x:v>
      </x:c>
      <x:c r="E1377" s="6">
        <x:v>37</x:v>
      </x:c>
      <x:c r="F1377" s="12">
        <x:f>ROUND(J1377*$W$4*H1377,0)</x:f>
        <x:v>18270</x:v>
      </x:c>
      <x:c r="G1377" s="12">
        <x:f>ROUND(J1377*$W$4*$W$5*I1377,0)</x:f>
        <x:v>6090</x:v>
      </x:c>
      <x:c r="H1377" s="11" t="n">
        <x:f>$Y$37</x:f>
        <x:v>7.5</x:v>
      </x:c>
      <x:c r="I1377" s="11" t="n">
        <x:f>$Z$37</x:f>
        <x:v>33.333333333333336</x:v>
      </x:c>
      <x:c r="J1377" s="12">
        <x:f>英雄升级调参!$E$80</x:f>
        <x:v>609</x:v>
      </x:c>
      <x:c r="K1377" s="12">
        <x:f>英雄升级调参!$F$80</x:f>
        <x:v>6090</x:v>
      </x:c>
      <x:c r="L1377" s="6" t="n">
        <x:f>ROUNDUP(F1377/J1377,0)</x:f>
        <x:v>30</x:v>
      </x:c>
      <x:c r="M1377" s="6" t="n">
        <x:f>IF(G1377=0,"无伤害",ROUNDUP(K1377/MAX(1,ROUND(G1377*$AC$37,0)),0))</x:f>
        <x:v>5</x:v>
      </x:c>
      <x:c r="N1377" s="6">
        <x:f>ROUNDUP(F1377/英雄升级调参!$H$80,0)</x:f>
        <x:v>18</x:v>
      </x:c>
      <x:c r="O1377" s="6">
        <x:f>ROUNDUP(F1377/英雄升级调参!$K$80,0)</x:f>
        <x:v>11</x:v>
      </x:c>
      <x:c r="P1377" s="6" t="str">
        <x:f>$AA$37</x:f>
        <x:v>BOSS：30次标准普攻击杀；5次主要攻击致死</x:v>
      </x:c>
      <x:c r="Q1377" s="6"/>
      <x:c r="R1377" s="6"/>
      <x:c r="S1377" s="6"/>
      <x:c r="T1377" s="6"/>
    </x:row>
    <x:row r="1378" ht="21" customHeight="1">
      <x:c r="A1378" s="14" t="n">
        <x:f>$V$37</x:f>
        <x:v>60024</x:v>
      </x:c>
      <x:c r="B1378" s="14" t="str">
        <x:f>$W$37</x:f>
        <x:v>荔枝滚滚BOSS</x:v>
      </x:c>
      <x:c r="C1378" s="6" t="str">
        <x:f>$X$37</x:f>
        <x:v>BOSS</x:v>
      </x:c>
      <x:c r="D1378" s="6">
        <x:v>16</x:v>
      </x:c>
      <x:c r="E1378" s="6">
        <x:v>37</x:v>
      </x:c>
      <x:c r="F1378" s="12">
        <x:f>ROUND(J1378*$W$4*H1378,0)</x:f>
        <x:v>19620</x:v>
      </x:c>
      <x:c r="G1378" s="12">
        <x:f>ROUND(J1378*$W$4*$W$5*I1378,0)</x:f>
        <x:v>6540</x:v>
      </x:c>
      <x:c r="H1378" s="11" t="n">
        <x:f>$Y$37</x:f>
        <x:v>7.5</x:v>
      </x:c>
      <x:c r="I1378" s="11" t="n">
        <x:f>$Z$37</x:f>
        <x:v>33.333333333333336</x:v>
      </x:c>
      <x:c r="J1378" s="12">
        <x:f>英雄升级调参!$E$81</x:f>
        <x:v>654</x:v>
      </x:c>
      <x:c r="K1378" s="12">
        <x:f>英雄升级调参!$F$81</x:f>
        <x:v>6540</x:v>
      </x:c>
      <x:c r="L1378" s="6" t="n">
        <x:f>ROUNDUP(F1378/J1378,0)</x:f>
        <x:v>30</x:v>
      </x:c>
      <x:c r="M1378" s="6" t="n">
        <x:f>IF(G1378=0,"无伤害",ROUNDUP(K1378/MAX(1,ROUND(G1378*$AC$37,0)),0))</x:f>
        <x:v>5</x:v>
      </x:c>
      <x:c r="N1378" s="6">
        <x:f>ROUNDUP(F1378/英雄升级调参!$H$81,0)</x:f>
        <x:v>18</x:v>
      </x:c>
      <x:c r="O1378" s="6">
        <x:f>ROUNDUP(F1378/英雄升级调参!$K$81,0)</x:f>
        <x:v>11</x:v>
      </x:c>
      <x:c r="P1378" s="6" t="str">
        <x:f>$AA$37</x:f>
        <x:v>BOSS：30次标准普攻击杀；5次主要攻击致死</x:v>
      </x:c>
      <x:c r="Q1378" s="6"/>
      <x:c r="R1378" s="6"/>
      <x:c r="S1378" s="6"/>
      <x:c r="T1378" s="6"/>
    </x:row>
    <x:row r="1379" ht="21" customHeight="1">
      <x:c r="A1379" s="14" t="n">
        <x:f>$V$37</x:f>
        <x:v>60024</x:v>
      </x:c>
      <x:c r="B1379" s="14" t="str">
        <x:f>$W$37</x:f>
        <x:v>荔枝滚滚BOSS</x:v>
      </x:c>
      <x:c r="C1379" s="6" t="str">
        <x:f>$X$37</x:f>
        <x:v>BOSS</x:v>
      </x:c>
      <x:c r="D1379" s="6">
        <x:v>17</x:v>
      </x:c>
      <x:c r="E1379" s="6">
        <x:v>37</x:v>
      </x:c>
      <x:c r="F1379" s="12">
        <x:f>ROUND(J1379*$W$4*H1379,0)</x:f>
        <x:v>20970</x:v>
      </x:c>
      <x:c r="G1379" s="12">
        <x:f>ROUND(J1379*$W$4*$W$5*I1379,0)</x:f>
        <x:v>6990</x:v>
      </x:c>
      <x:c r="H1379" s="11" t="n">
        <x:f>$Y$37</x:f>
        <x:v>7.5</x:v>
      </x:c>
      <x:c r="I1379" s="11" t="n">
        <x:f>$Z$37</x:f>
        <x:v>33.333333333333336</x:v>
      </x:c>
      <x:c r="J1379" s="12">
        <x:f>英雄升级调参!$E$82</x:f>
        <x:v>699</x:v>
      </x:c>
      <x:c r="K1379" s="12">
        <x:f>英雄升级调参!$F$82</x:f>
        <x:v>6990</x:v>
      </x:c>
      <x:c r="L1379" s="6" t="n">
        <x:f>ROUNDUP(F1379/J1379,0)</x:f>
        <x:v>30</x:v>
      </x:c>
      <x:c r="M1379" s="6" t="n">
        <x:f>IF(G1379=0,"无伤害",ROUNDUP(K1379/MAX(1,ROUND(G1379*$AC$37,0)),0))</x:f>
        <x:v>5</x:v>
      </x:c>
      <x:c r="N1379" s="6">
        <x:f>ROUNDUP(F1379/英雄升级调参!$H$82,0)</x:f>
        <x:v>19</x:v>
      </x:c>
      <x:c r="O1379" s="6">
        <x:f>ROUNDUP(F1379/英雄升级调参!$K$82,0)</x:f>
        <x:v>11</x:v>
      </x:c>
      <x:c r="P1379" s="6" t="str">
        <x:f>$AA$37</x:f>
        <x:v>BOSS：30次标准普攻击杀；5次主要攻击致死</x:v>
      </x:c>
      <x:c r="Q1379" s="6"/>
      <x:c r="R1379" s="6"/>
      <x:c r="S1379" s="6"/>
      <x:c r="T1379" s="6"/>
    </x:row>
    <x:row r="1380" ht="21" customHeight="1">
      <x:c r="A1380" s="14" t="n">
        <x:f>$V$37</x:f>
        <x:v>60024</x:v>
      </x:c>
      <x:c r="B1380" s="14" t="str">
        <x:f>$W$37</x:f>
        <x:v>荔枝滚滚BOSS</x:v>
      </x:c>
      <x:c r="C1380" s="6" t="str">
        <x:f>$X$37</x:f>
        <x:v>BOSS</x:v>
      </x:c>
      <x:c r="D1380" s="6">
        <x:v>18</x:v>
      </x:c>
      <x:c r="E1380" s="6">
        <x:v>37</x:v>
      </x:c>
      <x:c r="F1380" s="12">
        <x:f>ROUND(J1380*$W$4*H1380,0)</x:f>
        <x:v>22320</x:v>
      </x:c>
      <x:c r="G1380" s="12">
        <x:f>ROUND(J1380*$W$4*$W$5*I1380,0)</x:f>
        <x:v>7440</x:v>
      </x:c>
      <x:c r="H1380" s="11" t="n">
        <x:f>$Y$37</x:f>
        <x:v>7.5</x:v>
      </x:c>
      <x:c r="I1380" s="11" t="n">
        <x:f>$Z$37</x:f>
        <x:v>33.333333333333336</x:v>
      </x:c>
      <x:c r="J1380" s="12">
        <x:f>英雄升级调参!$E$83</x:f>
        <x:v>744</x:v>
      </x:c>
      <x:c r="K1380" s="12">
        <x:f>英雄升级调参!$F$83</x:f>
        <x:v>7440</x:v>
      </x:c>
      <x:c r="L1380" s="6" t="n">
        <x:f>ROUNDUP(F1380/J1380,0)</x:f>
        <x:v>30</x:v>
      </x:c>
      <x:c r="M1380" s="6" t="n">
        <x:f>IF(G1380=0,"无伤害",ROUNDUP(K1380/MAX(1,ROUND(G1380*$AC$37,0)),0))</x:f>
        <x:v>5</x:v>
      </x:c>
      <x:c r="N1380" s="6">
        <x:f>ROUNDUP(F1380/英雄升级调参!$H$83,0)</x:f>
        <x:v>19</x:v>
      </x:c>
      <x:c r="O1380" s="6">
        <x:f>ROUNDUP(F1380/英雄升级调参!$K$83,0)</x:f>
        <x:v>11</x:v>
      </x:c>
      <x:c r="P1380" s="6" t="str">
        <x:f>$AA$37</x:f>
        <x:v>BOSS：30次标准普攻击杀；5次主要攻击致死</x:v>
      </x:c>
      <x:c r="Q1380" s="6"/>
      <x:c r="R1380" s="6"/>
      <x:c r="S1380" s="6"/>
      <x:c r="T1380" s="6"/>
    </x:row>
    <x:row r="1381" ht="21" customHeight="1">
      <x:c r="A1381" s="14" t="n">
        <x:f>$V$37</x:f>
        <x:v>60024</x:v>
      </x:c>
      <x:c r="B1381" s="14" t="str">
        <x:f>$W$37</x:f>
        <x:v>荔枝滚滚BOSS</x:v>
      </x:c>
      <x:c r="C1381" s="6" t="str">
        <x:f>$X$37</x:f>
        <x:v>BOSS</x:v>
      </x:c>
      <x:c r="D1381" s="6">
        <x:v>19</x:v>
      </x:c>
      <x:c r="E1381" s="6">
        <x:v>37</x:v>
      </x:c>
      <x:c r="F1381" s="12">
        <x:f>ROUND(J1381*$W$4*H1381,0)</x:f>
        <x:v>23670</x:v>
      </x:c>
      <x:c r="G1381" s="12">
        <x:f>ROUND(J1381*$W$4*$W$5*I1381,0)</x:f>
        <x:v>7890</x:v>
      </x:c>
      <x:c r="H1381" s="11" t="n">
        <x:f>$Y$37</x:f>
        <x:v>7.5</x:v>
      </x:c>
      <x:c r="I1381" s="11" t="n">
        <x:f>$Z$37</x:f>
        <x:v>33.333333333333336</x:v>
      </x:c>
      <x:c r="J1381" s="12">
        <x:f>英雄升级调参!$E$84</x:f>
        <x:v>789</x:v>
      </x:c>
      <x:c r="K1381" s="12">
        <x:f>英雄升级调参!$F$84</x:f>
        <x:v>7890</x:v>
      </x:c>
      <x:c r="L1381" s="6" t="n">
        <x:f>ROUNDUP(F1381/J1381,0)</x:f>
        <x:v>30</x:v>
      </x:c>
      <x:c r="M1381" s="6" t="n">
        <x:f>IF(G1381=0,"无伤害",ROUNDUP(K1381/MAX(1,ROUND(G1381*$AC$37,0)),0))</x:f>
        <x:v>5</x:v>
      </x:c>
      <x:c r="N1381" s="6">
        <x:f>ROUNDUP(F1381/英雄升级调参!$H$84,0)</x:f>
        <x:v>19</x:v>
      </x:c>
      <x:c r="O1381" s="6">
        <x:f>ROUNDUP(F1381/英雄升级调参!$K$84,0)</x:f>
        <x:v>11</x:v>
      </x:c>
      <x:c r="P1381" s="6" t="str">
        <x:f>$AA$37</x:f>
        <x:v>BOSS：30次标准普攻击杀；5次主要攻击致死</x:v>
      </x:c>
      <x:c r="Q1381" s="6"/>
      <x:c r="R1381" s="6"/>
      <x:c r="S1381" s="6"/>
      <x:c r="T1381" s="6"/>
    </x:row>
    <x:row r="1382" ht="21" customHeight="1">
      <x:c r="A1382" s="14" t="n">
        <x:f>$V$37</x:f>
        <x:v>60024</x:v>
      </x:c>
      <x:c r="B1382" s="14" t="str">
        <x:f>$W$37</x:f>
        <x:v>荔枝滚滚BOSS</x:v>
      </x:c>
      <x:c r="C1382" s="6" t="str">
        <x:f>$X$37</x:f>
        <x:v>BOSS</x:v>
      </x:c>
      <x:c r="D1382" s="6">
        <x:v>20</x:v>
      </x:c>
      <x:c r="E1382" s="6">
        <x:v>37</x:v>
      </x:c>
      <x:c r="F1382" s="12">
        <x:f>ROUND(J1382*$W$4*H1382,0)</x:f>
        <x:v>27720</x:v>
      </x:c>
      <x:c r="G1382" s="12">
        <x:f>ROUND(J1382*$W$4*$W$5*I1382,0)</x:f>
        <x:v>9240</x:v>
      </x:c>
      <x:c r="H1382" s="11" t="n">
        <x:f>$Y$37</x:f>
        <x:v>7.5</x:v>
      </x:c>
      <x:c r="I1382" s="11" t="n">
        <x:f>$Z$37</x:f>
        <x:v>33.333333333333336</x:v>
      </x:c>
      <x:c r="J1382" s="12">
        <x:f>英雄升级调参!$E$85</x:f>
        <x:v>924</x:v>
      </x:c>
      <x:c r="K1382" s="12">
        <x:f>英雄升级调参!$F$85</x:f>
        <x:v>9240</x:v>
      </x:c>
      <x:c r="L1382" s="6" t="n">
        <x:f>ROUNDUP(F1382/J1382,0)</x:f>
        <x:v>30</x:v>
      </x:c>
      <x:c r="M1382" s="6" t="n">
        <x:f>IF(G1382=0,"无伤害",ROUNDUP(K1382/MAX(1,ROUND(G1382*$AC$37,0)),0))</x:f>
        <x:v>5</x:v>
      </x:c>
      <x:c r="N1382" s="6">
        <x:f>ROUNDUP(F1382/英雄升级调参!$H$85,0)</x:f>
        <x:v>19</x:v>
      </x:c>
      <x:c r="O1382" s="6">
        <x:f>ROUNDUP(F1382/英雄升级调参!$K$85,0)</x:f>
        <x:v>11</x:v>
      </x:c>
      <x:c r="P1382" s="6" t="str">
        <x:f>$AA$37</x:f>
        <x:v>BOSS：30次标准普攻击杀；5次主要攻击致死</x:v>
      </x:c>
      <x:c r="Q1382" s="6"/>
      <x:c r="R1382" s="6"/>
      <x:c r="S1382" s="6"/>
      <x:c r="T1382" s="6"/>
    </x:row>
    <x:row r="1383" ht="21" customHeight="1">
      <x:c r="A1383" s="14" t="n">
        <x:f>$V$37</x:f>
        <x:v>60024</x:v>
      </x:c>
      <x:c r="B1383" s="14" t="str">
        <x:f>$W$37</x:f>
        <x:v>荔枝滚滚BOSS</x:v>
      </x:c>
      <x:c r="C1383" s="6" t="str">
        <x:f>$X$37</x:f>
        <x:v>BOSS</x:v>
      </x:c>
      <x:c r="D1383" s="6">
        <x:v>21</x:v>
      </x:c>
      <x:c r="E1383" s="6">
        <x:v>37</x:v>
      </x:c>
      <x:c r="F1383" s="12">
        <x:f>ROUND(J1383*$W$4*H1383,0)</x:f>
        <x:v>29340</x:v>
      </x:c>
      <x:c r="G1383" s="12">
        <x:f>ROUND(J1383*$W$4*$W$5*I1383,0)</x:f>
        <x:v>9780</x:v>
      </x:c>
      <x:c r="H1383" s="11" t="n">
        <x:f>$Y$37</x:f>
        <x:v>7.5</x:v>
      </x:c>
      <x:c r="I1383" s="11" t="n">
        <x:f>$Z$37</x:f>
        <x:v>33.333333333333336</x:v>
      </x:c>
      <x:c r="J1383" s="12">
        <x:f>英雄升级调参!$E$86</x:f>
        <x:v>978</x:v>
      </x:c>
      <x:c r="K1383" s="12">
        <x:f>英雄升级调参!$F$86</x:f>
        <x:v>9780</x:v>
      </x:c>
      <x:c r="L1383" s="6" t="n">
        <x:f>ROUNDUP(F1383/J1383,0)</x:f>
        <x:v>30</x:v>
      </x:c>
      <x:c r="M1383" s="6" t="n">
        <x:f>IF(G1383=0,"无伤害",ROUNDUP(K1383/MAX(1,ROUND(G1383*$AC$37,0)),0))</x:f>
        <x:v>5</x:v>
      </x:c>
      <x:c r="N1383" s="6">
        <x:f>ROUNDUP(F1383/英雄升级调参!$H$86,0)</x:f>
        <x:v>19</x:v>
      </x:c>
      <x:c r="O1383" s="6">
        <x:f>ROUNDUP(F1383/英雄升级调参!$K$86,0)</x:f>
        <x:v>12</x:v>
      </x:c>
      <x:c r="P1383" s="6" t="str">
        <x:f>$AA$37</x:f>
        <x:v>BOSS：30次标准普攻击杀；5次主要攻击致死</x:v>
      </x:c>
      <x:c r="Q1383" s="6"/>
      <x:c r="R1383" s="6"/>
      <x:c r="S1383" s="6"/>
      <x:c r="T1383" s="6"/>
    </x:row>
    <x:row r="1384" ht="21" customHeight="1">
      <x:c r="A1384" s="14" t="n">
        <x:f>$V$37</x:f>
        <x:v>60024</x:v>
      </x:c>
      <x:c r="B1384" s="14" t="str">
        <x:f>$W$37</x:f>
        <x:v>荔枝滚滚BOSS</x:v>
      </x:c>
      <x:c r="C1384" s="6" t="str">
        <x:f>$X$37</x:f>
        <x:v>BOSS</x:v>
      </x:c>
      <x:c r="D1384" s="6">
        <x:v>22</x:v>
      </x:c>
      <x:c r="E1384" s="6">
        <x:v>37</x:v>
      </x:c>
      <x:c r="F1384" s="12">
        <x:f>ROUND(J1384*$W$4*H1384,0)</x:f>
        <x:v>30960</x:v>
      </x:c>
      <x:c r="G1384" s="12">
        <x:f>ROUND(J1384*$W$4*$W$5*I1384,0)</x:f>
        <x:v>10320</x:v>
      </x:c>
      <x:c r="H1384" s="11" t="n">
        <x:f>$Y$37</x:f>
        <x:v>7.5</x:v>
      </x:c>
      <x:c r="I1384" s="11" t="n">
        <x:f>$Z$37</x:f>
        <x:v>33.333333333333336</x:v>
      </x:c>
      <x:c r="J1384" s="12">
        <x:f>英雄升级调参!$E$87</x:f>
        <x:v>1032</x:v>
      </x:c>
      <x:c r="K1384" s="12">
        <x:f>英雄升级调参!$F$87</x:f>
        <x:v>10320</x:v>
      </x:c>
      <x:c r="L1384" s="6" t="n">
        <x:f>ROUNDUP(F1384/J1384,0)</x:f>
        <x:v>30</x:v>
      </x:c>
      <x:c r="M1384" s="6" t="n">
        <x:f>IF(G1384=0,"无伤害",ROUNDUP(K1384/MAX(1,ROUND(G1384*$AC$37,0)),0))</x:f>
        <x:v>5</x:v>
      </x:c>
      <x:c r="N1384" s="6">
        <x:f>ROUNDUP(F1384/英雄升级调参!$H$87,0)</x:f>
        <x:v>19</x:v>
      </x:c>
      <x:c r="O1384" s="6">
        <x:f>ROUNDUP(F1384/英雄升级调参!$K$87,0)</x:f>
        <x:v>12</x:v>
      </x:c>
      <x:c r="P1384" s="6" t="str">
        <x:f>$AA$37</x:f>
        <x:v>BOSS：30次标准普攻击杀；5次主要攻击致死</x:v>
      </x:c>
      <x:c r="Q1384" s="6"/>
      <x:c r="R1384" s="6"/>
      <x:c r="S1384" s="6"/>
      <x:c r="T1384" s="6"/>
    </x:row>
    <x:row r="1385" ht="21" customHeight="1">
      <x:c r="A1385" s="14" t="n">
        <x:f>$V$37</x:f>
        <x:v>60024</x:v>
      </x:c>
      <x:c r="B1385" s="14" t="str">
        <x:f>$W$37</x:f>
        <x:v>荔枝滚滚BOSS</x:v>
      </x:c>
      <x:c r="C1385" s="6" t="str">
        <x:f>$X$37</x:f>
        <x:v>BOSS</x:v>
      </x:c>
      <x:c r="D1385" s="6">
        <x:v>23</x:v>
      </x:c>
      <x:c r="E1385" s="6">
        <x:v>37</x:v>
      </x:c>
      <x:c r="F1385" s="12">
        <x:f>ROUND(J1385*$W$4*H1385,0)</x:f>
        <x:v>32580</x:v>
      </x:c>
      <x:c r="G1385" s="12">
        <x:f>ROUND(J1385*$W$4*$W$5*I1385,0)</x:f>
        <x:v>10860</x:v>
      </x:c>
      <x:c r="H1385" s="11" t="n">
        <x:f>$Y$37</x:f>
        <x:v>7.5</x:v>
      </x:c>
      <x:c r="I1385" s="11" t="n">
        <x:f>$Z$37</x:f>
        <x:v>33.333333333333336</x:v>
      </x:c>
      <x:c r="J1385" s="12">
        <x:f>英雄升级调参!$E$88</x:f>
        <x:v>1086</x:v>
      </x:c>
      <x:c r="K1385" s="12">
        <x:f>英雄升级调参!$F$88</x:f>
        <x:v>10860</x:v>
      </x:c>
      <x:c r="L1385" s="6" t="n">
        <x:f>ROUNDUP(F1385/J1385,0)</x:f>
        <x:v>30</x:v>
      </x:c>
      <x:c r="M1385" s="6" t="n">
        <x:f>IF(G1385=0,"无伤害",ROUNDUP(K1385/MAX(1,ROUND(G1385*$AC$37,0)),0))</x:f>
        <x:v>5</x:v>
      </x:c>
      <x:c r="N1385" s="6">
        <x:f>ROUNDUP(F1385/英雄升级调参!$H$88,0)</x:f>
        <x:v>19</x:v>
      </x:c>
      <x:c r="O1385" s="6">
        <x:f>ROUNDUP(F1385/英雄升级调参!$K$88,0)</x:f>
        <x:v>12</x:v>
      </x:c>
      <x:c r="P1385" s="6" t="str">
        <x:f>$AA$37</x:f>
        <x:v>BOSS：30次标准普攻击杀；5次主要攻击致死</x:v>
      </x:c>
      <x:c r="Q1385" s="6"/>
      <x:c r="R1385" s="6"/>
      <x:c r="S1385" s="6"/>
      <x:c r="T1385" s="6"/>
    </x:row>
    <x:row r="1386" ht="21" customHeight="1">
      <x:c r="A1386" s="14" t="n">
        <x:f>$V$37</x:f>
        <x:v>60024</x:v>
      </x:c>
      <x:c r="B1386" s="14" t="str">
        <x:f>$W$37</x:f>
        <x:v>荔枝滚滚BOSS</x:v>
      </x:c>
      <x:c r="C1386" s="6" t="str">
        <x:f>$X$37</x:f>
        <x:v>BOSS</x:v>
      </x:c>
      <x:c r="D1386" s="6">
        <x:v>24</x:v>
      </x:c>
      <x:c r="E1386" s="6">
        <x:v>37</x:v>
      </x:c>
      <x:c r="F1386" s="12">
        <x:f>ROUND(J1386*$W$4*H1386,0)</x:f>
        <x:v>34200</x:v>
      </x:c>
      <x:c r="G1386" s="12">
        <x:f>ROUND(J1386*$W$4*$W$5*I1386,0)</x:f>
        <x:v>11400</x:v>
      </x:c>
      <x:c r="H1386" s="11" t="n">
        <x:f>$Y$37</x:f>
        <x:v>7.5</x:v>
      </x:c>
      <x:c r="I1386" s="11" t="n">
        <x:f>$Z$37</x:f>
        <x:v>33.333333333333336</x:v>
      </x:c>
      <x:c r="J1386" s="12">
        <x:f>英雄升级调参!$E$89</x:f>
        <x:v>1140</x:v>
      </x:c>
      <x:c r="K1386" s="12">
        <x:f>英雄升级调参!$F$89</x:f>
        <x:v>11400</x:v>
      </x:c>
      <x:c r="L1386" s="6" t="n">
        <x:f>ROUNDUP(F1386/J1386,0)</x:f>
        <x:v>30</x:v>
      </x:c>
      <x:c r="M1386" s="6" t="n">
        <x:f>IF(G1386=0,"无伤害",ROUNDUP(K1386/MAX(1,ROUND(G1386*$AC$37,0)),0))</x:f>
        <x:v>5</x:v>
      </x:c>
      <x:c r="N1386" s="6">
        <x:f>ROUNDUP(F1386/英雄升级调参!$H$89,0)</x:f>
        <x:v>19</x:v>
      </x:c>
      <x:c r="O1386" s="6">
        <x:f>ROUNDUP(F1386/英雄升级调参!$K$89,0)</x:f>
        <x:v>12</x:v>
      </x:c>
      <x:c r="P1386" s="6" t="str">
        <x:f>$AA$37</x:f>
        <x:v>BOSS：30次标准普攻击杀；5次主要攻击致死</x:v>
      </x:c>
      <x:c r="Q1386" s="6"/>
      <x:c r="R1386" s="6"/>
      <x:c r="S1386" s="6"/>
      <x:c r="T1386" s="6"/>
    </x:row>
    <x:row r="1387" ht="21" customHeight="1">
      <x:c r="A1387" s="14" t="n">
        <x:f>$V$37</x:f>
        <x:v>60024</x:v>
      </x:c>
      <x:c r="B1387" s="14" t="str">
        <x:f>$W$37</x:f>
        <x:v>荔枝滚滚BOSS</x:v>
      </x:c>
      <x:c r="C1387" s="6" t="str">
        <x:f>$X$37</x:f>
        <x:v>BOSS</x:v>
      </x:c>
      <x:c r="D1387" s="6">
        <x:v>25</x:v>
      </x:c>
      <x:c r="E1387" s="6">
        <x:v>37</x:v>
      </x:c>
      <x:c r="F1387" s="12">
        <x:f>ROUND(J1387*$W$4*H1387,0)</x:f>
        <x:v>39060</x:v>
      </x:c>
      <x:c r="G1387" s="12">
        <x:f>ROUND(J1387*$W$4*$W$5*I1387,0)</x:f>
        <x:v>13020</x:v>
      </x:c>
      <x:c r="H1387" s="11" t="n">
        <x:f>$Y$37</x:f>
        <x:v>7.5</x:v>
      </x:c>
      <x:c r="I1387" s="11" t="n">
        <x:f>$Z$37</x:f>
        <x:v>33.333333333333336</x:v>
      </x:c>
      <x:c r="J1387" s="12">
        <x:f>英雄升级调参!$E$90</x:f>
        <x:v>1302</x:v>
      </x:c>
      <x:c r="K1387" s="12">
        <x:f>英雄升级调参!$F$90</x:f>
        <x:v>13020</x:v>
      </x:c>
      <x:c r="L1387" s="6" t="n">
        <x:f>ROUNDUP(F1387/J1387,0)</x:f>
        <x:v>30</x:v>
      </x:c>
      <x:c r="M1387" s="6" t="n">
        <x:f>IF(G1387=0,"无伤害",ROUNDUP(K1387/MAX(1,ROUND(G1387*$AC$37,0)),0))</x:f>
        <x:v>5</x:v>
      </x:c>
      <x:c r="N1387" s="6">
        <x:f>ROUNDUP(F1387/英雄升级调参!$H$90,0)</x:f>
        <x:v>19</x:v>
      </x:c>
      <x:c r="O1387" s="6">
        <x:f>ROUNDUP(F1387/英雄升级调参!$K$90,0)</x:f>
        <x:v>12</x:v>
      </x:c>
      <x:c r="P1387" s="6" t="str">
        <x:f>$AA$37</x:f>
        <x:v>BOSS：30次标准普攻击杀；5次主要攻击致死</x:v>
      </x:c>
      <x:c r="Q1387" s="6"/>
      <x:c r="R1387" s="6"/>
      <x:c r="S1387" s="6"/>
      <x:c r="T1387" s="6"/>
    </x:row>
    <x:row r="1388" ht="21" customHeight="1">
      <x:c r="A1388" s="14" t="n">
        <x:f>$V$37</x:f>
        <x:v>60024</x:v>
      </x:c>
      <x:c r="B1388" s="14" t="str">
        <x:f>$W$37</x:f>
        <x:v>荔枝滚滚BOSS</x:v>
      </x:c>
      <x:c r="C1388" s="6" t="str">
        <x:f>$X$37</x:f>
        <x:v>BOSS</x:v>
      </x:c>
      <x:c r="D1388" s="6">
        <x:v>26</x:v>
      </x:c>
      <x:c r="E1388" s="6">
        <x:v>37</x:v>
      </x:c>
      <x:c r="F1388" s="12">
        <x:f>ROUND(J1388*$W$4*H1388,0)</x:f>
        <x:v>40950</x:v>
      </x:c>
      <x:c r="G1388" s="12">
        <x:f>ROUND(J1388*$W$4*$W$5*I1388,0)</x:f>
        <x:v>13650</x:v>
      </x:c>
      <x:c r="H1388" s="11" t="n">
        <x:f>$Y$37</x:f>
        <x:v>7.5</x:v>
      </x:c>
      <x:c r="I1388" s="11" t="n">
        <x:f>$Z$37</x:f>
        <x:v>33.333333333333336</x:v>
      </x:c>
      <x:c r="J1388" s="12">
        <x:f>英雄升级调参!$E$91</x:f>
        <x:v>1365</x:v>
      </x:c>
      <x:c r="K1388" s="12">
        <x:f>英雄升级调参!$F$91</x:f>
        <x:v>13650</x:v>
      </x:c>
      <x:c r="L1388" s="6" t="n">
        <x:f>ROUNDUP(F1388/J1388,0)</x:f>
        <x:v>30</x:v>
      </x:c>
      <x:c r="M1388" s="6" t="n">
        <x:f>IF(G1388=0,"无伤害",ROUNDUP(K1388/MAX(1,ROUND(G1388*$AC$37,0)),0))</x:f>
        <x:v>5</x:v>
      </x:c>
      <x:c r="N1388" s="6">
        <x:f>ROUNDUP(F1388/英雄升级调参!$H$91,0)</x:f>
        <x:v>19</x:v>
      </x:c>
      <x:c r="O1388" s="6">
        <x:f>ROUNDUP(F1388/英雄升级调参!$K$91,0)</x:f>
        <x:v>12</x:v>
      </x:c>
      <x:c r="P1388" s="6" t="str">
        <x:f>$AA$37</x:f>
        <x:v>BOSS：30次标准普攻击杀；5次主要攻击致死</x:v>
      </x:c>
      <x:c r="Q1388" s="6"/>
      <x:c r="R1388" s="6"/>
      <x:c r="S1388" s="6"/>
      <x:c r="T1388" s="6"/>
    </x:row>
    <x:row r="1389" ht="21" customHeight="1">
      <x:c r="A1389" s="14" t="n">
        <x:f>$V$37</x:f>
        <x:v>60024</x:v>
      </x:c>
      <x:c r="B1389" s="14" t="str">
        <x:f>$W$37</x:f>
        <x:v>荔枝滚滚BOSS</x:v>
      </x:c>
      <x:c r="C1389" s="6" t="str">
        <x:f>$X$37</x:f>
        <x:v>BOSS</x:v>
      </x:c>
      <x:c r="D1389" s="6">
        <x:v>27</x:v>
      </x:c>
      <x:c r="E1389" s="6">
        <x:v>37</x:v>
      </x:c>
      <x:c r="F1389" s="12">
        <x:f>ROUND(J1389*$W$4*H1389,0)</x:f>
        <x:v>42840</x:v>
      </x:c>
      <x:c r="G1389" s="12">
        <x:f>ROUND(J1389*$W$4*$W$5*I1389,0)</x:f>
        <x:v>14280</x:v>
      </x:c>
      <x:c r="H1389" s="11" t="n">
        <x:f>$Y$37</x:f>
        <x:v>7.5</x:v>
      </x:c>
      <x:c r="I1389" s="11" t="n">
        <x:f>$Z$37</x:f>
        <x:v>33.333333333333336</x:v>
      </x:c>
      <x:c r="J1389" s="12">
        <x:f>英雄升级调参!$E$92</x:f>
        <x:v>1428</x:v>
      </x:c>
      <x:c r="K1389" s="12">
        <x:f>英雄升级调参!$F$92</x:f>
        <x:v>14280</x:v>
      </x:c>
      <x:c r="L1389" s="6" t="n">
        <x:f>ROUNDUP(F1389/J1389,0)</x:f>
        <x:v>30</x:v>
      </x:c>
      <x:c r="M1389" s="6" t="n">
        <x:f>IF(G1389=0,"无伤害",ROUNDUP(K1389/MAX(1,ROUND(G1389*$AC$37,0)),0))</x:f>
        <x:v>5</x:v>
      </x:c>
      <x:c r="N1389" s="6">
        <x:f>ROUNDUP(F1389/英雄升级调参!$H$92,0)</x:f>
        <x:v>19</x:v>
      </x:c>
      <x:c r="O1389" s="6">
        <x:f>ROUNDUP(F1389/英雄升级调参!$K$92,0)</x:f>
        <x:v>12</x:v>
      </x:c>
      <x:c r="P1389" s="6" t="str">
        <x:f>$AA$37</x:f>
        <x:v>BOSS：30次标准普攻击杀；5次主要攻击致死</x:v>
      </x:c>
      <x:c r="Q1389" s="6"/>
      <x:c r="R1389" s="6"/>
      <x:c r="S1389" s="6"/>
      <x:c r="T1389" s="6"/>
    </x:row>
    <x:row r="1390" ht="21" customHeight="1">
      <x:c r="A1390" s="14" t="n">
        <x:f>$V$37</x:f>
        <x:v>60024</x:v>
      </x:c>
      <x:c r="B1390" s="14" t="str">
        <x:f>$W$37</x:f>
        <x:v>荔枝滚滚BOSS</x:v>
      </x:c>
      <x:c r="C1390" s="6" t="str">
        <x:f>$X$37</x:f>
        <x:v>BOSS</x:v>
      </x:c>
      <x:c r="D1390" s="6">
        <x:v>28</x:v>
      </x:c>
      <x:c r="E1390" s="6">
        <x:v>37</x:v>
      </x:c>
      <x:c r="F1390" s="12">
        <x:f>ROUND(J1390*$W$4*H1390,0)</x:f>
        <x:v>44730</x:v>
      </x:c>
      <x:c r="G1390" s="12">
        <x:f>ROUND(J1390*$W$4*$W$5*I1390,0)</x:f>
        <x:v>14910</x:v>
      </x:c>
      <x:c r="H1390" s="11" t="n">
        <x:f>$Y$37</x:f>
        <x:v>7.5</x:v>
      </x:c>
      <x:c r="I1390" s="11" t="n">
        <x:f>$Z$37</x:f>
        <x:v>33.333333333333336</x:v>
      </x:c>
      <x:c r="J1390" s="12">
        <x:f>英雄升级调参!$E$93</x:f>
        <x:v>1491</x:v>
      </x:c>
      <x:c r="K1390" s="12">
        <x:f>英雄升级调参!$F$93</x:f>
        <x:v>14910</x:v>
      </x:c>
      <x:c r="L1390" s="6" t="n">
        <x:f>ROUNDUP(F1390/J1390,0)</x:f>
        <x:v>30</x:v>
      </x:c>
      <x:c r="M1390" s="6" t="n">
        <x:f>IF(G1390=0,"无伤害",ROUNDUP(K1390/MAX(1,ROUND(G1390*$AC$37,0)),0))</x:f>
        <x:v>5</x:v>
      </x:c>
      <x:c r="N1390" s="6" t="n">
        <x:f>ROUNDUP(F1390/英雄升级调参!$H$93,0)</x:f>
        <x:v>20</x:v>
      </x:c>
      <x:c r="O1390" s="6">
        <x:f>ROUNDUP(F1390/英雄升级调参!$K$93,0)</x:f>
        <x:v>12</x:v>
      </x:c>
      <x:c r="P1390" s="6" t="str">
        <x:f>$AA$37</x:f>
        <x:v>BOSS：30次标准普攻击杀；5次主要攻击致死</x:v>
      </x:c>
      <x:c r="Q1390" s="6"/>
      <x:c r="R1390" s="6"/>
      <x:c r="S1390" s="6"/>
      <x:c r="T1390" s="6"/>
    </x:row>
    <x:row r="1391" ht="21" customHeight="1">
      <x:c r="A1391" s="14" t="n">
        <x:f>$V$37</x:f>
        <x:v>60024</x:v>
      </x:c>
      <x:c r="B1391" s="14" t="str">
        <x:f>$W$37</x:f>
        <x:v>荔枝滚滚BOSS</x:v>
      </x:c>
      <x:c r="C1391" s="6" t="str">
        <x:f>$X$37</x:f>
        <x:v>BOSS</x:v>
      </x:c>
      <x:c r="D1391" s="6">
        <x:v>29</x:v>
      </x:c>
      <x:c r="E1391" s="6">
        <x:v>37</x:v>
      </x:c>
      <x:c r="F1391" s="12">
        <x:f>ROUND(J1391*$W$4*H1391,0)</x:f>
        <x:v>46620</x:v>
      </x:c>
      <x:c r="G1391" s="12">
        <x:f>ROUND(J1391*$W$4*$W$5*I1391,0)</x:f>
        <x:v>15540</x:v>
      </x:c>
      <x:c r="H1391" s="11" t="n">
        <x:f>$Y$37</x:f>
        <x:v>7.5</x:v>
      </x:c>
      <x:c r="I1391" s="11" t="n">
        <x:f>$Z$37</x:f>
        <x:v>33.333333333333336</x:v>
      </x:c>
      <x:c r="J1391" s="12">
        <x:f>英雄升级调参!$E$94</x:f>
        <x:v>1554</x:v>
      </x:c>
      <x:c r="K1391" s="12">
        <x:f>英雄升级调参!$F$94</x:f>
        <x:v>15540</x:v>
      </x:c>
      <x:c r="L1391" s="6" t="n">
        <x:f>ROUNDUP(F1391/J1391,0)</x:f>
        <x:v>30</x:v>
      </x:c>
      <x:c r="M1391" s="6" t="n">
        <x:f>IF(G1391=0,"无伤害",ROUNDUP(K1391/MAX(1,ROUND(G1391*$AC$37,0)),0))</x:f>
        <x:v>5</x:v>
      </x:c>
      <x:c r="N1391" s="6" t="n">
        <x:f>ROUNDUP(F1391/英雄升级调参!$H$94,0)</x:f>
        <x:v>20</x:v>
      </x:c>
      <x:c r="O1391" s="6">
        <x:f>ROUNDUP(F1391/英雄升级调参!$K$94,0)</x:f>
        <x:v>12</x:v>
      </x:c>
      <x:c r="P1391" s="6" t="str">
        <x:f>$AA$37</x:f>
        <x:v>BOSS：30次标准普攻击杀；5次主要攻击致死</x:v>
      </x:c>
      <x:c r="Q1391" s="6"/>
      <x:c r="R1391" s="6"/>
      <x:c r="S1391" s="6"/>
      <x:c r="T1391" s="6"/>
    </x:row>
    <x:row r="1392" ht="21" customHeight="1">
      <x:c r="A1392" s="14" t="n">
        <x:f>$V$37</x:f>
        <x:v>60024</x:v>
      </x:c>
      <x:c r="B1392" s="14" t="str">
        <x:f>$W$37</x:f>
        <x:v>荔枝滚滚BOSS</x:v>
      </x:c>
      <x:c r="C1392" s="6" t="str">
        <x:f>$X$37</x:f>
        <x:v>BOSS</x:v>
      </x:c>
      <x:c r="D1392" s="6">
        <x:v>30</x:v>
      </x:c>
      <x:c r="E1392" s="6">
        <x:v>37</x:v>
      </x:c>
      <x:c r="F1392" s="12">
        <x:f>ROUND(J1392*$W$4*H1392,0)</x:f>
        <x:v>52290</x:v>
      </x:c>
      <x:c r="G1392" s="12">
        <x:f>ROUND(J1392*$W$4*$W$5*I1392,0)</x:f>
        <x:v>17430</x:v>
      </x:c>
      <x:c r="H1392" s="11" t="n">
        <x:f>$Y$37</x:f>
        <x:v>7.5</x:v>
      </x:c>
      <x:c r="I1392" s="11" t="n">
        <x:f>$Z$37</x:f>
        <x:v>33.333333333333336</x:v>
      </x:c>
      <x:c r="J1392" s="12">
        <x:f>英雄升级调参!$E$95</x:f>
        <x:v>1743</x:v>
      </x:c>
      <x:c r="K1392" s="12">
        <x:f>英雄升级调参!$F$95</x:f>
        <x:v>17430</x:v>
      </x:c>
      <x:c r="L1392" s="6" t="n">
        <x:f>ROUNDUP(F1392/J1392,0)</x:f>
        <x:v>30</x:v>
      </x:c>
      <x:c r="M1392" s="6" t="n">
        <x:f>IF(G1392=0,"无伤害",ROUNDUP(K1392/MAX(1,ROUND(G1392*$AC$37,0)),0))</x:f>
        <x:v>5</x:v>
      </x:c>
      <x:c r="N1392" s="6" t="n">
        <x:f>ROUNDUP(F1392/英雄升级调参!$H$95,0)</x:f>
        <x:v>20</x:v>
      </x:c>
      <x:c r="O1392" s="6">
        <x:f>ROUNDUP(F1392/英雄升级调参!$K$95,0)</x:f>
        <x:v>12</x:v>
      </x:c>
      <x:c r="P1392" s="6" t="str">
        <x:f>$AA$37</x:f>
        <x:v>BOSS：30次标准普攻击杀；5次主要攻击致死</x:v>
      </x:c>
      <x:c r="Q1392" s="6"/>
      <x:c r="R1392" s="6"/>
      <x:c r="S1392" s="6"/>
      <x:c r="T1392" s="6"/>
    </x:row>
    <x:row r="1393" ht="21" customHeight="1">
      <x:c r="A1393" s="14" t="n">
        <x:f>$V$37</x:f>
        <x:v>60024</x:v>
      </x:c>
      <x:c r="B1393" s="14" t="str">
        <x:f>$W$37</x:f>
        <x:v>荔枝滚滚BOSS</x:v>
      </x:c>
      <x:c r="C1393" s="6" t="str">
        <x:f>$X$37</x:f>
        <x:v>BOSS</x:v>
      </x:c>
      <x:c r="D1393" s="6">
        <x:v>31</x:v>
      </x:c>
      <x:c r="E1393" s="6">
        <x:v>37</x:v>
      </x:c>
      <x:c r="F1393" s="12">
        <x:f>ROUND(J1393*$W$4*H1393,0)</x:f>
        <x:v>54450</x:v>
      </x:c>
      <x:c r="G1393" s="12">
        <x:f>ROUND(J1393*$W$4*$W$5*I1393,0)</x:f>
        <x:v>18150</x:v>
      </x:c>
      <x:c r="H1393" s="11" t="n">
        <x:f>$Y$37</x:f>
        <x:v>7.5</x:v>
      </x:c>
      <x:c r="I1393" s="11" t="n">
        <x:f>$Z$37</x:f>
        <x:v>33.333333333333336</x:v>
      </x:c>
      <x:c r="J1393" s="12">
        <x:f>英雄升级调参!$E$96</x:f>
        <x:v>1815</x:v>
      </x:c>
      <x:c r="K1393" s="12">
        <x:f>英雄升级调参!$F$96</x:f>
        <x:v>18150</x:v>
      </x:c>
      <x:c r="L1393" s="6" t="n">
        <x:f>ROUNDUP(F1393/J1393,0)</x:f>
        <x:v>30</x:v>
      </x:c>
      <x:c r="M1393" s="6" t="n">
        <x:f>IF(G1393=0,"无伤害",ROUNDUP(K1393/MAX(1,ROUND(G1393*$AC$37,0)),0))</x:f>
        <x:v>5</x:v>
      </x:c>
      <x:c r="N1393" s="6" t="n">
        <x:f>ROUNDUP(F1393/英雄升级调参!$H$96,0)</x:f>
        <x:v>20</x:v>
      </x:c>
      <x:c r="O1393" s="6">
        <x:f>ROUNDUP(F1393/英雄升级调参!$K$96,0)</x:f>
        <x:v>12</x:v>
      </x:c>
      <x:c r="P1393" s="6" t="str">
        <x:f>$AA$37</x:f>
        <x:v>BOSS：30次标准普攻击杀；5次主要攻击致死</x:v>
      </x:c>
      <x:c r="Q1393" s="6"/>
      <x:c r="R1393" s="6"/>
      <x:c r="S1393" s="6"/>
      <x:c r="T1393" s="6"/>
    </x:row>
    <x:row r="1394" ht="21" customHeight="1">
      <x:c r="A1394" s="14" t="n">
        <x:f>$V$37</x:f>
        <x:v>60024</x:v>
      </x:c>
      <x:c r="B1394" s="14" t="str">
        <x:f>$W$37</x:f>
        <x:v>荔枝滚滚BOSS</x:v>
      </x:c>
      <x:c r="C1394" s="6" t="str">
        <x:f>$X$37</x:f>
        <x:v>BOSS</x:v>
      </x:c>
      <x:c r="D1394" s="6">
        <x:v>32</x:v>
      </x:c>
      <x:c r="E1394" s="6">
        <x:v>37</x:v>
      </x:c>
      <x:c r="F1394" s="12">
        <x:f>ROUND(J1394*$W$4*H1394,0)</x:f>
        <x:v>56610</x:v>
      </x:c>
      <x:c r="G1394" s="12">
        <x:f>ROUND(J1394*$W$4*$W$5*I1394,0)</x:f>
        <x:v>18870</x:v>
      </x:c>
      <x:c r="H1394" s="11" t="n">
        <x:f>$Y$37</x:f>
        <x:v>7.5</x:v>
      </x:c>
      <x:c r="I1394" s="11" t="n">
        <x:f>$Z$37</x:f>
        <x:v>33.333333333333336</x:v>
      </x:c>
      <x:c r="J1394" s="12">
        <x:f>英雄升级调参!$E$97</x:f>
        <x:v>1887</x:v>
      </x:c>
      <x:c r="K1394" s="12">
        <x:f>英雄升级调参!$F$97</x:f>
        <x:v>18870</x:v>
      </x:c>
      <x:c r="L1394" s="6" t="n">
        <x:f>ROUNDUP(F1394/J1394,0)</x:f>
        <x:v>30</x:v>
      </x:c>
      <x:c r="M1394" s="6" t="n">
        <x:f>IF(G1394=0,"无伤害",ROUNDUP(K1394/MAX(1,ROUND(G1394*$AC$37,0)),0))</x:f>
        <x:v>5</x:v>
      </x:c>
      <x:c r="N1394" s="6" t="n">
        <x:f>ROUNDUP(F1394/英雄升级调参!$H$97,0)</x:f>
        <x:v>20</x:v>
      </x:c>
      <x:c r="O1394" s="6">
        <x:f>ROUNDUP(F1394/英雄升级调参!$K$97,0)</x:f>
        <x:v>12</x:v>
      </x:c>
      <x:c r="P1394" s="6" t="str">
        <x:f>$AA$37</x:f>
        <x:v>BOSS：30次标准普攻击杀；5次主要攻击致死</x:v>
      </x:c>
      <x:c r="Q1394" s="6"/>
      <x:c r="R1394" s="6"/>
      <x:c r="S1394" s="6"/>
      <x:c r="T1394" s="6"/>
    </x:row>
    <x:row r="1395" ht="21" customHeight="1">
      <x:c r="A1395" s="14" t="n">
        <x:f>$V$37</x:f>
        <x:v>60024</x:v>
      </x:c>
      <x:c r="B1395" s="14" t="str">
        <x:f>$W$37</x:f>
        <x:v>荔枝滚滚BOSS</x:v>
      </x:c>
      <x:c r="C1395" s="6" t="str">
        <x:f>$X$37</x:f>
        <x:v>BOSS</x:v>
      </x:c>
      <x:c r="D1395" s="6">
        <x:v>33</x:v>
      </x:c>
      <x:c r="E1395" s="6">
        <x:v>37</x:v>
      </x:c>
      <x:c r="F1395" s="12">
        <x:f>ROUND(J1395*$W$4*H1395,0)</x:f>
        <x:v>58770</x:v>
      </x:c>
      <x:c r="G1395" s="12">
        <x:f>ROUND(J1395*$W$4*$W$5*I1395,0)</x:f>
        <x:v>19590</x:v>
      </x:c>
      <x:c r="H1395" s="11" t="n">
        <x:f>$Y$37</x:f>
        <x:v>7.5</x:v>
      </x:c>
      <x:c r="I1395" s="11" t="n">
        <x:f>$Z$37</x:f>
        <x:v>33.333333333333336</x:v>
      </x:c>
      <x:c r="J1395" s="12">
        <x:f>英雄升级调参!$E$98</x:f>
        <x:v>1959</x:v>
      </x:c>
      <x:c r="K1395" s="12">
        <x:f>英雄升级调参!$F$98</x:f>
        <x:v>19590</x:v>
      </x:c>
      <x:c r="L1395" s="6" t="n">
        <x:f>ROUNDUP(F1395/J1395,0)</x:f>
        <x:v>30</x:v>
      </x:c>
      <x:c r="M1395" s="6" t="n">
        <x:f>IF(G1395=0,"无伤害",ROUNDUP(K1395/MAX(1,ROUND(G1395*$AC$37,0)),0))</x:f>
        <x:v>5</x:v>
      </x:c>
      <x:c r="N1395" s="6" t="n">
        <x:f>ROUNDUP(F1395/英雄升级调参!$H$98,0)</x:f>
        <x:v>20</x:v>
      </x:c>
      <x:c r="O1395" s="6">
        <x:f>ROUNDUP(F1395/英雄升级调参!$K$98,0)</x:f>
        <x:v>12</x:v>
      </x:c>
      <x:c r="P1395" s="6" t="str">
        <x:f>$AA$37</x:f>
        <x:v>BOSS：30次标准普攻击杀；5次主要攻击致死</x:v>
      </x:c>
      <x:c r="Q1395" s="6"/>
      <x:c r="R1395" s="6"/>
      <x:c r="S1395" s="6"/>
      <x:c r="T1395" s="6"/>
    </x:row>
    <x:row r="1396" ht="21" customHeight="1">
      <x:c r="A1396" s="14" t="n">
        <x:f>$V$37</x:f>
        <x:v>60024</x:v>
      </x:c>
      <x:c r="B1396" s="14" t="str">
        <x:f>$W$37</x:f>
        <x:v>荔枝滚滚BOSS</x:v>
      </x:c>
      <x:c r="C1396" s="6" t="str">
        <x:f>$X$37</x:f>
        <x:v>BOSS</x:v>
      </x:c>
      <x:c r="D1396" s="6">
        <x:v>34</x:v>
      </x:c>
      <x:c r="E1396" s="6">
        <x:v>37</x:v>
      </x:c>
      <x:c r="F1396" s="12">
        <x:f>ROUND(J1396*$W$4*H1396,0)</x:f>
        <x:v>60930</x:v>
      </x:c>
      <x:c r="G1396" s="12">
        <x:f>ROUND(J1396*$W$4*$W$5*I1396,0)</x:f>
        <x:v>20310</x:v>
      </x:c>
      <x:c r="H1396" s="11" t="n">
        <x:f>$Y$37</x:f>
        <x:v>7.5</x:v>
      </x:c>
      <x:c r="I1396" s="11" t="n">
        <x:f>$Z$37</x:f>
        <x:v>33.333333333333336</x:v>
      </x:c>
      <x:c r="J1396" s="12">
        <x:f>英雄升级调参!$E$99</x:f>
        <x:v>2031</x:v>
      </x:c>
      <x:c r="K1396" s="12">
        <x:f>英雄升级调参!$F$99</x:f>
        <x:v>20310</x:v>
      </x:c>
      <x:c r="L1396" s="6" t="n">
        <x:f>ROUNDUP(F1396/J1396,0)</x:f>
        <x:v>30</x:v>
      </x:c>
      <x:c r="M1396" s="6" t="n">
        <x:f>IF(G1396=0,"无伤害",ROUNDUP(K1396/MAX(1,ROUND(G1396*$AC$37,0)),0))</x:f>
        <x:v>5</x:v>
      </x:c>
      <x:c r="N1396" s="6" t="n">
        <x:f>ROUNDUP(F1396/英雄升级调参!$H$99,0)</x:f>
        <x:v>20</x:v>
      </x:c>
      <x:c r="O1396" s="6">
        <x:f>ROUNDUP(F1396/英雄升级调参!$K$99,0)</x:f>
        <x:v>12</x:v>
      </x:c>
      <x:c r="P1396" s="6" t="str">
        <x:f>$AA$37</x:f>
        <x:v>BOSS：30次标准普攻击杀；5次主要攻击致死</x:v>
      </x:c>
      <x:c r="Q1396" s="6"/>
      <x:c r="R1396" s="6"/>
      <x:c r="S1396" s="6"/>
      <x:c r="T1396" s="6"/>
    </x:row>
    <x:row r="1397" ht="21" customHeight="1">
      <x:c r="A1397" s="14" t="n">
        <x:f>$V$37</x:f>
        <x:v>60024</x:v>
      </x:c>
      <x:c r="B1397" s="14" t="str">
        <x:f>$W$37</x:f>
        <x:v>荔枝滚滚BOSS</x:v>
      </x:c>
      <x:c r="C1397" s="6" t="str">
        <x:f>$X$37</x:f>
        <x:v>BOSS</x:v>
      </x:c>
      <x:c r="D1397" s="6">
        <x:v>35</x:v>
      </x:c>
      <x:c r="E1397" s="6">
        <x:v>37</x:v>
      </x:c>
      <x:c r="F1397" s="12">
        <x:f>ROUND(J1397*$W$4*H1397,0)</x:f>
        <x:v>67410</x:v>
      </x:c>
      <x:c r="G1397" s="12">
        <x:f>ROUND(J1397*$W$4*$W$5*I1397,0)</x:f>
        <x:v>22470</x:v>
      </x:c>
      <x:c r="H1397" s="11" t="n">
        <x:f>$Y$37</x:f>
        <x:v>7.5</x:v>
      </x:c>
      <x:c r="I1397" s="11" t="n">
        <x:f>$Z$37</x:f>
        <x:v>33.333333333333336</x:v>
      </x:c>
      <x:c r="J1397" s="12">
        <x:f>英雄升级调参!$E$100</x:f>
        <x:v>2247</x:v>
      </x:c>
      <x:c r="K1397" s="12">
        <x:f>英雄升级调参!$F$100</x:f>
        <x:v>22470</x:v>
      </x:c>
      <x:c r="L1397" s="6" t="n">
        <x:f>ROUNDUP(F1397/J1397,0)</x:f>
        <x:v>30</x:v>
      </x:c>
      <x:c r="M1397" s="6" t="n">
        <x:f>IF(G1397=0,"无伤害",ROUNDUP(K1397/MAX(1,ROUND(G1397*$AC$37,0)),0))</x:f>
        <x:v>5</x:v>
      </x:c>
      <x:c r="N1397" s="6" t="n">
        <x:f>ROUNDUP(F1397/英雄升级调参!$H$100,0)</x:f>
        <x:v>20</x:v>
      </x:c>
      <x:c r="O1397" s="6">
        <x:f>ROUNDUP(F1397/英雄升级调参!$K$100,0)</x:f>
        <x:v>12</x:v>
      </x:c>
      <x:c r="P1397" s="6" t="str">
        <x:f>$AA$37</x:f>
        <x:v>BOSS：30次标准普攻击杀；5次主要攻击致死</x:v>
      </x:c>
      <x:c r="Q1397" s="6"/>
      <x:c r="R1397" s="6"/>
      <x:c r="S1397" s="6"/>
      <x:c r="T1397" s="6"/>
    </x:row>
    <x:row r="1398" ht="21" customHeight="1">
      <x:c r="A1398" s="14" t="n">
        <x:f>$V$37</x:f>
        <x:v>60024</x:v>
      </x:c>
      <x:c r="B1398" s="14" t="str">
        <x:f>$W$37</x:f>
        <x:v>荔枝滚滚BOSS</x:v>
      </x:c>
      <x:c r="C1398" s="6" t="str">
        <x:f>$X$37</x:f>
        <x:v>BOSS</x:v>
      </x:c>
      <x:c r="D1398" s="6">
        <x:v>36</x:v>
      </x:c>
      <x:c r="E1398" s="6">
        <x:v>37</x:v>
      </x:c>
      <x:c r="F1398" s="12">
        <x:f>ROUND(J1398*$W$4*H1398,0)</x:f>
        <x:v>69840</x:v>
      </x:c>
      <x:c r="G1398" s="12">
        <x:f>ROUND(J1398*$W$4*$W$5*I1398,0)</x:f>
        <x:v>23280</x:v>
      </x:c>
      <x:c r="H1398" s="11" t="n">
        <x:f>$Y$37</x:f>
        <x:v>7.5</x:v>
      </x:c>
      <x:c r="I1398" s="11" t="n">
        <x:f>$Z$37</x:f>
        <x:v>33.333333333333336</x:v>
      </x:c>
      <x:c r="J1398" s="12">
        <x:f>英雄升级调参!$E$101</x:f>
        <x:v>2328</x:v>
      </x:c>
      <x:c r="K1398" s="12">
        <x:f>英雄升级调参!$F$101</x:f>
        <x:v>23280</x:v>
      </x:c>
      <x:c r="L1398" s="6" t="n">
        <x:f>ROUNDUP(F1398/J1398,0)</x:f>
        <x:v>30</x:v>
      </x:c>
      <x:c r="M1398" s="6" t="n">
        <x:f>IF(G1398=0,"无伤害",ROUNDUP(K1398/MAX(1,ROUND(G1398*$AC$37,0)),0))</x:f>
        <x:v>5</x:v>
      </x:c>
      <x:c r="N1398" s="6" t="n">
        <x:f>ROUNDUP(F1398/英雄升级调参!$H$101,0)</x:f>
        <x:v>20</x:v>
      </x:c>
      <x:c r="O1398" s="6">
        <x:f>ROUNDUP(F1398/英雄升级调参!$K$101,0)</x:f>
        <x:v>12</x:v>
      </x:c>
      <x:c r="P1398" s="6" t="str">
        <x:f>$AA$37</x:f>
        <x:v>BOSS：30次标准普攻击杀；5次主要攻击致死</x:v>
      </x:c>
      <x:c r="Q1398" s="6"/>
      <x:c r="R1398" s="6"/>
      <x:c r="S1398" s="6"/>
      <x:c r="T1398" s="6"/>
    </x:row>
    <x:row r="1399" ht="21" customHeight="1">
      <x:c r="A1399" s="14" t="n">
        <x:f>$V$37</x:f>
        <x:v>60024</x:v>
      </x:c>
      <x:c r="B1399" s="14" t="str">
        <x:f>$W$37</x:f>
        <x:v>荔枝滚滚BOSS</x:v>
      </x:c>
      <x:c r="C1399" s="6" t="str">
        <x:f>$X$37</x:f>
        <x:v>BOSS</x:v>
      </x:c>
      <x:c r="D1399" s="6">
        <x:v>37</x:v>
      </x:c>
      <x:c r="E1399" s="6">
        <x:v>37</x:v>
      </x:c>
      <x:c r="F1399" s="12">
        <x:f>ROUND(J1399*$W$4*H1399,0)</x:f>
        <x:v>72270</x:v>
      </x:c>
      <x:c r="G1399" s="12">
        <x:f>ROUND(J1399*$W$4*$W$5*I1399,0)</x:f>
        <x:v>24090</x:v>
      </x:c>
      <x:c r="H1399" s="11" t="n">
        <x:f>$Y$37</x:f>
        <x:v>7.5</x:v>
      </x:c>
      <x:c r="I1399" s="11" t="n">
        <x:f>$Z$37</x:f>
        <x:v>33.333333333333336</x:v>
      </x:c>
      <x:c r="J1399" s="12">
        <x:f>英雄升级调参!$E$102</x:f>
        <x:v>2409</x:v>
      </x:c>
      <x:c r="K1399" s="12">
        <x:f>英雄升级调参!$F$102</x:f>
        <x:v>24090</x:v>
      </x:c>
      <x:c r="L1399" s="6" t="n">
        <x:f>ROUNDUP(F1399/J1399,0)</x:f>
        <x:v>30</x:v>
      </x:c>
      <x:c r="M1399" s="6" t="n">
        <x:f>IF(G1399=0,"无伤害",ROUNDUP(K1399/MAX(1,ROUND(G1399*$AC$37,0)),0))</x:f>
        <x:v>5</x:v>
      </x:c>
      <x:c r="N1399" s="6" t="n">
        <x:f>ROUNDUP(F1399/英雄升级调参!$H$102,0)</x:f>
        <x:v>20</x:v>
      </x:c>
      <x:c r="O1399" s="6">
        <x:f>ROUNDUP(F1399/英雄升级调参!$K$102,0)</x:f>
        <x:v>12</x:v>
      </x:c>
      <x:c r="P1399" s="6" t="str">
        <x:f>$AA$37</x:f>
        <x:v>BOSS：30次标准普攻击杀；5次主要攻击致死</x:v>
      </x:c>
      <x:c r="Q1399" s="6"/>
      <x:c r="R1399" s="6"/>
      <x:c r="S1399" s="6"/>
      <x:c r="T1399" s="6"/>
    </x:row>
    <x:row r="1400" ht="21" customHeight="1">
      <x:c r="A1400" s="14" t="n">
        <x:f>$V$37</x:f>
        <x:v>60024</x:v>
      </x:c>
      <x:c r="B1400" s="14" t="str">
        <x:f>$W$37</x:f>
        <x:v>荔枝滚滚BOSS</x:v>
      </x:c>
      <x:c r="C1400" s="6" t="str">
        <x:f>$X$37</x:f>
        <x:v>BOSS</x:v>
      </x:c>
      <x:c r="D1400" s="6">
        <x:v>38</x:v>
      </x:c>
      <x:c r="E1400" s="6">
        <x:v>37</x:v>
      </x:c>
      <x:c r="F1400" s="12">
        <x:f>ROUND(J1400*$W$4*H1400,0)</x:f>
        <x:v>74700</x:v>
      </x:c>
      <x:c r="G1400" s="12">
        <x:f>ROUND(J1400*$W$4*$W$5*I1400,0)</x:f>
        <x:v>24900</x:v>
      </x:c>
      <x:c r="H1400" s="11" t="n">
        <x:f>$Y$37</x:f>
        <x:v>7.5</x:v>
      </x:c>
      <x:c r="I1400" s="11" t="n">
        <x:f>$Z$37</x:f>
        <x:v>33.333333333333336</x:v>
      </x:c>
      <x:c r="J1400" s="12">
        <x:f>英雄升级调参!$E$103</x:f>
        <x:v>2490</x:v>
      </x:c>
      <x:c r="K1400" s="12">
        <x:f>英雄升级调参!$F$103</x:f>
        <x:v>24900</x:v>
      </x:c>
      <x:c r="L1400" s="6" t="n">
        <x:f>ROUNDUP(F1400/J1400,0)</x:f>
        <x:v>30</x:v>
      </x:c>
      <x:c r="M1400" s="6" t="n">
        <x:f>IF(G1400=0,"无伤害",ROUNDUP(K1400/MAX(1,ROUND(G1400*$AC$37,0)),0))</x:f>
        <x:v>5</x:v>
      </x:c>
      <x:c r="N1400" s="6" t="n">
        <x:f>ROUNDUP(F1400/英雄升级调参!$H$103,0)</x:f>
        <x:v>20</x:v>
      </x:c>
      <x:c r="O1400" s="6">
        <x:f>ROUNDUP(F1400/英雄升级调参!$K$103,0)</x:f>
        <x:v>12</x:v>
      </x:c>
      <x:c r="P1400" s="6" t="str">
        <x:f>$AA$37</x:f>
        <x:v>BOSS：30次标准普攻击杀；5次主要攻击致死</x:v>
      </x:c>
      <x:c r="Q1400" s="6"/>
      <x:c r="R1400" s="6"/>
      <x:c r="S1400" s="6"/>
      <x:c r="T1400" s="6"/>
    </x:row>
    <x:row r="1401" ht="21" customHeight="1">
      <x:c r="A1401" s="14" t="n">
        <x:f>$V$37</x:f>
        <x:v>60024</x:v>
      </x:c>
      <x:c r="B1401" s="14" t="str">
        <x:f>$W$37</x:f>
        <x:v>荔枝滚滚BOSS</x:v>
      </x:c>
      <x:c r="C1401" s="6" t="str">
        <x:f>$X$37</x:f>
        <x:v>BOSS</x:v>
      </x:c>
      <x:c r="D1401" s="6">
        <x:v>39</x:v>
      </x:c>
      <x:c r="E1401" s="6">
        <x:v>37</x:v>
      </x:c>
      <x:c r="F1401" s="12">
        <x:f>ROUND(J1401*$W$4*H1401,0)</x:f>
        <x:v>77130</x:v>
      </x:c>
      <x:c r="G1401" s="12">
        <x:f>ROUND(J1401*$W$4*$W$5*I1401,0)</x:f>
        <x:v>25710</x:v>
      </x:c>
      <x:c r="H1401" s="11" t="n">
        <x:f>$Y$37</x:f>
        <x:v>7.5</x:v>
      </x:c>
      <x:c r="I1401" s="11" t="n">
        <x:f>$Z$37</x:f>
        <x:v>33.333333333333336</x:v>
      </x:c>
      <x:c r="J1401" s="12">
        <x:f>英雄升级调参!$E$104</x:f>
        <x:v>2571</x:v>
      </x:c>
      <x:c r="K1401" s="12">
        <x:f>英雄升级调参!$F$104</x:f>
        <x:v>25710</x:v>
      </x:c>
      <x:c r="L1401" s="6" t="n">
        <x:f>ROUNDUP(F1401/J1401,0)</x:f>
        <x:v>30</x:v>
      </x:c>
      <x:c r="M1401" s="6" t="n">
        <x:f>IF(G1401=0,"无伤害",ROUNDUP(K1401/MAX(1,ROUND(G1401*$AC$37,0)),0))</x:f>
        <x:v>5</x:v>
      </x:c>
      <x:c r="N1401" s="6" t="n">
        <x:f>ROUNDUP(F1401/英雄升级调参!$H$104,0)</x:f>
        <x:v>20</x:v>
      </x:c>
      <x:c r="O1401" s="6">
        <x:f>ROUNDUP(F1401/英雄升级调参!$K$104,0)</x:f>
        <x:v>12</x:v>
      </x:c>
      <x:c r="P1401" s="6" t="str">
        <x:f>$AA$37</x:f>
        <x:v>BOSS：30次标准普攻击杀；5次主要攻击致死</x:v>
      </x:c>
      <x:c r="Q1401" s="6"/>
      <x:c r="R1401" s="6"/>
      <x:c r="S1401" s="6"/>
      <x:c r="T1401" s="6"/>
    </x:row>
    <x:row r="1402" ht="21" customHeight="1">
      <x:c r="A1402" s="14" t="n">
        <x:f>$V$37</x:f>
        <x:v>60024</x:v>
      </x:c>
      <x:c r="B1402" s="14" t="str">
        <x:f>$W$37</x:f>
        <x:v>荔枝滚滚BOSS</x:v>
      </x:c>
      <x:c r="C1402" s="6" t="str">
        <x:f>$X$37</x:f>
        <x:v>BOSS</x:v>
      </x:c>
      <x:c r="D1402" s="6">
        <x:v>40</x:v>
      </x:c>
      <x:c r="E1402" s="6">
        <x:v>37</x:v>
      </x:c>
      <x:c r="F1402" s="12">
        <x:f>ROUND(J1402*$W$4*H1402,0)</x:f>
        <x:v>84420</x:v>
      </x:c>
      <x:c r="G1402" s="12">
        <x:f>ROUND(J1402*$W$4*$W$5*I1402,0)</x:f>
        <x:v>28140</x:v>
      </x:c>
      <x:c r="H1402" s="11" t="n">
        <x:f>$Y$37</x:f>
        <x:v>7.5</x:v>
      </x:c>
      <x:c r="I1402" s="11" t="n">
        <x:f>$Z$37</x:f>
        <x:v>33.333333333333336</x:v>
      </x:c>
      <x:c r="J1402" s="12">
        <x:f>英雄升级调参!$E$105</x:f>
        <x:v>2814</x:v>
      </x:c>
      <x:c r="K1402" s="12">
        <x:f>英雄升级调参!$F$105</x:f>
        <x:v>28140</x:v>
      </x:c>
      <x:c r="L1402" s="6" t="n">
        <x:f>ROUNDUP(F1402/J1402,0)</x:f>
        <x:v>30</x:v>
      </x:c>
      <x:c r="M1402" s="6" t="n">
        <x:f>IF(G1402=0,"无伤害",ROUNDUP(K1402/MAX(1,ROUND(G1402*$AC$37,0)),0))</x:f>
        <x:v>5</x:v>
      </x:c>
      <x:c r="N1402" s="6" t="n">
        <x:f>ROUNDUP(F1402/英雄升级调参!$H$105,0)</x:f>
        <x:v>20</x:v>
      </x:c>
      <x:c r="O1402" s="6">
        <x:f>ROUNDUP(F1402/英雄升级调参!$K$105,0)</x:f>
        <x:v>12</x:v>
      </x:c>
      <x:c r="P1402" s="6" t="str">
        <x:f>$AA$37</x:f>
        <x:v>BOSS：30次标准普攻击杀；5次主要攻击致死</x:v>
      </x:c>
      <x:c r="Q1402" s="6"/>
      <x:c r="R1402" s="6"/>
      <x:c r="S1402" s="6"/>
      <x:c r="T1402" s="6"/>
    </x:row>
    <x:row r="1403" ht="21" customHeight="1">
      <x:c r="A1403" s="14" t="n">
        <x:f>$V$37</x:f>
        <x:v>60024</x:v>
      </x:c>
      <x:c r="B1403" s="14" t="str">
        <x:f>$W$37</x:f>
        <x:v>荔枝滚滚BOSS</x:v>
      </x:c>
      <x:c r="C1403" s="6" t="str">
        <x:f>$X$37</x:f>
        <x:v>BOSS</x:v>
      </x:c>
      <x:c r="D1403" s="6">
        <x:v>41</x:v>
      </x:c>
      <x:c r="E1403" s="6">
        <x:v>37</x:v>
      </x:c>
      <x:c r="F1403" s="12">
        <x:f>ROUND(J1403*$W$4*H1403,0)</x:f>
        <x:v>87120</x:v>
      </x:c>
      <x:c r="G1403" s="12">
        <x:f>ROUND(J1403*$W$4*$W$5*I1403,0)</x:f>
        <x:v>29040</x:v>
      </x:c>
      <x:c r="H1403" s="11" t="n">
        <x:f>$Y$37</x:f>
        <x:v>7.5</x:v>
      </x:c>
      <x:c r="I1403" s="11" t="n">
        <x:f>$Z$37</x:f>
        <x:v>33.333333333333336</x:v>
      </x:c>
      <x:c r="J1403" s="12">
        <x:f>英雄升级调参!$E$106</x:f>
        <x:v>2904</x:v>
      </x:c>
      <x:c r="K1403" s="12">
        <x:f>英雄升级调参!$F$106</x:f>
        <x:v>29040</x:v>
      </x:c>
      <x:c r="L1403" s="6" t="n">
        <x:f>ROUNDUP(F1403/J1403,0)</x:f>
        <x:v>30</x:v>
      </x:c>
      <x:c r="M1403" s="6" t="n">
        <x:f>IF(G1403=0,"无伤害",ROUNDUP(K1403/MAX(1,ROUND(G1403*$AC$37,0)),0))</x:f>
        <x:v>5</x:v>
      </x:c>
      <x:c r="N1403" s="6" t="n">
        <x:f>ROUNDUP(F1403/英雄升级调参!$H$106,0)</x:f>
        <x:v>20</x:v>
      </x:c>
      <x:c r="O1403" s="6">
        <x:f>ROUNDUP(F1403/英雄升级调参!$K$106,0)</x:f>
        <x:v>12</x:v>
      </x:c>
      <x:c r="P1403" s="6" t="str">
        <x:f>$AA$37</x:f>
        <x:v>BOSS：30次标准普攻击杀；5次主要攻击致死</x:v>
      </x:c>
      <x:c r="Q1403" s="6"/>
      <x:c r="R1403" s="6"/>
      <x:c r="S1403" s="6"/>
      <x:c r="T1403" s="6"/>
    </x:row>
    <x:row r="1404" ht="21" customHeight="1">
      <x:c r="A1404" s="14" t="n">
        <x:f>$V$37</x:f>
        <x:v>60024</x:v>
      </x:c>
      <x:c r="B1404" s="14" t="str">
        <x:f>$W$37</x:f>
        <x:v>荔枝滚滚BOSS</x:v>
      </x:c>
      <x:c r="C1404" s="6" t="str">
        <x:f>$X$37</x:f>
        <x:v>BOSS</x:v>
      </x:c>
      <x:c r="D1404" s="6">
        <x:v>42</x:v>
      </x:c>
      <x:c r="E1404" s="6">
        <x:v>37</x:v>
      </x:c>
      <x:c r="F1404" s="12">
        <x:f>ROUND(J1404*$W$4*H1404,0)</x:f>
        <x:v>89820</x:v>
      </x:c>
      <x:c r="G1404" s="12">
        <x:f>ROUND(J1404*$W$4*$W$5*I1404,0)</x:f>
        <x:v>29940</x:v>
      </x:c>
      <x:c r="H1404" s="11" t="n">
        <x:f>$Y$37</x:f>
        <x:v>7.5</x:v>
      </x:c>
      <x:c r="I1404" s="11" t="n">
        <x:f>$Z$37</x:f>
        <x:v>33.333333333333336</x:v>
      </x:c>
      <x:c r="J1404" s="12">
        <x:f>英雄升级调参!$E$107</x:f>
        <x:v>2994</x:v>
      </x:c>
      <x:c r="K1404" s="12">
        <x:f>英雄升级调参!$F$107</x:f>
        <x:v>29940</x:v>
      </x:c>
      <x:c r="L1404" s="6" t="n">
        <x:f>ROUNDUP(F1404/J1404,0)</x:f>
        <x:v>30</x:v>
      </x:c>
      <x:c r="M1404" s="6" t="n">
        <x:f>IF(G1404=0,"无伤害",ROUNDUP(K1404/MAX(1,ROUND(G1404*$AC$37,0)),0))</x:f>
        <x:v>5</x:v>
      </x:c>
      <x:c r="N1404" s="6" t="n">
        <x:f>ROUNDUP(F1404/英雄升级调参!$H$107,0)</x:f>
        <x:v>20</x:v>
      </x:c>
      <x:c r="O1404" s="6">
        <x:f>ROUNDUP(F1404/英雄升级调参!$K$107,0)</x:f>
        <x:v>12</x:v>
      </x:c>
      <x:c r="P1404" s="6" t="str">
        <x:f>$AA$37</x:f>
        <x:v>BOSS：30次标准普攻击杀；5次主要攻击致死</x:v>
      </x:c>
      <x:c r="Q1404" s="6"/>
      <x:c r="R1404" s="6"/>
      <x:c r="S1404" s="6"/>
      <x:c r="T1404" s="6"/>
    </x:row>
    <x:row r="1405" ht="21" customHeight="1">
      <x:c r="A1405" s="14" t="n">
        <x:f>$V$37</x:f>
        <x:v>60024</x:v>
      </x:c>
      <x:c r="B1405" s="14" t="str">
        <x:f>$W$37</x:f>
        <x:v>荔枝滚滚BOSS</x:v>
      </x:c>
      <x:c r="C1405" s="6" t="str">
        <x:f>$X$37</x:f>
        <x:v>BOSS</x:v>
      </x:c>
      <x:c r="D1405" s="6">
        <x:v>43</x:v>
      </x:c>
      <x:c r="E1405" s="6">
        <x:v>37</x:v>
      </x:c>
      <x:c r="F1405" s="12">
        <x:f>ROUND(J1405*$W$4*H1405,0)</x:f>
        <x:v>92520</x:v>
      </x:c>
      <x:c r="G1405" s="12">
        <x:f>ROUND(J1405*$W$4*$W$5*I1405,0)</x:f>
        <x:v>30840</x:v>
      </x:c>
      <x:c r="H1405" s="11" t="n">
        <x:f>$Y$37</x:f>
        <x:v>7.5</x:v>
      </x:c>
      <x:c r="I1405" s="11" t="n">
        <x:f>$Z$37</x:f>
        <x:v>33.333333333333336</x:v>
      </x:c>
      <x:c r="J1405" s="12">
        <x:f>英雄升级调参!$E$108</x:f>
        <x:v>3084</x:v>
      </x:c>
      <x:c r="K1405" s="12">
        <x:f>英雄升级调参!$F$108</x:f>
        <x:v>30840</x:v>
      </x:c>
      <x:c r="L1405" s="6" t="n">
        <x:f>ROUNDUP(F1405/J1405,0)</x:f>
        <x:v>30</x:v>
      </x:c>
      <x:c r="M1405" s="6" t="n">
        <x:f>IF(G1405=0,"无伤害",ROUNDUP(K1405/MAX(1,ROUND(G1405*$AC$37,0)),0))</x:f>
        <x:v>5</x:v>
      </x:c>
      <x:c r="N1405" s="6" t="n">
        <x:f>ROUNDUP(F1405/英雄升级调参!$H$108,0)</x:f>
        <x:v>20</x:v>
      </x:c>
      <x:c r="O1405" s="6">
        <x:f>ROUNDUP(F1405/英雄升级调参!$K$108,0)</x:f>
        <x:v>12</x:v>
      </x:c>
      <x:c r="P1405" s="6" t="str">
        <x:f>$AA$37</x:f>
        <x:v>BOSS：30次标准普攻击杀；5次主要攻击致死</x:v>
      </x:c>
      <x:c r="Q1405" s="6"/>
      <x:c r="R1405" s="6"/>
      <x:c r="S1405" s="6"/>
      <x:c r="T1405" s="6"/>
    </x:row>
    <x:row r="1406" ht="21" customHeight="1">
      <x:c r="A1406" s="14" t="n">
        <x:f>$V$37</x:f>
        <x:v>60024</x:v>
      </x:c>
      <x:c r="B1406" s="14" t="str">
        <x:f>$W$37</x:f>
        <x:v>荔枝滚滚BOSS</x:v>
      </x:c>
      <x:c r="C1406" s="6" t="str">
        <x:f>$X$37</x:f>
        <x:v>BOSS</x:v>
      </x:c>
      <x:c r="D1406" s="6">
        <x:v>44</x:v>
      </x:c>
      <x:c r="E1406" s="6">
        <x:v>37</x:v>
      </x:c>
      <x:c r="F1406" s="12">
        <x:f>ROUND(J1406*$W$4*H1406,0)</x:f>
        <x:v>95220</x:v>
      </x:c>
      <x:c r="G1406" s="12">
        <x:f>ROUND(J1406*$W$4*$W$5*I1406,0)</x:f>
        <x:v>31740</x:v>
      </x:c>
      <x:c r="H1406" s="11" t="n">
        <x:f>$Y$37</x:f>
        <x:v>7.5</x:v>
      </x:c>
      <x:c r="I1406" s="11" t="n">
        <x:f>$Z$37</x:f>
        <x:v>33.333333333333336</x:v>
      </x:c>
      <x:c r="J1406" s="12">
        <x:f>英雄升级调参!$E$109</x:f>
        <x:v>3174</x:v>
      </x:c>
      <x:c r="K1406" s="12">
        <x:f>英雄升级调参!$F$109</x:f>
        <x:v>31740</x:v>
      </x:c>
      <x:c r="L1406" s="6" t="n">
        <x:f>ROUNDUP(F1406/J1406,0)</x:f>
        <x:v>30</x:v>
      </x:c>
      <x:c r="M1406" s="6" t="n">
        <x:f>IF(G1406=0,"无伤害",ROUNDUP(K1406/MAX(1,ROUND(G1406*$AC$37,0)),0))</x:f>
        <x:v>5</x:v>
      </x:c>
      <x:c r="N1406" s="6" t="n">
        <x:f>ROUNDUP(F1406/英雄升级调参!$H$109,0)</x:f>
        <x:v>20</x:v>
      </x:c>
      <x:c r="O1406" s="6">
        <x:f>ROUNDUP(F1406/英雄升级调参!$K$109,0)</x:f>
        <x:v>12</x:v>
      </x:c>
      <x:c r="P1406" s="6" t="str">
        <x:f>$AA$37</x:f>
        <x:v>BOSS：30次标准普攻击杀；5次主要攻击致死</x:v>
      </x:c>
      <x:c r="Q1406" s="6"/>
      <x:c r="R1406" s="6"/>
      <x:c r="S1406" s="6"/>
      <x:c r="T1406" s="6"/>
    </x:row>
    <x:row r="1407" ht="21" customHeight="1">
      <x:c r="A1407" s="14" t="n">
        <x:f>$V$37</x:f>
        <x:v>60024</x:v>
      </x:c>
      <x:c r="B1407" s="14" t="str">
        <x:f>$W$37</x:f>
        <x:v>荔枝滚滚BOSS</x:v>
      </x:c>
      <x:c r="C1407" s="6" t="str">
        <x:f>$X$37</x:f>
        <x:v>BOSS</x:v>
      </x:c>
      <x:c r="D1407" s="6">
        <x:v>45</x:v>
      </x:c>
      <x:c r="E1407" s="6">
        <x:v>37</x:v>
      </x:c>
      <x:c r="F1407" s="12">
        <x:f>ROUND(J1407*$W$4*H1407,0)</x:f>
        <x:v>103320</x:v>
      </x:c>
      <x:c r="G1407" s="12">
        <x:f>ROUND(J1407*$W$4*$W$5*I1407,0)</x:f>
        <x:v>34440</x:v>
      </x:c>
      <x:c r="H1407" s="11" t="n">
        <x:f>$Y$37</x:f>
        <x:v>7.5</x:v>
      </x:c>
      <x:c r="I1407" s="11" t="n">
        <x:f>$Z$37</x:f>
        <x:v>33.333333333333336</x:v>
      </x:c>
      <x:c r="J1407" s="12">
        <x:f>英雄升级调参!$E$110</x:f>
        <x:v>3444</x:v>
      </x:c>
      <x:c r="K1407" s="12">
        <x:f>英雄升级调参!$F$110</x:f>
        <x:v>34440</x:v>
      </x:c>
      <x:c r="L1407" s="6" t="n">
        <x:f>ROUNDUP(F1407/J1407,0)</x:f>
        <x:v>30</x:v>
      </x:c>
      <x:c r="M1407" s="6" t="n">
        <x:f>IF(G1407=0,"无伤害",ROUNDUP(K1407/MAX(1,ROUND(G1407*$AC$37,0)),0))</x:f>
        <x:v>5</x:v>
      </x:c>
      <x:c r="N1407" s="6" t="n">
        <x:f>ROUNDUP(F1407/英雄升级调参!$H$110,0)</x:f>
        <x:v>20</x:v>
      </x:c>
      <x:c r="O1407" s="6">
        <x:f>ROUNDUP(F1407/英雄升级调参!$K$110,0)</x:f>
        <x:v>12</x:v>
      </x:c>
      <x:c r="P1407" s="6" t="str">
        <x:f>$AA$37</x:f>
        <x:v>BOSS：30次标准普攻击杀；5次主要攻击致死</x:v>
      </x:c>
      <x:c r="Q1407" s="6"/>
      <x:c r="R1407" s="6"/>
      <x:c r="S1407" s="6"/>
      <x:c r="T1407" s="6"/>
    </x:row>
    <x:row r="1408" ht="21" customHeight="1">
      <x:c r="A1408" s="14" t="n">
        <x:f>$V$37</x:f>
        <x:v>60024</x:v>
      </x:c>
      <x:c r="B1408" s="14" t="str">
        <x:f>$W$37</x:f>
        <x:v>荔枝滚滚BOSS</x:v>
      </x:c>
      <x:c r="C1408" s="6" t="str">
        <x:f>$X$37</x:f>
        <x:v>BOSS</x:v>
      </x:c>
      <x:c r="D1408" s="6">
        <x:v>46</x:v>
      </x:c>
      <x:c r="E1408" s="6">
        <x:v>37</x:v>
      </x:c>
      <x:c r="F1408" s="12">
        <x:f>ROUND(J1408*$W$4*H1408,0)</x:f>
        <x:v>106290</x:v>
      </x:c>
      <x:c r="G1408" s="12">
        <x:f>ROUND(J1408*$W$4*$W$5*I1408,0)</x:f>
        <x:v>35430</x:v>
      </x:c>
      <x:c r="H1408" s="11" t="n">
        <x:f>$Y$37</x:f>
        <x:v>7.5</x:v>
      </x:c>
      <x:c r="I1408" s="11" t="n">
        <x:f>$Z$37</x:f>
        <x:v>33.333333333333336</x:v>
      </x:c>
      <x:c r="J1408" s="12">
        <x:f>英雄升级调参!$E$111</x:f>
        <x:v>3543</x:v>
      </x:c>
      <x:c r="K1408" s="12">
        <x:f>英雄升级调参!$F$111</x:f>
        <x:v>35430</x:v>
      </x:c>
      <x:c r="L1408" s="6" t="n">
        <x:f>ROUNDUP(F1408/J1408,0)</x:f>
        <x:v>30</x:v>
      </x:c>
      <x:c r="M1408" s="6" t="n">
        <x:f>IF(G1408=0,"无伤害",ROUNDUP(K1408/MAX(1,ROUND(G1408*$AC$37,0)),0))</x:f>
        <x:v>5</x:v>
      </x:c>
      <x:c r="N1408" s="6" t="n">
        <x:f>ROUNDUP(F1408/英雄升级调参!$H$111,0)</x:f>
        <x:v>20</x:v>
      </x:c>
      <x:c r="O1408" s="6">
        <x:f>ROUNDUP(F1408/英雄升级调参!$K$111,0)</x:f>
        <x:v>12</x:v>
      </x:c>
      <x:c r="P1408" s="6" t="str">
        <x:f>$AA$37</x:f>
        <x:v>BOSS：30次标准普攻击杀；5次主要攻击致死</x:v>
      </x:c>
      <x:c r="Q1408" s="6"/>
      <x:c r="R1408" s="6"/>
      <x:c r="S1408" s="6"/>
      <x:c r="T1408" s="6"/>
    </x:row>
    <x:row r="1409" ht="21" customHeight="1">
      <x:c r="A1409" s="14" t="n">
        <x:f>$V$37</x:f>
        <x:v>60024</x:v>
      </x:c>
      <x:c r="B1409" s="14" t="str">
        <x:f>$W$37</x:f>
        <x:v>荔枝滚滚BOSS</x:v>
      </x:c>
      <x:c r="C1409" s="6" t="str">
        <x:f>$X$37</x:f>
        <x:v>BOSS</x:v>
      </x:c>
      <x:c r="D1409" s="6">
        <x:v>47</x:v>
      </x:c>
      <x:c r="E1409" s="6">
        <x:v>37</x:v>
      </x:c>
      <x:c r="F1409" s="12">
        <x:f>ROUND(J1409*$W$4*H1409,0)</x:f>
        <x:v>109260</x:v>
      </x:c>
      <x:c r="G1409" s="12">
        <x:f>ROUND(J1409*$W$4*$W$5*I1409,0)</x:f>
        <x:v>36420</x:v>
      </x:c>
      <x:c r="H1409" s="11" t="n">
        <x:f>$Y$37</x:f>
        <x:v>7.5</x:v>
      </x:c>
      <x:c r="I1409" s="11" t="n">
        <x:f>$Z$37</x:f>
        <x:v>33.333333333333336</x:v>
      </x:c>
      <x:c r="J1409" s="12">
        <x:f>英雄升级调参!$E$112</x:f>
        <x:v>3642</x:v>
      </x:c>
      <x:c r="K1409" s="12">
        <x:f>英雄升级调参!$F$112</x:f>
        <x:v>36420</x:v>
      </x:c>
      <x:c r="L1409" s="6" t="n">
        <x:f>ROUNDUP(F1409/J1409,0)</x:f>
        <x:v>30</x:v>
      </x:c>
      <x:c r="M1409" s="6" t="n">
        <x:f>IF(G1409=0,"无伤害",ROUNDUP(K1409/MAX(1,ROUND(G1409*$AC$37,0)),0))</x:f>
        <x:v>5</x:v>
      </x:c>
      <x:c r="N1409" s="6" t="n">
        <x:f>ROUNDUP(F1409/英雄升级调参!$H$112,0)</x:f>
        <x:v>20</x:v>
      </x:c>
      <x:c r="O1409" s="6">
        <x:f>ROUNDUP(F1409/英雄升级调参!$K$112,0)</x:f>
        <x:v>12</x:v>
      </x:c>
      <x:c r="P1409" s="6" t="str">
        <x:f>$AA$37</x:f>
        <x:v>BOSS：30次标准普攻击杀；5次主要攻击致死</x:v>
      </x:c>
      <x:c r="Q1409" s="6"/>
      <x:c r="R1409" s="6"/>
      <x:c r="S1409" s="6"/>
      <x:c r="T1409" s="6"/>
    </x:row>
    <x:row r="1410" ht="21" customHeight="1">
      <x:c r="A1410" s="14" t="n">
        <x:f>$V$37</x:f>
        <x:v>60024</x:v>
      </x:c>
      <x:c r="B1410" s="14" t="str">
        <x:f>$W$37</x:f>
        <x:v>荔枝滚滚BOSS</x:v>
      </x:c>
      <x:c r="C1410" s="6" t="str">
        <x:f>$X$37</x:f>
        <x:v>BOSS</x:v>
      </x:c>
      <x:c r="D1410" s="6">
        <x:v>48</x:v>
      </x:c>
      <x:c r="E1410" s="6">
        <x:v>37</x:v>
      </x:c>
      <x:c r="F1410" s="12">
        <x:f>ROUND(J1410*$W$4*H1410,0)</x:f>
        <x:v>112230</x:v>
      </x:c>
      <x:c r="G1410" s="12">
        <x:f>ROUND(J1410*$W$4*$W$5*I1410,0)</x:f>
        <x:v>37410</x:v>
      </x:c>
      <x:c r="H1410" s="11" t="n">
        <x:f>$Y$37</x:f>
        <x:v>7.5</x:v>
      </x:c>
      <x:c r="I1410" s="11" t="n">
        <x:f>$Z$37</x:f>
        <x:v>33.333333333333336</x:v>
      </x:c>
      <x:c r="J1410" s="12">
        <x:f>英雄升级调参!$E$113</x:f>
        <x:v>3741</x:v>
      </x:c>
      <x:c r="K1410" s="12">
        <x:f>英雄升级调参!$F$113</x:f>
        <x:v>37410</x:v>
      </x:c>
      <x:c r="L1410" s="6" t="n">
        <x:f>ROUNDUP(F1410/J1410,0)</x:f>
        <x:v>30</x:v>
      </x:c>
      <x:c r="M1410" s="6" t="n">
        <x:f>IF(G1410=0,"无伤害",ROUNDUP(K1410/MAX(1,ROUND(G1410*$AC$37,0)),0))</x:f>
        <x:v>5</x:v>
      </x:c>
      <x:c r="N1410" s="6" t="n">
        <x:f>ROUNDUP(F1410/英雄升级调参!$H$113,0)</x:f>
        <x:v>20</x:v>
      </x:c>
      <x:c r="O1410" s="6">
        <x:f>ROUNDUP(F1410/英雄升级调参!$K$113,0)</x:f>
        <x:v>12</x:v>
      </x:c>
      <x:c r="P1410" s="6" t="str">
        <x:f>$AA$37</x:f>
        <x:v>BOSS：30次标准普攻击杀；5次主要攻击致死</x:v>
      </x:c>
      <x:c r="Q1410" s="6"/>
      <x:c r="R1410" s="6"/>
      <x:c r="S1410" s="6"/>
      <x:c r="T1410" s="6"/>
    </x:row>
    <x:row r="1411" ht="21" customHeight="1">
      <x:c r="A1411" s="14" t="n">
        <x:f>$V$37</x:f>
        <x:v>60024</x:v>
      </x:c>
      <x:c r="B1411" s="14" t="str">
        <x:f>$W$37</x:f>
        <x:v>荔枝滚滚BOSS</x:v>
      </x:c>
      <x:c r="C1411" s="6" t="str">
        <x:f>$X$37</x:f>
        <x:v>BOSS</x:v>
      </x:c>
      <x:c r="D1411" s="6">
        <x:v>49</x:v>
      </x:c>
      <x:c r="E1411" s="6">
        <x:v>37</x:v>
      </x:c>
      <x:c r="F1411" s="12">
        <x:f>ROUND(J1411*$W$4*H1411,0)</x:f>
        <x:v>115200</x:v>
      </x:c>
      <x:c r="G1411" s="12">
        <x:f>ROUND(J1411*$W$4*$W$5*I1411,0)</x:f>
        <x:v>38400</x:v>
      </x:c>
      <x:c r="H1411" s="11" t="n">
        <x:f>$Y$37</x:f>
        <x:v>7.5</x:v>
      </x:c>
      <x:c r="I1411" s="11" t="n">
        <x:f>$Z$37</x:f>
        <x:v>33.333333333333336</x:v>
      </x:c>
      <x:c r="J1411" s="12">
        <x:f>英雄升级调参!$E$114</x:f>
        <x:v>3840</x:v>
      </x:c>
      <x:c r="K1411" s="12">
        <x:f>英雄升级调参!$F$114</x:f>
        <x:v>38400</x:v>
      </x:c>
      <x:c r="L1411" s="6" t="n">
        <x:f>ROUNDUP(F1411/J1411,0)</x:f>
        <x:v>30</x:v>
      </x:c>
      <x:c r="M1411" s="6" t="n">
        <x:f>IF(G1411=0,"无伤害",ROUNDUP(K1411/MAX(1,ROUND(G1411*$AC$37,0)),0))</x:f>
        <x:v>5</x:v>
      </x:c>
      <x:c r="N1411" s="6" t="n">
        <x:f>ROUNDUP(F1411/英雄升级调参!$H$114,0)</x:f>
        <x:v>20</x:v>
      </x:c>
      <x:c r="O1411" s="6">
        <x:f>ROUNDUP(F1411/英雄升级调参!$K$114,0)</x:f>
        <x:v>12</x:v>
      </x:c>
      <x:c r="P1411" s="6" t="str">
        <x:f>$AA$37</x:f>
        <x:v>BOSS：30次标准普攻击杀；5次主要攻击致死</x:v>
      </x:c>
      <x:c r="Q1411" s="6"/>
      <x:c r="R1411" s="6"/>
      <x:c r="S1411" s="6"/>
      <x:c r="T1411" s="6"/>
    </x:row>
    <x:row r="1412" ht="21" customHeight="1">
      <x:c r="A1412" s="14" t="n">
        <x:f>$V$37</x:f>
        <x:v>60024</x:v>
      </x:c>
      <x:c r="B1412" s="14" t="str">
        <x:f>$W$37</x:f>
        <x:v>荔枝滚滚BOSS</x:v>
      </x:c>
      <x:c r="C1412" s="6" t="str">
        <x:f>$X$37</x:f>
        <x:v>BOSS</x:v>
      </x:c>
      <x:c r="D1412" s="6">
        <x:v>50</x:v>
      </x:c>
      <x:c r="E1412" s="6">
        <x:v>37</x:v>
      </x:c>
      <x:c r="F1412" s="12">
        <x:f>ROUND(J1412*$W$4*H1412,0)</x:f>
        <x:v>124110</x:v>
      </x:c>
      <x:c r="G1412" s="12">
        <x:f>ROUND(J1412*$W$4*$W$5*I1412,0)</x:f>
        <x:v>41370</x:v>
      </x:c>
      <x:c r="H1412" s="11" t="n">
        <x:f>$Y$37</x:f>
        <x:v>7.5</x:v>
      </x:c>
      <x:c r="I1412" s="11" t="n">
        <x:f>$Z$37</x:f>
        <x:v>33.333333333333336</x:v>
      </x:c>
      <x:c r="J1412" s="12">
        <x:f>英雄升级调参!$E$115</x:f>
        <x:v>4137</x:v>
      </x:c>
      <x:c r="K1412" s="12">
        <x:f>英雄升级调参!$F$115</x:f>
        <x:v>41370</x:v>
      </x:c>
      <x:c r="L1412" s="6" t="n">
        <x:f>ROUNDUP(F1412/J1412,0)</x:f>
        <x:v>30</x:v>
      </x:c>
      <x:c r="M1412" s="6" t="n">
        <x:f>IF(G1412=0,"无伤害",ROUNDUP(K1412/MAX(1,ROUND(G1412*$AC$37,0)),0))</x:f>
        <x:v>5</x:v>
      </x:c>
      <x:c r="N1412" s="6" t="n">
        <x:f>ROUNDUP(F1412/英雄升级调参!$H$115,0)</x:f>
        <x:v>20</x:v>
      </x:c>
      <x:c r="O1412" s="6">
        <x:f>ROUNDUP(F1412/英雄升级调参!$K$115,0)</x:f>
        <x:v>12</x:v>
      </x:c>
      <x:c r="P1412" s="6" t="str">
        <x:f>$AA$37</x:f>
        <x:v>BOSS：30次标准普攻击杀；5次主要攻击致死</x:v>
      </x:c>
      <x:c r="Q1412" s="6"/>
      <x:c r="R1412" s="6"/>
      <x:c r="S1412" s="6"/>
      <x:c r="T1412" s="6"/>
    </x:row>
    <x:row r="1413" ht="21" customHeight="1">
      <x:c r="A1413" s="14" t="n">
        <x:f>$V$38</x:f>
        <x:v>60025</x:v>
      </x:c>
      <x:c r="B1413" s="14" t="str">
        <x:f>$W$38</x:f>
        <x:v>豌豆射手</x:v>
      </x:c>
      <x:c r="C1413" s="6" t="str">
        <x:f>$X$38</x:f>
        <x:v>远程</x:v>
      </x:c>
      <x:c r="D1413" s="6">
        <x:v>1</x:v>
      </x:c>
      <x:c r="E1413" s="6">
        <x:v>38</x:v>
      </x:c>
      <x:c r="F1413" s="12" t="n">
        <x:f>ROUND(J1413*$W$4*H1413,0)</x:f>
        <x:v>180</x:v>
      </x:c>
      <x:c r="G1413" s="12" t="n">
        <x:f>ROUND(J1413*$W$4*$W$5*I1413,0)</x:f>
        <x:v>60</x:v>
      </x:c>
      <x:c r="H1413" s="11" t="n">
        <x:f>$Y$38</x:f>
        <x:v>0.75</x:v>
      </x:c>
      <x:c r="I1413" s="11" t="n">
        <x:f>$Z$38</x:f>
        <x:v>3.3333333333333335</x:v>
      </x:c>
      <x:c r="J1413" s="12" t="n">
        <x:f>英雄升级调参!$E$66</x:f>
        <x:v>60</x:v>
      </x:c>
      <x:c r="K1413" s="12" t="n">
        <x:f>英雄升级调参!$F$66</x:f>
        <x:v>600</x:v>
      </x:c>
      <x:c r="L1413" s="6" t="n">
        <x:f>ROUNDUP(F1413/J1413,0)</x:f>
        <x:v>3</x:v>
      </x:c>
      <x:c r="M1413" s="6" t="n">
        <x:f>IF(G1413=0,"无伤害",ROUNDUP(K1413/MAX(1,ROUND(G1413*$AC$38,0)),0))</x:f>
        <x:v>10</x:v>
      </x:c>
      <x:c r="N1413" s="6">
        <x:f>ROUNDUP(F1413/英雄升级调参!$H$66,0)</x:f>
        <x:v>1</x:v>
      </x:c>
      <x:c r="O1413" s="6">
        <x:f>ROUNDUP(F1413/英雄升级调参!$K$66,0)</x:f>
        <x:v>1</x:v>
      </x:c>
      <x:c r="P1413" s="6" t="str">
        <x:f>$AA$38</x:f>
        <x:v>普通：3次标准普攻击杀；10次主要攻击致死</x:v>
      </x:c>
      <x:c r="Q1413" s="6"/>
      <x:c r="R1413" s="6"/>
      <x:c r="S1413" s="6"/>
      <x:c r="T1413" s="6"/>
    </x:row>
    <x:row r="1414" ht="21" customHeight="1">
      <x:c r="A1414" s="14" t="n">
        <x:f>$V$38</x:f>
        <x:v>60025</x:v>
      </x:c>
      <x:c r="B1414" s="14" t="str">
        <x:f>$W$38</x:f>
        <x:v>豌豆射手</x:v>
      </x:c>
      <x:c r="C1414" s="6" t="str">
        <x:f>$X$38</x:f>
        <x:v>远程</x:v>
      </x:c>
      <x:c r="D1414" s="6">
        <x:v>2</x:v>
      </x:c>
      <x:c r="E1414" s="6">
        <x:v>38</x:v>
      </x:c>
      <x:c r="F1414" s="12">
        <x:f>ROUND(J1414*$W$4*H1414,0)</x:f>
        <x:v>234</x:v>
      </x:c>
      <x:c r="G1414" s="12">
        <x:f>ROUND(J1414*$W$4*$W$5*I1414,0)</x:f>
        <x:v>78</x:v>
      </x:c>
      <x:c r="H1414" s="11" t="n">
        <x:f>$Y$38</x:f>
        <x:v>0.75</x:v>
      </x:c>
      <x:c r="I1414" s="11" t="n">
        <x:f>$Z$38</x:f>
        <x:v>3.3333333333333335</x:v>
      </x:c>
      <x:c r="J1414" s="12">
        <x:f>英雄升级调参!$E$67</x:f>
        <x:v>78</x:v>
      </x:c>
      <x:c r="K1414" s="12">
        <x:f>英雄升级调参!$F$67</x:f>
        <x:v>780</x:v>
      </x:c>
      <x:c r="L1414" s="6" t="n">
        <x:f>ROUNDUP(F1414/J1414,0)</x:f>
        <x:v>3</x:v>
      </x:c>
      <x:c r="M1414" s="6" t="n">
        <x:f>IF(G1414=0,"无伤害",ROUNDUP(K1414/MAX(1,ROUND(G1414*$AC$38,0)),0))</x:f>
        <x:v>10</x:v>
      </x:c>
      <x:c r="N1414" s="6" t="n">
        <x:f>ROUNDUP(F1414/英雄升级调参!$H$67,0)</x:f>
        <x:v>2</x:v>
      </x:c>
      <x:c r="O1414" s="6">
        <x:f>ROUNDUP(F1414/英雄升级调参!$K$67,0)</x:f>
        <x:v>1</x:v>
      </x:c>
      <x:c r="P1414" s="6" t="str">
        <x:f>$AA$38</x:f>
        <x:v>普通：3次标准普攻击杀；10次主要攻击致死</x:v>
      </x:c>
      <x:c r="Q1414" s="6"/>
      <x:c r="R1414" s="6"/>
      <x:c r="S1414" s="6"/>
      <x:c r="T1414" s="6"/>
    </x:row>
    <x:row r="1415" ht="21" customHeight="1">
      <x:c r="A1415" s="14" t="n">
        <x:f>$V$38</x:f>
        <x:v>60025</x:v>
      </x:c>
      <x:c r="B1415" s="14" t="str">
        <x:f>$W$38</x:f>
        <x:v>豌豆射手</x:v>
      </x:c>
      <x:c r="C1415" s="6" t="str">
        <x:f>$X$38</x:f>
        <x:v>远程</x:v>
      </x:c>
      <x:c r="D1415" s="6">
        <x:v>3</x:v>
      </x:c>
      <x:c r="E1415" s="6">
        <x:v>38</x:v>
      </x:c>
      <x:c r="F1415" s="12">
        <x:f>ROUND(J1415*$W$4*H1415,0)</x:f>
        <x:v>288</x:v>
      </x:c>
      <x:c r="G1415" s="12">
        <x:f>ROUND(J1415*$W$4*$W$5*I1415,0)</x:f>
        <x:v>96</x:v>
      </x:c>
      <x:c r="H1415" s="11" t="n">
        <x:f>$Y$38</x:f>
        <x:v>0.75</x:v>
      </x:c>
      <x:c r="I1415" s="11" t="n">
        <x:f>$Z$38</x:f>
        <x:v>3.3333333333333335</x:v>
      </x:c>
      <x:c r="J1415" s="12">
        <x:f>英雄升级调参!$E$68</x:f>
        <x:v>96</x:v>
      </x:c>
      <x:c r="K1415" s="12">
        <x:f>英雄升级调参!$F$68</x:f>
        <x:v>960</x:v>
      </x:c>
      <x:c r="L1415" s="6" t="n">
        <x:f>ROUNDUP(F1415/J1415,0)</x:f>
        <x:v>3</x:v>
      </x:c>
      <x:c r="M1415" s="6" t="n">
        <x:f>IF(G1415=0,"无伤害",ROUNDUP(K1415/MAX(1,ROUND(G1415*$AC$38,0)),0))</x:f>
        <x:v>10</x:v>
      </x:c>
      <x:c r="N1415" s="6" t="n">
        <x:f>ROUNDUP(F1415/英雄升级调参!$H$68,0)</x:f>
        <x:v>2</x:v>
      </x:c>
      <x:c r="O1415" s="6">
        <x:f>ROUNDUP(F1415/英雄升级调参!$K$68,0)</x:f>
        <x:v>1</x:v>
      </x:c>
      <x:c r="P1415" s="6" t="str">
        <x:f>$AA$38</x:f>
        <x:v>普通：3次标准普攻击杀；10次主要攻击致死</x:v>
      </x:c>
      <x:c r="Q1415" s="6"/>
      <x:c r="R1415" s="6"/>
      <x:c r="S1415" s="6"/>
      <x:c r="T1415" s="6"/>
    </x:row>
    <x:row r="1416" ht="21" customHeight="1">
      <x:c r="A1416" s="14" t="n">
        <x:f>$V$38</x:f>
        <x:v>60025</x:v>
      </x:c>
      <x:c r="B1416" s="14" t="str">
        <x:f>$W$38</x:f>
        <x:v>豌豆射手</x:v>
      </x:c>
      <x:c r="C1416" s="6" t="str">
        <x:f>$X$38</x:f>
        <x:v>远程</x:v>
      </x:c>
      <x:c r="D1416" s="6">
        <x:v>4</x:v>
      </x:c>
      <x:c r="E1416" s="6">
        <x:v>38</x:v>
      </x:c>
      <x:c r="F1416" s="12">
        <x:f>ROUND(J1416*$W$4*H1416,0)</x:f>
        <x:v>342</x:v>
      </x:c>
      <x:c r="G1416" s="12">
        <x:f>ROUND(J1416*$W$4*$W$5*I1416,0)</x:f>
        <x:v>114</x:v>
      </x:c>
      <x:c r="H1416" s="11" t="n">
        <x:f>$Y$38</x:f>
        <x:v>0.75</x:v>
      </x:c>
      <x:c r="I1416" s="11" t="n">
        <x:f>$Z$38</x:f>
        <x:v>3.3333333333333335</x:v>
      </x:c>
      <x:c r="J1416" s="12">
        <x:f>英雄升级调参!$E$69</x:f>
        <x:v>114</x:v>
      </x:c>
      <x:c r="K1416" s="12">
        <x:f>英雄升级调参!$F$69</x:f>
        <x:v>1140</x:v>
      </x:c>
      <x:c r="L1416" s="6" t="n">
        <x:f>ROUNDUP(F1416/J1416,0)</x:f>
        <x:v>3</x:v>
      </x:c>
      <x:c r="M1416" s="6" t="n">
        <x:f>IF(G1416=0,"无伤害",ROUNDUP(K1416/MAX(1,ROUND(G1416*$AC$38,0)),0))</x:f>
        <x:v>10</x:v>
      </x:c>
      <x:c r="N1416" s="6" t="n">
        <x:f>ROUNDUP(F1416/英雄升级调参!$H$69,0)</x:f>
        <x:v>2</x:v>
      </x:c>
      <x:c r="O1416" s="6">
        <x:f>ROUNDUP(F1416/英雄升级调参!$K$69,0)</x:f>
        <x:v>1</x:v>
      </x:c>
      <x:c r="P1416" s="6" t="str">
        <x:f>$AA$38</x:f>
        <x:v>普通：3次标准普攻击杀；10次主要攻击致死</x:v>
      </x:c>
      <x:c r="Q1416" s="6"/>
      <x:c r="R1416" s="6"/>
      <x:c r="S1416" s="6"/>
      <x:c r="T1416" s="6"/>
    </x:row>
    <x:row r="1417" ht="21" customHeight="1">
      <x:c r="A1417" s="14" t="n">
        <x:f>$V$38</x:f>
        <x:v>60025</x:v>
      </x:c>
      <x:c r="B1417" s="14" t="str">
        <x:f>$W$38</x:f>
        <x:v>豌豆射手</x:v>
      </x:c>
      <x:c r="C1417" s="6" t="str">
        <x:f>$X$38</x:f>
        <x:v>远程</x:v>
      </x:c>
      <x:c r="D1417" s="6">
        <x:v>5</x:v>
      </x:c>
      <x:c r="E1417" s="6">
        <x:v>38</x:v>
      </x:c>
      <x:c r="F1417" s="12">
        <x:f>ROUND(J1417*$W$4*H1417,0)</x:f>
        <x:v>504</x:v>
      </x:c>
      <x:c r="G1417" s="12">
        <x:f>ROUND(J1417*$W$4*$W$5*I1417,0)</x:f>
        <x:v>168</x:v>
      </x:c>
      <x:c r="H1417" s="11" t="n">
        <x:f>$Y$38</x:f>
        <x:v>0.75</x:v>
      </x:c>
      <x:c r="I1417" s="11" t="n">
        <x:f>$Z$38</x:f>
        <x:v>3.3333333333333335</x:v>
      </x:c>
      <x:c r="J1417" s="12">
        <x:f>英雄升级调参!$E$70</x:f>
        <x:v>168</x:v>
      </x:c>
      <x:c r="K1417" s="12">
        <x:f>英雄升级调参!$F$70</x:f>
        <x:v>1680</x:v>
      </x:c>
      <x:c r="L1417" s="6" t="n">
        <x:f>ROUNDUP(F1417/J1417,0)</x:f>
        <x:v>3</x:v>
      </x:c>
      <x:c r="M1417" s="6" t="n">
        <x:f>IF(G1417=0,"无伤害",ROUNDUP(K1417/MAX(1,ROUND(G1417*$AC$38,0)),0))</x:f>
        <x:v>10</x:v>
      </x:c>
      <x:c r="N1417" s="6" t="n">
        <x:f>ROUNDUP(F1417/英雄升级调参!$H$70,0)</x:f>
        <x:v>2</x:v>
      </x:c>
      <x:c r="O1417" s="6">
        <x:f>ROUNDUP(F1417/英雄升级调参!$K$70,0)</x:f>
        <x:v>1</x:v>
      </x:c>
      <x:c r="P1417" s="6" t="str">
        <x:f>$AA$38</x:f>
        <x:v>普通：3次标准普攻击杀；10次主要攻击致死</x:v>
      </x:c>
      <x:c r="Q1417" s="6"/>
      <x:c r="R1417" s="6"/>
      <x:c r="S1417" s="6"/>
      <x:c r="T1417" s="6"/>
    </x:row>
    <x:row r="1418" ht="21" customHeight="1">
      <x:c r="A1418" s="14" t="n">
        <x:f>$V$38</x:f>
        <x:v>60025</x:v>
      </x:c>
      <x:c r="B1418" s="14" t="str">
        <x:f>$W$38</x:f>
        <x:v>豌豆射手</x:v>
      </x:c>
      <x:c r="C1418" s="6" t="str">
        <x:f>$X$38</x:f>
        <x:v>远程</x:v>
      </x:c>
      <x:c r="D1418" s="6">
        <x:v>6</x:v>
      </x:c>
      <x:c r="E1418" s="6">
        <x:v>38</x:v>
      </x:c>
      <x:c r="F1418" s="12">
        <x:f>ROUND(J1418*$W$4*H1418,0)</x:f>
        <x:v>585</x:v>
      </x:c>
      <x:c r="G1418" s="12">
        <x:f>ROUND(J1418*$W$4*$W$5*I1418,0)</x:f>
        <x:v>195</x:v>
      </x:c>
      <x:c r="H1418" s="11" t="n">
        <x:f>$Y$38</x:f>
        <x:v>0.75</x:v>
      </x:c>
      <x:c r="I1418" s="11" t="n">
        <x:f>$Z$38</x:f>
        <x:v>3.3333333333333335</x:v>
      </x:c>
      <x:c r="J1418" s="12">
        <x:f>英雄升级调参!$E$71</x:f>
        <x:v>195</x:v>
      </x:c>
      <x:c r="K1418" s="12">
        <x:f>英雄升级调参!$F$71</x:f>
        <x:v>1950</x:v>
      </x:c>
      <x:c r="L1418" s="6" t="n">
        <x:f>ROUNDUP(F1418/J1418,0)</x:f>
        <x:v>3</x:v>
      </x:c>
      <x:c r="M1418" s="6" t="n">
        <x:f>IF(G1418=0,"无伤害",ROUNDUP(K1418/MAX(1,ROUND(G1418*$AC$38,0)),0))</x:f>
        <x:v>10</x:v>
      </x:c>
      <x:c r="N1418" s="6" t="n">
        <x:f>ROUNDUP(F1418/英雄升级调参!$H$71,0)</x:f>
        <x:v>2</x:v>
      </x:c>
      <x:c r="O1418" s="6">
        <x:f>ROUNDUP(F1418/英雄升级调参!$K$71,0)</x:f>
        <x:v>1</x:v>
      </x:c>
      <x:c r="P1418" s="6" t="str">
        <x:f>$AA$38</x:f>
        <x:v>普通：3次标准普攻击杀；10次主要攻击致死</x:v>
      </x:c>
      <x:c r="Q1418" s="6"/>
      <x:c r="R1418" s="6"/>
      <x:c r="S1418" s="6"/>
      <x:c r="T1418" s="6"/>
    </x:row>
    <x:row r="1419" ht="21" customHeight="1">
      <x:c r="A1419" s="14" t="n">
        <x:f>$V$38</x:f>
        <x:v>60025</x:v>
      </x:c>
      <x:c r="B1419" s="14" t="str">
        <x:f>$W$38</x:f>
        <x:v>豌豆射手</x:v>
      </x:c>
      <x:c r="C1419" s="6" t="str">
        <x:f>$X$38</x:f>
        <x:v>远程</x:v>
      </x:c>
      <x:c r="D1419" s="6">
        <x:v>7</x:v>
      </x:c>
      <x:c r="E1419" s="6">
        <x:v>38</x:v>
      </x:c>
      <x:c r="F1419" s="12">
        <x:f>ROUND(J1419*$W$4*H1419,0)</x:f>
        <x:v>666</x:v>
      </x:c>
      <x:c r="G1419" s="12">
        <x:f>ROUND(J1419*$W$4*$W$5*I1419,0)</x:f>
        <x:v>222</x:v>
      </x:c>
      <x:c r="H1419" s="11" t="n">
        <x:f>$Y$38</x:f>
        <x:v>0.75</x:v>
      </x:c>
      <x:c r="I1419" s="11" t="n">
        <x:f>$Z$38</x:f>
        <x:v>3.3333333333333335</x:v>
      </x:c>
      <x:c r="J1419" s="12">
        <x:f>英雄升级调参!$E$72</x:f>
        <x:v>222</x:v>
      </x:c>
      <x:c r="K1419" s="12">
        <x:f>英雄升级调参!$F$72</x:f>
        <x:v>2220</x:v>
      </x:c>
      <x:c r="L1419" s="6" t="n">
        <x:f>ROUNDUP(F1419/J1419,0)</x:f>
        <x:v>3</x:v>
      </x:c>
      <x:c r="M1419" s="6" t="n">
        <x:f>IF(G1419=0,"无伤害",ROUNDUP(K1419/MAX(1,ROUND(G1419*$AC$38,0)),0))</x:f>
        <x:v>10</x:v>
      </x:c>
      <x:c r="N1419" s="6" t="n">
        <x:f>ROUNDUP(F1419/英雄升级调参!$H$72,0)</x:f>
        <x:v>2</x:v>
      </x:c>
      <x:c r="O1419" s="6">
        <x:f>ROUNDUP(F1419/英雄升级调参!$K$72,0)</x:f>
        <x:v>1</x:v>
      </x:c>
      <x:c r="P1419" s="6" t="str">
        <x:f>$AA$38</x:f>
        <x:v>普通：3次标准普攻击杀；10次主要攻击致死</x:v>
      </x:c>
      <x:c r="Q1419" s="6"/>
      <x:c r="R1419" s="6"/>
      <x:c r="S1419" s="6"/>
      <x:c r="T1419" s="6"/>
    </x:row>
    <x:row r="1420" ht="21" customHeight="1">
      <x:c r="A1420" s="14" t="n">
        <x:f>$V$38</x:f>
        <x:v>60025</x:v>
      </x:c>
      <x:c r="B1420" s="14" t="str">
        <x:f>$W$38</x:f>
        <x:v>豌豆射手</x:v>
      </x:c>
      <x:c r="C1420" s="6" t="str">
        <x:f>$X$38</x:f>
        <x:v>远程</x:v>
      </x:c>
      <x:c r="D1420" s="6">
        <x:v>8</x:v>
      </x:c>
      <x:c r="E1420" s="6">
        <x:v>38</x:v>
      </x:c>
      <x:c r="F1420" s="12">
        <x:f>ROUND(J1420*$W$4*H1420,0)</x:f>
        <x:v>747</x:v>
      </x:c>
      <x:c r="G1420" s="12">
        <x:f>ROUND(J1420*$W$4*$W$5*I1420,0)</x:f>
        <x:v>249</x:v>
      </x:c>
      <x:c r="H1420" s="11" t="n">
        <x:f>$Y$38</x:f>
        <x:v>0.75</x:v>
      </x:c>
      <x:c r="I1420" s="11" t="n">
        <x:f>$Z$38</x:f>
        <x:v>3.3333333333333335</x:v>
      </x:c>
      <x:c r="J1420" s="12">
        <x:f>英雄升级调参!$E$73</x:f>
        <x:v>249</x:v>
      </x:c>
      <x:c r="K1420" s="12">
        <x:f>英雄升级调参!$F$73</x:f>
        <x:v>2490</x:v>
      </x:c>
      <x:c r="L1420" s="6" t="n">
        <x:f>ROUNDUP(F1420/J1420,0)</x:f>
        <x:v>3</x:v>
      </x:c>
      <x:c r="M1420" s="6" t="n">
        <x:f>IF(G1420=0,"无伤害",ROUNDUP(K1420/MAX(1,ROUND(G1420*$AC$38,0)),0))</x:f>
        <x:v>10</x:v>
      </x:c>
      <x:c r="N1420" s="6" t="n">
        <x:f>ROUNDUP(F1420/英雄升级调参!$H$73,0)</x:f>
        <x:v>2</x:v>
      </x:c>
      <x:c r="O1420" s="6">
        <x:f>ROUNDUP(F1420/英雄升级调参!$K$73,0)</x:f>
        <x:v>1</x:v>
      </x:c>
      <x:c r="P1420" s="6" t="str">
        <x:f>$AA$38</x:f>
        <x:v>普通：3次标准普攻击杀；10次主要攻击致死</x:v>
      </x:c>
      <x:c r="Q1420" s="6"/>
      <x:c r="R1420" s="6"/>
      <x:c r="S1420" s="6"/>
      <x:c r="T1420" s="6"/>
    </x:row>
    <x:row r="1421" ht="21" customHeight="1">
      <x:c r="A1421" s="14" t="n">
        <x:f>$V$38</x:f>
        <x:v>60025</x:v>
      </x:c>
      <x:c r="B1421" s="14" t="str">
        <x:f>$W$38</x:f>
        <x:v>豌豆射手</x:v>
      </x:c>
      <x:c r="C1421" s="6" t="str">
        <x:f>$X$38</x:f>
        <x:v>远程</x:v>
      </x:c>
      <x:c r="D1421" s="6">
        <x:v>9</x:v>
      </x:c>
      <x:c r="E1421" s="6">
        <x:v>38</x:v>
      </x:c>
      <x:c r="F1421" s="12">
        <x:f>ROUND(J1421*$W$4*H1421,0)</x:f>
        <x:v>828</x:v>
      </x:c>
      <x:c r="G1421" s="12">
        <x:f>ROUND(J1421*$W$4*$W$5*I1421,0)</x:f>
        <x:v>276</x:v>
      </x:c>
      <x:c r="H1421" s="11" t="n">
        <x:f>$Y$38</x:f>
        <x:v>0.75</x:v>
      </x:c>
      <x:c r="I1421" s="11" t="n">
        <x:f>$Z$38</x:f>
        <x:v>3.3333333333333335</x:v>
      </x:c>
      <x:c r="J1421" s="12">
        <x:f>英雄升级调参!$E$74</x:f>
        <x:v>276</x:v>
      </x:c>
      <x:c r="K1421" s="12">
        <x:f>英雄升级调参!$F$74</x:f>
        <x:v>2760</x:v>
      </x:c>
      <x:c r="L1421" s="6" t="n">
        <x:f>ROUNDUP(F1421/J1421,0)</x:f>
        <x:v>3</x:v>
      </x:c>
      <x:c r="M1421" s="6" t="n">
        <x:f>IF(G1421=0,"无伤害",ROUNDUP(K1421/MAX(1,ROUND(G1421*$AC$38,0)),0))</x:f>
        <x:v>10</x:v>
      </x:c>
      <x:c r="N1421" s="6" t="n">
        <x:f>ROUNDUP(F1421/英雄升级调参!$H$74,0)</x:f>
        <x:v>2</x:v>
      </x:c>
      <x:c r="O1421" s="6">
        <x:f>ROUNDUP(F1421/英雄升级调参!$K$74,0)</x:f>
        <x:v>1</x:v>
      </x:c>
      <x:c r="P1421" s="6" t="str">
        <x:f>$AA$38</x:f>
        <x:v>普通：3次标准普攻击杀；10次主要攻击致死</x:v>
      </x:c>
      <x:c r="Q1421" s="6"/>
      <x:c r="R1421" s="6"/>
      <x:c r="S1421" s="6"/>
      <x:c r="T1421" s="6"/>
    </x:row>
    <x:row r="1422" ht="21" customHeight="1">
      <x:c r="A1422" s="14" t="n">
        <x:f>$V$38</x:f>
        <x:v>60025</x:v>
      </x:c>
      <x:c r="B1422" s="14" t="str">
        <x:f>$W$38</x:f>
        <x:v>豌豆射手</x:v>
      </x:c>
      <x:c r="C1422" s="6" t="str">
        <x:f>$X$38</x:f>
        <x:v>远程</x:v>
      </x:c>
      <x:c r="D1422" s="6">
        <x:v>10</x:v>
      </x:c>
      <x:c r="E1422" s="6">
        <x:v>38</x:v>
      </x:c>
      <x:c r="F1422" s="12">
        <x:f>ROUND(J1422*$W$4*H1422,0)</x:f>
        <x:v>1071</x:v>
      </x:c>
      <x:c r="G1422" s="12">
        <x:f>ROUND(J1422*$W$4*$W$5*I1422,0)</x:f>
        <x:v>357</x:v>
      </x:c>
      <x:c r="H1422" s="11" t="n">
        <x:f>$Y$38</x:f>
        <x:v>0.75</x:v>
      </x:c>
      <x:c r="I1422" s="11" t="n">
        <x:f>$Z$38</x:f>
        <x:v>3.3333333333333335</x:v>
      </x:c>
      <x:c r="J1422" s="12">
        <x:f>英雄升级调参!$E$75</x:f>
        <x:v>357</x:v>
      </x:c>
      <x:c r="K1422" s="12">
        <x:f>英雄升级调参!$F$75</x:f>
        <x:v>3570</x:v>
      </x:c>
      <x:c r="L1422" s="6" t="n">
        <x:f>ROUNDUP(F1422/J1422,0)</x:f>
        <x:v>3</x:v>
      </x:c>
      <x:c r="M1422" s="6" t="n">
        <x:f>IF(G1422=0,"无伤害",ROUNDUP(K1422/MAX(1,ROUND(G1422*$AC$38,0)),0))</x:f>
        <x:v>10</x:v>
      </x:c>
      <x:c r="N1422" s="6" t="n">
        <x:f>ROUNDUP(F1422/英雄升级调参!$H$75,0)</x:f>
        <x:v>2</x:v>
      </x:c>
      <x:c r="O1422" s="6">
        <x:f>ROUNDUP(F1422/英雄升级调参!$K$75,0)</x:f>
        <x:v>1</x:v>
      </x:c>
      <x:c r="P1422" s="6" t="str">
        <x:f>$AA$38</x:f>
        <x:v>普通：3次标准普攻击杀；10次主要攻击致死</x:v>
      </x:c>
      <x:c r="Q1422" s="6"/>
      <x:c r="R1422" s="6"/>
      <x:c r="S1422" s="6"/>
      <x:c r="T1422" s="6"/>
    </x:row>
    <x:row r="1423" ht="21" customHeight="1">
      <x:c r="A1423" s="14" t="n">
        <x:f>$V$38</x:f>
        <x:v>60025</x:v>
      </x:c>
      <x:c r="B1423" s="14" t="str">
        <x:f>$W$38</x:f>
        <x:v>豌豆射手</x:v>
      </x:c>
      <x:c r="C1423" s="6" t="str">
        <x:f>$X$38</x:f>
        <x:v>远程</x:v>
      </x:c>
      <x:c r="D1423" s="6">
        <x:v>11</x:v>
      </x:c>
      <x:c r="E1423" s="6">
        <x:v>38</x:v>
      </x:c>
      <x:c r="F1423" s="12">
        <x:f>ROUND(J1423*$W$4*H1423,0)</x:f>
        <x:v>1179</x:v>
      </x:c>
      <x:c r="G1423" s="12">
        <x:f>ROUND(J1423*$W$4*$W$5*I1423,0)</x:f>
        <x:v>393</x:v>
      </x:c>
      <x:c r="H1423" s="11" t="n">
        <x:f>$Y$38</x:f>
        <x:v>0.75</x:v>
      </x:c>
      <x:c r="I1423" s="11" t="n">
        <x:f>$Z$38</x:f>
        <x:v>3.3333333333333335</x:v>
      </x:c>
      <x:c r="J1423" s="12">
        <x:f>英雄升级调参!$E$76</x:f>
        <x:v>393</x:v>
      </x:c>
      <x:c r="K1423" s="12">
        <x:f>英雄升级调参!$F$76</x:f>
        <x:v>3930</x:v>
      </x:c>
      <x:c r="L1423" s="6" t="n">
        <x:f>ROUNDUP(F1423/J1423,0)</x:f>
        <x:v>3</x:v>
      </x:c>
      <x:c r="M1423" s="6" t="n">
        <x:f>IF(G1423=0,"无伤害",ROUNDUP(K1423/MAX(1,ROUND(G1423*$AC$38,0)),0))</x:f>
        <x:v>10</x:v>
      </x:c>
      <x:c r="N1423" s="6" t="n">
        <x:f>ROUNDUP(F1423/英雄升级调参!$H$76,0)</x:f>
        <x:v>2</x:v>
      </x:c>
      <x:c r="O1423" s="6">
        <x:f>ROUNDUP(F1423/英雄升级调参!$K$76,0)</x:f>
        <x:v>1</x:v>
      </x:c>
      <x:c r="P1423" s="6" t="str">
        <x:f>$AA$38</x:f>
        <x:v>普通：3次标准普攻击杀；10次主要攻击致死</x:v>
      </x:c>
      <x:c r="Q1423" s="6"/>
      <x:c r="R1423" s="6"/>
      <x:c r="S1423" s="6"/>
      <x:c r="T1423" s="6"/>
    </x:row>
    <x:row r="1424" ht="21" customHeight="1">
      <x:c r="A1424" s="14" t="n">
        <x:f>$V$38</x:f>
        <x:v>60025</x:v>
      </x:c>
      <x:c r="B1424" s="14" t="str">
        <x:f>$W$38</x:f>
        <x:v>豌豆射手</x:v>
      </x:c>
      <x:c r="C1424" s="6" t="str">
        <x:f>$X$38</x:f>
        <x:v>远程</x:v>
      </x:c>
      <x:c r="D1424" s="6">
        <x:v>12</x:v>
      </x:c>
      <x:c r="E1424" s="6">
        <x:v>38</x:v>
      </x:c>
      <x:c r="F1424" s="12">
        <x:f>ROUND(J1424*$W$4*H1424,0)</x:f>
        <x:v>1287</x:v>
      </x:c>
      <x:c r="G1424" s="12">
        <x:f>ROUND(J1424*$W$4*$W$5*I1424,0)</x:f>
        <x:v>429</x:v>
      </x:c>
      <x:c r="H1424" s="11" t="n">
        <x:f>$Y$38</x:f>
        <x:v>0.75</x:v>
      </x:c>
      <x:c r="I1424" s="11" t="n">
        <x:f>$Z$38</x:f>
        <x:v>3.3333333333333335</x:v>
      </x:c>
      <x:c r="J1424" s="12">
        <x:f>英雄升级调参!$E$77</x:f>
        <x:v>429</x:v>
      </x:c>
      <x:c r="K1424" s="12">
        <x:f>英雄升级调参!$F$77</x:f>
        <x:v>4290</x:v>
      </x:c>
      <x:c r="L1424" s="6" t="n">
        <x:f>ROUNDUP(F1424/J1424,0)</x:f>
        <x:v>3</x:v>
      </x:c>
      <x:c r="M1424" s="6" t="n">
        <x:f>IF(G1424=0,"无伤害",ROUNDUP(K1424/MAX(1,ROUND(G1424*$AC$38,0)),0))</x:f>
        <x:v>10</x:v>
      </x:c>
      <x:c r="N1424" s="6" t="n">
        <x:f>ROUNDUP(F1424/英雄升级调参!$H$77,0)</x:f>
        <x:v>2</x:v>
      </x:c>
      <x:c r="O1424" s="6" t="n">
        <x:f>ROUNDUP(F1424/英雄升级调参!$K$77,0)</x:f>
        <x:v>2</x:v>
      </x:c>
      <x:c r="P1424" s="6" t="str">
        <x:f>$AA$38</x:f>
        <x:v>普通：3次标准普攻击杀；10次主要攻击致死</x:v>
      </x:c>
      <x:c r="Q1424" s="6"/>
      <x:c r="R1424" s="6"/>
      <x:c r="S1424" s="6"/>
      <x:c r="T1424" s="6"/>
    </x:row>
    <x:row r="1425" ht="21" customHeight="1">
      <x:c r="A1425" s="14" t="n">
        <x:f>$V$38</x:f>
        <x:v>60025</x:v>
      </x:c>
      <x:c r="B1425" s="14" t="str">
        <x:f>$W$38</x:f>
        <x:v>豌豆射手</x:v>
      </x:c>
      <x:c r="C1425" s="6" t="str">
        <x:f>$X$38</x:f>
        <x:v>远程</x:v>
      </x:c>
      <x:c r="D1425" s="6">
        <x:v>13</x:v>
      </x:c>
      <x:c r="E1425" s="6">
        <x:v>38</x:v>
      </x:c>
      <x:c r="F1425" s="12">
        <x:f>ROUND(J1425*$W$4*H1425,0)</x:f>
        <x:v>1395</x:v>
      </x:c>
      <x:c r="G1425" s="12">
        <x:f>ROUND(J1425*$W$4*$W$5*I1425,0)</x:f>
        <x:v>465</x:v>
      </x:c>
      <x:c r="H1425" s="11" t="n">
        <x:f>$Y$38</x:f>
        <x:v>0.75</x:v>
      </x:c>
      <x:c r="I1425" s="11" t="n">
        <x:f>$Z$38</x:f>
        <x:v>3.3333333333333335</x:v>
      </x:c>
      <x:c r="J1425" s="12">
        <x:f>英雄升级调参!$E$78</x:f>
        <x:v>465</x:v>
      </x:c>
      <x:c r="K1425" s="12">
        <x:f>英雄升级调参!$F$78</x:f>
        <x:v>4650</x:v>
      </x:c>
      <x:c r="L1425" s="6" t="n">
        <x:f>ROUNDUP(F1425/J1425,0)</x:f>
        <x:v>3</x:v>
      </x:c>
      <x:c r="M1425" s="6" t="n">
        <x:f>IF(G1425=0,"无伤害",ROUNDUP(K1425/MAX(1,ROUND(G1425*$AC$38,0)),0))</x:f>
        <x:v>10</x:v>
      </x:c>
      <x:c r="N1425" s="6" t="n">
        <x:f>ROUNDUP(F1425/英雄升级调参!$H$78,0)</x:f>
        <x:v>2</x:v>
      </x:c>
      <x:c r="O1425" s="6" t="n">
        <x:f>ROUNDUP(F1425/英雄升级调参!$K$78,0)</x:f>
        <x:v>2</x:v>
      </x:c>
      <x:c r="P1425" s="6" t="str">
        <x:f>$AA$38</x:f>
        <x:v>普通：3次标准普攻击杀；10次主要攻击致死</x:v>
      </x:c>
      <x:c r="Q1425" s="6"/>
      <x:c r="R1425" s="6"/>
      <x:c r="S1425" s="6"/>
      <x:c r="T1425" s="6"/>
    </x:row>
    <x:row r="1426" ht="21" customHeight="1">
      <x:c r="A1426" s="14" t="n">
        <x:f>$V$38</x:f>
        <x:v>60025</x:v>
      </x:c>
      <x:c r="B1426" s="14" t="str">
        <x:f>$W$38</x:f>
        <x:v>豌豆射手</x:v>
      </x:c>
      <x:c r="C1426" s="6" t="str">
        <x:f>$X$38</x:f>
        <x:v>远程</x:v>
      </x:c>
      <x:c r="D1426" s="6">
        <x:v>14</x:v>
      </x:c>
      <x:c r="E1426" s="6">
        <x:v>38</x:v>
      </x:c>
      <x:c r="F1426" s="12">
        <x:f>ROUND(J1426*$W$4*H1426,0)</x:f>
        <x:v>1503</x:v>
      </x:c>
      <x:c r="G1426" s="12">
        <x:f>ROUND(J1426*$W$4*$W$5*I1426,0)</x:f>
        <x:v>501</x:v>
      </x:c>
      <x:c r="H1426" s="11" t="n">
        <x:f>$Y$38</x:f>
        <x:v>0.75</x:v>
      </x:c>
      <x:c r="I1426" s="11" t="n">
        <x:f>$Z$38</x:f>
        <x:v>3.3333333333333335</x:v>
      </x:c>
      <x:c r="J1426" s="12">
        <x:f>英雄升级调参!$E$79</x:f>
        <x:v>501</x:v>
      </x:c>
      <x:c r="K1426" s="12">
        <x:f>英雄升级调参!$F$79</x:f>
        <x:v>5010</x:v>
      </x:c>
      <x:c r="L1426" s="6" t="n">
        <x:f>ROUNDUP(F1426/J1426,0)</x:f>
        <x:v>3</x:v>
      </x:c>
      <x:c r="M1426" s="6" t="n">
        <x:f>IF(G1426=0,"无伤害",ROUNDUP(K1426/MAX(1,ROUND(G1426*$AC$38,0)),0))</x:f>
        <x:v>10</x:v>
      </x:c>
      <x:c r="N1426" s="6" t="n">
        <x:f>ROUNDUP(F1426/英雄升级调参!$H$79,0)</x:f>
        <x:v>2</x:v>
      </x:c>
      <x:c r="O1426" s="6" t="n">
        <x:f>ROUNDUP(F1426/英雄升级调参!$K$79,0)</x:f>
        <x:v>2</x:v>
      </x:c>
      <x:c r="P1426" s="6" t="str">
        <x:f>$AA$38</x:f>
        <x:v>普通：3次标准普攻击杀；10次主要攻击致死</x:v>
      </x:c>
      <x:c r="Q1426" s="6"/>
      <x:c r="R1426" s="6"/>
      <x:c r="S1426" s="6"/>
      <x:c r="T1426" s="6"/>
    </x:row>
    <x:row r="1427" ht="21" customHeight="1">
      <x:c r="A1427" s="14" t="n">
        <x:f>$V$38</x:f>
        <x:v>60025</x:v>
      </x:c>
      <x:c r="B1427" s="14" t="str">
        <x:f>$W$38</x:f>
        <x:v>豌豆射手</x:v>
      </x:c>
      <x:c r="C1427" s="6" t="str">
        <x:f>$X$38</x:f>
        <x:v>远程</x:v>
      </x:c>
      <x:c r="D1427" s="6">
        <x:v>15</x:v>
      </x:c>
      <x:c r="E1427" s="6">
        <x:v>38</x:v>
      </x:c>
      <x:c r="F1427" s="12">
        <x:f>ROUND(J1427*$W$4*H1427,0)</x:f>
        <x:v>1827</x:v>
      </x:c>
      <x:c r="G1427" s="12">
        <x:f>ROUND(J1427*$W$4*$W$5*I1427,0)</x:f>
        <x:v>609</x:v>
      </x:c>
      <x:c r="H1427" s="11" t="n">
        <x:f>$Y$38</x:f>
        <x:v>0.75</x:v>
      </x:c>
      <x:c r="I1427" s="11" t="n">
        <x:f>$Z$38</x:f>
        <x:v>3.3333333333333335</x:v>
      </x:c>
      <x:c r="J1427" s="12">
        <x:f>英雄升级调参!$E$80</x:f>
        <x:v>609</x:v>
      </x:c>
      <x:c r="K1427" s="12">
        <x:f>英雄升级调参!$F$80</x:f>
        <x:v>6090</x:v>
      </x:c>
      <x:c r="L1427" s="6" t="n">
        <x:f>ROUNDUP(F1427/J1427,0)</x:f>
        <x:v>3</x:v>
      </x:c>
      <x:c r="M1427" s="6" t="n">
        <x:f>IF(G1427=0,"无伤害",ROUNDUP(K1427/MAX(1,ROUND(G1427*$AC$38,0)),0))</x:f>
        <x:v>10</x:v>
      </x:c>
      <x:c r="N1427" s="6" t="n">
        <x:f>ROUNDUP(F1427/英雄升级调参!$H$80,0)</x:f>
        <x:v>2</x:v>
      </x:c>
      <x:c r="O1427" s="6" t="n">
        <x:f>ROUNDUP(F1427/英雄升级调参!$K$80,0)</x:f>
        <x:v>2</x:v>
      </x:c>
      <x:c r="P1427" s="6" t="str">
        <x:f>$AA$38</x:f>
        <x:v>普通：3次标准普攻击杀；10次主要攻击致死</x:v>
      </x:c>
      <x:c r="Q1427" s="6"/>
      <x:c r="R1427" s="6"/>
      <x:c r="S1427" s="6"/>
      <x:c r="T1427" s="6"/>
    </x:row>
    <x:row r="1428" ht="21" customHeight="1">
      <x:c r="A1428" s="14" t="n">
        <x:f>$V$38</x:f>
        <x:v>60025</x:v>
      </x:c>
      <x:c r="B1428" s="14" t="str">
        <x:f>$W$38</x:f>
        <x:v>豌豆射手</x:v>
      </x:c>
      <x:c r="C1428" s="6" t="str">
        <x:f>$X$38</x:f>
        <x:v>远程</x:v>
      </x:c>
      <x:c r="D1428" s="6">
        <x:v>16</x:v>
      </x:c>
      <x:c r="E1428" s="6">
        <x:v>38</x:v>
      </x:c>
      <x:c r="F1428" s="12">
        <x:f>ROUND(J1428*$W$4*H1428,0)</x:f>
        <x:v>1962</x:v>
      </x:c>
      <x:c r="G1428" s="12">
        <x:f>ROUND(J1428*$W$4*$W$5*I1428,0)</x:f>
        <x:v>654</x:v>
      </x:c>
      <x:c r="H1428" s="11" t="n">
        <x:f>$Y$38</x:f>
        <x:v>0.75</x:v>
      </x:c>
      <x:c r="I1428" s="11" t="n">
        <x:f>$Z$38</x:f>
        <x:v>3.3333333333333335</x:v>
      </x:c>
      <x:c r="J1428" s="12">
        <x:f>英雄升级调参!$E$81</x:f>
        <x:v>654</x:v>
      </x:c>
      <x:c r="K1428" s="12">
        <x:f>英雄升级调参!$F$81</x:f>
        <x:v>6540</x:v>
      </x:c>
      <x:c r="L1428" s="6" t="n">
        <x:f>ROUNDUP(F1428/J1428,0)</x:f>
        <x:v>3</x:v>
      </x:c>
      <x:c r="M1428" s="6" t="n">
        <x:f>IF(G1428=0,"无伤害",ROUNDUP(K1428/MAX(1,ROUND(G1428*$AC$38,0)),0))</x:f>
        <x:v>10</x:v>
      </x:c>
      <x:c r="N1428" s="6" t="n">
        <x:f>ROUNDUP(F1428/英雄升级调参!$H$81,0)</x:f>
        <x:v>2</x:v>
      </x:c>
      <x:c r="O1428" s="6" t="n">
        <x:f>ROUNDUP(F1428/英雄升级调参!$K$81,0)</x:f>
        <x:v>2</x:v>
      </x:c>
      <x:c r="P1428" s="6" t="str">
        <x:f>$AA$38</x:f>
        <x:v>普通：3次标准普攻击杀；10次主要攻击致死</x:v>
      </x:c>
      <x:c r="Q1428" s="6"/>
      <x:c r="R1428" s="6"/>
      <x:c r="S1428" s="6"/>
      <x:c r="T1428" s="6"/>
    </x:row>
    <x:row r="1429" ht="21" customHeight="1">
      <x:c r="A1429" s="14" t="n">
        <x:f>$V$38</x:f>
        <x:v>60025</x:v>
      </x:c>
      <x:c r="B1429" s="14" t="str">
        <x:f>$W$38</x:f>
        <x:v>豌豆射手</x:v>
      </x:c>
      <x:c r="C1429" s="6" t="str">
        <x:f>$X$38</x:f>
        <x:v>远程</x:v>
      </x:c>
      <x:c r="D1429" s="6">
        <x:v>17</x:v>
      </x:c>
      <x:c r="E1429" s="6">
        <x:v>38</x:v>
      </x:c>
      <x:c r="F1429" s="12">
        <x:f>ROUND(J1429*$W$4*H1429,0)</x:f>
        <x:v>2097</x:v>
      </x:c>
      <x:c r="G1429" s="12">
        <x:f>ROUND(J1429*$W$4*$W$5*I1429,0)</x:f>
        <x:v>699</x:v>
      </x:c>
      <x:c r="H1429" s="11" t="n">
        <x:f>$Y$38</x:f>
        <x:v>0.75</x:v>
      </x:c>
      <x:c r="I1429" s="11" t="n">
        <x:f>$Z$38</x:f>
        <x:v>3.3333333333333335</x:v>
      </x:c>
      <x:c r="J1429" s="12">
        <x:f>英雄升级调参!$E$82</x:f>
        <x:v>699</x:v>
      </x:c>
      <x:c r="K1429" s="12">
        <x:f>英雄升级调参!$F$82</x:f>
        <x:v>6990</x:v>
      </x:c>
      <x:c r="L1429" s="6" t="n">
        <x:f>ROUNDUP(F1429/J1429,0)</x:f>
        <x:v>3</x:v>
      </x:c>
      <x:c r="M1429" s="6" t="n">
        <x:f>IF(G1429=0,"无伤害",ROUNDUP(K1429/MAX(1,ROUND(G1429*$AC$38,0)),0))</x:f>
        <x:v>10</x:v>
      </x:c>
      <x:c r="N1429" s="6" t="n">
        <x:f>ROUNDUP(F1429/英雄升级调参!$H$82,0)</x:f>
        <x:v>2</x:v>
      </x:c>
      <x:c r="O1429" s="6" t="n">
        <x:f>ROUNDUP(F1429/英雄升级调参!$K$82,0)</x:f>
        <x:v>2</x:v>
      </x:c>
      <x:c r="P1429" s="6" t="str">
        <x:f>$AA$38</x:f>
        <x:v>普通：3次标准普攻击杀；10次主要攻击致死</x:v>
      </x:c>
      <x:c r="Q1429" s="6"/>
      <x:c r="R1429" s="6"/>
      <x:c r="S1429" s="6"/>
      <x:c r="T1429" s="6"/>
    </x:row>
    <x:row r="1430" ht="21" customHeight="1">
      <x:c r="A1430" s="14" t="n">
        <x:f>$V$38</x:f>
        <x:v>60025</x:v>
      </x:c>
      <x:c r="B1430" s="14" t="str">
        <x:f>$W$38</x:f>
        <x:v>豌豆射手</x:v>
      </x:c>
      <x:c r="C1430" s="6" t="str">
        <x:f>$X$38</x:f>
        <x:v>远程</x:v>
      </x:c>
      <x:c r="D1430" s="6">
        <x:v>18</x:v>
      </x:c>
      <x:c r="E1430" s="6">
        <x:v>38</x:v>
      </x:c>
      <x:c r="F1430" s="12">
        <x:f>ROUND(J1430*$W$4*H1430,0)</x:f>
        <x:v>2232</x:v>
      </x:c>
      <x:c r="G1430" s="12">
        <x:f>ROUND(J1430*$W$4*$W$5*I1430,0)</x:f>
        <x:v>744</x:v>
      </x:c>
      <x:c r="H1430" s="11" t="n">
        <x:f>$Y$38</x:f>
        <x:v>0.75</x:v>
      </x:c>
      <x:c r="I1430" s="11" t="n">
        <x:f>$Z$38</x:f>
        <x:v>3.3333333333333335</x:v>
      </x:c>
      <x:c r="J1430" s="12">
        <x:f>英雄升级调参!$E$83</x:f>
        <x:v>744</x:v>
      </x:c>
      <x:c r="K1430" s="12">
        <x:f>英雄升级调参!$F$83</x:f>
        <x:v>7440</x:v>
      </x:c>
      <x:c r="L1430" s="6" t="n">
        <x:f>ROUNDUP(F1430/J1430,0)</x:f>
        <x:v>3</x:v>
      </x:c>
      <x:c r="M1430" s="6" t="n">
        <x:f>IF(G1430=0,"无伤害",ROUNDUP(K1430/MAX(1,ROUND(G1430*$AC$38,0)),0))</x:f>
        <x:v>10</x:v>
      </x:c>
      <x:c r="N1430" s="6" t="n">
        <x:f>ROUNDUP(F1430/英雄升级调参!$H$83,0)</x:f>
        <x:v>2</x:v>
      </x:c>
      <x:c r="O1430" s="6" t="n">
        <x:f>ROUNDUP(F1430/英雄升级调参!$K$83,0)</x:f>
        <x:v>2</x:v>
      </x:c>
      <x:c r="P1430" s="6" t="str">
        <x:f>$AA$38</x:f>
        <x:v>普通：3次标准普攻击杀；10次主要攻击致死</x:v>
      </x:c>
      <x:c r="Q1430" s="6"/>
      <x:c r="R1430" s="6"/>
      <x:c r="S1430" s="6"/>
      <x:c r="T1430" s="6"/>
    </x:row>
    <x:row r="1431" ht="21" customHeight="1">
      <x:c r="A1431" s="14" t="n">
        <x:f>$V$38</x:f>
        <x:v>60025</x:v>
      </x:c>
      <x:c r="B1431" s="14" t="str">
        <x:f>$W$38</x:f>
        <x:v>豌豆射手</x:v>
      </x:c>
      <x:c r="C1431" s="6" t="str">
        <x:f>$X$38</x:f>
        <x:v>远程</x:v>
      </x:c>
      <x:c r="D1431" s="6">
        <x:v>19</x:v>
      </x:c>
      <x:c r="E1431" s="6">
        <x:v>38</x:v>
      </x:c>
      <x:c r="F1431" s="12">
        <x:f>ROUND(J1431*$W$4*H1431,0)</x:f>
        <x:v>2367</x:v>
      </x:c>
      <x:c r="G1431" s="12">
        <x:f>ROUND(J1431*$W$4*$W$5*I1431,0)</x:f>
        <x:v>789</x:v>
      </x:c>
      <x:c r="H1431" s="11" t="n">
        <x:f>$Y$38</x:f>
        <x:v>0.75</x:v>
      </x:c>
      <x:c r="I1431" s="11" t="n">
        <x:f>$Z$38</x:f>
        <x:v>3.3333333333333335</x:v>
      </x:c>
      <x:c r="J1431" s="12">
        <x:f>英雄升级调参!$E$84</x:f>
        <x:v>789</x:v>
      </x:c>
      <x:c r="K1431" s="12">
        <x:f>英雄升级调参!$F$84</x:f>
        <x:v>7890</x:v>
      </x:c>
      <x:c r="L1431" s="6" t="n">
        <x:f>ROUNDUP(F1431/J1431,0)</x:f>
        <x:v>3</x:v>
      </x:c>
      <x:c r="M1431" s="6" t="n">
        <x:f>IF(G1431=0,"无伤害",ROUNDUP(K1431/MAX(1,ROUND(G1431*$AC$38,0)),0))</x:f>
        <x:v>10</x:v>
      </x:c>
      <x:c r="N1431" s="6" t="n">
        <x:f>ROUNDUP(F1431/英雄升级调参!$H$84,0)</x:f>
        <x:v>2</x:v>
      </x:c>
      <x:c r="O1431" s="6" t="n">
        <x:f>ROUNDUP(F1431/英雄升级调参!$K$84,0)</x:f>
        <x:v>2</x:v>
      </x:c>
      <x:c r="P1431" s="6" t="str">
        <x:f>$AA$38</x:f>
        <x:v>普通：3次标准普攻击杀；10次主要攻击致死</x:v>
      </x:c>
      <x:c r="Q1431" s="6"/>
      <x:c r="R1431" s="6"/>
      <x:c r="S1431" s="6"/>
      <x:c r="T1431" s="6"/>
    </x:row>
    <x:row r="1432" ht="21" customHeight="1">
      <x:c r="A1432" s="14" t="n">
        <x:f>$V$38</x:f>
        <x:v>60025</x:v>
      </x:c>
      <x:c r="B1432" s="14" t="str">
        <x:f>$W$38</x:f>
        <x:v>豌豆射手</x:v>
      </x:c>
      <x:c r="C1432" s="6" t="str">
        <x:f>$X$38</x:f>
        <x:v>远程</x:v>
      </x:c>
      <x:c r="D1432" s="6">
        <x:v>20</x:v>
      </x:c>
      <x:c r="E1432" s="6">
        <x:v>38</x:v>
      </x:c>
      <x:c r="F1432" s="12">
        <x:f>ROUND(J1432*$W$4*H1432,0)</x:f>
        <x:v>2772</x:v>
      </x:c>
      <x:c r="G1432" s="12">
        <x:f>ROUND(J1432*$W$4*$W$5*I1432,0)</x:f>
        <x:v>924</x:v>
      </x:c>
      <x:c r="H1432" s="11" t="n">
        <x:f>$Y$38</x:f>
        <x:v>0.75</x:v>
      </x:c>
      <x:c r="I1432" s="11" t="n">
        <x:f>$Z$38</x:f>
        <x:v>3.3333333333333335</x:v>
      </x:c>
      <x:c r="J1432" s="12">
        <x:f>英雄升级调参!$E$85</x:f>
        <x:v>924</x:v>
      </x:c>
      <x:c r="K1432" s="12">
        <x:f>英雄升级调参!$F$85</x:f>
        <x:v>9240</x:v>
      </x:c>
      <x:c r="L1432" s="6" t="n">
        <x:f>ROUNDUP(F1432/J1432,0)</x:f>
        <x:v>3</x:v>
      </x:c>
      <x:c r="M1432" s="6" t="n">
        <x:f>IF(G1432=0,"无伤害",ROUNDUP(K1432/MAX(1,ROUND(G1432*$AC$38,0)),0))</x:f>
        <x:v>10</x:v>
      </x:c>
      <x:c r="N1432" s="6" t="n">
        <x:f>ROUNDUP(F1432/英雄升级调参!$H$85,0)</x:f>
        <x:v>2</x:v>
      </x:c>
      <x:c r="O1432" s="6" t="n">
        <x:f>ROUNDUP(F1432/英雄升级调参!$K$85,0)</x:f>
        <x:v>2</x:v>
      </x:c>
      <x:c r="P1432" s="6" t="str">
        <x:f>$AA$38</x:f>
        <x:v>普通：3次标准普攻击杀；10次主要攻击致死</x:v>
      </x:c>
      <x:c r="Q1432" s="6"/>
      <x:c r="R1432" s="6"/>
      <x:c r="S1432" s="6"/>
      <x:c r="T1432" s="6"/>
    </x:row>
    <x:row r="1433" ht="21" customHeight="1">
      <x:c r="A1433" s="14" t="n">
        <x:f>$V$38</x:f>
        <x:v>60025</x:v>
      </x:c>
      <x:c r="B1433" s="14" t="str">
        <x:f>$W$38</x:f>
        <x:v>豌豆射手</x:v>
      </x:c>
      <x:c r="C1433" s="6" t="str">
        <x:f>$X$38</x:f>
        <x:v>远程</x:v>
      </x:c>
      <x:c r="D1433" s="6">
        <x:v>21</x:v>
      </x:c>
      <x:c r="E1433" s="6">
        <x:v>38</x:v>
      </x:c>
      <x:c r="F1433" s="12">
        <x:f>ROUND(J1433*$W$4*H1433,0)</x:f>
        <x:v>2934</x:v>
      </x:c>
      <x:c r="G1433" s="12">
        <x:f>ROUND(J1433*$W$4*$W$5*I1433,0)</x:f>
        <x:v>978</x:v>
      </x:c>
      <x:c r="H1433" s="11" t="n">
        <x:f>$Y$38</x:f>
        <x:v>0.75</x:v>
      </x:c>
      <x:c r="I1433" s="11" t="n">
        <x:f>$Z$38</x:f>
        <x:v>3.3333333333333335</x:v>
      </x:c>
      <x:c r="J1433" s="12">
        <x:f>英雄升级调参!$E$86</x:f>
        <x:v>978</x:v>
      </x:c>
      <x:c r="K1433" s="12">
        <x:f>英雄升级调参!$F$86</x:f>
        <x:v>9780</x:v>
      </x:c>
      <x:c r="L1433" s="6" t="n">
        <x:f>ROUNDUP(F1433/J1433,0)</x:f>
        <x:v>3</x:v>
      </x:c>
      <x:c r="M1433" s="6" t="n">
        <x:f>IF(G1433=0,"无伤害",ROUNDUP(K1433/MAX(1,ROUND(G1433*$AC$38,0)),0))</x:f>
        <x:v>10</x:v>
      </x:c>
      <x:c r="N1433" s="6" t="n">
        <x:f>ROUNDUP(F1433/英雄升级调参!$H$86,0)</x:f>
        <x:v>2</x:v>
      </x:c>
      <x:c r="O1433" s="6" t="n">
        <x:f>ROUNDUP(F1433/英雄升级调参!$K$86,0)</x:f>
        <x:v>2</x:v>
      </x:c>
      <x:c r="P1433" s="6" t="str">
        <x:f>$AA$38</x:f>
        <x:v>普通：3次标准普攻击杀；10次主要攻击致死</x:v>
      </x:c>
      <x:c r="Q1433" s="6"/>
      <x:c r="R1433" s="6"/>
      <x:c r="S1433" s="6"/>
      <x:c r="T1433" s="6"/>
    </x:row>
    <x:row r="1434" ht="21" customHeight="1">
      <x:c r="A1434" s="14" t="n">
        <x:f>$V$38</x:f>
        <x:v>60025</x:v>
      </x:c>
      <x:c r="B1434" s="14" t="str">
        <x:f>$W$38</x:f>
        <x:v>豌豆射手</x:v>
      </x:c>
      <x:c r="C1434" s="6" t="str">
        <x:f>$X$38</x:f>
        <x:v>远程</x:v>
      </x:c>
      <x:c r="D1434" s="6">
        <x:v>22</x:v>
      </x:c>
      <x:c r="E1434" s="6">
        <x:v>38</x:v>
      </x:c>
      <x:c r="F1434" s="12">
        <x:f>ROUND(J1434*$W$4*H1434,0)</x:f>
        <x:v>3096</x:v>
      </x:c>
      <x:c r="G1434" s="12">
        <x:f>ROUND(J1434*$W$4*$W$5*I1434,0)</x:f>
        <x:v>1032</x:v>
      </x:c>
      <x:c r="H1434" s="11" t="n">
        <x:f>$Y$38</x:f>
        <x:v>0.75</x:v>
      </x:c>
      <x:c r="I1434" s="11" t="n">
        <x:f>$Z$38</x:f>
        <x:v>3.3333333333333335</x:v>
      </x:c>
      <x:c r="J1434" s="12">
        <x:f>英雄升级调参!$E$87</x:f>
        <x:v>1032</x:v>
      </x:c>
      <x:c r="K1434" s="12">
        <x:f>英雄升级调参!$F$87</x:f>
        <x:v>10320</x:v>
      </x:c>
      <x:c r="L1434" s="6" t="n">
        <x:f>ROUNDUP(F1434/J1434,0)</x:f>
        <x:v>3</x:v>
      </x:c>
      <x:c r="M1434" s="6" t="n">
        <x:f>IF(G1434=0,"无伤害",ROUNDUP(K1434/MAX(1,ROUND(G1434*$AC$38,0)),0))</x:f>
        <x:v>10</x:v>
      </x:c>
      <x:c r="N1434" s="6" t="n">
        <x:f>ROUNDUP(F1434/英雄升级调参!$H$87,0)</x:f>
        <x:v>2</x:v>
      </x:c>
      <x:c r="O1434" s="6" t="n">
        <x:f>ROUNDUP(F1434/英雄升级调参!$K$87,0)</x:f>
        <x:v>2</x:v>
      </x:c>
      <x:c r="P1434" s="6" t="str">
        <x:f>$AA$38</x:f>
        <x:v>普通：3次标准普攻击杀；10次主要攻击致死</x:v>
      </x:c>
      <x:c r="Q1434" s="6"/>
      <x:c r="R1434" s="6"/>
      <x:c r="S1434" s="6"/>
      <x:c r="T1434" s="6"/>
    </x:row>
    <x:row r="1435" ht="21" customHeight="1">
      <x:c r="A1435" s="14" t="n">
        <x:f>$V$38</x:f>
        <x:v>60025</x:v>
      </x:c>
      <x:c r="B1435" s="14" t="str">
        <x:f>$W$38</x:f>
        <x:v>豌豆射手</x:v>
      </x:c>
      <x:c r="C1435" s="6" t="str">
        <x:f>$X$38</x:f>
        <x:v>远程</x:v>
      </x:c>
      <x:c r="D1435" s="6">
        <x:v>23</x:v>
      </x:c>
      <x:c r="E1435" s="6">
        <x:v>38</x:v>
      </x:c>
      <x:c r="F1435" s="12">
        <x:f>ROUND(J1435*$W$4*H1435,0)</x:f>
        <x:v>3258</x:v>
      </x:c>
      <x:c r="G1435" s="12">
        <x:f>ROUND(J1435*$W$4*$W$5*I1435,0)</x:f>
        <x:v>1086</x:v>
      </x:c>
      <x:c r="H1435" s="11" t="n">
        <x:f>$Y$38</x:f>
        <x:v>0.75</x:v>
      </x:c>
      <x:c r="I1435" s="11" t="n">
        <x:f>$Z$38</x:f>
        <x:v>3.3333333333333335</x:v>
      </x:c>
      <x:c r="J1435" s="12">
        <x:f>英雄升级调参!$E$88</x:f>
        <x:v>1086</x:v>
      </x:c>
      <x:c r="K1435" s="12">
        <x:f>英雄升级调参!$F$88</x:f>
        <x:v>10860</x:v>
      </x:c>
      <x:c r="L1435" s="6" t="n">
        <x:f>ROUNDUP(F1435/J1435,0)</x:f>
        <x:v>3</x:v>
      </x:c>
      <x:c r="M1435" s="6" t="n">
        <x:f>IF(G1435=0,"无伤害",ROUNDUP(K1435/MAX(1,ROUND(G1435*$AC$38,0)),0))</x:f>
        <x:v>10</x:v>
      </x:c>
      <x:c r="N1435" s="6" t="n">
        <x:f>ROUNDUP(F1435/英雄升级调参!$H$88,0)</x:f>
        <x:v>2</x:v>
      </x:c>
      <x:c r="O1435" s="6" t="n">
        <x:f>ROUNDUP(F1435/英雄升级调参!$K$88,0)</x:f>
        <x:v>2</x:v>
      </x:c>
      <x:c r="P1435" s="6" t="str">
        <x:f>$AA$38</x:f>
        <x:v>普通：3次标准普攻击杀；10次主要攻击致死</x:v>
      </x:c>
      <x:c r="Q1435" s="6"/>
      <x:c r="R1435" s="6"/>
      <x:c r="S1435" s="6"/>
      <x:c r="T1435" s="6"/>
    </x:row>
    <x:row r="1436" ht="21" customHeight="1">
      <x:c r="A1436" s="14" t="n">
        <x:f>$V$38</x:f>
        <x:v>60025</x:v>
      </x:c>
      <x:c r="B1436" s="14" t="str">
        <x:f>$W$38</x:f>
        <x:v>豌豆射手</x:v>
      </x:c>
      <x:c r="C1436" s="6" t="str">
        <x:f>$X$38</x:f>
        <x:v>远程</x:v>
      </x:c>
      <x:c r="D1436" s="6">
        <x:v>24</x:v>
      </x:c>
      <x:c r="E1436" s="6">
        <x:v>38</x:v>
      </x:c>
      <x:c r="F1436" s="12">
        <x:f>ROUND(J1436*$W$4*H1436,0)</x:f>
        <x:v>3420</x:v>
      </x:c>
      <x:c r="G1436" s="12">
        <x:f>ROUND(J1436*$W$4*$W$5*I1436,0)</x:f>
        <x:v>1140</x:v>
      </x:c>
      <x:c r="H1436" s="11" t="n">
        <x:f>$Y$38</x:f>
        <x:v>0.75</x:v>
      </x:c>
      <x:c r="I1436" s="11" t="n">
        <x:f>$Z$38</x:f>
        <x:v>3.3333333333333335</x:v>
      </x:c>
      <x:c r="J1436" s="12">
        <x:f>英雄升级调参!$E$89</x:f>
        <x:v>1140</x:v>
      </x:c>
      <x:c r="K1436" s="12">
        <x:f>英雄升级调参!$F$89</x:f>
        <x:v>11400</x:v>
      </x:c>
      <x:c r="L1436" s="6" t="n">
        <x:f>ROUNDUP(F1436/J1436,0)</x:f>
        <x:v>3</x:v>
      </x:c>
      <x:c r="M1436" s="6" t="n">
        <x:f>IF(G1436=0,"无伤害",ROUNDUP(K1436/MAX(1,ROUND(G1436*$AC$38,0)),0))</x:f>
        <x:v>10</x:v>
      </x:c>
      <x:c r="N1436" s="6" t="n">
        <x:f>ROUNDUP(F1436/英雄升级调参!$H$89,0)</x:f>
        <x:v>2</x:v>
      </x:c>
      <x:c r="O1436" s="6" t="n">
        <x:f>ROUNDUP(F1436/英雄升级调参!$K$89,0)</x:f>
        <x:v>2</x:v>
      </x:c>
      <x:c r="P1436" s="6" t="str">
        <x:f>$AA$38</x:f>
        <x:v>普通：3次标准普攻击杀；10次主要攻击致死</x:v>
      </x:c>
      <x:c r="Q1436" s="6"/>
      <x:c r="R1436" s="6"/>
      <x:c r="S1436" s="6"/>
      <x:c r="T1436" s="6"/>
    </x:row>
    <x:row r="1437" ht="21" customHeight="1">
      <x:c r="A1437" s="14" t="n">
        <x:f>$V$38</x:f>
        <x:v>60025</x:v>
      </x:c>
      <x:c r="B1437" s="14" t="str">
        <x:f>$W$38</x:f>
        <x:v>豌豆射手</x:v>
      </x:c>
      <x:c r="C1437" s="6" t="str">
        <x:f>$X$38</x:f>
        <x:v>远程</x:v>
      </x:c>
      <x:c r="D1437" s="6">
        <x:v>25</x:v>
      </x:c>
      <x:c r="E1437" s="6">
        <x:v>38</x:v>
      </x:c>
      <x:c r="F1437" s="12">
        <x:f>ROUND(J1437*$W$4*H1437,0)</x:f>
        <x:v>3906</x:v>
      </x:c>
      <x:c r="G1437" s="12">
        <x:f>ROUND(J1437*$W$4*$W$5*I1437,0)</x:f>
        <x:v>1302</x:v>
      </x:c>
      <x:c r="H1437" s="11" t="n">
        <x:f>$Y$38</x:f>
        <x:v>0.75</x:v>
      </x:c>
      <x:c r="I1437" s="11" t="n">
        <x:f>$Z$38</x:f>
        <x:v>3.3333333333333335</x:v>
      </x:c>
      <x:c r="J1437" s="12">
        <x:f>英雄升级调参!$E$90</x:f>
        <x:v>1302</x:v>
      </x:c>
      <x:c r="K1437" s="12">
        <x:f>英雄升级调参!$F$90</x:f>
        <x:v>13020</x:v>
      </x:c>
      <x:c r="L1437" s="6" t="n">
        <x:f>ROUNDUP(F1437/J1437,0)</x:f>
        <x:v>3</x:v>
      </x:c>
      <x:c r="M1437" s="6" t="n">
        <x:f>IF(G1437=0,"无伤害",ROUNDUP(K1437/MAX(1,ROUND(G1437*$AC$38,0)),0))</x:f>
        <x:v>10</x:v>
      </x:c>
      <x:c r="N1437" s="6" t="n">
        <x:f>ROUNDUP(F1437/英雄升级调参!$H$90,0)</x:f>
        <x:v>2</x:v>
      </x:c>
      <x:c r="O1437" s="6" t="n">
        <x:f>ROUNDUP(F1437/英雄升级调参!$K$90,0)</x:f>
        <x:v>2</x:v>
      </x:c>
      <x:c r="P1437" s="6" t="str">
        <x:f>$AA$38</x:f>
        <x:v>普通：3次标准普攻击杀；10次主要攻击致死</x:v>
      </x:c>
      <x:c r="Q1437" s="6"/>
      <x:c r="R1437" s="6"/>
      <x:c r="S1437" s="6"/>
      <x:c r="T1437" s="6"/>
    </x:row>
    <x:row r="1438" ht="21" customHeight="1">
      <x:c r="A1438" s="14" t="n">
        <x:f>$V$38</x:f>
        <x:v>60025</x:v>
      </x:c>
      <x:c r="B1438" s="14" t="str">
        <x:f>$W$38</x:f>
        <x:v>豌豆射手</x:v>
      </x:c>
      <x:c r="C1438" s="6" t="str">
        <x:f>$X$38</x:f>
        <x:v>远程</x:v>
      </x:c>
      <x:c r="D1438" s="6">
        <x:v>26</x:v>
      </x:c>
      <x:c r="E1438" s="6">
        <x:v>38</x:v>
      </x:c>
      <x:c r="F1438" s="12">
        <x:f>ROUND(J1438*$W$4*H1438,0)</x:f>
        <x:v>4095</x:v>
      </x:c>
      <x:c r="G1438" s="12">
        <x:f>ROUND(J1438*$W$4*$W$5*I1438,0)</x:f>
        <x:v>1365</x:v>
      </x:c>
      <x:c r="H1438" s="11" t="n">
        <x:f>$Y$38</x:f>
        <x:v>0.75</x:v>
      </x:c>
      <x:c r="I1438" s="11" t="n">
        <x:f>$Z$38</x:f>
        <x:v>3.3333333333333335</x:v>
      </x:c>
      <x:c r="J1438" s="12">
        <x:f>英雄升级调参!$E$91</x:f>
        <x:v>1365</x:v>
      </x:c>
      <x:c r="K1438" s="12">
        <x:f>英雄升级调参!$F$91</x:f>
        <x:v>13650</x:v>
      </x:c>
      <x:c r="L1438" s="6" t="n">
        <x:f>ROUNDUP(F1438/J1438,0)</x:f>
        <x:v>3</x:v>
      </x:c>
      <x:c r="M1438" s="6" t="n">
        <x:f>IF(G1438=0,"无伤害",ROUNDUP(K1438/MAX(1,ROUND(G1438*$AC$38,0)),0))</x:f>
        <x:v>10</x:v>
      </x:c>
      <x:c r="N1438" s="6" t="n">
        <x:f>ROUNDUP(F1438/英雄升级调参!$H$91,0)</x:f>
        <x:v>2</x:v>
      </x:c>
      <x:c r="O1438" s="6" t="n">
        <x:f>ROUNDUP(F1438/英雄升级调参!$K$91,0)</x:f>
        <x:v>2</x:v>
      </x:c>
      <x:c r="P1438" s="6" t="str">
        <x:f>$AA$38</x:f>
        <x:v>普通：3次标准普攻击杀；10次主要攻击致死</x:v>
      </x:c>
      <x:c r="Q1438" s="6"/>
      <x:c r="R1438" s="6"/>
      <x:c r="S1438" s="6"/>
      <x:c r="T1438" s="6"/>
    </x:row>
    <x:row r="1439" ht="21" customHeight="1">
      <x:c r="A1439" s="14" t="n">
        <x:f>$V$38</x:f>
        <x:v>60025</x:v>
      </x:c>
      <x:c r="B1439" s="14" t="str">
        <x:f>$W$38</x:f>
        <x:v>豌豆射手</x:v>
      </x:c>
      <x:c r="C1439" s="6" t="str">
        <x:f>$X$38</x:f>
        <x:v>远程</x:v>
      </x:c>
      <x:c r="D1439" s="6">
        <x:v>27</x:v>
      </x:c>
      <x:c r="E1439" s="6">
        <x:v>38</x:v>
      </x:c>
      <x:c r="F1439" s="12">
        <x:f>ROUND(J1439*$W$4*H1439,0)</x:f>
        <x:v>4284</x:v>
      </x:c>
      <x:c r="G1439" s="12">
        <x:f>ROUND(J1439*$W$4*$W$5*I1439,0)</x:f>
        <x:v>1428</x:v>
      </x:c>
      <x:c r="H1439" s="11" t="n">
        <x:f>$Y$38</x:f>
        <x:v>0.75</x:v>
      </x:c>
      <x:c r="I1439" s="11" t="n">
        <x:f>$Z$38</x:f>
        <x:v>3.3333333333333335</x:v>
      </x:c>
      <x:c r="J1439" s="12">
        <x:f>英雄升级调参!$E$92</x:f>
        <x:v>1428</x:v>
      </x:c>
      <x:c r="K1439" s="12">
        <x:f>英雄升级调参!$F$92</x:f>
        <x:v>14280</x:v>
      </x:c>
      <x:c r="L1439" s="6" t="n">
        <x:f>ROUNDUP(F1439/J1439,0)</x:f>
        <x:v>3</x:v>
      </x:c>
      <x:c r="M1439" s="6" t="n">
        <x:f>IF(G1439=0,"无伤害",ROUNDUP(K1439/MAX(1,ROUND(G1439*$AC$38,0)),0))</x:f>
        <x:v>10</x:v>
      </x:c>
      <x:c r="N1439" s="6" t="n">
        <x:f>ROUNDUP(F1439/英雄升级调参!$H$92,0)</x:f>
        <x:v>2</x:v>
      </x:c>
      <x:c r="O1439" s="6" t="n">
        <x:f>ROUNDUP(F1439/英雄升级调参!$K$92,0)</x:f>
        <x:v>2</x:v>
      </x:c>
      <x:c r="P1439" s="6" t="str">
        <x:f>$AA$38</x:f>
        <x:v>普通：3次标准普攻击杀；10次主要攻击致死</x:v>
      </x:c>
      <x:c r="Q1439" s="6"/>
      <x:c r="R1439" s="6"/>
      <x:c r="S1439" s="6"/>
      <x:c r="T1439" s="6"/>
    </x:row>
    <x:row r="1440" ht="21" customHeight="1">
      <x:c r="A1440" s="14" t="n">
        <x:f>$V$38</x:f>
        <x:v>60025</x:v>
      </x:c>
      <x:c r="B1440" s="14" t="str">
        <x:f>$W$38</x:f>
        <x:v>豌豆射手</x:v>
      </x:c>
      <x:c r="C1440" s="6" t="str">
        <x:f>$X$38</x:f>
        <x:v>远程</x:v>
      </x:c>
      <x:c r="D1440" s="6">
        <x:v>28</x:v>
      </x:c>
      <x:c r="E1440" s="6">
        <x:v>38</x:v>
      </x:c>
      <x:c r="F1440" s="12">
        <x:f>ROUND(J1440*$W$4*H1440,0)</x:f>
        <x:v>4473</x:v>
      </x:c>
      <x:c r="G1440" s="12">
        <x:f>ROUND(J1440*$W$4*$W$5*I1440,0)</x:f>
        <x:v>1491</x:v>
      </x:c>
      <x:c r="H1440" s="11" t="n">
        <x:f>$Y$38</x:f>
        <x:v>0.75</x:v>
      </x:c>
      <x:c r="I1440" s="11" t="n">
        <x:f>$Z$38</x:f>
        <x:v>3.3333333333333335</x:v>
      </x:c>
      <x:c r="J1440" s="12">
        <x:f>英雄升级调参!$E$93</x:f>
        <x:v>1491</x:v>
      </x:c>
      <x:c r="K1440" s="12">
        <x:f>英雄升级调参!$F$93</x:f>
        <x:v>14910</x:v>
      </x:c>
      <x:c r="L1440" s="6" t="n">
        <x:f>ROUNDUP(F1440/J1440,0)</x:f>
        <x:v>3</x:v>
      </x:c>
      <x:c r="M1440" s="6" t="n">
        <x:f>IF(G1440=0,"无伤害",ROUNDUP(K1440/MAX(1,ROUND(G1440*$AC$38,0)),0))</x:f>
        <x:v>10</x:v>
      </x:c>
      <x:c r="N1440" s="6" t="n">
        <x:f>ROUNDUP(F1440/英雄升级调参!$H$93,0)</x:f>
        <x:v>2</x:v>
      </x:c>
      <x:c r="O1440" s="6" t="n">
        <x:f>ROUNDUP(F1440/英雄升级调参!$K$93,0)</x:f>
        <x:v>2</x:v>
      </x:c>
      <x:c r="P1440" s="6" t="str">
        <x:f>$AA$38</x:f>
        <x:v>普通：3次标准普攻击杀；10次主要攻击致死</x:v>
      </x:c>
      <x:c r="Q1440" s="6"/>
      <x:c r="R1440" s="6"/>
      <x:c r="S1440" s="6"/>
      <x:c r="T1440" s="6"/>
    </x:row>
    <x:row r="1441" ht="21" customHeight="1">
      <x:c r="A1441" s="14" t="n">
        <x:f>$V$38</x:f>
        <x:v>60025</x:v>
      </x:c>
      <x:c r="B1441" s="14" t="str">
        <x:f>$W$38</x:f>
        <x:v>豌豆射手</x:v>
      </x:c>
      <x:c r="C1441" s="6" t="str">
        <x:f>$X$38</x:f>
        <x:v>远程</x:v>
      </x:c>
      <x:c r="D1441" s="6">
        <x:v>29</x:v>
      </x:c>
      <x:c r="E1441" s="6">
        <x:v>38</x:v>
      </x:c>
      <x:c r="F1441" s="12">
        <x:f>ROUND(J1441*$W$4*H1441,0)</x:f>
        <x:v>4662</x:v>
      </x:c>
      <x:c r="G1441" s="12">
        <x:f>ROUND(J1441*$W$4*$W$5*I1441,0)</x:f>
        <x:v>1554</x:v>
      </x:c>
      <x:c r="H1441" s="11" t="n">
        <x:f>$Y$38</x:f>
        <x:v>0.75</x:v>
      </x:c>
      <x:c r="I1441" s="11" t="n">
        <x:f>$Z$38</x:f>
        <x:v>3.3333333333333335</x:v>
      </x:c>
      <x:c r="J1441" s="12">
        <x:f>英雄升级调参!$E$94</x:f>
        <x:v>1554</x:v>
      </x:c>
      <x:c r="K1441" s="12">
        <x:f>英雄升级调参!$F$94</x:f>
        <x:v>15540</x:v>
      </x:c>
      <x:c r="L1441" s="6" t="n">
        <x:f>ROUNDUP(F1441/J1441,0)</x:f>
        <x:v>3</x:v>
      </x:c>
      <x:c r="M1441" s="6" t="n">
        <x:f>IF(G1441=0,"无伤害",ROUNDUP(K1441/MAX(1,ROUND(G1441*$AC$38,0)),0))</x:f>
        <x:v>10</x:v>
      </x:c>
      <x:c r="N1441" s="6" t="n">
        <x:f>ROUNDUP(F1441/英雄升级调参!$H$94,0)</x:f>
        <x:v>2</x:v>
      </x:c>
      <x:c r="O1441" s="6" t="n">
        <x:f>ROUNDUP(F1441/英雄升级调参!$K$94,0)</x:f>
        <x:v>2</x:v>
      </x:c>
      <x:c r="P1441" s="6" t="str">
        <x:f>$AA$38</x:f>
        <x:v>普通：3次标准普攻击杀；10次主要攻击致死</x:v>
      </x:c>
      <x:c r="Q1441" s="6"/>
      <x:c r="R1441" s="6"/>
      <x:c r="S1441" s="6"/>
      <x:c r="T1441" s="6"/>
    </x:row>
    <x:row r="1442" ht="21" customHeight="1">
      <x:c r="A1442" s="14" t="n">
        <x:f>$V$38</x:f>
        <x:v>60025</x:v>
      </x:c>
      <x:c r="B1442" s="14" t="str">
        <x:f>$W$38</x:f>
        <x:v>豌豆射手</x:v>
      </x:c>
      <x:c r="C1442" s="6" t="str">
        <x:f>$X$38</x:f>
        <x:v>远程</x:v>
      </x:c>
      <x:c r="D1442" s="6">
        <x:v>30</x:v>
      </x:c>
      <x:c r="E1442" s="6">
        <x:v>38</x:v>
      </x:c>
      <x:c r="F1442" s="12">
        <x:f>ROUND(J1442*$W$4*H1442,0)</x:f>
        <x:v>5229</x:v>
      </x:c>
      <x:c r="G1442" s="12">
        <x:f>ROUND(J1442*$W$4*$W$5*I1442,0)</x:f>
        <x:v>1743</x:v>
      </x:c>
      <x:c r="H1442" s="11" t="n">
        <x:f>$Y$38</x:f>
        <x:v>0.75</x:v>
      </x:c>
      <x:c r="I1442" s="11" t="n">
        <x:f>$Z$38</x:f>
        <x:v>3.3333333333333335</x:v>
      </x:c>
      <x:c r="J1442" s="12">
        <x:f>英雄升级调参!$E$95</x:f>
        <x:v>1743</x:v>
      </x:c>
      <x:c r="K1442" s="12">
        <x:f>英雄升级调参!$F$95</x:f>
        <x:v>17430</x:v>
      </x:c>
      <x:c r="L1442" s="6" t="n">
        <x:f>ROUNDUP(F1442/J1442,0)</x:f>
        <x:v>3</x:v>
      </x:c>
      <x:c r="M1442" s="6" t="n">
        <x:f>IF(G1442=0,"无伤害",ROUNDUP(K1442/MAX(1,ROUND(G1442*$AC$38,0)),0))</x:f>
        <x:v>10</x:v>
      </x:c>
      <x:c r="N1442" s="6" t="n">
        <x:f>ROUNDUP(F1442/英雄升级调参!$H$95,0)</x:f>
        <x:v>2</x:v>
      </x:c>
      <x:c r="O1442" s="6" t="n">
        <x:f>ROUNDUP(F1442/英雄升级调参!$K$95,0)</x:f>
        <x:v>2</x:v>
      </x:c>
      <x:c r="P1442" s="6" t="str">
        <x:f>$AA$38</x:f>
        <x:v>普通：3次标准普攻击杀；10次主要攻击致死</x:v>
      </x:c>
      <x:c r="Q1442" s="6"/>
      <x:c r="R1442" s="6"/>
      <x:c r="S1442" s="6"/>
      <x:c r="T1442" s="6"/>
    </x:row>
    <x:row r="1443" ht="21" customHeight="1">
      <x:c r="A1443" s="14" t="n">
        <x:f>$V$38</x:f>
        <x:v>60025</x:v>
      </x:c>
      <x:c r="B1443" s="14" t="str">
        <x:f>$W$38</x:f>
        <x:v>豌豆射手</x:v>
      </x:c>
      <x:c r="C1443" s="6" t="str">
        <x:f>$X$38</x:f>
        <x:v>远程</x:v>
      </x:c>
      <x:c r="D1443" s="6">
        <x:v>31</x:v>
      </x:c>
      <x:c r="E1443" s="6">
        <x:v>38</x:v>
      </x:c>
      <x:c r="F1443" s="12">
        <x:f>ROUND(J1443*$W$4*H1443,0)</x:f>
        <x:v>5445</x:v>
      </x:c>
      <x:c r="G1443" s="12">
        <x:f>ROUND(J1443*$W$4*$W$5*I1443,0)</x:f>
        <x:v>1815</x:v>
      </x:c>
      <x:c r="H1443" s="11" t="n">
        <x:f>$Y$38</x:f>
        <x:v>0.75</x:v>
      </x:c>
      <x:c r="I1443" s="11" t="n">
        <x:f>$Z$38</x:f>
        <x:v>3.3333333333333335</x:v>
      </x:c>
      <x:c r="J1443" s="12">
        <x:f>英雄升级调参!$E$96</x:f>
        <x:v>1815</x:v>
      </x:c>
      <x:c r="K1443" s="12">
        <x:f>英雄升级调参!$F$96</x:f>
        <x:v>18150</x:v>
      </x:c>
      <x:c r="L1443" s="6" t="n">
        <x:f>ROUNDUP(F1443/J1443,0)</x:f>
        <x:v>3</x:v>
      </x:c>
      <x:c r="M1443" s="6" t="n">
        <x:f>IF(G1443=0,"无伤害",ROUNDUP(K1443/MAX(1,ROUND(G1443*$AC$38,0)),0))</x:f>
        <x:v>10</x:v>
      </x:c>
      <x:c r="N1443" s="6" t="n">
        <x:f>ROUNDUP(F1443/英雄升级调参!$H$96,0)</x:f>
        <x:v>2</x:v>
      </x:c>
      <x:c r="O1443" s="6" t="n">
        <x:f>ROUNDUP(F1443/英雄升级调参!$K$96,0)</x:f>
        <x:v>2</x:v>
      </x:c>
      <x:c r="P1443" s="6" t="str">
        <x:f>$AA$38</x:f>
        <x:v>普通：3次标准普攻击杀；10次主要攻击致死</x:v>
      </x:c>
      <x:c r="Q1443" s="6"/>
      <x:c r="R1443" s="6"/>
      <x:c r="S1443" s="6"/>
      <x:c r="T1443" s="6"/>
    </x:row>
    <x:row r="1444" ht="21" customHeight="1">
      <x:c r="A1444" s="14" t="n">
        <x:f>$V$38</x:f>
        <x:v>60025</x:v>
      </x:c>
      <x:c r="B1444" s="14" t="str">
        <x:f>$W$38</x:f>
        <x:v>豌豆射手</x:v>
      </x:c>
      <x:c r="C1444" s="6" t="str">
        <x:f>$X$38</x:f>
        <x:v>远程</x:v>
      </x:c>
      <x:c r="D1444" s="6">
        <x:v>32</x:v>
      </x:c>
      <x:c r="E1444" s="6">
        <x:v>38</x:v>
      </x:c>
      <x:c r="F1444" s="12">
        <x:f>ROUND(J1444*$W$4*H1444,0)</x:f>
        <x:v>5661</x:v>
      </x:c>
      <x:c r="G1444" s="12">
        <x:f>ROUND(J1444*$W$4*$W$5*I1444,0)</x:f>
        <x:v>1887</x:v>
      </x:c>
      <x:c r="H1444" s="11" t="n">
        <x:f>$Y$38</x:f>
        <x:v>0.75</x:v>
      </x:c>
      <x:c r="I1444" s="11" t="n">
        <x:f>$Z$38</x:f>
        <x:v>3.3333333333333335</x:v>
      </x:c>
      <x:c r="J1444" s="12">
        <x:f>英雄升级调参!$E$97</x:f>
        <x:v>1887</x:v>
      </x:c>
      <x:c r="K1444" s="12">
        <x:f>英雄升级调参!$F$97</x:f>
        <x:v>18870</x:v>
      </x:c>
      <x:c r="L1444" s="6" t="n">
        <x:f>ROUNDUP(F1444/J1444,0)</x:f>
        <x:v>3</x:v>
      </x:c>
      <x:c r="M1444" s="6" t="n">
        <x:f>IF(G1444=0,"无伤害",ROUNDUP(K1444/MAX(1,ROUND(G1444*$AC$38,0)),0))</x:f>
        <x:v>10</x:v>
      </x:c>
      <x:c r="N1444" s="6" t="n">
        <x:f>ROUNDUP(F1444/英雄升级调参!$H$97,0)</x:f>
        <x:v>2</x:v>
      </x:c>
      <x:c r="O1444" s="6" t="n">
        <x:f>ROUNDUP(F1444/英雄升级调参!$K$97,0)</x:f>
        <x:v>2</x:v>
      </x:c>
      <x:c r="P1444" s="6" t="str">
        <x:f>$AA$38</x:f>
        <x:v>普通：3次标准普攻击杀；10次主要攻击致死</x:v>
      </x:c>
      <x:c r="Q1444" s="6"/>
      <x:c r="R1444" s="6"/>
      <x:c r="S1444" s="6"/>
      <x:c r="T1444" s="6"/>
    </x:row>
    <x:row r="1445" ht="21" customHeight="1">
      <x:c r="A1445" s="14" t="n">
        <x:f>$V$38</x:f>
        <x:v>60025</x:v>
      </x:c>
      <x:c r="B1445" s="14" t="str">
        <x:f>$W$38</x:f>
        <x:v>豌豆射手</x:v>
      </x:c>
      <x:c r="C1445" s="6" t="str">
        <x:f>$X$38</x:f>
        <x:v>远程</x:v>
      </x:c>
      <x:c r="D1445" s="6">
        <x:v>33</x:v>
      </x:c>
      <x:c r="E1445" s="6">
        <x:v>38</x:v>
      </x:c>
      <x:c r="F1445" s="12">
        <x:f>ROUND(J1445*$W$4*H1445,0)</x:f>
        <x:v>5877</x:v>
      </x:c>
      <x:c r="G1445" s="12">
        <x:f>ROUND(J1445*$W$4*$W$5*I1445,0)</x:f>
        <x:v>1959</x:v>
      </x:c>
      <x:c r="H1445" s="11" t="n">
        <x:f>$Y$38</x:f>
        <x:v>0.75</x:v>
      </x:c>
      <x:c r="I1445" s="11" t="n">
        <x:f>$Z$38</x:f>
        <x:v>3.3333333333333335</x:v>
      </x:c>
      <x:c r="J1445" s="12">
        <x:f>英雄升级调参!$E$98</x:f>
        <x:v>1959</x:v>
      </x:c>
      <x:c r="K1445" s="12">
        <x:f>英雄升级调参!$F$98</x:f>
        <x:v>19590</x:v>
      </x:c>
      <x:c r="L1445" s="6" t="n">
        <x:f>ROUNDUP(F1445/J1445,0)</x:f>
        <x:v>3</x:v>
      </x:c>
      <x:c r="M1445" s="6" t="n">
        <x:f>IF(G1445=0,"无伤害",ROUNDUP(K1445/MAX(1,ROUND(G1445*$AC$38,0)),0))</x:f>
        <x:v>10</x:v>
      </x:c>
      <x:c r="N1445" s="6" t="n">
        <x:f>ROUNDUP(F1445/英雄升级调参!$H$98,0)</x:f>
        <x:v>2</x:v>
      </x:c>
      <x:c r="O1445" s="6" t="n">
        <x:f>ROUNDUP(F1445/英雄升级调参!$K$98,0)</x:f>
        <x:v>2</x:v>
      </x:c>
      <x:c r="P1445" s="6" t="str">
        <x:f>$AA$38</x:f>
        <x:v>普通：3次标准普攻击杀；10次主要攻击致死</x:v>
      </x:c>
      <x:c r="Q1445" s="6"/>
      <x:c r="R1445" s="6"/>
      <x:c r="S1445" s="6"/>
      <x:c r="T1445" s="6"/>
    </x:row>
    <x:row r="1446" ht="21" customHeight="1">
      <x:c r="A1446" s="14" t="n">
        <x:f>$V$38</x:f>
        <x:v>60025</x:v>
      </x:c>
      <x:c r="B1446" s="14" t="str">
        <x:f>$W$38</x:f>
        <x:v>豌豆射手</x:v>
      </x:c>
      <x:c r="C1446" s="6" t="str">
        <x:f>$X$38</x:f>
        <x:v>远程</x:v>
      </x:c>
      <x:c r="D1446" s="6">
        <x:v>34</x:v>
      </x:c>
      <x:c r="E1446" s="6">
        <x:v>38</x:v>
      </x:c>
      <x:c r="F1446" s="12">
        <x:f>ROUND(J1446*$W$4*H1446,0)</x:f>
        <x:v>6093</x:v>
      </x:c>
      <x:c r="G1446" s="12">
        <x:f>ROUND(J1446*$W$4*$W$5*I1446,0)</x:f>
        <x:v>2031</x:v>
      </x:c>
      <x:c r="H1446" s="11" t="n">
        <x:f>$Y$38</x:f>
        <x:v>0.75</x:v>
      </x:c>
      <x:c r="I1446" s="11" t="n">
        <x:f>$Z$38</x:f>
        <x:v>3.3333333333333335</x:v>
      </x:c>
      <x:c r="J1446" s="12">
        <x:f>英雄升级调参!$E$99</x:f>
        <x:v>2031</x:v>
      </x:c>
      <x:c r="K1446" s="12">
        <x:f>英雄升级调参!$F$99</x:f>
        <x:v>20310</x:v>
      </x:c>
      <x:c r="L1446" s="6" t="n">
        <x:f>ROUNDUP(F1446/J1446,0)</x:f>
        <x:v>3</x:v>
      </x:c>
      <x:c r="M1446" s="6" t="n">
        <x:f>IF(G1446=0,"无伤害",ROUNDUP(K1446/MAX(1,ROUND(G1446*$AC$38,0)),0))</x:f>
        <x:v>10</x:v>
      </x:c>
      <x:c r="N1446" s="6" t="n">
        <x:f>ROUNDUP(F1446/英雄升级调参!$H$99,0)</x:f>
        <x:v>2</x:v>
      </x:c>
      <x:c r="O1446" s="6" t="n">
        <x:f>ROUNDUP(F1446/英雄升级调参!$K$99,0)</x:f>
        <x:v>2</x:v>
      </x:c>
      <x:c r="P1446" s="6" t="str">
        <x:f>$AA$38</x:f>
        <x:v>普通：3次标准普攻击杀；10次主要攻击致死</x:v>
      </x:c>
      <x:c r="Q1446" s="6"/>
      <x:c r="R1446" s="6"/>
      <x:c r="S1446" s="6"/>
      <x:c r="T1446" s="6"/>
    </x:row>
    <x:row r="1447" ht="21" customHeight="1">
      <x:c r="A1447" s="14" t="n">
        <x:f>$V$38</x:f>
        <x:v>60025</x:v>
      </x:c>
      <x:c r="B1447" s="14" t="str">
        <x:f>$W$38</x:f>
        <x:v>豌豆射手</x:v>
      </x:c>
      <x:c r="C1447" s="6" t="str">
        <x:f>$X$38</x:f>
        <x:v>远程</x:v>
      </x:c>
      <x:c r="D1447" s="6">
        <x:v>35</x:v>
      </x:c>
      <x:c r="E1447" s="6">
        <x:v>38</x:v>
      </x:c>
      <x:c r="F1447" s="12">
        <x:f>ROUND(J1447*$W$4*H1447,0)</x:f>
        <x:v>6741</x:v>
      </x:c>
      <x:c r="G1447" s="12">
        <x:f>ROUND(J1447*$W$4*$W$5*I1447,0)</x:f>
        <x:v>2247</x:v>
      </x:c>
      <x:c r="H1447" s="11" t="n">
        <x:f>$Y$38</x:f>
        <x:v>0.75</x:v>
      </x:c>
      <x:c r="I1447" s="11" t="n">
        <x:f>$Z$38</x:f>
        <x:v>3.3333333333333335</x:v>
      </x:c>
      <x:c r="J1447" s="12">
        <x:f>英雄升级调参!$E$100</x:f>
        <x:v>2247</x:v>
      </x:c>
      <x:c r="K1447" s="12">
        <x:f>英雄升级调参!$F$100</x:f>
        <x:v>22470</x:v>
      </x:c>
      <x:c r="L1447" s="6" t="n">
        <x:f>ROUNDUP(F1447/J1447,0)</x:f>
        <x:v>3</x:v>
      </x:c>
      <x:c r="M1447" s="6" t="n">
        <x:f>IF(G1447=0,"无伤害",ROUNDUP(K1447/MAX(1,ROUND(G1447*$AC$38,0)),0))</x:f>
        <x:v>10</x:v>
      </x:c>
      <x:c r="N1447" s="6" t="n">
        <x:f>ROUNDUP(F1447/英雄升级调参!$H$100,0)</x:f>
        <x:v>2</x:v>
      </x:c>
      <x:c r="O1447" s="6" t="n">
        <x:f>ROUNDUP(F1447/英雄升级调参!$K$100,0)</x:f>
        <x:v>2</x:v>
      </x:c>
      <x:c r="P1447" s="6" t="str">
        <x:f>$AA$38</x:f>
        <x:v>普通：3次标准普攻击杀；10次主要攻击致死</x:v>
      </x:c>
      <x:c r="Q1447" s="6"/>
      <x:c r="R1447" s="6"/>
      <x:c r="S1447" s="6"/>
      <x:c r="T1447" s="6"/>
    </x:row>
    <x:row r="1448" ht="21" customHeight="1">
      <x:c r="A1448" s="14" t="n">
        <x:f>$V$38</x:f>
        <x:v>60025</x:v>
      </x:c>
      <x:c r="B1448" s="14" t="str">
        <x:f>$W$38</x:f>
        <x:v>豌豆射手</x:v>
      </x:c>
      <x:c r="C1448" s="6" t="str">
        <x:f>$X$38</x:f>
        <x:v>远程</x:v>
      </x:c>
      <x:c r="D1448" s="6">
        <x:v>36</x:v>
      </x:c>
      <x:c r="E1448" s="6">
        <x:v>38</x:v>
      </x:c>
      <x:c r="F1448" s="12">
        <x:f>ROUND(J1448*$W$4*H1448,0)</x:f>
        <x:v>6984</x:v>
      </x:c>
      <x:c r="G1448" s="12">
        <x:f>ROUND(J1448*$W$4*$W$5*I1448,0)</x:f>
        <x:v>2328</x:v>
      </x:c>
      <x:c r="H1448" s="11" t="n">
        <x:f>$Y$38</x:f>
        <x:v>0.75</x:v>
      </x:c>
      <x:c r="I1448" s="11" t="n">
        <x:f>$Z$38</x:f>
        <x:v>3.3333333333333335</x:v>
      </x:c>
      <x:c r="J1448" s="12">
        <x:f>英雄升级调参!$E$101</x:f>
        <x:v>2328</x:v>
      </x:c>
      <x:c r="K1448" s="12">
        <x:f>英雄升级调参!$F$101</x:f>
        <x:v>23280</x:v>
      </x:c>
      <x:c r="L1448" s="6" t="n">
        <x:f>ROUNDUP(F1448/J1448,0)</x:f>
        <x:v>3</x:v>
      </x:c>
      <x:c r="M1448" s="6" t="n">
        <x:f>IF(G1448=0,"无伤害",ROUNDUP(K1448/MAX(1,ROUND(G1448*$AC$38,0)),0))</x:f>
        <x:v>10</x:v>
      </x:c>
      <x:c r="N1448" s="6" t="n">
        <x:f>ROUNDUP(F1448/英雄升级调参!$H$101,0)</x:f>
        <x:v>2</x:v>
      </x:c>
      <x:c r="O1448" s="6" t="n">
        <x:f>ROUNDUP(F1448/英雄升级调参!$K$101,0)</x:f>
        <x:v>2</x:v>
      </x:c>
      <x:c r="P1448" s="6" t="str">
        <x:f>$AA$38</x:f>
        <x:v>普通：3次标准普攻击杀；10次主要攻击致死</x:v>
      </x:c>
      <x:c r="Q1448" s="6"/>
      <x:c r="R1448" s="6"/>
      <x:c r="S1448" s="6"/>
      <x:c r="T1448" s="6"/>
    </x:row>
    <x:row r="1449" ht="21" customHeight="1">
      <x:c r="A1449" s="14" t="n">
        <x:f>$V$38</x:f>
        <x:v>60025</x:v>
      </x:c>
      <x:c r="B1449" s="14" t="str">
        <x:f>$W$38</x:f>
        <x:v>豌豆射手</x:v>
      </x:c>
      <x:c r="C1449" s="6" t="str">
        <x:f>$X$38</x:f>
        <x:v>远程</x:v>
      </x:c>
      <x:c r="D1449" s="6">
        <x:v>37</x:v>
      </x:c>
      <x:c r="E1449" s="6">
        <x:v>38</x:v>
      </x:c>
      <x:c r="F1449" s="12">
        <x:f>ROUND(J1449*$W$4*H1449,0)</x:f>
        <x:v>7227</x:v>
      </x:c>
      <x:c r="G1449" s="12">
        <x:f>ROUND(J1449*$W$4*$W$5*I1449,0)</x:f>
        <x:v>2409</x:v>
      </x:c>
      <x:c r="H1449" s="11" t="n">
        <x:f>$Y$38</x:f>
        <x:v>0.75</x:v>
      </x:c>
      <x:c r="I1449" s="11" t="n">
        <x:f>$Z$38</x:f>
        <x:v>3.3333333333333335</x:v>
      </x:c>
      <x:c r="J1449" s="12">
        <x:f>英雄升级调参!$E$102</x:f>
        <x:v>2409</x:v>
      </x:c>
      <x:c r="K1449" s="12">
        <x:f>英雄升级调参!$F$102</x:f>
        <x:v>24090</x:v>
      </x:c>
      <x:c r="L1449" s="6" t="n">
        <x:f>ROUNDUP(F1449/J1449,0)</x:f>
        <x:v>3</x:v>
      </x:c>
      <x:c r="M1449" s="6" t="n">
        <x:f>IF(G1449=0,"无伤害",ROUNDUP(K1449/MAX(1,ROUND(G1449*$AC$38,0)),0))</x:f>
        <x:v>10</x:v>
      </x:c>
      <x:c r="N1449" s="6" t="n">
        <x:f>ROUNDUP(F1449/英雄升级调参!$H$102,0)</x:f>
        <x:v>2</x:v>
      </x:c>
      <x:c r="O1449" s="6" t="n">
        <x:f>ROUNDUP(F1449/英雄升级调参!$K$102,0)</x:f>
        <x:v>2</x:v>
      </x:c>
      <x:c r="P1449" s="6" t="str">
        <x:f>$AA$38</x:f>
        <x:v>普通：3次标准普攻击杀；10次主要攻击致死</x:v>
      </x:c>
      <x:c r="Q1449" s="6"/>
      <x:c r="R1449" s="6"/>
      <x:c r="S1449" s="6"/>
      <x:c r="T1449" s="6"/>
    </x:row>
    <x:row r="1450" ht="21" customHeight="1">
      <x:c r="A1450" s="14" t="n">
        <x:f>$V$38</x:f>
        <x:v>60025</x:v>
      </x:c>
      <x:c r="B1450" s="14" t="str">
        <x:f>$W$38</x:f>
        <x:v>豌豆射手</x:v>
      </x:c>
      <x:c r="C1450" s="6" t="str">
        <x:f>$X$38</x:f>
        <x:v>远程</x:v>
      </x:c>
      <x:c r="D1450" s="6">
        <x:v>38</x:v>
      </x:c>
      <x:c r="E1450" s="6">
        <x:v>38</x:v>
      </x:c>
      <x:c r="F1450" s="12">
        <x:f>ROUND(J1450*$W$4*H1450,0)</x:f>
        <x:v>7470</x:v>
      </x:c>
      <x:c r="G1450" s="12">
        <x:f>ROUND(J1450*$W$4*$W$5*I1450,0)</x:f>
        <x:v>2490</x:v>
      </x:c>
      <x:c r="H1450" s="11" t="n">
        <x:f>$Y$38</x:f>
        <x:v>0.75</x:v>
      </x:c>
      <x:c r="I1450" s="11" t="n">
        <x:f>$Z$38</x:f>
        <x:v>3.3333333333333335</x:v>
      </x:c>
      <x:c r="J1450" s="12">
        <x:f>英雄升级调参!$E$103</x:f>
        <x:v>2490</x:v>
      </x:c>
      <x:c r="K1450" s="12">
        <x:f>英雄升级调参!$F$103</x:f>
        <x:v>24900</x:v>
      </x:c>
      <x:c r="L1450" s="6" t="n">
        <x:f>ROUNDUP(F1450/J1450,0)</x:f>
        <x:v>3</x:v>
      </x:c>
      <x:c r="M1450" s="6" t="n">
        <x:f>IF(G1450=0,"无伤害",ROUNDUP(K1450/MAX(1,ROUND(G1450*$AC$38,0)),0))</x:f>
        <x:v>10</x:v>
      </x:c>
      <x:c r="N1450" s="6" t="n">
        <x:f>ROUNDUP(F1450/英雄升级调参!$H$103,0)</x:f>
        <x:v>2</x:v>
      </x:c>
      <x:c r="O1450" s="6" t="n">
        <x:f>ROUNDUP(F1450/英雄升级调参!$K$103,0)</x:f>
        <x:v>2</x:v>
      </x:c>
      <x:c r="P1450" s="6" t="str">
        <x:f>$AA$38</x:f>
        <x:v>普通：3次标准普攻击杀；10次主要攻击致死</x:v>
      </x:c>
      <x:c r="Q1450" s="6"/>
      <x:c r="R1450" s="6"/>
      <x:c r="S1450" s="6"/>
      <x:c r="T1450" s="6"/>
    </x:row>
    <x:row r="1451" ht="21" customHeight="1">
      <x:c r="A1451" s="14" t="n">
        <x:f>$V$38</x:f>
        <x:v>60025</x:v>
      </x:c>
      <x:c r="B1451" s="14" t="str">
        <x:f>$W$38</x:f>
        <x:v>豌豆射手</x:v>
      </x:c>
      <x:c r="C1451" s="6" t="str">
        <x:f>$X$38</x:f>
        <x:v>远程</x:v>
      </x:c>
      <x:c r="D1451" s="6">
        <x:v>39</x:v>
      </x:c>
      <x:c r="E1451" s="6">
        <x:v>38</x:v>
      </x:c>
      <x:c r="F1451" s="12">
        <x:f>ROUND(J1451*$W$4*H1451,0)</x:f>
        <x:v>7713</x:v>
      </x:c>
      <x:c r="G1451" s="12">
        <x:f>ROUND(J1451*$W$4*$W$5*I1451,0)</x:f>
        <x:v>2571</x:v>
      </x:c>
      <x:c r="H1451" s="11" t="n">
        <x:f>$Y$38</x:f>
        <x:v>0.75</x:v>
      </x:c>
      <x:c r="I1451" s="11" t="n">
        <x:f>$Z$38</x:f>
        <x:v>3.3333333333333335</x:v>
      </x:c>
      <x:c r="J1451" s="12">
        <x:f>英雄升级调参!$E$104</x:f>
        <x:v>2571</x:v>
      </x:c>
      <x:c r="K1451" s="12">
        <x:f>英雄升级调参!$F$104</x:f>
        <x:v>25710</x:v>
      </x:c>
      <x:c r="L1451" s="6" t="n">
        <x:f>ROUNDUP(F1451/J1451,0)</x:f>
        <x:v>3</x:v>
      </x:c>
      <x:c r="M1451" s="6" t="n">
        <x:f>IF(G1451=0,"无伤害",ROUNDUP(K1451/MAX(1,ROUND(G1451*$AC$38,0)),0))</x:f>
        <x:v>10</x:v>
      </x:c>
      <x:c r="N1451" s="6" t="n">
        <x:f>ROUNDUP(F1451/英雄升级调参!$H$104,0)</x:f>
        <x:v>2</x:v>
      </x:c>
      <x:c r="O1451" s="6" t="n">
        <x:f>ROUNDUP(F1451/英雄升级调参!$K$104,0)</x:f>
        <x:v>2</x:v>
      </x:c>
      <x:c r="P1451" s="6" t="str">
        <x:f>$AA$38</x:f>
        <x:v>普通：3次标准普攻击杀；10次主要攻击致死</x:v>
      </x:c>
      <x:c r="Q1451" s="6"/>
      <x:c r="R1451" s="6"/>
      <x:c r="S1451" s="6"/>
      <x:c r="T1451" s="6"/>
    </x:row>
    <x:row r="1452" ht="21" customHeight="1">
      <x:c r="A1452" s="14" t="n">
        <x:f>$V$38</x:f>
        <x:v>60025</x:v>
      </x:c>
      <x:c r="B1452" s="14" t="str">
        <x:f>$W$38</x:f>
        <x:v>豌豆射手</x:v>
      </x:c>
      <x:c r="C1452" s="6" t="str">
        <x:f>$X$38</x:f>
        <x:v>远程</x:v>
      </x:c>
      <x:c r="D1452" s="6">
        <x:v>40</x:v>
      </x:c>
      <x:c r="E1452" s="6">
        <x:v>38</x:v>
      </x:c>
      <x:c r="F1452" s="12">
        <x:f>ROUND(J1452*$W$4*H1452,0)</x:f>
        <x:v>8442</x:v>
      </x:c>
      <x:c r="G1452" s="12">
        <x:f>ROUND(J1452*$W$4*$W$5*I1452,0)</x:f>
        <x:v>2814</x:v>
      </x:c>
      <x:c r="H1452" s="11" t="n">
        <x:f>$Y$38</x:f>
        <x:v>0.75</x:v>
      </x:c>
      <x:c r="I1452" s="11" t="n">
        <x:f>$Z$38</x:f>
        <x:v>3.3333333333333335</x:v>
      </x:c>
      <x:c r="J1452" s="12">
        <x:f>英雄升级调参!$E$105</x:f>
        <x:v>2814</x:v>
      </x:c>
      <x:c r="K1452" s="12">
        <x:f>英雄升级调参!$F$105</x:f>
        <x:v>28140</x:v>
      </x:c>
      <x:c r="L1452" s="6" t="n">
        <x:f>ROUNDUP(F1452/J1452,0)</x:f>
        <x:v>3</x:v>
      </x:c>
      <x:c r="M1452" s="6" t="n">
        <x:f>IF(G1452=0,"无伤害",ROUNDUP(K1452/MAX(1,ROUND(G1452*$AC$38,0)),0))</x:f>
        <x:v>10</x:v>
      </x:c>
      <x:c r="N1452" s="6" t="n">
        <x:f>ROUNDUP(F1452/英雄升级调参!$H$105,0)</x:f>
        <x:v>2</x:v>
      </x:c>
      <x:c r="O1452" s="6" t="n">
        <x:f>ROUNDUP(F1452/英雄升级调参!$K$105,0)</x:f>
        <x:v>2</x:v>
      </x:c>
      <x:c r="P1452" s="6" t="str">
        <x:f>$AA$38</x:f>
        <x:v>普通：3次标准普攻击杀；10次主要攻击致死</x:v>
      </x:c>
      <x:c r="Q1452" s="6"/>
      <x:c r="R1452" s="6"/>
      <x:c r="S1452" s="6"/>
      <x:c r="T1452" s="6"/>
    </x:row>
    <x:row r="1453" ht="21" customHeight="1">
      <x:c r="A1453" s="14" t="n">
        <x:f>$V$38</x:f>
        <x:v>60025</x:v>
      </x:c>
      <x:c r="B1453" s="14" t="str">
        <x:f>$W$38</x:f>
        <x:v>豌豆射手</x:v>
      </x:c>
      <x:c r="C1453" s="6" t="str">
        <x:f>$X$38</x:f>
        <x:v>远程</x:v>
      </x:c>
      <x:c r="D1453" s="6">
        <x:v>41</x:v>
      </x:c>
      <x:c r="E1453" s="6">
        <x:v>38</x:v>
      </x:c>
      <x:c r="F1453" s="12">
        <x:f>ROUND(J1453*$W$4*H1453,0)</x:f>
        <x:v>8712</x:v>
      </x:c>
      <x:c r="G1453" s="12">
        <x:f>ROUND(J1453*$W$4*$W$5*I1453,0)</x:f>
        <x:v>2904</x:v>
      </x:c>
      <x:c r="H1453" s="11" t="n">
        <x:f>$Y$38</x:f>
        <x:v>0.75</x:v>
      </x:c>
      <x:c r="I1453" s="11" t="n">
        <x:f>$Z$38</x:f>
        <x:v>3.3333333333333335</x:v>
      </x:c>
      <x:c r="J1453" s="12">
        <x:f>英雄升级调参!$E$106</x:f>
        <x:v>2904</x:v>
      </x:c>
      <x:c r="K1453" s="12">
        <x:f>英雄升级调参!$F$106</x:f>
        <x:v>29040</x:v>
      </x:c>
      <x:c r="L1453" s="6" t="n">
        <x:f>ROUNDUP(F1453/J1453,0)</x:f>
        <x:v>3</x:v>
      </x:c>
      <x:c r="M1453" s="6" t="n">
        <x:f>IF(G1453=0,"无伤害",ROUNDUP(K1453/MAX(1,ROUND(G1453*$AC$38,0)),0))</x:f>
        <x:v>10</x:v>
      </x:c>
      <x:c r="N1453" s="6" t="n">
        <x:f>ROUNDUP(F1453/英雄升级调参!$H$106,0)</x:f>
        <x:v>2</x:v>
      </x:c>
      <x:c r="O1453" s="6" t="n">
        <x:f>ROUNDUP(F1453/英雄升级调参!$K$106,0)</x:f>
        <x:v>2</x:v>
      </x:c>
      <x:c r="P1453" s="6" t="str">
        <x:f>$AA$38</x:f>
        <x:v>普通：3次标准普攻击杀；10次主要攻击致死</x:v>
      </x:c>
      <x:c r="Q1453" s="6"/>
      <x:c r="R1453" s="6"/>
      <x:c r="S1453" s="6"/>
      <x:c r="T1453" s="6"/>
    </x:row>
    <x:row r="1454" ht="21" customHeight="1">
      <x:c r="A1454" s="14" t="n">
        <x:f>$V$38</x:f>
        <x:v>60025</x:v>
      </x:c>
      <x:c r="B1454" s="14" t="str">
        <x:f>$W$38</x:f>
        <x:v>豌豆射手</x:v>
      </x:c>
      <x:c r="C1454" s="6" t="str">
        <x:f>$X$38</x:f>
        <x:v>远程</x:v>
      </x:c>
      <x:c r="D1454" s="6">
        <x:v>42</x:v>
      </x:c>
      <x:c r="E1454" s="6">
        <x:v>38</x:v>
      </x:c>
      <x:c r="F1454" s="12">
        <x:f>ROUND(J1454*$W$4*H1454,0)</x:f>
        <x:v>8982</x:v>
      </x:c>
      <x:c r="G1454" s="12">
        <x:f>ROUND(J1454*$W$4*$W$5*I1454,0)</x:f>
        <x:v>2994</x:v>
      </x:c>
      <x:c r="H1454" s="11" t="n">
        <x:f>$Y$38</x:f>
        <x:v>0.75</x:v>
      </x:c>
      <x:c r="I1454" s="11" t="n">
        <x:f>$Z$38</x:f>
        <x:v>3.3333333333333335</x:v>
      </x:c>
      <x:c r="J1454" s="12">
        <x:f>英雄升级调参!$E$107</x:f>
        <x:v>2994</x:v>
      </x:c>
      <x:c r="K1454" s="12">
        <x:f>英雄升级调参!$F$107</x:f>
        <x:v>29940</x:v>
      </x:c>
      <x:c r="L1454" s="6" t="n">
        <x:f>ROUNDUP(F1454/J1454,0)</x:f>
        <x:v>3</x:v>
      </x:c>
      <x:c r="M1454" s="6" t="n">
        <x:f>IF(G1454=0,"无伤害",ROUNDUP(K1454/MAX(1,ROUND(G1454*$AC$38,0)),0))</x:f>
        <x:v>10</x:v>
      </x:c>
      <x:c r="N1454" s="6" t="n">
        <x:f>ROUNDUP(F1454/英雄升级调参!$H$107,0)</x:f>
        <x:v>2</x:v>
      </x:c>
      <x:c r="O1454" s="6" t="n">
        <x:f>ROUNDUP(F1454/英雄升级调参!$K$107,0)</x:f>
        <x:v>2</x:v>
      </x:c>
      <x:c r="P1454" s="6" t="str">
        <x:f>$AA$38</x:f>
        <x:v>普通：3次标准普攻击杀；10次主要攻击致死</x:v>
      </x:c>
      <x:c r="Q1454" s="6"/>
      <x:c r="R1454" s="6"/>
      <x:c r="S1454" s="6"/>
      <x:c r="T1454" s="6"/>
    </x:row>
    <x:row r="1455" ht="21" customHeight="1">
      <x:c r="A1455" s="14" t="n">
        <x:f>$V$38</x:f>
        <x:v>60025</x:v>
      </x:c>
      <x:c r="B1455" s="14" t="str">
        <x:f>$W$38</x:f>
        <x:v>豌豆射手</x:v>
      </x:c>
      <x:c r="C1455" s="6" t="str">
        <x:f>$X$38</x:f>
        <x:v>远程</x:v>
      </x:c>
      <x:c r="D1455" s="6">
        <x:v>43</x:v>
      </x:c>
      <x:c r="E1455" s="6">
        <x:v>38</x:v>
      </x:c>
      <x:c r="F1455" s="12">
        <x:f>ROUND(J1455*$W$4*H1455,0)</x:f>
        <x:v>9252</x:v>
      </x:c>
      <x:c r="G1455" s="12">
        <x:f>ROUND(J1455*$W$4*$W$5*I1455,0)</x:f>
        <x:v>3084</x:v>
      </x:c>
      <x:c r="H1455" s="11" t="n">
        <x:f>$Y$38</x:f>
        <x:v>0.75</x:v>
      </x:c>
      <x:c r="I1455" s="11" t="n">
        <x:f>$Z$38</x:f>
        <x:v>3.3333333333333335</x:v>
      </x:c>
      <x:c r="J1455" s="12">
        <x:f>英雄升级调参!$E$108</x:f>
        <x:v>3084</x:v>
      </x:c>
      <x:c r="K1455" s="12">
        <x:f>英雄升级调参!$F$108</x:f>
        <x:v>30840</x:v>
      </x:c>
      <x:c r="L1455" s="6" t="n">
        <x:f>ROUNDUP(F1455/J1455,0)</x:f>
        <x:v>3</x:v>
      </x:c>
      <x:c r="M1455" s="6" t="n">
        <x:f>IF(G1455=0,"无伤害",ROUNDUP(K1455/MAX(1,ROUND(G1455*$AC$38,0)),0))</x:f>
        <x:v>10</x:v>
      </x:c>
      <x:c r="N1455" s="6" t="n">
        <x:f>ROUNDUP(F1455/英雄升级调参!$H$108,0)</x:f>
        <x:v>2</x:v>
      </x:c>
      <x:c r="O1455" s="6" t="n">
        <x:f>ROUNDUP(F1455/英雄升级调参!$K$108,0)</x:f>
        <x:v>2</x:v>
      </x:c>
      <x:c r="P1455" s="6" t="str">
        <x:f>$AA$38</x:f>
        <x:v>普通：3次标准普攻击杀；10次主要攻击致死</x:v>
      </x:c>
      <x:c r="Q1455" s="6"/>
      <x:c r="R1455" s="6"/>
      <x:c r="S1455" s="6"/>
      <x:c r="T1455" s="6"/>
    </x:row>
    <x:row r="1456" ht="21" customHeight="1">
      <x:c r="A1456" s="14" t="n">
        <x:f>$V$38</x:f>
        <x:v>60025</x:v>
      </x:c>
      <x:c r="B1456" s="14" t="str">
        <x:f>$W$38</x:f>
        <x:v>豌豆射手</x:v>
      </x:c>
      <x:c r="C1456" s="6" t="str">
        <x:f>$X$38</x:f>
        <x:v>远程</x:v>
      </x:c>
      <x:c r="D1456" s="6">
        <x:v>44</x:v>
      </x:c>
      <x:c r="E1456" s="6">
        <x:v>38</x:v>
      </x:c>
      <x:c r="F1456" s="12">
        <x:f>ROUND(J1456*$W$4*H1456,0)</x:f>
        <x:v>9522</x:v>
      </x:c>
      <x:c r="G1456" s="12">
        <x:f>ROUND(J1456*$W$4*$W$5*I1456,0)</x:f>
        <x:v>3174</x:v>
      </x:c>
      <x:c r="H1456" s="11" t="n">
        <x:f>$Y$38</x:f>
        <x:v>0.75</x:v>
      </x:c>
      <x:c r="I1456" s="11" t="n">
        <x:f>$Z$38</x:f>
        <x:v>3.3333333333333335</x:v>
      </x:c>
      <x:c r="J1456" s="12">
        <x:f>英雄升级调参!$E$109</x:f>
        <x:v>3174</x:v>
      </x:c>
      <x:c r="K1456" s="12">
        <x:f>英雄升级调参!$F$109</x:f>
        <x:v>31740</x:v>
      </x:c>
      <x:c r="L1456" s="6" t="n">
        <x:f>ROUNDUP(F1456/J1456,0)</x:f>
        <x:v>3</x:v>
      </x:c>
      <x:c r="M1456" s="6" t="n">
        <x:f>IF(G1456=0,"无伤害",ROUNDUP(K1456/MAX(1,ROUND(G1456*$AC$38,0)),0))</x:f>
        <x:v>10</x:v>
      </x:c>
      <x:c r="N1456" s="6" t="n">
        <x:f>ROUNDUP(F1456/英雄升级调参!$H$109,0)</x:f>
        <x:v>2</x:v>
      </x:c>
      <x:c r="O1456" s="6" t="n">
        <x:f>ROUNDUP(F1456/英雄升级调参!$K$109,0)</x:f>
        <x:v>2</x:v>
      </x:c>
      <x:c r="P1456" s="6" t="str">
        <x:f>$AA$38</x:f>
        <x:v>普通：3次标准普攻击杀；10次主要攻击致死</x:v>
      </x:c>
      <x:c r="Q1456" s="6"/>
      <x:c r="R1456" s="6"/>
      <x:c r="S1456" s="6"/>
      <x:c r="T1456" s="6"/>
    </x:row>
    <x:row r="1457" ht="21" customHeight="1">
      <x:c r="A1457" s="14" t="n">
        <x:f>$V$38</x:f>
        <x:v>60025</x:v>
      </x:c>
      <x:c r="B1457" s="14" t="str">
        <x:f>$W$38</x:f>
        <x:v>豌豆射手</x:v>
      </x:c>
      <x:c r="C1457" s="6" t="str">
        <x:f>$X$38</x:f>
        <x:v>远程</x:v>
      </x:c>
      <x:c r="D1457" s="6">
        <x:v>45</x:v>
      </x:c>
      <x:c r="E1457" s="6">
        <x:v>38</x:v>
      </x:c>
      <x:c r="F1457" s="12">
        <x:f>ROUND(J1457*$W$4*H1457,0)</x:f>
        <x:v>10332</x:v>
      </x:c>
      <x:c r="G1457" s="12">
        <x:f>ROUND(J1457*$W$4*$W$5*I1457,0)</x:f>
        <x:v>3444</x:v>
      </x:c>
      <x:c r="H1457" s="11" t="n">
        <x:f>$Y$38</x:f>
        <x:v>0.75</x:v>
      </x:c>
      <x:c r="I1457" s="11" t="n">
        <x:f>$Z$38</x:f>
        <x:v>3.3333333333333335</x:v>
      </x:c>
      <x:c r="J1457" s="12">
        <x:f>英雄升级调参!$E$110</x:f>
        <x:v>3444</x:v>
      </x:c>
      <x:c r="K1457" s="12">
        <x:f>英雄升级调参!$F$110</x:f>
        <x:v>34440</x:v>
      </x:c>
      <x:c r="L1457" s="6" t="n">
        <x:f>ROUNDUP(F1457/J1457,0)</x:f>
        <x:v>3</x:v>
      </x:c>
      <x:c r="M1457" s="6" t="n">
        <x:f>IF(G1457=0,"无伤害",ROUNDUP(K1457/MAX(1,ROUND(G1457*$AC$38,0)),0))</x:f>
        <x:v>10</x:v>
      </x:c>
      <x:c r="N1457" s="6" t="n">
        <x:f>ROUNDUP(F1457/英雄升级调参!$H$110,0)</x:f>
        <x:v>2</x:v>
      </x:c>
      <x:c r="O1457" s="6" t="n">
        <x:f>ROUNDUP(F1457/英雄升级调参!$K$110,0)</x:f>
        <x:v>2</x:v>
      </x:c>
      <x:c r="P1457" s="6" t="str">
        <x:f>$AA$38</x:f>
        <x:v>普通：3次标准普攻击杀；10次主要攻击致死</x:v>
      </x:c>
      <x:c r="Q1457" s="6"/>
      <x:c r="R1457" s="6"/>
      <x:c r="S1457" s="6"/>
      <x:c r="T1457" s="6"/>
    </x:row>
    <x:row r="1458" ht="21" customHeight="1">
      <x:c r="A1458" s="14" t="n">
        <x:f>$V$38</x:f>
        <x:v>60025</x:v>
      </x:c>
      <x:c r="B1458" s="14" t="str">
        <x:f>$W$38</x:f>
        <x:v>豌豆射手</x:v>
      </x:c>
      <x:c r="C1458" s="6" t="str">
        <x:f>$X$38</x:f>
        <x:v>远程</x:v>
      </x:c>
      <x:c r="D1458" s="6">
        <x:v>46</x:v>
      </x:c>
      <x:c r="E1458" s="6">
        <x:v>38</x:v>
      </x:c>
      <x:c r="F1458" s="12">
        <x:f>ROUND(J1458*$W$4*H1458,0)</x:f>
        <x:v>10629</x:v>
      </x:c>
      <x:c r="G1458" s="12">
        <x:f>ROUND(J1458*$W$4*$W$5*I1458,0)</x:f>
        <x:v>3543</x:v>
      </x:c>
      <x:c r="H1458" s="11" t="n">
        <x:f>$Y$38</x:f>
        <x:v>0.75</x:v>
      </x:c>
      <x:c r="I1458" s="11" t="n">
        <x:f>$Z$38</x:f>
        <x:v>3.3333333333333335</x:v>
      </x:c>
      <x:c r="J1458" s="12">
        <x:f>英雄升级调参!$E$111</x:f>
        <x:v>3543</x:v>
      </x:c>
      <x:c r="K1458" s="12">
        <x:f>英雄升级调参!$F$111</x:f>
        <x:v>35430</x:v>
      </x:c>
      <x:c r="L1458" s="6" t="n">
        <x:f>ROUNDUP(F1458/J1458,0)</x:f>
        <x:v>3</x:v>
      </x:c>
      <x:c r="M1458" s="6" t="n">
        <x:f>IF(G1458=0,"无伤害",ROUNDUP(K1458/MAX(1,ROUND(G1458*$AC$38,0)),0))</x:f>
        <x:v>10</x:v>
      </x:c>
      <x:c r="N1458" s="6" t="n">
        <x:f>ROUNDUP(F1458/英雄升级调参!$H$111,0)</x:f>
        <x:v>2</x:v>
      </x:c>
      <x:c r="O1458" s="6" t="n">
        <x:f>ROUNDUP(F1458/英雄升级调参!$K$111,0)</x:f>
        <x:v>2</x:v>
      </x:c>
      <x:c r="P1458" s="6" t="str">
        <x:f>$AA$38</x:f>
        <x:v>普通：3次标准普攻击杀；10次主要攻击致死</x:v>
      </x:c>
      <x:c r="Q1458" s="6"/>
      <x:c r="R1458" s="6"/>
      <x:c r="S1458" s="6"/>
      <x:c r="T1458" s="6"/>
    </x:row>
    <x:row r="1459" ht="21" customHeight="1">
      <x:c r="A1459" s="14" t="n">
        <x:f>$V$38</x:f>
        <x:v>60025</x:v>
      </x:c>
      <x:c r="B1459" s="14" t="str">
        <x:f>$W$38</x:f>
        <x:v>豌豆射手</x:v>
      </x:c>
      <x:c r="C1459" s="6" t="str">
        <x:f>$X$38</x:f>
        <x:v>远程</x:v>
      </x:c>
      <x:c r="D1459" s="6">
        <x:v>47</x:v>
      </x:c>
      <x:c r="E1459" s="6">
        <x:v>38</x:v>
      </x:c>
      <x:c r="F1459" s="12">
        <x:f>ROUND(J1459*$W$4*H1459,0)</x:f>
        <x:v>10926</x:v>
      </x:c>
      <x:c r="G1459" s="12">
        <x:f>ROUND(J1459*$W$4*$W$5*I1459,0)</x:f>
        <x:v>3642</x:v>
      </x:c>
      <x:c r="H1459" s="11" t="n">
        <x:f>$Y$38</x:f>
        <x:v>0.75</x:v>
      </x:c>
      <x:c r="I1459" s="11" t="n">
        <x:f>$Z$38</x:f>
        <x:v>3.3333333333333335</x:v>
      </x:c>
      <x:c r="J1459" s="12">
        <x:f>英雄升级调参!$E$112</x:f>
        <x:v>3642</x:v>
      </x:c>
      <x:c r="K1459" s="12">
        <x:f>英雄升级调参!$F$112</x:f>
        <x:v>36420</x:v>
      </x:c>
      <x:c r="L1459" s="6" t="n">
        <x:f>ROUNDUP(F1459/J1459,0)</x:f>
        <x:v>3</x:v>
      </x:c>
      <x:c r="M1459" s="6" t="n">
        <x:f>IF(G1459=0,"无伤害",ROUNDUP(K1459/MAX(1,ROUND(G1459*$AC$38,0)),0))</x:f>
        <x:v>10</x:v>
      </x:c>
      <x:c r="N1459" s="6" t="n">
        <x:f>ROUNDUP(F1459/英雄升级调参!$H$112,0)</x:f>
        <x:v>2</x:v>
      </x:c>
      <x:c r="O1459" s="6" t="n">
        <x:f>ROUNDUP(F1459/英雄升级调参!$K$112,0)</x:f>
        <x:v>2</x:v>
      </x:c>
      <x:c r="P1459" s="6" t="str">
        <x:f>$AA$38</x:f>
        <x:v>普通：3次标准普攻击杀；10次主要攻击致死</x:v>
      </x:c>
      <x:c r="Q1459" s="6"/>
      <x:c r="R1459" s="6"/>
      <x:c r="S1459" s="6"/>
      <x:c r="T1459" s="6"/>
    </x:row>
    <x:row r="1460" ht="21" customHeight="1">
      <x:c r="A1460" s="14" t="n">
        <x:f>$V$38</x:f>
        <x:v>60025</x:v>
      </x:c>
      <x:c r="B1460" s="14" t="str">
        <x:f>$W$38</x:f>
        <x:v>豌豆射手</x:v>
      </x:c>
      <x:c r="C1460" s="6" t="str">
        <x:f>$X$38</x:f>
        <x:v>远程</x:v>
      </x:c>
      <x:c r="D1460" s="6">
        <x:v>48</x:v>
      </x:c>
      <x:c r="E1460" s="6">
        <x:v>38</x:v>
      </x:c>
      <x:c r="F1460" s="12">
        <x:f>ROUND(J1460*$W$4*H1460,0)</x:f>
        <x:v>11223</x:v>
      </x:c>
      <x:c r="G1460" s="12">
        <x:f>ROUND(J1460*$W$4*$W$5*I1460,0)</x:f>
        <x:v>3741</x:v>
      </x:c>
      <x:c r="H1460" s="11" t="n">
        <x:f>$Y$38</x:f>
        <x:v>0.75</x:v>
      </x:c>
      <x:c r="I1460" s="11" t="n">
        <x:f>$Z$38</x:f>
        <x:v>3.3333333333333335</x:v>
      </x:c>
      <x:c r="J1460" s="12">
        <x:f>英雄升级调参!$E$113</x:f>
        <x:v>3741</x:v>
      </x:c>
      <x:c r="K1460" s="12">
        <x:f>英雄升级调参!$F$113</x:f>
        <x:v>37410</x:v>
      </x:c>
      <x:c r="L1460" s="6" t="n">
        <x:f>ROUNDUP(F1460/J1460,0)</x:f>
        <x:v>3</x:v>
      </x:c>
      <x:c r="M1460" s="6" t="n">
        <x:f>IF(G1460=0,"无伤害",ROUNDUP(K1460/MAX(1,ROUND(G1460*$AC$38,0)),0))</x:f>
        <x:v>10</x:v>
      </x:c>
      <x:c r="N1460" s="6" t="n">
        <x:f>ROUNDUP(F1460/英雄升级调参!$H$113,0)</x:f>
        <x:v>2</x:v>
      </x:c>
      <x:c r="O1460" s="6" t="n">
        <x:f>ROUNDUP(F1460/英雄升级调参!$K$113,0)</x:f>
        <x:v>2</x:v>
      </x:c>
      <x:c r="P1460" s="6" t="str">
        <x:f>$AA$38</x:f>
        <x:v>普通：3次标准普攻击杀；10次主要攻击致死</x:v>
      </x:c>
      <x:c r="Q1460" s="6"/>
      <x:c r="R1460" s="6"/>
      <x:c r="S1460" s="6"/>
      <x:c r="T1460" s="6"/>
    </x:row>
    <x:row r="1461" ht="21" customHeight="1">
      <x:c r="A1461" s="14" t="n">
        <x:f>$V$38</x:f>
        <x:v>60025</x:v>
      </x:c>
      <x:c r="B1461" s="14" t="str">
        <x:f>$W$38</x:f>
        <x:v>豌豆射手</x:v>
      </x:c>
      <x:c r="C1461" s="6" t="str">
        <x:f>$X$38</x:f>
        <x:v>远程</x:v>
      </x:c>
      <x:c r="D1461" s="6">
        <x:v>49</x:v>
      </x:c>
      <x:c r="E1461" s="6">
        <x:v>38</x:v>
      </x:c>
      <x:c r="F1461" s="12">
        <x:f>ROUND(J1461*$W$4*H1461,0)</x:f>
        <x:v>11520</x:v>
      </x:c>
      <x:c r="G1461" s="12">
        <x:f>ROUND(J1461*$W$4*$W$5*I1461,0)</x:f>
        <x:v>3840</x:v>
      </x:c>
      <x:c r="H1461" s="11" t="n">
        <x:f>$Y$38</x:f>
        <x:v>0.75</x:v>
      </x:c>
      <x:c r="I1461" s="11" t="n">
        <x:f>$Z$38</x:f>
        <x:v>3.3333333333333335</x:v>
      </x:c>
      <x:c r="J1461" s="12">
        <x:f>英雄升级调参!$E$114</x:f>
        <x:v>3840</x:v>
      </x:c>
      <x:c r="K1461" s="12">
        <x:f>英雄升级调参!$F$114</x:f>
        <x:v>38400</x:v>
      </x:c>
      <x:c r="L1461" s="6" t="n">
        <x:f>ROUNDUP(F1461/J1461,0)</x:f>
        <x:v>3</x:v>
      </x:c>
      <x:c r="M1461" s="6" t="n">
        <x:f>IF(G1461=0,"无伤害",ROUNDUP(K1461/MAX(1,ROUND(G1461*$AC$38,0)),0))</x:f>
        <x:v>10</x:v>
      </x:c>
      <x:c r="N1461" s="6" t="n">
        <x:f>ROUNDUP(F1461/英雄升级调参!$H$114,0)</x:f>
        <x:v>2</x:v>
      </x:c>
      <x:c r="O1461" s="6" t="n">
        <x:f>ROUNDUP(F1461/英雄升级调参!$K$114,0)</x:f>
        <x:v>2</x:v>
      </x:c>
      <x:c r="P1461" s="6" t="str">
        <x:f>$AA$38</x:f>
        <x:v>普通：3次标准普攻击杀；10次主要攻击致死</x:v>
      </x:c>
      <x:c r="Q1461" s="6"/>
      <x:c r="R1461" s="6"/>
      <x:c r="S1461" s="6"/>
      <x:c r="T1461" s="6"/>
    </x:row>
    <x:row r="1462" ht="21" customHeight="1">
      <x:c r="A1462" s="14" t="n">
        <x:f>$V$38</x:f>
        <x:v>60025</x:v>
      </x:c>
      <x:c r="B1462" s="14" t="str">
        <x:f>$W$38</x:f>
        <x:v>豌豆射手</x:v>
      </x:c>
      <x:c r="C1462" s="6" t="str">
        <x:f>$X$38</x:f>
        <x:v>远程</x:v>
      </x:c>
      <x:c r="D1462" s="6">
        <x:v>50</x:v>
      </x:c>
      <x:c r="E1462" s="6">
        <x:v>38</x:v>
      </x:c>
      <x:c r="F1462" s="12">
        <x:f>ROUND(J1462*$W$4*H1462,0)</x:f>
        <x:v>12411</x:v>
      </x:c>
      <x:c r="G1462" s="12">
        <x:f>ROUND(J1462*$W$4*$W$5*I1462,0)</x:f>
        <x:v>4137</x:v>
      </x:c>
      <x:c r="H1462" s="11" t="n">
        <x:f>$Y$38</x:f>
        <x:v>0.75</x:v>
      </x:c>
      <x:c r="I1462" s="11" t="n">
        <x:f>$Z$38</x:f>
        <x:v>3.3333333333333335</x:v>
      </x:c>
      <x:c r="J1462" s="12">
        <x:f>英雄升级调参!$E$115</x:f>
        <x:v>4137</x:v>
      </x:c>
      <x:c r="K1462" s="12">
        <x:f>英雄升级调参!$F$115</x:f>
        <x:v>41370</x:v>
      </x:c>
      <x:c r="L1462" s="6" t="n">
        <x:f>ROUNDUP(F1462/J1462,0)</x:f>
        <x:v>3</x:v>
      </x:c>
      <x:c r="M1462" s="6" t="n">
        <x:f>IF(G1462=0,"无伤害",ROUNDUP(K1462/MAX(1,ROUND(G1462*$AC$38,0)),0))</x:f>
        <x:v>10</x:v>
      </x:c>
      <x:c r="N1462" s="6" t="n">
        <x:f>ROUNDUP(F1462/英雄升级调参!$H$115,0)</x:f>
        <x:v>2</x:v>
      </x:c>
      <x:c r="O1462" s="6" t="n">
        <x:f>ROUNDUP(F1462/英雄升级调参!$K$115,0)</x:f>
        <x:v>2</x:v>
      </x:c>
      <x:c r="P1462" s="6" t="str">
        <x:f>$AA$38</x:f>
        <x:v>普通：3次标准普攻击杀；10次主要攻击致死</x:v>
      </x:c>
      <x:c r="Q1462" s="6"/>
      <x:c r="R1462" s="6"/>
      <x:c r="S1462" s="6"/>
      <x:c r="T1462" s="6"/>
    </x:row>
    <x:row r="1463">
      <x:c r="A1463" s="14" t="n">
        <x:f>$V$39</x:f>
        <x:v>60026</x:v>
      </x:c>
      <x:c r="B1463" s="14" t="str">
        <x:f>$W$39</x:f>
        <x:v>雪怪BOSS</x:v>
      </x:c>
      <x:c r="C1463" s="6" t="str">
        <x:f>$X$39</x:f>
        <x:v>BOSS</x:v>
      </x:c>
      <x:c r="D1463" s="6">
        <x:v>1</x:v>
      </x:c>
      <x:c r="E1463" s="6">
        <x:v>39</x:v>
      </x:c>
      <x:c r="F1463" s="12" t="n">
        <x:f>ROUND(J1463*$W$4*H1463,0)</x:f>
        <x:v>1800</x:v>
      </x:c>
      <x:c r="G1463" s="12" t="n">
        <x:f>ROUND(J1463*$W$4*$W$5*I1463,0)</x:f>
        <x:v>120</x:v>
      </x:c>
      <x:c r="H1463" s="11" t="n">
        <x:f>$Y$39</x:f>
        <x:v>7.5</x:v>
      </x:c>
      <x:c r="I1463" s="11" t="n">
        <x:f>$Z$39</x:f>
        <x:v>6.666666666666667</x:v>
      </x:c>
      <x:c r="J1463" s="12" t="n">
        <x:f>英雄升级调参!$E$66</x:f>
        <x:v>60</x:v>
      </x:c>
      <x:c r="K1463" s="12" t="n">
        <x:f>英雄升级调参!$F$66</x:f>
        <x:v>600</x:v>
      </x:c>
      <x:c r="L1463" s="6" t="n">
        <x:f>ROUNDUP(F1463/J1463,0)</x:f>
        <x:v>30</x:v>
      </x:c>
      <x:c r="M1463" s="6" t="n">
        <x:f>IF(G1463=0,"无伤害",ROUNDUP(K1463/MAX(1,ROUND(G1463*$AC$39,0)),0))</x:f>
        <x:v>5</x:v>
      </x:c>
      <x:c r="N1463" s="6">
        <x:f>ROUNDUP(F1463/英雄升级调参!$H$66,0)</x:f>
        <x:v>10</x:v>
      </x:c>
      <x:c r="O1463" s="6">
        <x:f>ROUNDUP(F1463/英雄升级调参!$K$66,0)</x:f>
        <x:v>6</x:v>
      </x:c>
      <x:c r="P1463" s="6" t="str">
        <x:f>$AA$39</x:f>
        <x:v>BOSS：30次标准普攻击杀；5次主要攻击致死</x:v>
      </x:c>
    </x:row>
    <x:row r="1464">
      <x:c r="A1464" s="14" t="n">
        <x:f>$V$39</x:f>
        <x:v>60026</x:v>
      </x:c>
      <x:c r="B1464" s="14" t="str">
        <x:f>$W$39</x:f>
        <x:v>雪怪BOSS</x:v>
      </x:c>
      <x:c r="C1464" s="6" t="str">
        <x:f>$X$39</x:f>
        <x:v>BOSS</x:v>
      </x:c>
      <x:c r="D1464" s="6">
        <x:v>2</x:v>
      </x:c>
      <x:c r="E1464" s="6">
        <x:v>39</x:v>
      </x:c>
      <x:c r="F1464" s="12">
        <x:f>ROUND(J1464*$W$4*H1464,0)</x:f>
        <x:v>2340</x:v>
      </x:c>
      <x:c r="G1464" s="12">
        <x:f>ROUND(J1464*$W$4*$W$5*I1464,0)</x:f>
        <x:v>156</x:v>
      </x:c>
      <x:c r="H1464" s="11" t="n">
        <x:f>$Y$39</x:f>
        <x:v>7.5</x:v>
      </x:c>
      <x:c r="I1464" s="11" t="n">
        <x:f>$Z$39</x:f>
        <x:v>6.666666666666667</x:v>
      </x:c>
      <x:c r="J1464" s="12">
        <x:f>英雄升级调参!$E$67</x:f>
        <x:v>78</x:v>
      </x:c>
      <x:c r="K1464" s="12">
        <x:f>英雄升级调参!$F$67</x:f>
        <x:v>780</x:v>
      </x:c>
      <x:c r="L1464" s="6" t="n">
        <x:f>ROUNDUP(F1464/J1464,0)</x:f>
        <x:v>30</x:v>
      </x:c>
      <x:c r="M1464" s="6" t="n">
        <x:f>IF(G1464=0,"无伤害",ROUNDUP(K1464/MAX(1,ROUND(G1464*$AC$39,0)),0))</x:f>
        <x:v>5</x:v>
      </x:c>
      <x:c r="N1464" s="6">
        <x:f>ROUNDUP(F1464/英雄升级调参!$H$67,0)</x:f>
        <x:v>11</x:v>
      </x:c>
      <x:c r="O1464" s="6">
        <x:f>ROUNDUP(F1464/英雄升级调参!$K$67,0)</x:f>
        <x:v>6</x:v>
      </x:c>
      <x:c r="P1464" s="6" t="str">
        <x:f>$AA$39</x:f>
        <x:v>BOSS：30次标准普攻击杀；5次主要攻击致死</x:v>
      </x:c>
    </x:row>
    <x:row r="1465">
      <x:c r="A1465" s="14" t="n">
        <x:f>$V$39</x:f>
        <x:v>60026</x:v>
      </x:c>
      <x:c r="B1465" s="14" t="str">
        <x:f>$W$39</x:f>
        <x:v>雪怪BOSS</x:v>
      </x:c>
      <x:c r="C1465" s="6" t="str">
        <x:f>$X$39</x:f>
        <x:v>BOSS</x:v>
      </x:c>
      <x:c r="D1465" s="6">
        <x:v>3</x:v>
      </x:c>
      <x:c r="E1465" s="6">
        <x:v>39</x:v>
      </x:c>
      <x:c r="F1465" s="12">
        <x:f>ROUND(J1465*$W$4*H1465,0)</x:f>
        <x:v>2880</x:v>
      </x:c>
      <x:c r="G1465" s="12">
        <x:f>ROUND(J1465*$W$4*$W$5*I1465,0)</x:f>
        <x:v>192</x:v>
      </x:c>
      <x:c r="H1465" s="11" t="n">
        <x:f>$Y$39</x:f>
        <x:v>7.5</x:v>
      </x:c>
      <x:c r="I1465" s="11" t="n">
        <x:f>$Z$39</x:f>
        <x:v>6.666666666666667</x:v>
      </x:c>
      <x:c r="J1465" s="12">
        <x:f>英雄升级调参!$E$68</x:f>
        <x:v>96</x:v>
      </x:c>
      <x:c r="K1465" s="12">
        <x:f>英雄升级调参!$F$68</x:f>
        <x:v>960</x:v>
      </x:c>
      <x:c r="L1465" s="6" t="n">
        <x:f>ROUNDUP(F1465/J1465,0)</x:f>
        <x:v>30</x:v>
      </x:c>
      <x:c r="M1465" s="6" t="n">
        <x:f>IF(G1465=0,"无伤害",ROUNDUP(K1465/MAX(1,ROUND(G1465*$AC$39,0)),0))</x:f>
        <x:v>5</x:v>
      </x:c>
      <x:c r="N1465" s="6">
        <x:f>ROUNDUP(F1465/英雄升级调参!$H$68,0)</x:f>
        <x:v>12</x:v>
      </x:c>
      <x:c r="O1465" s="6">
        <x:f>ROUNDUP(F1465/英雄升级调参!$K$68,0)</x:f>
        <x:v>7</x:v>
      </x:c>
      <x:c r="P1465" s="6" t="str">
        <x:f>$AA$39</x:f>
        <x:v>BOSS：30次标准普攻击杀；5次主要攻击致死</x:v>
      </x:c>
    </x:row>
    <x:row r="1466">
      <x:c r="A1466" s="14" t="n">
        <x:f>$V$39</x:f>
        <x:v>60026</x:v>
      </x:c>
      <x:c r="B1466" s="14" t="str">
        <x:f>$W$39</x:f>
        <x:v>雪怪BOSS</x:v>
      </x:c>
      <x:c r="C1466" s="6" t="str">
        <x:f>$X$39</x:f>
        <x:v>BOSS</x:v>
      </x:c>
      <x:c r="D1466" s="6">
        <x:v>4</x:v>
      </x:c>
      <x:c r="E1466" s="6">
        <x:v>39</x:v>
      </x:c>
      <x:c r="F1466" s="12">
        <x:f>ROUND(J1466*$W$4*H1466,0)</x:f>
        <x:v>3420</x:v>
      </x:c>
      <x:c r="G1466" s="12">
        <x:f>ROUND(J1466*$W$4*$W$5*I1466,0)</x:f>
        <x:v>228</x:v>
      </x:c>
      <x:c r="H1466" s="11" t="n">
        <x:f>$Y$39</x:f>
        <x:v>7.5</x:v>
      </x:c>
      <x:c r="I1466" s="11" t="n">
        <x:f>$Z$39</x:f>
        <x:v>6.666666666666667</x:v>
      </x:c>
      <x:c r="J1466" s="12">
        <x:f>英雄升级调参!$E$69</x:f>
        <x:v>114</x:v>
      </x:c>
      <x:c r="K1466" s="12">
        <x:f>英雄升级调参!$F$69</x:f>
        <x:v>1140</x:v>
      </x:c>
      <x:c r="L1466" s="6" t="n">
        <x:f>ROUNDUP(F1466/J1466,0)</x:f>
        <x:v>30</x:v>
      </x:c>
      <x:c r="M1466" s="6" t="n">
        <x:f>IF(G1466=0,"无伤害",ROUNDUP(K1466/MAX(1,ROUND(G1466*$AC$39,0)),0))</x:f>
        <x:v>5</x:v>
      </x:c>
      <x:c r="N1466" s="6">
        <x:f>ROUNDUP(F1466/英雄升级调参!$H$69,0)</x:f>
        <x:v>13</x:v>
      </x:c>
      <x:c r="O1466" s="6">
        <x:f>ROUNDUP(F1466/英雄升级调参!$K$69,0)</x:f>
        <x:v>7</x:v>
      </x:c>
      <x:c r="P1466" s="6" t="str">
        <x:f>$AA$39</x:f>
        <x:v>BOSS：30次标准普攻击杀；5次主要攻击致死</x:v>
      </x:c>
    </x:row>
    <x:row r="1467">
      <x:c r="A1467" s="14" t="n">
        <x:f>$V$39</x:f>
        <x:v>60026</x:v>
      </x:c>
      <x:c r="B1467" s="14" t="str">
        <x:f>$W$39</x:f>
        <x:v>雪怪BOSS</x:v>
      </x:c>
      <x:c r="C1467" s="6" t="str">
        <x:f>$X$39</x:f>
        <x:v>BOSS</x:v>
      </x:c>
      <x:c r="D1467" s="6">
        <x:v>5</x:v>
      </x:c>
      <x:c r="E1467" s="6">
        <x:v>39</x:v>
      </x:c>
      <x:c r="F1467" s="12">
        <x:f>ROUND(J1467*$W$4*H1467,0)</x:f>
        <x:v>5040</x:v>
      </x:c>
      <x:c r="G1467" s="12">
        <x:f>ROUND(J1467*$W$4*$W$5*I1467,0)</x:f>
        <x:v>336</x:v>
      </x:c>
      <x:c r="H1467" s="11" t="n">
        <x:f>$Y$39</x:f>
        <x:v>7.5</x:v>
      </x:c>
      <x:c r="I1467" s="11" t="n">
        <x:f>$Z$39</x:f>
        <x:v>6.666666666666667</x:v>
      </x:c>
      <x:c r="J1467" s="12">
        <x:f>英雄升级调参!$E$70</x:f>
        <x:v>168</x:v>
      </x:c>
      <x:c r="K1467" s="12">
        <x:f>英雄升级调参!$F$70</x:f>
        <x:v>1680</x:v>
      </x:c>
      <x:c r="L1467" s="6" t="n">
        <x:f>ROUNDUP(F1467/J1467,0)</x:f>
        <x:v>30</x:v>
      </x:c>
      <x:c r="M1467" s="6" t="n">
        <x:f>IF(G1467=0,"无伤害",ROUNDUP(K1467/MAX(1,ROUND(G1467*$AC$39,0)),0))</x:f>
        <x:v>5</x:v>
      </x:c>
      <x:c r="N1467" s="6">
        <x:f>ROUNDUP(F1467/英雄升级调参!$H$70,0)</x:f>
        <x:v>15</x:v>
      </x:c>
      <x:c r="O1467" s="6">
        <x:f>ROUNDUP(F1467/英雄升级调参!$K$70,0)</x:f>
        <x:v>9</x:v>
      </x:c>
      <x:c r="P1467" s="6" t="str">
        <x:f>$AA$39</x:f>
        <x:v>BOSS：30次标准普攻击杀；5次主要攻击致死</x:v>
      </x:c>
    </x:row>
    <x:row r="1468">
      <x:c r="A1468" s="14" t="n">
        <x:f>$V$39</x:f>
        <x:v>60026</x:v>
      </x:c>
      <x:c r="B1468" s="14" t="str">
        <x:f>$W$39</x:f>
        <x:v>雪怪BOSS</x:v>
      </x:c>
      <x:c r="C1468" s="6" t="str">
        <x:f>$X$39</x:f>
        <x:v>BOSS</x:v>
      </x:c>
      <x:c r="D1468" s="6">
        <x:v>6</x:v>
      </x:c>
      <x:c r="E1468" s="6">
        <x:v>39</x:v>
      </x:c>
      <x:c r="F1468" s="12">
        <x:f>ROUND(J1468*$W$4*H1468,0)</x:f>
        <x:v>5850</x:v>
      </x:c>
      <x:c r="G1468" s="12">
        <x:f>ROUND(J1468*$W$4*$W$5*I1468,0)</x:f>
        <x:v>390</x:v>
      </x:c>
      <x:c r="H1468" s="11" t="n">
        <x:f>$Y$39</x:f>
        <x:v>7.5</x:v>
      </x:c>
      <x:c r="I1468" s="11" t="n">
        <x:f>$Z$39</x:f>
        <x:v>6.666666666666667</x:v>
      </x:c>
      <x:c r="J1468" s="12">
        <x:f>英雄升级调参!$E$71</x:f>
        <x:v>195</x:v>
      </x:c>
      <x:c r="K1468" s="12">
        <x:f>英雄升级调参!$F$71</x:f>
        <x:v>1950</x:v>
      </x:c>
      <x:c r="L1468" s="6" t="n">
        <x:f>ROUNDUP(F1468/J1468,0)</x:f>
        <x:v>30</x:v>
      </x:c>
      <x:c r="M1468" s="6" t="n">
        <x:f>IF(G1468=0,"无伤害",ROUNDUP(K1468/MAX(1,ROUND(G1468*$AC$39,0)),0))</x:f>
        <x:v>5</x:v>
      </x:c>
      <x:c r="N1468" s="6">
        <x:f>ROUNDUP(F1468/英雄升级调参!$H$71,0)</x:f>
        <x:v>15</x:v>
      </x:c>
      <x:c r="O1468" s="6">
        <x:f>ROUNDUP(F1468/英雄升级调参!$K$71,0)</x:f>
        <x:v>9</x:v>
      </x:c>
      <x:c r="P1468" s="6" t="str">
        <x:f>$AA$39</x:f>
        <x:v>BOSS：30次标准普攻击杀；5次主要攻击致死</x:v>
      </x:c>
    </x:row>
    <x:row r="1469">
      <x:c r="A1469" s="14" t="n">
        <x:f>$V$39</x:f>
        <x:v>60026</x:v>
      </x:c>
      <x:c r="B1469" s="14" t="str">
        <x:f>$W$39</x:f>
        <x:v>雪怪BOSS</x:v>
      </x:c>
      <x:c r="C1469" s="6" t="str">
        <x:f>$X$39</x:f>
        <x:v>BOSS</x:v>
      </x:c>
      <x:c r="D1469" s="6">
        <x:v>7</x:v>
      </x:c>
      <x:c r="E1469" s="6">
        <x:v>39</x:v>
      </x:c>
      <x:c r="F1469" s="12">
        <x:f>ROUND(J1469*$W$4*H1469,0)</x:f>
        <x:v>6660</x:v>
      </x:c>
      <x:c r="G1469" s="12">
        <x:f>ROUND(J1469*$W$4*$W$5*I1469,0)</x:f>
        <x:v>444</x:v>
      </x:c>
      <x:c r="H1469" s="11" t="n">
        <x:f>$Y$39</x:f>
        <x:v>7.5</x:v>
      </x:c>
      <x:c r="I1469" s="11" t="n">
        <x:f>$Z$39</x:f>
        <x:v>6.666666666666667</x:v>
      </x:c>
      <x:c r="J1469" s="12">
        <x:f>英雄升级调参!$E$72</x:f>
        <x:v>222</x:v>
      </x:c>
      <x:c r="K1469" s="12">
        <x:f>英雄升级调参!$F$72</x:f>
        <x:v>2220</x:v>
      </x:c>
      <x:c r="L1469" s="6" t="n">
        <x:f>ROUNDUP(F1469/J1469,0)</x:f>
        <x:v>30</x:v>
      </x:c>
      <x:c r="M1469" s="6" t="n">
        <x:f>IF(G1469=0,"无伤害",ROUNDUP(K1469/MAX(1,ROUND(G1469*$AC$39,0)),0))</x:f>
        <x:v>5</x:v>
      </x:c>
      <x:c r="N1469" s="6">
        <x:f>ROUNDUP(F1469/英雄升级调参!$H$72,0)</x:f>
        <x:v>16</x:v>
      </x:c>
      <x:c r="O1469" s="6">
        <x:f>ROUNDUP(F1469/英雄升级调参!$K$72,0)</x:f>
        <x:v>9</x:v>
      </x:c>
      <x:c r="P1469" s="6" t="str">
        <x:f>$AA$39</x:f>
        <x:v>BOSS：30次标准普攻击杀；5次主要攻击致死</x:v>
      </x:c>
    </x:row>
    <x:row r="1470">
      <x:c r="A1470" s="14" t="n">
        <x:f>$V$39</x:f>
        <x:v>60026</x:v>
      </x:c>
      <x:c r="B1470" s="14" t="str">
        <x:f>$W$39</x:f>
        <x:v>雪怪BOSS</x:v>
      </x:c>
      <x:c r="C1470" s="6" t="str">
        <x:f>$X$39</x:f>
        <x:v>BOSS</x:v>
      </x:c>
      <x:c r="D1470" s="6">
        <x:v>8</x:v>
      </x:c>
      <x:c r="E1470" s="6">
        <x:v>39</x:v>
      </x:c>
      <x:c r="F1470" s="12">
        <x:f>ROUND(J1470*$W$4*H1470,0)</x:f>
        <x:v>7470</x:v>
      </x:c>
      <x:c r="G1470" s="12">
        <x:f>ROUND(J1470*$W$4*$W$5*I1470,0)</x:f>
        <x:v>498</x:v>
      </x:c>
      <x:c r="H1470" s="11" t="n">
        <x:f>$Y$39</x:f>
        <x:v>7.5</x:v>
      </x:c>
      <x:c r="I1470" s="11" t="n">
        <x:f>$Z$39</x:f>
        <x:v>6.666666666666667</x:v>
      </x:c>
      <x:c r="J1470" s="12">
        <x:f>英雄升级调参!$E$73</x:f>
        <x:v>249</x:v>
      </x:c>
      <x:c r="K1470" s="12">
        <x:f>英雄升级调参!$F$73</x:f>
        <x:v>2490</x:v>
      </x:c>
      <x:c r="L1470" s="6" t="n">
        <x:f>ROUNDUP(F1470/J1470,0)</x:f>
        <x:v>30</x:v>
      </x:c>
      <x:c r="M1470" s="6" t="n">
        <x:f>IF(G1470=0,"无伤害",ROUNDUP(K1470/MAX(1,ROUND(G1470*$AC$39,0)),0))</x:f>
        <x:v>5</x:v>
      </x:c>
      <x:c r="N1470" s="6">
        <x:f>ROUNDUP(F1470/英雄升级调参!$H$73,0)</x:f>
        <x:v>16</x:v>
      </x:c>
      <x:c r="O1470" s="6">
        <x:f>ROUNDUP(F1470/英雄升级调参!$K$73,0)</x:f>
        <x:v>9</x:v>
      </x:c>
      <x:c r="P1470" s="6" t="str">
        <x:f>$AA$39</x:f>
        <x:v>BOSS：30次标准普攻击杀；5次主要攻击致死</x:v>
      </x:c>
    </x:row>
    <x:row r="1471">
      <x:c r="A1471" s="14" t="n">
        <x:f>$V$39</x:f>
        <x:v>60026</x:v>
      </x:c>
      <x:c r="B1471" s="14" t="str">
        <x:f>$W$39</x:f>
        <x:v>雪怪BOSS</x:v>
      </x:c>
      <x:c r="C1471" s="6" t="str">
        <x:f>$X$39</x:f>
        <x:v>BOSS</x:v>
      </x:c>
      <x:c r="D1471" s="6">
        <x:v>9</x:v>
      </x:c>
      <x:c r="E1471" s="6">
        <x:v>39</x:v>
      </x:c>
      <x:c r="F1471" s="12">
        <x:f>ROUND(J1471*$W$4*H1471,0)</x:f>
        <x:v>8280</x:v>
      </x:c>
      <x:c r="G1471" s="12">
        <x:f>ROUND(J1471*$W$4*$W$5*I1471,0)</x:f>
        <x:v>552</x:v>
      </x:c>
      <x:c r="H1471" s="11" t="n">
        <x:f>$Y$39</x:f>
        <x:v>7.5</x:v>
      </x:c>
      <x:c r="I1471" s="11" t="n">
        <x:f>$Z$39</x:f>
        <x:v>6.666666666666667</x:v>
      </x:c>
      <x:c r="J1471" s="12">
        <x:f>英雄升级调参!$E$74</x:f>
        <x:v>276</x:v>
      </x:c>
      <x:c r="K1471" s="12">
        <x:f>英雄升级调参!$F$74</x:f>
        <x:v>2760</x:v>
      </x:c>
      <x:c r="L1471" s="6" t="n">
        <x:f>ROUNDUP(F1471/J1471,0)</x:f>
        <x:v>30</x:v>
      </x:c>
      <x:c r="M1471" s="6" t="n">
        <x:f>IF(G1471=0,"无伤害",ROUNDUP(K1471/MAX(1,ROUND(G1471*$AC$39,0)),0))</x:f>
        <x:v>5</x:v>
      </x:c>
      <x:c r="N1471" s="6">
        <x:f>ROUNDUP(F1471/英雄升级调参!$H$74,0)</x:f>
        <x:v>16</x:v>
      </x:c>
      <x:c r="O1471" s="6">
        <x:f>ROUNDUP(F1471/英雄升级调参!$K$74,0)</x:f>
        <x:v>10</x:v>
      </x:c>
      <x:c r="P1471" s="6" t="str">
        <x:f>$AA$39</x:f>
        <x:v>BOSS：30次标准普攻击杀；5次主要攻击致死</x:v>
      </x:c>
    </x:row>
    <x:row r="1472">
      <x:c r="A1472" s="14" t="n">
        <x:f>$V$39</x:f>
        <x:v>60026</x:v>
      </x:c>
      <x:c r="B1472" s="14" t="str">
        <x:f>$W$39</x:f>
        <x:v>雪怪BOSS</x:v>
      </x:c>
      <x:c r="C1472" s="6" t="str">
        <x:f>$X$39</x:f>
        <x:v>BOSS</x:v>
      </x:c>
      <x:c r="D1472" s="6">
        <x:v>10</x:v>
      </x:c>
      <x:c r="E1472" s="6">
        <x:v>39</x:v>
      </x:c>
      <x:c r="F1472" s="12">
        <x:f>ROUND(J1472*$W$4*H1472,0)</x:f>
        <x:v>10710</x:v>
      </x:c>
      <x:c r="G1472" s="12">
        <x:f>ROUND(J1472*$W$4*$W$5*I1472,0)</x:f>
        <x:v>714</x:v>
      </x:c>
      <x:c r="H1472" s="11" t="n">
        <x:f>$Y$39</x:f>
        <x:v>7.5</x:v>
      </x:c>
      <x:c r="I1472" s="11" t="n">
        <x:f>$Z$39</x:f>
        <x:v>6.666666666666667</x:v>
      </x:c>
      <x:c r="J1472" s="12">
        <x:f>英雄升级调参!$E$75</x:f>
        <x:v>357</x:v>
      </x:c>
      <x:c r="K1472" s="12">
        <x:f>英雄升级调参!$F$75</x:f>
        <x:v>3570</x:v>
      </x:c>
      <x:c r="L1472" s="6" t="n">
        <x:f>ROUNDUP(F1472/J1472,0)</x:f>
        <x:v>30</x:v>
      </x:c>
      <x:c r="M1472" s="6" t="n">
        <x:f>IF(G1472=0,"无伤害",ROUNDUP(K1472/MAX(1,ROUND(G1472*$AC$39,0)),0))</x:f>
        <x:v>5</x:v>
      </x:c>
      <x:c r="N1472" s="6">
        <x:f>ROUNDUP(F1472/英雄升级调参!$H$75,0)</x:f>
        <x:v>17</x:v>
      </x:c>
      <x:c r="O1472" s="6">
        <x:f>ROUNDUP(F1472/英雄升级调参!$K$75,0)</x:f>
        <x:v>10</x:v>
      </x:c>
      <x:c r="P1472" s="6" t="str">
        <x:f>$AA$39</x:f>
        <x:v>BOSS：30次标准普攻击杀；5次主要攻击致死</x:v>
      </x:c>
    </x:row>
    <x:row r="1473">
      <x:c r="A1473" s="14" t="n">
        <x:f>$V$39</x:f>
        <x:v>60026</x:v>
      </x:c>
      <x:c r="B1473" s="14" t="str">
        <x:f>$W$39</x:f>
        <x:v>雪怪BOSS</x:v>
      </x:c>
      <x:c r="C1473" s="6" t="str">
        <x:f>$X$39</x:f>
        <x:v>BOSS</x:v>
      </x:c>
      <x:c r="D1473" s="6">
        <x:v>11</x:v>
      </x:c>
      <x:c r="E1473" s="6">
        <x:v>39</x:v>
      </x:c>
      <x:c r="F1473" s="12">
        <x:f>ROUND(J1473*$W$4*H1473,0)</x:f>
        <x:v>11790</x:v>
      </x:c>
      <x:c r="G1473" s="12">
        <x:f>ROUND(J1473*$W$4*$W$5*I1473,0)</x:f>
        <x:v>786</x:v>
      </x:c>
      <x:c r="H1473" s="11" t="n">
        <x:f>$Y$39</x:f>
        <x:v>7.5</x:v>
      </x:c>
      <x:c r="I1473" s="11" t="n">
        <x:f>$Z$39</x:f>
        <x:v>6.666666666666667</x:v>
      </x:c>
      <x:c r="J1473" s="12">
        <x:f>英雄升级调参!$E$76</x:f>
        <x:v>393</x:v>
      </x:c>
      <x:c r="K1473" s="12">
        <x:f>英雄升级调参!$F$76</x:f>
        <x:v>3930</x:v>
      </x:c>
      <x:c r="L1473" s="6" t="n">
        <x:f>ROUNDUP(F1473/J1473,0)</x:f>
        <x:v>30</x:v>
      </x:c>
      <x:c r="M1473" s="6" t="n">
        <x:f>IF(G1473=0,"无伤害",ROUNDUP(K1473/MAX(1,ROUND(G1473*$AC$39,0)),0))</x:f>
        <x:v>5</x:v>
      </x:c>
      <x:c r="N1473" s="6">
        <x:f>ROUNDUP(F1473/英雄升级调参!$H$76,0)</x:f>
        <x:v>17</x:v>
      </x:c>
      <x:c r="O1473" s="6">
        <x:f>ROUNDUP(F1473/英雄升级调参!$K$76,0)</x:f>
        <x:v>10</x:v>
      </x:c>
      <x:c r="P1473" s="6" t="str">
        <x:f>$AA$39</x:f>
        <x:v>BOSS：30次标准普攻击杀；5次主要攻击致死</x:v>
      </x:c>
    </x:row>
    <x:row r="1474">
      <x:c r="A1474" s="14" t="n">
        <x:f>$V$39</x:f>
        <x:v>60026</x:v>
      </x:c>
      <x:c r="B1474" s="14" t="str">
        <x:f>$W$39</x:f>
        <x:v>雪怪BOSS</x:v>
      </x:c>
      <x:c r="C1474" s="6" t="str">
        <x:f>$X$39</x:f>
        <x:v>BOSS</x:v>
      </x:c>
      <x:c r="D1474" s="6">
        <x:v>12</x:v>
      </x:c>
      <x:c r="E1474" s="6">
        <x:v>39</x:v>
      </x:c>
      <x:c r="F1474" s="12">
        <x:f>ROUND(J1474*$W$4*H1474,0)</x:f>
        <x:v>12870</x:v>
      </x:c>
      <x:c r="G1474" s="12">
        <x:f>ROUND(J1474*$W$4*$W$5*I1474,0)</x:f>
        <x:v>858</x:v>
      </x:c>
      <x:c r="H1474" s="11" t="n">
        <x:f>$Y$39</x:f>
        <x:v>7.5</x:v>
      </x:c>
      <x:c r="I1474" s="11" t="n">
        <x:f>$Z$39</x:f>
        <x:v>6.666666666666667</x:v>
      </x:c>
      <x:c r="J1474" s="12">
        <x:f>英雄升级调参!$E$77</x:f>
        <x:v>429</x:v>
      </x:c>
      <x:c r="K1474" s="12">
        <x:f>英雄升级调参!$F$77</x:f>
        <x:v>4290</x:v>
      </x:c>
      <x:c r="L1474" s="6" t="n">
        <x:f>ROUNDUP(F1474/J1474,0)</x:f>
        <x:v>30</x:v>
      </x:c>
      <x:c r="M1474" s="6" t="n">
        <x:f>IF(G1474=0,"无伤害",ROUNDUP(K1474/MAX(1,ROUND(G1474*$AC$39,0)),0))</x:f>
        <x:v>5</x:v>
      </x:c>
      <x:c r="N1474" s="6">
        <x:f>ROUNDUP(F1474/英雄升级调参!$H$77,0)</x:f>
        <x:v>18</x:v>
      </x:c>
      <x:c r="O1474" s="6">
        <x:f>ROUNDUP(F1474/英雄升级调参!$K$77,0)</x:f>
        <x:v>11</x:v>
      </x:c>
      <x:c r="P1474" s="6" t="str">
        <x:f>$AA$39</x:f>
        <x:v>BOSS：30次标准普攻击杀；5次主要攻击致死</x:v>
      </x:c>
    </x:row>
    <x:row r="1475">
      <x:c r="A1475" s="14" t="n">
        <x:f>$V$39</x:f>
        <x:v>60026</x:v>
      </x:c>
      <x:c r="B1475" s="14" t="str">
        <x:f>$W$39</x:f>
        <x:v>雪怪BOSS</x:v>
      </x:c>
      <x:c r="C1475" s="6" t="str">
        <x:f>$X$39</x:f>
        <x:v>BOSS</x:v>
      </x:c>
      <x:c r="D1475" s="6">
        <x:v>13</x:v>
      </x:c>
      <x:c r="E1475" s="6">
        <x:v>39</x:v>
      </x:c>
      <x:c r="F1475" s="12">
        <x:f>ROUND(J1475*$W$4*H1475,0)</x:f>
        <x:v>13950</x:v>
      </x:c>
      <x:c r="G1475" s="12">
        <x:f>ROUND(J1475*$W$4*$W$5*I1475,0)</x:f>
        <x:v>930</x:v>
      </x:c>
      <x:c r="H1475" s="11" t="n">
        <x:f>$Y$39</x:f>
        <x:v>7.5</x:v>
      </x:c>
      <x:c r="I1475" s="11" t="n">
        <x:f>$Z$39</x:f>
        <x:v>6.666666666666667</x:v>
      </x:c>
      <x:c r="J1475" s="12">
        <x:f>英雄升级调参!$E$78</x:f>
        <x:v>465</x:v>
      </x:c>
      <x:c r="K1475" s="12">
        <x:f>英雄升级调参!$F$78</x:f>
        <x:v>4650</x:v>
      </x:c>
      <x:c r="L1475" s="6" t="n">
        <x:f>ROUNDUP(F1475/J1475,0)</x:f>
        <x:v>30</x:v>
      </x:c>
      <x:c r="M1475" s="6" t="n">
        <x:f>IF(G1475=0,"无伤害",ROUNDUP(K1475/MAX(1,ROUND(G1475*$AC$39,0)),0))</x:f>
        <x:v>5</x:v>
      </x:c>
      <x:c r="N1475" s="6">
        <x:f>ROUNDUP(F1475/英雄升级调参!$H$78,0)</x:f>
        <x:v>18</x:v>
      </x:c>
      <x:c r="O1475" s="6">
        <x:f>ROUNDUP(F1475/英雄升级调参!$K$78,0)</x:f>
        <x:v>11</x:v>
      </x:c>
      <x:c r="P1475" s="6" t="str">
        <x:f>$AA$39</x:f>
        <x:v>BOSS：30次标准普攻击杀；5次主要攻击致死</x:v>
      </x:c>
    </x:row>
    <x:row r="1476">
      <x:c r="A1476" s="14" t="n">
        <x:f>$V$39</x:f>
        <x:v>60026</x:v>
      </x:c>
      <x:c r="B1476" s="14" t="str">
        <x:f>$W$39</x:f>
        <x:v>雪怪BOSS</x:v>
      </x:c>
      <x:c r="C1476" s="6" t="str">
        <x:f>$X$39</x:f>
        <x:v>BOSS</x:v>
      </x:c>
      <x:c r="D1476" s="6">
        <x:v>14</x:v>
      </x:c>
      <x:c r="E1476" s="6">
        <x:v>39</x:v>
      </x:c>
      <x:c r="F1476" s="12">
        <x:f>ROUND(J1476*$W$4*H1476,0)</x:f>
        <x:v>15030</x:v>
      </x:c>
      <x:c r="G1476" s="12">
        <x:f>ROUND(J1476*$W$4*$W$5*I1476,0)</x:f>
        <x:v>1002</x:v>
      </x:c>
      <x:c r="H1476" s="11" t="n">
        <x:f>$Y$39</x:f>
        <x:v>7.5</x:v>
      </x:c>
      <x:c r="I1476" s="11" t="n">
        <x:f>$Z$39</x:f>
        <x:v>6.666666666666667</x:v>
      </x:c>
      <x:c r="J1476" s="12">
        <x:f>英雄升级调参!$E$79</x:f>
        <x:v>501</x:v>
      </x:c>
      <x:c r="K1476" s="12">
        <x:f>英雄升级调参!$F$79</x:f>
        <x:v>5010</x:v>
      </x:c>
      <x:c r="L1476" s="6" t="n">
        <x:f>ROUNDUP(F1476/J1476,0)</x:f>
        <x:v>30</x:v>
      </x:c>
      <x:c r="M1476" s="6" t="n">
        <x:f>IF(G1476=0,"无伤害",ROUNDUP(K1476/MAX(1,ROUND(G1476*$AC$39,0)),0))</x:f>
        <x:v>5</x:v>
      </x:c>
      <x:c r="N1476" s="6">
        <x:f>ROUNDUP(F1476/英雄升级调参!$H$79,0)</x:f>
        <x:v>18</x:v>
      </x:c>
      <x:c r="O1476" s="6">
        <x:f>ROUNDUP(F1476/英雄升级调参!$K$79,0)</x:f>
        <x:v>11</x:v>
      </x:c>
      <x:c r="P1476" s="6" t="str">
        <x:f>$AA$39</x:f>
        <x:v>BOSS：30次标准普攻击杀；5次主要攻击致死</x:v>
      </x:c>
    </x:row>
    <x:row r="1477">
      <x:c r="A1477" s="14" t="n">
        <x:f>$V$39</x:f>
        <x:v>60026</x:v>
      </x:c>
      <x:c r="B1477" s="14" t="str">
        <x:f>$W$39</x:f>
        <x:v>雪怪BOSS</x:v>
      </x:c>
      <x:c r="C1477" s="6" t="str">
        <x:f>$X$39</x:f>
        <x:v>BOSS</x:v>
      </x:c>
      <x:c r="D1477" s="6">
        <x:v>15</x:v>
      </x:c>
      <x:c r="E1477" s="6">
        <x:v>39</x:v>
      </x:c>
      <x:c r="F1477" s="12">
        <x:f>ROUND(J1477*$W$4*H1477,0)</x:f>
        <x:v>18270</x:v>
      </x:c>
      <x:c r="G1477" s="12">
        <x:f>ROUND(J1477*$W$4*$W$5*I1477,0)</x:f>
        <x:v>1218</x:v>
      </x:c>
      <x:c r="H1477" s="11" t="n">
        <x:f>$Y$39</x:f>
        <x:v>7.5</x:v>
      </x:c>
      <x:c r="I1477" s="11" t="n">
        <x:f>$Z$39</x:f>
        <x:v>6.666666666666667</x:v>
      </x:c>
      <x:c r="J1477" s="12">
        <x:f>英雄升级调参!$E$80</x:f>
        <x:v>609</x:v>
      </x:c>
      <x:c r="K1477" s="12">
        <x:f>英雄升级调参!$F$80</x:f>
        <x:v>6090</x:v>
      </x:c>
      <x:c r="L1477" s="6" t="n">
        <x:f>ROUNDUP(F1477/J1477,0)</x:f>
        <x:v>30</x:v>
      </x:c>
      <x:c r="M1477" s="6" t="n">
        <x:f>IF(G1477=0,"无伤害",ROUNDUP(K1477/MAX(1,ROUND(G1477*$AC$39,0)),0))</x:f>
        <x:v>5</x:v>
      </x:c>
      <x:c r="N1477" s="6">
        <x:f>ROUNDUP(F1477/英雄升级调参!$H$80,0)</x:f>
        <x:v>18</x:v>
      </x:c>
      <x:c r="O1477" s="6">
        <x:f>ROUNDUP(F1477/英雄升级调参!$K$80,0)</x:f>
        <x:v>11</x:v>
      </x:c>
      <x:c r="P1477" s="6" t="str">
        <x:f>$AA$39</x:f>
        <x:v>BOSS：30次标准普攻击杀；5次主要攻击致死</x:v>
      </x:c>
    </x:row>
    <x:row r="1478">
      <x:c r="A1478" s="14" t="n">
        <x:f>$V$39</x:f>
        <x:v>60026</x:v>
      </x:c>
      <x:c r="B1478" s="14" t="str">
        <x:f>$W$39</x:f>
        <x:v>雪怪BOSS</x:v>
      </x:c>
      <x:c r="C1478" s="6" t="str">
        <x:f>$X$39</x:f>
        <x:v>BOSS</x:v>
      </x:c>
      <x:c r="D1478" s="6">
        <x:v>16</x:v>
      </x:c>
      <x:c r="E1478" s="6">
        <x:v>39</x:v>
      </x:c>
      <x:c r="F1478" s="12">
        <x:f>ROUND(J1478*$W$4*H1478,0)</x:f>
        <x:v>19620</x:v>
      </x:c>
      <x:c r="G1478" s="12">
        <x:f>ROUND(J1478*$W$4*$W$5*I1478,0)</x:f>
        <x:v>1308</x:v>
      </x:c>
      <x:c r="H1478" s="11" t="n">
        <x:f>$Y$39</x:f>
        <x:v>7.5</x:v>
      </x:c>
      <x:c r="I1478" s="11" t="n">
        <x:f>$Z$39</x:f>
        <x:v>6.666666666666667</x:v>
      </x:c>
      <x:c r="J1478" s="12">
        <x:f>英雄升级调参!$E$81</x:f>
        <x:v>654</x:v>
      </x:c>
      <x:c r="K1478" s="12">
        <x:f>英雄升级调参!$F$81</x:f>
        <x:v>6540</x:v>
      </x:c>
      <x:c r="L1478" s="6" t="n">
        <x:f>ROUNDUP(F1478/J1478,0)</x:f>
        <x:v>30</x:v>
      </x:c>
      <x:c r="M1478" s="6" t="n">
        <x:f>IF(G1478=0,"无伤害",ROUNDUP(K1478/MAX(1,ROUND(G1478*$AC$39,0)),0))</x:f>
        <x:v>5</x:v>
      </x:c>
      <x:c r="N1478" s="6">
        <x:f>ROUNDUP(F1478/英雄升级调参!$H$81,0)</x:f>
        <x:v>18</x:v>
      </x:c>
      <x:c r="O1478" s="6">
        <x:f>ROUNDUP(F1478/英雄升级调参!$K$81,0)</x:f>
        <x:v>11</x:v>
      </x:c>
      <x:c r="P1478" s="6" t="str">
        <x:f>$AA$39</x:f>
        <x:v>BOSS：30次标准普攻击杀；5次主要攻击致死</x:v>
      </x:c>
    </x:row>
    <x:row r="1479">
      <x:c r="A1479" s="14" t="n">
        <x:f>$V$39</x:f>
        <x:v>60026</x:v>
      </x:c>
      <x:c r="B1479" s="14" t="str">
        <x:f>$W$39</x:f>
        <x:v>雪怪BOSS</x:v>
      </x:c>
      <x:c r="C1479" s="6" t="str">
        <x:f>$X$39</x:f>
        <x:v>BOSS</x:v>
      </x:c>
      <x:c r="D1479" s="6">
        <x:v>17</x:v>
      </x:c>
      <x:c r="E1479" s="6">
        <x:v>39</x:v>
      </x:c>
      <x:c r="F1479" s="12">
        <x:f>ROUND(J1479*$W$4*H1479,0)</x:f>
        <x:v>20970</x:v>
      </x:c>
      <x:c r="G1479" s="12">
        <x:f>ROUND(J1479*$W$4*$W$5*I1479,0)</x:f>
        <x:v>1398</x:v>
      </x:c>
      <x:c r="H1479" s="11" t="n">
        <x:f>$Y$39</x:f>
        <x:v>7.5</x:v>
      </x:c>
      <x:c r="I1479" s="11" t="n">
        <x:f>$Z$39</x:f>
        <x:v>6.666666666666667</x:v>
      </x:c>
      <x:c r="J1479" s="12">
        <x:f>英雄升级调参!$E$82</x:f>
        <x:v>699</x:v>
      </x:c>
      <x:c r="K1479" s="12">
        <x:f>英雄升级调参!$F$82</x:f>
        <x:v>6990</x:v>
      </x:c>
      <x:c r="L1479" s="6" t="n">
        <x:f>ROUNDUP(F1479/J1479,0)</x:f>
        <x:v>30</x:v>
      </x:c>
      <x:c r="M1479" s="6" t="n">
        <x:f>IF(G1479=0,"无伤害",ROUNDUP(K1479/MAX(1,ROUND(G1479*$AC$39,0)),0))</x:f>
        <x:v>5</x:v>
      </x:c>
      <x:c r="N1479" s="6">
        <x:f>ROUNDUP(F1479/英雄升级调参!$H$82,0)</x:f>
        <x:v>19</x:v>
      </x:c>
      <x:c r="O1479" s="6">
        <x:f>ROUNDUP(F1479/英雄升级调参!$K$82,0)</x:f>
        <x:v>11</x:v>
      </x:c>
      <x:c r="P1479" s="6" t="str">
        <x:f>$AA$39</x:f>
        <x:v>BOSS：30次标准普攻击杀；5次主要攻击致死</x:v>
      </x:c>
    </x:row>
    <x:row r="1480">
      <x:c r="A1480" s="14" t="n">
        <x:f>$V$39</x:f>
        <x:v>60026</x:v>
      </x:c>
      <x:c r="B1480" s="14" t="str">
        <x:f>$W$39</x:f>
        <x:v>雪怪BOSS</x:v>
      </x:c>
      <x:c r="C1480" s="6" t="str">
        <x:f>$X$39</x:f>
        <x:v>BOSS</x:v>
      </x:c>
      <x:c r="D1480" s="6">
        <x:v>18</x:v>
      </x:c>
      <x:c r="E1480" s="6">
        <x:v>39</x:v>
      </x:c>
      <x:c r="F1480" s="12">
        <x:f>ROUND(J1480*$W$4*H1480,0)</x:f>
        <x:v>22320</x:v>
      </x:c>
      <x:c r="G1480" s="12">
        <x:f>ROUND(J1480*$W$4*$W$5*I1480,0)</x:f>
        <x:v>1488</x:v>
      </x:c>
      <x:c r="H1480" s="11" t="n">
        <x:f>$Y$39</x:f>
        <x:v>7.5</x:v>
      </x:c>
      <x:c r="I1480" s="11" t="n">
        <x:f>$Z$39</x:f>
        <x:v>6.666666666666667</x:v>
      </x:c>
      <x:c r="J1480" s="12">
        <x:f>英雄升级调参!$E$83</x:f>
        <x:v>744</x:v>
      </x:c>
      <x:c r="K1480" s="12">
        <x:f>英雄升级调参!$F$83</x:f>
        <x:v>7440</x:v>
      </x:c>
      <x:c r="L1480" s="6" t="n">
        <x:f>ROUNDUP(F1480/J1480,0)</x:f>
        <x:v>30</x:v>
      </x:c>
      <x:c r="M1480" s="6" t="n">
        <x:f>IF(G1480=0,"无伤害",ROUNDUP(K1480/MAX(1,ROUND(G1480*$AC$39,0)),0))</x:f>
        <x:v>5</x:v>
      </x:c>
      <x:c r="N1480" s="6">
        <x:f>ROUNDUP(F1480/英雄升级调参!$H$83,0)</x:f>
        <x:v>19</x:v>
      </x:c>
      <x:c r="O1480" s="6">
        <x:f>ROUNDUP(F1480/英雄升级调参!$K$83,0)</x:f>
        <x:v>11</x:v>
      </x:c>
      <x:c r="P1480" s="6" t="str">
        <x:f>$AA$39</x:f>
        <x:v>BOSS：30次标准普攻击杀；5次主要攻击致死</x:v>
      </x:c>
    </x:row>
    <x:row r="1481">
      <x:c r="A1481" s="14" t="n">
        <x:f>$V$39</x:f>
        <x:v>60026</x:v>
      </x:c>
      <x:c r="B1481" s="14" t="str">
        <x:f>$W$39</x:f>
        <x:v>雪怪BOSS</x:v>
      </x:c>
      <x:c r="C1481" s="6" t="str">
        <x:f>$X$39</x:f>
        <x:v>BOSS</x:v>
      </x:c>
      <x:c r="D1481" s="6">
        <x:v>19</x:v>
      </x:c>
      <x:c r="E1481" s="6">
        <x:v>39</x:v>
      </x:c>
      <x:c r="F1481" s="12">
        <x:f>ROUND(J1481*$W$4*H1481,0)</x:f>
        <x:v>23670</x:v>
      </x:c>
      <x:c r="G1481" s="12">
        <x:f>ROUND(J1481*$W$4*$W$5*I1481,0)</x:f>
        <x:v>1578</x:v>
      </x:c>
      <x:c r="H1481" s="11" t="n">
        <x:f>$Y$39</x:f>
        <x:v>7.5</x:v>
      </x:c>
      <x:c r="I1481" s="11" t="n">
        <x:f>$Z$39</x:f>
        <x:v>6.666666666666667</x:v>
      </x:c>
      <x:c r="J1481" s="12">
        <x:f>英雄升级调参!$E$84</x:f>
        <x:v>789</x:v>
      </x:c>
      <x:c r="K1481" s="12">
        <x:f>英雄升级调参!$F$84</x:f>
        <x:v>7890</x:v>
      </x:c>
      <x:c r="L1481" s="6" t="n">
        <x:f>ROUNDUP(F1481/J1481,0)</x:f>
        <x:v>30</x:v>
      </x:c>
      <x:c r="M1481" s="6" t="n">
        <x:f>IF(G1481=0,"无伤害",ROUNDUP(K1481/MAX(1,ROUND(G1481*$AC$39,0)),0))</x:f>
        <x:v>5</x:v>
      </x:c>
      <x:c r="N1481" s="6">
        <x:f>ROUNDUP(F1481/英雄升级调参!$H$84,0)</x:f>
        <x:v>19</x:v>
      </x:c>
      <x:c r="O1481" s="6">
        <x:f>ROUNDUP(F1481/英雄升级调参!$K$84,0)</x:f>
        <x:v>11</x:v>
      </x:c>
      <x:c r="P1481" s="6" t="str">
        <x:f>$AA$39</x:f>
        <x:v>BOSS：30次标准普攻击杀；5次主要攻击致死</x:v>
      </x:c>
    </x:row>
    <x:row r="1482">
      <x:c r="A1482" s="14" t="n">
        <x:f>$V$39</x:f>
        <x:v>60026</x:v>
      </x:c>
      <x:c r="B1482" s="14" t="str">
        <x:f>$W$39</x:f>
        <x:v>雪怪BOSS</x:v>
      </x:c>
      <x:c r="C1482" s="6" t="str">
        <x:f>$X$39</x:f>
        <x:v>BOSS</x:v>
      </x:c>
      <x:c r="D1482" s="6">
        <x:v>20</x:v>
      </x:c>
      <x:c r="E1482" s="6">
        <x:v>39</x:v>
      </x:c>
      <x:c r="F1482" s="12">
        <x:f>ROUND(J1482*$W$4*H1482,0)</x:f>
        <x:v>27720</x:v>
      </x:c>
      <x:c r="G1482" s="12">
        <x:f>ROUND(J1482*$W$4*$W$5*I1482,0)</x:f>
        <x:v>1848</x:v>
      </x:c>
      <x:c r="H1482" s="11" t="n">
        <x:f>$Y$39</x:f>
        <x:v>7.5</x:v>
      </x:c>
      <x:c r="I1482" s="11" t="n">
        <x:f>$Z$39</x:f>
        <x:v>6.666666666666667</x:v>
      </x:c>
      <x:c r="J1482" s="12">
        <x:f>英雄升级调参!$E$85</x:f>
        <x:v>924</x:v>
      </x:c>
      <x:c r="K1482" s="12">
        <x:f>英雄升级调参!$F$85</x:f>
        <x:v>9240</x:v>
      </x:c>
      <x:c r="L1482" s="6" t="n">
        <x:f>ROUNDUP(F1482/J1482,0)</x:f>
        <x:v>30</x:v>
      </x:c>
      <x:c r="M1482" s="6" t="n">
        <x:f>IF(G1482=0,"无伤害",ROUNDUP(K1482/MAX(1,ROUND(G1482*$AC$39,0)),0))</x:f>
        <x:v>5</x:v>
      </x:c>
      <x:c r="N1482" s="6">
        <x:f>ROUNDUP(F1482/英雄升级调参!$H$85,0)</x:f>
        <x:v>19</x:v>
      </x:c>
      <x:c r="O1482" s="6">
        <x:f>ROUNDUP(F1482/英雄升级调参!$K$85,0)</x:f>
        <x:v>11</x:v>
      </x:c>
      <x:c r="P1482" s="6" t="str">
        <x:f>$AA$39</x:f>
        <x:v>BOSS：30次标准普攻击杀；5次主要攻击致死</x:v>
      </x:c>
    </x:row>
    <x:row r="1483">
      <x:c r="A1483" s="14" t="n">
        <x:f>$V$39</x:f>
        <x:v>60026</x:v>
      </x:c>
      <x:c r="B1483" s="14" t="str">
        <x:f>$W$39</x:f>
        <x:v>雪怪BOSS</x:v>
      </x:c>
      <x:c r="C1483" s="6" t="str">
        <x:f>$X$39</x:f>
        <x:v>BOSS</x:v>
      </x:c>
      <x:c r="D1483" s="6">
        <x:v>21</x:v>
      </x:c>
      <x:c r="E1483" s="6">
        <x:v>39</x:v>
      </x:c>
      <x:c r="F1483" s="12">
        <x:f>ROUND(J1483*$W$4*H1483,0)</x:f>
        <x:v>29340</x:v>
      </x:c>
      <x:c r="G1483" s="12">
        <x:f>ROUND(J1483*$W$4*$W$5*I1483,0)</x:f>
        <x:v>1956</x:v>
      </x:c>
      <x:c r="H1483" s="11" t="n">
        <x:f>$Y$39</x:f>
        <x:v>7.5</x:v>
      </x:c>
      <x:c r="I1483" s="11" t="n">
        <x:f>$Z$39</x:f>
        <x:v>6.666666666666667</x:v>
      </x:c>
      <x:c r="J1483" s="12">
        <x:f>英雄升级调参!$E$86</x:f>
        <x:v>978</x:v>
      </x:c>
      <x:c r="K1483" s="12">
        <x:f>英雄升级调参!$F$86</x:f>
        <x:v>9780</x:v>
      </x:c>
      <x:c r="L1483" s="6" t="n">
        <x:f>ROUNDUP(F1483/J1483,0)</x:f>
        <x:v>30</x:v>
      </x:c>
      <x:c r="M1483" s="6" t="n">
        <x:f>IF(G1483=0,"无伤害",ROUNDUP(K1483/MAX(1,ROUND(G1483*$AC$39,0)),0))</x:f>
        <x:v>5</x:v>
      </x:c>
      <x:c r="N1483" s="6">
        <x:f>ROUNDUP(F1483/英雄升级调参!$H$86,0)</x:f>
        <x:v>19</x:v>
      </x:c>
      <x:c r="O1483" s="6">
        <x:f>ROUNDUP(F1483/英雄升级调参!$K$86,0)</x:f>
        <x:v>12</x:v>
      </x:c>
      <x:c r="P1483" s="6" t="str">
        <x:f>$AA$39</x:f>
        <x:v>BOSS：30次标准普攻击杀；5次主要攻击致死</x:v>
      </x:c>
    </x:row>
    <x:row r="1484">
      <x:c r="A1484" s="14" t="n">
        <x:f>$V$39</x:f>
        <x:v>60026</x:v>
      </x:c>
      <x:c r="B1484" s="14" t="str">
        <x:f>$W$39</x:f>
        <x:v>雪怪BOSS</x:v>
      </x:c>
      <x:c r="C1484" s="6" t="str">
        <x:f>$X$39</x:f>
        <x:v>BOSS</x:v>
      </x:c>
      <x:c r="D1484" s="6">
        <x:v>22</x:v>
      </x:c>
      <x:c r="E1484" s="6">
        <x:v>39</x:v>
      </x:c>
      <x:c r="F1484" s="12">
        <x:f>ROUND(J1484*$W$4*H1484,0)</x:f>
        <x:v>30960</x:v>
      </x:c>
      <x:c r="G1484" s="12">
        <x:f>ROUND(J1484*$W$4*$W$5*I1484,0)</x:f>
        <x:v>2064</x:v>
      </x:c>
      <x:c r="H1484" s="11" t="n">
        <x:f>$Y$39</x:f>
        <x:v>7.5</x:v>
      </x:c>
      <x:c r="I1484" s="11" t="n">
        <x:f>$Z$39</x:f>
        <x:v>6.666666666666667</x:v>
      </x:c>
      <x:c r="J1484" s="12">
        <x:f>英雄升级调参!$E$87</x:f>
        <x:v>1032</x:v>
      </x:c>
      <x:c r="K1484" s="12">
        <x:f>英雄升级调参!$F$87</x:f>
        <x:v>10320</x:v>
      </x:c>
      <x:c r="L1484" s="6" t="n">
        <x:f>ROUNDUP(F1484/J1484,0)</x:f>
        <x:v>30</x:v>
      </x:c>
      <x:c r="M1484" s="6" t="n">
        <x:f>IF(G1484=0,"无伤害",ROUNDUP(K1484/MAX(1,ROUND(G1484*$AC$39,0)),0))</x:f>
        <x:v>5</x:v>
      </x:c>
      <x:c r="N1484" s="6">
        <x:f>ROUNDUP(F1484/英雄升级调参!$H$87,0)</x:f>
        <x:v>19</x:v>
      </x:c>
      <x:c r="O1484" s="6">
        <x:f>ROUNDUP(F1484/英雄升级调参!$K$87,0)</x:f>
        <x:v>12</x:v>
      </x:c>
      <x:c r="P1484" s="6" t="str">
        <x:f>$AA$39</x:f>
        <x:v>BOSS：30次标准普攻击杀；5次主要攻击致死</x:v>
      </x:c>
    </x:row>
    <x:row r="1485">
      <x:c r="A1485" s="14" t="n">
        <x:f>$V$39</x:f>
        <x:v>60026</x:v>
      </x:c>
      <x:c r="B1485" s="14" t="str">
        <x:f>$W$39</x:f>
        <x:v>雪怪BOSS</x:v>
      </x:c>
      <x:c r="C1485" s="6" t="str">
        <x:f>$X$39</x:f>
        <x:v>BOSS</x:v>
      </x:c>
      <x:c r="D1485" s="6">
        <x:v>23</x:v>
      </x:c>
      <x:c r="E1485" s="6">
        <x:v>39</x:v>
      </x:c>
      <x:c r="F1485" s="12">
        <x:f>ROUND(J1485*$W$4*H1485,0)</x:f>
        <x:v>32580</x:v>
      </x:c>
      <x:c r="G1485" s="12">
        <x:f>ROUND(J1485*$W$4*$W$5*I1485,0)</x:f>
        <x:v>2172</x:v>
      </x:c>
      <x:c r="H1485" s="11" t="n">
        <x:f>$Y$39</x:f>
        <x:v>7.5</x:v>
      </x:c>
      <x:c r="I1485" s="11" t="n">
        <x:f>$Z$39</x:f>
        <x:v>6.666666666666667</x:v>
      </x:c>
      <x:c r="J1485" s="12">
        <x:f>英雄升级调参!$E$88</x:f>
        <x:v>1086</x:v>
      </x:c>
      <x:c r="K1485" s="12">
        <x:f>英雄升级调参!$F$88</x:f>
        <x:v>10860</x:v>
      </x:c>
      <x:c r="L1485" s="6" t="n">
        <x:f>ROUNDUP(F1485/J1485,0)</x:f>
        <x:v>30</x:v>
      </x:c>
      <x:c r="M1485" s="6" t="n">
        <x:f>IF(G1485=0,"无伤害",ROUNDUP(K1485/MAX(1,ROUND(G1485*$AC$39,0)),0))</x:f>
        <x:v>5</x:v>
      </x:c>
      <x:c r="N1485" s="6">
        <x:f>ROUNDUP(F1485/英雄升级调参!$H$88,0)</x:f>
        <x:v>19</x:v>
      </x:c>
      <x:c r="O1485" s="6">
        <x:f>ROUNDUP(F1485/英雄升级调参!$K$88,0)</x:f>
        <x:v>12</x:v>
      </x:c>
      <x:c r="P1485" s="6" t="str">
        <x:f>$AA$39</x:f>
        <x:v>BOSS：30次标准普攻击杀；5次主要攻击致死</x:v>
      </x:c>
    </x:row>
    <x:row r="1486">
      <x:c r="A1486" s="14" t="n">
        <x:f>$V$39</x:f>
        <x:v>60026</x:v>
      </x:c>
      <x:c r="B1486" s="14" t="str">
        <x:f>$W$39</x:f>
        <x:v>雪怪BOSS</x:v>
      </x:c>
      <x:c r="C1486" s="6" t="str">
        <x:f>$X$39</x:f>
        <x:v>BOSS</x:v>
      </x:c>
      <x:c r="D1486" s="6">
        <x:v>24</x:v>
      </x:c>
      <x:c r="E1486" s="6">
        <x:v>39</x:v>
      </x:c>
      <x:c r="F1486" s="12">
        <x:f>ROUND(J1486*$W$4*H1486,0)</x:f>
        <x:v>34200</x:v>
      </x:c>
      <x:c r="G1486" s="12">
        <x:f>ROUND(J1486*$W$4*$W$5*I1486,0)</x:f>
        <x:v>2280</x:v>
      </x:c>
      <x:c r="H1486" s="11" t="n">
        <x:f>$Y$39</x:f>
        <x:v>7.5</x:v>
      </x:c>
      <x:c r="I1486" s="11" t="n">
        <x:f>$Z$39</x:f>
        <x:v>6.666666666666667</x:v>
      </x:c>
      <x:c r="J1486" s="12">
        <x:f>英雄升级调参!$E$89</x:f>
        <x:v>1140</x:v>
      </x:c>
      <x:c r="K1486" s="12">
        <x:f>英雄升级调参!$F$89</x:f>
        <x:v>11400</x:v>
      </x:c>
      <x:c r="L1486" s="6" t="n">
        <x:f>ROUNDUP(F1486/J1486,0)</x:f>
        <x:v>30</x:v>
      </x:c>
      <x:c r="M1486" s="6" t="n">
        <x:f>IF(G1486=0,"无伤害",ROUNDUP(K1486/MAX(1,ROUND(G1486*$AC$39,0)),0))</x:f>
        <x:v>5</x:v>
      </x:c>
      <x:c r="N1486" s="6">
        <x:f>ROUNDUP(F1486/英雄升级调参!$H$89,0)</x:f>
        <x:v>19</x:v>
      </x:c>
      <x:c r="O1486" s="6">
        <x:f>ROUNDUP(F1486/英雄升级调参!$K$89,0)</x:f>
        <x:v>12</x:v>
      </x:c>
      <x:c r="P1486" s="6" t="str">
        <x:f>$AA$39</x:f>
        <x:v>BOSS：30次标准普攻击杀；5次主要攻击致死</x:v>
      </x:c>
    </x:row>
    <x:row r="1487">
      <x:c r="A1487" s="14" t="n">
        <x:f>$V$39</x:f>
        <x:v>60026</x:v>
      </x:c>
      <x:c r="B1487" s="14" t="str">
        <x:f>$W$39</x:f>
        <x:v>雪怪BOSS</x:v>
      </x:c>
      <x:c r="C1487" s="6" t="str">
        <x:f>$X$39</x:f>
        <x:v>BOSS</x:v>
      </x:c>
      <x:c r="D1487" s="6">
        <x:v>25</x:v>
      </x:c>
      <x:c r="E1487" s="6">
        <x:v>39</x:v>
      </x:c>
      <x:c r="F1487" s="12">
        <x:f>ROUND(J1487*$W$4*H1487,0)</x:f>
        <x:v>39060</x:v>
      </x:c>
      <x:c r="G1487" s="12">
        <x:f>ROUND(J1487*$W$4*$W$5*I1487,0)</x:f>
        <x:v>2604</x:v>
      </x:c>
      <x:c r="H1487" s="11" t="n">
        <x:f>$Y$39</x:f>
        <x:v>7.5</x:v>
      </x:c>
      <x:c r="I1487" s="11" t="n">
        <x:f>$Z$39</x:f>
        <x:v>6.666666666666667</x:v>
      </x:c>
      <x:c r="J1487" s="12">
        <x:f>英雄升级调参!$E$90</x:f>
        <x:v>1302</x:v>
      </x:c>
      <x:c r="K1487" s="12">
        <x:f>英雄升级调参!$F$90</x:f>
        <x:v>13020</x:v>
      </x:c>
      <x:c r="L1487" s="6" t="n">
        <x:f>ROUNDUP(F1487/J1487,0)</x:f>
        <x:v>30</x:v>
      </x:c>
      <x:c r="M1487" s="6" t="n">
        <x:f>IF(G1487=0,"无伤害",ROUNDUP(K1487/MAX(1,ROUND(G1487*$AC$39,0)),0))</x:f>
        <x:v>5</x:v>
      </x:c>
      <x:c r="N1487" s="6">
        <x:f>ROUNDUP(F1487/英雄升级调参!$H$90,0)</x:f>
        <x:v>19</x:v>
      </x:c>
      <x:c r="O1487" s="6">
        <x:f>ROUNDUP(F1487/英雄升级调参!$K$90,0)</x:f>
        <x:v>12</x:v>
      </x:c>
      <x:c r="P1487" s="6" t="str">
        <x:f>$AA$39</x:f>
        <x:v>BOSS：30次标准普攻击杀；5次主要攻击致死</x:v>
      </x:c>
    </x:row>
    <x:row r="1488">
      <x:c r="A1488" s="14" t="n">
        <x:f>$V$39</x:f>
        <x:v>60026</x:v>
      </x:c>
      <x:c r="B1488" s="14" t="str">
        <x:f>$W$39</x:f>
        <x:v>雪怪BOSS</x:v>
      </x:c>
      <x:c r="C1488" s="6" t="str">
        <x:f>$X$39</x:f>
        <x:v>BOSS</x:v>
      </x:c>
      <x:c r="D1488" s="6">
        <x:v>26</x:v>
      </x:c>
      <x:c r="E1488" s="6">
        <x:v>39</x:v>
      </x:c>
      <x:c r="F1488" s="12">
        <x:f>ROUND(J1488*$W$4*H1488,0)</x:f>
        <x:v>40950</x:v>
      </x:c>
      <x:c r="G1488" s="12">
        <x:f>ROUND(J1488*$W$4*$W$5*I1488,0)</x:f>
        <x:v>2730</x:v>
      </x:c>
      <x:c r="H1488" s="11" t="n">
        <x:f>$Y$39</x:f>
        <x:v>7.5</x:v>
      </x:c>
      <x:c r="I1488" s="11" t="n">
        <x:f>$Z$39</x:f>
        <x:v>6.666666666666667</x:v>
      </x:c>
      <x:c r="J1488" s="12">
        <x:f>英雄升级调参!$E$91</x:f>
        <x:v>1365</x:v>
      </x:c>
      <x:c r="K1488" s="12">
        <x:f>英雄升级调参!$F$91</x:f>
        <x:v>13650</x:v>
      </x:c>
      <x:c r="L1488" s="6" t="n">
        <x:f>ROUNDUP(F1488/J1488,0)</x:f>
        <x:v>30</x:v>
      </x:c>
      <x:c r="M1488" s="6" t="n">
        <x:f>IF(G1488=0,"无伤害",ROUNDUP(K1488/MAX(1,ROUND(G1488*$AC$39,0)),0))</x:f>
        <x:v>5</x:v>
      </x:c>
      <x:c r="N1488" s="6">
        <x:f>ROUNDUP(F1488/英雄升级调参!$H$91,0)</x:f>
        <x:v>19</x:v>
      </x:c>
      <x:c r="O1488" s="6">
        <x:f>ROUNDUP(F1488/英雄升级调参!$K$91,0)</x:f>
        <x:v>12</x:v>
      </x:c>
      <x:c r="P1488" s="6" t="str">
        <x:f>$AA$39</x:f>
        <x:v>BOSS：30次标准普攻击杀；5次主要攻击致死</x:v>
      </x:c>
    </x:row>
    <x:row r="1489">
      <x:c r="A1489" s="14" t="n">
        <x:f>$V$39</x:f>
        <x:v>60026</x:v>
      </x:c>
      <x:c r="B1489" s="14" t="str">
        <x:f>$W$39</x:f>
        <x:v>雪怪BOSS</x:v>
      </x:c>
      <x:c r="C1489" s="6" t="str">
        <x:f>$X$39</x:f>
        <x:v>BOSS</x:v>
      </x:c>
      <x:c r="D1489" s="6">
        <x:v>27</x:v>
      </x:c>
      <x:c r="E1489" s="6">
        <x:v>39</x:v>
      </x:c>
      <x:c r="F1489" s="12">
        <x:f>ROUND(J1489*$W$4*H1489,0)</x:f>
        <x:v>42840</x:v>
      </x:c>
      <x:c r="G1489" s="12">
        <x:f>ROUND(J1489*$W$4*$W$5*I1489,0)</x:f>
        <x:v>2856</x:v>
      </x:c>
      <x:c r="H1489" s="11" t="n">
        <x:f>$Y$39</x:f>
        <x:v>7.5</x:v>
      </x:c>
      <x:c r="I1489" s="11" t="n">
        <x:f>$Z$39</x:f>
        <x:v>6.666666666666667</x:v>
      </x:c>
      <x:c r="J1489" s="12">
        <x:f>英雄升级调参!$E$92</x:f>
        <x:v>1428</x:v>
      </x:c>
      <x:c r="K1489" s="12">
        <x:f>英雄升级调参!$F$92</x:f>
        <x:v>14280</x:v>
      </x:c>
      <x:c r="L1489" s="6" t="n">
        <x:f>ROUNDUP(F1489/J1489,0)</x:f>
        <x:v>30</x:v>
      </x:c>
      <x:c r="M1489" s="6" t="n">
        <x:f>IF(G1489=0,"无伤害",ROUNDUP(K1489/MAX(1,ROUND(G1489*$AC$39,0)),0))</x:f>
        <x:v>5</x:v>
      </x:c>
      <x:c r="N1489" s="6">
        <x:f>ROUNDUP(F1489/英雄升级调参!$H$92,0)</x:f>
        <x:v>19</x:v>
      </x:c>
      <x:c r="O1489" s="6">
        <x:f>ROUNDUP(F1489/英雄升级调参!$K$92,0)</x:f>
        <x:v>12</x:v>
      </x:c>
      <x:c r="P1489" s="6" t="str">
        <x:f>$AA$39</x:f>
        <x:v>BOSS：30次标准普攻击杀；5次主要攻击致死</x:v>
      </x:c>
    </x:row>
    <x:row r="1490">
      <x:c r="A1490" s="14" t="n">
        <x:f>$V$39</x:f>
        <x:v>60026</x:v>
      </x:c>
      <x:c r="B1490" s="14" t="str">
        <x:f>$W$39</x:f>
        <x:v>雪怪BOSS</x:v>
      </x:c>
      <x:c r="C1490" s="6" t="str">
        <x:f>$X$39</x:f>
        <x:v>BOSS</x:v>
      </x:c>
      <x:c r="D1490" s="6">
        <x:v>28</x:v>
      </x:c>
      <x:c r="E1490" s="6">
        <x:v>39</x:v>
      </x:c>
      <x:c r="F1490" s="12">
        <x:f>ROUND(J1490*$W$4*H1490,0)</x:f>
        <x:v>44730</x:v>
      </x:c>
      <x:c r="G1490" s="12">
        <x:f>ROUND(J1490*$W$4*$W$5*I1490,0)</x:f>
        <x:v>2982</x:v>
      </x:c>
      <x:c r="H1490" s="11" t="n">
        <x:f>$Y$39</x:f>
        <x:v>7.5</x:v>
      </x:c>
      <x:c r="I1490" s="11" t="n">
        <x:f>$Z$39</x:f>
        <x:v>6.666666666666667</x:v>
      </x:c>
      <x:c r="J1490" s="12">
        <x:f>英雄升级调参!$E$93</x:f>
        <x:v>1491</x:v>
      </x:c>
      <x:c r="K1490" s="12">
        <x:f>英雄升级调参!$F$93</x:f>
        <x:v>14910</x:v>
      </x:c>
      <x:c r="L1490" s="6" t="n">
        <x:f>ROUNDUP(F1490/J1490,0)</x:f>
        <x:v>30</x:v>
      </x:c>
      <x:c r="M1490" s="6" t="n">
        <x:f>IF(G1490=0,"无伤害",ROUNDUP(K1490/MAX(1,ROUND(G1490*$AC$39,0)),0))</x:f>
        <x:v>5</x:v>
      </x:c>
      <x:c r="N1490" s="6" t="n">
        <x:f>ROUNDUP(F1490/英雄升级调参!$H$93,0)</x:f>
        <x:v>20</x:v>
      </x:c>
      <x:c r="O1490" s="6">
        <x:f>ROUNDUP(F1490/英雄升级调参!$K$93,0)</x:f>
        <x:v>12</x:v>
      </x:c>
      <x:c r="P1490" s="6" t="str">
        <x:f>$AA$39</x:f>
        <x:v>BOSS：30次标准普攻击杀；5次主要攻击致死</x:v>
      </x:c>
    </x:row>
    <x:row r="1491">
      <x:c r="A1491" s="14" t="n">
        <x:f>$V$39</x:f>
        <x:v>60026</x:v>
      </x:c>
      <x:c r="B1491" s="14" t="str">
        <x:f>$W$39</x:f>
        <x:v>雪怪BOSS</x:v>
      </x:c>
      <x:c r="C1491" s="6" t="str">
        <x:f>$X$39</x:f>
        <x:v>BOSS</x:v>
      </x:c>
      <x:c r="D1491" s="6">
        <x:v>29</x:v>
      </x:c>
      <x:c r="E1491" s="6">
        <x:v>39</x:v>
      </x:c>
      <x:c r="F1491" s="12">
        <x:f>ROUND(J1491*$W$4*H1491,0)</x:f>
        <x:v>46620</x:v>
      </x:c>
      <x:c r="G1491" s="12">
        <x:f>ROUND(J1491*$W$4*$W$5*I1491,0)</x:f>
        <x:v>3108</x:v>
      </x:c>
      <x:c r="H1491" s="11" t="n">
        <x:f>$Y$39</x:f>
        <x:v>7.5</x:v>
      </x:c>
      <x:c r="I1491" s="11" t="n">
        <x:f>$Z$39</x:f>
        <x:v>6.666666666666667</x:v>
      </x:c>
      <x:c r="J1491" s="12">
        <x:f>英雄升级调参!$E$94</x:f>
        <x:v>1554</x:v>
      </x:c>
      <x:c r="K1491" s="12">
        <x:f>英雄升级调参!$F$94</x:f>
        <x:v>15540</x:v>
      </x:c>
      <x:c r="L1491" s="6" t="n">
        <x:f>ROUNDUP(F1491/J1491,0)</x:f>
        <x:v>30</x:v>
      </x:c>
      <x:c r="M1491" s="6" t="n">
        <x:f>IF(G1491=0,"无伤害",ROUNDUP(K1491/MAX(1,ROUND(G1491*$AC$39,0)),0))</x:f>
        <x:v>5</x:v>
      </x:c>
      <x:c r="N1491" s="6" t="n">
        <x:f>ROUNDUP(F1491/英雄升级调参!$H$94,0)</x:f>
        <x:v>20</x:v>
      </x:c>
      <x:c r="O1491" s="6">
        <x:f>ROUNDUP(F1491/英雄升级调参!$K$94,0)</x:f>
        <x:v>12</x:v>
      </x:c>
      <x:c r="P1491" s="6" t="str">
        <x:f>$AA$39</x:f>
        <x:v>BOSS：30次标准普攻击杀；5次主要攻击致死</x:v>
      </x:c>
    </x:row>
    <x:row r="1492">
      <x:c r="A1492" s="14" t="n">
        <x:f>$V$39</x:f>
        <x:v>60026</x:v>
      </x:c>
      <x:c r="B1492" s="14" t="str">
        <x:f>$W$39</x:f>
        <x:v>雪怪BOSS</x:v>
      </x:c>
      <x:c r="C1492" s="6" t="str">
        <x:f>$X$39</x:f>
        <x:v>BOSS</x:v>
      </x:c>
      <x:c r="D1492" s="6">
        <x:v>30</x:v>
      </x:c>
      <x:c r="E1492" s="6">
        <x:v>39</x:v>
      </x:c>
      <x:c r="F1492" s="12">
        <x:f>ROUND(J1492*$W$4*H1492,0)</x:f>
        <x:v>52290</x:v>
      </x:c>
      <x:c r="G1492" s="12">
        <x:f>ROUND(J1492*$W$4*$W$5*I1492,0)</x:f>
        <x:v>3486</x:v>
      </x:c>
      <x:c r="H1492" s="11" t="n">
        <x:f>$Y$39</x:f>
        <x:v>7.5</x:v>
      </x:c>
      <x:c r="I1492" s="11" t="n">
        <x:f>$Z$39</x:f>
        <x:v>6.666666666666667</x:v>
      </x:c>
      <x:c r="J1492" s="12">
        <x:f>英雄升级调参!$E$95</x:f>
        <x:v>1743</x:v>
      </x:c>
      <x:c r="K1492" s="12">
        <x:f>英雄升级调参!$F$95</x:f>
        <x:v>17430</x:v>
      </x:c>
      <x:c r="L1492" s="6" t="n">
        <x:f>ROUNDUP(F1492/J1492,0)</x:f>
        <x:v>30</x:v>
      </x:c>
      <x:c r="M1492" s="6" t="n">
        <x:f>IF(G1492=0,"无伤害",ROUNDUP(K1492/MAX(1,ROUND(G1492*$AC$39,0)),0))</x:f>
        <x:v>5</x:v>
      </x:c>
      <x:c r="N1492" s="6" t="n">
        <x:f>ROUNDUP(F1492/英雄升级调参!$H$95,0)</x:f>
        <x:v>20</x:v>
      </x:c>
      <x:c r="O1492" s="6">
        <x:f>ROUNDUP(F1492/英雄升级调参!$K$95,0)</x:f>
        <x:v>12</x:v>
      </x:c>
      <x:c r="P1492" s="6" t="str">
        <x:f>$AA$39</x:f>
        <x:v>BOSS：30次标准普攻击杀；5次主要攻击致死</x:v>
      </x:c>
    </x:row>
    <x:row r="1493">
      <x:c r="A1493" s="14" t="n">
        <x:f>$V$39</x:f>
        <x:v>60026</x:v>
      </x:c>
      <x:c r="B1493" s="14" t="str">
        <x:f>$W$39</x:f>
        <x:v>雪怪BOSS</x:v>
      </x:c>
      <x:c r="C1493" s="6" t="str">
        <x:f>$X$39</x:f>
        <x:v>BOSS</x:v>
      </x:c>
      <x:c r="D1493" s="6">
        <x:v>31</x:v>
      </x:c>
      <x:c r="E1493" s="6">
        <x:v>39</x:v>
      </x:c>
      <x:c r="F1493" s="12">
        <x:f>ROUND(J1493*$W$4*H1493,0)</x:f>
        <x:v>54450</x:v>
      </x:c>
      <x:c r="G1493" s="12">
        <x:f>ROUND(J1493*$W$4*$W$5*I1493,0)</x:f>
        <x:v>3630</x:v>
      </x:c>
      <x:c r="H1493" s="11" t="n">
        <x:f>$Y$39</x:f>
        <x:v>7.5</x:v>
      </x:c>
      <x:c r="I1493" s="11" t="n">
        <x:f>$Z$39</x:f>
        <x:v>6.666666666666667</x:v>
      </x:c>
      <x:c r="J1493" s="12">
        <x:f>英雄升级调参!$E$96</x:f>
        <x:v>1815</x:v>
      </x:c>
      <x:c r="K1493" s="12">
        <x:f>英雄升级调参!$F$96</x:f>
        <x:v>18150</x:v>
      </x:c>
      <x:c r="L1493" s="6" t="n">
        <x:f>ROUNDUP(F1493/J1493,0)</x:f>
        <x:v>30</x:v>
      </x:c>
      <x:c r="M1493" s="6" t="n">
        <x:f>IF(G1493=0,"无伤害",ROUNDUP(K1493/MAX(1,ROUND(G1493*$AC$39,0)),0))</x:f>
        <x:v>5</x:v>
      </x:c>
      <x:c r="N1493" s="6" t="n">
        <x:f>ROUNDUP(F1493/英雄升级调参!$H$96,0)</x:f>
        <x:v>20</x:v>
      </x:c>
      <x:c r="O1493" s="6">
        <x:f>ROUNDUP(F1493/英雄升级调参!$K$96,0)</x:f>
        <x:v>12</x:v>
      </x:c>
      <x:c r="P1493" s="6" t="str">
        <x:f>$AA$39</x:f>
        <x:v>BOSS：30次标准普攻击杀；5次主要攻击致死</x:v>
      </x:c>
    </x:row>
    <x:row r="1494">
      <x:c r="A1494" s="14" t="n">
        <x:f>$V$39</x:f>
        <x:v>60026</x:v>
      </x:c>
      <x:c r="B1494" s="14" t="str">
        <x:f>$W$39</x:f>
        <x:v>雪怪BOSS</x:v>
      </x:c>
      <x:c r="C1494" s="6" t="str">
        <x:f>$X$39</x:f>
        <x:v>BOSS</x:v>
      </x:c>
      <x:c r="D1494" s="6">
        <x:v>32</x:v>
      </x:c>
      <x:c r="E1494" s="6">
        <x:v>39</x:v>
      </x:c>
      <x:c r="F1494" s="12">
        <x:f>ROUND(J1494*$W$4*H1494,0)</x:f>
        <x:v>56610</x:v>
      </x:c>
      <x:c r="G1494" s="12">
        <x:f>ROUND(J1494*$W$4*$W$5*I1494,0)</x:f>
        <x:v>3774</x:v>
      </x:c>
      <x:c r="H1494" s="11" t="n">
        <x:f>$Y$39</x:f>
        <x:v>7.5</x:v>
      </x:c>
      <x:c r="I1494" s="11" t="n">
        <x:f>$Z$39</x:f>
        <x:v>6.666666666666667</x:v>
      </x:c>
      <x:c r="J1494" s="12">
        <x:f>英雄升级调参!$E$97</x:f>
        <x:v>1887</x:v>
      </x:c>
      <x:c r="K1494" s="12">
        <x:f>英雄升级调参!$F$97</x:f>
        <x:v>18870</x:v>
      </x:c>
      <x:c r="L1494" s="6" t="n">
        <x:f>ROUNDUP(F1494/J1494,0)</x:f>
        <x:v>30</x:v>
      </x:c>
      <x:c r="M1494" s="6" t="n">
        <x:f>IF(G1494=0,"无伤害",ROUNDUP(K1494/MAX(1,ROUND(G1494*$AC$39,0)),0))</x:f>
        <x:v>5</x:v>
      </x:c>
      <x:c r="N1494" s="6" t="n">
        <x:f>ROUNDUP(F1494/英雄升级调参!$H$97,0)</x:f>
        <x:v>20</x:v>
      </x:c>
      <x:c r="O1494" s="6">
        <x:f>ROUNDUP(F1494/英雄升级调参!$K$97,0)</x:f>
        <x:v>12</x:v>
      </x:c>
      <x:c r="P1494" s="6" t="str">
        <x:f>$AA$39</x:f>
        <x:v>BOSS：30次标准普攻击杀；5次主要攻击致死</x:v>
      </x:c>
    </x:row>
    <x:row r="1495">
      <x:c r="A1495" s="14" t="n">
        <x:f>$V$39</x:f>
        <x:v>60026</x:v>
      </x:c>
      <x:c r="B1495" s="14" t="str">
        <x:f>$W$39</x:f>
        <x:v>雪怪BOSS</x:v>
      </x:c>
      <x:c r="C1495" s="6" t="str">
        <x:f>$X$39</x:f>
        <x:v>BOSS</x:v>
      </x:c>
      <x:c r="D1495" s="6">
        <x:v>33</x:v>
      </x:c>
      <x:c r="E1495" s="6">
        <x:v>39</x:v>
      </x:c>
      <x:c r="F1495" s="12">
        <x:f>ROUND(J1495*$W$4*H1495,0)</x:f>
        <x:v>58770</x:v>
      </x:c>
      <x:c r="G1495" s="12">
        <x:f>ROUND(J1495*$W$4*$W$5*I1495,0)</x:f>
        <x:v>3918</x:v>
      </x:c>
      <x:c r="H1495" s="11" t="n">
        <x:f>$Y$39</x:f>
        <x:v>7.5</x:v>
      </x:c>
      <x:c r="I1495" s="11" t="n">
        <x:f>$Z$39</x:f>
        <x:v>6.666666666666667</x:v>
      </x:c>
      <x:c r="J1495" s="12">
        <x:f>英雄升级调参!$E$98</x:f>
        <x:v>1959</x:v>
      </x:c>
      <x:c r="K1495" s="12">
        <x:f>英雄升级调参!$F$98</x:f>
        <x:v>19590</x:v>
      </x:c>
      <x:c r="L1495" s="6" t="n">
        <x:f>ROUNDUP(F1495/J1495,0)</x:f>
        <x:v>30</x:v>
      </x:c>
      <x:c r="M1495" s="6" t="n">
        <x:f>IF(G1495=0,"无伤害",ROUNDUP(K1495/MAX(1,ROUND(G1495*$AC$39,0)),0))</x:f>
        <x:v>5</x:v>
      </x:c>
      <x:c r="N1495" s="6" t="n">
        <x:f>ROUNDUP(F1495/英雄升级调参!$H$98,0)</x:f>
        <x:v>20</x:v>
      </x:c>
      <x:c r="O1495" s="6">
        <x:f>ROUNDUP(F1495/英雄升级调参!$K$98,0)</x:f>
        <x:v>12</x:v>
      </x:c>
      <x:c r="P1495" s="6" t="str">
        <x:f>$AA$39</x:f>
        <x:v>BOSS：30次标准普攻击杀；5次主要攻击致死</x:v>
      </x:c>
    </x:row>
    <x:row r="1496">
      <x:c r="A1496" s="14" t="n">
        <x:f>$V$39</x:f>
        <x:v>60026</x:v>
      </x:c>
      <x:c r="B1496" s="14" t="str">
        <x:f>$W$39</x:f>
        <x:v>雪怪BOSS</x:v>
      </x:c>
      <x:c r="C1496" s="6" t="str">
        <x:f>$X$39</x:f>
        <x:v>BOSS</x:v>
      </x:c>
      <x:c r="D1496" s="6">
        <x:v>34</x:v>
      </x:c>
      <x:c r="E1496" s="6">
        <x:v>39</x:v>
      </x:c>
      <x:c r="F1496" s="12">
        <x:f>ROUND(J1496*$W$4*H1496,0)</x:f>
        <x:v>60930</x:v>
      </x:c>
      <x:c r="G1496" s="12">
        <x:f>ROUND(J1496*$W$4*$W$5*I1496,0)</x:f>
        <x:v>4062</x:v>
      </x:c>
      <x:c r="H1496" s="11" t="n">
        <x:f>$Y$39</x:f>
        <x:v>7.5</x:v>
      </x:c>
      <x:c r="I1496" s="11" t="n">
        <x:f>$Z$39</x:f>
        <x:v>6.666666666666667</x:v>
      </x:c>
      <x:c r="J1496" s="12">
        <x:f>英雄升级调参!$E$99</x:f>
        <x:v>2031</x:v>
      </x:c>
      <x:c r="K1496" s="12">
        <x:f>英雄升级调参!$F$99</x:f>
        <x:v>20310</x:v>
      </x:c>
      <x:c r="L1496" s="6" t="n">
        <x:f>ROUNDUP(F1496/J1496,0)</x:f>
        <x:v>30</x:v>
      </x:c>
      <x:c r="M1496" s="6" t="n">
        <x:f>IF(G1496=0,"无伤害",ROUNDUP(K1496/MAX(1,ROUND(G1496*$AC$39,0)),0))</x:f>
        <x:v>5</x:v>
      </x:c>
      <x:c r="N1496" s="6" t="n">
        <x:f>ROUNDUP(F1496/英雄升级调参!$H$99,0)</x:f>
        <x:v>20</x:v>
      </x:c>
      <x:c r="O1496" s="6">
        <x:f>ROUNDUP(F1496/英雄升级调参!$K$99,0)</x:f>
        <x:v>12</x:v>
      </x:c>
      <x:c r="P1496" s="6" t="str">
        <x:f>$AA$39</x:f>
        <x:v>BOSS：30次标准普攻击杀；5次主要攻击致死</x:v>
      </x:c>
    </x:row>
    <x:row r="1497">
      <x:c r="A1497" s="14" t="n">
        <x:f>$V$39</x:f>
        <x:v>60026</x:v>
      </x:c>
      <x:c r="B1497" s="14" t="str">
        <x:f>$W$39</x:f>
        <x:v>雪怪BOSS</x:v>
      </x:c>
      <x:c r="C1497" s="6" t="str">
        <x:f>$X$39</x:f>
        <x:v>BOSS</x:v>
      </x:c>
      <x:c r="D1497" s="6">
        <x:v>35</x:v>
      </x:c>
      <x:c r="E1497" s="6">
        <x:v>39</x:v>
      </x:c>
      <x:c r="F1497" s="12">
        <x:f>ROUND(J1497*$W$4*H1497,0)</x:f>
        <x:v>67410</x:v>
      </x:c>
      <x:c r="G1497" s="12">
        <x:f>ROUND(J1497*$W$4*$W$5*I1497,0)</x:f>
        <x:v>4494</x:v>
      </x:c>
      <x:c r="H1497" s="11" t="n">
        <x:f>$Y$39</x:f>
        <x:v>7.5</x:v>
      </x:c>
      <x:c r="I1497" s="11" t="n">
        <x:f>$Z$39</x:f>
        <x:v>6.666666666666667</x:v>
      </x:c>
      <x:c r="J1497" s="12">
        <x:f>英雄升级调参!$E$100</x:f>
        <x:v>2247</x:v>
      </x:c>
      <x:c r="K1497" s="12">
        <x:f>英雄升级调参!$F$100</x:f>
        <x:v>22470</x:v>
      </x:c>
      <x:c r="L1497" s="6" t="n">
        <x:f>ROUNDUP(F1497/J1497,0)</x:f>
        <x:v>30</x:v>
      </x:c>
      <x:c r="M1497" s="6" t="n">
        <x:f>IF(G1497=0,"无伤害",ROUNDUP(K1497/MAX(1,ROUND(G1497*$AC$39,0)),0))</x:f>
        <x:v>5</x:v>
      </x:c>
      <x:c r="N1497" s="6" t="n">
        <x:f>ROUNDUP(F1497/英雄升级调参!$H$100,0)</x:f>
        <x:v>20</x:v>
      </x:c>
      <x:c r="O1497" s="6">
        <x:f>ROUNDUP(F1497/英雄升级调参!$K$100,0)</x:f>
        <x:v>12</x:v>
      </x:c>
      <x:c r="P1497" s="6" t="str">
        <x:f>$AA$39</x:f>
        <x:v>BOSS：30次标准普攻击杀；5次主要攻击致死</x:v>
      </x:c>
    </x:row>
    <x:row r="1498">
      <x:c r="A1498" s="14" t="n">
        <x:f>$V$39</x:f>
        <x:v>60026</x:v>
      </x:c>
      <x:c r="B1498" s="14" t="str">
        <x:f>$W$39</x:f>
        <x:v>雪怪BOSS</x:v>
      </x:c>
      <x:c r="C1498" s="6" t="str">
        <x:f>$X$39</x:f>
        <x:v>BOSS</x:v>
      </x:c>
      <x:c r="D1498" s="6">
        <x:v>36</x:v>
      </x:c>
      <x:c r="E1498" s="6">
        <x:v>39</x:v>
      </x:c>
      <x:c r="F1498" s="12">
        <x:f>ROUND(J1498*$W$4*H1498,0)</x:f>
        <x:v>69840</x:v>
      </x:c>
      <x:c r="G1498" s="12">
        <x:f>ROUND(J1498*$W$4*$W$5*I1498,0)</x:f>
        <x:v>4656</x:v>
      </x:c>
      <x:c r="H1498" s="11" t="n">
        <x:f>$Y$39</x:f>
        <x:v>7.5</x:v>
      </x:c>
      <x:c r="I1498" s="11" t="n">
        <x:f>$Z$39</x:f>
        <x:v>6.666666666666667</x:v>
      </x:c>
      <x:c r="J1498" s="12">
        <x:f>英雄升级调参!$E$101</x:f>
        <x:v>2328</x:v>
      </x:c>
      <x:c r="K1498" s="12">
        <x:f>英雄升级调参!$F$101</x:f>
        <x:v>23280</x:v>
      </x:c>
      <x:c r="L1498" s="6" t="n">
        <x:f>ROUNDUP(F1498/J1498,0)</x:f>
        <x:v>30</x:v>
      </x:c>
      <x:c r="M1498" s="6" t="n">
        <x:f>IF(G1498=0,"无伤害",ROUNDUP(K1498/MAX(1,ROUND(G1498*$AC$39,0)),0))</x:f>
        <x:v>5</x:v>
      </x:c>
      <x:c r="N1498" s="6" t="n">
        <x:f>ROUNDUP(F1498/英雄升级调参!$H$101,0)</x:f>
        <x:v>20</x:v>
      </x:c>
      <x:c r="O1498" s="6">
        <x:f>ROUNDUP(F1498/英雄升级调参!$K$101,0)</x:f>
        <x:v>12</x:v>
      </x:c>
      <x:c r="P1498" s="6" t="str">
        <x:f>$AA$39</x:f>
        <x:v>BOSS：30次标准普攻击杀；5次主要攻击致死</x:v>
      </x:c>
    </x:row>
    <x:row r="1499">
      <x:c r="A1499" s="14" t="n">
        <x:f>$V$39</x:f>
        <x:v>60026</x:v>
      </x:c>
      <x:c r="B1499" s="14" t="str">
        <x:f>$W$39</x:f>
        <x:v>雪怪BOSS</x:v>
      </x:c>
      <x:c r="C1499" s="6" t="str">
        <x:f>$X$39</x:f>
        <x:v>BOSS</x:v>
      </x:c>
      <x:c r="D1499" s="6">
        <x:v>37</x:v>
      </x:c>
      <x:c r="E1499" s="6">
        <x:v>39</x:v>
      </x:c>
      <x:c r="F1499" s="12">
        <x:f>ROUND(J1499*$W$4*H1499,0)</x:f>
        <x:v>72270</x:v>
      </x:c>
      <x:c r="G1499" s="12">
        <x:f>ROUND(J1499*$W$4*$W$5*I1499,0)</x:f>
        <x:v>4818</x:v>
      </x:c>
      <x:c r="H1499" s="11" t="n">
        <x:f>$Y$39</x:f>
        <x:v>7.5</x:v>
      </x:c>
      <x:c r="I1499" s="11" t="n">
        <x:f>$Z$39</x:f>
        <x:v>6.666666666666667</x:v>
      </x:c>
      <x:c r="J1499" s="12">
        <x:f>英雄升级调参!$E$102</x:f>
        <x:v>2409</x:v>
      </x:c>
      <x:c r="K1499" s="12">
        <x:f>英雄升级调参!$F$102</x:f>
        <x:v>24090</x:v>
      </x:c>
      <x:c r="L1499" s="6" t="n">
        <x:f>ROUNDUP(F1499/J1499,0)</x:f>
        <x:v>30</x:v>
      </x:c>
      <x:c r="M1499" s="6" t="n">
        <x:f>IF(G1499=0,"无伤害",ROUNDUP(K1499/MAX(1,ROUND(G1499*$AC$39,0)),0))</x:f>
        <x:v>5</x:v>
      </x:c>
      <x:c r="N1499" s="6" t="n">
        <x:f>ROUNDUP(F1499/英雄升级调参!$H$102,0)</x:f>
        <x:v>20</x:v>
      </x:c>
      <x:c r="O1499" s="6">
        <x:f>ROUNDUP(F1499/英雄升级调参!$K$102,0)</x:f>
        <x:v>12</x:v>
      </x:c>
      <x:c r="P1499" s="6" t="str">
        <x:f>$AA$39</x:f>
        <x:v>BOSS：30次标准普攻击杀；5次主要攻击致死</x:v>
      </x:c>
    </x:row>
    <x:row r="1500">
      <x:c r="A1500" s="14" t="n">
        <x:f>$V$39</x:f>
        <x:v>60026</x:v>
      </x:c>
      <x:c r="B1500" s="14" t="str">
        <x:f>$W$39</x:f>
        <x:v>雪怪BOSS</x:v>
      </x:c>
      <x:c r="C1500" s="6" t="str">
        <x:f>$X$39</x:f>
        <x:v>BOSS</x:v>
      </x:c>
      <x:c r="D1500" s="6">
        <x:v>38</x:v>
      </x:c>
      <x:c r="E1500" s="6">
        <x:v>39</x:v>
      </x:c>
      <x:c r="F1500" s="12">
        <x:f>ROUND(J1500*$W$4*H1500,0)</x:f>
        <x:v>74700</x:v>
      </x:c>
      <x:c r="G1500" s="12">
        <x:f>ROUND(J1500*$W$4*$W$5*I1500,0)</x:f>
        <x:v>4980</x:v>
      </x:c>
      <x:c r="H1500" s="11" t="n">
        <x:f>$Y$39</x:f>
        <x:v>7.5</x:v>
      </x:c>
      <x:c r="I1500" s="11" t="n">
        <x:f>$Z$39</x:f>
        <x:v>6.666666666666667</x:v>
      </x:c>
      <x:c r="J1500" s="12">
        <x:f>英雄升级调参!$E$103</x:f>
        <x:v>2490</x:v>
      </x:c>
      <x:c r="K1500" s="12">
        <x:f>英雄升级调参!$F$103</x:f>
        <x:v>24900</x:v>
      </x:c>
      <x:c r="L1500" s="6" t="n">
        <x:f>ROUNDUP(F1500/J1500,0)</x:f>
        <x:v>30</x:v>
      </x:c>
      <x:c r="M1500" s="6" t="n">
        <x:f>IF(G1500=0,"无伤害",ROUNDUP(K1500/MAX(1,ROUND(G1500*$AC$39,0)),0))</x:f>
        <x:v>5</x:v>
      </x:c>
      <x:c r="N1500" s="6" t="n">
        <x:f>ROUNDUP(F1500/英雄升级调参!$H$103,0)</x:f>
        <x:v>20</x:v>
      </x:c>
      <x:c r="O1500" s="6">
        <x:f>ROUNDUP(F1500/英雄升级调参!$K$103,0)</x:f>
        <x:v>12</x:v>
      </x:c>
      <x:c r="P1500" s="6" t="str">
        <x:f>$AA$39</x:f>
        <x:v>BOSS：30次标准普攻击杀；5次主要攻击致死</x:v>
      </x:c>
    </x:row>
    <x:row r="1501">
      <x:c r="A1501" s="14" t="n">
        <x:f>$V$39</x:f>
        <x:v>60026</x:v>
      </x:c>
      <x:c r="B1501" s="14" t="str">
        <x:f>$W$39</x:f>
        <x:v>雪怪BOSS</x:v>
      </x:c>
      <x:c r="C1501" s="6" t="str">
        <x:f>$X$39</x:f>
        <x:v>BOSS</x:v>
      </x:c>
      <x:c r="D1501" s="6">
        <x:v>39</x:v>
      </x:c>
      <x:c r="E1501" s="6">
        <x:v>39</x:v>
      </x:c>
      <x:c r="F1501" s="12">
        <x:f>ROUND(J1501*$W$4*H1501,0)</x:f>
        <x:v>77130</x:v>
      </x:c>
      <x:c r="G1501" s="12">
        <x:f>ROUND(J1501*$W$4*$W$5*I1501,0)</x:f>
        <x:v>5142</x:v>
      </x:c>
      <x:c r="H1501" s="11" t="n">
        <x:f>$Y$39</x:f>
        <x:v>7.5</x:v>
      </x:c>
      <x:c r="I1501" s="11" t="n">
        <x:f>$Z$39</x:f>
        <x:v>6.666666666666667</x:v>
      </x:c>
      <x:c r="J1501" s="12">
        <x:f>英雄升级调参!$E$104</x:f>
        <x:v>2571</x:v>
      </x:c>
      <x:c r="K1501" s="12">
        <x:f>英雄升级调参!$F$104</x:f>
        <x:v>25710</x:v>
      </x:c>
      <x:c r="L1501" s="6" t="n">
        <x:f>ROUNDUP(F1501/J1501,0)</x:f>
        <x:v>30</x:v>
      </x:c>
      <x:c r="M1501" s="6" t="n">
        <x:f>IF(G1501=0,"无伤害",ROUNDUP(K1501/MAX(1,ROUND(G1501*$AC$39,0)),0))</x:f>
        <x:v>5</x:v>
      </x:c>
      <x:c r="N1501" s="6" t="n">
        <x:f>ROUNDUP(F1501/英雄升级调参!$H$104,0)</x:f>
        <x:v>20</x:v>
      </x:c>
      <x:c r="O1501" s="6">
        <x:f>ROUNDUP(F1501/英雄升级调参!$K$104,0)</x:f>
        <x:v>12</x:v>
      </x:c>
      <x:c r="P1501" s="6" t="str">
        <x:f>$AA$39</x:f>
        <x:v>BOSS：30次标准普攻击杀；5次主要攻击致死</x:v>
      </x:c>
    </x:row>
    <x:row r="1502">
      <x:c r="A1502" s="14" t="n">
        <x:f>$V$39</x:f>
        <x:v>60026</x:v>
      </x:c>
      <x:c r="B1502" s="14" t="str">
        <x:f>$W$39</x:f>
        <x:v>雪怪BOSS</x:v>
      </x:c>
      <x:c r="C1502" s="6" t="str">
        <x:f>$X$39</x:f>
        <x:v>BOSS</x:v>
      </x:c>
      <x:c r="D1502" s="6">
        <x:v>40</x:v>
      </x:c>
      <x:c r="E1502" s="6">
        <x:v>39</x:v>
      </x:c>
      <x:c r="F1502" s="12">
        <x:f>ROUND(J1502*$W$4*H1502,0)</x:f>
        <x:v>84420</x:v>
      </x:c>
      <x:c r="G1502" s="12">
        <x:f>ROUND(J1502*$W$4*$W$5*I1502,0)</x:f>
        <x:v>5628</x:v>
      </x:c>
      <x:c r="H1502" s="11" t="n">
        <x:f>$Y$39</x:f>
        <x:v>7.5</x:v>
      </x:c>
      <x:c r="I1502" s="11" t="n">
        <x:f>$Z$39</x:f>
        <x:v>6.666666666666667</x:v>
      </x:c>
      <x:c r="J1502" s="12">
        <x:f>英雄升级调参!$E$105</x:f>
        <x:v>2814</x:v>
      </x:c>
      <x:c r="K1502" s="12">
        <x:f>英雄升级调参!$F$105</x:f>
        <x:v>28140</x:v>
      </x:c>
      <x:c r="L1502" s="6" t="n">
        <x:f>ROUNDUP(F1502/J1502,0)</x:f>
        <x:v>30</x:v>
      </x:c>
      <x:c r="M1502" s="6" t="n">
        <x:f>IF(G1502=0,"无伤害",ROUNDUP(K1502/MAX(1,ROUND(G1502*$AC$39,0)),0))</x:f>
        <x:v>5</x:v>
      </x:c>
      <x:c r="N1502" s="6" t="n">
        <x:f>ROUNDUP(F1502/英雄升级调参!$H$105,0)</x:f>
        <x:v>20</x:v>
      </x:c>
      <x:c r="O1502" s="6">
        <x:f>ROUNDUP(F1502/英雄升级调参!$K$105,0)</x:f>
        <x:v>12</x:v>
      </x:c>
      <x:c r="P1502" s="6" t="str">
        <x:f>$AA$39</x:f>
        <x:v>BOSS：30次标准普攻击杀；5次主要攻击致死</x:v>
      </x:c>
    </x:row>
    <x:row r="1503">
      <x:c r="A1503" s="14" t="n">
        <x:f>$V$39</x:f>
        <x:v>60026</x:v>
      </x:c>
      <x:c r="B1503" s="14" t="str">
        <x:f>$W$39</x:f>
        <x:v>雪怪BOSS</x:v>
      </x:c>
      <x:c r="C1503" s="6" t="str">
        <x:f>$X$39</x:f>
        <x:v>BOSS</x:v>
      </x:c>
      <x:c r="D1503" s="6">
        <x:v>41</x:v>
      </x:c>
      <x:c r="E1503" s="6">
        <x:v>39</x:v>
      </x:c>
      <x:c r="F1503" s="12">
        <x:f>ROUND(J1503*$W$4*H1503,0)</x:f>
        <x:v>87120</x:v>
      </x:c>
      <x:c r="G1503" s="12">
        <x:f>ROUND(J1503*$W$4*$W$5*I1503,0)</x:f>
        <x:v>5808</x:v>
      </x:c>
      <x:c r="H1503" s="11" t="n">
        <x:f>$Y$39</x:f>
        <x:v>7.5</x:v>
      </x:c>
      <x:c r="I1503" s="11" t="n">
        <x:f>$Z$39</x:f>
        <x:v>6.666666666666667</x:v>
      </x:c>
      <x:c r="J1503" s="12">
        <x:f>英雄升级调参!$E$106</x:f>
        <x:v>2904</x:v>
      </x:c>
      <x:c r="K1503" s="12">
        <x:f>英雄升级调参!$F$106</x:f>
        <x:v>29040</x:v>
      </x:c>
      <x:c r="L1503" s="6" t="n">
        <x:f>ROUNDUP(F1503/J1503,0)</x:f>
        <x:v>30</x:v>
      </x:c>
      <x:c r="M1503" s="6" t="n">
        <x:f>IF(G1503=0,"无伤害",ROUNDUP(K1503/MAX(1,ROUND(G1503*$AC$39,0)),0))</x:f>
        <x:v>5</x:v>
      </x:c>
      <x:c r="N1503" s="6" t="n">
        <x:f>ROUNDUP(F1503/英雄升级调参!$H$106,0)</x:f>
        <x:v>20</x:v>
      </x:c>
      <x:c r="O1503" s="6">
        <x:f>ROUNDUP(F1503/英雄升级调参!$K$106,0)</x:f>
        <x:v>12</x:v>
      </x:c>
      <x:c r="P1503" s="6" t="str">
        <x:f>$AA$39</x:f>
        <x:v>BOSS：30次标准普攻击杀；5次主要攻击致死</x:v>
      </x:c>
    </x:row>
    <x:row r="1504">
      <x:c r="A1504" s="14" t="n">
        <x:f>$V$39</x:f>
        <x:v>60026</x:v>
      </x:c>
      <x:c r="B1504" s="14" t="str">
        <x:f>$W$39</x:f>
        <x:v>雪怪BOSS</x:v>
      </x:c>
      <x:c r="C1504" s="6" t="str">
        <x:f>$X$39</x:f>
        <x:v>BOSS</x:v>
      </x:c>
      <x:c r="D1504" s="6">
        <x:v>42</x:v>
      </x:c>
      <x:c r="E1504" s="6">
        <x:v>39</x:v>
      </x:c>
      <x:c r="F1504" s="12">
        <x:f>ROUND(J1504*$W$4*H1504,0)</x:f>
        <x:v>89820</x:v>
      </x:c>
      <x:c r="G1504" s="12">
        <x:f>ROUND(J1504*$W$4*$W$5*I1504,0)</x:f>
        <x:v>5988</x:v>
      </x:c>
      <x:c r="H1504" s="11" t="n">
        <x:f>$Y$39</x:f>
        <x:v>7.5</x:v>
      </x:c>
      <x:c r="I1504" s="11" t="n">
        <x:f>$Z$39</x:f>
        <x:v>6.666666666666667</x:v>
      </x:c>
      <x:c r="J1504" s="12">
        <x:f>英雄升级调参!$E$107</x:f>
        <x:v>2994</x:v>
      </x:c>
      <x:c r="K1504" s="12">
        <x:f>英雄升级调参!$F$107</x:f>
        <x:v>29940</x:v>
      </x:c>
      <x:c r="L1504" s="6" t="n">
        <x:f>ROUNDUP(F1504/J1504,0)</x:f>
        <x:v>30</x:v>
      </x:c>
      <x:c r="M1504" s="6" t="n">
        <x:f>IF(G1504=0,"无伤害",ROUNDUP(K1504/MAX(1,ROUND(G1504*$AC$39,0)),0))</x:f>
        <x:v>5</x:v>
      </x:c>
      <x:c r="N1504" s="6" t="n">
        <x:f>ROUNDUP(F1504/英雄升级调参!$H$107,0)</x:f>
        <x:v>20</x:v>
      </x:c>
      <x:c r="O1504" s="6">
        <x:f>ROUNDUP(F1504/英雄升级调参!$K$107,0)</x:f>
        <x:v>12</x:v>
      </x:c>
      <x:c r="P1504" s="6" t="str">
        <x:f>$AA$39</x:f>
        <x:v>BOSS：30次标准普攻击杀；5次主要攻击致死</x:v>
      </x:c>
    </x:row>
    <x:row r="1505">
      <x:c r="A1505" s="14" t="n">
        <x:f>$V$39</x:f>
        <x:v>60026</x:v>
      </x:c>
      <x:c r="B1505" s="14" t="str">
        <x:f>$W$39</x:f>
        <x:v>雪怪BOSS</x:v>
      </x:c>
      <x:c r="C1505" s="6" t="str">
        <x:f>$X$39</x:f>
        <x:v>BOSS</x:v>
      </x:c>
      <x:c r="D1505" s="6">
        <x:v>43</x:v>
      </x:c>
      <x:c r="E1505" s="6">
        <x:v>39</x:v>
      </x:c>
      <x:c r="F1505" s="12">
        <x:f>ROUND(J1505*$W$4*H1505,0)</x:f>
        <x:v>92520</x:v>
      </x:c>
      <x:c r="G1505" s="12">
        <x:f>ROUND(J1505*$W$4*$W$5*I1505,0)</x:f>
        <x:v>6168</x:v>
      </x:c>
      <x:c r="H1505" s="11" t="n">
        <x:f>$Y$39</x:f>
        <x:v>7.5</x:v>
      </x:c>
      <x:c r="I1505" s="11" t="n">
        <x:f>$Z$39</x:f>
        <x:v>6.666666666666667</x:v>
      </x:c>
      <x:c r="J1505" s="12">
        <x:f>英雄升级调参!$E$108</x:f>
        <x:v>3084</x:v>
      </x:c>
      <x:c r="K1505" s="12">
        <x:f>英雄升级调参!$F$108</x:f>
        <x:v>30840</x:v>
      </x:c>
      <x:c r="L1505" s="6" t="n">
        <x:f>ROUNDUP(F1505/J1505,0)</x:f>
        <x:v>30</x:v>
      </x:c>
      <x:c r="M1505" s="6" t="n">
        <x:f>IF(G1505=0,"无伤害",ROUNDUP(K1505/MAX(1,ROUND(G1505*$AC$39,0)),0))</x:f>
        <x:v>5</x:v>
      </x:c>
      <x:c r="N1505" s="6" t="n">
        <x:f>ROUNDUP(F1505/英雄升级调参!$H$108,0)</x:f>
        <x:v>20</x:v>
      </x:c>
      <x:c r="O1505" s="6">
        <x:f>ROUNDUP(F1505/英雄升级调参!$K$108,0)</x:f>
        <x:v>12</x:v>
      </x:c>
      <x:c r="P1505" s="6" t="str">
        <x:f>$AA$39</x:f>
        <x:v>BOSS：30次标准普攻击杀；5次主要攻击致死</x:v>
      </x:c>
    </x:row>
    <x:row r="1506">
      <x:c r="A1506" s="14" t="n">
        <x:f>$V$39</x:f>
        <x:v>60026</x:v>
      </x:c>
      <x:c r="B1506" s="14" t="str">
        <x:f>$W$39</x:f>
        <x:v>雪怪BOSS</x:v>
      </x:c>
      <x:c r="C1506" s="6" t="str">
        <x:f>$X$39</x:f>
        <x:v>BOSS</x:v>
      </x:c>
      <x:c r="D1506" s="6">
        <x:v>44</x:v>
      </x:c>
      <x:c r="E1506" s="6">
        <x:v>39</x:v>
      </x:c>
      <x:c r="F1506" s="12">
        <x:f>ROUND(J1506*$W$4*H1506,0)</x:f>
        <x:v>95220</x:v>
      </x:c>
      <x:c r="G1506" s="12">
        <x:f>ROUND(J1506*$W$4*$W$5*I1506,0)</x:f>
        <x:v>6348</x:v>
      </x:c>
      <x:c r="H1506" s="11" t="n">
        <x:f>$Y$39</x:f>
        <x:v>7.5</x:v>
      </x:c>
      <x:c r="I1506" s="11" t="n">
        <x:f>$Z$39</x:f>
        <x:v>6.666666666666667</x:v>
      </x:c>
      <x:c r="J1506" s="12">
        <x:f>英雄升级调参!$E$109</x:f>
        <x:v>3174</x:v>
      </x:c>
      <x:c r="K1506" s="12">
        <x:f>英雄升级调参!$F$109</x:f>
        <x:v>31740</x:v>
      </x:c>
      <x:c r="L1506" s="6" t="n">
        <x:f>ROUNDUP(F1506/J1506,0)</x:f>
        <x:v>30</x:v>
      </x:c>
      <x:c r="M1506" s="6" t="n">
        <x:f>IF(G1506=0,"无伤害",ROUNDUP(K1506/MAX(1,ROUND(G1506*$AC$39,0)),0))</x:f>
        <x:v>5</x:v>
      </x:c>
      <x:c r="N1506" s="6" t="n">
        <x:f>ROUNDUP(F1506/英雄升级调参!$H$109,0)</x:f>
        <x:v>20</x:v>
      </x:c>
      <x:c r="O1506" s="6">
        <x:f>ROUNDUP(F1506/英雄升级调参!$K$109,0)</x:f>
        <x:v>12</x:v>
      </x:c>
      <x:c r="P1506" s="6" t="str">
        <x:f>$AA$39</x:f>
        <x:v>BOSS：30次标准普攻击杀；5次主要攻击致死</x:v>
      </x:c>
    </x:row>
    <x:row r="1507">
      <x:c r="A1507" s="14" t="n">
        <x:f>$V$39</x:f>
        <x:v>60026</x:v>
      </x:c>
      <x:c r="B1507" s="14" t="str">
        <x:f>$W$39</x:f>
        <x:v>雪怪BOSS</x:v>
      </x:c>
      <x:c r="C1507" s="6" t="str">
        <x:f>$X$39</x:f>
        <x:v>BOSS</x:v>
      </x:c>
      <x:c r="D1507" s="6">
        <x:v>45</x:v>
      </x:c>
      <x:c r="E1507" s="6">
        <x:v>39</x:v>
      </x:c>
      <x:c r="F1507" s="12">
        <x:f>ROUND(J1507*$W$4*H1507,0)</x:f>
        <x:v>103320</x:v>
      </x:c>
      <x:c r="G1507" s="12">
        <x:f>ROUND(J1507*$W$4*$W$5*I1507,0)</x:f>
        <x:v>6888</x:v>
      </x:c>
      <x:c r="H1507" s="11" t="n">
        <x:f>$Y$39</x:f>
        <x:v>7.5</x:v>
      </x:c>
      <x:c r="I1507" s="11" t="n">
        <x:f>$Z$39</x:f>
        <x:v>6.666666666666667</x:v>
      </x:c>
      <x:c r="J1507" s="12">
        <x:f>英雄升级调参!$E$110</x:f>
        <x:v>3444</x:v>
      </x:c>
      <x:c r="K1507" s="12">
        <x:f>英雄升级调参!$F$110</x:f>
        <x:v>34440</x:v>
      </x:c>
      <x:c r="L1507" s="6" t="n">
        <x:f>ROUNDUP(F1507/J1507,0)</x:f>
        <x:v>30</x:v>
      </x:c>
      <x:c r="M1507" s="6" t="n">
        <x:f>IF(G1507=0,"无伤害",ROUNDUP(K1507/MAX(1,ROUND(G1507*$AC$39,0)),0))</x:f>
        <x:v>5</x:v>
      </x:c>
      <x:c r="N1507" s="6" t="n">
        <x:f>ROUNDUP(F1507/英雄升级调参!$H$110,0)</x:f>
        <x:v>20</x:v>
      </x:c>
      <x:c r="O1507" s="6">
        <x:f>ROUNDUP(F1507/英雄升级调参!$K$110,0)</x:f>
        <x:v>12</x:v>
      </x:c>
      <x:c r="P1507" s="6" t="str">
        <x:f>$AA$39</x:f>
        <x:v>BOSS：30次标准普攻击杀；5次主要攻击致死</x:v>
      </x:c>
    </x:row>
    <x:row r="1508">
      <x:c r="A1508" s="14" t="n">
        <x:f>$V$39</x:f>
        <x:v>60026</x:v>
      </x:c>
      <x:c r="B1508" s="14" t="str">
        <x:f>$W$39</x:f>
        <x:v>雪怪BOSS</x:v>
      </x:c>
      <x:c r="C1508" s="6" t="str">
        <x:f>$X$39</x:f>
        <x:v>BOSS</x:v>
      </x:c>
      <x:c r="D1508" s="6">
        <x:v>46</x:v>
      </x:c>
      <x:c r="E1508" s="6">
        <x:v>39</x:v>
      </x:c>
      <x:c r="F1508" s="12">
        <x:f>ROUND(J1508*$W$4*H1508,0)</x:f>
        <x:v>106290</x:v>
      </x:c>
      <x:c r="G1508" s="12">
        <x:f>ROUND(J1508*$W$4*$W$5*I1508,0)</x:f>
        <x:v>7086</x:v>
      </x:c>
      <x:c r="H1508" s="11" t="n">
        <x:f>$Y$39</x:f>
        <x:v>7.5</x:v>
      </x:c>
      <x:c r="I1508" s="11" t="n">
        <x:f>$Z$39</x:f>
        <x:v>6.666666666666667</x:v>
      </x:c>
      <x:c r="J1508" s="12">
        <x:f>英雄升级调参!$E$111</x:f>
        <x:v>3543</x:v>
      </x:c>
      <x:c r="K1508" s="12">
        <x:f>英雄升级调参!$F$111</x:f>
        <x:v>35430</x:v>
      </x:c>
      <x:c r="L1508" s="6" t="n">
        <x:f>ROUNDUP(F1508/J1508,0)</x:f>
        <x:v>30</x:v>
      </x:c>
      <x:c r="M1508" s="6" t="n">
        <x:f>IF(G1508=0,"无伤害",ROUNDUP(K1508/MAX(1,ROUND(G1508*$AC$39,0)),0))</x:f>
        <x:v>5</x:v>
      </x:c>
      <x:c r="N1508" s="6" t="n">
        <x:f>ROUNDUP(F1508/英雄升级调参!$H$111,0)</x:f>
        <x:v>20</x:v>
      </x:c>
      <x:c r="O1508" s="6">
        <x:f>ROUNDUP(F1508/英雄升级调参!$K$111,0)</x:f>
        <x:v>12</x:v>
      </x:c>
      <x:c r="P1508" s="6" t="str">
        <x:f>$AA$39</x:f>
        <x:v>BOSS：30次标准普攻击杀；5次主要攻击致死</x:v>
      </x:c>
    </x:row>
    <x:row r="1509">
      <x:c r="A1509" s="14" t="n">
        <x:f>$V$39</x:f>
        <x:v>60026</x:v>
      </x:c>
      <x:c r="B1509" s="14" t="str">
        <x:f>$W$39</x:f>
        <x:v>雪怪BOSS</x:v>
      </x:c>
      <x:c r="C1509" s="6" t="str">
        <x:f>$X$39</x:f>
        <x:v>BOSS</x:v>
      </x:c>
      <x:c r="D1509" s="6">
        <x:v>47</x:v>
      </x:c>
      <x:c r="E1509" s="6">
        <x:v>39</x:v>
      </x:c>
      <x:c r="F1509" s="12">
        <x:f>ROUND(J1509*$W$4*H1509,0)</x:f>
        <x:v>109260</x:v>
      </x:c>
      <x:c r="G1509" s="12">
        <x:f>ROUND(J1509*$W$4*$W$5*I1509,0)</x:f>
        <x:v>7284</x:v>
      </x:c>
      <x:c r="H1509" s="11" t="n">
        <x:f>$Y$39</x:f>
        <x:v>7.5</x:v>
      </x:c>
      <x:c r="I1509" s="11" t="n">
        <x:f>$Z$39</x:f>
        <x:v>6.666666666666667</x:v>
      </x:c>
      <x:c r="J1509" s="12">
        <x:f>英雄升级调参!$E$112</x:f>
        <x:v>3642</x:v>
      </x:c>
      <x:c r="K1509" s="12">
        <x:f>英雄升级调参!$F$112</x:f>
        <x:v>36420</x:v>
      </x:c>
      <x:c r="L1509" s="6" t="n">
        <x:f>ROUNDUP(F1509/J1509,0)</x:f>
        <x:v>30</x:v>
      </x:c>
      <x:c r="M1509" s="6" t="n">
        <x:f>IF(G1509=0,"无伤害",ROUNDUP(K1509/MAX(1,ROUND(G1509*$AC$39,0)),0))</x:f>
        <x:v>5</x:v>
      </x:c>
      <x:c r="N1509" s="6" t="n">
        <x:f>ROUNDUP(F1509/英雄升级调参!$H$112,0)</x:f>
        <x:v>20</x:v>
      </x:c>
      <x:c r="O1509" s="6">
        <x:f>ROUNDUP(F1509/英雄升级调参!$K$112,0)</x:f>
        <x:v>12</x:v>
      </x:c>
      <x:c r="P1509" s="6" t="str">
        <x:f>$AA$39</x:f>
        <x:v>BOSS：30次标准普攻击杀；5次主要攻击致死</x:v>
      </x:c>
    </x:row>
    <x:row r="1510">
      <x:c r="A1510" s="14" t="n">
        <x:f>$V$39</x:f>
        <x:v>60026</x:v>
      </x:c>
      <x:c r="B1510" s="14" t="str">
        <x:f>$W$39</x:f>
        <x:v>雪怪BOSS</x:v>
      </x:c>
      <x:c r="C1510" s="6" t="str">
        <x:f>$X$39</x:f>
        <x:v>BOSS</x:v>
      </x:c>
      <x:c r="D1510" s="6">
        <x:v>48</x:v>
      </x:c>
      <x:c r="E1510" s="6">
        <x:v>39</x:v>
      </x:c>
      <x:c r="F1510" s="12">
        <x:f>ROUND(J1510*$W$4*H1510,0)</x:f>
        <x:v>112230</x:v>
      </x:c>
      <x:c r="G1510" s="12">
        <x:f>ROUND(J1510*$W$4*$W$5*I1510,0)</x:f>
        <x:v>7482</x:v>
      </x:c>
      <x:c r="H1510" s="11" t="n">
        <x:f>$Y$39</x:f>
        <x:v>7.5</x:v>
      </x:c>
      <x:c r="I1510" s="11" t="n">
        <x:f>$Z$39</x:f>
        <x:v>6.666666666666667</x:v>
      </x:c>
      <x:c r="J1510" s="12">
        <x:f>英雄升级调参!$E$113</x:f>
        <x:v>3741</x:v>
      </x:c>
      <x:c r="K1510" s="12">
        <x:f>英雄升级调参!$F$113</x:f>
        <x:v>37410</x:v>
      </x:c>
      <x:c r="L1510" s="6" t="n">
        <x:f>ROUNDUP(F1510/J1510,0)</x:f>
        <x:v>30</x:v>
      </x:c>
      <x:c r="M1510" s="6" t="n">
        <x:f>IF(G1510=0,"无伤害",ROUNDUP(K1510/MAX(1,ROUND(G1510*$AC$39,0)),0))</x:f>
        <x:v>5</x:v>
      </x:c>
      <x:c r="N1510" s="6" t="n">
        <x:f>ROUNDUP(F1510/英雄升级调参!$H$113,0)</x:f>
        <x:v>20</x:v>
      </x:c>
      <x:c r="O1510" s="6">
        <x:f>ROUNDUP(F1510/英雄升级调参!$K$113,0)</x:f>
        <x:v>12</x:v>
      </x:c>
      <x:c r="P1510" s="6" t="str">
        <x:f>$AA$39</x:f>
        <x:v>BOSS：30次标准普攻击杀；5次主要攻击致死</x:v>
      </x:c>
    </x:row>
    <x:row r="1511">
      <x:c r="A1511" s="14" t="n">
        <x:f>$V$39</x:f>
        <x:v>60026</x:v>
      </x:c>
      <x:c r="B1511" s="14" t="str">
        <x:f>$W$39</x:f>
        <x:v>雪怪BOSS</x:v>
      </x:c>
      <x:c r="C1511" s="6" t="str">
        <x:f>$X$39</x:f>
        <x:v>BOSS</x:v>
      </x:c>
      <x:c r="D1511" s="6">
        <x:v>49</x:v>
      </x:c>
      <x:c r="E1511" s="6">
        <x:v>39</x:v>
      </x:c>
      <x:c r="F1511" s="12">
        <x:f>ROUND(J1511*$W$4*H1511,0)</x:f>
        <x:v>115200</x:v>
      </x:c>
      <x:c r="G1511" s="12">
        <x:f>ROUND(J1511*$W$4*$W$5*I1511,0)</x:f>
        <x:v>7680</x:v>
      </x:c>
      <x:c r="H1511" s="11" t="n">
        <x:f>$Y$39</x:f>
        <x:v>7.5</x:v>
      </x:c>
      <x:c r="I1511" s="11" t="n">
        <x:f>$Z$39</x:f>
        <x:v>6.666666666666667</x:v>
      </x:c>
      <x:c r="J1511" s="12">
        <x:f>英雄升级调参!$E$114</x:f>
        <x:v>3840</x:v>
      </x:c>
      <x:c r="K1511" s="12">
        <x:f>英雄升级调参!$F$114</x:f>
        <x:v>38400</x:v>
      </x:c>
      <x:c r="L1511" s="6" t="n">
        <x:f>ROUNDUP(F1511/J1511,0)</x:f>
        <x:v>30</x:v>
      </x:c>
      <x:c r="M1511" s="6" t="n">
        <x:f>IF(G1511=0,"无伤害",ROUNDUP(K1511/MAX(1,ROUND(G1511*$AC$39,0)),0))</x:f>
        <x:v>5</x:v>
      </x:c>
      <x:c r="N1511" s="6" t="n">
        <x:f>ROUNDUP(F1511/英雄升级调参!$H$114,0)</x:f>
        <x:v>20</x:v>
      </x:c>
      <x:c r="O1511" s="6">
        <x:f>ROUNDUP(F1511/英雄升级调参!$K$114,0)</x:f>
        <x:v>12</x:v>
      </x:c>
      <x:c r="P1511" s="6" t="str">
        <x:f>$AA$39</x:f>
        <x:v>BOSS：30次标准普攻击杀；5次主要攻击致死</x:v>
      </x:c>
    </x:row>
    <x:row r="1512">
      <x:c r="A1512" s="14" t="n">
        <x:f>$V$39</x:f>
        <x:v>60026</x:v>
      </x:c>
      <x:c r="B1512" s="14" t="str">
        <x:f>$W$39</x:f>
        <x:v>雪怪BOSS</x:v>
      </x:c>
      <x:c r="C1512" s="6" t="str">
        <x:f>$X$39</x:f>
        <x:v>BOSS</x:v>
      </x:c>
      <x:c r="D1512" s="6">
        <x:v>50</x:v>
      </x:c>
      <x:c r="E1512" s="6">
        <x:v>39</x:v>
      </x:c>
      <x:c r="F1512" s="12">
        <x:f>ROUND(J1512*$W$4*H1512,0)</x:f>
        <x:v>124110</x:v>
      </x:c>
      <x:c r="G1512" s="12">
        <x:f>ROUND(J1512*$W$4*$W$5*I1512,0)</x:f>
        <x:v>8274</x:v>
      </x:c>
      <x:c r="H1512" s="11" t="n">
        <x:f>$Y$39</x:f>
        <x:v>7.5</x:v>
      </x:c>
      <x:c r="I1512" s="11" t="n">
        <x:f>$Z$39</x:f>
        <x:v>6.666666666666667</x:v>
      </x:c>
      <x:c r="J1512" s="12">
        <x:f>英雄升级调参!$E$115</x:f>
        <x:v>4137</x:v>
      </x:c>
      <x:c r="K1512" s="12">
        <x:f>英雄升级调参!$F$115</x:f>
        <x:v>41370</x:v>
      </x:c>
      <x:c r="L1512" s="6" t="n">
        <x:f>ROUNDUP(F1512/J1512,0)</x:f>
        <x:v>30</x:v>
      </x:c>
      <x:c r="M1512" s="6" t="n">
        <x:f>IF(G1512=0,"无伤害",ROUNDUP(K1512/MAX(1,ROUND(G1512*$AC$39,0)),0))</x:f>
        <x:v>5</x:v>
      </x:c>
      <x:c r="N1512" s="6" t="n">
        <x:f>ROUNDUP(F1512/英雄升级调参!$H$115,0)</x:f>
        <x:v>20</x:v>
      </x:c>
      <x:c r="O1512" s="6">
        <x:f>ROUNDUP(F1512/英雄升级调参!$K$115,0)</x:f>
        <x:v>12</x:v>
      </x:c>
      <x:c r="P1512" s="6" t="str">
        <x:f>$AA$39</x:f>
        <x:v>BOSS：30次标准普攻击杀；5次主要攻击致死</x:v>
      </x:c>
    </x:row>
  </x:sheetData>
  <x:mergeCells>
    <x:mergeCell ref="A2:L2"/>
    <x:mergeCell ref="A4:L4"/>
    <x:mergeCell ref="A5:L5"/>
    <x:mergeCell ref="A6:L6"/>
  </x:mergeCells>
  <x:pageMargins left="0.7" right="0.7" top="0.75" bottom="0.75" header="0.3" footer="0.3"/>
  <x:tableParts count="1">
    <x:tablePart xmlns:r="http://schemas.openxmlformats.org/officeDocument/2006/relationships" r:id="R55900e19532f4729"/>
  </x:tableParts>
</x:worksheet>
</file>

<file path=xl/worksheets/sheet3.xml><?xml version="1.0" encoding="utf-8"?>
<x:worksheet xmlns:x="http://schemas.openxmlformats.org/spreadsheetml/2006/main">
  <x:sheetPr>
    <x:tabColor rgb="FF304967"/>
  </x:sheetPr>
  <x:sheetViews>
    <x:sheetView showGridLines="0" workbookViewId="0">
      <x:pane xSplit="5" ySplit="12" topLeftCell="F13" activePane="bottomRight" state="frozen"/>
    </x:sheetView>
  </x:sheetViews>
  <x:sheetFormatPr defaultRowHeight="15"/>
  <x:cols>
    <x:col min="1" max="2" width="13" customWidth="1"/>
    <x:col min="3" max="3" width="20" customWidth="1"/>
    <x:col min="4" max="5" width="13" customWidth="1"/>
    <x:col min="6" max="11" width="17" customWidth="1"/>
    <x:col min="12" max="12" width="24" customWidth="1"/>
    <x:col min="13" max="16" width="13" customWidth="1"/>
    <x:col min="17" max="17" width="62" customWidth="1"/>
    <x:col min="18" max="22" width="13" customWidth="1"/>
    <x:col min="23" max="23" width="20" customWidth="1"/>
    <x:col min="25" max="35" width="16" customWidth="1"/>
  </x:cols>
  <x:sheetData>
    <x:row r="1" ht="23.100000381469727" customHeight="1">
      <x:c r="A1" s="6"/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Y1" s="6"/>
      <x:c r="Z1" s="6"/>
      <x:c r="AA1" s="6"/>
      <x:c r="AB1" s="6"/>
      <x:c r="AC1" s="6"/>
      <x:c r="AD1" s="6"/>
      <x:c r="AE1" s="6"/>
      <x:c r="AF1" s="6"/>
      <x:c r="AG1" s="6"/>
      <x:c r="AH1" s="6"/>
      <x:c r="AI1" s="6"/>
    </x:row>
    <x:row r="2" ht="23.100000381469727" customHeight="1">
      <x:c r="A2" s="2" t="s">
        <x:v>122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  <x:c r="AI2" s="6"/>
    </x:row>
    <x:row r="3" ht="23.100000381469727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</x:row>
    <x:row r="4" ht="27" customHeight="1">
      <x:c r="A4" s="5" t="s">
        <x:v>123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Y4" s="6"/>
      <x:c r="Z4" s="6"/>
      <x:c r="AA4" s="6"/>
      <x:c r="AB4" s="6"/>
      <x:c r="AC4" s="6"/>
      <x:c r="AD4" s="6"/>
      <x:c r="AE4" s="6"/>
      <x:c r="AF4" s="6"/>
      <x:c r="AG4" s="6"/>
      <x:c r="AH4" s="6"/>
      <x:c r="AI4" s="6"/>
    </x:row>
    <x:row r="5" ht="27" customHeight="1">
      <x:c r="A5" s="5" t="s">
        <x:v>124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6"/>
      <x:c r="N5" s="6"/>
      <x:c r="O5" s="6"/>
      <x:c r="P5" s="6"/>
      <x:c r="Q5" s="6"/>
      <x:c r="R5" s="6"/>
      <x:c r="S5" s="6"/>
      <x:c r="T5" s="6"/>
      <x:c r="U5" s="6"/>
      <x:c r="V5" s="6"/>
      <x:c r="W5" s="6"/>
      <x:c r="Y5" s="6"/>
      <x:c r="Z5" s="6"/>
      <x:c r="AA5" s="6"/>
      <x:c r="AB5" s="6"/>
      <x:c r="AC5" s="6"/>
      <x:c r="AD5" s="6"/>
      <x:c r="AE5" s="6"/>
      <x:c r="AF5" s="6"/>
      <x:c r="AG5" s="6"/>
      <x:c r="AH5" s="6"/>
      <x:c r="AI5" s="6"/>
    </x:row>
    <x:row r="6" ht="27" customHeight="1">
      <x:c r="A6" s="5" t="s">
        <x:v>125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  <x:c r="Y6" s="6"/>
      <x:c r="Z6" s="6"/>
      <x:c r="AA6" s="6"/>
      <x:c r="AB6" s="6"/>
      <x:c r="AC6" s="6"/>
      <x:c r="AD6" s="6"/>
      <x:c r="AE6" s="6"/>
      <x:c r="AF6" s="6"/>
      <x:c r="AG6" s="6"/>
      <x:c r="AH6" s="6"/>
      <x:c r="AI6" s="6"/>
    </x:row>
    <x:row r="7" ht="23.100000381469727" customHeight="1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Y7" s="6"/>
      <x:c r="Z7" s="6"/>
      <x:c r="AA7" s="6"/>
      <x:c r="AB7" s="6"/>
      <x:c r="AC7" s="6"/>
      <x:c r="AD7" s="6"/>
      <x:c r="AE7" s="6"/>
      <x:c r="AF7" s="6"/>
      <x:c r="AG7" s="6"/>
      <x:c r="AH7" s="6"/>
      <x:c r="AI7" s="6"/>
    </x:row>
    <x:row r="8" ht="32.099998474121094" customHeight="1">
      <x:c r="A8" s="8" t="s">
        <x:v>126</x:v>
      </x:c>
      <x:c r="B8" s="8" t="s">
        <x:v>127</x:v>
      </x:c>
      <x:c r="C8" s="8" t="s">
        <x:v>128</x:v>
      </x:c>
      <x:c r="D8" s="8" t="s">
        <x:v>129</x:v>
      </x:c>
      <x:c r="E8" s="8" t="s">
        <x:v>130</x:v>
      </x:c>
      <x:c r="F8" s="8" t="s">
        <x:v>131</x:v>
      </x:c>
      <x:c r="G8" s="6"/>
      <x:c r="H8" s="6"/>
      <x:c r="I8" s="6"/>
      <x:c r="J8" s="6"/>
      <x:c r="K8" s="6"/>
      <x:c r="L8" s="6"/>
      <x:c r="M8" s="6"/>
      <x:c r="N8" s="6"/>
      <x:c r="O8" s="6"/>
      <x:c r="P8" s="6"/>
      <x:c r="Q8" s="6"/>
      <x:c r="R8" s="6"/>
      <x:c r="S8" s="6"/>
      <x:c r="T8" s="6"/>
      <x:c r="U8" s="6"/>
      <x:c r="V8" s="6"/>
      <x:c r="W8" s="6"/>
      <x:c r="Y8" s="8" t="s">
        <x:v>126</x:v>
      </x:c>
      <x:c r="Z8" s="8" t="s">
        <x:v>132</x:v>
      </x:c>
      <x:c r="AA8" s="8" t="s">
        <x:v>133</x:v>
      </x:c>
      <x:c r="AB8" s="8" t="s">
        <x:v>134</x:v>
      </x:c>
      <x:c r="AC8" s="8" t="s">
        <x:v>135</x:v>
      </x:c>
      <x:c r="AD8" s="8" t="s">
        <x:v>136</x:v>
      </x:c>
      <x:c r="AE8" s="8" t="s">
        <x:v>137</x:v>
      </x:c>
      <x:c r="AF8" s="6"/>
      <x:c r="AG8" s="6"/>
      <x:c r="AH8" s="6"/>
      <x:c r="AI8" s="6"/>
    </x:row>
    <x:row r="9" ht="23.100000381469727" customHeight="1">
      <x:c r="A9" s="6">
        <x:v>1</x:v>
      </x:c>
      <x:c r="B9" s="6" t="n">
        <x:f>$Z$9</x:f>
        <x:v>1</x:v>
      </x:c>
      <x:c r="C9" s="6" t="n">
        <x:f>$AA$9</x:f>
        <x:v>10</x:v>
      </x:c>
      <x:c r="D9" s="6" t="n">
        <x:f>C9</x:f>
        <x:v>10</x:v>
      </x:c>
      <x:c r="E9" s="6" t="n">
        <x:f>COUNTIF(英雄升级调参!$J$66:$J$115,"&lt;"&amp;INDEX(英雄升级调参!$G$66:$G$115,C9))+1</x:f>
        <x:v>5</x:v>
      </x:c>
      <x:c r="F9" s="6" t="n">
        <x:f>COUNTIF(英雄升级调参!$M$66:$M$115,"&lt;"&amp;INDEX(英雄升级调参!$G$66:$G$115,C9))+1</x:f>
        <x:v>1</x:v>
      </x:c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6"/>
      <x:c r="V9" s="6"/>
      <x:c r="W9" s="6"/>
      <x:c r="Y9" s="6">
        <x:v>1</x:v>
      </x:c>
      <x:c r="Z9" s="9">
        <x:v>1</x:v>
      </x:c>
      <x:c r="AA9" s="9">
        <x:v>10</x:v>
      </x:c>
      <x:c r="AB9" s="9">
        <x:v>3</x:v>
      </x:c>
      <x:c r="AC9" s="6">
        <x:v>9</x:v>
      </x:c>
      <x:c r="AD9" s="6" t="n">
        <x:f>AC9-1-IF(AC9=5,1,2)</x:f>
        <x:v>6</x:v>
      </x:c>
      <x:c r="AE9" s="6" t="n">
        <x:f>AA9-Z9-AB9*IF(AC9=5,1,2)</x:f>
        <x:v>3</x:v>
      </x:c>
      <x:c r="AF9" s="6"/>
      <x:c r="AG9" s="6"/>
      <x:c r="AH9" s="6"/>
      <x:c r="AI9" s="6"/>
    </x:row>
    <x:row r="10" ht="23.100000381469727" customHeight="1">
      <x:c r="A10" s="6">
        <x:v>2</x:v>
      </x:c>
      <x:c r="B10" s="6" t="n">
        <x:f>$Z$10</x:f>
        <x:v>11</x:v>
      </x:c>
      <x:c r="C10" s="6" t="n">
        <x:f>$AA$10</x:f>
        <x:v>20</x:v>
      </x:c>
      <x:c r="D10" s="6" t="n">
        <x:f>C10</x:f>
        <x:v>20</x:v>
      </x:c>
      <x:c r="E10" s="6">
        <x:f>COUNTIF(英雄升级调参!$J$66:$J$115,"&lt;"&amp;INDEX(英雄升级调参!$G$66:$G$115,C10))+1</x:f>
        <x:v>15</x:v>
      </x:c>
      <x:c r="F10" s="6">
        <x:f>COUNTIF(英雄升级调参!$M$66:$M$115,"&lt;"&amp;INDEX(英雄升级调参!$G$66:$G$115,C10))+1</x:f>
        <x:v>10</x:v>
      </x:c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6"/>
      <x:c r="V10" s="6"/>
      <x:c r="W10" s="6"/>
      <x:c r="Y10" s="6">
        <x:v>2</x:v>
      </x:c>
      <x:c r="Z10" s="9">
        <x:v>11</x:v>
      </x:c>
      <x:c r="AA10" s="9">
        <x:v>20</x:v>
      </x:c>
      <x:c r="AB10" s="9">
        <x:v>3</x:v>
      </x:c>
      <x:c r="AC10" s="6">
        <x:v>10</x:v>
      </x:c>
      <x:c r="AD10" s="6" t="n">
        <x:f>AC10-1-IF(AC10=5,1,2)</x:f>
        <x:v>7</x:v>
      </x:c>
      <x:c r="AE10" s="6" t="n">
        <x:f>AA10-Z10-AB10*IF(AC10=5,1,2)</x:f>
        <x:v>3</x:v>
      </x:c>
      <x:c r="AF10" s="6"/>
      <x:c r="AG10" s="6"/>
      <x:c r="AH10" s="6"/>
      <x:c r="AI10" s="6"/>
    </x:row>
    <x:row r="11" ht="23.100000381469727" customHeight="1">
      <x:c r="A11" s="6">
        <x:v>3</x:v>
      </x:c>
      <x:c r="B11" s="6" t="n">
        <x:f>$Z$11</x:f>
        <x:v>21</x:v>
      </x:c>
      <x:c r="C11" s="6" t="n">
        <x:f>$AA$11</x:f>
        <x:v>30</x:v>
      </x:c>
      <x:c r="D11" s="6" t="n">
        <x:f>C11</x:f>
        <x:v>30</x:v>
      </x:c>
      <x:c r="E11" s="6">
        <x:f>COUNTIF(英雄升级调参!$J$66:$J$115,"&lt;"&amp;INDEX(英雄升级调参!$G$66:$G$115,C11))+1</x:f>
        <x:v>24</x:v>
      </x:c>
      <x:c r="F11" s="6" t="n">
        <x:f>COUNTIF(英雄升级调参!$M$66:$M$115,"&lt;"&amp;INDEX(英雄升级调参!$G$66:$G$115,C11))+1</x:f>
        <x:v>16</x:v>
      </x:c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Y11" s="6">
        <x:v>3</x:v>
      </x:c>
      <x:c r="Z11" s="9">
        <x:v>21</x:v>
      </x:c>
      <x:c r="AA11" s="9">
        <x:v>30</x:v>
      </x:c>
      <x:c r="AB11" s="9">
        <x:v>3</x:v>
      </x:c>
      <x:c r="AC11" s="6">
        <x:v>11</x:v>
      </x:c>
      <x:c r="AD11" s="6" t="n">
        <x:f>AC11-1-IF(AC11=5,1,2)</x:f>
        <x:v>8</x:v>
      </x:c>
      <x:c r="AE11" s="6" t="n">
        <x:f>AA11-Z11-AB11*IF(AC11=5,1,2)</x:f>
        <x:v>3</x:v>
      </x:c>
      <x:c r="AF11" s="6"/>
      <x:c r="AG11" s="6"/>
      <x:c r="AH11" s="6"/>
      <x:c r="AI11" s="6"/>
    </x:row>
    <x:row r="12" ht="32.099998474121094" customHeight="1">
      <x:c r="A12" s="8" t="s">
        <x:v>126</x:v>
      </x:c>
      <x:c r="B12" s="8" t="s">
        <x:v>138</x:v>
      </x:c>
      <x:c r="C12" s="8" t="s">
        <x:v>139</x:v>
      </x:c>
      <x:c r="D12" s="8" t="s">
        <x:v>140</x:v>
      </x:c>
      <x:c r="E12" s="8" t="s">
        <x:v>141</x:v>
      </x:c>
      <x:c r="F12" s="8" t="s">
        <x:v>142</x:v>
      </x:c>
      <x:c r="G12" s="8" t="s">
        <x:v>143</x:v>
      </x:c>
      <x:c r="H12" s="8" t="s">
        <x:v>144</x:v>
      </x:c>
      <x:c r="I12" s="8" t="s">
        <x:v>145</x:v>
      </x:c>
      <x:c r="J12" s="8" t="s">
        <x:v>146</x:v>
      </x:c>
      <x:c r="K12" s="8" t="s">
        <x:v>147</x:v>
      </x:c>
      <x:c r="L12" s="8" t="s">
        <x:v>148</x:v>
      </x:c>
      <x:c r="M12" s="8" t="s">
        <x:v>149</x:v>
      </x:c>
      <x:c r="N12" s="8" t="s">
        <x:v>150</x:v>
      </x:c>
      <x:c r="O12" s="8" t="s">
        <x:v>151</x:v>
      </x:c>
      <x:c r="P12" s="8" t="s">
        <x:v>152</x:v>
      </x:c>
      <x:c r="Q12" s="8" t="s">
        <x:v>153</x:v>
      </x:c>
      <x:c r="R12" s="8" t="s">
        <x:v>154</x:v>
      </x:c>
      <x:c r="S12" s="8" t="s">
        <x:v>155</x:v>
      </x:c>
      <x:c r="T12" s="8" t="s">
        <x:v>156</x:v>
      </x:c>
      <x:c r="U12" s="8" t="s">
        <x:v>157</x:v>
      </x:c>
      <x:c r="V12" s="8" t="s">
        <x:v>158</x:v>
      </x:c>
      <x:c r="W12" s="8" t="s">
        <x:v>159</x:v>
      </x:c>
      <x:c r="Y12" s="6">
        <x:v>4</x:v>
      </x:c>
      <x:c r="Z12" s="9">
        <x:v>31</x:v>
      </x:c>
      <x:c r="AA12" s="9">
        <x:v>40</x:v>
      </x:c>
      <x:c r="AB12" s="9">
        <x:v>3</x:v>
      </x:c>
      <x:c r="AC12" s="6">
        <x:v>11</x:v>
      </x:c>
      <x:c r="AD12" s="6" t="n">
        <x:f>AC12-1-IF(AC12=5,1,2)</x:f>
        <x:v>8</x:v>
      </x:c>
      <x:c r="AE12" s="6" t="n">
        <x:f>AA12-Z12-AB12*IF(AC12=5,1,2)</x:f>
        <x:v>3</x:v>
      </x:c>
      <x:c r="AF12" s="6"/>
      <x:c r="AG12" s="6"/>
      <x:c r="AH12" s="6"/>
      <x:c r="AI12" s="6"/>
    </x:row>
    <x:row r="13" ht="23.100000381469727" customHeight="1">
      <x:c r="A13" s="14">
        <x:v>1</x:v>
      </x:c>
      <x:c r="B13" s="14">
        <x:v>1010010</x:v>
      </x:c>
      <x:c r="C13" s="6" t="s">
        <x:v>160</x:v>
      </x:c>
      <x:c r="D13" s="6" t="s">
        <x:v>83</x:v>
      </x:c>
      <x:c r="E13" s="6">
        <x:v>1</x:v>
      </x:c>
      <x:c r="F13" s="6">
        <x:v>5</x:v>
      </x:c>
      <x:c r="G13" s="6" t="n">
        <x:f t="shared" ref="G13:G22" si="0">$Z$9+S13*$AB$9+IF($AD$9&gt;0,ROUNDDOWN($AE$9*T13/$AD$9,0),0)</x:f>
        <x:v>1</x:v>
      </x:c>
      <x:c r="H13" s="6" t="s">
        <x:v>161</x:v>
      </x:c>
      <x:c r="I13" s="6" t="n">
        <x:f>IF(V13&gt;MAX(英雄升级调参!$G$66:$G$115),"超50级",COUNTIF(英雄升级调参!$G$66:$G$115,"&lt;"&amp;V13)+1)</x:f>
        <x:v>1</x:v>
      </x:c>
      <x:c r="J13" s="6" t="n">
        <x:f>IF(V13&gt;MAX(英雄升级调参!$J$66:$J$115),"超50级",COUNTIF(英雄升级调参!$J$66:$J$115,"&lt;"&amp;V13)+1)</x:f>
        <x:v>1</x:v>
      </x:c>
      <x:c r="K13" s="6" t="n">
        <x:f>IF(V13&gt;MAX(英雄升级调参!$M$66:$M$115),"超50级",COUNTIF(英雄升级调参!$M$66:$M$115,"&lt;"&amp;V13)+1)</x:f>
        <x:v>1</x:v>
      </x:c>
      <x:c r="L13" s="6" t="s">
        <x:v>162</x:v>
      </x:c>
      <x:c r="M13" s="12" t="n">
        <x:f>INDEX(怪物等级!$F$13:$F$62,G13)</x:f>
        <x:v>240</x:v>
      </x:c>
      <x:c r="N13" s="12" t="n">
        <x:f>INDEX(怪物等级!$G$13:$G$62,G13)</x:f>
        <x:v>60</x:v>
      </x:c>
      <x:c r="O13" s="12" t="n">
        <x:f>INDEX(怪物等级!$F$113:$F$162,G13)</x:f>
        <x:v>900</x:v>
      </x:c>
      <x:c r="P13" s="12" t="n">
        <x:f>INDEX(怪物等级!$F$163:$F$212,G13)</x:f>
        <x:v>1800</x:v>
      </x:c>
      <x:c r="Q13" s="6" t="s">
        <x:v>163</x:v>
      </x:c>
      <x:c r="R13" s="6">
        <x:v>1</x:v>
      </x:c>
      <x:c r="S13" s="6" t="n">
        <x:f t="shared" ref="S13:S22" si="1">IF(R13&gt;=5,1,0)+IF(AND(R13=$AC$9,$AC$9&lt;&gt;5),1,0)</x:f>
        <x:v>0</x:v>
      </x:c>
      <x:c r="T13" s="6" t="n">
        <x:f t="shared" ref="T13:T44" si="2">R13-1-S13</x:f>
        <x:v>0</x:v>
      </x:c>
      <x:c r="U13" s="6">
        <x:v>9</x:v>
      </x:c>
      <x:c r="V13" s="6" t="n">
        <x:f>INDEX(英雄升级调参!$G$66:$G$115,G13)</x:f>
        <x:v>36000</x:v>
      </x:c>
      <x:c r="W13" s="6" t="str">
        <x:f t="shared" ref="W13:W22" si="3">IF(AND(G13&gt;=1,G13&lt;=50,$AE$9&gt;=0),"范围内","需调整预算")</x:f>
        <x:v>范围内</x:v>
      </x:c>
      <x:c r="Y13" s="6">
        <x:v>5</x:v>
      </x:c>
      <x:c r="Z13" s="9">
        <x:v>41</x:v>
      </x:c>
      <x:c r="AA13" s="9">
        <x:v>50</x:v>
      </x:c>
      <x:c r="AB13" s="9">
        <x:v>3</x:v>
      </x:c>
      <x:c r="AC13" s="6">
        <x:v>5</x:v>
      </x:c>
      <x:c r="AD13" s="6" t="n">
        <x:f>AC13-1-IF(AC13=5,1,2)</x:f>
        <x:v>3</x:v>
      </x:c>
      <x:c r="AE13" s="6" t="n">
        <x:f>AA13-Z13-AB13*IF(AC13=5,1,2)</x:f>
        <x:v>6</x:v>
      </x:c>
      <x:c r="AF13" s="6"/>
      <x:c r="AG13" s="6"/>
      <x:c r="AH13" s="6"/>
      <x:c r="AI13" s="6"/>
    </x:row>
    <x:row r="14" ht="23.100000381469727" customHeight="1">
      <x:c r="A14" s="14">
        <x:v>1</x:v>
      </x:c>
      <x:c r="B14" s="14">
        <x:v>1010020</x:v>
      </x:c>
      <x:c r="C14" s="6" t="s">
        <x:v>164</x:v>
      </x:c>
      <x:c r="D14" s="6" t="s">
        <x:v>83</x:v>
      </x:c>
      <x:c r="E14" s="6">
        <x:v>2</x:v>
      </x:c>
      <x:c r="F14" s="6">
        <x:v>6</x:v>
      </x:c>
      <x:c r="G14" s="6">
        <x:f t="shared" si="0"/>
        <x:v>1</x:v>
      </x:c>
      <x:c r="H14" s="6" t="n">
        <x:f t="shared" ref="H14:H21" si="4">G14-G13</x:f>
        <x:v>0</x:v>
      </x:c>
      <x:c r="I14" s="6" t="n">
        <x:f>IF(V14&gt;MAX(英雄升级调参!$G$66:$G$115),"超50级",COUNTIF(英雄升级调参!$G$66:$G$115,"&lt;"&amp;V14)+1)</x:f>
        <x:v>1</x:v>
      </x:c>
      <x:c r="J14" s="6" t="n">
        <x:f>IF(V14&gt;MAX(英雄升级调参!$J$66:$J$115),"超50级",COUNTIF(英雄升级调参!$J$66:$J$115,"&lt;"&amp;V14)+1)</x:f>
        <x:v>1</x:v>
      </x:c>
      <x:c r="K14" s="6" t="n">
        <x:f>IF(V14&gt;MAX(英雄升级调参!$M$66:$M$115),"超50级",COUNTIF(英雄升级调参!$M$66:$M$115,"&lt;"&amp;V14)+1)</x:f>
        <x:v>1</x:v>
      </x:c>
      <x:c r="L14" s="6" t="s">
        <x:v>162</x:v>
      </x:c>
      <x:c r="M14" s="12" t="n">
        <x:f>INDEX(怪物等级!$F$13:$F$62,G14)</x:f>
        <x:v>240</x:v>
      </x:c>
      <x:c r="N14" s="12" t="n">
        <x:f>INDEX(怪物等级!$G$13:$G$62,G14)</x:f>
        <x:v>60</x:v>
      </x:c>
      <x:c r="O14" s="12" t="n">
        <x:f>INDEX(怪物等级!$F$113:$F$162,G14)</x:f>
        <x:v>900</x:v>
      </x:c>
      <x:c r="P14" s="12" t="n">
        <x:f>INDEX(怪物等级!$F$163:$F$212,G14)</x:f>
        <x:v>1800</x:v>
      </x:c>
      <x:c r="Q14" s="6" t="s">
        <x:v>165</x:v>
      </x:c>
      <x:c r="R14" s="6">
        <x:v>2</x:v>
      </x:c>
      <x:c r="S14" s="6">
        <x:f t="shared" si="1"/>
        <x:v>0</x:v>
      </x:c>
      <x:c r="T14" s="6">
        <x:f t="shared" si="2"/>
        <x:v>1</x:v>
      </x:c>
      <x:c r="U14" s="6">
        <x:v>9</x:v>
      </x:c>
      <x:c r="V14" s="6" t="n">
        <x:f>INDEX(英雄升级调参!$G$66:$G$115,G14)</x:f>
        <x:v>36000</x:v>
      </x:c>
      <x:c r="W14" s="6" t="str">
        <x:f t="shared" si="3"/>
        <x:v>范围内</x:v>
      </x:c>
      <x:c r="Y14" s="6"/>
      <x:c r="Z14" s="6"/>
      <x:c r="AA14" s="6"/>
      <x:c r="AB14" s="6"/>
      <x:c r="AC14" s="6"/>
      <x:c r="AD14" s="6"/>
      <x:c r="AE14" s="6"/>
      <x:c r="AF14" s="6"/>
      <x:c r="AG14" s="6"/>
      <x:c r="AH14" s="6"/>
      <x:c r="AI14" s="6"/>
    </x:row>
    <x:row r="15" ht="23.100000381469727" customHeight="1">
      <x:c r="A15" s="14">
        <x:v>1</x:v>
      </x:c>
      <x:c r="B15" s="14">
        <x:v>1010030</x:v>
      </x:c>
      <x:c r="C15" s="6" t="s">
        <x:v>166</x:v>
      </x:c>
      <x:c r="D15" s="6" t="s">
        <x:v>83</x:v>
      </x:c>
      <x:c r="E15" s="6">
        <x:v>3</x:v>
      </x:c>
      <x:c r="F15" s="6">
        <x:v>8</x:v>
      </x:c>
      <x:c r="G15" s="6">
        <x:f t="shared" si="0"/>
        <x:v>2</x:v>
      </x:c>
      <x:c r="H15" s="6">
        <x:f t="shared" si="4"/>
        <x:v>1</x:v>
      </x:c>
      <x:c r="I15" s="6" t="n">
        <x:f>IF(V15&gt;MAX(英雄升级调参!$G$66:$G$115),"超50级",COUNTIF(英雄升级调参!$G$66:$G$115,"&lt;"&amp;V15)+1)</x:f>
        <x:v>2</x:v>
      </x:c>
      <x:c r="J15" s="6" t="n">
        <x:f>IF(V15&gt;MAX(英雄升级调参!$J$66:$J$115),"超50级",COUNTIF(英雄升级调参!$J$66:$J$115,"&lt;"&amp;V15)+1)</x:f>
        <x:v>1</x:v>
      </x:c>
      <x:c r="K15" s="6" t="n">
        <x:f>IF(V15&gt;MAX(英雄升级调参!$M$66:$M$115),"超50级",COUNTIF(英雄升级调参!$M$66:$M$115,"&lt;"&amp;V15)+1)</x:f>
        <x:v>1</x:v>
      </x:c>
      <x:c r="L15" s="6" t="s">
        <x:v>162</x:v>
      </x:c>
      <x:c r="M15" s="12">
        <x:f>INDEX(怪物等级!$F$13:$F$62,G15)</x:f>
        <x:v>312</x:v>
      </x:c>
      <x:c r="N15" s="12">
        <x:f>INDEX(怪物等级!$G$13:$G$62,G15)</x:f>
        <x:v>78</x:v>
      </x:c>
      <x:c r="O15" s="12">
        <x:f>INDEX(怪物等级!$F$113:$F$162,G15)</x:f>
        <x:v>1170</x:v>
      </x:c>
      <x:c r="P15" s="12">
        <x:f>INDEX(怪物等级!$F$163:$F$212,G15)</x:f>
        <x:v>2340</x:v>
      </x:c>
      <x:c r="Q15" s="6" t="s">
        <x:v>167</x:v>
      </x:c>
      <x:c r="R15" s="6">
        <x:v>3</x:v>
      </x:c>
      <x:c r="S15" s="6">
        <x:f t="shared" si="1"/>
        <x:v>0</x:v>
      </x:c>
      <x:c r="T15" s="6">
        <x:f t="shared" si="2"/>
        <x:v>2</x:v>
      </x:c>
      <x:c r="U15" s="6">
        <x:v>9</x:v>
      </x:c>
      <x:c r="V15" s="6">
        <x:f>INDEX(英雄升级调参!$G$66:$G$115,G15)</x:f>
        <x:v>60840</x:v>
      </x:c>
      <x:c r="W15" s="6" t="str">
        <x:f t="shared" si="3"/>
        <x:v>范围内</x:v>
      </x:c>
      <x:c r="Y15" s="6"/>
      <x:c r="Z15" s="6"/>
      <x:c r="AA15" s="6"/>
      <x:c r="AB15" s="6"/>
      <x:c r="AC15" s="6"/>
      <x:c r="AD15" s="6"/>
      <x:c r="AE15" s="6"/>
      <x:c r="AF15" s="6"/>
      <x:c r="AG15" s="6"/>
      <x:c r="AH15" s="6"/>
      <x:c r="AI15" s="6"/>
    </x:row>
    <x:row r="16" ht="23.100000381469727" customHeight="1">
      <x:c r="A16" s="14">
        <x:v>1</x:v>
      </x:c>
      <x:c r="B16" s="14">
        <x:v>1010040</x:v>
      </x:c>
      <x:c r="C16" s="6" t="s">
        <x:v>168</x:v>
      </x:c>
      <x:c r="D16" s="6" t="s">
        <x:v>83</x:v>
      </x:c>
      <x:c r="E16" s="6">
        <x:v>4</x:v>
      </x:c>
      <x:c r="F16" s="6">
        <x:v>9</x:v>
      </x:c>
      <x:c r="G16" s="6">
        <x:f t="shared" si="0"/>
        <x:v>2</x:v>
      </x:c>
      <x:c r="H16" s="6">
        <x:f t="shared" si="4"/>
        <x:v>0</x:v>
      </x:c>
      <x:c r="I16" s="6" t="n">
        <x:f>IF(V16&gt;MAX(英雄升级调参!$G$66:$G$115),"超50级",COUNTIF(英雄升级调参!$G$66:$G$115,"&lt;"&amp;V16)+1)</x:f>
        <x:v>2</x:v>
      </x:c>
      <x:c r="J16" s="6" t="n">
        <x:f>IF(V16&gt;MAX(英雄升级调参!$J$66:$J$115),"超50级",COUNTIF(英雄升级调参!$J$66:$J$115,"&lt;"&amp;V16)+1)</x:f>
        <x:v>1</x:v>
      </x:c>
      <x:c r="K16" s="6" t="n">
        <x:f>IF(V16&gt;MAX(英雄升级调参!$M$66:$M$115),"超50级",COUNTIF(英雄升级调参!$M$66:$M$115,"&lt;"&amp;V16)+1)</x:f>
        <x:v>1</x:v>
      </x:c>
      <x:c r="L16" s="6" t="s">
        <x:v>162</x:v>
      </x:c>
      <x:c r="M16" s="12">
        <x:f>INDEX(怪物等级!$F$13:$F$62,G16)</x:f>
        <x:v>312</x:v>
      </x:c>
      <x:c r="N16" s="12">
        <x:f>INDEX(怪物等级!$G$13:$G$62,G16)</x:f>
        <x:v>78</x:v>
      </x:c>
      <x:c r="O16" s="12">
        <x:f>INDEX(怪物等级!$F$113:$F$162,G16)</x:f>
        <x:v>1170</x:v>
      </x:c>
      <x:c r="P16" s="12">
        <x:f>INDEX(怪物等级!$F$163:$F$212,G16)</x:f>
        <x:v>2340</x:v>
      </x:c>
      <x:c r="Q16" s="6" t="s">
        <x:v>169</x:v>
      </x:c>
      <x:c r="R16" s="6">
        <x:v>4</x:v>
      </x:c>
      <x:c r="S16" s="6">
        <x:f t="shared" si="1"/>
        <x:v>0</x:v>
      </x:c>
      <x:c r="T16" s="6">
        <x:f t="shared" si="2"/>
        <x:v>3</x:v>
      </x:c>
      <x:c r="U16" s="6">
        <x:v>9</x:v>
      </x:c>
      <x:c r="V16" s="6">
        <x:f>INDEX(英雄升级调参!$G$66:$G$115,G16)</x:f>
        <x:v>60840</x:v>
      </x:c>
      <x:c r="W16" s="6" t="str">
        <x:f t="shared" si="3"/>
        <x:v>范围内</x:v>
      </x:c>
      <x:c r="Y16" s="6"/>
      <x:c r="Z16" s="6"/>
      <x:c r="AA16" s="6"/>
      <x:c r="AB16" s="6"/>
      <x:c r="AC16" s="6"/>
      <x:c r="AD16" s="6"/>
      <x:c r="AE16" s="6"/>
      <x:c r="AF16" s="6"/>
      <x:c r="AG16" s="6"/>
      <x:c r="AH16" s="6"/>
      <x:c r="AI16" s="6"/>
    </x:row>
    <x:row r="17" ht="23.100000381469727" customHeight="1">
      <x:c r="A17" s="14">
        <x:v>1</x:v>
      </x:c>
      <x:c r="B17" s="14">
        <x:v>1010050</x:v>
      </x:c>
      <x:c r="C17" s="6" t="s">
        <x:v>170</x:v>
      </x:c>
      <x:c r="D17" s="6" t="s">
        <x:v>83</x:v>
      </x:c>
      <x:c r="E17" s="6">
        <x:v>5</x:v>
      </x:c>
      <x:c r="F17" s="6">
        <x:v>10</x:v>
      </x:c>
      <x:c r="G17" s="6">
        <x:f t="shared" si="0"/>
        <x:v>5</x:v>
      </x:c>
      <x:c r="H17" s="6">
        <x:f t="shared" si="4"/>
        <x:v>3</x:v>
      </x:c>
      <x:c r="I17" s="6" t="n">
        <x:f>IF(V17&gt;MAX(英雄升级调参!$G$66:$G$115),"超50级",COUNTIF(英雄升级调参!$G$66:$G$115,"&lt;"&amp;V17)+1)</x:f>
        <x:v>5</x:v>
      </x:c>
      <x:c r="J17" s="6" t="n">
        <x:f>IF(V17&gt;MAX(英雄升级调参!$J$66:$J$115),"超50级",COUNTIF(英雄升级调参!$J$66:$J$115,"&lt;"&amp;V17)+1)</x:f>
        <x:v>1</x:v>
      </x:c>
      <x:c r="K17" s="6" t="n">
        <x:f>IF(V17&gt;MAX(英雄升级调参!$M$66:$M$115),"超50级",COUNTIF(英雄升级调参!$M$66:$M$115,"&lt;"&amp;V17)+1)</x:f>
        <x:v>1</x:v>
      </x:c>
      <x:c r="L17" s="6" t="s">
        <x:v>171</x:v>
      </x:c>
      <x:c r="M17" s="12">
        <x:f>INDEX(怪物等级!$F$13:$F$62,G17)</x:f>
        <x:v>672</x:v>
      </x:c>
      <x:c r="N17" s="12">
        <x:f>INDEX(怪物等级!$G$13:$G$62,G17)</x:f>
        <x:v>168</x:v>
      </x:c>
      <x:c r="O17" s="12">
        <x:f>INDEX(怪物等级!$F$113:$F$162,G17)</x:f>
        <x:v>2520</x:v>
      </x:c>
      <x:c r="P17" s="12">
        <x:f>INDEX(怪物等级!$F$163:$F$212,G17)</x:f>
        <x:v>5040</x:v>
      </x:c>
      <x:c r="Q17" s="6" t="s">
        <x:v>172</x:v>
      </x:c>
      <x:c r="R17" s="6">
        <x:v>5</x:v>
      </x:c>
      <x:c r="S17" s="6">
        <x:f t="shared" si="1"/>
        <x:v>1</x:v>
      </x:c>
      <x:c r="T17" s="6">
        <x:f t="shared" si="2"/>
        <x:v>3</x:v>
      </x:c>
      <x:c r="U17" s="6">
        <x:v>9</x:v>
      </x:c>
      <x:c r="V17" s="6">
        <x:f>INDEX(英雄升级调参!$G$66:$G$115,G17)</x:f>
        <x:v>282240</x:v>
      </x:c>
      <x:c r="W17" s="6" t="str">
        <x:f t="shared" si="3"/>
        <x:v>范围内</x:v>
      </x:c>
      <x:c r="Y17" s="6"/>
      <x:c r="Z17" s="6"/>
      <x:c r="AA17" s="6"/>
      <x:c r="AB17" s="6"/>
      <x:c r="AC17" s="6"/>
      <x:c r="AD17" s="6"/>
      <x:c r="AE17" s="6"/>
      <x:c r="AF17" s="6"/>
      <x:c r="AG17" s="6"/>
      <x:c r="AH17" s="6"/>
      <x:c r="AI17" s="6"/>
    </x:row>
    <x:row r="18" ht="23.100000381469727" customHeight="1">
      <x:c r="A18" s="14">
        <x:v>1</x:v>
      </x:c>
      <x:c r="B18" s="14">
        <x:v>1010060</x:v>
      </x:c>
      <x:c r="C18" s="6" t="s">
        <x:v>173</x:v>
      </x:c>
      <x:c r="D18" s="6" t="s">
        <x:v>83</x:v>
      </x:c>
      <x:c r="E18" s="6">
        <x:v>6</x:v>
      </x:c>
      <x:c r="F18" s="6">
        <x:v>12</x:v>
      </x:c>
      <x:c r="G18" s="6">
        <x:f t="shared" si="0"/>
        <x:v>6</x:v>
      </x:c>
      <x:c r="H18" s="6">
        <x:f t="shared" si="4"/>
        <x:v>1</x:v>
      </x:c>
      <x:c r="I18" s="6" t="n">
        <x:f>IF(V18&gt;MAX(英雄升级调参!$G$66:$G$115),"超50级",COUNTIF(英雄升级调参!$G$66:$G$115,"&lt;"&amp;V18)+1)</x:f>
        <x:v>6</x:v>
      </x:c>
      <x:c r="J18" s="6" t="n">
        <x:f>IF(V18&gt;MAX(英雄升级调参!$J$66:$J$115),"超50级",COUNTIF(英雄升级调参!$J$66:$J$115,"&lt;"&amp;V18)+1)</x:f>
        <x:v>1</x:v>
      </x:c>
      <x:c r="K18" s="6" t="n">
        <x:f>IF(V18&gt;MAX(英雄升级调参!$M$66:$M$115),"超50级",COUNTIF(英雄升级调参!$M$66:$M$115,"&lt;"&amp;V18)+1)</x:f>
        <x:v>1</x:v>
      </x:c>
      <x:c r="L18" s="6" t="s">
        <x:v>162</x:v>
      </x:c>
      <x:c r="M18" s="12">
        <x:f>INDEX(怪物等级!$F$13:$F$62,G18)</x:f>
        <x:v>780</x:v>
      </x:c>
      <x:c r="N18" s="12">
        <x:f>INDEX(怪物等级!$G$13:$G$62,G18)</x:f>
        <x:v>195</x:v>
      </x:c>
      <x:c r="O18" s="12">
        <x:f>INDEX(怪物等级!$F$113:$F$162,G18)</x:f>
        <x:v>2925</x:v>
      </x:c>
      <x:c r="P18" s="12">
        <x:f>INDEX(怪物等级!$F$163:$F$212,G18)</x:f>
        <x:v>5850</x:v>
      </x:c>
      <x:c r="Q18" s="6" t="s">
        <x:v>174</x:v>
      </x:c>
      <x:c r="R18" s="6">
        <x:v>6</x:v>
      </x:c>
      <x:c r="S18" s="6">
        <x:f t="shared" si="1"/>
        <x:v>1</x:v>
      </x:c>
      <x:c r="T18" s="6">
        <x:f t="shared" si="2"/>
        <x:v>4</x:v>
      </x:c>
      <x:c r="U18" s="6">
        <x:v>9</x:v>
      </x:c>
      <x:c r="V18" s="6">
        <x:f>INDEX(英雄升级调参!$G$66:$G$115,G18)</x:f>
        <x:v>380250</x:v>
      </x:c>
      <x:c r="W18" s="6" t="str">
        <x:f t="shared" si="3"/>
        <x:v>范围内</x:v>
      </x:c>
      <x:c r="Y18" s="6"/>
      <x:c r="Z18" s="6"/>
      <x:c r="AA18" s="6"/>
      <x:c r="AB18" s="6"/>
      <x:c r="AC18" s="6"/>
      <x:c r="AD18" s="6"/>
      <x:c r="AE18" s="6"/>
      <x:c r="AF18" s="6"/>
      <x:c r="AG18" s="6"/>
      <x:c r="AH18" s="6"/>
      <x:c r="AI18" s="6"/>
    </x:row>
    <x:row r="19" ht="23.100000381469727" customHeight="1">
      <x:c r="A19" s="14">
        <x:v>1</x:v>
      </x:c>
      <x:c r="B19" s="14">
        <x:v>1010070</x:v>
      </x:c>
      <x:c r="C19" s="6" t="s">
        <x:v>175</x:v>
      </x:c>
      <x:c r="D19" s="6" t="s">
        <x:v>83</x:v>
      </x:c>
      <x:c r="E19" s="6">
        <x:v>7</x:v>
      </x:c>
      <x:c r="F19" s="6">
        <x:v>14</x:v>
      </x:c>
      <x:c r="G19" s="6">
        <x:f t="shared" si="0"/>
        <x:v>6</x:v>
      </x:c>
      <x:c r="H19" s="6">
        <x:f t="shared" si="4"/>
        <x:v>0</x:v>
      </x:c>
      <x:c r="I19" s="6" t="n">
        <x:f>IF(V19&gt;MAX(英雄升级调参!$G$66:$G$115),"超50级",COUNTIF(英雄升级调参!$G$66:$G$115,"&lt;"&amp;V19)+1)</x:f>
        <x:v>6</x:v>
      </x:c>
      <x:c r="J19" s="6" t="n">
        <x:f>IF(V19&gt;MAX(英雄升级调参!$J$66:$J$115),"超50级",COUNTIF(英雄升级调参!$J$66:$J$115,"&lt;"&amp;V19)+1)</x:f>
        <x:v>1</x:v>
      </x:c>
      <x:c r="K19" s="6" t="n">
        <x:f>IF(V19&gt;MAX(英雄升级调参!$M$66:$M$115),"超50级",COUNTIF(英雄升级调参!$M$66:$M$115,"&lt;"&amp;V19)+1)</x:f>
        <x:v>1</x:v>
      </x:c>
      <x:c r="L19" s="6" t="s">
        <x:v>162</x:v>
      </x:c>
      <x:c r="M19" s="12">
        <x:f>INDEX(怪物等级!$F$13:$F$62,G19)</x:f>
        <x:v>780</x:v>
      </x:c>
      <x:c r="N19" s="12">
        <x:f>INDEX(怪物等级!$G$13:$G$62,G19)</x:f>
        <x:v>195</x:v>
      </x:c>
      <x:c r="O19" s="12">
        <x:f>INDEX(怪物等级!$F$113:$F$162,G19)</x:f>
        <x:v>2925</x:v>
      </x:c>
      <x:c r="P19" s="12">
        <x:f>INDEX(怪物等级!$F$163:$F$212,G19)</x:f>
        <x:v>5850</x:v>
      </x:c>
      <x:c r="Q19" s="6" t="s">
        <x:v>176</x:v>
      </x:c>
      <x:c r="R19" s="6">
        <x:v>7</x:v>
      </x:c>
      <x:c r="S19" s="6">
        <x:f t="shared" si="1"/>
        <x:v>1</x:v>
      </x:c>
      <x:c r="T19" s="6">
        <x:f t="shared" si="2"/>
        <x:v>5</x:v>
      </x:c>
      <x:c r="U19" s="6">
        <x:v>9</x:v>
      </x:c>
      <x:c r="V19" s="6">
        <x:f>INDEX(英雄升级调参!$G$66:$G$115,G19)</x:f>
        <x:v>380250</x:v>
      </x:c>
      <x:c r="W19" s="6" t="str">
        <x:f t="shared" si="3"/>
        <x:v>范围内</x:v>
      </x:c>
      <x:c r="Y19" s="6"/>
      <x:c r="Z19" s="6"/>
      <x:c r="AA19" s="6"/>
      <x:c r="AB19" s="6"/>
      <x:c r="AC19" s="6"/>
      <x:c r="AD19" s="6"/>
      <x:c r="AE19" s="6"/>
      <x:c r="AF19" s="6"/>
      <x:c r="AG19" s="6"/>
      <x:c r="AH19" s="6"/>
      <x:c r="AI19" s="6"/>
    </x:row>
    <x:row r="20" ht="23.100000381469727" customHeight="1">
      <x:c r="A20" s="14">
        <x:v>1</x:v>
      </x:c>
      <x:c r="B20" s="14">
        <x:v>1010071</x:v>
      </x:c>
      <x:c r="C20" s="6" t="s">
        <x:v>175</x:v>
      </x:c>
      <x:c r="D20" s="6" t="s">
        <x:v>177</x:v>
      </x:c>
      <x:c r="E20" s="6">
        <x:v>8</x:v>
      </x:c>
      <x:c r="F20" s="6">
        <x:v>14</x:v>
      </x:c>
      <x:c r="G20" s="6">
        <x:f t="shared" si="0"/>
        <x:v>7</x:v>
      </x:c>
      <x:c r="H20" s="6">
        <x:f t="shared" si="4"/>
        <x:v>1</x:v>
      </x:c>
      <x:c r="I20" s="6" t="n">
        <x:f>IF(V20&gt;MAX(英雄升级调参!$G$66:$G$115),"超50级",COUNTIF(英雄升级调参!$G$66:$G$115,"&lt;"&amp;V20)+1)</x:f>
        <x:v>7</x:v>
      </x:c>
      <x:c r="J20" s="6" t="n">
        <x:f>IF(V20&gt;MAX(英雄升级调参!$J$66:$J$115),"超50级",COUNTIF(英雄升级调参!$J$66:$J$115,"&lt;"&amp;V20)+1)</x:f>
        <x:v>2</x:v>
      </x:c>
      <x:c r="K20" s="6" t="n">
        <x:f>IF(V20&gt;MAX(英雄升级调参!$M$66:$M$115),"超50级",COUNTIF(英雄升级调参!$M$66:$M$115,"&lt;"&amp;V20)+1)</x:f>
        <x:v>1</x:v>
      </x:c>
      <x:c r="L20" s="6" t="s">
        <x:v>162</x:v>
      </x:c>
      <x:c r="M20" s="12">
        <x:f>INDEX(怪物等级!$F$13:$F$62,G20)</x:f>
        <x:v>888</x:v>
      </x:c>
      <x:c r="N20" s="12">
        <x:f>INDEX(怪物等级!$G$13:$G$62,G20)</x:f>
        <x:v>222</x:v>
      </x:c>
      <x:c r="O20" s="12">
        <x:f>INDEX(怪物等级!$F$113:$F$162,G20)</x:f>
        <x:v>3330</x:v>
      </x:c>
      <x:c r="P20" s="12">
        <x:f>INDEX(怪物等级!$F$163:$F$212,G20)</x:f>
        <x:v>6660</x:v>
      </x:c>
      <x:c r="Q20" s="6" t="s">
        <x:v>178</x:v>
      </x:c>
      <x:c r="R20" s="6">
        <x:v>8</x:v>
      </x:c>
      <x:c r="S20" s="6">
        <x:f t="shared" si="1"/>
        <x:v>1</x:v>
      </x:c>
      <x:c r="T20" s="6">
        <x:f t="shared" si="2"/>
        <x:v>6</x:v>
      </x:c>
      <x:c r="U20" s="6">
        <x:v>9</x:v>
      </x:c>
      <x:c r="V20" s="6">
        <x:f>INDEX(英雄升级调参!$G$66:$G$115,G20)</x:f>
        <x:v>492840</x:v>
      </x:c>
      <x:c r="W20" s="6" t="str">
        <x:f t="shared" si="3"/>
        <x:v>范围内</x:v>
      </x:c>
      <x:c r="Y20" s="6"/>
      <x:c r="Z20" s="6"/>
      <x:c r="AA20" s="6"/>
      <x:c r="AB20" s="6"/>
      <x:c r="AC20" s="6"/>
      <x:c r="AD20" s="6"/>
      <x:c r="AE20" s="6"/>
      <x:c r="AF20" s="6"/>
      <x:c r="AG20" s="6"/>
      <x:c r="AH20" s="6"/>
      <x:c r="AI20" s="6"/>
    </x:row>
    <x:row r="21" ht="23.100000381469727" customHeight="1">
      <x:c r="A21" s="14">
        <x:v>1</x:v>
      </x:c>
      <x:c r="B21" s="14">
        <x:v>1010072</x:v>
      </x:c>
      <x:c r="C21" s="6" t="s">
        <x:v>175</x:v>
      </x:c>
      <x:c r="D21" s="6" t="s">
        <x:v>177</x:v>
      </x:c>
      <x:c r="E21" s="6">
        <x:v>9</x:v>
      </x:c>
      <x:c r="F21" s="6">
        <x:v>14</x:v>
      </x:c>
      <x:c r="G21" s="6">
        <x:f t="shared" si="0"/>
        <x:v>10</x:v>
      </x:c>
      <x:c r="H21" s="6">
        <x:f t="shared" si="4"/>
        <x:v>3</x:v>
      </x:c>
      <x:c r="I21" s="6" t="n">
        <x:f>IF(V21&gt;MAX(英雄升级调参!$G$66:$G$115),"超50级",COUNTIF(英雄升级调参!$G$66:$G$115,"&lt;"&amp;V21)+1)</x:f>
        <x:v>10</x:v>
      </x:c>
      <x:c r="J21" s="6" t="n">
        <x:f>IF(V21&gt;MAX(英雄升级调参!$J$66:$J$115),"超50级",COUNTIF(英雄升级调参!$J$66:$J$115,"&lt;"&amp;V21)+1)</x:f>
        <x:v>5</x:v>
      </x:c>
      <x:c r="K21" s="6" t="n">
        <x:f>IF(V21&gt;MAX(英雄升级调参!$M$66:$M$115),"超50级",COUNTIF(英雄升级调参!$M$66:$M$115,"&lt;"&amp;V21)+1)</x:f>
        <x:v>1</x:v>
      </x:c>
      <x:c r="L21" s="6" t="s">
        <x:v>179</x:v>
      </x:c>
      <x:c r="M21" s="12">
        <x:f>INDEX(怪物等级!$F$13:$F$62,G21)</x:f>
        <x:v>1428</x:v>
      </x:c>
      <x:c r="N21" s="12">
        <x:f>INDEX(怪物等级!$G$13:$G$62,G21)</x:f>
        <x:v>357</x:v>
      </x:c>
      <x:c r="O21" s="12">
        <x:f>INDEX(怪物等级!$F$113:$F$162,G21)</x:f>
        <x:v>5355</x:v>
      </x:c>
      <x:c r="P21" s="12">
        <x:f>INDEX(怪物等级!$F$163:$F$212,G21)</x:f>
        <x:v>10710</x:v>
      </x:c>
      <x:c r="Q21" s="6" t="s">
        <x:v>180</x:v>
      </x:c>
      <x:c r="R21" s="6">
        <x:v>9</x:v>
      </x:c>
      <x:c r="S21" s="6">
        <x:f t="shared" si="1"/>
        <x:v>2</x:v>
      </x:c>
      <x:c r="T21" s="6">
        <x:f t="shared" si="2"/>
        <x:v>6</x:v>
      </x:c>
      <x:c r="U21" s="6">
        <x:v>9</x:v>
      </x:c>
      <x:c r="V21" s="6">
        <x:f>INDEX(英雄升级调参!$G$66:$G$115,G21)</x:f>
        <x:v>1274490</x:v>
      </x:c>
      <x:c r="W21" s="6" t="str">
        <x:f t="shared" si="3"/>
        <x:v>范围内</x:v>
      </x:c>
      <x:c r="Y21" s="6"/>
      <x:c r="Z21" s="6"/>
      <x:c r="AA21" s="6"/>
      <x:c r="AB21" s="6"/>
      <x:c r="AC21" s="6"/>
      <x:c r="AD21" s="6"/>
      <x:c r="AE21" s="6"/>
      <x:c r="AF21" s="6"/>
      <x:c r="AG21" s="6"/>
      <x:c r="AH21" s="6"/>
      <x:c r="AI21" s="6"/>
    </x:row>
    <x:row r="22" ht="23.100000381469727" customHeight="1">
      <x:c r="A22" s="14">
        <x:v>1</x:v>
      </x:c>
      <x:c r="B22" s="14">
        <x:v>1010073</x:v>
      </x:c>
      <x:c r="C22" s="6" t="s">
        <x:v>175</x:v>
      </x:c>
      <x:c r="D22" s="6" t="s">
        <x:v>181</x:v>
      </x:c>
      <x:c r="E22" s="6">
        <x:v>10</x:v>
      </x:c>
      <x:c r="F22" s="6">
        <x:v>14</x:v>
      </x:c>
      <x:c r="G22" s="6">
        <x:f t="shared" si="0"/>
        <x:v>10</x:v>
      </x:c>
      <x:c r="H22" s="6" t="s">
        <x:v>182</x:v>
      </x:c>
      <x:c r="I22" s="6" t="n">
        <x:f>IF(V22&gt;MAX(英雄升级调参!$G$66:$G$115),"超50级",COUNTIF(英雄升级调参!$G$66:$G$115,"&lt;"&amp;V22)+1)</x:f>
        <x:v>10</x:v>
      </x:c>
      <x:c r="J22" s="6" t="n">
        <x:f>IF(V22&gt;MAX(英雄升级调参!$J$66:$J$115),"超50级",COUNTIF(英雄升级调参!$J$66:$J$115,"&lt;"&amp;V22)+1)</x:f>
        <x:v>5</x:v>
      </x:c>
      <x:c r="K22" s="6" t="n">
        <x:f>IF(V22&gt;MAX(英雄升级调参!$M$66:$M$115),"超50级",COUNTIF(英雄升级调参!$M$66:$M$115,"&lt;"&amp;V22)+1)</x:f>
        <x:v>1</x:v>
      </x:c>
      <x:c r="L22" s="6" t="s">
        <x:v>183</x:v>
      </x:c>
      <x:c r="M22" s="12">
        <x:f>INDEX(怪物等级!$F$13:$F$62,G22)</x:f>
        <x:v>1428</x:v>
      </x:c>
      <x:c r="N22" s="12">
        <x:f>INDEX(怪物等级!$G$13:$G$62,G22)</x:f>
        <x:v>357</x:v>
      </x:c>
      <x:c r="O22" s="12">
        <x:f>INDEX(怪物等级!$F$113:$F$162,G22)</x:f>
        <x:v>5355</x:v>
      </x:c>
      <x:c r="P22" s="12">
        <x:f>INDEX(怪物等级!$F$163:$F$212,G22)</x:f>
        <x:v>10710</x:v>
      </x:c>
      <x:c r="Q22" s="6" t="s">
        <x:v>184</x:v>
      </x:c>
      <x:c r="R22" s="6">
        <x:v>9</x:v>
      </x:c>
      <x:c r="S22" s="6">
        <x:f t="shared" si="1"/>
        <x:v>2</x:v>
      </x:c>
      <x:c r="T22" s="6">
        <x:f t="shared" si="2"/>
        <x:v>6</x:v>
      </x:c>
      <x:c r="U22" s="6">
        <x:v>9</x:v>
      </x:c>
      <x:c r="V22" s="6">
        <x:f>INDEX(英雄升级调参!$G$66:$G$115,G22)</x:f>
        <x:v>1274490</x:v>
      </x:c>
      <x:c r="W22" s="6" t="str">
        <x:f t="shared" si="3"/>
        <x:v>范围内</x:v>
      </x:c>
      <x:c r="Y22" s="6"/>
      <x:c r="Z22" s="6"/>
      <x:c r="AA22" s="6"/>
      <x:c r="AB22" s="6"/>
      <x:c r="AC22" s="6"/>
      <x:c r="AD22" s="6"/>
      <x:c r="AE22" s="6"/>
      <x:c r="AF22" s="6"/>
      <x:c r="AG22" s="6"/>
      <x:c r="AH22" s="6"/>
      <x:c r="AI22" s="6"/>
    </x:row>
    <x:row r="23" ht="23.100000381469727" customHeight="1">
      <x:c r="A23" s="14">
        <x:v>2</x:v>
      </x:c>
      <x:c r="B23" s="14">
        <x:v>1020010</x:v>
      </x:c>
      <x:c r="C23" s="6" t="s">
        <x:v>185</x:v>
      </x:c>
      <x:c r="D23" s="6" t="s">
        <x:v>83</x:v>
      </x:c>
      <x:c r="E23" s="6">
        <x:v>1</x:v>
      </x:c>
      <x:c r="F23" s="6">
        <x:v>16</x:v>
      </x:c>
      <x:c r="G23" s="6" t="n">
        <x:f t="shared" ref="G23:G32" si="5">$Z$10+S23*$AB$10+IF($AD$10&gt;0,ROUNDDOWN($AE$10*T23/$AD$10,0),0)</x:f>
        <x:v>11</x:v>
      </x:c>
      <x:c r="H23" s="6" t="n">
        <x:f>G23-G21</x:f>
        <x:v>1</x:v>
      </x:c>
      <x:c r="I23" s="6" t="n">
        <x:f>IF(V23&gt;MAX(英雄升级调参!$G$66:$G$115),"超50级",COUNTIF(英雄升级调参!$G$66:$G$115,"&lt;"&amp;V23)+1)</x:f>
        <x:v>11</x:v>
      </x:c>
      <x:c r="J23" s="6" t="n">
        <x:f>IF(V23&gt;MAX(英雄升级调参!$J$66:$J$115),"超50级",COUNTIF(英雄升级调参!$J$66:$J$115,"&lt;"&amp;V23)+1)</x:f>
        <x:v>6</x:v>
      </x:c>
      <x:c r="K23" s="6" t="n">
        <x:f>IF(V23&gt;MAX(英雄升级调参!$M$66:$M$115),"超50级",COUNTIF(英雄升级调参!$M$66:$M$115,"&lt;"&amp;V23)+1)</x:f>
        <x:v>2</x:v>
      </x:c>
      <x:c r="L23" s="6" t="s">
        <x:v>162</x:v>
      </x:c>
      <x:c r="M23" s="12">
        <x:f>INDEX(怪物等级!$F$13:$F$62,G23)</x:f>
        <x:v>1572</x:v>
      </x:c>
      <x:c r="N23" s="12">
        <x:f>INDEX(怪物等级!$G$13:$G$62,G23)</x:f>
        <x:v>393</x:v>
      </x:c>
      <x:c r="O23" s="12">
        <x:f>INDEX(怪物等级!$F$113:$F$162,G23)</x:f>
        <x:v>5895</x:v>
      </x:c>
      <x:c r="P23" s="12">
        <x:f>INDEX(怪物等级!$F$163:$F$212,G23)</x:f>
        <x:v>11790</x:v>
      </x:c>
      <x:c r="Q23" s="6" t="s">
        <x:v>186</x:v>
      </x:c>
      <x:c r="R23" s="6">
        <x:v>1</x:v>
      </x:c>
      <x:c r="S23" s="6" t="n">
        <x:f t="shared" ref="S23:S32" si="6">IF(R23&gt;=5,1,0)+IF(AND(R23=$AC$10,$AC$10&lt;&gt;5),1,0)</x:f>
        <x:v>0</x:v>
      </x:c>
      <x:c r="T23" s="6">
        <x:f t="shared" si="2"/>
        <x:v>0</x:v>
      </x:c>
      <x:c r="U23" s="6">
        <x:v>10</x:v>
      </x:c>
      <x:c r="V23" s="6">
        <x:f>INDEX(英雄升级调参!$G$66:$G$115,G23)</x:f>
        <x:v>1544490</x:v>
      </x:c>
      <x:c r="W23" s="6" t="str">
        <x:f t="shared" ref="W23:W32" si="7">IF(AND(G23&gt;=1,G23&lt;=50,$AE$10&gt;=0),"范围内","需调整预算")</x:f>
        <x:v>范围内</x:v>
      </x:c>
      <x:c r="Y23" s="6"/>
      <x:c r="Z23" s="6"/>
      <x:c r="AA23" s="6"/>
      <x:c r="AB23" s="6"/>
      <x:c r="AC23" s="6"/>
      <x:c r="AD23" s="6"/>
      <x:c r="AE23" s="6"/>
      <x:c r="AF23" s="6"/>
      <x:c r="AG23" s="6"/>
      <x:c r="AH23" s="6"/>
      <x:c r="AI23" s="6"/>
    </x:row>
    <x:row r="24" ht="23.100000381469727" customHeight="1">
      <x:c r="A24" s="14">
        <x:v>2</x:v>
      </x:c>
      <x:c r="B24" s="14">
        <x:v>1020020</x:v>
      </x:c>
      <x:c r="C24" s="6" t="s">
        <x:v>187</x:v>
      </x:c>
      <x:c r="D24" s="6" t="s">
        <x:v>83</x:v>
      </x:c>
      <x:c r="E24" s="6">
        <x:v>2</x:v>
      </x:c>
      <x:c r="F24" s="6">
        <x:v>18</x:v>
      </x:c>
      <x:c r="G24" s="6">
        <x:f t="shared" si="5"/>
        <x:v>11</x:v>
      </x:c>
      <x:c r="H24" s="6" t="n">
        <x:f t="shared" ref="H24:H43" si="8">G24-G23</x:f>
        <x:v>0</x:v>
      </x:c>
      <x:c r="I24" s="6" t="n">
        <x:f>IF(V24&gt;MAX(英雄升级调参!$G$66:$G$115),"超50级",COUNTIF(英雄升级调参!$G$66:$G$115,"&lt;"&amp;V24)+1)</x:f>
        <x:v>11</x:v>
      </x:c>
      <x:c r="J24" s="6" t="n">
        <x:f>IF(V24&gt;MAX(英雄升级调参!$J$66:$J$115),"超50级",COUNTIF(英雄升级调参!$J$66:$J$115,"&lt;"&amp;V24)+1)</x:f>
        <x:v>6</x:v>
      </x:c>
      <x:c r="K24" s="6" t="n">
        <x:f>IF(V24&gt;MAX(英雄升级调参!$M$66:$M$115),"超50级",COUNTIF(英雄升级调参!$M$66:$M$115,"&lt;"&amp;V24)+1)</x:f>
        <x:v>2</x:v>
      </x:c>
      <x:c r="L24" s="6" t="s">
        <x:v>162</x:v>
      </x:c>
      <x:c r="M24" s="12">
        <x:f>INDEX(怪物等级!$F$13:$F$62,G24)</x:f>
        <x:v>1572</x:v>
      </x:c>
      <x:c r="N24" s="12">
        <x:f>INDEX(怪物等级!$G$13:$G$62,G24)</x:f>
        <x:v>393</x:v>
      </x:c>
      <x:c r="O24" s="12">
        <x:f>INDEX(怪物等级!$F$113:$F$162,G24)</x:f>
        <x:v>5895</x:v>
      </x:c>
      <x:c r="P24" s="12">
        <x:f>INDEX(怪物等级!$F$163:$F$212,G24)</x:f>
        <x:v>11790</x:v>
      </x:c>
      <x:c r="Q24" s="6" t="s">
        <x:v>188</x:v>
      </x:c>
      <x:c r="R24" s="6">
        <x:v>2</x:v>
      </x:c>
      <x:c r="S24" s="6">
        <x:f t="shared" si="6"/>
        <x:v>0</x:v>
      </x:c>
      <x:c r="T24" s="6">
        <x:f t="shared" si="2"/>
        <x:v>1</x:v>
      </x:c>
      <x:c r="U24" s="6">
        <x:v>10</x:v>
      </x:c>
      <x:c r="V24" s="6">
        <x:f>INDEX(英雄升级调参!$G$66:$G$115,G24)</x:f>
        <x:v>1544490</x:v>
      </x:c>
      <x:c r="W24" s="6" t="str">
        <x:f t="shared" si="7"/>
        <x:v>范围内</x:v>
      </x:c>
      <x:c r="Y24" s="6"/>
      <x:c r="Z24" s="6"/>
      <x:c r="AA24" s="6"/>
      <x:c r="AB24" s="6"/>
      <x:c r="AC24" s="6"/>
      <x:c r="AD24" s="6"/>
      <x:c r="AE24" s="6"/>
      <x:c r="AF24" s="6"/>
      <x:c r="AG24" s="6"/>
      <x:c r="AH24" s="6"/>
      <x:c r="AI24" s="6"/>
    </x:row>
    <x:row r="25" ht="23.100000381469727" customHeight="1">
      <x:c r="A25" s="14">
        <x:v>2</x:v>
      </x:c>
      <x:c r="B25" s="14">
        <x:v>1020030</x:v>
      </x:c>
      <x:c r="C25" s="6" t="s">
        <x:v>189</x:v>
      </x:c>
      <x:c r="D25" s="6" t="s">
        <x:v>83</x:v>
      </x:c>
      <x:c r="E25" s="6">
        <x:v>3</x:v>
      </x:c>
      <x:c r="F25" s="6">
        <x:v>20</x:v>
      </x:c>
      <x:c r="G25" s="6">
        <x:f t="shared" si="5"/>
        <x:v>11</x:v>
      </x:c>
      <x:c r="H25" s="6">
        <x:f t="shared" si="8"/>
        <x:v>0</x:v>
      </x:c>
      <x:c r="I25" s="6" t="n">
        <x:f>IF(V25&gt;MAX(英雄升级调参!$G$66:$G$115),"超50级",COUNTIF(英雄升级调参!$G$66:$G$115,"&lt;"&amp;V25)+1)</x:f>
        <x:v>11</x:v>
      </x:c>
      <x:c r="J25" s="6" t="n">
        <x:f>IF(V25&gt;MAX(英雄升级调参!$J$66:$J$115),"超50级",COUNTIF(英雄升级调参!$J$66:$J$115,"&lt;"&amp;V25)+1)</x:f>
        <x:v>6</x:v>
      </x:c>
      <x:c r="K25" s="6" t="n">
        <x:f>IF(V25&gt;MAX(英雄升级调参!$M$66:$M$115),"超50级",COUNTIF(英雄升级调参!$M$66:$M$115,"&lt;"&amp;V25)+1)</x:f>
        <x:v>2</x:v>
      </x:c>
      <x:c r="L25" s="6" t="s">
        <x:v>162</x:v>
      </x:c>
      <x:c r="M25" s="12">
        <x:f>INDEX(怪物等级!$F$13:$F$62,G25)</x:f>
        <x:v>1572</x:v>
      </x:c>
      <x:c r="N25" s="12">
        <x:f>INDEX(怪物等级!$G$13:$G$62,G25)</x:f>
        <x:v>393</x:v>
      </x:c>
      <x:c r="O25" s="12">
        <x:f>INDEX(怪物等级!$F$113:$F$162,G25)</x:f>
        <x:v>5895</x:v>
      </x:c>
      <x:c r="P25" s="12">
        <x:f>INDEX(怪物等级!$F$163:$F$212,G25)</x:f>
        <x:v>11790</x:v>
      </x:c>
      <x:c r="Q25" s="6" t="s">
        <x:v>190</x:v>
      </x:c>
      <x:c r="R25" s="6">
        <x:v>3</x:v>
      </x:c>
      <x:c r="S25" s="6">
        <x:f t="shared" si="6"/>
        <x:v>0</x:v>
      </x:c>
      <x:c r="T25" s="6">
        <x:f t="shared" si="2"/>
        <x:v>2</x:v>
      </x:c>
      <x:c r="U25" s="6">
        <x:v>10</x:v>
      </x:c>
      <x:c r="V25" s="6">
        <x:f>INDEX(英雄升级调参!$G$66:$G$115,G25)</x:f>
        <x:v>1544490</x:v>
      </x:c>
      <x:c r="W25" s="6" t="str">
        <x:f t="shared" si="7"/>
        <x:v>范围内</x:v>
      </x:c>
      <x:c r="Y25" s="6"/>
      <x:c r="Z25" s="6"/>
      <x:c r="AA25" s="6"/>
      <x:c r="AB25" s="6"/>
      <x:c r="AC25" s="6"/>
      <x:c r="AD25" s="6"/>
      <x:c r="AE25" s="6"/>
      <x:c r="AF25" s="6"/>
      <x:c r="AG25" s="6"/>
      <x:c r="AH25" s="6"/>
      <x:c r="AI25" s="6"/>
    </x:row>
    <x:row r="26" ht="23.100000381469727" customHeight="1">
      <x:c r="A26" s="14">
        <x:v>2</x:v>
      </x:c>
      <x:c r="B26" s="14">
        <x:v>1020040</x:v>
      </x:c>
      <x:c r="C26" s="6" t="s">
        <x:v>191</x:v>
      </x:c>
      <x:c r="D26" s="6" t="s">
        <x:v>83</x:v>
      </x:c>
      <x:c r="E26" s="6">
        <x:v>4</x:v>
      </x:c>
      <x:c r="F26" s="6">
        <x:v>22</x:v>
      </x:c>
      <x:c r="G26" s="6">
        <x:f t="shared" si="5"/>
        <x:v>12</x:v>
      </x:c>
      <x:c r="H26" s="6">
        <x:f t="shared" si="8"/>
        <x:v>1</x:v>
      </x:c>
      <x:c r="I26" s="6" t="n">
        <x:f>IF(V26&gt;MAX(英雄升级调参!$G$66:$G$115),"超50级",COUNTIF(英雄升级调参!$G$66:$G$115,"&lt;"&amp;V26)+1)</x:f>
        <x:v>12</x:v>
      </x:c>
      <x:c r="J26" s="6" t="n">
        <x:f>IF(V26&gt;MAX(英雄升级调参!$J$66:$J$115),"超50级",COUNTIF(英雄升级调参!$J$66:$J$115,"&lt;"&amp;V26)+1)</x:f>
        <x:v>7</x:v>
      </x:c>
      <x:c r="K26" s="6" t="n">
        <x:f>IF(V26&gt;MAX(英雄升级调参!$M$66:$M$115),"超50级",COUNTIF(英雄升级调参!$M$66:$M$115,"&lt;"&amp;V26)+1)</x:f>
        <x:v>3</x:v>
      </x:c>
      <x:c r="L26" s="6" t="s">
        <x:v>162</x:v>
      </x:c>
      <x:c r="M26" s="12">
        <x:f>INDEX(怪物等级!$F$13:$F$62,G26)</x:f>
        <x:v>1716</x:v>
      </x:c>
      <x:c r="N26" s="12">
        <x:f>INDEX(怪物等级!$G$13:$G$62,G26)</x:f>
        <x:v>429</x:v>
      </x:c>
      <x:c r="O26" s="12">
        <x:f>INDEX(怪物等级!$F$113:$F$162,G26)</x:f>
        <x:v>6435</x:v>
      </x:c>
      <x:c r="P26" s="12">
        <x:f>INDEX(怪物等级!$F$163:$F$212,G26)</x:f>
        <x:v>12870</x:v>
      </x:c>
      <x:c r="Q26" s="6" t="s">
        <x:v>192</x:v>
      </x:c>
      <x:c r="R26" s="6">
        <x:v>4</x:v>
      </x:c>
      <x:c r="S26" s="6">
        <x:f t="shared" si="6"/>
        <x:v>0</x:v>
      </x:c>
      <x:c r="T26" s="6">
        <x:f t="shared" si="2"/>
        <x:v>3</x:v>
      </x:c>
      <x:c r="U26" s="6">
        <x:v>10</x:v>
      </x:c>
      <x:c r="V26" s="6">
        <x:f>INDEX(英雄升级调参!$G$66:$G$115,G26)</x:f>
        <x:v>1840410</x:v>
      </x:c>
      <x:c r="W26" s="6" t="str">
        <x:f t="shared" si="7"/>
        <x:v>范围内</x:v>
      </x:c>
      <x:c r="Y26" s="6"/>
      <x:c r="Z26" s="6"/>
      <x:c r="AA26" s="6"/>
      <x:c r="AB26" s="6"/>
      <x:c r="AC26" s="6"/>
      <x:c r="AD26" s="6"/>
      <x:c r="AE26" s="6"/>
      <x:c r="AF26" s="6"/>
      <x:c r="AG26" s="6"/>
      <x:c r="AH26" s="6"/>
      <x:c r="AI26" s="6"/>
    </x:row>
    <x:row r="27" ht="23.100000381469727" customHeight="1">
      <x:c r="A27" s="14">
        <x:v>2</x:v>
      </x:c>
      <x:c r="B27" s="14">
        <x:v>1020050</x:v>
      </x:c>
      <x:c r="C27" s="6" t="s">
        <x:v>193</x:v>
      </x:c>
      <x:c r="D27" s="6" t="s">
        <x:v>83</x:v>
      </x:c>
      <x:c r="E27" s="6">
        <x:v>5</x:v>
      </x:c>
      <x:c r="F27" s="6">
        <x:v>24</x:v>
      </x:c>
      <x:c r="G27" s="6">
        <x:f t="shared" si="5"/>
        <x:v>15</x:v>
      </x:c>
      <x:c r="H27" s="6">
        <x:f t="shared" si="8"/>
        <x:v>3</x:v>
      </x:c>
      <x:c r="I27" s="6" t="n">
        <x:f>IF(V27&gt;MAX(英雄升级调参!$G$66:$G$115),"超50级",COUNTIF(英雄升级调参!$G$66:$G$115,"&lt;"&amp;V27)+1)</x:f>
        <x:v>15</x:v>
      </x:c>
      <x:c r="J27" s="6" t="n">
        <x:f>IF(V27&gt;MAX(英雄升级调参!$J$66:$J$115),"超50级",COUNTIF(英雄升级调参!$J$66:$J$115,"&lt;"&amp;V27)+1)</x:f>
        <x:v>10</x:v>
      </x:c>
      <x:c r="K27" s="6" t="n">
        <x:f>IF(V27&gt;MAX(英雄升级调参!$M$66:$M$115),"超50级",COUNTIF(英雄升级调参!$M$66:$M$115,"&lt;"&amp;V27)+1)</x:f>
        <x:v>5</x:v>
      </x:c>
      <x:c r="L27" s="6" t="s">
        <x:v>171</x:v>
      </x:c>
      <x:c r="M27" s="12">
        <x:f>INDEX(怪物等级!$F$13:$F$62,G27)</x:f>
        <x:v>2436</x:v>
      </x:c>
      <x:c r="N27" s="12">
        <x:f>INDEX(怪物等级!$G$13:$G$62,G27)</x:f>
        <x:v>609</x:v>
      </x:c>
      <x:c r="O27" s="12">
        <x:f>INDEX(怪物等级!$F$113:$F$162,G27)</x:f>
        <x:v>9135</x:v>
      </x:c>
      <x:c r="P27" s="12">
        <x:f>INDEX(怪物等级!$F$163:$F$212,G27)</x:f>
        <x:v>18270</x:v>
      </x:c>
      <x:c r="Q27" s="6" t="s">
        <x:v>194</x:v>
      </x:c>
      <x:c r="R27" s="6">
        <x:v>5</x:v>
      </x:c>
      <x:c r="S27" s="6">
        <x:f t="shared" si="6"/>
        <x:v>1</x:v>
      </x:c>
      <x:c r="T27" s="6">
        <x:f t="shared" si="2"/>
        <x:v>3</x:v>
      </x:c>
      <x:c r="U27" s="6">
        <x:v>10</x:v>
      </x:c>
      <x:c r="V27" s="6">
        <x:f>INDEX(英雄升级调参!$G$66:$G$115,G27)</x:f>
        <x:v>3708810</x:v>
      </x:c>
      <x:c r="W27" s="6" t="str">
        <x:f t="shared" si="7"/>
        <x:v>范围内</x:v>
      </x:c>
      <x:c r="Y27" s="6"/>
      <x:c r="Z27" s="6"/>
      <x:c r="AA27" s="6"/>
      <x:c r="AB27" s="6"/>
      <x:c r="AC27" s="6"/>
      <x:c r="AD27" s="6"/>
      <x:c r="AE27" s="6"/>
      <x:c r="AF27" s="6"/>
      <x:c r="AG27" s="6"/>
      <x:c r="AH27" s="6"/>
      <x:c r="AI27" s="6"/>
    </x:row>
    <x:row r="28" ht="23.100000381469727" customHeight="1">
      <x:c r="A28" s="14">
        <x:v>2</x:v>
      </x:c>
      <x:c r="B28" s="14">
        <x:v>1020060</x:v>
      </x:c>
      <x:c r="C28" s="6" t="s">
        <x:v>195</x:v>
      </x:c>
      <x:c r="D28" s="6" t="s">
        <x:v>83</x:v>
      </x:c>
      <x:c r="E28" s="6">
        <x:v>6</x:v>
      </x:c>
      <x:c r="F28" s="6">
        <x:v>26</x:v>
      </x:c>
      <x:c r="G28" s="6">
        <x:f t="shared" si="5"/>
        <x:v>15</x:v>
      </x:c>
      <x:c r="H28" s="6">
        <x:f t="shared" si="8"/>
        <x:v>0</x:v>
      </x:c>
      <x:c r="I28" s="6" t="n">
        <x:f>IF(V28&gt;MAX(英雄升级调参!$G$66:$G$115),"超50级",COUNTIF(英雄升级调参!$G$66:$G$115,"&lt;"&amp;V28)+1)</x:f>
        <x:v>15</x:v>
      </x:c>
      <x:c r="J28" s="6" t="n">
        <x:f>IF(V28&gt;MAX(英雄升级调参!$J$66:$J$115),"超50级",COUNTIF(英雄升级调参!$J$66:$J$115,"&lt;"&amp;V28)+1)</x:f>
        <x:v>10</x:v>
      </x:c>
      <x:c r="K28" s="6" t="n">
        <x:f>IF(V28&gt;MAX(英雄升级调参!$M$66:$M$115),"超50级",COUNTIF(英雄升级调参!$M$66:$M$115,"&lt;"&amp;V28)+1)</x:f>
        <x:v>5</x:v>
      </x:c>
      <x:c r="L28" s="6" t="s">
        <x:v>162</x:v>
      </x:c>
      <x:c r="M28" s="12">
        <x:f>INDEX(怪物等级!$F$13:$F$62,G28)</x:f>
        <x:v>2436</x:v>
      </x:c>
      <x:c r="N28" s="12">
        <x:f>INDEX(怪物等级!$G$13:$G$62,G28)</x:f>
        <x:v>609</x:v>
      </x:c>
      <x:c r="O28" s="12">
        <x:f>INDEX(怪物等级!$F$113:$F$162,G28)</x:f>
        <x:v>9135</x:v>
      </x:c>
      <x:c r="P28" s="12">
        <x:f>INDEX(怪物等级!$F$163:$F$212,G28)</x:f>
        <x:v>18270</x:v>
      </x:c>
      <x:c r="Q28" s="6" t="s">
        <x:v>196</x:v>
      </x:c>
      <x:c r="R28" s="6">
        <x:v>6</x:v>
      </x:c>
      <x:c r="S28" s="6">
        <x:f t="shared" si="6"/>
        <x:v>1</x:v>
      </x:c>
      <x:c r="T28" s="6">
        <x:f t="shared" si="2"/>
        <x:v>4</x:v>
      </x:c>
      <x:c r="U28" s="6">
        <x:v>10</x:v>
      </x:c>
      <x:c r="V28" s="6">
        <x:f>INDEX(英雄升级调参!$G$66:$G$115,G28)</x:f>
        <x:v>3708810</x:v>
      </x:c>
      <x:c r="W28" s="6" t="str">
        <x:f t="shared" si="7"/>
        <x:v>范围内</x:v>
      </x:c>
      <x:c r="Y28" s="6"/>
      <x:c r="Z28" s="6"/>
      <x:c r="AA28" s="6"/>
      <x:c r="AB28" s="6"/>
      <x:c r="AC28" s="6"/>
      <x:c r="AD28" s="6"/>
      <x:c r="AE28" s="6"/>
      <x:c r="AF28" s="6"/>
      <x:c r="AG28" s="6"/>
      <x:c r="AH28" s="6"/>
      <x:c r="AI28" s="6"/>
    </x:row>
    <x:row r="29" ht="23.100000381469727" customHeight="1">
      <x:c r="A29" s="14">
        <x:v>2</x:v>
      </x:c>
      <x:c r="B29" s="14">
        <x:v>1020070</x:v>
      </x:c>
      <x:c r="C29" s="6" t="s">
        <x:v>197</x:v>
      </x:c>
      <x:c r="D29" s="6" t="s">
        <x:v>83</x:v>
      </x:c>
      <x:c r="E29" s="6">
        <x:v>7</x:v>
      </x:c>
      <x:c r="F29" s="6">
        <x:v>28</x:v>
      </x:c>
      <x:c r="G29" s="6">
        <x:f t="shared" si="5"/>
        <x:v>16</x:v>
      </x:c>
      <x:c r="H29" s="6">
        <x:f t="shared" si="8"/>
        <x:v>1</x:v>
      </x:c>
      <x:c r="I29" s="6" t="n">
        <x:f>IF(V29&gt;MAX(英雄升级调参!$G$66:$G$115),"超50级",COUNTIF(英雄升级调参!$G$66:$G$115,"&lt;"&amp;V29)+1)</x:f>
        <x:v>16</x:v>
      </x:c>
      <x:c r="J29" s="6" t="n">
        <x:f>IF(V29&gt;MAX(英雄升级调参!$J$66:$J$115),"超50级",COUNTIF(英雄升级调参!$J$66:$J$115,"&lt;"&amp;V29)+1)</x:f>
        <x:v>11</x:v>
      </x:c>
      <x:c r="K29" s="6" t="n">
        <x:f>IF(V29&gt;MAX(英雄升级调参!$M$66:$M$115),"超50级",COUNTIF(英雄升级调参!$M$66:$M$115,"&lt;"&amp;V29)+1)</x:f>
        <x:v>6</x:v>
      </x:c>
      <x:c r="L29" s="6" t="s">
        <x:v>162</x:v>
      </x:c>
      <x:c r="M29" s="12">
        <x:f>INDEX(怪物等级!$F$13:$F$62,G29)</x:f>
        <x:v>2616</x:v>
      </x:c>
      <x:c r="N29" s="12">
        <x:f>INDEX(怪物等级!$G$13:$G$62,G29)</x:f>
        <x:v>654</x:v>
      </x:c>
      <x:c r="O29" s="12">
        <x:f>INDEX(怪物等级!$F$113:$F$162,G29)</x:f>
        <x:v>9810</x:v>
      </x:c>
      <x:c r="P29" s="12">
        <x:f>INDEX(怪物等级!$F$163:$F$212,G29)</x:f>
        <x:v>19620</x:v>
      </x:c>
      <x:c r="Q29" s="6" t="s">
        <x:v>198</x:v>
      </x:c>
      <x:c r="R29" s="6">
        <x:v>7</x:v>
      </x:c>
      <x:c r="S29" s="6">
        <x:f t="shared" si="6"/>
        <x:v>1</x:v>
      </x:c>
      <x:c r="T29" s="6">
        <x:f t="shared" si="2"/>
        <x:v>5</x:v>
      </x:c>
      <x:c r="U29" s="6">
        <x:v>10</x:v>
      </x:c>
      <x:c r="V29" s="6">
        <x:f>INDEX(英雄升级调参!$G$66:$G$115,G29)</x:f>
        <x:v>4277160</x:v>
      </x:c>
      <x:c r="W29" s="6" t="str">
        <x:f t="shared" si="7"/>
        <x:v>范围内</x:v>
      </x:c>
      <x:c r="Y29" s="6"/>
      <x:c r="Z29" s="6"/>
      <x:c r="AA29" s="6"/>
      <x:c r="AB29" s="6"/>
      <x:c r="AC29" s="6"/>
      <x:c r="AD29" s="6"/>
      <x:c r="AE29" s="6"/>
      <x:c r="AF29" s="6"/>
      <x:c r="AG29" s="6"/>
      <x:c r="AH29" s="6"/>
      <x:c r="AI29" s="6"/>
    </x:row>
    <x:row r="30" ht="23.100000381469727" customHeight="1">
      <x:c r="A30" s="14">
        <x:v>2</x:v>
      </x:c>
      <x:c r="B30" s="14">
        <x:v>1020080</x:v>
      </x:c>
      <x:c r="C30" s="6" t="s">
        <x:v>199</x:v>
      </x:c>
      <x:c r="D30" s="6" t="s">
        <x:v>83</x:v>
      </x:c>
      <x:c r="E30" s="6">
        <x:v>8</x:v>
      </x:c>
      <x:c r="F30" s="6">
        <x:v>30</x:v>
      </x:c>
      <x:c r="G30" s="6">
        <x:f t="shared" si="5"/>
        <x:v>16</x:v>
      </x:c>
      <x:c r="H30" s="6">
        <x:f t="shared" si="8"/>
        <x:v>0</x:v>
      </x:c>
      <x:c r="I30" s="6" t="n">
        <x:f>IF(V30&gt;MAX(英雄升级调参!$G$66:$G$115),"超50级",COUNTIF(英雄升级调参!$G$66:$G$115,"&lt;"&amp;V30)+1)</x:f>
        <x:v>16</x:v>
      </x:c>
      <x:c r="J30" s="6" t="n">
        <x:f>IF(V30&gt;MAX(英雄升级调参!$J$66:$J$115),"超50级",COUNTIF(英雄升级调参!$J$66:$J$115,"&lt;"&amp;V30)+1)</x:f>
        <x:v>11</x:v>
      </x:c>
      <x:c r="K30" s="6" t="n">
        <x:f>IF(V30&gt;MAX(英雄升级调参!$M$66:$M$115),"超50级",COUNTIF(英雄升级调参!$M$66:$M$115,"&lt;"&amp;V30)+1)</x:f>
        <x:v>6</x:v>
      </x:c>
      <x:c r="L30" s="6" t="s">
        <x:v>162</x:v>
      </x:c>
      <x:c r="M30" s="12">
        <x:f>INDEX(怪物等级!$F$13:$F$62,G30)</x:f>
        <x:v>2616</x:v>
      </x:c>
      <x:c r="N30" s="12">
        <x:f>INDEX(怪物等级!$G$13:$G$62,G30)</x:f>
        <x:v>654</x:v>
      </x:c>
      <x:c r="O30" s="12">
        <x:f>INDEX(怪物等级!$F$113:$F$162,G30)</x:f>
        <x:v>9810</x:v>
      </x:c>
      <x:c r="P30" s="12">
        <x:f>INDEX(怪物等级!$F$163:$F$212,G30)</x:f>
        <x:v>19620</x:v>
      </x:c>
      <x:c r="Q30" s="6" t="s">
        <x:v>200</x:v>
      </x:c>
      <x:c r="R30" s="6">
        <x:v>8</x:v>
      </x:c>
      <x:c r="S30" s="6">
        <x:f t="shared" si="6"/>
        <x:v>1</x:v>
      </x:c>
      <x:c r="T30" s="6">
        <x:f t="shared" si="2"/>
        <x:v>6</x:v>
      </x:c>
      <x:c r="U30" s="6">
        <x:v>10</x:v>
      </x:c>
      <x:c r="V30" s="6">
        <x:f>INDEX(英雄升级调参!$G$66:$G$115,G30)</x:f>
        <x:v>4277160</x:v>
      </x:c>
      <x:c r="W30" s="6" t="str">
        <x:f t="shared" si="7"/>
        <x:v>范围内</x:v>
      </x:c>
      <x:c r="Y30" s="6"/>
      <x:c r="Z30" s="6"/>
      <x:c r="AA30" s="6"/>
      <x:c r="AB30" s="6"/>
      <x:c r="AC30" s="6"/>
      <x:c r="AD30" s="6"/>
      <x:c r="AE30" s="6"/>
      <x:c r="AF30" s="6"/>
      <x:c r="AG30" s="6"/>
      <x:c r="AH30" s="6"/>
      <x:c r="AI30" s="6"/>
    </x:row>
    <x:row r="31" ht="23.100000381469727" customHeight="1">
      <x:c r="A31" s="14">
        <x:v>2</x:v>
      </x:c>
      <x:c r="B31" s="14">
        <x:v>1020090</x:v>
      </x:c>
      <x:c r="C31" s="6" t="s">
        <x:v>201</x:v>
      </x:c>
      <x:c r="D31" s="6" t="s">
        <x:v>83</x:v>
      </x:c>
      <x:c r="E31" s="6">
        <x:v>9</x:v>
      </x:c>
      <x:c r="F31" s="6">
        <x:v>32</x:v>
      </x:c>
      <x:c r="G31" s="6">
        <x:f t="shared" si="5"/>
        <x:v>17</x:v>
      </x:c>
      <x:c r="H31" s="6">
        <x:f t="shared" si="8"/>
        <x:v>1</x:v>
      </x:c>
      <x:c r="I31" s="6" t="n">
        <x:f>IF(V31&gt;MAX(英雄升级调参!$G$66:$G$115),"超50级",COUNTIF(英雄升级调参!$G$66:$G$115,"&lt;"&amp;V31)+1)</x:f>
        <x:v>17</x:v>
      </x:c>
      <x:c r="J31" s="6" t="n">
        <x:f>IF(V31&gt;MAX(英雄升级调参!$J$66:$J$115),"超50级",COUNTIF(英雄升级调参!$J$66:$J$115,"&lt;"&amp;V31)+1)</x:f>
        <x:v>12</x:v>
      </x:c>
      <x:c r="K31" s="6" t="n">
        <x:f>IF(V31&gt;MAX(英雄升级调参!$M$66:$M$115),"超50级",COUNTIF(英雄升级调参!$M$66:$M$115,"&lt;"&amp;V31)+1)</x:f>
        <x:v>7</x:v>
      </x:c>
      <x:c r="L31" s="6" t="s">
        <x:v>162</x:v>
      </x:c>
      <x:c r="M31" s="12">
        <x:f>INDEX(怪物等级!$F$13:$F$62,G31)</x:f>
        <x:v>2796</x:v>
      </x:c>
      <x:c r="N31" s="12">
        <x:f>INDEX(怪物等级!$G$13:$G$62,G31)</x:f>
        <x:v>699</x:v>
      </x:c>
      <x:c r="O31" s="12">
        <x:f>INDEX(怪物等级!$F$113:$F$162,G31)</x:f>
        <x:v>10485</x:v>
      </x:c>
      <x:c r="P31" s="12">
        <x:f>INDEX(怪物等级!$F$163:$F$212,G31)</x:f>
        <x:v>20970</x:v>
      </x:c>
      <x:c r="Q31" s="6" t="s">
        <x:v>202</x:v>
      </x:c>
      <x:c r="R31" s="6">
        <x:v>9</x:v>
      </x:c>
      <x:c r="S31" s="6">
        <x:f t="shared" si="6"/>
        <x:v>1</x:v>
      </x:c>
      <x:c r="T31" s="6">
        <x:f t="shared" si="2"/>
        <x:v>7</x:v>
      </x:c>
      <x:c r="U31" s="6">
        <x:v>10</x:v>
      </x:c>
      <x:c r="V31" s="6">
        <x:f>INDEX(英雄升级调参!$G$66:$G$115,G31)</x:f>
        <x:v>4886010</x:v>
      </x:c>
      <x:c r="W31" s="6" t="str">
        <x:f t="shared" si="7"/>
        <x:v>范围内</x:v>
      </x:c>
      <x:c r="Y31" s="6"/>
      <x:c r="Z31" s="6"/>
      <x:c r="AA31" s="6"/>
      <x:c r="AB31" s="6"/>
      <x:c r="AC31" s="6"/>
      <x:c r="AD31" s="6"/>
      <x:c r="AE31" s="6"/>
      <x:c r="AF31" s="6"/>
      <x:c r="AG31" s="6"/>
      <x:c r="AH31" s="6"/>
      <x:c r="AI31" s="6"/>
    </x:row>
    <x:row r="32" ht="23.100000381469727" customHeight="1">
      <x:c r="A32" s="14">
        <x:v>2</x:v>
      </x:c>
      <x:c r="B32" s="14">
        <x:v>1020100</x:v>
      </x:c>
      <x:c r="C32" s="6" t="s">
        <x:v>203</x:v>
      </x:c>
      <x:c r="D32" s="6" t="s">
        <x:v>83</x:v>
      </x:c>
      <x:c r="E32" s="6">
        <x:v>10</x:v>
      </x:c>
      <x:c r="F32" s="6">
        <x:v>34</x:v>
      </x:c>
      <x:c r="G32" s="6">
        <x:f t="shared" si="5"/>
        <x:v>20</x:v>
      </x:c>
      <x:c r="H32" s="6">
        <x:f t="shared" si="8"/>
        <x:v>3</x:v>
      </x:c>
      <x:c r="I32" s="6" t="n">
        <x:f>IF(V32&gt;MAX(英雄升级调参!$G$66:$G$115),"超50级",COUNTIF(英雄升级调参!$G$66:$G$115,"&lt;"&amp;V32)+1)</x:f>
        <x:v>20</x:v>
      </x:c>
      <x:c r="J32" s="6">
        <x:f>IF(V32&gt;MAX(英雄升级调参!$J$66:$J$115),"超50级",COUNTIF(英雄升级调参!$J$66:$J$115,"&lt;"&amp;V32)+1)</x:f>
        <x:v>15</x:v>
      </x:c>
      <x:c r="K32" s="6">
        <x:f>IF(V32&gt;MAX(英雄升级调参!$M$66:$M$115),"超50级",COUNTIF(英雄升级调参!$M$66:$M$115,"&lt;"&amp;V32)+1)</x:f>
        <x:v>10</x:v>
      </x:c>
      <x:c r="L32" s="6" t="s">
        <x:v>179</x:v>
      </x:c>
      <x:c r="M32" s="12">
        <x:f>INDEX(怪物等级!$F$13:$F$62,G32)</x:f>
        <x:v>3696</x:v>
      </x:c>
      <x:c r="N32" s="12">
        <x:f>INDEX(怪物等级!$G$13:$G$62,G32)</x:f>
        <x:v>924</x:v>
      </x:c>
      <x:c r="O32" s="12">
        <x:f>INDEX(怪物等级!$F$113:$F$162,G32)</x:f>
        <x:v>13860</x:v>
      </x:c>
      <x:c r="P32" s="12">
        <x:f>INDEX(怪物等级!$F$163:$F$212,G32)</x:f>
        <x:v>27720</x:v>
      </x:c>
      <x:c r="Q32" s="6" t="s">
        <x:v>204</x:v>
      </x:c>
      <x:c r="R32" s="6">
        <x:v>10</x:v>
      </x:c>
      <x:c r="S32" s="6">
        <x:f t="shared" si="6"/>
        <x:v>2</x:v>
      </x:c>
      <x:c r="T32" s="6">
        <x:f t="shared" si="2"/>
        <x:v>7</x:v>
      </x:c>
      <x:c r="U32" s="6">
        <x:v>10</x:v>
      </x:c>
      <x:c r="V32" s="6">
        <x:f>INDEX(英雄升级调参!$G$66:$G$115,G32)</x:f>
        <x:v>8537760</x:v>
      </x:c>
      <x:c r="W32" s="6" t="str">
        <x:f t="shared" si="7"/>
        <x:v>范围内</x:v>
      </x:c>
      <x:c r="Y32" s="6"/>
      <x:c r="Z32" s="6"/>
      <x:c r="AA32" s="6"/>
      <x:c r="AB32" s="6"/>
      <x:c r="AC32" s="6"/>
      <x:c r="AD32" s="6"/>
      <x:c r="AE32" s="6"/>
      <x:c r="AF32" s="6"/>
      <x:c r="AG32" s="6"/>
      <x:c r="AH32" s="6"/>
      <x:c r="AI32" s="6"/>
    </x:row>
    <x:row r="33" ht="23.100000381469727" customHeight="1">
      <x:c r="A33" s="14">
        <x:v>3</x:v>
      </x:c>
      <x:c r="B33" s="14">
        <x:v>1030010</x:v>
      </x:c>
      <x:c r="C33" s="6" t="s">
        <x:v>205</x:v>
      </x:c>
      <x:c r="D33" s="6" t="s">
        <x:v>83</x:v>
      </x:c>
      <x:c r="E33" s="6">
        <x:v>1</x:v>
      </x:c>
      <x:c r="F33" s="6">
        <x:v>36</x:v>
      </x:c>
      <x:c r="G33" s="6" t="n">
        <x:f t="shared" ref="G33:G47" si="9">$Z$11+S33*$AB$11+IF($AD$11&gt;0,ROUNDDOWN($AE$11*T33/$AD$11,0),0)</x:f>
        <x:v>21</x:v>
      </x:c>
      <x:c r="H33" s="6">
        <x:f t="shared" si="8"/>
        <x:v>1</x:v>
      </x:c>
      <x:c r="I33" s="6" t="n">
        <x:f>IF(V33&gt;MAX(英雄升级调参!$G$66:$G$115),"超50级",COUNTIF(英雄升级调参!$G$66:$G$115,"&lt;"&amp;V33)+1)</x:f>
        <x:v>21</x:v>
      </x:c>
      <x:c r="J33" s="6" t="n">
        <x:f>IF(V33&gt;MAX(英雄升级调参!$J$66:$J$115),"超50级",COUNTIF(英雄升级调参!$J$66:$J$115,"&lt;"&amp;V33)+1)</x:f>
        <x:v>15</x:v>
      </x:c>
      <x:c r="K33" s="6" t="n">
        <x:f>IF(V33&gt;MAX(英雄升级调参!$M$66:$M$115),"超50级",COUNTIF(英雄升级调参!$M$66:$M$115,"&lt;"&amp;V33)+1)</x:f>
        <x:v>10</x:v>
      </x:c>
      <x:c r="L33" s="6" t="s">
        <x:v>162</x:v>
      </x:c>
      <x:c r="M33" s="12">
        <x:f>INDEX(怪物等级!$F$13:$F$62,G33)</x:f>
        <x:v>3912</x:v>
      </x:c>
      <x:c r="N33" s="12">
        <x:f>INDEX(怪物等级!$G$13:$G$62,G33)</x:f>
        <x:v>978</x:v>
      </x:c>
      <x:c r="O33" s="12">
        <x:f>INDEX(怪物等级!$F$113:$F$162,G33)</x:f>
        <x:v>14670</x:v>
      </x:c>
      <x:c r="P33" s="12">
        <x:f>INDEX(怪物等级!$F$163:$F$212,G33)</x:f>
        <x:v>29340</x:v>
      </x:c>
      <x:c r="Q33" s="6" t="s">
        <x:v>206</x:v>
      </x:c>
      <x:c r="R33" s="6">
        <x:v>1</x:v>
      </x:c>
      <x:c r="S33" s="6" t="n">
        <x:f t="shared" ref="S33:S47" si="10">IF(R33&gt;=5,1,0)+IF(AND(R33=$AC$11,$AC$11&lt;&gt;5),1,0)</x:f>
        <x:v>0</x:v>
      </x:c>
      <x:c r="T33" s="6">
        <x:f t="shared" si="2"/>
        <x:v>0</x:v>
      </x:c>
      <x:c r="U33" s="6">
        <x:v>11</x:v>
      </x:c>
      <x:c r="V33" s="6">
        <x:f>INDEX(英雄升级调参!$G$66:$G$115,G33)</x:f>
        <x:v>9564840</x:v>
      </x:c>
      <x:c r="W33" s="6" t="str">
        <x:f t="shared" ref="W33:W47" si="11">IF(AND(G33&gt;=1,G33&lt;=50,$AE$11&gt;=0),"范围内","需调整预算")</x:f>
        <x:v>范围内</x:v>
      </x:c>
      <x:c r="Y33" s="6"/>
      <x:c r="Z33" s="6"/>
      <x:c r="AA33" s="6"/>
      <x:c r="AB33" s="6"/>
      <x:c r="AC33" s="6"/>
      <x:c r="AD33" s="6"/>
      <x:c r="AE33" s="6"/>
      <x:c r="AF33" s="6"/>
      <x:c r="AG33" s="6"/>
      <x:c r="AH33" s="6"/>
      <x:c r="AI33" s="6"/>
    </x:row>
    <x:row r="34" ht="23.100000381469727" customHeight="1">
      <x:c r="A34" s="14">
        <x:v>3</x:v>
      </x:c>
      <x:c r="B34" s="14">
        <x:v>1030020</x:v>
      </x:c>
      <x:c r="C34" s="6" t="s">
        <x:v>207</x:v>
      </x:c>
      <x:c r="D34" s="6" t="s">
        <x:v>83</x:v>
      </x:c>
      <x:c r="E34" s="6">
        <x:v>2</x:v>
      </x:c>
      <x:c r="F34" s="6">
        <x:v>38</x:v>
      </x:c>
      <x:c r="G34" s="6">
        <x:f t="shared" si="9"/>
        <x:v>21</x:v>
      </x:c>
      <x:c r="H34" s="6">
        <x:f t="shared" si="8"/>
        <x:v>0</x:v>
      </x:c>
      <x:c r="I34" s="6" t="n">
        <x:f>IF(V34&gt;MAX(英雄升级调参!$G$66:$G$115),"超50级",COUNTIF(英雄升级调参!$G$66:$G$115,"&lt;"&amp;V34)+1)</x:f>
        <x:v>21</x:v>
      </x:c>
      <x:c r="J34" s="6" t="n">
        <x:f>IF(V34&gt;MAX(英雄升级调参!$J$66:$J$115),"超50级",COUNTIF(英雄升级调参!$J$66:$J$115,"&lt;"&amp;V34)+1)</x:f>
        <x:v>15</x:v>
      </x:c>
      <x:c r="K34" s="6" t="n">
        <x:f>IF(V34&gt;MAX(英雄升级调参!$M$66:$M$115),"超50级",COUNTIF(英雄升级调参!$M$66:$M$115,"&lt;"&amp;V34)+1)</x:f>
        <x:v>10</x:v>
      </x:c>
      <x:c r="L34" s="6" t="s">
        <x:v>162</x:v>
      </x:c>
      <x:c r="M34" s="12">
        <x:f>INDEX(怪物等级!$F$13:$F$62,G34)</x:f>
        <x:v>3912</x:v>
      </x:c>
      <x:c r="N34" s="12">
        <x:f>INDEX(怪物等级!$G$13:$G$62,G34)</x:f>
        <x:v>978</x:v>
      </x:c>
      <x:c r="O34" s="12">
        <x:f>INDEX(怪物等级!$F$113:$F$162,G34)</x:f>
        <x:v>14670</x:v>
      </x:c>
      <x:c r="P34" s="12">
        <x:f>INDEX(怪物等级!$F$163:$F$212,G34)</x:f>
        <x:v>29340</x:v>
      </x:c>
      <x:c r="Q34" s="6" t="s">
        <x:v>208</x:v>
      </x:c>
      <x:c r="R34" s="6">
        <x:v>2</x:v>
      </x:c>
      <x:c r="S34" s="6">
        <x:f t="shared" si="10"/>
        <x:v>0</x:v>
      </x:c>
      <x:c r="T34" s="6">
        <x:f t="shared" si="2"/>
        <x:v>1</x:v>
      </x:c>
      <x:c r="U34" s="6">
        <x:v>11</x:v>
      </x:c>
      <x:c r="V34" s="6">
        <x:f>INDEX(英雄升级调参!$G$66:$G$115,G34)</x:f>
        <x:v>9564840</x:v>
      </x:c>
      <x:c r="W34" s="6" t="str">
        <x:f t="shared" si="11"/>
        <x:v>范围内</x:v>
      </x:c>
      <x:c r="Y34" s="6"/>
      <x:c r="Z34" s="6"/>
      <x:c r="AA34" s="6"/>
      <x:c r="AB34" s="6"/>
      <x:c r="AC34" s="6"/>
      <x:c r="AD34" s="6"/>
      <x:c r="AE34" s="6"/>
      <x:c r="AF34" s="6"/>
      <x:c r="AG34" s="6"/>
      <x:c r="AH34" s="6"/>
      <x:c r="AI34" s="6"/>
    </x:row>
    <x:row r="35" ht="23.100000381469727" customHeight="1">
      <x:c r="A35" s="14">
        <x:v>3</x:v>
      </x:c>
      <x:c r="B35" s="14">
        <x:v>1030030</x:v>
      </x:c>
      <x:c r="C35" s="6" t="s">
        <x:v>209</x:v>
      </x:c>
      <x:c r="D35" s="6" t="s">
        <x:v>83</x:v>
      </x:c>
      <x:c r="E35" s="6">
        <x:v>3</x:v>
      </x:c>
      <x:c r="F35" s="6">
        <x:v>40</x:v>
      </x:c>
      <x:c r="G35" s="6">
        <x:f t="shared" si="9"/>
        <x:v>21</x:v>
      </x:c>
      <x:c r="H35" s="6">
        <x:f t="shared" si="8"/>
        <x:v>0</x:v>
      </x:c>
      <x:c r="I35" s="6" t="n">
        <x:f>IF(V35&gt;MAX(英雄升级调参!$G$66:$G$115),"超50级",COUNTIF(英雄升级调参!$G$66:$G$115,"&lt;"&amp;V35)+1)</x:f>
        <x:v>21</x:v>
      </x:c>
      <x:c r="J35" s="6" t="n">
        <x:f>IF(V35&gt;MAX(英雄升级调参!$J$66:$J$115),"超50级",COUNTIF(英雄升级调参!$J$66:$J$115,"&lt;"&amp;V35)+1)</x:f>
        <x:v>15</x:v>
      </x:c>
      <x:c r="K35" s="6" t="n">
        <x:f>IF(V35&gt;MAX(英雄升级调参!$M$66:$M$115),"超50级",COUNTIF(英雄升级调参!$M$66:$M$115,"&lt;"&amp;V35)+1)</x:f>
        <x:v>10</x:v>
      </x:c>
      <x:c r="L35" s="6" t="s">
        <x:v>162</x:v>
      </x:c>
      <x:c r="M35" s="12">
        <x:f>INDEX(怪物等级!$F$13:$F$62,G35)</x:f>
        <x:v>3912</x:v>
      </x:c>
      <x:c r="N35" s="12">
        <x:f>INDEX(怪物等级!$G$13:$G$62,G35)</x:f>
        <x:v>978</x:v>
      </x:c>
      <x:c r="O35" s="12">
        <x:f>INDEX(怪物等级!$F$113:$F$162,G35)</x:f>
        <x:v>14670</x:v>
      </x:c>
      <x:c r="P35" s="12">
        <x:f>INDEX(怪物等级!$F$163:$F$212,G35)</x:f>
        <x:v>29340</x:v>
      </x:c>
      <x:c r="Q35" s="6" t="s">
        <x:v>210</x:v>
      </x:c>
      <x:c r="R35" s="6">
        <x:v>3</x:v>
      </x:c>
      <x:c r="S35" s="6">
        <x:f t="shared" si="10"/>
        <x:v>0</x:v>
      </x:c>
      <x:c r="T35" s="6">
        <x:f t="shared" si="2"/>
        <x:v>2</x:v>
      </x:c>
      <x:c r="U35" s="6">
        <x:v>11</x:v>
      </x:c>
      <x:c r="V35" s="6">
        <x:f>INDEX(英雄升级调参!$G$66:$G$115,G35)</x:f>
        <x:v>9564840</x:v>
      </x:c>
      <x:c r="W35" s="6" t="str">
        <x:f t="shared" si="11"/>
        <x:v>范围内</x:v>
      </x:c>
      <x:c r="Y35" s="6"/>
      <x:c r="Z35" s="6"/>
      <x:c r="AA35" s="6"/>
      <x:c r="AB35" s="6"/>
      <x:c r="AC35" s="6"/>
      <x:c r="AD35" s="6"/>
      <x:c r="AE35" s="6"/>
      <x:c r="AF35" s="6"/>
      <x:c r="AG35" s="6"/>
      <x:c r="AH35" s="6"/>
      <x:c r="AI35" s="6"/>
    </x:row>
    <x:row r="36" ht="23.100000381469727" customHeight="1">
      <x:c r="A36" s="14">
        <x:v>3</x:v>
      </x:c>
      <x:c r="B36" s="14">
        <x:v>1030040</x:v>
      </x:c>
      <x:c r="C36" s="6" t="s">
        <x:v>211</x:v>
      </x:c>
      <x:c r="D36" s="6" t="s">
        <x:v>83</x:v>
      </x:c>
      <x:c r="E36" s="6">
        <x:v>4</x:v>
      </x:c>
      <x:c r="F36" s="6">
        <x:v>42</x:v>
      </x:c>
      <x:c r="G36" s="6">
        <x:f t="shared" si="9"/>
        <x:v>22</x:v>
      </x:c>
      <x:c r="H36" s="6">
        <x:f t="shared" si="8"/>
        <x:v>1</x:v>
      </x:c>
      <x:c r="I36" s="6" t="n">
        <x:f>IF(V36&gt;MAX(英雄升级调参!$G$66:$G$115),"超50级",COUNTIF(英雄升级调参!$G$66:$G$115,"&lt;"&amp;V36)+1)</x:f>
        <x:v>22</x:v>
      </x:c>
      <x:c r="J36" s="6" t="n">
        <x:f>IF(V36&gt;MAX(英雄升级调参!$J$66:$J$115),"超50级",COUNTIF(英雄升级调参!$J$66:$J$115,"&lt;"&amp;V36)+1)</x:f>
        <x:v>16</x:v>
      </x:c>
      <x:c r="K36" s="6" t="n">
        <x:f>IF(V36&gt;MAX(英雄升级调参!$M$66:$M$115),"超50级",COUNTIF(英雄升级调参!$M$66:$M$115,"&lt;"&amp;V36)+1)</x:f>
        <x:v>10</x:v>
      </x:c>
      <x:c r="L36" s="6" t="s">
        <x:v>162</x:v>
      </x:c>
      <x:c r="M36" s="12">
        <x:f>INDEX(怪物等级!$F$13:$F$62,G36)</x:f>
        <x:v>4128</x:v>
      </x:c>
      <x:c r="N36" s="12">
        <x:f>INDEX(怪物等级!$G$13:$G$62,G36)</x:f>
        <x:v>1032</x:v>
      </x:c>
      <x:c r="O36" s="12">
        <x:f>INDEX(怪物等级!$F$113:$F$162,G36)</x:f>
        <x:v>15480</x:v>
      </x:c>
      <x:c r="P36" s="12">
        <x:f>INDEX(怪物等级!$F$163:$F$212,G36)</x:f>
        <x:v>30960</x:v>
      </x:c>
      <x:c r="Q36" s="6" t="s">
        <x:v>212</x:v>
      </x:c>
      <x:c r="R36" s="6">
        <x:v>4</x:v>
      </x:c>
      <x:c r="S36" s="6">
        <x:f t="shared" si="10"/>
        <x:v>0</x:v>
      </x:c>
      <x:c r="T36" s="6">
        <x:f t="shared" si="2"/>
        <x:v>3</x:v>
      </x:c>
      <x:c r="U36" s="6">
        <x:v>11</x:v>
      </x:c>
      <x:c r="V36" s="6">
        <x:f>INDEX(英雄升级调参!$G$66:$G$115,G36)</x:f>
        <x:v>10650240</x:v>
      </x:c>
      <x:c r="W36" s="6" t="str">
        <x:f t="shared" si="11"/>
        <x:v>范围内</x:v>
      </x:c>
      <x:c r="Y36" s="6"/>
      <x:c r="Z36" s="6"/>
      <x:c r="AA36" s="6"/>
      <x:c r="AB36" s="6"/>
      <x:c r="AC36" s="6"/>
      <x:c r="AD36" s="6"/>
      <x:c r="AE36" s="6"/>
      <x:c r="AF36" s="6"/>
      <x:c r="AG36" s="6"/>
      <x:c r="AH36" s="6"/>
      <x:c r="AI36" s="6"/>
    </x:row>
    <x:row r="37" ht="23.100000381469727" customHeight="1">
      <x:c r="A37" s="14">
        <x:v>3</x:v>
      </x:c>
      <x:c r="B37" s="14">
        <x:v>1030050</x:v>
      </x:c>
      <x:c r="C37" s="6" t="s">
        <x:v>213</x:v>
      </x:c>
      <x:c r="D37" s="6" t="s">
        <x:v>83</x:v>
      </x:c>
      <x:c r="E37" s="6">
        <x:v>5</x:v>
      </x:c>
      <x:c r="F37" s="6">
        <x:v>44</x:v>
      </x:c>
      <x:c r="G37" s="6">
        <x:f t="shared" si="9"/>
        <x:v>25</x:v>
      </x:c>
      <x:c r="H37" s="6">
        <x:f t="shared" si="8"/>
        <x:v>3</x:v>
      </x:c>
      <x:c r="I37" s="6" t="n">
        <x:f>IF(V37&gt;MAX(英雄升级调参!$G$66:$G$115),"超50级",COUNTIF(英雄升级调参!$G$66:$G$115,"&lt;"&amp;V37)+1)</x:f>
        <x:v>25</x:v>
      </x:c>
      <x:c r="J37" s="6">
        <x:f>IF(V37&gt;MAX(英雄升级调参!$J$66:$J$115),"超50级",COUNTIF(英雄升级调参!$J$66:$J$115,"&lt;"&amp;V37)+1)</x:f>
        <x:v>20</x:v>
      </x:c>
      <x:c r="K37" s="6">
        <x:f>IF(V37&gt;MAX(英雄升级调参!$M$66:$M$115),"超50级",COUNTIF(英雄升级调参!$M$66:$M$115,"&lt;"&amp;V37)+1)</x:f>
        <x:v>13</x:v>
      </x:c>
      <x:c r="L37" s="6" t="s">
        <x:v>171</x:v>
      </x:c>
      <x:c r="M37" s="12">
        <x:f>INDEX(怪物等级!$F$13:$F$62,G37)</x:f>
        <x:v>5208</x:v>
      </x:c>
      <x:c r="N37" s="12">
        <x:f>INDEX(怪物等级!$G$13:$G$62,G37)</x:f>
        <x:v>1302</x:v>
      </x:c>
      <x:c r="O37" s="12">
        <x:f>INDEX(怪物等级!$F$113:$F$162,G37)</x:f>
        <x:v>19530</x:v>
      </x:c>
      <x:c r="P37" s="12">
        <x:f>INDEX(怪物等级!$F$163:$F$212,G37)</x:f>
        <x:v>39060</x:v>
      </x:c>
      <x:c r="Q37" s="6" t="s">
        <x:v>214</x:v>
      </x:c>
      <x:c r="R37" s="6">
        <x:v>5</x:v>
      </x:c>
      <x:c r="S37" s="6">
        <x:f t="shared" si="10"/>
        <x:v>1</x:v>
      </x:c>
      <x:c r="T37" s="6">
        <x:f t="shared" si="2"/>
        <x:v>3</x:v>
      </x:c>
      <x:c r="U37" s="6">
        <x:v>11</x:v>
      </x:c>
      <x:c r="V37" s="6">
        <x:f>INDEX(英雄升级调参!$G$66:$G$115,G37)</x:f>
        <x:v>16952040</x:v>
      </x:c>
      <x:c r="W37" s="6" t="str">
        <x:f t="shared" si="11"/>
        <x:v>范围内</x:v>
      </x:c>
      <x:c r="Y37" s="6" t="s">
        <x:v>215</x:v>
      </x:c>
      <x:c r="Z37" s="6"/>
      <x:c r="AA37" s="6"/>
      <x:c r="AB37" s="6"/>
      <x:c r="AC37" s="6"/>
      <x:c r="AD37" s="6"/>
      <x:c r="AE37" s="6"/>
      <x:c r="AF37" s="6"/>
      <x:c r="AG37" s="6"/>
      <x:c r="AH37" s="6"/>
      <x:c r="AI37" s="6"/>
    </x:row>
    <x:row r="38" ht="23.100000381469727" customHeight="1">
      <x:c r="A38" s="14">
        <x:v>3</x:v>
      </x:c>
      <x:c r="B38" s="14">
        <x:v>1030060</x:v>
      </x:c>
      <x:c r="C38" s="6" t="s">
        <x:v>216</x:v>
      </x:c>
      <x:c r="D38" s="6" t="s">
        <x:v>83</x:v>
      </x:c>
      <x:c r="E38" s="6">
        <x:v>6</x:v>
      </x:c>
      <x:c r="F38" s="6">
        <x:v>46</x:v>
      </x:c>
      <x:c r="G38" s="6">
        <x:f t="shared" si="9"/>
        <x:v>25</x:v>
      </x:c>
      <x:c r="H38" s="6">
        <x:f t="shared" si="8"/>
        <x:v>0</x:v>
      </x:c>
      <x:c r="I38" s="6" t="n">
        <x:f>IF(V38&gt;MAX(英雄升级调参!$G$66:$G$115),"超50级",COUNTIF(英雄升级调参!$G$66:$G$115,"&lt;"&amp;V38)+1)</x:f>
        <x:v>25</x:v>
      </x:c>
      <x:c r="J38" s="6">
        <x:f>IF(V38&gt;MAX(英雄升级调参!$J$66:$J$115),"超50级",COUNTIF(英雄升级调参!$J$66:$J$115,"&lt;"&amp;V38)+1)</x:f>
        <x:v>20</x:v>
      </x:c>
      <x:c r="K38" s="6">
        <x:f>IF(V38&gt;MAX(英雄升级调参!$M$66:$M$115),"超50级",COUNTIF(英雄升级调参!$M$66:$M$115,"&lt;"&amp;V38)+1)</x:f>
        <x:v>13</x:v>
      </x:c>
      <x:c r="L38" s="6" t="s">
        <x:v>162</x:v>
      </x:c>
      <x:c r="M38" s="12">
        <x:f>INDEX(怪物等级!$F$13:$F$62,G38)</x:f>
        <x:v>5208</x:v>
      </x:c>
      <x:c r="N38" s="12">
        <x:f>INDEX(怪物等级!$G$13:$G$62,G38)</x:f>
        <x:v>1302</x:v>
      </x:c>
      <x:c r="O38" s="12">
        <x:f>INDEX(怪物等级!$F$113:$F$162,G38)</x:f>
        <x:v>19530</x:v>
      </x:c>
      <x:c r="P38" s="12">
        <x:f>INDEX(怪物等级!$F$163:$F$212,G38)</x:f>
        <x:v>39060</x:v>
      </x:c>
      <x:c r="Q38" s="6" t="s">
        <x:v>217</x:v>
      </x:c>
      <x:c r="R38" s="6">
        <x:v>6</x:v>
      </x:c>
      <x:c r="S38" s="6">
        <x:f t="shared" si="10"/>
        <x:v>1</x:v>
      </x:c>
      <x:c r="T38" s="6">
        <x:f t="shared" si="2"/>
        <x:v>4</x:v>
      </x:c>
      <x:c r="U38" s="6">
        <x:v>11</x:v>
      </x:c>
      <x:c r="V38" s="6">
        <x:f>INDEX(英雄升级调参!$G$66:$G$115,G38)</x:f>
        <x:v>16952040</x:v>
      </x:c>
      <x:c r="W38" s="6" t="str">
        <x:f t="shared" si="11"/>
        <x:v>范围内</x:v>
      </x:c>
      <x:c r="Y38" s="6" t="s">
        <x:v>218</x:v>
      </x:c>
      <x:c r="Z38" s="6"/>
      <x:c r="AA38" s="6"/>
      <x:c r="AB38" s="6"/>
      <x:c r="AC38" s="6"/>
      <x:c r="AD38" s="6"/>
      <x:c r="AE38" s="6"/>
      <x:c r="AF38" s="6"/>
      <x:c r="AG38" s="6"/>
      <x:c r="AH38" s="6"/>
      <x:c r="AI38" s="6"/>
    </x:row>
    <x:row r="39" ht="23.100000381469727" customHeight="1">
      <x:c r="A39" s="14">
        <x:v>3</x:v>
      </x:c>
      <x:c r="B39" s="14">
        <x:v>1030070</x:v>
      </x:c>
      <x:c r="C39" s="6" t="s">
        <x:v>219</x:v>
      </x:c>
      <x:c r="D39" s="6" t="s">
        <x:v>83</x:v>
      </x:c>
      <x:c r="E39" s="6">
        <x:v>7</x:v>
      </x:c>
      <x:c r="F39" s="6">
        <x:v>48</x:v>
      </x:c>
      <x:c r="G39" s="6">
        <x:f t="shared" si="9"/>
        <x:v>25</x:v>
      </x:c>
      <x:c r="H39" s="6">
        <x:f t="shared" si="8"/>
        <x:v>0</x:v>
      </x:c>
      <x:c r="I39" s="6" t="n">
        <x:f>IF(V39&gt;MAX(英雄升级调参!$G$66:$G$115),"超50级",COUNTIF(英雄升级调参!$G$66:$G$115,"&lt;"&amp;V39)+1)</x:f>
        <x:v>25</x:v>
      </x:c>
      <x:c r="J39" s="6">
        <x:f>IF(V39&gt;MAX(英雄升级调参!$J$66:$J$115),"超50级",COUNTIF(英雄升级调参!$J$66:$J$115,"&lt;"&amp;V39)+1)</x:f>
        <x:v>20</x:v>
      </x:c>
      <x:c r="K39" s="6">
        <x:f>IF(V39&gt;MAX(英雄升级调参!$M$66:$M$115),"超50级",COUNTIF(英雄升级调参!$M$66:$M$115,"&lt;"&amp;V39)+1)</x:f>
        <x:v>13</x:v>
      </x:c>
      <x:c r="L39" s="6" t="s">
        <x:v>162</x:v>
      </x:c>
      <x:c r="M39" s="12">
        <x:f>INDEX(怪物等级!$F$13:$F$62,G39)</x:f>
        <x:v>5208</x:v>
      </x:c>
      <x:c r="N39" s="12">
        <x:f>INDEX(怪物等级!$G$13:$G$62,G39)</x:f>
        <x:v>1302</x:v>
      </x:c>
      <x:c r="O39" s="12">
        <x:f>INDEX(怪物等级!$F$113:$F$162,G39)</x:f>
        <x:v>19530</x:v>
      </x:c>
      <x:c r="P39" s="12">
        <x:f>INDEX(怪物等级!$F$163:$F$212,G39)</x:f>
        <x:v>39060</x:v>
      </x:c>
      <x:c r="Q39" s="6" t="s">
        <x:v>220</x:v>
      </x:c>
      <x:c r="R39" s="6">
        <x:v>7</x:v>
      </x:c>
      <x:c r="S39" s="6">
        <x:f t="shared" si="10"/>
        <x:v>1</x:v>
      </x:c>
      <x:c r="T39" s="6">
        <x:f t="shared" si="2"/>
        <x:v>5</x:v>
      </x:c>
      <x:c r="U39" s="6">
        <x:v>11</x:v>
      </x:c>
      <x:c r="V39" s="6">
        <x:f>INDEX(英雄升级调参!$G$66:$G$115,G39)</x:f>
        <x:v>16952040</x:v>
      </x:c>
      <x:c r="W39" s="6" t="str">
        <x:f t="shared" si="11"/>
        <x:v>范围内</x:v>
      </x:c>
      <x:c r="Y39" s="6" t="s">
        <x:v>221</x:v>
      </x:c>
      <x:c r="Z39" s="6"/>
      <x:c r="AA39" s="6"/>
      <x:c r="AB39" s="6"/>
      <x:c r="AC39" s="6"/>
      <x:c r="AD39" s="6"/>
      <x:c r="AE39" s="6"/>
      <x:c r="AF39" s="6"/>
      <x:c r="AG39" s="6"/>
      <x:c r="AH39" s="6"/>
      <x:c r="AI39" s="6"/>
    </x:row>
    <x:row r="40" ht="23.100000381469727" customHeight="1">
      <x:c r="A40" s="14">
        <x:v>3</x:v>
      </x:c>
      <x:c r="B40" s="14">
        <x:v>1030080</x:v>
      </x:c>
      <x:c r="C40" s="6" t="s">
        <x:v>222</x:v>
      </x:c>
      <x:c r="D40" s="6" t="s">
        <x:v>83</x:v>
      </x:c>
      <x:c r="E40" s="6">
        <x:v>8</x:v>
      </x:c>
      <x:c r="F40" s="6">
        <x:v>50</x:v>
      </x:c>
      <x:c r="G40" s="6">
        <x:f t="shared" si="9"/>
        <x:v>26</x:v>
      </x:c>
      <x:c r="H40" s="6">
        <x:f t="shared" si="8"/>
        <x:v>1</x:v>
      </x:c>
      <x:c r="I40" s="6" t="n">
        <x:f>IF(V40&gt;MAX(英雄升级调参!$G$66:$G$115),"超50级",COUNTIF(英雄升级调参!$G$66:$G$115,"&lt;"&amp;V40)+1)</x:f>
        <x:v>26</x:v>
      </x:c>
      <x:c r="J40" s="6">
        <x:f>IF(V40&gt;MAX(英雄升级调参!$J$66:$J$115),"超50级",COUNTIF(英雄升级调参!$J$66:$J$115,"&lt;"&amp;V40)+1)</x:f>
        <x:v>20</x:v>
      </x:c>
      <x:c r="K40" s="6" t="n">
        <x:f>IF(V40&gt;MAX(英雄升级调参!$M$66:$M$115),"超50级",COUNTIF(英雄升级调参!$M$66:$M$115,"&lt;"&amp;V40)+1)</x:f>
        <x:v>13</x:v>
      </x:c>
      <x:c r="L40" s="6" t="s">
        <x:v>162</x:v>
      </x:c>
      <x:c r="M40" s="12">
        <x:f>INDEX(怪物等级!$F$13:$F$62,G40)</x:f>
        <x:v>5460</x:v>
      </x:c>
      <x:c r="N40" s="12">
        <x:f>INDEX(怪物等级!$G$13:$G$62,G40)</x:f>
        <x:v>1365</x:v>
      </x:c>
      <x:c r="O40" s="12">
        <x:f>INDEX(怪物等级!$F$113:$F$162,G40)</x:f>
        <x:v>20475</x:v>
      </x:c>
      <x:c r="P40" s="12">
        <x:f>INDEX(怪物等级!$F$163:$F$212,G40)</x:f>
        <x:v>40950</x:v>
      </x:c>
      <x:c r="Q40" s="6" t="s">
        <x:v>223</x:v>
      </x:c>
      <x:c r="R40" s="6">
        <x:v>8</x:v>
      </x:c>
      <x:c r="S40" s="6">
        <x:f t="shared" si="10"/>
        <x:v>1</x:v>
      </x:c>
      <x:c r="T40" s="6">
        <x:f t="shared" si="2"/>
        <x:v>6</x:v>
      </x:c>
      <x:c r="U40" s="6">
        <x:v>11</x:v>
      </x:c>
      <x:c r="V40" s="6">
        <x:f>INDEX(英雄升级调参!$G$66:$G$115,G40)</x:f>
        <x:v>18632250</x:v>
      </x:c>
      <x:c r="W40" s="6" t="str">
        <x:f t="shared" si="11"/>
        <x:v>范围内</x:v>
      </x:c>
      <x:c r="Y40" s="6" t="s">
        <x:v>224</x:v>
      </x:c>
      <x:c r="Z40" s="6"/>
      <x:c r="AA40" s="6"/>
      <x:c r="AB40" s="6"/>
      <x:c r="AC40" s="6"/>
      <x:c r="AD40" s="6"/>
      <x:c r="AE40" s="6"/>
      <x:c r="AF40" s="6"/>
      <x:c r="AG40" s="6"/>
      <x:c r="AH40" s="6"/>
      <x:c r="AI40" s="6"/>
    </x:row>
    <x:row r="41" ht="23.100000381469727" customHeight="1">
      <x:c r="A41" s="14">
        <x:v>3</x:v>
      </x:c>
      <x:c r="B41" s="14">
        <x:v>1030090</x:v>
      </x:c>
      <x:c r="C41" s="6" t="s">
        <x:v>225</x:v>
      </x:c>
      <x:c r="D41" s="6" t="s">
        <x:v>83</x:v>
      </x:c>
      <x:c r="E41" s="6">
        <x:v>9</x:v>
      </x:c>
      <x:c r="F41" s="6">
        <x:v>50</x:v>
      </x:c>
      <x:c r="G41" s="6">
        <x:f t="shared" si="9"/>
        <x:v>26</x:v>
      </x:c>
      <x:c r="H41" s="6">
        <x:f t="shared" si="8"/>
        <x:v>0</x:v>
      </x:c>
      <x:c r="I41" s="6" t="n">
        <x:f>IF(V41&gt;MAX(英雄升级调参!$G$66:$G$115),"超50级",COUNTIF(英雄升级调参!$G$66:$G$115,"&lt;"&amp;V41)+1)</x:f>
        <x:v>26</x:v>
      </x:c>
      <x:c r="J41" s="6">
        <x:f>IF(V41&gt;MAX(英雄升级调参!$J$66:$J$115),"超50级",COUNTIF(英雄升级调参!$J$66:$J$115,"&lt;"&amp;V41)+1)</x:f>
        <x:v>20</x:v>
      </x:c>
      <x:c r="K41" s="6" t="n">
        <x:f>IF(V41&gt;MAX(英雄升级调参!$M$66:$M$115),"超50级",COUNTIF(英雄升级调参!$M$66:$M$115,"&lt;"&amp;V41)+1)</x:f>
        <x:v>13</x:v>
      </x:c>
      <x:c r="L41" s="6" t="s">
        <x:v>162</x:v>
      </x:c>
      <x:c r="M41" s="12">
        <x:f>INDEX(怪物等级!$F$13:$F$62,G41)</x:f>
        <x:v>5460</x:v>
      </x:c>
      <x:c r="N41" s="12">
        <x:f>INDEX(怪物等级!$G$13:$G$62,G41)</x:f>
        <x:v>1365</x:v>
      </x:c>
      <x:c r="O41" s="12">
        <x:f>INDEX(怪物等级!$F$113:$F$162,G41)</x:f>
        <x:v>20475</x:v>
      </x:c>
      <x:c r="P41" s="12">
        <x:f>INDEX(怪物等级!$F$163:$F$212,G41)</x:f>
        <x:v>40950</x:v>
      </x:c>
      <x:c r="Q41" s="6" t="s">
        <x:v>226</x:v>
      </x:c>
      <x:c r="R41" s="6">
        <x:v>9</x:v>
      </x:c>
      <x:c r="S41" s="6">
        <x:f t="shared" si="10"/>
        <x:v>1</x:v>
      </x:c>
      <x:c r="T41" s="6">
        <x:f t="shared" si="2"/>
        <x:v>7</x:v>
      </x:c>
      <x:c r="U41" s="6">
        <x:v>11</x:v>
      </x:c>
      <x:c r="V41" s="6">
        <x:f>INDEX(英雄升级调参!$G$66:$G$115,G41)</x:f>
        <x:v>18632250</x:v>
      </x:c>
      <x:c r="W41" s="6" t="str">
        <x:f t="shared" si="11"/>
        <x:v>范围内</x:v>
      </x:c>
      <x:c r="Y41" s="6" t="s">
        <x:v>227</x:v>
      </x:c>
      <x:c r="Z41" s="6"/>
      <x:c r="AA41" s="6"/>
      <x:c r="AB41" s="6"/>
      <x:c r="AC41" s="6"/>
      <x:c r="AD41" s="6"/>
      <x:c r="AE41" s="6"/>
      <x:c r="AF41" s="6"/>
      <x:c r="AG41" s="6"/>
      <x:c r="AH41" s="6"/>
      <x:c r="AI41" s="6"/>
    </x:row>
    <x:row r="42" ht="23.100000381469727" customHeight="1">
      <x:c r="A42" s="14">
        <x:v>3</x:v>
      </x:c>
      <x:c r="B42" s="14">
        <x:v>1030100</x:v>
      </x:c>
      <x:c r="C42" s="6" t="s">
        <x:v>228</x:v>
      </x:c>
      <x:c r="D42" s="6" t="s">
        <x:v>177</x:v>
      </x:c>
      <x:c r="E42" s="6">
        <x:v>10</x:v>
      </x:c>
      <x:c r="F42" s="6">
        <x:v>50</x:v>
      </x:c>
      <x:c r="G42" s="6">
        <x:f t="shared" si="9"/>
        <x:v>27</x:v>
      </x:c>
      <x:c r="H42" s="6">
        <x:f t="shared" si="8"/>
        <x:v>1</x:v>
      </x:c>
      <x:c r="I42" s="6" t="n">
        <x:f>IF(V42&gt;MAX(英雄升级调参!$G$66:$G$115),"超50级",COUNTIF(英雄升级调参!$G$66:$G$115,"&lt;"&amp;V42)+1)</x:f>
        <x:v>27</x:v>
      </x:c>
      <x:c r="J42" s="6" t="n">
        <x:f>IF(V42&gt;MAX(英雄升级调参!$J$66:$J$115),"超50级",COUNTIF(英雄升级调参!$J$66:$J$115,"&lt;"&amp;V42)+1)</x:f>
        <x:v>20</x:v>
      </x:c>
      <x:c r="K42" s="6" t="n">
        <x:f>IF(V42&gt;MAX(英雄升级调参!$M$66:$M$115),"超50级",COUNTIF(英雄升级调参!$M$66:$M$115,"&lt;"&amp;V42)+1)</x:f>
        <x:v>14</x:v>
      </x:c>
      <x:c r="L42" s="6" t="s">
        <x:v>162</x:v>
      </x:c>
      <x:c r="M42" s="12">
        <x:f>INDEX(怪物等级!$F$13:$F$62,G42)</x:f>
        <x:v>5712</x:v>
      </x:c>
      <x:c r="N42" s="12">
        <x:f>INDEX(怪物等级!$G$13:$G$62,G42)</x:f>
        <x:v>1428</x:v>
      </x:c>
      <x:c r="O42" s="12">
        <x:f>INDEX(怪物等级!$F$113:$F$162,G42)</x:f>
        <x:v>21420</x:v>
      </x:c>
      <x:c r="P42" s="12">
        <x:f>INDEX(怪物等级!$F$163:$F$212,G42)</x:f>
        <x:v>42840</x:v>
      </x:c>
      <x:c r="Q42" s="6" t="s">
        <x:v>229</x:v>
      </x:c>
      <x:c r="R42" s="6">
        <x:v>10</x:v>
      </x:c>
      <x:c r="S42" s="6">
        <x:f t="shared" si="10"/>
        <x:v>1</x:v>
      </x:c>
      <x:c r="T42" s="6">
        <x:f t="shared" si="2"/>
        <x:v>8</x:v>
      </x:c>
      <x:c r="U42" s="6">
        <x:v>11</x:v>
      </x:c>
      <x:c r="V42" s="6">
        <x:f>INDEX(英雄升级调参!$G$66:$G$115,G42)</x:f>
        <x:v>20391840</x:v>
      </x:c>
      <x:c r="W42" s="6" t="str">
        <x:f t="shared" si="11"/>
        <x:v>范围内</x:v>
      </x:c>
      <x:c r="Y42" s="6"/>
      <x:c r="Z42" s="6"/>
      <x:c r="AA42" s="6"/>
      <x:c r="AB42" s="6"/>
      <x:c r="AC42" s="6"/>
      <x:c r="AD42" s="6"/>
      <x:c r="AE42" s="6"/>
      <x:c r="AF42" s="6"/>
      <x:c r="AG42" s="6"/>
      <x:c r="AH42" s="6"/>
      <x:c r="AI42" s="6"/>
    </x:row>
    <x:row r="43" ht="23.100000381469727" customHeight="1">
      <x:c r="A43" s="14">
        <x:v>3</x:v>
      </x:c>
      <x:c r="B43" s="14">
        <x:v>1030110</x:v>
      </x:c>
      <x:c r="C43" s="6" t="s">
        <x:v>230</x:v>
      </x:c>
      <x:c r="D43" s="6" t="s">
        <x:v>177</x:v>
      </x:c>
      <x:c r="E43" s="6">
        <x:v>11</x:v>
      </x:c>
      <x:c r="F43" s="6">
        <x:v>50</x:v>
      </x:c>
      <x:c r="G43" s="6">
        <x:f t="shared" si="9"/>
        <x:v>30</x:v>
      </x:c>
      <x:c r="H43" s="6">
        <x:f t="shared" si="8"/>
        <x:v>3</x:v>
      </x:c>
      <x:c r="I43" s="6" t="n">
        <x:f>IF(V43&gt;MAX(英雄升级调参!$G$66:$G$115),"超50级",COUNTIF(英雄升级调参!$G$66:$G$115,"&lt;"&amp;V43)+1)</x:f>
        <x:v>30</x:v>
      </x:c>
      <x:c r="J43" s="6">
        <x:f>IF(V43&gt;MAX(英雄升级调参!$J$66:$J$115),"超50级",COUNTIF(英雄升级调参!$J$66:$J$115,"&lt;"&amp;V43)+1)</x:f>
        <x:v>24</x:v>
      </x:c>
      <x:c r="K43" s="6" t="n">
        <x:f>IF(V43&gt;MAX(英雄升级调参!$M$66:$M$115),"超50级",COUNTIF(英雄升级调参!$M$66:$M$115,"&lt;"&amp;V43)+1)</x:f>
        <x:v>16</x:v>
      </x:c>
      <x:c r="L43" s="6" t="s">
        <x:v>179</x:v>
      </x:c>
      <x:c r="M43" s="12">
        <x:f>INDEX(怪物等级!$F$13:$F$62,G43)</x:f>
        <x:v>6972</x:v>
      </x:c>
      <x:c r="N43" s="12">
        <x:f>INDEX(怪物等级!$G$13:$G$62,G43)</x:f>
        <x:v>1743</x:v>
      </x:c>
      <x:c r="O43" s="12">
        <x:f>INDEX(怪物等级!$F$113:$F$162,G43)</x:f>
        <x:v>26145</x:v>
      </x:c>
      <x:c r="P43" s="12">
        <x:f>INDEX(怪物等级!$F$163:$F$212,G43)</x:f>
        <x:v>52290</x:v>
      </x:c>
      <x:c r="Q43" s="6" t="s">
        <x:v>231</x:v>
      </x:c>
      <x:c r="R43" s="6">
        <x:v>11</x:v>
      </x:c>
      <x:c r="S43" s="6">
        <x:f t="shared" si="10"/>
        <x:v>2</x:v>
      </x:c>
      <x:c r="T43" s="6">
        <x:f t="shared" si="2"/>
        <x:v>8</x:v>
      </x:c>
      <x:c r="U43" s="6">
        <x:v>11</x:v>
      </x:c>
      <x:c r="V43" s="6">
        <x:f>INDEX(英雄升级调参!$G$66:$G$115,G43)</x:f>
        <x:v>30380490</x:v>
      </x:c>
      <x:c r="W43" s="6" t="str">
        <x:f t="shared" si="11"/>
        <x:v>范围内</x:v>
      </x:c>
      <x:c r="Y43" s="6"/>
      <x:c r="Z43" s="6"/>
      <x:c r="AA43" s="6"/>
      <x:c r="AB43" s="6"/>
      <x:c r="AC43" s="6"/>
      <x:c r="AD43" s="6"/>
      <x:c r="AE43" s="6"/>
      <x:c r="AF43" s="6"/>
      <x:c r="AG43" s="6"/>
      <x:c r="AH43" s="6"/>
      <x:c r="AI43" s="6"/>
    </x:row>
    <x:row r="44" ht="23.100000381469727" customHeight="1">
      <x:c r="A44" s="14">
        <x:v>3</x:v>
      </x:c>
      <x:c r="B44" s="14">
        <x:v>1030120</x:v>
      </x:c>
      <x:c r="C44" s="6" t="s">
        <x:v>232</x:v>
      </x:c>
      <x:c r="D44" s="6" t="s">
        <x:v>181</x:v>
      </x:c>
      <x:c r="E44" s="6">
        <x:v>12</x:v>
      </x:c>
      <x:c r="F44" s="6">
        <x:v>50</x:v>
      </x:c>
      <x:c r="G44" s="6">
        <x:f t="shared" si="9"/>
        <x:v>30</x:v>
      </x:c>
      <x:c r="H44" s="6" t="s">
        <x:v>182</x:v>
      </x:c>
      <x:c r="I44" s="6" t="n">
        <x:f>IF(V44&gt;MAX(英雄升级调参!$G$66:$G$115),"超50级",COUNTIF(英雄升级调参!$G$66:$G$115,"&lt;"&amp;V44)+1)</x:f>
        <x:v>30</x:v>
      </x:c>
      <x:c r="J44" s="6">
        <x:f>IF(V44&gt;MAX(英雄升级调参!$J$66:$J$115),"超50级",COUNTIF(英雄升级调参!$J$66:$J$115,"&lt;"&amp;V44)+1)</x:f>
        <x:v>24</x:v>
      </x:c>
      <x:c r="K44" s="6" t="n">
        <x:f>IF(V44&gt;MAX(英雄升级调参!$M$66:$M$115),"超50级",COUNTIF(英雄升级调参!$M$66:$M$115,"&lt;"&amp;V44)+1)</x:f>
        <x:v>16</x:v>
      </x:c>
      <x:c r="L44" s="6" t="s">
        <x:v>183</x:v>
      </x:c>
      <x:c r="M44" s="12">
        <x:f>INDEX(怪物等级!$F$13:$F$62,G44)</x:f>
        <x:v>6972</x:v>
      </x:c>
      <x:c r="N44" s="12">
        <x:f>INDEX(怪物等级!$G$13:$G$62,G44)</x:f>
        <x:v>1743</x:v>
      </x:c>
      <x:c r="O44" s="12">
        <x:f>INDEX(怪物等级!$F$113:$F$162,G44)</x:f>
        <x:v>26145</x:v>
      </x:c>
      <x:c r="P44" s="12">
        <x:f>INDEX(怪物等级!$F$163:$F$212,G44)</x:f>
        <x:v>52290</x:v>
      </x:c>
      <x:c r="Q44" s="6" t="s">
        <x:v>233</x:v>
      </x:c>
      <x:c r="R44" s="6">
        <x:v>11</x:v>
      </x:c>
      <x:c r="S44" s="6">
        <x:f t="shared" si="10"/>
        <x:v>2</x:v>
      </x:c>
      <x:c r="T44" s="6">
        <x:f t="shared" si="2"/>
        <x:v>8</x:v>
      </x:c>
      <x:c r="U44" s="6">
        <x:v>11</x:v>
      </x:c>
      <x:c r="V44" s="6">
        <x:f>INDEX(英雄升级调参!$G$66:$G$115,G44)</x:f>
        <x:v>30380490</x:v>
      </x:c>
      <x:c r="W44" s="6" t="str">
        <x:f t="shared" si="11"/>
        <x:v>范围内</x:v>
      </x:c>
      <x:c r="Y44" s="6"/>
      <x:c r="Z44" s="6"/>
      <x:c r="AA44" s="6"/>
      <x:c r="AB44" s="6"/>
      <x:c r="AC44" s="6"/>
      <x:c r="AD44" s="6"/>
      <x:c r="AE44" s="6"/>
      <x:c r="AF44" s="6"/>
      <x:c r="AG44" s="6"/>
      <x:c r="AH44" s="6"/>
      <x:c r="AI44" s="6"/>
    </x:row>
    <x:row r="45" ht="23.100000381469727" customHeight="1">
      <x:c r="A45" s="14">
        <x:v>3</x:v>
      </x:c>
      <x:c r="B45" s="14">
        <x:v>1030130</x:v>
      </x:c>
      <x:c r="C45" s="6" t="s">
        <x:v>234</x:v>
      </x:c>
      <x:c r="D45" s="6" t="s">
        <x:v>181</x:v>
      </x:c>
      <x:c r="E45" s="6">
        <x:v>13</x:v>
      </x:c>
      <x:c r="F45" s="6">
        <x:v>50</x:v>
      </x:c>
      <x:c r="G45" s="6">
        <x:f t="shared" si="9"/>
        <x:v>30</x:v>
      </x:c>
      <x:c r="H45" s="6" t="s">
        <x:v>182</x:v>
      </x:c>
      <x:c r="I45" s="6" t="n">
        <x:f>IF(V45&gt;MAX(英雄升级调参!$G$66:$G$115),"超50级",COUNTIF(英雄升级调参!$G$66:$G$115,"&lt;"&amp;V45)+1)</x:f>
        <x:v>30</x:v>
      </x:c>
      <x:c r="J45" s="6">
        <x:f>IF(V45&gt;MAX(英雄升级调参!$J$66:$J$115),"超50级",COUNTIF(英雄升级调参!$J$66:$J$115,"&lt;"&amp;V45)+1)</x:f>
        <x:v>24</x:v>
      </x:c>
      <x:c r="K45" s="6" t="n">
        <x:f>IF(V45&gt;MAX(英雄升级调参!$M$66:$M$115),"超50级",COUNTIF(英雄升级调参!$M$66:$M$115,"&lt;"&amp;V45)+1)</x:f>
        <x:v>16</x:v>
      </x:c>
      <x:c r="L45" s="6" t="s">
        <x:v>183</x:v>
      </x:c>
      <x:c r="M45" s="12">
        <x:f>INDEX(怪物等级!$F$13:$F$62,G45)</x:f>
        <x:v>6972</x:v>
      </x:c>
      <x:c r="N45" s="12">
        <x:f>INDEX(怪物等级!$G$13:$G$62,G45)</x:f>
        <x:v>1743</x:v>
      </x:c>
      <x:c r="O45" s="12">
        <x:f>INDEX(怪物等级!$F$113:$F$162,G45)</x:f>
        <x:v>26145</x:v>
      </x:c>
      <x:c r="P45" s="12">
        <x:f>INDEX(怪物等级!$F$163:$F$212,G45)</x:f>
        <x:v>52290</x:v>
      </x:c>
      <x:c r="Q45" s="6" t="s">
        <x:v>235</x:v>
      </x:c>
      <x:c r="R45" s="6">
        <x:v>11</x:v>
      </x:c>
      <x:c r="S45" s="6">
        <x:f t="shared" si="10"/>
        <x:v>2</x:v>
      </x:c>
      <x:c r="T45" s="6" t="n">
        <x:f t="shared" ref="T45:T67" si="12">R45-1-S45</x:f>
        <x:v>8</x:v>
      </x:c>
      <x:c r="U45" s="6">
        <x:v>11</x:v>
      </x:c>
      <x:c r="V45" s="6">
        <x:f>INDEX(英雄升级调参!$G$66:$G$115,G45)</x:f>
        <x:v>30380490</x:v>
      </x:c>
      <x:c r="W45" s="6" t="str">
        <x:f t="shared" si="11"/>
        <x:v>范围内</x:v>
      </x:c>
      <x:c r="Y45" s="6"/>
      <x:c r="Z45" s="6"/>
      <x:c r="AA45" s="6"/>
      <x:c r="AB45" s="6"/>
      <x:c r="AC45" s="6"/>
      <x:c r="AD45" s="6"/>
      <x:c r="AE45" s="6"/>
      <x:c r="AF45" s="6"/>
      <x:c r="AG45" s="6"/>
      <x:c r="AH45" s="6"/>
      <x:c r="AI45" s="6"/>
    </x:row>
    <x:row r="46" ht="23.100000381469727" customHeight="1">
      <x:c r="A46" s="14">
        <x:v>3</x:v>
      </x:c>
      <x:c r="B46" s="14">
        <x:v>1030140</x:v>
      </x:c>
      <x:c r="C46" s="6" t="s">
        <x:v>236</x:v>
      </x:c>
      <x:c r="D46" s="6" t="s">
        <x:v>181</x:v>
      </x:c>
      <x:c r="E46" s="6">
        <x:v>14</x:v>
      </x:c>
      <x:c r="F46" s="6">
        <x:v>50</x:v>
      </x:c>
      <x:c r="G46" s="6">
        <x:f t="shared" si="9"/>
        <x:v>30</x:v>
      </x:c>
      <x:c r="H46" s="6" t="s">
        <x:v>182</x:v>
      </x:c>
      <x:c r="I46" s="6" t="n">
        <x:f>IF(V46&gt;MAX(英雄升级调参!$G$66:$G$115),"超50级",COUNTIF(英雄升级调参!$G$66:$G$115,"&lt;"&amp;V46)+1)</x:f>
        <x:v>30</x:v>
      </x:c>
      <x:c r="J46" s="6">
        <x:f>IF(V46&gt;MAX(英雄升级调参!$J$66:$J$115),"超50级",COUNTIF(英雄升级调参!$J$66:$J$115,"&lt;"&amp;V46)+1)</x:f>
        <x:v>24</x:v>
      </x:c>
      <x:c r="K46" s="6" t="n">
        <x:f>IF(V46&gt;MAX(英雄升级调参!$M$66:$M$115),"超50级",COUNTIF(英雄升级调参!$M$66:$M$115,"&lt;"&amp;V46)+1)</x:f>
        <x:v>16</x:v>
      </x:c>
      <x:c r="L46" s="6" t="s">
        <x:v>183</x:v>
      </x:c>
      <x:c r="M46" s="12">
        <x:f>INDEX(怪物等级!$F$13:$F$62,G46)</x:f>
        <x:v>6972</x:v>
      </x:c>
      <x:c r="N46" s="12">
        <x:f>INDEX(怪物等级!$G$13:$G$62,G46)</x:f>
        <x:v>1743</x:v>
      </x:c>
      <x:c r="O46" s="12">
        <x:f>INDEX(怪物等级!$F$113:$F$162,G46)</x:f>
        <x:v>26145</x:v>
      </x:c>
      <x:c r="P46" s="12">
        <x:f>INDEX(怪物等级!$F$163:$F$212,G46)</x:f>
        <x:v>52290</x:v>
      </x:c>
      <x:c r="Q46" s="6" t="s">
        <x:v>237</x:v>
      </x:c>
      <x:c r="R46" s="6">
        <x:v>11</x:v>
      </x:c>
      <x:c r="S46" s="6">
        <x:f t="shared" si="10"/>
        <x:v>2</x:v>
      </x:c>
      <x:c r="T46" s="6">
        <x:f t="shared" si="12"/>
        <x:v>8</x:v>
      </x:c>
      <x:c r="U46" s="6">
        <x:v>11</x:v>
      </x:c>
      <x:c r="V46" s="6">
        <x:f>INDEX(英雄升级调参!$G$66:$G$115,G46)</x:f>
        <x:v>30380490</x:v>
      </x:c>
      <x:c r="W46" s="6" t="str">
        <x:f t="shared" si="11"/>
        <x:v>范围内</x:v>
      </x:c>
      <x:c r="Y46" s="6"/>
      <x:c r="Z46" s="6"/>
      <x:c r="AA46" s="6"/>
      <x:c r="AB46" s="6"/>
      <x:c r="AC46" s="6"/>
      <x:c r="AD46" s="6"/>
      <x:c r="AE46" s="6"/>
      <x:c r="AF46" s="6"/>
      <x:c r="AG46" s="6"/>
      <x:c r="AH46" s="6"/>
      <x:c r="AI46" s="6"/>
    </x:row>
    <x:row r="47" ht="23.100000381469727" customHeight="1">
      <x:c r="A47" s="14">
        <x:v>3</x:v>
      </x:c>
      <x:c r="B47" s="14">
        <x:v>1030150</x:v>
      </x:c>
      <x:c r="C47" s="6" t="s">
        <x:v>238</x:v>
      </x:c>
      <x:c r="D47" s="6" t="s">
        <x:v>239</x:v>
      </x:c>
      <x:c r="E47" s="6">
        <x:v>15</x:v>
      </x:c>
      <x:c r="F47" s="6">
        <x:v>50</x:v>
      </x:c>
      <x:c r="G47" s="6">
        <x:f t="shared" si="9"/>
        <x:v>25</x:v>
      </x:c>
      <x:c r="H47" s="6" t="s">
        <x:v>182</x:v>
      </x:c>
      <x:c r="I47" s="6" t="n">
        <x:f>IF(V47&gt;MAX(英雄升级调参!$G$66:$G$115),"超50级",COUNTIF(英雄升级调参!$G$66:$G$115,"&lt;"&amp;V47)+1)</x:f>
        <x:v>25</x:v>
      </x:c>
      <x:c r="J47" s="6">
        <x:f>IF(V47&gt;MAX(英雄升级调参!$J$66:$J$115),"超50级",COUNTIF(英雄升级调参!$J$66:$J$115,"&lt;"&amp;V47)+1)</x:f>
        <x:v>20</x:v>
      </x:c>
      <x:c r="K47" s="6">
        <x:f>IF(V47&gt;MAX(英雄升级调参!$M$66:$M$115),"超50级",COUNTIF(英雄升级调参!$M$66:$M$115,"&lt;"&amp;V47)+1)</x:f>
        <x:v>13</x:v>
      </x:c>
      <x:c r="L47" s="6" t="s">
        <x:v>240</x:v>
      </x:c>
      <x:c r="M47" s="12">
        <x:f>INDEX(怪物等级!$F$13:$F$62,G47)</x:f>
        <x:v>5208</x:v>
      </x:c>
      <x:c r="N47" s="12">
        <x:f>INDEX(怪物等级!$G$13:$G$62,G47)</x:f>
        <x:v>1302</x:v>
      </x:c>
      <x:c r="O47" s="12">
        <x:f>INDEX(怪物等级!$F$113:$F$162,G47)</x:f>
        <x:v>19530</x:v>
      </x:c>
      <x:c r="P47" s="12">
        <x:f>INDEX(怪物等级!$F$163:$F$212,G47)</x:f>
        <x:v>39060</x:v>
      </x:c>
      <x:c r="Q47" s="6" t="s">
        <x:v>241</x:v>
      </x:c>
      <x:c r="R47" s="6">
        <x:v>5</x:v>
      </x:c>
      <x:c r="S47" s="6">
        <x:f t="shared" si="10"/>
        <x:v>1</x:v>
      </x:c>
      <x:c r="T47" s="6">
        <x:f t="shared" si="12"/>
        <x:v>3</x:v>
      </x:c>
      <x:c r="U47" s="6">
        <x:v>11</x:v>
      </x:c>
      <x:c r="V47" s="6">
        <x:f>INDEX(英雄升级调参!$G$66:$G$115,G47)</x:f>
        <x:v>16952040</x:v>
      </x:c>
      <x:c r="W47" s="6" t="str">
        <x:f t="shared" si="11"/>
        <x:v>范围内</x:v>
      </x:c>
      <x:c r="Y47" s="6"/>
      <x:c r="Z47" s="6"/>
      <x:c r="AA47" s="6"/>
      <x:c r="AB47" s="6"/>
      <x:c r="AC47" s="6"/>
      <x:c r="AD47" s="6"/>
      <x:c r="AE47" s="6"/>
      <x:c r="AF47" s="6"/>
      <x:c r="AG47" s="6"/>
      <x:c r="AH47" s="6"/>
      <x:c r="AI47" s="6"/>
    </x:row>
    <x:row r="48" ht="23.100000381469727" customHeight="1">
      <x:c r="A48" s="14">
        <x:v>4</x:v>
      </x:c>
      <x:c r="B48" s="14">
        <x:v>1040010</x:v>
      </x:c>
      <x:c r="C48" s="6" t="s">
        <x:v>242</x:v>
      </x:c>
      <x:c r="D48" s="6" t="s">
        <x:v>83</x:v>
      </x:c>
      <x:c r="E48" s="6">
        <x:v>1</x:v>
      </x:c>
      <x:c r="F48" s="6">
        <x:v>52</x:v>
      </x:c>
      <x:c r="G48" s="6" t="n">
        <x:f t="shared" ref="G48:G62" si="13">$Z$12+S48*$AB$12+IF($AD$12&gt;0,ROUNDDOWN($AE$12*T48/$AD$12,0),0)</x:f>
        <x:v>31</x:v>
      </x:c>
      <x:c r="H48" s="6" t="n">
        <x:f>G48-G43</x:f>
        <x:v>1</x:v>
      </x:c>
      <x:c r="I48" s="6" t="n">
        <x:f>IF(V48&gt;MAX(英雄升级调参!$G$66:$G$115),"超50级",COUNTIF(英雄升级调参!$G$66:$G$115,"&lt;"&amp;V48)+1)</x:f>
        <x:v>31</x:v>
      </x:c>
      <x:c r="J48" s="6" t="n">
        <x:f>IF(V48&gt;MAX(英雄升级调参!$J$66:$J$115),"超50级",COUNTIF(英雄升级调参!$J$66:$J$115,"&lt;"&amp;V48)+1)</x:f>
        <x:v>24</x:v>
      </x:c>
      <x:c r="K48" s="6" t="n">
        <x:f>IF(V48&gt;MAX(英雄升级调参!$M$66:$M$115),"超50级",COUNTIF(英雄升级调参!$M$66:$M$115,"&lt;"&amp;V48)+1)</x:f>
        <x:v>16</x:v>
      </x:c>
      <x:c r="L48" s="6" t="s">
        <x:v>162</x:v>
      </x:c>
      <x:c r="M48" s="12">
        <x:f>INDEX(怪物等级!$F$13:$F$62,G48)</x:f>
        <x:v>7260</x:v>
      </x:c>
      <x:c r="N48" s="12">
        <x:f>INDEX(怪物等级!$G$13:$G$62,G48)</x:f>
        <x:v>1815</x:v>
      </x:c>
      <x:c r="O48" s="12">
        <x:f>INDEX(怪物等级!$F$113:$F$162,G48)</x:f>
        <x:v>27225</x:v>
      </x:c>
      <x:c r="P48" s="12">
        <x:f>INDEX(怪物等级!$F$163:$F$212,G48)</x:f>
        <x:v>54450</x:v>
      </x:c>
      <x:c r="Q48" s="6" t="s">
        <x:v>243</x:v>
      </x:c>
      <x:c r="R48" s="6">
        <x:v>1</x:v>
      </x:c>
      <x:c r="S48" s="6" t="n">
        <x:f t="shared" ref="S48:S62" si="14">IF(R48&gt;=5,1,0)+IF(AND(R48=$AC$12,$AC$12&lt;&gt;5),1,0)</x:f>
        <x:v>0</x:v>
      </x:c>
      <x:c r="T48" s="6">
        <x:f t="shared" si="12"/>
        <x:v>0</x:v>
      </x:c>
      <x:c r="U48" s="6">
        <x:v>12</x:v>
      </x:c>
      <x:c r="V48" s="6">
        <x:f>INDEX(英雄升级调参!$G$66:$G$115,G48)</x:f>
        <x:v>32942250</x:v>
      </x:c>
      <x:c r="W48" s="6" t="str">
        <x:f t="shared" ref="W48:W62" si="15">IF(AND(G48&gt;=1,G48&lt;=50,$AE$12&gt;=0),"范围内","需调整预算")</x:f>
        <x:v>范围内</x:v>
      </x:c>
      <x:c r="Y48" s="6"/>
      <x:c r="Z48" s="6"/>
      <x:c r="AA48" s="6"/>
      <x:c r="AB48" s="6"/>
      <x:c r="AC48" s="6"/>
      <x:c r="AD48" s="6"/>
      <x:c r="AE48" s="6"/>
      <x:c r="AF48" s="6"/>
      <x:c r="AG48" s="6"/>
      <x:c r="AH48" s="6"/>
      <x:c r="AI48" s="6"/>
    </x:row>
    <x:row r="49" ht="23.100000381469727" customHeight="1">
      <x:c r="A49" s="14">
        <x:v>4</x:v>
      </x:c>
      <x:c r="B49" s="14">
        <x:v>1040020</x:v>
      </x:c>
      <x:c r="C49" s="6" t="s">
        <x:v>244</x:v>
      </x:c>
      <x:c r="D49" s="6" t="s">
        <x:v>83</x:v>
      </x:c>
      <x:c r="E49" s="6">
        <x:v>2</x:v>
      </x:c>
      <x:c r="F49" s="6">
        <x:v>52</x:v>
      </x:c>
      <x:c r="G49" s="6">
        <x:f t="shared" si="13"/>
        <x:v>31</x:v>
      </x:c>
      <x:c r="H49" s="6" t="n">
        <x:f t="shared" ref="H49:H58" si="16">G49-G48</x:f>
        <x:v>0</x:v>
      </x:c>
      <x:c r="I49" s="6" t="n">
        <x:f>IF(V49&gt;MAX(英雄升级调参!$G$66:$G$115),"超50级",COUNTIF(英雄升级调参!$G$66:$G$115,"&lt;"&amp;V49)+1)</x:f>
        <x:v>31</x:v>
      </x:c>
      <x:c r="J49" s="6" t="n">
        <x:f>IF(V49&gt;MAX(英雄升级调参!$J$66:$J$115),"超50级",COUNTIF(英雄升级调参!$J$66:$J$115,"&lt;"&amp;V49)+1)</x:f>
        <x:v>24</x:v>
      </x:c>
      <x:c r="K49" s="6" t="n">
        <x:f>IF(V49&gt;MAX(英雄升级调参!$M$66:$M$115),"超50级",COUNTIF(英雄升级调参!$M$66:$M$115,"&lt;"&amp;V49)+1)</x:f>
        <x:v>16</x:v>
      </x:c>
      <x:c r="L49" s="6" t="s">
        <x:v>162</x:v>
      </x:c>
      <x:c r="M49" s="12">
        <x:f>INDEX(怪物等级!$F$13:$F$62,G49)</x:f>
        <x:v>7260</x:v>
      </x:c>
      <x:c r="N49" s="12">
        <x:f>INDEX(怪物等级!$G$13:$G$62,G49)</x:f>
        <x:v>1815</x:v>
      </x:c>
      <x:c r="O49" s="12">
        <x:f>INDEX(怪物等级!$F$113:$F$162,G49)</x:f>
        <x:v>27225</x:v>
      </x:c>
      <x:c r="P49" s="12">
        <x:f>INDEX(怪物等级!$F$163:$F$212,G49)</x:f>
        <x:v>54450</x:v>
      </x:c>
      <x:c r="Q49" s="6" t="s">
        <x:v>245</x:v>
      </x:c>
      <x:c r="R49" s="6">
        <x:v>2</x:v>
      </x:c>
      <x:c r="S49" s="6">
        <x:f t="shared" si="14"/>
        <x:v>0</x:v>
      </x:c>
      <x:c r="T49" s="6">
        <x:f t="shared" si="12"/>
        <x:v>1</x:v>
      </x:c>
      <x:c r="U49" s="6">
        <x:v>12</x:v>
      </x:c>
      <x:c r="V49" s="6">
        <x:f>INDEX(英雄升级调参!$G$66:$G$115,G49)</x:f>
        <x:v>32942250</x:v>
      </x:c>
      <x:c r="W49" s="6" t="str">
        <x:f t="shared" si="15"/>
        <x:v>范围内</x:v>
      </x:c>
      <x:c r="Y49" s="6"/>
      <x:c r="Z49" s="6"/>
      <x:c r="AA49" s="6"/>
      <x:c r="AB49" s="6"/>
      <x:c r="AC49" s="6"/>
      <x:c r="AD49" s="6"/>
      <x:c r="AE49" s="6"/>
      <x:c r="AF49" s="6"/>
      <x:c r="AG49" s="6"/>
      <x:c r="AH49" s="6"/>
      <x:c r="AI49" s="6"/>
    </x:row>
    <x:row r="50" ht="23.100000381469727" customHeight="1">
      <x:c r="A50" s="14">
        <x:v>4</x:v>
      </x:c>
      <x:c r="B50" s="14">
        <x:v>1040030</x:v>
      </x:c>
      <x:c r="C50" s="6" t="s">
        <x:v>246</x:v>
      </x:c>
      <x:c r="D50" s="6" t="s">
        <x:v>83</x:v>
      </x:c>
      <x:c r="E50" s="6">
        <x:v>3</x:v>
      </x:c>
      <x:c r="F50" s="6">
        <x:v>54</x:v>
      </x:c>
      <x:c r="G50" s="6">
        <x:f t="shared" si="13"/>
        <x:v>31</x:v>
      </x:c>
      <x:c r="H50" s="6">
        <x:f t="shared" si="16"/>
        <x:v>0</x:v>
      </x:c>
      <x:c r="I50" s="6" t="n">
        <x:f>IF(V50&gt;MAX(英雄升级调参!$G$66:$G$115),"超50级",COUNTIF(英雄升级调参!$G$66:$G$115,"&lt;"&amp;V50)+1)</x:f>
        <x:v>31</x:v>
      </x:c>
      <x:c r="J50" s="6" t="n">
        <x:f>IF(V50&gt;MAX(英雄升级调参!$J$66:$J$115),"超50级",COUNTIF(英雄升级调参!$J$66:$J$115,"&lt;"&amp;V50)+1)</x:f>
        <x:v>24</x:v>
      </x:c>
      <x:c r="K50" s="6" t="n">
        <x:f>IF(V50&gt;MAX(英雄升级调参!$M$66:$M$115),"超50级",COUNTIF(英雄升级调参!$M$66:$M$115,"&lt;"&amp;V50)+1)</x:f>
        <x:v>16</x:v>
      </x:c>
      <x:c r="L50" s="6" t="s">
        <x:v>162</x:v>
      </x:c>
      <x:c r="M50" s="12">
        <x:f>INDEX(怪物等级!$F$13:$F$62,G50)</x:f>
        <x:v>7260</x:v>
      </x:c>
      <x:c r="N50" s="12">
        <x:f>INDEX(怪物等级!$G$13:$G$62,G50)</x:f>
        <x:v>1815</x:v>
      </x:c>
      <x:c r="O50" s="12">
        <x:f>INDEX(怪物等级!$F$113:$F$162,G50)</x:f>
        <x:v>27225</x:v>
      </x:c>
      <x:c r="P50" s="12">
        <x:f>INDEX(怪物等级!$F$163:$F$212,G50)</x:f>
        <x:v>54450</x:v>
      </x:c>
      <x:c r="Q50" s="6" t="s">
        <x:v>247</x:v>
      </x:c>
      <x:c r="R50" s="6">
        <x:v>3</x:v>
      </x:c>
      <x:c r="S50" s="6">
        <x:f t="shared" si="14"/>
        <x:v>0</x:v>
      </x:c>
      <x:c r="T50" s="6">
        <x:f t="shared" si="12"/>
        <x:v>2</x:v>
      </x:c>
      <x:c r="U50" s="6">
        <x:v>12</x:v>
      </x:c>
      <x:c r="V50" s="6">
        <x:f>INDEX(英雄升级调参!$G$66:$G$115,G50)</x:f>
        <x:v>32942250</x:v>
      </x:c>
      <x:c r="W50" s="6" t="str">
        <x:f t="shared" si="15"/>
        <x:v>范围内</x:v>
      </x:c>
      <x:c r="Y50" s="6"/>
      <x:c r="Z50" s="6"/>
      <x:c r="AA50" s="6"/>
      <x:c r="AB50" s="6"/>
      <x:c r="AC50" s="6"/>
      <x:c r="AD50" s="6"/>
      <x:c r="AE50" s="6"/>
      <x:c r="AF50" s="6"/>
      <x:c r="AG50" s="6"/>
      <x:c r="AH50" s="6"/>
      <x:c r="AI50" s="6"/>
    </x:row>
    <x:row r="51" ht="23.100000381469727" customHeight="1">
      <x:c r="A51" s="14">
        <x:v>4</x:v>
      </x:c>
      <x:c r="B51" s="14">
        <x:v>1040040</x:v>
      </x:c>
      <x:c r="C51" s="6" t="s">
        <x:v>248</x:v>
      </x:c>
      <x:c r="D51" s="6" t="s">
        <x:v>83</x:v>
      </x:c>
      <x:c r="E51" s="6">
        <x:v>4</x:v>
      </x:c>
      <x:c r="F51" s="6">
        <x:v>54</x:v>
      </x:c>
      <x:c r="G51" s="6">
        <x:f t="shared" si="13"/>
        <x:v>32</x:v>
      </x:c>
      <x:c r="H51" s="6">
        <x:f t="shared" si="16"/>
        <x:v>1</x:v>
      </x:c>
      <x:c r="I51" s="6" t="n">
        <x:f>IF(V51&gt;MAX(英雄升级调参!$G$66:$G$115),"超50级",COUNTIF(英雄升级调参!$G$66:$G$115,"&lt;"&amp;V51)+1)</x:f>
        <x:v>32</x:v>
      </x:c>
      <x:c r="J51" s="6">
        <x:f>IF(V51&gt;MAX(英雄升级调参!$J$66:$J$115),"超50级",COUNTIF(英雄升级调参!$J$66:$J$115,"&lt;"&amp;V51)+1)</x:f>
        <x:v>25</x:v>
      </x:c>
      <x:c r="K51" s="6" t="n">
        <x:f>IF(V51&gt;MAX(英雄升级调参!$M$66:$M$115),"超50级",COUNTIF(英雄升级调参!$M$66:$M$115,"&lt;"&amp;V51)+1)</x:f>
        <x:v>17</x:v>
      </x:c>
      <x:c r="L51" s="6" t="s">
        <x:v>162</x:v>
      </x:c>
      <x:c r="M51" s="12">
        <x:f>INDEX(怪物等级!$F$13:$F$62,G51)</x:f>
        <x:v>7548</x:v>
      </x:c>
      <x:c r="N51" s="12">
        <x:f>INDEX(怪物等级!$G$13:$G$62,G51)</x:f>
        <x:v>1887</x:v>
      </x:c>
      <x:c r="O51" s="12">
        <x:f>INDEX(怪物等级!$F$113:$F$162,G51)</x:f>
        <x:v>28305</x:v>
      </x:c>
      <x:c r="P51" s="12">
        <x:f>INDEX(怪物等级!$F$163:$F$212,G51)</x:f>
        <x:v>56610</x:v>
      </x:c>
      <x:c r="Q51" s="6" t="s">
        <x:v>249</x:v>
      </x:c>
      <x:c r="R51" s="6">
        <x:v>4</x:v>
      </x:c>
      <x:c r="S51" s="6">
        <x:f t="shared" si="14"/>
        <x:v>0</x:v>
      </x:c>
      <x:c r="T51" s="6">
        <x:f t="shared" si="12"/>
        <x:v>3</x:v>
      </x:c>
      <x:c r="U51" s="6">
        <x:v>12</x:v>
      </x:c>
      <x:c r="V51" s="6">
        <x:f>INDEX(英雄升级调参!$G$66:$G$115,G51)</x:f>
        <x:v>35607690</x:v>
      </x:c>
      <x:c r="W51" s="6" t="str">
        <x:f t="shared" si="15"/>
        <x:v>范围内</x:v>
      </x:c>
      <x:c r="Y51" s="6"/>
      <x:c r="Z51" s="6"/>
      <x:c r="AA51" s="6"/>
      <x:c r="AB51" s="6"/>
      <x:c r="AC51" s="6"/>
      <x:c r="AD51" s="6"/>
      <x:c r="AE51" s="6"/>
      <x:c r="AF51" s="6"/>
      <x:c r="AG51" s="6"/>
      <x:c r="AH51" s="6"/>
      <x:c r="AI51" s="6"/>
    </x:row>
    <x:row r="52" ht="23.100000381469727" customHeight="1">
      <x:c r="A52" s="14">
        <x:v>4</x:v>
      </x:c>
      <x:c r="B52" s="14">
        <x:v>1040050</x:v>
      </x:c>
      <x:c r="C52" s="6" t="s">
        <x:v>250</x:v>
      </x:c>
      <x:c r="D52" s="6" t="s">
        <x:v>83</x:v>
      </x:c>
      <x:c r="E52" s="6">
        <x:v>5</x:v>
      </x:c>
      <x:c r="F52" s="6">
        <x:v>56</x:v>
      </x:c>
      <x:c r="G52" s="6">
        <x:f t="shared" si="13"/>
        <x:v>35</x:v>
      </x:c>
      <x:c r="H52" s="6">
        <x:f t="shared" si="16"/>
        <x:v>3</x:v>
      </x:c>
      <x:c r="I52" s="6" t="n">
        <x:f>IF(V52&gt;MAX(英雄升级调参!$G$66:$G$115),"超50级",COUNTIF(英雄升级调参!$G$66:$G$115,"&lt;"&amp;V52)+1)</x:f>
        <x:v>35</x:v>
      </x:c>
      <x:c r="J52" s="6" t="n">
        <x:f>IF(V52&gt;MAX(英雄升级调参!$J$66:$J$115),"超50级",COUNTIF(英雄升级调参!$J$66:$J$115,"&lt;"&amp;V52)+1)</x:f>
        <x:v>27</x:v>
      </x:c>
      <x:c r="K52" s="6">
        <x:f>IF(V52&gt;MAX(英雄升级调参!$M$66:$M$115),"超50级",COUNTIF(英雄升级调参!$M$66:$M$115,"&lt;"&amp;V52)+1)</x:f>
        <x:v>20</x:v>
      </x:c>
      <x:c r="L52" s="6" t="s">
        <x:v>171</x:v>
      </x:c>
      <x:c r="M52" s="12">
        <x:f>INDEX(怪物等级!$F$13:$F$62,G52)</x:f>
        <x:v>8988</x:v>
      </x:c>
      <x:c r="N52" s="12">
        <x:f>INDEX(怪物等级!$G$13:$G$62,G52)</x:f>
        <x:v>2247</x:v>
      </x:c>
      <x:c r="O52" s="12">
        <x:f>INDEX(怪物等级!$F$113:$F$162,G52)</x:f>
        <x:v>33705</x:v>
      </x:c>
      <x:c r="P52" s="12">
        <x:f>INDEX(怪物等级!$F$163:$F$212,G52)</x:f>
        <x:v>67410</x:v>
      </x:c>
      <x:c r="Q52" s="6" t="s">
        <x:v>251</x:v>
      </x:c>
      <x:c r="R52" s="6">
        <x:v>5</x:v>
      </x:c>
      <x:c r="S52" s="6">
        <x:f t="shared" si="14"/>
        <x:v>1</x:v>
      </x:c>
      <x:c r="T52" s="6">
        <x:f t="shared" si="12"/>
        <x:v>3</x:v>
      </x:c>
      <x:c r="U52" s="6">
        <x:v>12</x:v>
      </x:c>
      <x:c r="V52" s="6">
        <x:f>INDEX(英雄升级调参!$G$66:$G$115,G52)</x:f>
        <x:v>50490090</x:v>
      </x:c>
      <x:c r="W52" s="6" t="str">
        <x:f t="shared" si="15"/>
        <x:v>范围内</x:v>
      </x:c>
      <x:c r="Y52" s="6"/>
      <x:c r="Z52" s="6"/>
      <x:c r="AA52" s="6"/>
      <x:c r="AB52" s="6"/>
      <x:c r="AC52" s="6"/>
      <x:c r="AD52" s="6"/>
      <x:c r="AE52" s="6"/>
      <x:c r="AF52" s="6"/>
      <x:c r="AG52" s="6"/>
      <x:c r="AH52" s="6"/>
      <x:c r="AI52" s="6"/>
    </x:row>
    <x:row r="53" ht="23.100000381469727" customHeight="1">
      <x:c r="A53" s="14">
        <x:v>4</x:v>
      </x:c>
      <x:c r="B53" s="14">
        <x:v>1040060</x:v>
      </x:c>
      <x:c r="C53" s="6" t="s">
        <x:v>252</x:v>
      </x:c>
      <x:c r="D53" s="6" t="s">
        <x:v>83</x:v>
      </x:c>
      <x:c r="E53" s="6">
        <x:v>6</x:v>
      </x:c>
      <x:c r="F53" s="6">
        <x:v>56</x:v>
      </x:c>
      <x:c r="G53" s="6">
        <x:f t="shared" si="13"/>
        <x:v>35</x:v>
      </x:c>
      <x:c r="H53" s="6">
        <x:f t="shared" si="16"/>
        <x:v>0</x:v>
      </x:c>
      <x:c r="I53" s="6" t="n">
        <x:f>IF(V53&gt;MAX(英雄升级调参!$G$66:$G$115),"超50级",COUNTIF(英雄升级调参!$G$66:$G$115,"&lt;"&amp;V53)+1)</x:f>
        <x:v>35</x:v>
      </x:c>
      <x:c r="J53" s="6" t="n">
        <x:f>IF(V53&gt;MAX(英雄升级调参!$J$66:$J$115),"超50级",COUNTIF(英雄升级调参!$J$66:$J$115,"&lt;"&amp;V53)+1)</x:f>
        <x:v>27</x:v>
      </x:c>
      <x:c r="K53" s="6">
        <x:f>IF(V53&gt;MAX(英雄升级调参!$M$66:$M$115),"超50级",COUNTIF(英雄升级调参!$M$66:$M$115,"&lt;"&amp;V53)+1)</x:f>
        <x:v>20</x:v>
      </x:c>
      <x:c r="L53" s="6" t="s">
        <x:v>162</x:v>
      </x:c>
      <x:c r="M53" s="12">
        <x:f>INDEX(怪物等级!$F$13:$F$62,G53)</x:f>
        <x:v>8988</x:v>
      </x:c>
      <x:c r="N53" s="12">
        <x:f>INDEX(怪物等级!$G$13:$G$62,G53)</x:f>
        <x:v>2247</x:v>
      </x:c>
      <x:c r="O53" s="12">
        <x:f>INDEX(怪物等级!$F$113:$F$162,G53)</x:f>
        <x:v>33705</x:v>
      </x:c>
      <x:c r="P53" s="12">
        <x:f>INDEX(怪物等级!$F$163:$F$212,G53)</x:f>
        <x:v>67410</x:v>
      </x:c>
      <x:c r="Q53" s="6" t="s">
        <x:v>253</x:v>
      </x:c>
      <x:c r="R53" s="6">
        <x:v>6</x:v>
      </x:c>
      <x:c r="S53" s="6">
        <x:f t="shared" si="14"/>
        <x:v>1</x:v>
      </x:c>
      <x:c r="T53" s="6">
        <x:f t="shared" si="12"/>
        <x:v>4</x:v>
      </x:c>
      <x:c r="U53" s="6">
        <x:v>12</x:v>
      </x:c>
      <x:c r="V53" s="6">
        <x:f>INDEX(英雄升级调参!$G$66:$G$115,G53)</x:f>
        <x:v>50490090</x:v>
      </x:c>
      <x:c r="W53" s="6" t="str">
        <x:f t="shared" si="15"/>
        <x:v>范围内</x:v>
      </x:c>
      <x:c r="Y53" s="6"/>
      <x:c r="Z53" s="6"/>
      <x:c r="AA53" s="6"/>
      <x:c r="AB53" s="6"/>
      <x:c r="AC53" s="6"/>
      <x:c r="AD53" s="6"/>
      <x:c r="AE53" s="6"/>
      <x:c r="AF53" s="6"/>
      <x:c r="AG53" s="6"/>
      <x:c r="AH53" s="6"/>
      <x:c r="AI53" s="6"/>
    </x:row>
    <x:row r="54" ht="23.100000381469727" customHeight="1">
      <x:c r="A54" s="14">
        <x:v>4</x:v>
      </x:c>
      <x:c r="B54" s="14">
        <x:v>1040070</x:v>
      </x:c>
      <x:c r="C54" s="6" t="s">
        <x:v>254</x:v>
      </x:c>
      <x:c r="D54" s="6" t="s">
        <x:v>83</x:v>
      </x:c>
      <x:c r="E54" s="6">
        <x:v>7</x:v>
      </x:c>
      <x:c r="F54" s="6">
        <x:v>58</x:v>
      </x:c>
      <x:c r="G54" s="6">
        <x:f t="shared" si="13"/>
        <x:v>35</x:v>
      </x:c>
      <x:c r="H54" s="6">
        <x:f t="shared" si="16"/>
        <x:v>0</x:v>
      </x:c>
      <x:c r="I54" s="6" t="n">
        <x:f>IF(V54&gt;MAX(英雄升级调参!$G$66:$G$115),"超50级",COUNTIF(英雄升级调参!$G$66:$G$115,"&lt;"&amp;V54)+1)</x:f>
        <x:v>35</x:v>
      </x:c>
      <x:c r="J54" s="6" t="n">
        <x:f>IF(V54&gt;MAX(英雄升级调参!$J$66:$J$115),"超50级",COUNTIF(英雄升级调参!$J$66:$J$115,"&lt;"&amp;V54)+1)</x:f>
        <x:v>27</x:v>
      </x:c>
      <x:c r="K54" s="6">
        <x:f>IF(V54&gt;MAX(英雄升级调参!$M$66:$M$115),"超50级",COUNTIF(英雄升级调参!$M$66:$M$115,"&lt;"&amp;V54)+1)</x:f>
        <x:v>20</x:v>
      </x:c>
      <x:c r="L54" s="6" t="s">
        <x:v>162</x:v>
      </x:c>
      <x:c r="M54" s="12">
        <x:f>INDEX(怪物等级!$F$13:$F$62,G54)</x:f>
        <x:v>8988</x:v>
      </x:c>
      <x:c r="N54" s="12">
        <x:f>INDEX(怪物等级!$G$13:$G$62,G54)</x:f>
        <x:v>2247</x:v>
      </x:c>
      <x:c r="O54" s="12">
        <x:f>INDEX(怪物等级!$F$113:$F$162,G54)</x:f>
        <x:v>33705</x:v>
      </x:c>
      <x:c r="P54" s="12">
        <x:f>INDEX(怪物等级!$F$163:$F$212,G54)</x:f>
        <x:v>67410</x:v>
      </x:c>
      <x:c r="Q54" s="6" t="s">
        <x:v>255</x:v>
      </x:c>
      <x:c r="R54" s="6">
        <x:v>7</x:v>
      </x:c>
      <x:c r="S54" s="6">
        <x:f t="shared" si="14"/>
        <x:v>1</x:v>
      </x:c>
      <x:c r="T54" s="6">
        <x:f t="shared" si="12"/>
        <x:v>5</x:v>
      </x:c>
      <x:c r="U54" s="6">
        <x:v>12</x:v>
      </x:c>
      <x:c r="V54" s="6">
        <x:f>INDEX(英雄升级调参!$G$66:$G$115,G54)</x:f>
        <x:v>50490090</x:v>
      </x:c>
      <x:c r="W54" s="6" t="str">
        <x:f t="shared" si="15"/>
        <x:v>范围内</x:v>
      </x:c>
      <x:c r="Y54" s="6"/>
      <x:c r="Z54" s="6"/>
      <x:c r="AA54" s="6"/>
      <x:c r="AB54" s="6"/>
      <x:c r="AC54" s="6"/>
      <x:c r="AD54" s="6"/>
      <x:c r="AE54" s="6"/>
      <x:c r="AF54" s="6"/>
      <x:c r="AG54" s="6"/>
      <x:c r="AH54" s="6"/>
      <x:c r="AI54" s="6"/>
    </x:row>
    <x:row r="55" ht="23.100000381469727" customHeight="1">
      <x:c r="A55" s="14">
        <x:v>4</x:v>
      </x:c>
      <x:c r="B55" s="14">
        <x:v>1040080</x:v>
      </x:c>
      <x:c r="C55" s="6" t="s">
        <x:v>256</x:v>
      </x:c>
      <x:c r="D55" s="6" t="s">
        <x:v>83</x:v>
      </x:c>
      <x:c r="E55" s="6">
        <x:v>8</x:v>
      </x:c>
      <x:c r="F55" s="6">
        <x:v>58</x:v>
      </x:c>
      <x:c r="G55" s="6">
        <x:f t="shared" si="13"/>
        <x:v>36</x:v>
      </x:c>
      <x:c r="H55" s="6">
        <x:f t="shared" si="16"/>
        <x:v>1</x:v>
      </x:c>
      <x:c r="I55" s="6" t="n">
        <x:f>IF(V55&gt;MAX(英雄升级调参!$G$66:$G$115),"超50级",COUNTIF(英雄升级调参!$G$66:$G$115,"&lt;"&amp;V55)+1)</x:f>
        <x:v>36</x:v>
      </x:c>
      <x:c r="J55" s="6" t="n">
        <x:f>IF(V55&gt;MAX(英雄升级调参!$J$66:$J$115),"超50级",COUNTIF(英雄升级调参!$J$66:$J$115,"&lt;"&amp;V55)+1)</x:f>
        <x:v>28</x:v>
      </x:c>
      <x:c r="K55" s="6" t="n">
        <x:f>IF(V55&gt;MAX(英雄升级调参!$M$66:$M$115),"超50级",COUNTIF(英雄升级调参!$M$66:$M$115,"&lt;"&amp;V55)+1)</x:f>
        <x:v>20</x:v>
      </x:c>
      <x:c r="L55" s="6" t="s">
        <x:v>162</x:v>
      </x:c>
      <x:c r="M55" s="12">
        <x:f>INDEX(怪物等级!$F$13:$F$62,G55)</x:f>
        <x:v>9312</x:v>
      </x:c>
      <x:c r="N55" s="12">
        <x:f>INDEX(怪物等级!$G$13:$G$62,G55)</x:f>
        <x:v>2328</x:v>
      </x:c>
      <x:c r="O55" s="12">
        <x:f>INDEX(怪物等级!$F$113:$F$162,G55)</x:f>
        <x:v>34920</x:v>
      </x:c>
      <x:c r="P55" s="12">
        <x:f>INDEX(怪物等级!$F$163:$F$212,G55)</x:f>
        <x:v>69840</x:v>
      </x:c>
      <x:c r="Q55" s="6" t="s">
        <x:v>257</x:v>
      </x:c>
      <x:c r="R55" s="6">
        <x:v>8</x:v>
      </x:c>
      <x:c r="S55" s="6">
        <x:f t="shared" si="14"/>
        <x:v>1</x:v>
      </x:c>
      <x:c r="T55" s="6">
        <x:f t="shared" si="12"/>
        <x:v>6</x:v>
      </x:c>
      <x:c r="U55" s="6">
        <x:v>12</x:v>
      </x:c>
      <x:c r="V55" s="6">
        <x:f>INDEX(英雄升级调参!$G$66:$G$115,G55)</x:f>
        <x:v>54195840</x:v>
      </x:c>
      <x:c r="W55" s="6" t="str">
        <x:f t="shared" si="15"/>
        <x:v>范围内</x:v>
      </x:c>
      <x:c r="Y55" s="6"/>
      <x:c r="Z55" s="6"/>
      <x:c r="AA55" s="6"/>
      <x:c r="AB55" s="6"/>
      <x:c r="AC55" s="6"/>
      <x:c r="AD55" s="6"/>
      <x:c r="AE55" s="6"/>
      <x:c r="AF55" s="6"/>
      <x:c r="AG55" s="6"/>
      <x:c r="AH55" s="6"/>
      <x:c r="AI55" s="6"/>
    </x:row>
    <x:row r="56" ht="23.100000381469727" customHeight="1">
      <x:c r="A56" s="14">
        <x:v>4</x:v>
      </x:c>
      <x:c r="B56" s="14">
        <x:v>1040090</x:v>
      </x:c>
      <x:c r="C56" s="6" t="s">
        <x:v>258</x:v>
      </x:c>
      <x:c r="D56" s="6" t="s">
        <x:v>83</x:v>
      </x:c>
      <x:c r="E56" s="6">
        <x:v>9</x:v>
      </x:c>
      <x:c r="F56" s="6">
        <x:v>58</x:v>
      </x:c>
      <x:c r="G56" s="6">
        <x:f t="shared" si="13"/>
        <x:v>36</x:v>
      </x:c>
      <x:c r="H56" s="6">
        <x:f t="shared" si="16"/>
        <x:v>0</x:v>
      </x:c>
      <x:c r="I56" s="6" t="n">
        <x:f>IF(V56&gt;MAX(英雄升级调参!$G$66:$G$115),"超50级",COUNTIF(英雄升级调参!$G$66:$G$115,"&lt;"&amp;V56)+1)</x:f>
        <x:v>36</x:v>
      </x:c>
      <x:c r="J56" s="6" t="n">
        <x:f>IF(V56&gt;MAX(英雄升级调参!$J$66:$J$115),"超50级",COUNTIF(英雄升级调参!$J$66:$J$115,"&lt;"&amp;V56)+1)</x:f>
        <x:v>28</x:v>
      </x:c>
      <x:c r="K56" s="6" t="n">
        <x:f>IF(V56&gt;MAX(英雄升级调参!$M$66:$M$115),"超50级",COUNTIF(英雄升级调参!$M$66:$M$115,"&lt;"&amp;V56)+1)</x:f>
        <x:v>20</x:v>
      </x:c>
      <x:c r="L56" s="6" t="s">
        <x:v>162</x:v>
      </x:c>
      <x:c r="M56" s="12">
        <x:f>INDEX(怪物等级!$F$13:$F$62,G56)</x:f>
        <x:v>9312</x:v>
      </x:c>
      <x:c r="N56" s="12">
        <x:f>INDEX(怪物等级!$G$13:$G$62,G56)</x:f>
        <x:v>2328</x:v>
      </x:c>
      <x:c r="O56" s="12">
        <x:f>INDEX(怪物等级!$F$113:$F$162,G56)</x:f>
        <x:v>34920</x:v>
      </x:c>
      <x:c r="P56" s="12">
        <x:f>INDEX(怪物等级!$F$163:$F$212,G56)</x:f>
        <x:v>69840</x:v>
      </x:c>
      <x:c r="Q56" s="6" t="s">
        <x:v>259</x:v>
      </x:c>
      <x:c r="R56" s="6">
        <x:v>9</x:v>
      </x:c>
      <x:c r="S56" s="6">
        <x:f t="shared" si="14"/>
        <x:v>1</x:v>
      </x:c>
      <x:c r="T56" s="6">
        <x:f t="shared" si="12"/>
        <x:v>7</x:v>
      </x:c>
      <x:c r="U56" s="6">
        <x:v>12</x:v>
      </x:c>
      <x:c r="V56" s="6">
        <x:f>INDEX(英雄升级调参!$G$66:$G$115,G56)</x:f>
        <x:v>54195840</x:v>
      </x:c>
      <x:c r="W56" s="6" t="str">
        <x:f t="shared" si="15"/>
        <x:v>范围内</x:v>
      </x:c>
      <x:c r="Y56" s="6"/>
      <x:c r="Z56" s="6"/>
      <x:c r="AA56" s="6"/>
      <x:c r="AB56" s="6"/>
      <x:c r="AC56" s="6"/>
      <x:c r="AD56" s="6"/>
      <x:c r="AE56" s="6"/>
      <x:c r="AF56" s="6"/>
      <x:c r="AG56" s="6"/>
      <x:c r="AH56" s="6"/>
      <x:c r="AI56" s="6"/>
    </x:row>
    <x:row r="57" ht="23.100000381469727" customHeight="1">
      <x:c r="A57" s="14">
        <x:v>4</x:v>
      </x:c>
      <x:c r="B57" s="14">
        <x:v>1040100</x:v>
      </x:c>
      <x:c r="C57" s="6" t="s">
        <x:v>260</x:v>
      </x:c>
      <x:c r="D57" s="6" t="s">
        <x:v>177</x:v>
      </x:c>
      <x:c r="E57" s="6">
        <x:v>10</x:v>
      </x:c>
      <x:c r="F57" s="6">
        <x:v>58</x:v>
      </x:c>
      <x:c r="G57" s="6">
        <x:f t="shared" si="13"/>
        <x:v>37</x:v>
      </x:c>
      <x:c r="H57" s="6">
        <x:f t="shared" si="16"/>
        <x:v>1</x:v>
      </x:c>
      <x:c r="I57" s="6" t="n">
        <x:f>IF(V57&gt;MAX(英雄升级调参!$G$66:$G$115),"超50级",COUNTIF(英雄升级调参!$G$66:$G$115,"&lt;"&amp;V57)+1)</x:f>
        <x:v>37</x:v>
      </x:c>
      <x:c r="J57" s="6" t="n">
        <x:f>IF(V57&gt;MAX(英雄升级调参!$J$66:$J$115),"超50级",COUNTIF(英雄升级调参!$J$66:$J$115,"&lt;"&amp;V57)+1)</x:f>
        <x:v>29</x:v>
      </x:c>
      <x:c r="K57" s="6" t="n">
        <x:f>IF(V57&gt;MAX(英雄升级调参!$M$66:$M$115),"超50级",COUNTIF(英雄升级调参!$M$66:$M$115,"&lt;"&amp;V57)+1)</x:f>
        <x:v>20</x:v>
      </x:c>
      <x:c r="L57" s="6" t="s">
        <x:v>162</x:v>
      </x:c>
      <x:c r="M57" s="12">
        <x:f>INDEX(怪物等级!$F$13:$F$62,G57)</x:f>
        <x:v>9636</x:v>
      </x:c>
      <x:c r="N57" s="12">
        <x:f>INDEX(怪物等级!$G$13:$G$62,G57)</x:f>
        <x:v>2409</x:v>
      </x:c>
      <x:c r="O57" s="12">
        <x:f>INDEX(怪物等级!$F$113:$F$162,G57)</x:f>
        <x:v>36135</x:v>
      </x:c>
      <x:c r="P57" s="12">
        <x:f>INDEX(怪物等级!$F$163:$F$212,G57)</x:f>
        <x:v>72270</x:v>
      </x:c>
      <x:c r="Q57" s="6" t="s">
        <x:v>261</x:v>
      </x:c>
      <x:c r="R57" s="6">
        <x:v>10</x:v>
      </x:c>
      <x:c r="S57" s="6">
        <x:f t="shared" si="14"/>
        <x:v>1</x:v>
      </x:c>
      <x:c r="T57" s="6">
        <x:f t="shared" si="12"/>
        <x:v>8</x:v>
      </x:c>
      <x:c r="U57" s="6">
        <x:v>12</x:v>
      </x:c>
      <x:c r="V57" s="6">
        <x:f>INDEX(英雄升级调参!$G$66:$G$115,G57)</x:f>
        <x:v>58032810</x:v>
      </x:c>
      <x:c r="W57" s="6" t="str">
        <x:f t="shared" si="15"/>
        <x:v>范围内</x:v>
      </x:c>
      <x:c r="Y57" s="6"/>
      <x:c r="Z57" s="6"/>
      <x:c r="AA57" s="6"/>
      <x:c r="AB57" s="6"/>
      <x:c r="AC57" s="6"/>
      <x:c r="AD57" s="6"/>
      <x:c r="AE57" s="6"/>
      <x:c r="AF57" s="6"/>
      <x:c r="AG57" s="6"/>
      <x:c r="AH57" s="6"/>
      <x:c r="AI57" s="6"/>
    </x:row>
    <x:row r="58" ht="23.100000381469727" customHeight="1">
      <x:c r="A58" s="14">
        <x:v>4</x:v>
      </x:c>
      <x:c r="B58" s="14">
        <x:v>1040110</x:v>
      </x:c>
      <x:c r="C58" s="6" t="s">
        <x:v>262</x:v>
      </x:c>
      <x:c r="D58" s="6" t="s">
        <x:v>177</x:v>
      </x:c>
      <x:c r="E58" s="6">
        <x:v>11</x:v>
      </x:c>
      <x:c r="F58" s="6">
        <x:v>58</x:v>
      </x:c>
      <x:c r="G58" s="6">
        <x:f t="shared" si="13"/>
        <x:v>40</x:v>
      </x:c>
      <x:c r="H58" s="6">
        <x:f t="shared" si="16"/>
        <x:v>3</x:v>
      </x:c>
      <x:c r="I58" s="6" t="n">
        <x:f>IF(V58&gt;MAX(英雄升级调参!$G$66:$G$115),"超50级",COUNTIF(英雄升级调参!$G$66:$G$115,"&lt;"&amp;V58)+1)</x:f>
        <x:v>40</x:v>
      </x:c>
      <x:c r="J58" s="6" t="n">
        <x:f>IF(V58&gt;MAX(英雄升级调参!$J$66:$J$115),"超50级",COUNTIF(英雄升级调参!$J$66:$J$115,"&lt;"&amp;V58)+1)</x:f>
        <x:v>31</x:v>
      </x:c>
      <x:c r="K58" s="6">
        <x:f>IF(V58&gt;MAX(英雄升级调参!$M$66:$M$115),"超50级",COUNTIF(英雄升级调参!$M$66:$M$115,"&lt;"&amp;V58)+1)</x:f>
        <x:v>23</x:v>
      </x:c>
      <x:c r="L58" s="6" t="s">
        <x:v>179</x:v>
      </x:c>
      <x:c r="M58" s="12">
        <x:f>INDEX(怪物等级!$F$13:$F$62,G58)</x:f>
        <x:v>11256</x:v>
      </x:c>
      <x:c r="N58" s="12">
        <x:f>INDEX(怪物等级!$G$13:$G$62,G58)</x:f>
        <x:v>2814</x:v>
      </x:c>
      <x:c r="O58" s="12">
        <x:f>INDEX(怪物等级!$F$113:$F$162,G58)</x:f>
        <x:v>42210</x:v>
      </x:c>
      <x:c r="P58" s="12">
        <x:f>INDEX(怪物等级!$F$163:$F$212,G58)</x:f>
        <x:v>84420</x:v>
      </x:c>
      <x:c r="Q58" s="6" t="s">
        <x:v>263</x:v>
      </x:c>
      <x:c r="R58" s="6">
        <x:v>11</x:v>
      </x:c>
      <x:c r="S58" s="6">
        <x:f t="shared" si="14"/>
        <x:v>2</x:v>
      </x:c>
      <x:c r="T58" s="6">
        <x:f t="shared" si="12"/>
        <x:v>8</x:v>
      </x:c>
      <x:c r="U58" s="6">
        <x:v>12</x:v>
      </x:c>
      <x:c r="V58" s="6">
        <x:f>INDEX(英雄升级调参!$G$66:$G$115,G58)</x:f>
        <x:v>79185960</x:v>
      </x:c>
      <x:c r="W58" s="6" t="str">
        <x:f t="shared" si="15"/>
        <x:v>范围内</x:v>
      </x:c>
      <x:c r="Y58" s="6"/>
      <x:c r="Z58" s="6"/>
      <x:c r="AA58" s="6"/>
      <x:c r="AB58" s="6"/>
      <x:c r="AC58" s="6"/>
      <x:c r="AD58" s="6"/>
      <x:c r="AE58" s="6"/>
      <x:c r="AF58" s="6"/>
      <x:c r="AG58" s="6"/>
      <x:c r="AH58" s="6"/>
      <x:c r="AI58" s="6"/>
    </x:row>
    <x:row r="59" ht="23.100000381469727" customHeight="1">
      <x:c r="A59" s="14">
        <x:v>4</x:v>
      </x:c>
      <x:c r="B59" s="14">
        <x:v>1040120</x:v>
      </x:c>
      <x:c r="C59" s="6" t="s">
        <x:v>264</x:v>
      </x:c>
      <x:c r="D59" s="6" t="s">
        <x:v>181</x:v>
      </x:c>
      <x:c r="E59" s="6">
        <x:v>12</x:v>
      </x:c>
      <x:c r="F59" s="6">
        <x:v>58</x:v>
      </x:c>
      <x:c r="G59" s="6">
        <x:f t="shared" si="13"/>
        <x:v>40</x:v>
      </x:c>
      <x:c r="H59" s="6" t="s">
        <x:v>182</x:v>
      </x:c>
      <x:c r="I59" s="6" t="n">
        <x:f>IF(V59&gt;MAX(英雄升级调参!$G$66:$G$115),"超50级",COUNTIF(英雄升级调参!$G$66:$G$115,"&lt;"&amp;V59)+1)</x:f>
        <x:v>40</x:v>
      </x:c>
      <x:c r="J59" s="6" t="n">
        <x:f>IF(V59&gt;MAX(英雄升级调参!$J$66:$J$115),"超50级",COUNTIF(英雄升级调参!$J$66:$J$115,"&lt;"&amp;V59)+1)</x:f>
        <x:v>31</x:v>
      </x:c>
      <x:c r="K59" s="6">
        <x:f>IF(V59&gt;MAX(英雄升级调参!$M$66:$M$115),"超50级",COUNTIF(英雄升级调参!$M$66:$M$115,"&lt;"&amp;V59)+1)</x:f>
        <x:v>23</x:v>
      </x:c>
      <x:c r="L59" s="6" t="s">
        <x:v>183</x:v>
      </x:c>
      <x:c r="M59" s="12">
        <x:f>INDEX(怪物等级!$F$13:$F$62,G59)</x:f>
        <x:v>11256</x:v>
      </x:c>
      <x:c r="N59" s="12">
        <x:f>INDEX(怪物等级!$G$13:$G$62,G59)</x:f>
        <x:v>2814</x:v>
      </x:c>
      <x:c r="O59" s="12">
        <x:f>INDEX(怪物等级!$F$113:$F$162,G59)</x:f>
        <x:v>42210</x:v>
      </x:c>
      <x:c r="P59" s="12">
        <x:f>INDEX(怪物等级!$F$163:$F$212,G59)</x:f>
        <x:v>84420</x:v>
      </x:c>
      <x:c r="Q59" s="6" t="s">
        <x:v>265</x:v>
      </x:c>
      <x:c r="R59" s="6">
        <x:v>11</x:v>
      </x:c>
      <x:c r="S59" s="6">
        <x:f t="shared" si="14"/>
        <x:v>2</x:v>
      </x:c>
      <x:c r="T59" s="6">
        <x:f t="shared" si="12"/>
        <x:v>8</x:v>
      </x:c>
      <x:c r="U59" s="6">
        <x:v>12</x:v>
      </x:c>
      <x:c r="V59" s="6">
        <x:f>INDEX(英雄升级调参!$G$66:$G$115,G59)</x:f>
        <x:v>79185960</x:v>
      </x:c>
      <x:c r="W59" s="6" t="str">
        <x:f t="shared" si="15"/>
        <x:v>范围内</x:v>
      </x:c>
      <x:c r="Y59" s="6"/>
      <x:c r="Z59" s="6"/>
      <x:c r="AA59" s="6"/>
      <x:c r="AB59" s="6"/>
      <x:c r="AC59" s="6"/>
      <x:c r="AD59" s="6"/>
      <x:c r="AE59" s="6"/>
      <x:c r="AF59" s="6"/>
      <x:c r="AG59" s="6"/>
      <x:c r="AH59" s="6"/>
      <x:c r="AI59" s="6"/>
    </x:row>
    <x:row r="60" ht="23.100000381469727" customHeight="1">
      <x:c r="A60" s="14">
        <x:v>4</x:v>
      </x:c>
      <x:c r="B60" s="14">
        <x:v>1040130</x:v>
      </x:c>
      <x:c r="C60" s="6" t="s">
        <x:v>266</x:v>
      </x:c>
      <x:c r="D60" s="6" t="s">
        <x:v>181</x:v>
      </x:c>
      <x:c r="E60" s="6">
        <x:v>13</x:v>
      </x:c>
      <x:c r="F60" s="6">
        <x:v>58</x:v>
      </x:c>
      <x:c r="G60" s="6">
        <x:f t="shared" si="13"/>
        <x:v>40</x:v>
      </x:c>
      <x:c r="H60" s="6" t="s">
        <x:v>182</x:v>
      </x:c>
      <x:c r="I60" s="6" t="n">
        <x:f>IF(V60&gt;MAX(英雄升级调参!$G$66:$G$115),"超50级",COUNTIF(英雄升级调参!$G$66:$G$115,"&lt;"&amp;V60)+1)</x:f>
        <x:v>40</x:v>
      </x:c>
      <x:c r="J60" s="6" t="n">
        <x:f>IF(V60&gt;MAX(英雄升级调参!$J$66:$J$115),"超50级",COUNTIF(英雄升级调参!$J$66:$J$115,"&lt;"&amp;V60)+1)</x:f>
        <x:v>31</x:v>
      </x:c>
      <x:c r="K60" s="6">
        <x:f>IF(V60&gt;MAX(英雄升级调参!$M$66:$M$115),"超50级",COUNTIF(英雄升级调参!$M$66:$M$115,"&lt;"&amp;V60)+1)</x:f>
        <x:v>23</x:v>
      </x:c>
      <x:c r="L60" s="6" t="s">
        <x:v>183</x:v>
      </x:c>
      <x:c r="M60" s="12">
        <x:f>INDEX(怪物等级!$F$13:$F$62,G60)</x:f>
        <x:v>11256</x:v>
      </x:c>
      <x:c r="N60" s="12">
        <x:f>INDEX(怪物等级!$G$13:$G$62,G60)</x:f>
        <x:v>2814</x:v>
      </x:c>
      <x:c r="O60" s="12">
        <x:f>INDEX(怪物等级!$F$113:$F$162,G60)</x:f>
        <x:v>42210</x:v>
      </x:c>
      <x:c r="P60" s="12">
        <x:f>INDEX(怪物等级!$F$163:$F$212,G60)</x:f>
        <x:v>84420</x:v>
      </x:c>
      <x:c r="Q60" s="6" t="s">
        <x:v>267</x:v>
      </x:c>
      <x:c r="R60" s="6">
        <x:v>11</x:v>
      </x:c>
      <x:c r="S60" s="6">
        <x:f t="shared" si="14"/>
        <x:v>2</x:v>
      </x:c>
      <x:c r="T60" s="6">
        <x:f t="shared" si="12"/>
        <x:v>8</x:v>
      </x:c>
      <x:c r="U60" s="6">
        <x:v>12</x:v>
      </x:c>
      <x:c r="V60" s="6">
        <x:f>INDEX(英雄升级调参!$G$66:$G$115,G60)</x:f>
        <x:v>79185960</x:v>
      </x:c>
      <x:c r="W60" s="6" t="str">
        <x:f t="shared" si="15"/>
        <x:v>范围内</x:v>
      </x:c>
      <x:c r="Y60" s="6"/>
      <x:c r="Z60" s="6"/>
      <x:c r="AA60" s="6"/>
      <x:c r="AB60" s="6"/>
      <x:c r="AC60" s="6"/>
      <x:c r="AD60" s="6"/>
      <x:c r="AE60" s="6"/>
      <x:c r="AF60" s="6"/>
      <x:c r="AG60" s="6"/>
      <x:c r="AH60" s="6"/>
      <x:c r="AI60" s="6"/>
    </x:row>
    <x:row r="61" ht="23.100000381469727" customHeight="1">
      <x:c r="A61" s="14">
        <x:v>4</x:v>
      </x:c>
      <x:c r="B61" s="14">
        <x:v>1040140</x:v>
      </x:c>
      <x:c r="C61" s="6" t="s">
        <x:v>268</x:v>
      </x:c>
      <x:c r="D61" s="6" t="s">
        <x:v>181</x:v>
      </x:c>
      <x:c r="E61" s="6">
        <x:v>14</x:v>
      </x:c>
      <x:c r="F61" s="6">
        <x:v>58</x:v>
      </x:c>
      <x:c r="G61" s="6">
        <x:f t="shared" si="13"/>
        <x:v>40</x:v>
      </x:c>
      <x:c r="H61" s="6" t="s">
        <x:v>182</x:v>
      </x:c>
      <x:c r="I61" s="6" t="n">
        <x:f>IF(V61&gt;MAX(英雄升级调参!$G$66:$G$115),"超50级",COUNTIF(英雄升级调参!$G$66:$G$115,"&lt;"&amp;V61)+1)</x:f>
        <x:v>40</x:v>
      </x:c>
      <x:c r="J61" s="6" t="n">
        <x:f>IF(V61&gt;MAX(英雄升级调参!$J$66:$J$115),"超50级",COUNTIF(英雄升级调参!$J$66:$J$115,"&lt;"&amp;V61)+1)</x:f>
        <x:v>31</x:v>
      </x:c>
      <x:c r="K61" s="6">
        <x:f>IF(V61&gt;MAX(英雄升级调参!$M$66:$M$115),"超50级",COUNTIF(英雄升级调参!$M$66:$M$115,"&lt;"&amp;V61)+1)</x:f>
        <x:v>23</x:v>
      </x:c>
      <x:c r="L61" s="6" t="s">
        <x:v>183</x:v>
      </x:c>
      <x:c r="M61" s="12">
        <x:f>INDEX(怪物等级!$F$13:$F$62,G61)</x:f>
        <x:v>11256</x:v>
      </x:c>
      <x:c r="N61" s="12">
        <x:f>INDEX(怪物等级!$G$13:$G$62,G61)</x:f>
        <x:v>2814</x:v>
      </x:c>
      <x:c r="O61" s="12">
        <x:f>INDEX(怪物等级!$F$113:$F$162,G61)</x:f>
        <x:v>42210</x:v>
      </x:c>
      <x:c r="P61" s="12">
        <x:f>INDEX(怪物等级!$F$163:$F$212,G61)</x:f>
        <x:v>84420</x:v>
      </x:c>
      <x:c r="Q61" s="6" t="s">
        <x:v>269</x:v>
      </x:c>
      <x:c r="R61" s="6">
        <x:v>11</x:v>
      </x:c>
      <x:c r="S61" s="6">
        <x:f t="shared" si="14"/>
        <x:v>2</x:v>
      </x:c>
      <x:c r="T61" s="6">
        <x:f t="shared" si="12"/>
        <x:v>8</x:v>
      </x:c>
      <x:c r="U61" s="6">
        <x:v>12</x:v>
      </x:c>
      <x:c r="V61" s="6">
        <x:f>INDEX(英雄升级调参!$G$66:$G$115,G61)</x:f>
        <x:v>79185960</x:v>
      </x:c>
      <x:c r="W61" s="6" t="str">
        <x:f t="shared" si="15"/>
        <x:v>范围内</x:v>
      </x:c>
      <x:c r="Y61" s="6"/>
      <x:c r="Z61" s="6"/>
      <x:c r="AA61" s="6"/>
      <x:c r="AB61" s="6"/>
      <x:c r="AC61" s="6"/>
      <x:c r="AD61" s="6"/>
      <x:c r="AE61" s="6"/>
      <x:c r="AF61" s="6"/>
      <x:c r="AG61" s="6"/>
      <x:c r="AH61" s="6"/>
      <x:c r="AI61" s="6"/>
    </x:row>
    <x:row r="62" ht="23.100000381469727" customHeight="1">
      <x:c r="A62" s="14">
        <x:v>4</x:v>
      </x:c>
      <x:c r="B62" s="14">
        <x:v>1040150</x:v>
      </x:c>
      <x:c r="C62" s="6" t="s">
        <x:v>270</x:v>
      </x:c>
      <x:c r="D62" s="6" t="s">
        <x:v>239</x:v>
      </x:c>
      <x:c r="E62" s="6">
        <x:v>15</x:v>
      </x:c>
      <x:c r="F62" s="6">
        <x:v>58</x:v>
      </x:c>
      <x:c r="G62" s="6">
        <x:f t="shared" si="13"/>
        <x:v>35</x:v>
      </x:c>
      <x:c r="H62" s="6" t="s">
        <x:v>182</x:v>
      </x:c>
      <x:c r="I62" s="6" t="n">
        <x:f>IF(V62&gt;MAX(英雄升级调参!$G$66:$G$115),"超50级",COUNTIF(英雄升级调参!$G$66:$G$115,"&lt;"&amp;V62)+1)</x:f>
        <x:v>35</x:v>
      </x:c>
      <x:c r="J62" s="6" t="n">
        <x:f>IF(V62&gt;MAX(英雄升级调参!$J$66:$J$115),"超50级",COUNTIF(英雄升级调参!$J$66:$J$115,"&lt;"&amp;V62)+1)</x:f>
        <x:v>27</x:v>
      </x:c>
      <x:c r="K62" s="6">
        <x:f>IF(V62&gt;MAX(英雄升级调参!$M$66:$M$115),"超50级",COUNTIF(英雄升级调参!$M$66:$M$115,"&lt;"&amp;V62)+1)</x:f>
        <x:v>20</x:v>
      </x:c>
      <x:c r="L62" s="6" t="s">
        <x:v>240</x:v>
      </x:c>
      <x:c r="M62" s="12">
        <x:f>INDEX(怪物等级!$F$13:$F$62,G62)</x:f>
        <x:v>8988</x:v>
      </x:c>
      <x:c r="N62" s="12">
        <x:f>INDEX(怪物等级!$G$13:$G$62,G62)</x:f>
        <x:v>2247</x:v>
      </x:c>
      <x:c r="O62" s="12">
        <x:f>INDEX(怪物等级!$F$113:$F$162,G62)</x:f>
        <x:v>33705</x:v>
      </x:c>
      <x:c r="P62" s="12">
        <x:f>INDEX(怪物等级!$F$163:$F$212,G62)</x:f>
        <x:v>67410</x:v>
      </x:c>
      <x:c r="Q62" s="6" t="s">
        <x:v>271</x:v>
      </x:c>
      <x:c r="R62" s="6">
        <x:v>5</x:v>
      </x:c>
      <x:c r="S62" s="6">
        <x:f t="shared" si="14"/>
        <x:v>1</x:v>
      </x:c>
      <x:c r="T62" s="6">
        <x:f t="shared" si="12"/>
        <x:v>3</x:v>
      </x:c>
      <x:c r="U62" s="6">
        <x:v>12</x:v>
      </x:c>
      <x:c r="V62" s="6">
        <x:f>INDEX(英雄升级调参!$G$66:$G$115,G62)</x:f>
        <x:v>50490090</x:v>
      </x:c>
      <x:c r="W62" s="6" t="str">
        <x:f t="shared" si="15"/>
        <x:v>范围内</x:v>
      </x:c>
      <x:c r="Y62" s="6"/>
      <x:c r="Z62" s="6"/>
      <x:c r="AA62" s="6"/>
      <x:c r="AB62" s="6"/>
      <x:c r="AC62" s="6"/>
      <x:c r="AD62" s="6"/>
      <x:c r="AE62" s="6"/>
      <x:c r="AF62" s="6"/>
      <x:c r="AG62" s="6"/>
      <x:c r="AH62" s="6"/>
      <x:c r="AI62" s="6"/>
    </x:row>
    <x:row r="63" ht="23.100000381469727" customHeight="1">
      <x:c r="A63" s="14">
        <x:v>5</x:v>
      </x:c>
      <x:c r="B63" s="14">
        <x:v>1050010</x:v>
      </x:c>
      <x:c r="C63" s="6" t="s">
        <x:v>272</x:v>
      </x:c>
      <x:c r="D63" s="6" t="s">
        <x:v>83</x:v>
      </x:c>
      <x:c r="E63" s="6">
        <x:v>1</x:v>
      </x:c>
      <x:c r="F63" s="6">
        <x:v>60</x:v>
      </x:c>
      <x:c r="G63" s="6" t="n">
        <x:f>$Z$13+S63*$AB$13+IF($AD$13&gt;0,ROUNDDOWN($AE$13*T63/$AD$13,0),0)</x:f>
        <x:v>41</x:v>
      </x:c>
      <x:c r="H63" s="6" t="n">
        <x:f>G63-G58</x:f>
        <x:v>1</x:v>
      </x:c>
      <x:c r="I63" s="6" t="n">
        <x:f>IF(V63&gt;MAX(英雄升级调参!$G$66:$G$115),"超50级",COUNTIF(英雄升级调参!$G$66:$G$115,"&lt;"&amp;V63)+1)</x:f>
        <x:v>41</x:v>
      </x:c>
      <x:c r="J63" s="6" t="n">
        <x:f>IF(V63&gt;MAX(英雄升级调参!$J$66:$J$115),"超50级",COUNTIF(英雄升级调参!$J$66:$J$115,"&lt;"&amp;V63)+1)</x:f>
        <x:v>32</x:v>
      </x:c>
      <x:c r="K63" s="6" t="n">
        <x:f>IF(V63&gt;MAX(英雄升级调参!$M$66:$M$115),"超50级",COUNTIF(英雄升级调参!$M$66:$M$115,"&lt;"&amp;V63)+1)</x:f>
        <x:v>23</x:v>
      </x:c>
      <x:c r="L63" s="6" t="s">
        <x:v>162</x:v>
      </x:c>
      <x:c r="M63" s="12">
        <x:f>INDEX(怪物等级!$F$13:$F$62,G63)</x:f>
        <x:v>11616</x:v>
      </x:c>
      <x:c r="N63" s="12">
        <x:f>INDEX(怪物等级!$G$13:$G$62,G63)</x:f>
        <x:v>2904</x:v>
      </x:c>
      <x:c r="O63" s="12">
        <x:f>INDEX(怪物等级!$F$113:$F$162,G63)</x:f>
        <x:v>43560</x:v>
      </x:c>
      <x:c r="P63" s="12">
        <x:f>INDEX(怪物等级!$F$163:$F$212,G63)</x:f>
        <x:v>87120</x:v>
      </x:c>
      <x:c r="Q63" s="6" t="s">
        <x:v>273</x:v>
      </x:c>
      <x:c r="R63" s="6">
        <x:v>1</x:v>
      </x:c>
      <x:c r="S63" s="6" t="n">
        <x:f>IF(R63&gt;=5,1,0)+IF(AND(R63=$AC$13,$AC$13&lt;&gt;5),1,0)</x:f>
        <x:v>0</x:v>
      </x:c>
      <x:c r="T63" s="6">
        <x:f t="shared" si="12"/>
        <x:v>0</x:v>
      </x:c>
      <x:c r="U63" s="6">
        <x:v>13</x:v>
      </x:c>
      <x:c r="V63" s="6">
        <x:f>INDEX(英雄升级调参!$G$66:$G$115,G63)</x:f>
        <x:v>84332160</x:v>
      </x:c>
      <x:c r="W63" s="6" t="str">
        <x:f>IF(AND(G63&gt;=1,G63&lt;=50,$AE$13&gt;=0),"范围内","需调整预算")</x:f>
        <x:v>范围内</x:v>
      </x:c>
      <x:c r="Y63" s="6"/>
      <x:c r="Z63" s="6"/>
      <x:c r="AA63" s="6"/>
      <x:c r="AB63" s="6"/>
      <x:c r="AC63" s="6"/>
      <x:c r="AD63" s="6"/>
      <x:c r="AE63" s="6"/>
      <x:c r="AF63" s="6"/>
      <x:c r="AG63" s="6"/>
      <x:c r="AH63" s="6"/>
      <x:c r="AI63" s="6"/>
    </x:row>
    <x:row r="64" ht="23.100000381469727" customHeight="1">
      <x:c r="A64" s="14">
        <x:v>5</x:v>
      </x:c>
      <x:c r="B64" s="14">
        <x:v>1050020</x:v>
      </x:c>
      <x:c r="C64" s="6" t="s">
        <x:v>274</x:v>
      </x:c>
      <x:c r="D64" s="6" t="s">
        <x:v>83</x:v>
      </x:c>
      <x:c r="E64" s="6">
        <x:v>2</x:v>
      </x:c>
      <x:c r="F64" s="6">
        <x:v>60</x:v>
      </x:c>
      <x:c r="G64" s="6" t="n">
        <x:f>$Z$13+S64*$AB$13+IF($AD$13&gt;0,ROUNDDOWN($AE$13*T64/$AD$13,0),0)</x:f>
        <x:v>43</x:v>
      </x:c>
      <x:c r="H64" s="6" t="n">
        <x:f>G64-G63</x:f>
        <x:v>2</x:v>
      </x:c>
      <x:c r="I64" s="6" t="n">
        <x:f>IF(V64&gt;MAX(英雄升级调参!$G$66:$G$115),"超50级",COUNTIF(英雄升级调参!$G$66:$G$115,"&lt;"&amp;V64)+1)</x:f>
        <x:v>43</x:v>
      </x:c>
      <x:c r="J64" s="6" t="n">
        <x:f>IF(V64&gt;MAX(英雄升级调参!$J$66:$J$115),"超50级",COUNTIF(英雄升级调参!$J$66:$J$115,"&lt;"&amp;V64)+1)</x:f>
        <x:v>34</x:v>
      </x:c>
      <x:c r="K64" s="6">
        <x:f>IF(V64&gt;MAX(英雄升级调参!$M$66:$M$115),"超50级",COUNTIF(英雄升级调参!$M$66:$M$115,"&lt;"&amp;V64)+1)</x:f>
        <x:v>25</x:v>
      </x:c>
      <x:c r="L64" s="6" t="s">
        <x:v>162</x:v>
      </x:c>
      <x:c r="M64" s="12">
        <x:f>INDEX(怪物等级!$F$13:$F$62,G64)</x:f>
        <x:v>12336</x:v>
      </x:c>
      <x:c r="N64" s="12">
        <x:f>INDEX(怪物等级!$G$13:$G$62,G64)</x:f>
        <x:v>3084</x:v>
      </x:c>
      <x:c r="O64" s="12">
        <x:f>INDEX(怪物等级!$F$113:$F$162,G64)</x:f>
        <x:v>46260</x:v>
      </x:c>
      <x:c r="P64" s="12">
        <x:f>INDEX(怪物等级!$F$163:$F$212,G64)</x:f>
        <x:v>92520</x:v>
      </x:c>
      <x:c r="Q64" s="6" t="s">
        <x:v>275</x:v>
      </x:c>
      <x:c r="R64" s="6">
        <x:v>2</x:v>
      </x:c>
      <x:c r="S64" s="6" t="n">
        <x:f>IF(R64&gt;=5,1,0)+IF(AND(R64=$AC$13,$AC$13&lt;&gt;5),1,0)</x:f>
        <x:v>0</x:v>
      </x:c>
      <x:c r="T64" s="6">
        <x:f t="shared" si="12"/>
        <x:v>1</x:v>
      </x:c>
      <x:c r="U64" s="6">
        <x:v>13</x:v>
      </x:c>
      <x:c r="V64" s="6">
        <x:f>INDEX(英雄升级调参!$G$66:$G$115,G64)</x:f>
        <x:v>95110560</x:v>
      </x:c>
      <x:c r="W64" s="6" t="str">
        <x:f>IF(AND(G64&gt;=1,G64&lt;=50,$AE$13&gt;=0),"范围内","需调整预算")</x:f>
        <x:v>范围内</x:v>
      </x:c>
      <x:c r="Y64" s="6"/>
      <x:c r="Z64" s="6"/>
      <x:c r="AA64" s="6"/>
      <x:c r="AB64" s="6"/>
      <x:c r="AC64" s="6"/>
      <x:c r="AD64" s="6"/>
      <x:c r="AE64" s="6"/>
      <x:c r="AF64" s="6"/>
      <x:c r="AG64" s="6"/>
      <x:c r="AH64" s="6"/>
      <x:c r="AI64" s="6"/>
    </x:row>
    <x:row r="65" ht="23.100000381469727" customHeight="1">
      <x:c r="A65" s="14">
        <x:v>5</x:v>
      </x:c>
      <x:c r="B65" s="14">
        <x:v>1050030</x:v>
      </x:c>
      <x:c r="C65" s="6" t="s">
        <x:v>276</x:v>
      </x:c>
      <x:c r="D65" s="6" t="s">
        <x:v>83</x:v>
      </x:c>
      <x:c r="E65" s="6">
        <x:v>3</x:v>
      </x:c>
      <x:c r="F65" s="6">
        <x:v>60</x:v>
      </x:c>
      <x:c r="G65" s="6" t="n">
        <x:f>$Z$13+S65*$AB$13+IF($AD$13&gt;0,ROUNDDOWN($AE$13*T65/$AD$13,0),0)</x:f>
        <x:v>45</x:v>
      </x:c>
      <x:c r="H65" s="6" t="n">
        <x:f>G65-G64</x:f>
        <x:v>2</x:v>
      </x:c>
      <x:c r="I65" s="6" t="n">
        <x:f>IF(V65&gt;MAX(英雄升级调参!$G$66:$G$115),"超50级",COUNTIF(英雄升级调参!$G$66:$G$115,"&lt;"&amp;V65)+1)</x:f>
        <x:v>45</x:v>
      </x:c>
      <x:c r="J65" s="6" t="n">
        <x:f>IF(V65&gt;MAX(英雄升级调参!$J$66:$J$115),"超50级",COUNTIF(英雄升级调参!$J$66:$J$115,"&lt;"&amp;V65)+1)</x:f>
        <x:v>35</x:v>
      </x:c>
      <x:c r="K65" s="6" t="n">
        <x:f>IF(V65&gt;MAX(英雄升级调参!$M$66:$M$115),"超50级",COUNTIF(英雄升级调参!$M$66:$M$115,"&lt;"&amp;V65)+1)</x:f>
        <x:v>25</x:v>
      </x:c>
      <x:c r="L65" s="6" t="s">
        <x:v>162</x:v>
      </x:c>
      <x:c r="M65" s="12">
        <x:f>INDEX(怪物等级!$F$13:$F$62,G65)</x:f>
        <x:v>13776</x:v>
      </x:c>
      <x:c r="N65" s="12">
        <x:f>INDEX(怪物等级!$G$13:$G$62,G65)</x:f>
        <x:v>3444</x:v>
      </x:c>
      <x:c r="O65" s="12">
        <x:f>INDEX(怪物等级!$F$113:$F$162,G65)</x:f>
        <x:v>51660</x:v>
      </x:c>
      <x:c r="P65" s="12">
        <x:f>INDEX(怪物等级!$F$163:$F$212,G65)</x:f>
        <x:v>103320</x:v>
      </x:c>
      <x:c r="Q65" s="6" t="s">
        <x:v>277</x:v>
      </x:c>
      <x:c r="R65" s="6">
        <x:v>3</x:v>
      </x:c>
      <x:c r="S65" s="6" t="n">
        <x:f>IF(R65&gt;=5,1,0)+IF(AND(R65=$AC$13,$AC$13&lt;&gt;5),1,0)</x:f>
        <x:v>0</x:v>
      </x:c>
      <x:c r="T65" s="6">
        <x:f t="shared" si="12"/>
        <x:v>2</x:v>
      </x:c>
      <x:c r="U65" s="6">
        <x:v>13</x:v>
      </x:c>
      <x:c r="V65" s="6">
        <x:f>INDEX(英雄升级调参!$G$66:$G$115,G65)</x:f>
        <x:v>118611360</x:v>
      </x:c>
      <x:c r="W65" s="6" t="str">
        <x:f>IF(AND(G65&gt;=1,G65&lt;=50,$AE$13&gt;=0),"范围内","需调整预算")</x:f>
        <x:v>范围内</x:v>
      </x:c>
      <x:c r="Y65" s="6"/>
      <x:c r="Z65" s="6"/>
      <x:c r="AA65" s="6"/>
      <x:c r="AB65" s="6"/>
      <x:c r="AC65" s="6"/>
      <x:c r="AD65" s="6"/>
      <x:c r="AE65" s="6"/>
      <x:c r="AF65" s="6"/>
      <x:c r="AG65" s="6"/>
      <x:c r="AH65" s="6"/>
      <x:c r="AI65" s="6"/>
    </x:row>
    <x:row r="66" ht="23.100000381469727" customHeight="1">
      <x:c r="A66" s="14">
        <x:v>5</x:v>
      </x:c>
      <x:c r="B66" s="14">
        <x:v>1050040</x:v>
      </x:c>
      <x:c r="C66" s="6" t="s">
        <x:v>278</x:v>
      </x:c>
      <x:c r="D66" s="6" t="s">
        <x:v>83</x:v>
      </x:c>
      <x:c r="E66" s="6">
        <x:v>4</x:v>
      </x:c>
      <x:c r="F66" s="6">
        <x:v>60</x:v>
      </x:c>
      <x:c r="G66" s="6" t="n">
        <x:f>$Z$13+S66*$AB$13+IF($AD$13&gt;0,ROUNDDOWN($AE$13*T66/$AD$13,0),0)</x:f>
        <x:v>47</x:v>
      </x:c>
      <x:c r="H66" s="6" t="n">
        <x:f>G66-G65</x:f>
        <x:v>2</x:v>
      </x:c>
      <x:c r="I66" s="6" t="n">
        <x:f>IF(V66&gt;MAX(英雄升级调参!$G$66:$G$115),"超50级",COUNTIF(英雄升级调参!$G$66:$G$115,"&lt;"&amp;V66)+1)</x:f>
        <x:v>47</x:v>
      </x:c>
      <x:c r="J66" s="6" t="n">
        <x:f>IF(V66&gt;MAX(英雄升级调参!$J$66:$J$115),"超50级",COUNTIF(英雄升级调参!$J$66:$J$115,"&lt;"&amp;V66)+1)</x:f>
        <x:v>37</x:v>
      </x:c>
      <x:c r="K66" s="6" t="n">
        <x:f>IF(V66&gt;MAX(英雄升级调参!$M$66:$M$115),"超50级",COUNTIF(英雄升级调参!$M$66:$M$115,"&lt;"&amp;V66)+1)</x:f>
        <x:v>27</x:v>
      </x:c>
      <x:c r="L66" s="6" t="s">
        <x:v>162</x:v>
      </x:c>
      <x:c r="M66" s="12">
        <x:f>INDEX(怪物等级!$F$13:$F$62,G66)</x:f>
        <x:v>14568</x:v>
      </x:c>
      <x:c r="N66" s="12">
        <x:f>INDEX(怪物等级!$G$13:$G$62,G66)</x:f>
        <x:v>3642</x:v>
      </x:c>
      <x:c r="O66" s="12">
        <x:f>INDEX(怪物等级!$F$113:$F$162,G66)</x:f>
        <x:v>54630</x:v>
      </x:c>
      <x:c r="P66" s="12">
        <x:f>INDEX(怪物等级!$F$163:$F$212,G66)</x:f>
        <x:v>109260</x:v>
      </x:c>
      <x:c r="Q66" s="6" t="s">
        <x:v>279</x:v>
      </x:c>
      <x:c r="R66" s="6">
        <x:v>4</x:v>
      </x:c>
      <x:c r="S66" s="6" t="n">
        <x:f>IF(R66&gt;=5,1,0)+IF(AND(R66=$AC$13,$AC$13&lt;&gt;5),1,0)</x:f>
        <x:v>0</x:v>
      </x:c>
      <x:c r="T66" s="6">
        <x:f t="shared" si="12"/>
        <x:v>3</x:v>
      </x:c>
      <x:c r="U66" s="6">
        <x:v>13</x:v>
      </x:c>
      <x:c r="V66" s="6">
        <x:f>INDEX(英雄升级调参!$G$66:$G$115,G66)</x:f>
        <x:v>132641640</x:v>
      </x:c>
      <x:c r="W66" s="6" t="str">
        <x:f>IF(AND(G66&gt;=1,G66&lt;=50,$AE$13&gt;=0),"范围内","需调整预算")</x:f>
        <x:v>范围内</x:v>
      </x:c>
      <x:c r="Y66" s="6"/>
      <x:c r="Z66" s="6"/>
      <x:c r="AA66" s="6"/>
      <x:c r="AB66" s="6"/>
      <x:c r="AC66" s="6"/>
      <x:c r="AD66" s="6"/>
      <x:c r="AE66" s="6"/>
      <x:c r="AF66" s="6"/>
      <x:c r="AG66" s="6"/>
      <x:c r="AH66" s="6"/>
      <x:c r="AI66" s="6"/>
    </x:row>
    <x:row r="67" ht="23.100000381469727" customHeight="1">
      <x:c r="A67" s="14">
        <x:v>5</x:v>
      </x:c>
      <x:c r="B67" s="14">
        <x:v>1050050</x:v>
      </x:c>
      <x:c r="C67" s="6" t="s">
        <x:v>280</x:v>
      </x:c>
      <x:c r="D67" s="6" t="s">
        <x:v>83</x:v>
      </x:c>
      <x:c r="E67" s="6">
        <x:v>5</x:v>
      </x:c>
      <x:c r="F67" s="6">
        <x:v>60</x:v>
      </x:c>
      <x:c r="G67" s="6" t="n">
        <x:f>$Z$13+S67*$AB$13+IF($AD$13&gt;0,ROUNDDOWN($AE$13*T67/$AD$13,0),0)</x:f>
        <x:v>50</x:v>
      </x:c>
      <x:c r="H67" s="6" t="n">
        <x:f>G67-G66</x:f>
        <x:v>3</x:v>
      </x:c>
      <x:c r="I67" s="6" t="n">
        <x:f>IF(V67&gt;MAX(英雄升级调参!$G$66:$G$115),"超50级",COUNTIF(英雄升级调参!$G$66:$G$115,"&lt;"&amp;V67)+1)</x:f>
        <x:v>50</x:v>
      </x:c>
      <x:c r="J67" s="6">
        <x:f>IF(V67&gt;MAX(英雄升级调参!$J$66:$J$115),"超50级",COUNTIF(英雄升级调参!$J$66:$J$115,"&lt;"&amp;V67)+1)</x:f>
        <x:v>40</x:v>
      </x:c>
      <x:c r="K67" s="6">
        <x:f>IF(V67&gt;MAX(英雄升级调参!$M$66:$M$115),"超50级",COUNTIF(英雄升级调参!$M$66:$M$115,"&lt;"&amp;V67)+1)</x:f>
        <x:v>30</x:v>
      </x:c>
      <x:c r="L67" s="6" t="s">
        <x:v>281</x:v>
      </x:c>
      <x:c r="M67" s="12">
        <x:f>INDEX(怪物等级!$F$13:$F$62,G67)</x:f>
        <x:v>16548</x:v>
      </x:c>
      <x:c r="N67" s="12">
        <x:f>INDEX(怪物等级!$G$13:$G$62,G67)</x:f>
        <x:v>4137</x:v>
      </x:c>
      <x:c r="O67" s="12">
        <x:f>INDEX(怪物等级!$F$113:$F$162,G67)</x:f>
        <x:v>62055</x:v>
      </x:c>
      <x:c r="P67" s="12">
        <x:f>INDEX(怪物等级!$F$163:$F$212,G67)</x:f>
        <x:v>124110</x:v>
      </x:c>
      <x:c r="Q67" s="6" t="s">
        <x:v>282</x:v>
      </x:c>
      <x:c r="R67" s="6">
        <x:v>5</x:v>
      </x:c>
      <x:c r="S67" s="6" t="n">
        <x:f>IF(R67&gt;=5,1,0)+IF(AND(R67=$AC$13,$AC$13&lt;&gt;5),1,0)</x:f>
        <x:v>1</x:v>
      </x:c>
      <x:c r="T67" s="6">
        <x:f t="shared" si="12"/>
        <x:v>3</x:v>
      </x:c>
      <x:c r="U67" s="6">
        <x:v>13</x:v>
      </x:c>
      <x:c r="V67" s="6">
        <x:f>INDEX(英雄升级调参!$G$66:$G$115,G67)</x:f>
        <x:v>171147690</x:v>
      </x:c>
      <x:c r="W67" s="6" t="str">
        <x:f>IF(AND(G67&gt;=1,G67&lt;=50,$AE$13&gt;=0),"范围内","需调整预算")</x:f>
        <x:v>范围内</x:v>
      </x:c>
      <x:c r="Y67" s="6"/>
      <x:c r="Z67" s="6"/>
      <x:c r="AA67" s="6"/>
      <x:c r="AB67" s="6"/>
      <x:c r="AC67" s="6"/>
      <x:c r="AD67" s="6"/>
      <x:c r="AE67" s="6"/>
      <x:c r="AF67" s="6"/>
      <x:c r="AG67" s="6"/>
      <x:c r="AH67" s="6"/>
      <x:c r="AI67" s="6"/>
    </x:row>
    <x:row r="68" ht="23.100000381469727" customHeight="1">
      <x:c r="A68" s="14"/>
      <x:c r="B68" s="14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12"/>
      <x:c r="N68" s="12"/>
      <x:c r="O68" s="12"/>
      <x:c r="P68" s="12"/>
      <x:c r="Q68" s="6"/>
      <x:c r="R68" s="6"/>
      <x:c r="S68" s="6"/>
      <x:c r="T68" s="6"/>
      <x:c r="U68" s="6"/>
      <x:c r="V68" s="6"/>
      <x:c r="W68" s="6"/>
      <x:c r="Y68" s="6"/>
      <x:c r="Z68" s="6"/>
      <x:c r="AA68" s="6"/>
      <x:c r="AB68" s="6"/>
      <x:c r="AC68" s="6"/>
      <x:c r="AD68" s="6"/>
      <x:c r="AE68" s="6"/>
      <x:c r="AF68" s="6"/>
      <x:c r="AG68" s="6"/>
      <x:c r="AH68" s="6"/>
      <x:c r="AI68" s="6"/>
    </x:row>
    <x:row r="69" ht="23.100000381469727" customHeight="1">
      <x:c r="A69" s="14"/>
      <x:c r="B69" s="14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12"/>
      <x:c r="N69" s="12"/>
      <x:c r="O69" s="12"/>
      <x:c r="P69" s="12"/>
      <x:c r="Q69" s="6"/>
      <x:c r="R69" s="6"/>
      <x:c r="S69" s="6"/>
      <x:c r="T69" s="6"/>
      <x:c r="U69" s="6"/>
      <x:c r="V69" s="6"/>
      <x:c r="W69" s="6"/>
      <x:c r="Y69" s="6"/>
      <x:c r="Z69" s="6"/>
      <x:c r="AA69" s="6"/>
      <x:c r="AB69" s="6"/>
      <x:c r="AC69" s="6"/>
      <x:c r="AD69" s="6"/>
      <x:c r="AE69" s="6"/>
      <x:c r="AF69" s="6"/>
      <x:c r="AG69" s="6"/>
      <x:c r="AH69" s="6"/>
      <x:c r="AI69" s="6"/>
    </x:row>
    <x:row r="70" ht="23.100000381469727" customHeight="1">
      <x:c r="A70" s="14"/>
      <x:c r="B70" s="14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12"/>
      <x:c r="N70" s="12"/>
      <x:c r="O70" s="12"/>
      <x:c r="P70" s="12"/>
      <x:c r="Q70" s="6"/>
      <x:c r="R70" s="6"/>
      <x:c r="S70" s="6"/>
      <x:c r="T70" s="6"/>
      <x:c r="U70" s="6"/>
      <x:c r="V70" s="6"/>
      <x:c r="W70" s="6"/>
      <x:c r="Y70" s="6"/>
      <x:c r="Z70" s="6"/>
      <x:c r="AA70" s="6"/>
      <x:c r="AB70" s="6"/>
      <x:c r="AC70" s="6"/>
      <x:c r="AD70" s="6"/>
      <x:c r="AE70" s="6"/>
      <x:c r="AF70" s="6"/>
      <x:c r="AG70" s="6"/>
      <x:c r="AH70" s="6"/>
      <x:c r="AI70" s="6"/>
    </x:row>
    <x:row r="71" ht="23.100000381469727" customHeight="1">
      <x:c r="A71" s="14"/>
      <x:c r="B71" s="14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12"/>
      <x:c r="N71" s="12"/>
      <x:c r="O71" s="12"/>
      <x:c r="P71" s="12"/>
      <x:c r="Q71" s="6"/>
      <x:c r="R71" s="6"/>
      <x:c r="S71" s="6"/>
      <x:c r="T71" s="6"/>
      <x:c r="U71" s="6"/>
      <x:c r="V71" s="6"/>
      <x:c r="W71" s="6"/>
      <x:c r="Y71" s="6"/>
      <x:c r="Z71" s="6"/>
      <x:c r="AA71" s="6"/>
      <x:c r="AB71" s="6"/>
      <x:c r="AC71" s="6"/>
      <x:c r="AD71" s="6"/>
      <x:c r="AE71" s="6"/>
      <x:c r="AF71" s="6"/>
      <x:c r="AG71" s="6"/>
      <x:c r="AH71" s="6"/>
      <x:c r="AI71" s="6"/>
    </x:row>
    <x:row r="72" ht="23.100000381469727" customHeight="1">
      <x:c r="A72" s="14"/>
      <x:c r="B72" s="14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12"/>
      <x:c r="N72" s="12"/>
      <x:c r="O72" s="12"/>
      <x:c r="P72" s="12"/>
      <x:c r="Q72" s="6"/>
      <x:c r="R72" s="6"/>
      <x:c r="S72" s="6"/>
      <x:c r="T72" s="6"/>
      <x:c r="U72" s="6"/>
      <x:c r="V72" s="6"/>
      <x:c r="W72" s="6"/>
      <x:c r="Y72" s="6"/>
      <x:c r="Z72" s="6"/>
      <x:c r="AA72" s="6"/>
      <x:c r="AB72" s="6"/>
      <x:c r="AC72" s="6"/>
      <x:c r="AD72" s="6"/>
      <x:c r="AE72" s="6"/>
      <x:c r="AF72" s="6"/>
      <x:c r="AG72" s="6"/>
      <x:c r="AH72" s="6"/>
      <x:c r="AI72" s="6"/>
    </x:row>
    <x:row r="73" ht="23.100000381469727" customHeight="1">
      <x:c r="A73" s="14"/>
      <x:c r="B73" s="14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12"/>
      <x:c r="N73" s="12"/>
      <x:c r="O73" s="12"/>
      <x:c r="P73" s="12"/>
      <x:c r="Q73" s="6"/>
      <x:c r="R73" s="6"/>
      <x:c r="S73" s="6"/>
      <x:c r="T73" s="6"/>
      <x:c r="U73" s="6"/>
      <x:c r="V73" s="6"/>
      <x:c r="W73" s="6"/>
      <x:c r="Y73" s="6"/>
      <x:c r="Z73" s="6"/>
      <x:c r="AA73" s="6"/>
      <x:c r="AB73" s="6"/>
      <x:c r="AC73" s="6"/>
      <x:c r="AD73" s="6"/>
      <x:c r="AE73" s="6"/>
      <x:c r="AF73" s="6"/>
      <x:c r="AG73" s="6"/>
      <x:c r="AH73" s="6"/>
      <x:c r="AI73" s="6"/>
    </x:row>
    <x:row r="74" ht="23.100000381469727" customHeight="1">
      <x:c r="A74" s="14"/>
      <x:c r="B74" s="14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12"/>
      <x:c r="N74" s="12"/>
      <x:c r="O74" s="12"/>
      <x:c r="P74" s="12"/>
      <x:c r="Q74" s="6"/>
      <x:c r="R74" s="6"/>
      <x:c r="S74" s="6"/>
      <x:c r="T74" s="6"/>
      <x:c r="U74" s="6"/>
      <x:c r="V74" s="6"/>
      <x:c r="W74" s="6"/>
      <x:c r="Y74" s="6"/>
      <x:c r="Z74" s="6"/>
      <x:c r="AA74" s="6"/>
      <x:c r="AB74" s="6"/>
      <x:c r="AC74" s="6"/>
      <x:c r="AD74" s="6"/>
      <x:c r="AE74" s="6"/>
      <x:c r="AF74" s="6"/>
      <x:c r="AG74" s="6"/>
      <x:c r="AH74" s="6"/>
      <x:c r="AI74" s="6"/>
    </x:row>
    <x:row r="75" ht="23.100000381469727" customHeight="1">
      <x:c r="A75" s="14"/>
      <x:c r="B75" s="14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12"/>
      <x:c r="N75" s="12"/>
      <x:c r="O75" s="12"/>
      <x:c r="P75" s="12"/>
      <x:c r="Q75" s="6"/>
      <x:c r="R75" s="6"/>
      <x:c r="S75" s="6"/>
      <x:c r="T75" s="6"/>
      <x:c r="U75" s="6"/>
      <x:c r="V75" s="6"/>
      <x:c r="W75" s="6"/>
      <x:c r="Y75" s="6"/>
      <x:c r="Z75" s="6"/>
      <x:c r="AA75" s="6"/>
      <x:c r="AB75" s="6"/>
      <x:c r="AC75" s="6"/>
      <x:c r="AD75" s="6"/>
      <x:c r="AE75" s="6"/>
      <x:c r="AF75" s="6"/>
      <x:c r="AG75" s="6"/>
      <x:c r="AH75" s="6"/>
      <x:c r="AI75" s="6"/>
    </x:row>
    <x:row r="76" ht="23.100000381469727" customHeight="1">
      <x:c r="A76" s="14"/>
      <x:c r="B76" s="14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12"/>
      <x:c r="N76" s="12"/>
      <x:c r="O76" s="12"/>
      <x:c r="P76" s="12"/>
      <x:c r="Q76" s="6"/>
      <x:c r="R76" s="6"/>
      <x:c r="S76" s="6"/>
      <x:c r="T76" s="6"/>
      <x:c r="U76" s="6"/>
      <x:c r="V76" s="6"/>
      <x:c r="W76" s="6"/>
      <x:c r="Y76" s="6"/>
      <x:c r="Z76" s="6"/>
      <x:c r="AA76" s="6"/>
      <x:c r="AB76" s="6"/>
      <x:c r="AC76" s="6"/>
      <x:c r="AD76" s="6"/>
      <x:c r="AE76" s="6"/>
      <x:c r="AF76" s="6"/>
      <x:c r="AG76" s="6"/>
      <x:c r="AH76" s="6"/>
      <x:c r="AI76" s="6"/>
    </x:row>
    <x:row r="77" ht="23.100000381469727" customHeight="1">
      <x:c r="A77" s="14"/>
      <x:c r="B77" s="14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12"/>
      <x:c r="N77" s="12"/>
      <x:c r="O77" s="12"/>
      <x:c r="P77" s="12"/>
      <x:c r="Q77" s="6"/>
      <x:c r="R77" s="6"/>
      <x:c r="S77" s="6"/>
      <x:c r="T77" s="6"/>
      <x:c r="U77" s="6"/>
      <x:c r="V77" s="6"/>
      <x:c r="W77" s="6"/>
      <x:c r="Y77" s="6"/>
      <x:c r="Z77" s="6"/>
      <x:c r="AA77" s="6"/>
      <x:c r="AB77" s="6"/>
      <x:c r="AC77" s="6"/>
      <x:c r="AD77" s="6"/>
      <x:c r="AE77" s="6"/>
      <x:c r="AF77" s="6"/>
      <x:c r="AG77" s="6"/>
      <x:c r="AH77" s="6"/>
      <x:c r="AI77" s="6"/>
    </x:row>
    <x:row r="78" ht="23.100000381469727" customHeight="1">
      <x:c r="A78" s="14"/>
      <x:c r="B78" s="14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12"/>
      <x:c r="N78" s="12"/>
      <x:c r="O78" s="12"/>
      <x:c r="P78" s="12"/>
      <x:c r="Q78" s="6"/>
      <x:c r="R78" s="6"/>
      <x:c r="S78" s="6"/>
      <x:c r="T78" s="6"/>
      <x:c r="U78" s="6"/>
      <x:c r="V78" s="6"/>
      <x:c r="W78" s="6"/>
      <x:c r="Y78" s="6"/>
      <x:c r="Z78" s="6"/>
      <x:c r="AA78" s="6"/>
      <x:c r="AB78" s="6"/>
      <x:c r="AC78" s="6"/>
      <x:c r="AD78" s="6"/>
      <x:c r="AE78" s="6"/>
      <x:c r="AF78" s="6"/>
      <x:c r="AG78" s="6"/>
      <x:c r="AH78" s="6"/>
      <x:c r="AI78" s="6"/>
    </x:row>
    <x:row r="79" ht="23.100000381469727" customHeight="1">
      <x:c r="A79" s="14"/>
      <x:c r="B79" s="14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12"/>
      <x:c r="N79" s="12"/>
      <x:c r="O79" s="12"/>
      <x:c r="P79" s="12"/>
      <x:c r="Q79" s="6"/>
      <x:c r="R79" s="6"/>
      <x:c r="S79" s="6"/>
      <x:c r="T79" s="6"/>
      <x:c r="U79" s="6"/>
      <x:c r="V79" s="6"/>
      <x:c r="W79" s="6"/>
      <x:c r="Y79" s="6"/>
      <x:c r="Z79" s="6"/>
      <x:c r="AA79" s="6"/>
      <x:c r="AB79" s="6"/>
      <x:c r="AC79" s="6"/>
      <x:c r="AD79" s="6"/>
      <x:c r="AE79" s="6"/>
      <x:c r="AF79" s="6"/>
      <x:c r="AG79" s="6"/>
      <x:c r="AH79" s="6"/>
      <x:c r="AI79" s="6"/>
    </x:row>
    <x:row r="80" ht="23.100000381469727" customHeight="1">
      <x:c r="A80" s="14"/>
      <x:c r="B80" s="14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12"/>
      <x:c r="N80" s="12"/>
      <x:c r="O80" s="12"/>
      <x:c r="P80" s="12"/>
      <x:c r="Q80" s="6"/>
      <x:c r="R80" s="6"/>
      <x:c r="S80" s="6"/>
      <x:c r="T80" s="6"/>
      <x:c r="U80" s="6"/>
      <x:c r="V80" s="6"/>
      <x:c r="W80" s="6"/>
      <x:c r="Y80" s="6"/>
      <x:c r="Z80" s="6"/>
      <x:c r="AA80" s="6"/>
      <x:c r="AB80" s="6"/>
      <x:c r="AC80" s="6"/>
      <x:c r="AD80" s="6"/>
      <x:c r="AE80" s="6"/>
      <x:c r="AF80" s="6"/>
      <x:c r="AG80" s="6"/>
      <x:c r="AH80" s="6"/>
      <x:c r="AI80" s="6"/>
    </x:row>
    <x:row r="81" ht="23.100000381469727" customHeight="1">
      <x:c r="A81" s="14"/>
      <x:c r="B81" s="14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12"/>
      <x:c r="N81" s="12"/>
      <x:c r="O81" s="12"/>
      <x:c r="P81" s="12"/>
      <x:c r="Q81" s="6"/>
      <x:c r="R81" s="6"/>
      <x:c r="S81" s="6"/>
      <x:c r="T81" s="6"/>
      <x:c r="U81" s="6"/>
      <x:c r="V81" s="6"/>
      <x:c r="W81" s="6"/>
      <x:c r="Y81" s="6"/>
      <x:c r="Z81" s="6"/>
      <x:c r="AA81" s="6"/>
      <x:c r="AB81" s="6"/>
      <x:c r="AC81" s="6"/>
      <x:c r="AD81" s="6"/>
      <x:c r="AE81" s="6"/>
      <x:c r="AF81" s="6"/>
      <x:c r="AG81" s="6"/>
      <x:c r="AH81" s="6"/>
      <x:c r="AI81" s="6"/>
    </x:row>
    <x:row r="82" ht="23.100000381469727" customHeight="1">
      <x:c r="A82" s="14"/>
      <x:c r="B82" s="14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12"/>
      <x:c r="N82" s="12"/>
      <x:c r="O82" s="12"/>
      <x:c r="P82" s="12"/>
      <x:c r="Q82" s="6"/>
      <x:c r="R82" s="6"/>
      <x:c r="S82" s="6"/>
      <x:c r="T82" s="6"/>
      <x:c r="U82" s="6"/>
      <x:c r="V82" s="6"/>
      <x:c r="W82" s="6"/>
      <x:c r="Y82" s="6"/>
      <x:c r="Z82" s="6"/>
      <x:c r="AA82" s="6"/>
      <x:c r="AB82" s="6"/>
      <x:c r="AC82" s="6"/>
      <x:c r="AD82" s="6"/>
      <x:c r="AE82" s="6"/>
      <x:c r="AF82" s="6"/>
      <x:c r="AG82" s="6"/>
      <x:c r="AH82" s="6"/>
      <x:c r="AI82" s="6"/>
    </x:row>
    <x:row r="83" ht="23.100000381469727" customHeight="1">
      <x:c r="A83" s="14"/>
      <x:c r="B83" s="14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12"/>
      <x:c r="N83" s="12"/>
      <x:c r="O83" s="12"/>
      <x:c r="P83" s="12"/>
      <x:c r="Q83" s="6"/>
      <x:c r="R83" s="6"/>
      <x:c r="S83" s="6"/>
      <x:c r="T83" s="6"/>
      <x:c r="U83" s="6"/>
      <x:c r="V83" s="6"/>
      <x:c r="W83" s="6"/>
      <x:c r="Y83" s="6"/>
      <x:c r="Z83" s="6"/>
      <x:c r="AA83" s="6"/>
      <x:c r="AB83" s="6"/>
      <x:c r="AC83" s="6"/>
      <x:c r="AD83" s="6"/>
      <x:c r="AE83" s="6"/>
      <x:c r="AF83" s="6"/>
      <x:c r="AG83" s="6"/>
      <x:c r="AH83" s="6"/>
      <x:c r="AI83" s="6"/>
    </x:row>
    <x:row r="84" ht="23.100000381469727" customHeight="1">
      <x:c r="A84" s="14"/>
      <x:c r="B84" s="14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12"/>
      <x:c r="N84" s="12"/>
      <x:c r="O84" s="12"/>
      <x:c r="P84" s="12"/>
      <x:c r="Q84" s="6"/>
      <x:c r="R84" s="6"/>
      <x:c r="S84" s="6"/>
      <x:c r="T84" s="6"/>
      <x:c r="U84" s="6"/>
      <x:c r="V84" s="6"/>
      <x:c r="W84" s="6"/>
      <x:c r="Y84" s="6"/>
      <x:c r="Z84" s="6"/>
      <x:c r="AA84" s="6"/>
      <x:c r="AB84" s="6"/>
      <x:c r="AC84" s="6"/>
      <x:c r="AD84" s="6"/>
      <x:c r="AE84" s="6"/>
      <x:c r="AF84" s="6"/>
      <x:c r="AG84" s="6"/>
      <x:c r="AH84" s="6"/>
      <x:c r="AI84" s="6"/>
    </x:row>
    <x:row r="85" ht="23.100000381469727" customHeight="1">
      <x:c r="A85" s="14"/>
      <x:c r="B85" s="14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12"/>
      <x:c r="N85" s="12"/>
      <x:c r="O85" s="12"/>
      <x:c r="P85" s="12"/>
      <x:c r="Q85" s="6"/>
      <x:c r="R85" s="6"/>
      <x:c r="S85" s="6"/>
      <x:c r="T85" s="6"/>
      <x:c r="U85" s="6"/>
      <x:c r="V85" s="6"/>
      <x:c r="W85" s="6"/>
      <x:c r="Y85" s="6"/>
      <x:c r="Z85" s="6"/>
      <x:c r="AA85" s="6"/>
      <x:c r="AB85" s="6"/>
      <x:c r="AC85" s="6"/>
      <x:c r="AD85" s="6"/>
      <x:c r="AE85" s="6"/>
      <x:c r="AF85" s="6"/>
      <x:c r="AG85" s="6"/>
      <x:c r="AH85" s="6"/>
      <x:c r="AI85" s="6"/>
    </x:row>
    <x:row r="86" ht="23.100000381469727" customHeight="1">
      <x:c r="A86" s="14"/>
      <x:c r="B86" s="14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12"/>
      <x:c r="N86" s="12"/>
      <x:c r="O86" s="12"/>
      <x:c r="P86" s="12"/>
      <x:c r="Q86" s="6"/>
      <x:c r="R86" s="6"/>
      <x:c r="S86" s="6"/>
      <x:c r="T86" s="6"/>
      <x:c r="U86" s="6"/>
      <x:c r="V86" s="6"/>
      <x:c r="W86" s="6"/>
      <x:c r="Y86" s="6"/>
      <x:c r="Z86" s="6"/>
      <x:c r="AA86" s="6"/>
      <x:c r="AB86" s="6"/>
      <x:c r="AC86" s="6"/>
      <x:c r="AD86" s="6"/>
      <x:c r="AE86" s="6"/>
      <x:c r="AF86" s="6"/>
      <x:c r="AG86" s="6"/>
      <x:c r="AH86" s="6"/>
      <x:c r="AI86" s="6"/>
    </x:row>
    <x:row r="87" ht="23.100000381469727" customHeight="1">
      <x:c r="A87" s="14"/>
      <x:c r="B87" s="14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12"/>
      <x:c r="N87" s="12"/>
      <x:c r="O87" s="12"/>
      <x:c r="P87" s="12"/>
      <x:c r="Q87" s="6"/>
      <x:c r="R87" s="6"/>
      <x:c r="S87" s="6"/>
      <x:c r="T87" s="6"/>
      <x:c r="U87" s="6"/>
      <x:c r="V87" s="6"/>
      <x:c r="W87" s="6"/>
      <x:c r="Y87" s="6"/>
      <x:c r="Z87" s="6"/>
      <x:c r="AA87" s="6"/>
      <x:c r="AB87" s="6"/>
      <x:c r="AC87" s="6"/>
      <x:c r="AD87" s="6"/>
      <x:c r="AE87" s="6"/>
      <x:c r="AF87" s="6"/>
      <x:c r="AG87" s="6"/>
      <x:c r="AH87" s="6"/>
      <x:c r="AI87" s="6"/>
    </x:row>
    <x:row r="88" ht="23.100000381469727" customHeight="1">
      <x:c r="A88" s="14"/>
      <x:c r="B88" s="14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12"/>
      <x:c r="N88" s="12"/>
      <x:c r="O88" s="12"/>
      <x:c r="P88" s="12"/>
      <x:c r="Q88" s="6"/>
      <x:c r="R88" s="6"/>
      <x:c r="S88" s="6"/>
      <x:c r="T88" s="6"/>
      <x:c r="U88" s="6"/>
      <x:c r="V88" s="6"/>
      <x:c r="W88" s="6"/>
      <x:c r="Y88" s="6"/>
      <x:c r="Z88" s="6"/>
      <x:c r="AA88" s="6"/>
      <x:c r="AB88" s="6"/>
      <x:c r="AC88" s="6"/>
      <x:c r="AD88" s="6"/>
      <x:c r="AE88" s="6"/>
      <x:c r="AF88" s="6"/>
      <x:c r="AG88" s="6"/>
      <x:c r="AH88" s="6"/>
      <x:c r="AI88" s="6"/>
    </x:row>
    <x:row r="89" ht="23.100000381469727" customHeight="1">
      <x:c r="A89" s="14"/>
      <x:c r="B89" s="14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12"/>
      <x:c r="N89" s="12"/>
      <x:c r="O89" s="12"/>
      <x:c r="P89" s="12"/>
      <x:c r="Q89" s="6"/>
      <x:c r="R89" s="6"/>
      <x:c r="S89" s="6"/>
      <x:c r="T89" s="6"/>
      <x:c r="U89" s="6"/>
      <x:c r="V89" s="6"/>
      <x:c r="W89" s="6"/>
      <x:c r="Y89" s="6"/>
      <x:c r="Z89" s="6"/>
      <x:c r="AA89" s="6"/>
      <x:c r="AB89" s="6"/>
      <x:c r="AC89" s="6"/>
      <x:c r="AD89" s="6"/>
      <x:c r="AE89" s="6"/>
      <x:c r="AF89" s="6"/>
      <x:c r="AG89" s="6"/>
      <x:c r="AH89" s="6"/>
      <x:c r="AI89" s="6"/>
    </x:row>
    <x:row r="90" ht="23.100000381469727" customHeight="1">
      <x:c r="A90" s="14"/>
      <x:c r="B90" s="14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12"/>
      <x:c r="N90" s="12"/>
      <x:c r="O90" s="12"/>
      <x:c r="P90" s="12"/>
      <x:c r="Q90" s="6"/>
      <x:c r="R90" s="6"/>
      <x:c r="S90" s="6"/>
      <x:c r="T90" s="6"/>
      <x:c r="U90" s="6"/>
      <x:c r="V90" s="6"/>
      <x:c r="W90" s="6"/>
      <x:c r="Y90" s="6"/>
      <x:c r="Z90" s="6"/>
      <x:c r="AA90" s="6"/>
      <x:c r="AB90" s="6"/>
      <x:c r="AC90" s="6"/>
      <x:c r="AD90" s="6"/>
      <x:c r="AE90" s="6"/>
      <x:c r="AF90" s="6"/>
      <x:c r="AG90" s="6"/>
      <x:c r="AH90" s="6"/>
      <x:c r="AI90" s="6"/>
    </x:row>
    <x:row r="91" ht="23.100000381469727" customHeight="1">
      <x:c r="A91" s="14"/>
      <x:c r="B91" s="14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12"/>
      <x:c r="N91" s="12"/>
      <x:c r="O91" s="12"/>
      <x:c r="P91" s="12"/>
      <x:c r="Q91" s="6"/>
      <x:c r="R91" s="6"/>
      <x:c r="S91" s="6"/>
      <x:c r="T91" s="6"/>
      <x:c r="U91" s="6"/>
      <x:c r="V91" s="6"/>
      <x:c r="W91" s="6"/>
      <x:c r="Y91" s="6"/>
      <x:c r="Z91" s="6"/>
      <x:c r="AA91" s="6"/>
      <x:c r="AB91" s="6"/>
      <x:c r="AC91" s="6"/>
      <x:c r="AD91" s="6"/>
      <x:c r="AE91" s="6"/>
      <x:c r="AF91" s="6"/>
      <x:c r="AG91" s="6"/>
      <x:c r="AH91" s="6"/>
      <x:c r="AI91" s="6"/>
    </x:row>
    <x:row r="92" ht="23.100000381469727" customHeight="1">
      <x:c r="A92" s="14"/>
      <x:c r="B92" s="14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12"/>
      <x:c r="N92" s="12"/>
      <x:c r="O92" s="12"/>
      <x:c r="P92" s="12"/>
      <x:c r="Q92" s="6"/>
      <x:c r="R92" s="6"/>
      <x:c r="S92" s="6"/>
      <x:c r="T92" s="6"/>
      <x:c r="U92" s="6"/>
      <x:c r="V92" s="6"/>
      <x:c r="W92" s="6"/>
      <x:c r="Y92" s="6"/>
      <x:c r="Z92" s="6"/>
      <x:c r="AA92" s="6"/>
      <x:c r="AB92" s="6"/>
      <x:c r="AC92" s="6"/>
      <x:c r="AD92" s="6"/>
      <x:c r="AE92" s="6"/>
      <x:c r="AF92" s="6"/>
      <x:c r="AG92" s="6"/>
      <x:c r="AH92" s="6"/>
      <x:c r="AI92" s="6"/>
    </x:row>
    <x:row r="93" ht="23.100000381469727" customHeight="1">
      <x:c r="A93" s="14"/>
      <x:c r="B93" s="14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12"/>
      <x:c r="N93" s="12"/>
      <x:c r="O93" s="12"/>
      <x:c r="P93" s="12"/>
      <x:c r="Q93" s="6"/>
      <x:c r="R93" s="6"/>
      <x:c r="S93" s="6"/>
      <x:c r="T93" s="6"/>
      <x:c r="U93" s="6"/>
      <x:c r="V93" s="6"/>
      <x:c r="W93" s="6"/>
      <x:c r="Y93" s="6"/>
      <x:c r="Z93" s="6"/>
      <x:c r="AA93" s="6"/>
      <x:c r="AB93" s="6"/>
      <x:c r="AC93" s="6"/>
      <x:c r="AD93" s="6"/>
      <x:c r="AE93" s="6"/>
      <x:c r="AF93" s="6"/>
      <x:c r="AG93" s="6"/>
      <x:c r="AH93" s="6"/>
      <x:c r="AI93" s="6"/>
    </x:row>
    <x:row r="94" ht="23.100000381469727" customHeight="1">
      <x:c r="A94" s="14"/>
      <x:c r="B94" s="14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12"/>
      <x:c r="N94" s="12"/>
      <x:c r="O94" s="12"/>
      <x:c r="P94" s="12"/>
      <x:c r="Q94" s="6"/>
      <x:c r="R94" s="6"/>
      <x:c r="S94" s="6"/>
      <x:c r="T94" s="6"/>
      <x:c r="U94" s="6"/>
      <x:c r="V94" s="6"/>
      <x:c r="W94" s="6"/>
      <x:c r="Y94" s="6"/>
      <x:c r="Z94" s="6"/>
      <x:c r="AA94" s="6"/>
      <x:c r="AB94" s="6"/>
      <x:c r="AC94" s="6"/>
      <x:c r="AD94" s="6"/>
      <x:c r="AE94" s="6"/>
      <x:c r="AF94" s="6"/>
      <x:c r="AG94" s="6"/>
      <x:c r="AH94" s="6"/>
      <x:c r="AI94" s="6"/>
    </x:row>
    <x:row r="95" ht="23.100000381469727" customHeight="1">
      <x:c r="A95" s="14"/>
      <x:c r="B95" s="14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12"/>
      <x:c r="N95" s="12"/>
      <x:c r="O95" s="12"/>
      <x:c r="P95" s="12"/>
      <x:c r="Q95" s="6"/>
      <x:c r="R95" s="6"/>
      <x:c r="S95" s="6"/>
      <x:c r="T95" s="6"/>
      <x:c r="U95" s="6"/>
      <x:c r="V95" s="6"/>
      <x:c r="W95" s="6"/>
      <x:c r="Y95" s="6"/>
      <x:c r="Z95" s="6"/>
      <x:c r="AA95" s="6"/>
      <x:c r="AB95" s="6"/>
      <x:c r="AC95" s="6"/>
      <x:c r="AD95" s="6"/>
      <x:c r="AE95" s="6"/>
      <x:c r="AF95" s="6"/>
      <x:c r="AG95" s="6"/>
      <x:c r="AH95" s="6"/>
      <x:c r="AI95" s="6"/>
    </x:row>
    <x:row r="96" ht="23.100000381469727" customHeight="1">
      <x:c r="A96" s="14"/>
      <x:c r="B96" s="14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12"/>
      <x:c r="N96" s="12"/>
      <x:c r="O96" s="12"/>
      <x:c r="P96" s="12"/>
      <x:c r="Q96" s="6"/>
      <x:c r="R96" s="6"/>
      <x:c r="S96" s="6"/>
      <x:c r="T96" s="6"/>
      <x:c r="U96" s="6"/>
      <x:c r="V96" s="6"/>
      <x:c r="W96" s="6"/>
      <x:c r="Y96" s="6"/>
      <x:c r="Z96" s="6"/>
      <x:c r="AA96" s="6"/>
      <x:c r="AB96" s="6"/>
      <x:c r="AC96" s="6"/>
      <x:c r="AD96" s="6"/>
      <x:c r="AE96" s="6"/>
      <x:c r="AF96" s="6"/>
      <x:c r="AG96" s="6"/>
      <x:c r="AH96" s="6"/>
      <x:c r="AI96" s="6"/>
    </x:row>
    <x:row r="97" ht="23.100000381469727" customHeight="1">
      <x:c r="A97" s="14"/>
      <x:c r="B97" s="14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12"/>
      <x:c r="N97" s="12"/>
      <x:c r="O97" s="12"/>
      <x:c r="P97" s="12"/>
      <x:c r="Q97" s="6"/>
      <x:c r="R97" s="6"/>
      <x:c r="S97" s="6"/>
      <x:c r="T97" s="6"/>
      <x:c r="U97" s="6"/>
      <x:c r="V97" s="6"/>
      <x:c r="W97" s="6"/>
      <x:c r="Y97" s="6"/>
      <x:c r="Z97" s="6"/>
      <x:c r="AA97" s="6"/>
      <x:c r="AB97" s="6"/>
      <x:c r="AC97" s="6"/>
      <x:c r="AD97" s="6"/>
      <x:c r="AE97" s="6"/>
      <x:c r="AF97" s="6"/>
      <x:c r="AG97" s="6"/>
      <x:c r="AH97" s="6"/>
      <x:c r="AI97" s="6"/>
    </x:row>
    <x:row r="98" ht="23.100000381469727" customHeight="1">
      <x:c r="A98" s="14"/>
      <x:c r="B98" s="14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12"/>
      <x:c r="N98" s="12"/>
      <x:c r="O98" s="12"/>
      <x:c r="P98" s="12"/>
      <x:c r="Q98" s="6"/>
      <x:c r="R98" s="6"/>
      <x:c r="S98" s="6"/>
      <x:c r="T98" s="6"/>
      <x:c r="U98" s="6"/>
      <x:c r="V98" s="6"/>
      <x:c r="W98" s="6"/>
      <x:c r="Y98" s="6"/>
      <x:c r="Z98" s="6"/>
      <x:c r="AA98" s="6"/>
      <x:c r="AB98" s="6"/>
      <x:c r="AC98" s="6"/>
      <x:c r="AD98" s="6"/>
      <x:c r="AE98" s="6"/>
      <x:c r="AF98" s="6"/>
      <x:c r="AG98" s="6"/>
      <x:c r="AH98" s="6"/>
      <x:c r="AI98" s="6"/>
    </x:row>
    <x:row r="99" ht="23.100000381469727" customHeight="1">
      <x:c r="A99" s="14"/>
      <x:c r="B99" s="14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12"/>
      <x:c r="N99" s="12"/>
      <x:c r="O99" s="12"/>
      <x:c r="P99" s="12"/>
      <x:c r="Q99" s="6"/>
      <x:c r="R99" s="6"/>
      <x:c r="S99" s="6"/>
      <x:c r="T99" s="6"/>
      <x:c r="U99" s="6"/>
      <x:c r="V99" s="6"/>
      <x:c r="W99" s="6"/>
      <x:c r="Y99" s="6"/>
      <x:c r="Z99" s="6"/>
      <x:c r="AA99" s="6"/>
      <x:c r="AB99" s="6"/>
      <x:c r="AC99" s="6"/>
      <x:c r="AD99" s="6"/>
      <x:c r="AE99" s="6"/>
      <x:c r="AF99" s="6"/>
      <x:c r="AG99" s="6"/>
      <x:c r="AH99" s="6"/>
      <x:c r="AI99" s="6"/>
    </x:row>
    <x:row r="100" ht="23.100000381469727" customHeight="1">
      <x:c r="A100" s="14"/>
      <x:c r="B100" s="14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12"/>
      <x:c r="N100" s="12"/>
      <x:c r="O100" s="12"/>
      <x:c r="P100" s="12"/>
      <x:c r="Q100" s="6"/>
      <x:c r="R100" s="6"/>
      <x:c r="S100" s="6"/>
      <x:c r="T100" s="6"/>
      <x:c r="U100" s="6"/>
      <x:c r="V100" s="6"/>
      <x:c r="W100" s="6"/>
      <x:c r="Y100" s="6"/>
      <x:c r="Z100" s="6"/>
      <x:c r="AA100" s="6"/>
      <x:c r="AB100" s="6"/>
      <x:c r="AC100" s="6"/>
      <x:c r="AD100" s="6"/>
      <x:c r="AE100" s="6"/>
      <x:c r="AF100" s="6"/>
      <x:c r="AG100" s="6"/>
      <x:c r="AH100" s="6"/>
      <x:c r="AI100" s="6"/>
    </x:row>
    <x:row r="101" ht="23.100000381469727" customHeight="1">
      <x:c r="A101" s="15"/>
      <x:c r="B101" s="15"/>
      <x:c r="Y101" s="6"/>
      <x:c r="Z101" s="6"/>
      <x:c r="AA101" s="6"/>
      <x:c r="AB101" s="6"/>
      <x:c r="AC101" s="6"/>
      <x:c r="AD101" s="6"/>
      <x:c r="AE101" s="6"/>
      <x:c r="AF101" s="6"/>
      <x:c r="AG101" s="6"/>
      <x:c r="AH101" s="6"/>
      <x:c r="AI101" s="6"/>
    </x:row>
    <x:row r="102" ht="23.100000381469727" customHeight="1">
      <x:c r="A102" s="15"/>
      <x:c r="B102" s="15"/>
      <x:c r="Y102" s="6"/>
      <x:c r="Z102" s="6"/>
      <x:c r="AA102" s="6"/>
      <x:c r="AB102" s="6"/>
      <x:c r="AC102" s="6"/>
      <x:c r="AD102" s="6"/>
      <x:c r="AE102" s="6"/>
      <x:c r="AF102" s="6"/>
      <x:c r="AG102" s="6"/>
      <x:c r="AH102" s="6"/>
      <x:c r="AI102" s="6"/>
    </x:row>
    <x:row r="103" ht="23.100000381469727" customHeight="1">
      <x:c r="A103" s="15"/>
      <x:c r="B103" s="15"/>
      <x:c r="Y103" s="6"/>
      <x:c r="Z103" s="6"/>
      <x:c r="AA103" s="6"/>
      <x:c r="AB103" s="6"/>
      <x:c r="AC103" s="6"/>
      <x:c r="AD103" s="6"/>
      <x:c r="AE103" s="6"/>
      <x:c r="AF103" s="6"/>
      <x:c r="AG103" s="6"/>
      <x:c r="AH103" s="6"/>
      <x:c r="AI103" s="6"/>
    </x:row>
    <x:row r="104" ht="23.100000381469727" customHeight="1">
      <x:c r="A104" s="15"/>
      <x:c r="B104" s="15"/>
      <x:c r="Y104" s="6"/>
      <x:c r="Z104" s="6"/>
      <x:c r="AA104" s="6"/>
      <x:c r="AB104" s="6"/>
      <x:c r="AC104" s="6"/>
      <x:c r="AD104" s="6"/>
      <x:c r="AE104" s="6"/>
      <x:c r="AF104" s="6"/>
      <x:c r="AG104" s="6"/>
      <x:c r="AH104" s="6"/>
      <x:c r="AI104" s="6"/>
    </x:row>
    <x:row r="105" ht="23.100000381469727" customHeight="1">
      <x:c r="A105" s="15"/>
      <x:c r="B105" s="15"/>
      <x:c r="Y105" s="6"/>
      <x:c r="Z105" s="6"/>
      <x:c r="AA105" s="6"/>
      <x:c r="AB105" s="6"/>
      <x:c r="AC105" s="6"/>
      <x:c r="AD105" s="6"/>
      <x:c r="AE105" s="6"/>
      <x:c r="AF105" s="6"/>
      <x:c r="AG105" s="6"/>
      <x:c r="AH105" s="6"/>
      <x:c r="AI105" s="6"/>
    </x:row>
    <x:row r="106" ht="23.100000381469727" customHeight="1">
      <x:c r="A106" s="15"/>
      <x:c r="B106" s="15"/>
      <x:c r="Y106" s="6"/>
      <x:c r="Z106" s="6"/>
      <x:c r="AA106" s="6"/>
      <x:c r="AB106" s="6"/>
      <x:c r="AC106" s="6"/>
      <x:c r="AD106" s="6"/>
      <x:c r="AE106" s="6"/>
      <x:c r="AF106" s="6"/>
      <x:c r="AG106" s="6"/>
      <x:c r="AH106" s="6"/>
      <x:c r="AI106" s="6"/>
    </x:row>
    <x:row r="107" ht="23.100000381469727" customHeight="1">
      <x:c r="A107" s="15"/>
      <x:c r="B107" s="15"/>
      <x:c r="Y107" s="6"/>
      <x:c r="Z107" s="6"/>
      <x:c r="AA107" s="6"/>
      <x:c r="AB107" s="6"/>
      <x:c r="AC107" s="6"/>
      <x:c r="AD107" s="6"/>
      <x:c r="AE107" s="6"/>
      <x:c r="AF107" s="6"/>
      <x:c r="AG107" s="6"/>
      <x:c r="AH107" s="6"/>
      <x:c r="AI107" s="6"/>
    </x:row>
    <x:row r="108" ht="23.100000381469727" customHeight="1">
      <x:c r="A108" s="15"/>
      <x:c r="B108" s="15"/>
      <x:c r="Y108" s="6"/>
      <x:c r="Z108" s="6"/>
      <x:c r="AA108" s="6"/>
      <x:c r="AB108" s="6"/>
      <x:c r="AC108" s="6"/>
      <x:c r="AD108" s="6"/>
      <x:c r="AE108" s="6"/>
      <x:c r="AF108" s="6"/>
      <x:c r="AG108" s="6"/>
      <x:c r="AH108" s="6"/>
      <x:c r="AI108" s="6"/>
    </x:row>
    <x:row r="109" ht="23.100000381469727" customHeight="1">
      <x:c r="A109" s="15"/>
      <x:c r="B109" s="15"/>
      <x:c r="Y109" s="6"/>
      <x:c r="Z109" s="6"/>
      <x:c r="AA109" s="6"/>
      <x:c r="AB109" s="6"/>
      <x:c r="AC109" s="6"/>
      <x:c r="AD109" s="6"/>
      <x:c r="AE109" s="6"/>
      <x:c r="AF109" s="6"/>
      <x:c r="AG109" s="6"/>
      <x:c r="AH109" s="6"/>
      <x:c r="AI109" s="6"/>
    </x:row>
    <x:row r="110" ht="23.100000381469727" customHeight="1">
      <x:c r="A110" s="15"/>
      <x:c r="B110" s="15"/>
      <x:c r="Y110" s="6"/>
      <x:c r="Z110" s="6"/>
      <x:c r="AA110" s="6"/>
      <x:c r="AB110" s="6"/>
      <x:c r="AC110" s="6"/>
      <x:c r="AD110" s="6"/>
      <x:c r="AE110" s="6"/>
      <x:c r="AF110" s="6"/>
      <x:c r="AG110" s="6"/>
      <x:c r="AH110" s="6"/>
      <x:c r="AI110" s="6"/>
    </x:row>
    <x:row r="111" ht="23.100000381469727" customHeight="1">
      <x:c r="A111" s="15"/>
      <x:c r="B111" s="15"/>
      <x:c r="Y111" s="6"/>
      <x:c r="Z111" s="6"/>
      <x:c r="AA111" s="6"/>
      <x:c r="AB111" s="6"/>
      <x:c r="AC111" s="6"/>
      <x:c r="AD111" s="6"/>
      <x:c r="AE111" s="6"/>
      <x:c r="AF111" s="6"/>
      <x:c r="AG111" s="6"/>
      <x:c r="AH111" s="6"/>
      <x:c r="AI111" s="6"/>
    </x:row>
    <x:row r="112" ht="23.100000381469727" customHeight="1">
      <x:c r="A112" s="15"/>
      <x:c r="B112" s="15"/>
      <x:c r="Y112" s="6"/>
      <x:c r="Z112" s="6"/>
      <x:c r="AA112" s="6"/>
      <x:c r="AB112" s="6"/>
      <x:c r="AC112" s="6"/>
      <x:c r="AD112" s="6"/>
      <x:c r="AE112" s="6"/>
      <x:c r="AF112" s="6"/>
      <x:c r="AG112" s="6"/>
      <x:c r="AH112" s="6"/>
      <x:c r="AI112" s="6"/>
    </x:row>
    <x:row r="113" ht="23.100000381469727" customHeight="1">
      <x:c r="A113" s="15"/>
      <x:c r="B113" s="15"/>
      <x:c r="Y113" s="6"/>
      <x:c r="Z113" s="6"/>
      <x:c r="AA113" s="6"/>
      <x:c r="AB113" s="6"/>
      <x:c r="AC113" s="6"/>
      <x:c r="AD113" s="6"/>
      <x:c r="AE113" s="6"/>
      <x:c r="AF113" s="6"/>
      <x:c r="AG113" s="6"/>
      <x:c r="AH113" s="6"/>
      <x:c r="AI113" s="6"/>
    </x:row>
    <x:row r="114" ht="23.100000381469727" customHeight="1">
      <x:c r="A114" s="15"/>
      <x:c r="B114" s="15"/>
      <x:c r="Y114" s="6"/>
      <x:c r="Z114" s="6"/>
      <x:c r="AA114" s="6"/>
      <x:c r="AB114" s="6"/>
      <x:c r="AC114" s="6"/>
      <x:c r="AD114" s="6"/>
      <x:c r="AE114" s="6"/>
      <x:c r="AF114" s="6"/>
      <x:c r="AG114" s="6"/>
      <x:c r="AH114" s="6"/>
      <x:c r="AI114" s="6"/>
    </x:row>
    <x:row r="115" ht="23.100000381469727" customHeight="1">
      <x:c r="A115" s="15"/>
      <x:c r="B115" s="15"/>
      <x:c r="Y115" s="6"/>
      <x:c r="Z115" s="6"/>
      <x:c r="AA115" s="6"/>
      <x:c r="AB115" s="6"/>
      <x:c r="AC115" s="6"/>
      <x:c r="AD115" s="6"/>
      <x:c r="AE115" s="6"/>
      <x:c r="AF115" s="6"/>
      <x:c r="AG115" s="6"/>
      <x:c r="AH115" s="6"/>
      <x:c r="AI115" s="6"/>
    </x:row>
    <x:row r="116">
      <x:c r="A116" s="15"/>
      <x:c r="B116" s="15"/>
    </x:row>
    <x:row r="117">
      <x:c r="A117" s="15"/>
      <x:c r="B117" s="15"/>
    </x:row>
    <x:row r="118">
      <x:c r="A118" s="15"/>
      <x:c r="B118" s="15"/>
    </x:row>
    <x:row r="119">
      <x:c r="A119" s="15"/>
      <x:c r="B119" s="15"/>
    </x:row>
    <x:row r="120">
      <x:c r="A120" s="15"/>
      <x:c r="B120" s="15"/>
    </x:row>
    <x:row r="121">
      <x:c r="A121" s="15"/>
      <x:c r="B121" s="15"/>
    </x:row>
    <x:row r="122">
      <x:c r="A122" s="15"/>
      <x:c r="B122" s="15"/>
    </x:row>
    <x:row r="123">
      <x:c r="A123" s="15"/>
      <x:c r="B123" s="15"/>
    </x:row>
    <x:row r="124">
      <x:c r="A124" s="15"/>
      <x:c r="B124" s="15"/>
    </x:row>
    <x:row r="125">
      <x:c r="A125" s="15"/>
      <x:c r="B125" s="15"/>
    </x:row>
    <x:row r="126">
      <x:c r="A126" s="15"/>
      <x:c r="B126" s="15"/>
    </x:row>
    <x:row r="127">
      <x:c r="A127" s="15"/>
      <x:c r="B127" s="15"/>
    </x:row>
    <x:row r="128">
      <x:c r="A128" s="15"/>
      <x:c r="B128" s="15"/>
    </x:row>
    <x:row r="129">
      <x:c r="A129" s="15"/>
      <x:c r="B129" s="15"/>
    </x:row>
    <x:row r="130">
      <x:c r="A130" s="15"/>
      <x:c r="B130" s="15"/>
    </x:row>
    <x:row r="131">
      <x:c r="A131" s="15"/>
      <x:c r="B131" s="15"/>
    </x:row>
    <x:row r="132">
      <x:c r="A132" s="15"/>
      <x:c r="B132" s="15"/>
    </x:row>
    <x:row r="133">
      <x:c r="A133" s="15"/>
      <x:c r="B133" s="15"/>
    </x:row>
    <x:row r="134">
      <x:c r="A134" s="15"/>
      <x:c r="B134" s="15"/>
    </x:row>
    <x:row r="135">
      <x:c r="A135" s="15"/>
      <x:c r="B135" s="15"/>
    </x:row>
    <x:row r="136">
      <x:c r="A136" s="15"/>
      <x:c r="B136" s="15"/>
    </x:row>
    <x:row r="137">
      <x:c r="A137" s="15"/>
      <x:c r="B137" s="15"/>
    </x:row>
    <x:row r="138">
      <x:c r="A138" s="15"/>
      <x:c r="B138" s="15"/>
    </x:row>
    <x:row r="139">
      <x:c r="A139" s="15"/>
      <x:c r="B139" s="15"/>
    </x:row>
    <x:row r="140">
      <x:c r="A140" s="15"/>
      <x:c r="B140" s="15"/>
    </x:row>
    <x:row r="141">
      <x:c r="A141" s="15"/>
      <x:c r="B141" s="15"/>
    </x:row>
    <x:row r="142">
      <x:c r="A142" s="15"/>
      <x:c r="B142" s="15"/>
    </x:row>
    <x:row r="143">
      <x:c r="A143" s="15"/>
      <x:c r="B143" s="15"/>
    </x:row>
    <x:row r="144">
      <x:c r="A144" s="15"/>
      <x:c r="B144" s="15"/>
    </x:row>
    <x:row r="145">
      <x:c r="A145" s="15"/>
      <x:c r="B145" s="15"/>
    </x:row>
    <x:row r="146">
      <x:c r="A146" s="15"/>
      <x:c r="B146" s="15"/>
    </x:row>
    <x:row r="147">
      <x:c r="A147" s="15"/>
      <x:c r="B147" s="15"/>
    </x:row>
    <x:row r="148">
      <x:c r="A148" s="15"/>
      <x:c r="B148" s="15"/>
    </x:row>
    <x:row r="149">
      <x:c r="A149" s="15"/>
      <x:c r="B149" s="15"/>
    </x:row>
    <x:row r="150">
      <x:c r="A150" s="15"/>
      <x:c r="B150" s="15"/>
    </x:row>
    <x:row r="151">
      <x:c r="A151" s="15"/>
      <x:c r="B151" s="15"/>
    </x:row>
    <x:row r="152">
      <x:c r="A152" s="15"/>
      <x:c r="B152" s="15"/>
    </x:row>
    <x:row r="153">
      <x:c r="A153" s="15"/>
      <x:c r="B153" s="15"/>
    </x:row>
    <x:row r="154">
      <x:c r="A154" s="15"/>
      <x:c r="B154" s="15"/>
    </x:row>
    <x:row r="155">
      <x:c r="A155" s="15"/>
      <x:c r="B155" s="15"/>
    </x:row>
    <x:row r="156">
      <x:c r="A156" s="15"/>
      <x:c r="B156" s="15"/>
    </x:row>
    <x:row r="157">
      <x:c r="A157" s="15"/>
      <x:c r="B157" s="15"/>
    </x:row>
    <x:row r="158">
      <x:c r="A158" s="15"/>
      <x:c r="B158" s="15"/>
    </x:row>
    <x:row r="159">
      <x:c r="A159" s="15"/>
      <x:c r="B159" s="15"/>
    </x:row>
    <x:row r="160">
      <x:c r="A160" s="15"/>
      <x:c r="B160" s="15"/>
    </x:row>
    <x:row r="161">
      <x:c r="A161" s="15"/>
      <x:c r="B161" s="15"/>
    </x:row>
    <x:row r="162">
      <x:c r="A162" s="15"/>
      <x:c r="B162" s="15"/>
    </x:row>
    <x:row r="163">
      <x:c r="A163" s="15"/>
      <x:c r="B163" s="15"/>
    </x:row>
    <x:row r="164">
      <x:c r="A164" s="15"/>
      <x:c r="B164" s="15"/>
    </x:row>
    <x:row r="165">
      <x:c r="A165" s="15"/>
      <x:c r="B165" s="15"/>
    </x:row>
    <x:row r="166">
      <x:c r="A166" s="15"/>
      <x:c r="B166" s="15"/>
    </x:row>
    <x:row r="167">
      <x:c r="A167" s="15"/>
      <x:c r="B167" s="15"/>
    </x:row>
    <x:row r="168">
      <x:c r="A168" s="15"/>
      <x:c r="B168" s="15"/>
    </x:row>
    <x:row r="169">
      <x:c r="A169" s="15"/>
      <x:c r="B169" s="15"/>
    </x:row>
    <x:row r="170">
      <x:c r="A170" s="15"/>
      <x:c r="B170" s="15"/>
    </x:row>
    <x:row r="171">
      <x:c r="A171" s="15"/>
      <x:c r="B171" s="15"/>
    </x:row>
    <x:row r="172">
      <x:c r="A172" s="15"/>
      <x:c r="B172" s="15"/>
    </x:row>
    <x:row r="173">
      <x:c r="A173" s="15"/>
      <x:c r="B173" s="15"/>
    </x:row>
    <x:row r="174">
      <x:c r="A174" s="15"/>
      <x:c r="B174" s="15"/>
    </x:row>
    <x:row r="175">
      <x:c r="A175" s="15"/>
      <x:c r="B175" s="15"/>
    </x:row>
    <x:row r="176">
      <x:c r="A176" s="15"/>
      <x:c r="B176" s="15"/>
    </x:row>
    <x:row r="177">
      <x:c r="A177" s="15"/>
      <x:c r="B177" s="15"/>
    </x:row>
    <x:row r="178">
      <x:c r="A178" s="15"/>
      <x:c r="B178" s="15"/>
    </x:row>
    <x:row r="179">
      <x:c r="A179" s="15"/>
      <x:c r="B179" s="15"/>
    </x:row>
    <x:row r="180">
      <x:c r="A180" s="15"/>
      <x:c r="B180" s="15"/>
    </x:row>
    <x:row r="181">
      <x:c r="A181" s="15"/>
      <x:c r="B181" s="15"/>
    </x:row>
    <x:row r="182">
      <x:c r="A182" s="15"/>
      <x:c r="B182" s="15"/>
    </x:row>
    <x:row r="183">
      <x:c r="A183" s="15"/>
      <x:c r="B183" s="15"/>
    </x:row>
    <x:row r="184">
      <x:c r="A184" s="15"/>
      <x:c r="B184" s="15"/>
    </x:row>
    <x:row r="185">
      <x:c r="A185" s="15"/>
      <x:c r="B185" s="15"/>
    </x:row>
    <x:row r="186">
      <x:c r="A186" s="15"/>
      <x:c r="B186" s="15"/>
    </x:row>
    <x:row r="187">
      <x:c r="A187" s="15"/>
      <x:c r="B187" s="15"/>
    </x:row>
    <x:row r="188">
      <x:c r="A188" s="15"/>
      <x:c r="B188" s="15"/>
    </x:row>
    <x:row r="189">
      <x:c r="A189" s="15"/>
      <x:c r="B189" s="15"/>
    </x:row>
    <x:row r="190">
      <x:c r="A190" s="15"/>
      <x:c r="B190" s="15"/>
    </x:row>
    <x:row r="191">
      <x:c r="A191" s="15"/>
      <x:c r="B191" s="15"/>
    </x:row>
    <x:row r="192">
      <x:c r="A192" s="15"/>
      <x:c r="B192" s="15"/>
    </x:row>
    <x:row r="193">
      <x:c r="A193" s="15"/>
      <x:c r="B193" s="15"/>
    </x:row>
    <x:row r="194">
      <x:c r="A194" s="15"/>
      <x:c r="B194" s="15"/>
    </x:row>
    <x:row r="195">
      <x:c r="A195" s="15"/>
      <x:c r="B195" s="15"/>
    </x:row>
    <x:row r="196">
      <x:c r="A196" s="15"/>
      <x:c r="B196" s="15"/>
    </x:row>
    <x:row r="197">
      <x:c r="A197" s="15"/>
      <x:c r="B197" s="15"/>
    </x:row>
    <x:row r="198">
      <x:c r="A198" s="15"/>
      <x:c r="B198" s="15"/>
    </x:row>
    <x:row r="199">
      <x:c r="A199" s="15"/>
      <x:c r="B199" s="15"/>
    </x:row>
    <x:row r="200">
      <x:c r="A200" s="15"/>
      <x:c r="B200" s="15"/>
    </x:row>
    <x:row r="201">
      <x:c r="A201" s="15"/>
      <x:c r="B201" s="15"/>
    </x:row>
    <x:row r="202">
      <x:c r="A202" s="15"/>
      <x:c r="B202" s="15"/>
    </x:row>
    <x:row r="203">
      <x:c r="A203" s="15"/>
      <x:c r="B203" s="15"/>
    </x:row>
    <x:row r="204">
      <x:c r="A204" s="15"/>
      <x:c r="B204" s="15"/>
    </x:row>
    <x:row r="205">
      <x:c r="A205" s="15"/>
      <x:c r="B205" s="15"/>
    </x:row>
    <x:row r="206">
      <x:c r="A206" s="15"/>
      <x:c r="B206" s="15"/>
    </x:row>
    <x:row r="207">
      <x:c r="A207" s="15"/>
      <x:c r="B207" s="15"/>
    </x:row>
    <x:row r="208">
      <x:c r="A208" s="15"/>
      <x:c r="B208" s="15"/>
    </x:row>
    <x:row r="209">
      <x:c r="A209" s="15"/>
      <x:c r="B209" s="15"/>
    </x:row>
    <x:row r="210">
      <x:c r="A210" s="15"/>
      <x:c r="B210" s="15"/>
    </x:row>
    <x:row r="211">
      <x:c r="A211" s="15"/>
      <x:c r="B211" s="15"/>
    </x:row>
    <x:row r="212">
      <x:c r="A212" s="15"/>
      <x:c r="B212" s="15"/>
    </x:row>
    <x:row r="213">
      <x:c r="A213" s="15"/>
      <x:c r="B213" s="15"/>
    </x:row>
    <x:row r="214">
      <x:c r="A214" s="15"/>
      <x:c r="B214" s="15"/>
    </x:row>
    <x:row r="215">
      <x:c r="A215" s="15"/>
      <x:c r="B215" s="15"/>
    </x:row>
    <x:row r="216">
      <x:c r="A216" s="15"/>
      <x:c r="B216" s="15"/>
    </x:row>
    <x:row r="217">
      <x:c r="A217" s="15"/>
      <x:c r="B217" s="15"/>
    </x:row>
    <x:row r="218">
      <x:c r="A218" s="15"/>
      <x:c r="B218" s="15"/>
    </x:row>
    <x:row r="219">
      <x:c r="A219" s="15"/>
      <x:c r="B219" s="15"/>
    </x:row>
    <x:row r="220">
      <x:c r="A220" s="15"/>
      <x:c r="B220" s="15"/>
    </x:row>
    <x:row r="221">
      <x:c r="A221" s="15"/>
      <x:c r="B221" s="15"/>
    </x:row>
    <x:row r="222">
      <x:c r="A222" s="15"/>
      <x:c r="B222" s="15"/>
    </x:row>
    <x:row r="223">
      <x:c r="A223" s="15"/>
      <x:c r="B223" s="15"/>
    </x:row>
    <x:row r="224">
      <x:c r="A224" s="15"/>
      <x:c r="B224" s="15"/>
    </x:row>
    <x:row r="225">
      <x:c r="A225" s="15"/>
      <x:c r="B225" s="15"/>
    </x:row>
    <x:row r="226">
      <x:c r="A226" s="15"/>
      <x:c r="B226" s="15"/>
    </x:row>
    <x:row r="227">
      <x:c r="A227" s="15"/>
      <x:c r="B227" s="15"/>
    </x:row>
    <x:row r="228">
      <x:c r="A228" s="15"/>
      <x:c r="B228" s="15"/>
    </x:row>
    <x:row r="229">
      <x:c r="A229" s="15"/>
      <x:c r="B229" s="15"/>
    </x:row>
    <x:row r="230">
      <x:c r="A230" s="15"/>
      <x:c r="B230" s="15"/>
    </x:row>
    <x:row r="231">
      <x:c r="A231" s="15"/>
      <x:c r="B231" s="15"/>
    </x:row>
    <x:row r="232">
      <x:c r="A232" s="15"/>
      <x:c r="B232" s="15"/>
    </x:row>
    <x:row r="233">
      <x:c r="A233" s="15"/>
      <x:c r="B233" s="15"/>
    </x:row>
    <x:row r="234">
      <x:c r="A234" s="15"/>
      <x:c r="B234" s="15"/>
    </x:row>
    <x:row r="235">
      <x:c r="A235" s="15"/>
      <x:c r="B235" s="15"/>
    </x:row>
    <x:row r="236">
      <x:c r="A236" s="15"/>
      <x:c r="B236" s="15"/>
    </x:row>
    <x:row r="237">
      <x:c r="A237" s="15"/>
      <x:c r="B237" s="15"/>
    </x:row>
    <x:row r="238">
      <x:c r="A238" s="15"/>
      <x:c r="B238" s="15"/>
    </x:row>
    <x:row r="239">
      <x:c r="A239" s="15"/>
      <x:c r="B239" s="15"/>
    </x:row>
    <x:row r="240">
      <x:c r="A240" s="15"/>
      <x:c r="B240" s="15"/>
    </x:row>
    <x:row r="241">
      <x:c r="A241" s="15"/>
      <x:c r="B241" s="15"/>
    </x:row>
    <x:row r="242">
      <x:c r="A242" s="15"/>
      <x:c r="B242" s="15"/>
    </x:row>
    <x:row r="243">
      <x:c r="A243" s="15"/>
      <x:c r="B243" s="15"/>
    </x:row>
    <x:row r="244">
      <x:c r="A244" s="15"/>
      <x:c r="B244" s="15"/>
    </x:row>
    <x:row r="245">
      <x:c r="A245" s="15"/>
      <x:c r="B245" s="15"/>
    </x:row>
    <x:row r="246">
      <x:c r="A246" s="15"/>
      <x:c r="B246" s="15"/>
    </x:row>
    <x:row r="247">
      <x:c r="A247" s="15"/>
      <x:c r="B247" s="15"/>
    </x:row>
    <x:row r="248">
      <x:c r="A248" s="15"/>
      <x:c r="B248" s="15"/>
    </x:row>
    <x:row r="249">
      <x:c r="A249" s="15"/>
      <x:c r="B249" s="15"/>
    </x:row>
    <x:row r="250">
      <x:c r="A250" s="15"/>
      <x:c r="B250" s="15"/>
    </x:row>
    <x:row r="251">
      <x:c r="A251" s="15"/>
      <x:c r="B251" s="15"/>
    </x:row>
    <x:row r="252">
      <x:c r="A252" s="15"/>
      <x:c r="B252" s="15"/>
    </x:row>
    <x:row r="253">
      <x:c r="A253" s="15"/>
      <x:c r="B253" s="15"/>
    </x:row>
    <x:row r="254">
      <x:c r="A254" s="15"/>
      <x:c r="B254" s="15"/>
    </x:row>
    <x:row r="255">
      <x:c r="A255" s="15"/>
      <x:c r="B255" s="15"/>
    </x:row>
    <x:row r="256">
      <x:c r="A256" s="15"/>
      <x:c r="B256" s="15"/>
    </x:row>
    <x:row r="257">
      <x:c r="A257" s="15"/>
      <x:c r="B257" s="15"/>
    </x:row>
    <x:row r="258">
      <x:c r="A258" s="15"/>
      <x:c r="B258" s="15"/>
    </x:row>
    <x:row r="259">
      <x:c r="A259" s="15"/>
      <x:c r="B259" s="15"/>
    </x:row>
    <x:row r="260">
      <x:c r="A260" s="15"/>
      <x:c r="B260" s="15"/>
    </x:row>
    <x:row r="261">
      <x:c r="A261" s="15"/>
      <x:c r="B261" s="15"/>
    </x:row>
    <x:row r="262">
      <x:c r="A262" s="15"/>
      <x:c r="B262" s="15"/>
    </x:row>
    <x:row r="263">
      <x:c r="A263" s="15"/>
      <x:c r="B263" s="15"/>
    </x:row>
    <x:row r="264">
      <x:c r="A264" s="15"/>
      <x:c r="B264" s="15"/>
    </x:row>
    <x:row r="265">
      <x:c r="A265" s="15"/>
      <x:c r="B265" s="15"/>
    </x:row>
    <x:row r="266">
      <x:c r="A266" s="15"/>
      <x:c r="B266" s="15"/>
    </x:row>
    <x:row r="267">
      <x:c r="A267" s="15"/>
      <x:c r="B267" s="15"/>
    </x:row>
    <x:row r="268">
      <x:c r="A268" s="15"/>
      <x:c r="B268" s="15"/>
    </x:row>
    <x:row r="269">
      <x:c r="A269" s="15"/>
      <x:c r="B269" s="15"/>
    </x:row>
    <x:row r="270">
      <x:c r="A270" s="15"/>
      <x:c r="B270" s="15"/>
    </x:row>
    <x:row r="271">
      <x:c r="A271" s="15"/>
      <x:c r="B271" s="15"/>
    </x:row>
    <x:row r="272">
      <x:c r="A272" s="15"/>
      <x:c r="B272" s="15"/>
    </x:row>
    <x:row r="273">
      <x:c r="A273" s="15"/>
      <x:c r="B273" s="15"/>
    </x:row>
    <x:row r="274">
      <x:c r="A274" s="15"/>
      <x:c r="B274" s="15"/>
    </x:row>
    <x:row r="275">
      <x:c r="A275" s="15"/>
      <x:c r="B275" s="15"/>
    </x:row>
    <x:row r="276">
      <x:c r="A276" s="15"/>
      <x:c r="B276" s="15"/>
    </x:row>
    <x:row r="277">
      <x:c r="A277" s="15"/>
      <x:c r="B277" s="15"/>
    </x:row>
    <x:row r="278">
      <x:c r="A278" s="15"/>
      <x:c r="B278" s="15"/>
    </x:row>
    <x:row r="279">
      <x:c r="A279" s="15"/>
      <x:c r="B279" s="15"/>
    </x:row>
    <x:row r="280">
      <x:c r="A280" s="15"/>
      <x:c r="B280" s="15"/>
    </x:row>
    <x:row r="281">
      <x:c r="A281" s="15"/>
      <x:c r="B281" s="15"/>
    </x:row>
    <x:row r="282">
      <x:c r="A282" s="15"/>
      <x:c r="B282" s="15"/>
    </x:row>
    <x:row r="283">
      <x:c r="A283" s="15"/>
      <x:c r="B283" s="15"/>
    </x:row>
    <x:row r="284">
      <x:c r="A284" s="15"/>
      <x:c r="B284" s="15"/>
    </x:row>
    <x:row r="285">
      <x:c r="A285" s="15"/>
      <x:c r="B285" s="15"/>
    </x:row>
    <x:row r="286">
      <x:c r="A286" s="15"/>
      <x:c r="B286" s="15"/>
    </x:row>
    <x:row r="287">
      <x:c r="A287" s="15"/>
      <x:c r="B287" s="15"/>
    </x:row>
    <x:row r="288">
      <x:c r="A288" s="15"/>
      <x:c r="B288" s="15"/>
    </x:row>
    <x:row r="289">
      <x:c r="A289" s="15"/>
      <x:c r="B289" s="15"/>
    </x:row>
    <x:row r="290">
      <x:c r="A290" s="15"/>
      <x:c r="B290" s="15"/>
    </x:row>
    <x:row r="291">
      <x:c r="A291" s="15"/>
      <x:c r="B291" s="15"/>
    </x:row>
    <x:row r="292">
      <x:c r="A292" s="15"/>
      <x:c r="B292" s="15"/>
    </x:row>
    <x:row r="293">
      <x:c r="A293" s="15"/>
      <x:c r="B293" s="15"/>
    </x:row>
    <x:row r="294">
      <x:c r="A294" s="15"/>
      <x:c r="B294" s="15"/>
    </x:row>
    <x:row r="295">
      <x:c r="A295" s="15"/>
      <x:c r="B295" s="15"/>
    </x:row>
    <x:row r="296">
      <x:c r="A296" s="15"/>
      <x:c r="B296" s="15"/>
    </x:row>
    <x:row r="297">
      <x:c r="A297" s="15"/>
      <x:c r="B297" s="15"/>
    </x:row>
    <x:row r="298">
      <x:c r="A298" s="15"/>
      <x:c r="B298" s="15"/>
    </x:row>
    <x:row r="299">
      <x:c r="A299" s="15"/>
      <x:c r="B299" s="15"/>
    </x:row>
    <x:row r="300">
      <x:c r="A300" s="15"/>
      <x:c r="B300" s="15"/>
    </x:row>
    <x:row r="301">
      <x:c r="A301" s="15"/>
      <x:c r="B301" s="15"/>
    </x:row>
    <x:row r="302">
      <x:c r="A302" s="15"/>
      <x:c r="B302" s="15"/>
    </x:row>
    <x:row r="303">
      <x:c r="A303" s="15"/>
      <x:c r="B303" s="15"/>
    </x:row>
    <x:row r="304">
      <x:c r="A304" s="15"/>
      <x:c r="B304" s="15"/>
    </x:row>
    <x:row r="305">
      <x:c r="A305" s="15"/>
      <x:c r="B305" s="15"/>
    </x:row>
    <x:row r="306">
      <x:c r="A306" s="15"/>
      <x:c r="B306" s="15"/>
    </x:row>
    <x:row r="307">
      <x:c r="A307" s="15"/>
      <x:c r="B307" s="15"/>
    </x:row>
    <x:row r="308">
      <x:c r="A308" s="15"/>
      <x:c r="B308" s="15"/>
    </x:row>
    <x:row r="309">
      <x:c r="A309" s="15"/>
      <x:c r="B309" s="15"/>
    </x:row>
    <x:row r="310">
      <x:c r="A310" s="15"/>
      <x:c r="B310" s="15"/>
    </x:row>
    <x:row r="311">
      <x:c r="A311" s="15"/>
      <x:c r="B311" s="15"/>
    </x:row>
    <x:row r="312">
      <x:c r="A312" s="15"/>
      <x:c r="B312" s="15"/>
    </x:row>
    <x:row r="313">
      <x:c r="A313" s="15"/>
      <x:c r="B313" s="15"/>
    </x:row>
    <x:row r="314">
      <x:c r="A314" s="15"/>
      <x:c r="B314" s="15"/>
    </x:row>
    <x:row r="315">
      <x:c r="A315" s="15"/>
      <x:c r="B315" s="15"/>
    </x:row>
    <x:row r="316">
      <x:c r="A316" s="15"/>
      <x:c r="B316" s="15"/>
    </x:row>
    <x:row r="317">
      <x:c r="A317" s="15"/>
      <x:c r="B317" s="15"/>
    </x:row>
    <x:row r="318">
      <x:c r="A318" s="15"/>
      <x:c r="B318" s="15"/>
    </x:row>
    <x:row r="319">
      <x:c r="A319" s="15"/>
      <x:c r="B319" s="15"/>
    </x:row>
    <x:row r="320">
      <x:c r="A320" s="15"/>
      <x:c r="B320" s="15"/>
    </x:row>
    <x:row r="321">
      <x:c r="A321" s="15"/>
      <x:c r="B321" s="15"/>
    </x:row>
    <x:row r="322">
      <x:c r="A322" s="15"/>
      <x:c r="B322" s="15"/>
    </x:row>
    <x:row r="323">
      <x:c r="A323" s="15"/>
      <x:c r="B323" s="15"/>
    </x:row>
    <x:row r="324">
      <x:c r="A324" s="15"/>
      <x:c r="B324" s="15"/>
    </x:row>
    <x:row r="325">
      <x:c r="A325" s="15"/>
      <x:c r="B325" s="15"/>
    </x:row>
    <x:row r="326">
      <x:c r="A326" s="15"/>
      <x:c r="B326" s="15"/>
    </x:row>
    <x:row r="327">
      <x:c r="A327" s="15"/>
      <x:c r="B327" s="15"/>
    </x:row>
    <x:row r="328">
      <x:c r="A328" s="15"/>
      <x:c r="B328" s="15"/>
    </x:row>
    <x:row r="329">
      <x:c r="A329" s="15"/>
      <x:c r="B329" s="15"/>
    </x:row>
    <x:row r="330">
      <x:c r="A330" s="15"/>
      <x:c r="B330" s="15"/>
    </x:row>
    <x:row r="331">
      <x:c r="A331" s="15"/>
      <x:c r="B331" s="15"/>
    </x:row>
    <x:row r="332">
      <x:c r="A332" s="15"/>
      <x:c r="B332" s="15"/>
    </x:row>
    <x:row r="333">
      <x:c r="A333" s="15"/>
      <x:c r="B333" s="15"/>
    </x:row>
    <x:row r="334">
      <x:c r="A334" s="15"/>
      <x:c r="B334" s="15"/>
    </x:row>
    <x:row r="335">
      <x:c r="A335" s="15"/>
      <x:c r="B335" s="15"/>
    </x:row>
    <x:row r="336">
      <x:c r="A336" s="15"/>
      <x:c r="B336" s="15"/>
    </x:row>
    <x:row r="337">
      <x:c r="A337" s="15"/>
      <x:c r="B337" s="15"/>
    </x:row>
    <x:row r="338">
      <x:c r="A338" s="15"/>
      <x:c r="B338" s="15"/>
    </x:row>
    <x:row r="339">
      <x:c r="A339" s="15"/>
      <x:c r="B339" s="15"/>
    </x:row>
    <x:row r="340">
      <x:c r="A340" s="15"/>
      <x:c r="B340" s="15"/>
    </x:row>
    <x:row r="341">
      <x:c r="A341" s="15"/>
      <x:c r="B341" s="15"/>
    </x:row>
    <x:row r="342">
      <x:c r="A342" s="15"/>
      <x:c r="B342" s="15"/>
    </x:row>
    <x:row r="343">
      <x:c r="A343" s="15"/>
      <x:c r="B343" s="15"/>
    </x:row>
    <x:row r="344">
      <x:c r="A344" s="15"/>
      <x:c r="B344" s="15"/>
    </x:row>
    <x:row r="345">
      <x:c r="A345" s="15"/>
      <x:c r="B345" s="15"/>
    </x:row>
    <x:row r="346">
      <x:c r="A346" s="15"/>
      <x:c r="B346" s="15"/>
    </x:row>
    <x:row r="347">
      <x:c r="A347" s="15"/>
      <x:c r="B347" s="15"/>
    </x:row>
    <x:row r="348">
      <x:c r="A348" s="15"/>
      <x:c r="B348" s="15"/>
    </x:row>
    <x:row r="349">
      <x:c r="A349" s="15"/>
      <x:c r="B349" s="15"/>
    </x:row>
    <x:row r="350">
      <x:c r="A350" s="15"/>
      <x:c r="B350" s="15"/>
    </x:row>
    <x:row r="351">
      <x:c r="A351" s="15"/>
      <x:c r="B351" s="15"/>
    </x:row>
    <x:row r="352">
      <x:c r="A352" s="15"/>
      <x:c r="B352" s="15"/>
    </x:row>
    <x:row r="353">
      <x:c r="A353" s="15"/>
      <x:c r="B353" s="15"/>
    </x:row>
    <x:row r="354">
      <x:c r="A354" s="15"/>
      <x:c r="B354" s="15"/>
    </x:row>
    <x:row r="355">
      <x:c r="A355" s="15"/>
      <x:c r="B355" s="15"/>
    </x:row>
    <x:row r="356">
      <x:c r="A356" s="15"/>
      <x:c r="B356" s="15"/>
    </x:row>
    <x:row r="357">
      <x:c r="A357" s="15"/>
      <x:c r="B357" s="15"/>
    </x:row>
    <x:row r="358">
      <x:c r="A358" s="15"/>
      <x:c r="B358" s="15"/>
    </x:row>
    <x:row r="359">
      <x:c r="A359" s="15"/>
      <x:c r="B359" s="15"/>
    </x:row>
    <x:row r="360">
      <x:c r="A360" s="15"/>
      <x:c r="B360" s="15"/>
    </x:row>
    <x:row r="361">
      <x:c r="A361" s="15"/>
      <x:c r="B361" s="15"/>
    </x:row>
    <x:row r="362">
      <x:c r="A362" s="15"/>
      <x:c r="B362" s="15"/>
    </x:row>
    <x:row r="363">
      <x:c r="A363" s="15"/>
      <x:c r="B363" s="15"/>
    </x:row>
    <x:row r="364">
      <x:c r="A364" s="15"/>
      <x:c r="B364" s="15"/>
    </x:row>
    <x:row r="365">
      <x:c r="A365" s="15"/>
      <x:c r="B365" s="15"/>
    </x:row>
    <x:row r="366">
      <x:c r="A366" s="15"/>
      <x:c r="B366" s="15"/>
    </x:row>
    <x:row r="367">
      <x:c r="A367" s="15"/>
      <x:c r="B367" s="15"/>
    </x:row>
    <x:row r="368">
      <x:c r="A368" s="15"/>
      <x:c r="B368" s="15"/>
    </x:row>
    <x:row r="369">
      <x:c r="A369" s="15"/>
      <x:c r="B369" s="15"/>
    </x:row>
    <x:row r="370">
      <x:c r="A370" s="15"/>
      <x:c r="B370" s="15"/>
    </x:row>
    <x:row r="371">
      <x:c r="A371" s="15"/>
      <x:c r="B371" s="15"/>
    </x:row>
    <x:row r="372">
      <x:c r="A372" s="15"/>
      <x:c r="B372" s="15"/>
    </x:row>
    <x:row r="373">
      <x:c r="A373" s="15"/>
      <x:c r="B373" s="15"/>
    </x:row>
    <x:row r="374">
      <x:c r="A374" s="15"/>
      <x:c r="B374" s="15"/>
    </x:row>
    <x:row r="375">
      <x:c r="A375" s="15"/>
      <x:c r="B375" s="15"/>
    </x:row>
    <x:row r="376">
      <x:c r="A376" s="15"/>
      <x:c r="B376" s="15"/>
    </x:row>
    <x:row r="377">
      <x:c r="A377" s="15"/>
      <x:c r="B377" s="15"/>
    </x:row>
    <x:row r="378">
      <x:c r="A378" s="15"/>
      <x:c r="B378" s="15"/>
    </x:row>
    <x:row r="379">
      <x:c r="A379" s="15"/>
      <x:c r="B379" s="15"/>
    </x:row>
    <x:row r="380">
      <x:c r="A380" s="15"/>
      <x:c r="B380" s="15"/>
    </x:row>
    <x:row r="381">
      <x:c r="A381" s="15"/>
      <x:c r="B381" s="15"/>
    </x:row>
    <x:row r="382">
      <x:c r="A382" s="15"/>
      <x:c r="B382" s="15"/>
    </x:row>
    <x:row r="383">
      <x:c r="A383" s="15"/>
      <x:c r="B383" s="15"/>
    </x:row>
    <x:row r="384">
      <x:c r="A384" s="15"/>
      <x:c r="B384" s="15"/>
    </x:row>
    <x:row r="385">
      <x:c r="A385" s="15"/>
      <x:c r="B385" s="15"/>
    </x:row>
    <x:row r="386">
      <x:c r="A386" s="15"/>
      <x:c r="B386" s="15"/>
    </x:row>
    <x:row r="387">
      <x:c r="A387" s="15"/>
      <x:c r="B387" s="15"/>
    </x:row>
    <x:row r="388">
      <x:c r="A388" s="15"/>
      <x:c r="B388" s="15"/>
    </x:row>
    <x:row r="389">
      <x:c r="A389" s="15"/>
      <x:c r="B389" s="15"/>
    </x:row>
    <x:row r="390">
      <x:c r="A390" s="15"/>
      <x:c r="B390" s="15"/>
    </x:row>
    <x:row r="391">
      <x:c r="A391" s="15"/>
      <x:c r="B391" s="15"/>
    </x:row>
    <x:row r="392">
      <x:c r="A392" s="15"/>
      <x:c r="B392" s="15"/>
    </x:row>
    <x:row r="393">
      <x:c r="A393" s="15"/>
      <x:c r="B393" s="15"/>
    </x:row>
    <x:row r="394">
      <x:c r="A394" s="15"/>
      <x:c r="B394" s="15"/>
    </x:row>
    <x:row r="395">
      <x:c r="A395" s="15"/>
      <x:c r="B395" s="15"/>
    </x:row>
    <x:row r="396">
      <x:c r="A396" s="15"/>
      <x:c r="B396" s="15"/>
    </x:row>
    <x:row r="397">
      <x:c r="A397" s="15"/>
      <x:c r="B397" s="15"/>
    </x:row>
    <x:row r="398">
      <x:c r="A398" s="15"/>
      <x:c r="B398" s="15"/>
    </x:row>
    <x:row r="399">
      <x:c r="A399" s="15"/>
      <x:c r="B399" s="15"/>
    </x:row>
    <x:row r="400">
      <x:c r="A400" s="15"/>
      <x:c r="B400" s="15"/>
    </x:row>
    <x:row r="401">
      <x:c r="A401" s="15"/>
      <x:c r="B401" s="15"/>
    </x:row>
    <x:row r="402">
      <x:c r="A402" s="15"/>
      <x:c r="B402" s="15"/>
    </x:row>
    <x:row r="403">
      <x:c r="A403" s="15"/>
      <x:c r="B403" s="15"/>
    </x:row>
    <x:row r="404">
      <x:c r="A404" s="15"/>
      <x:c r="B404" s="15"/>
    </x:row>
    <x:row r="405">
      <x:c r="A405" s="15"/>
      <x:c r="B405" s="15"/>
    </x:row>
    <x:row r="406">
      <x:c r="A406" s="15"/>
      <x:c r="B406" s="15"/>
    </x:row>
    <x:row r="407">
      <x:c r="A407" s="15"/>
      <x:c r="B407" s="15"/>
    </x:row>
    <x:row r="408">
      <x:c r="A408" s="15"/>
      <x:c r="B408" s="15"/>
    </x:row>
    <x:row r="409">
      <x:c r="A409" s="15"/>
      <x:c r="B409" s="15"/>
    </x:row>
    <x:row r="410">
      <x:c r="A410" s="15"/>
      <x:c r="B410" s="15"/>
    </x:row>
    <x:row r="411">
      <x:c r="A411" s="15"/>
      <x:c r="B411" s="15"/>
    </x:row>
    <x:row r="412">
      <x:c r="A412" s="15"/>
      <x:c r="B412" s="15"/>
    </x:row>
    <x:row r="413">
      <x:c r="A413" s="15"/>
      <x:c r="B413" s="15"/>
    </x:row>
    <x:row r="414">
      <x:c r="A414" s="15"/>
      <x:c r="B414" s="15"/>
    </x:row>
    <x:row r="415">
      <x:c r="A415" s="15"/>
      <x:c r="B415" s="15"/>
    </x:row>
    <x:row r="416">
      <x:c r="A416" s="15"/>
      <x:c r="B416" s="15"/>
    </x:row>
    <x:row r="417">
      <x:c r="A417" s="15"/>
      <x:c r="B417" s="15"/>
    </x:row>
    <x:row r="418">
      <x:c r="A418" s="15"/>
      <x:c r="B418" s="15"/>
    </x:row>
    <x:row r="419">
      <x:c r="A419" s="15"/>
      <x:c r="B419" s="15"/>
    </x:row>
    <x:row r="420">
      <x:c r="A420" s="15"/>
      <x:c r="B420" s="15"/>
    </x:row>
    <x:row r="421">
      <x:c r="A421" s="15"/>
      <x:c r="B421" s="15"/>
    </x:row>
    <x:row r="422">
      <x:c r="A422" s="15"/>
      <x:c r="B422" s="15"/>
    </x:row>
    <x:row r="423">
      <x:c r="A423" s="15"/>
      <x:c r="B423" s="15"/>
    </x:row>
    <x:row r="424">
      <x:c r="A424" s="15"/>
      <x:c r="B424" s="15"/>
    </x:row>
    <x:row r="425">
      <x:c r="A425" s="15"/>
      <x:c r="B425" s="15"/>
    </x:row>
    <x:row r="426">
      <x:c r="A426" s="15"/>
      <x:c r="B426" s="15"/>
    </x:row>
    <x:row r="427">
      <x:c r="A427" s="15"/>
      <x:c r="B427" s="15"/>
    </x:row>
    <x:row r="428">
      <x:c r="A428" s="15"/>
      <x:c r="B428" s="15"/>
    </x:row>
    <x:row r="429">
      <x:c r="A429" s="15"/>
      <x:c r="B429" s="15"/>
    </x:row>
    <x:row r="430">
      <x:c r="A430" s="15"/>
      <x:c r="B430" s="15"/>
    </x:row>
    <x:row r="431">
      <x:c r="A431" s="15"/>
      <x:c r="B431" s="15"/>
    </x:row>
    <x:row r="432">
      <x:c r="A432" s="15"/>
      <x:c r="B432" s="15"/>
    </x:row>
    <x:row r="433">
      <x:c r="A433" s="15"/>
      <x:c r="B433" s="15"/>
    </x:row>
    <x:row r="434">
      <x:c r="A434" s="15"/>
      <x:c r="B434" s="15"/>
    </x:row>
    <x:row r="435">
      <x:c r="A435" s="15"/>
      <x:c r="B435" s="15"/>
    </x:row>
    <x:row r="436">
      <x:c r="A436" s="15"/>
      <x:c r="B436" s="15"/>
    </x:row>
    <x:row r="437">
      <x:c r="A437" s="15"/>
      <x:c r="B437" s="15"/>
    </x:row>
    <x:row r="438">
      <x:c r="A438" s="15"/>
      <x:c r="B438" s="15"/>
    </x:row>
    <x:row r="439">
      <x:c r="A439" s="15"/>
      <x:c r="B439" s="15"/>
    </x:row>
    <x:row r="440">
      <x:c r="A440" s="15"/>
      <x:c r="B440" s="15"/>
    </x:row>
    <x:row r="441">
      <x:c r="A441" s="15"/>
      <x:c r="B441" s="15"/>
    </x:row>
    <x:row r="442">
      <x:c r="A442" s="15"/>
      <x:c r="B442" s="15"/>
    </x:row>
    <x:row r="443">
      <x:c r="A443" s="15"/>
      <x:c r="B443" s="15"/>
    </x:row>
    <x:row r="444">
      <x:c r="A444" s="15"/>
      <x:c r="B444" s="15"/>
    </x:row>
    <x:row r="445">
      <x:c r="A445" s="15"/>
      <x:c r="B445" s="15"/>
    </x:row>
    <x:row r="446">
      <x:c r="A446" s="15"/>
      <x:c r="B446" s="15"/>
    </x:row>
    <x:row r="447">
      <x:c r="A447" s="15"/>
      <x:c r="B447" s="15"/>
    </x:row>
    <x:row r="448">
      <x:c r="A448" s="15"/>
      <x:c r="B448" s="15"/>
    </x:row>
    <x:row r="449">
      <x:c r="A449" s="15"/>
      <x:c r="B449" s="15"/>
    </x:row>
    <x:row r="450">
      <x:c r="A450" s="15"/>
      <x:c r="B450" s="15"/>
    </x:row>
    <x:row r="451">
      <x:c r="A451" s="15"/>
      <x:c r="B451" s="15"/>
    </x:row>
    <x:row r="452">
      <x:c r="A452" s="15"/>
      <x:c r="B452" s="15"/>
    </x:row>
    <x:row r="453">
      <x:c r="A453" s="15"/>
      <x:c r="B453" s="15"/>
    </x:row>
    <x:row r="454">
      <x:c r="A454" s="15"/>
      <x:c r="B454" s="15"/>
    </x:row>
    <x:row r="455">
      <x:c r="A455" s="15"/>
      <x:c r="B455" s="15"/>
    </x:row>
    <x:row r="456">
      <x:c r="A456" s="15"/>
      <x:c r="B456" s="15"/>
    </x:row>
    <x:row r="457">
      <x:c r="A457" s="15"/>
      <x:c r="B457" s="15"/>
    </x:row>
    <x:row r="458">
      <x:c r="A458" s="15"/>
      <x:c r="B458" s="15"/>
    </x:row>
    <x:row r="459">
      <x:c r="A459" s="15"/>
      <x:c r="B459" s="15"/>
    </x:row>
    <x:row r="460">
      <x:c r="A460" s="15"/>
      <x:c r="B460" s="15"/>
    </x:row>
    <x:row r="461">
      <x:c r="A461" s="15"/>
      <x:c r="B461" s="15"/>
    </x:row>
    <x:row r="462">
      <x:c r="A462" s="15"/>
      <x:c r="B462" s="15"/>
    </x:row>
    <x:row r="463">
      <x:c r="A463" s="15"/>
      <x:c r="B463" s="15"/>
    </x:row>
    <x:row r="464">
      <x:c r="A464" s="15"/>
      <x:c r="B464" s="15"/>
    </x:row>
    <x:row r="465">
      <x:c r="A465" s="15"/>
      <x:c r="B465" s="15"/>
    </x:row>
    <x:row r="466">
      <x:c r="A466" s="15"/>
      <x:c r="B466" s="15"/>
    </x:row>
    <x:row r="467">
      <x:c r="A467" s="15"/>
      <x:c r="B467" s="15"/>
    </x:row>
    <x:row r="468">
      <x:c r="A468" s="15"/>
      <x:c r="B468" s="15"/>
    </x:row>
    <x:row r="469">
      <x:c r="A469" s="15"/>
      <x:c r="B469" s="15"/>
    </x:row>
    <x:row r="470">
      <x:c r="A470" s="15"/>
      <x:c r="B470" s="15"/>
    </x:row>
    <x:row r="471">
      <x:c r="A471" s="15"/>
      <x:c r="B471" s="15"/>
    </x:row>
    <x:row r="472">
      <x:c r="A472" s="15"/>
      <x:c r="B472" s="15"/>
    </x:row>
    <x:row r="473">
      <x:c r="A473" s="15"/>
      <x:c r="B473" s="15"/>
    </x:row>
    <x:row r="474">
      <x:c r="A474" s="15"/>
      <x:c r="B474" s="15"/>
    </x:row>
    <x:row r="475">
      <x:c r="A475" s="15"/>
      <x:c r="B475" s="15"/>
    </x:row>
    <x:row r="476">
      <x:c r="A476" s="15"/>
      <x:c r="B476" s="15"/>
    </x:row>
    <x:row r="477">
      <x:c r="A477" s="15"/>
      <x:c r="B477" s="15"/>
    </x:row>
    <x:row r="478">
      <x:c r="A478" s="15"/>
      <x:c r="B478" s="15"/>
    </x:row>
    <x:row r="479">
      <x:c r="A479" s="15"/>
      <x:c r="B479" s="15"/>
    </x:row>
    <x:row r="480">
      <x:c r="A480" s="15"/>
      <x:c r="B480" s="15"/>
    </x:row>
    <x:row r="481">
      <x:c r="A481" s="15"/>
      <x:c r="B481" s="15"/>
    </x:row>
    <x:row r="482">
      <x:c r="A482" s="15"/>
      <x:c r="B482" s="15"/>
    </x:row>
    <x:row r="483">
      <x:c r="A483" s="15"/>
      <x:c r="B483" s="15"/>
    </x:row>
    <x:row r="484">
      <x:c r="A484" s="15"/>
      <x:c r="B484" s="15"/>
    </x:row>
    <x:row r="485">
      <x:c r="A485" s="15"/>
      <x:c r="B485" s="15"/>
    </x:row>
    <x:row r="486">
      <x:c r="A486" s="15"/>
      <x:c r="B486" s="15"/>
    </x:row>
    <x:row r="487">
      <x:c r="A487" s="15"/>
      <x:c r="B487" s="15"/>
    </x:row>
    <x:row r="488">
      <x:c r="A488" s="15"/>
      <x:c r="B488" s="15"/>
    </x:row>
    <x:row r="489">
      <x:c r="A489" s="15"/>
      <x:c r="B489" s="15"/>
    </x:row>
    <x:row r="490">
      <x:c r="A490" s="15"/>
      <x:c r="B490" s="15"/>
    </x:row>
    <x:row r="491">
      <x:c r="A491" s="15"/>
      <x:c r="B491" s="15"/>
    </x:row>
    <x:row r="492">
      <x:c r="A492" s="15"/>
      <x:c r="B492" s="15"/>
    </x:row>
    <x:row r="493">
      <x:c r="A493" s="15"/>
      <x:c r="B493" s="15"/>
    </x:row>
    <x:row r="494">
      <x:c r="A494" s="15"/>
      <x:c r="B494" s="15"/>
    </x:row>
    <x:row r="495">
      <x:c r="A495" s="15"/>
      <x:c r="B495" s="15"/>
    </x:row>
    <x:row r="496">
      <x:c r="A496" s="15"/>
      <x:c r="B496" s="15"/>
    </x:row>
    <x:row r="497">
      <x:c r="A497" s="15"/>
      <x:c r="B497" s="15"/>
    </x:row>
    <x:row r="498">
      <x:c r="A498" s="15"/>
      <x:c r="B498" s="15"/>
    </x:row>
    <x:row r="499">
      <x:c r="A499" s="15"/>
      <x:c r="B499" s="15"/>
    </x:row>
    <x:row r="500">
      <x:c r="A500" s="15"/>
      <x:c r="B500" s="15"/>
    </x:row>
    <x:row r="501">
      <x:c r="A501" s="15"/>
      <x:c r="B501" s="15"/>
    </x:row>
    <x:row r="502">
      <x:c r="A502" s="15"/>
      <x:c r="B502" s="15"/>
    </x:row>
    <x:row r="503">
      <x:c r="A503" s="15"/>
      <x:c r="B503" s="15"/>
    </x:row>
    <x:row r="504">
      <x:c r="A504" s="15"/>
      <x:c r="B504" s="15"/>
    </x:row>
    <x:row r="505">
      <x:c r="A505" s="15"/>
      <x:c r="B505" s="15"/>
    </x:row>
    <x:row r="506">
      <x:c r="A506" s="15"/>
      <x:c r="B506" s="15"/>
    </x:row>
    <x:row r="507">
      <x:c r="A507" s="15"/>
      <x:c r="B507" s="15"/>
    </x:row>
    <x:row r="508">
      <x:c r="A508" s="15"/>
      <x:c r="B508" s="15"/>
    </x:row>
    <x:row r="509">
      <x:c r="A509" s="15"/>
      <x:c r="B509" s="15"/>
    </x:row>
    <x:row r="510">
      <x:c r="A510" s="15"/>
      <x:c r="B510" s="15"/>
    </x:row>
    <x:row r="511">
      <x:c r="A511" s="15"/>
      <x:c r="B511" s="15"/>
    </x:row>
    <x:row r="512">
      <x:c r="A512" s="15"/>
      <x:c r="B512" s="15"/>
    </x:row>
    <x:row r="513">
      <x:c r="A513" s="15"/>
      <x:c r="B513" s="15"/>
    </x:row>
    <x:row r="514">
      <x:c r="A514" s="15"/>
      <x:c r="B514" s="15"/>
    </x:row>
    <x:row r="515">
      <x:c r="A515" s="15"/>
      <x:c r="B515" s="15"/>
    </x:row>
    <x:row r="516">
      <x:c r="A516" s="15"/>
      <x:c r="B516" s="15"/>
    </x:row>
    <x:row r="517">
      <x:c r="A517" s="15"/>
      <x:c r="B517" s="15"/>
    </x:row>
    <x:row r="518">
      <x:c r="A518" s="15"/>
      <x:c r="B518" s="15"/>
    </x:row>
    <x:row r="519">
      <x:c r="A519" s="15"/>
      <x:c r="B519" s="15"/>
    </x:row>
    <x:row r="520">
      <x:c r="A520" s="15"/>
      <x:c r="B520" s="15"/>
    </x:row>
    <x:row r="521">
      <x:c r="A521" s="15"/>
      <x:c r="B521" s="15"/>
    </x:row>
    <x:row r="522">
      <x:c r="A522" s="15"/>
      <x:c r="B522" s="15"/>
    </x:row>
    <x:row r="523">
      <x:c r="A523" s="15"/>
      <x:c r="B523" s="15"/>
    </x:row>
    <x:row r="524">
      <x:c r="A524" s="15"/>
      <x:c r="B524" s="15"/>
    </x:row>
    <x:row r="525">
      <x:c r="A525" s="15"/>
      <x:c r="B525" s="15"/>
    </x:row>
    <x:row r="526">
      <x:c r="A526" s="15"/>
      <x:c r="B526" s="15"/>
    </x:row>
    <x:row r="527">
      <x:c r="A527" s="15"/>
      <x:c r="B527" s="15"/>
    </x:row>
    <x:row r="528">
      <x:c r="A528" s="15"/>
      <x:c r="B528" s="15"/>
    </x:row>
    <x:row r="529">
      <x:c r="A529" s="15"/>
      <x:c r="B529" s="15"/>
    </x:row>
    <x:row r="530">
      <x:c r="A530" s="15"/>
      <x:c r="B530" s="15"/>
    </x:row>
    <x:row r="531">
      <x:c r="A531" s="15"/>
      <x:c r="B531" s="15"/>
    </x:row>
    <x:row r="532">
      <x:c r="A532" s="15"/>
      <x:c r="B532" s="15"/>
    </x:row>
    <x:row r="533">
      <x:c r="A533" s="15"/>
      <x:c r="B533" s="15"/>
    </x:row>
    <x:row r="534">
      <x:c r="A534" s="15"/>
      <x:c r="B534" s="15"/>
    </x:row>
    <x:row r="535">
      <x:c r="A535" s="15"/>
      <x:c r="B535" s="15"/>
    </x:row>
    <x:row r="536">
      <x:c r="A536" s="15"/>
      <x:c r="B536" s="15"/>
    </x:row>
    <x:row r="537">
      <x:c r="A537" s="15"/>
      <x:c r="B537" s="15"/>
    </x:row>
    <x:row r="538">
      <x:c r="A538" s="15"/>
      <x:c r="B538" s="15"/>
    </x:row>
    <x:row r="539">
      <x:c r="A539" s="15"/>
      <x:c r="B539" s="15"/>
    </x:row>
    <x:row r="540">
      <x:c r="A540" s="15"/>
      <x:c r="B540" s="15"/>
    </x:row>
    <x:row r="541">
      <x:c r="A541" s="15"/>
      <x:c r="B541" s="15"/>
    </x:row>
    <x:row r="542">
      <x:c r="A542" s="15"/>
      <x:c r="B542" s="15"/>
    </x:row>
    <x:row r="543">
      <x:c r="A543" s="15"/>
      <x:c r="B543" s="15"/>
    </x:row>
    <x:row r="544">
      <x:c r="A544" s="15"/>
      <x:c r="B544" s="15"/>
    </x:row>
    <x:row r="545">
      <x:c r="A545" s="15"/>
      <x:c r="B545" s="15"/>
    </x:row>
    <x:row r="546">
      <x:c r="A546" s="15"/>
      <x:c r="B546" s="15"/>
    </x:row>
    <x:row r="547">
      <x:c r="A547" s="15"/>
      <x:c r="B547" s="15"/>
    </x:row>
    <x:row r="548">
      <x:c r="A548" s="15"/>
      <x:c r="B548" s="15"/>
    </x:row>
    <x:row r="549">
      <x:c r="A549" s="15"/>
      <x:c r="B549" s="15"/>
    </x:row>
    <x:row r="550">
      <x:c r="A550" s="15"/>
      <x:c r="B550" s="15"/>
    </x:row>
    <x:row r="551">
      <x:c r="A551" s="15"/>
      <x:c r="B551" s="15"/>
    </x:row>
    <x:row r="552">
      <x:c r="A552" s="15"/>
      <x:c r="B552" s="15"/>
    </x:row>
    <x:row r="553">
      <x:c r="A553" s="15"/>
      <x:c r="B553" s="15"/>
    </x:row>
    <x:row r="554">
      <x:c r="A554" s="15"/>
      <x:c r="B554" s="15"/>
    </x:row>
    <x:row r="555">
      <x:c r="A555" s="15"/>
      <x:c r="B555" s="15"/>
    </x:row>
    <x:row r="556">
      <x:c r="A556" s="15"/>
      <x:c r="B556" s="15"/>
    </x:row>
    <x:row r="557">
      <x:c r="A557" s="15"/>
      <x:c r="B557" s="15"/>
    </x:row>
    <x:row r="558">
      <x:c r="A558" s="15"/>
      <x:c r="B558" s="15"/>
    </x:row>
    <x:row r="559">
      <x:c r="A559" s="15"/>
      <x:c r="B559" s="15"/>
    </x:row>
    <x:row r="560">
      <x:c r="A560" s="15"/>
      <x:c r="B560" s="15"/>
    </x:row>
    <x:row r="561">
      <x:c r="A561" s="15"/>
      <x:c r="B561" s="15"/>
    </x:row>
    <x:row r="562">
      <x:c r="A562" s="15"/>
      <x:c r="B562" s="15"/>
    </x:row>
    <x:row r="563">
      <x:c r="A563" s="15"/>
      <x:c r="B563" s="15"/>
    </x:row>
    <x:row r="564">
      <x:c r="A564" s="15"/>
      <x:c r="B564" s="15"/>
    </x:row>
    <x:row r="565">
      <x:c r="A565" s="15"/>
      <x:c r="B565" s="15"/>
    </x:row>
    <x:row r="566">
      <x:c r="A566" s="15"/>
      <x:c r="B566" s="15"/>
    </x:row>
    <x:row r="567">
      <x:c r="A567" s="15"/>
      <x:c r="B567" s="15"/>
    </x:row>
    <x:row r="568">
      <x:c r="A568" s="15"/>
      <x:c r="B568" s="15"/>
    </x:row>
    <x:row r="569">
      <x:c r="A569" s="15"/>
      <x:c r="B569" s="15"/>
    </x:row>
    <x:row r="570">
      <x:c r="A570" s="15"/>
      <x:c r="B570" s="15"/>
    </x:row>
    <x:row r="571">
      <x:c r="A571" s="15"/>
      <x:c r="B571" s="15"/>
    </x:row>
    <x:row r="572">
      <x:c r="A572" s="15"/>
      <x:c r="B572" s="15"/>
    </x:row>
    <x:row r="573">
      <x:c r="A573" s="15"/>
      <x:c r="B573" s="15"/>
    </x:row>
    <x:row r="574">
      <x:c r="A574" s="15"/>
      <x:c r="B574" s="15"/>
    </x:row>
    <x:row r="575">
      <x:c r="A575" s="15"/>
      <x:c r="B575" s="15"/>
    </x:row>
    <x:row r="576">
      <x:c r="A576" s="15"/>
      <x:c r="B576" s="15"/>
    </x:row>
    <x:row r="577">
      <x:c r="A577" s="15"/>
      <x:c r="B577" s="15"/>
    </x:row>
    <x:row r="578">
      <x:c r="A578" s="15"/>
      <x:c r="B578" s="15"/>
    </x:row>
    <x:row r="579">
      <x:c r="A579" s="15"/>
      <x:c r="B579" s="15"/>
    </x:row>
    <x:row r="580">
      <x:c r="A580" s="15"/>
      <x:c r="B580" s="15"/>
    </x:row>
    <x:row r="581">
      <x:c r="A581" s="15"/>
      <x:c r="B581" s="15"/>
    </x:row>
    <x:row r="582">
      <x:c r="A582" s="15"/>
      <x:c r="B582" s="15"/>
    </x:row>
    <x:row r="583">
      <x:c r="A583" s="15"/>
      <x:c r="B583" s="15"/>
    </x:row>
    <x:row r="584">
      <x:c r="A584" s="15"/>
      <x:c r="B584" s="15"/>
    </x:row>
    <x:row r="585">
      <x:c r="A585" s="15"/>
      <x:c r="B585" s="15"/>
    </x:row>
    <x:row r="586">
      <x:c r="A586" s="15"/>
      <x:c r="B586" s="15"/>
    </x:row>
    <x:row r="587">
      <x:c r="A587" s="15"/>
      <x:c r="B587" s="15"/>
    </x:row>
    <x:row r="588">
      <x:c r="A588" s="15"/>
      <x:c r="B588" s="15"/>
    </x:row>
    <x:row r="589">
      <x:c r="A589" s="15"/>
      <x:c r="B589" s="15"/>
    </x:row>
    <x:row r="590">
      <x:c r="A590" s="15"/>
      <x:c r="B590" s="15"/>
    </x:row>
    <x:row r="591">
      <x:c r="A591" s="15"/>
      <x:c r="B591" s="15"/>
    </x:row>
    <x:row r="592">
      <x:c r="A592" s="15"/>
      <x:c r="B592" s="15"/>
    </x:row>
    <x:row r="593">
      <x:c r="A593" s="15"/>
      <x:c r="B593" s="15"/>
    </x:row>
    <x:row r="594">
      <x:c r="A594" s="15"/>
      <x:c r="B594" s="15"/>
    </x:row>
    <x:row r="595">
      <x:c r="A595" s="15"/>
      <x:c r="B595" s="15"/>
    </x:row>
    <x:row r="596">
      <x:c r="A596" s="15"/>
      <x:c r="B596" s="15"/>
    </x:row>
    <x:row r="597">
      <x:c r="A597" s="15"/>
      <x:c r="B597" s="15"/>
    </x:row>
    <x:row r="598">
      <x:c r="A598" s="15"/>
      <x:c r="B598" s="15"/>
    </x:row>
    <x:row r="599">
      <x:c r="A599" s="15"/>
      <x:c r="B599" s="15"/>
    </x:row>
    <x:row r="600">
      <x:c r="A600" s="15"/>
      <x:c r="B600" s="15"/>
    </x:row>
    <x:row r="601">
      <x:c r="A601" s="15"/>
      <x:c r="B601" s="15"/>
    </x:row>
    <x:row r="602">
      <x:c r="A602" s="15"/>
      <x:c r="B602" s="15"/>
    </x:row>
    <x:row r="603">
      <x:c r="A603" s="15"/>
      <x:c r="B603" s="15"/>
    </x:row>
    <x:row r="604">
      <x:c r="A604" s="15"/>
      <x:c r="B604" s="15"/>
    </x:row>
    <x:row r="605">
      <x:c r="A605" s="15"/>
      <x:c r="B605" s="15"/>
    </x:row>
    <x:row r="606">
      <x:c r="A606" s="15"/>
      <x:c r="B606" s="15"/>
    </x:row>
    <x:row r="607">
      <x:c r="A607" s="15"/>
      <x:c r="B607" s="15"/>
    </x:row>
    <x:row r="608">
      <x:c r="A608" s="15"/>
      <x:c r="B608" s="15"/>
    </x:row>
    <x:row r="609">
      <x:c r="A609" s="15"/>
      <x:c r="B609" s="15"/>
    </x:row>
    <x:row r="610">
      <x:c r="A610" s="15"/>
      <x:c r="B610" s="15"/>
    </x:row>
    <x:row r="611">
      <x:c r="A611" s="15"/>
      <x:c r="B611" s="15"/>
    </x:row>
    <x:row r="612">
      <x:c r="A612" s="15"/>
      <x:c r="B612" s="15"/>
    </x:row>
    <x:row r="613">
      <x:c r="A613" s="15"/>
      <x:c r="B613" s="15"/>
    </x:row>
    <x:row r="614">
      <x:c r="A614" s="15"/>
      <x:c r="B614" s="15"/>
    </x:row>
    <x:row r="615">
      <x:c r="A615" s="15"/>
      <x:c r="B615" s="15"/>
    </x:row>
    <x:row r="616">
      <x:c r="A616" s="15"/>
      <x:c r="B616" s="15"/>
    </x:row>
    <x:row r="617">
      <x:c r="A617" s="15"/>
      <x:c r="B617" s="15"/>
    </x:row>
    <x:row r="618">
      <x:c r="A618" s="15"/>
      <x:c r="B618" s="15"/>
    </x:row>
    <x:row r="619">
      <x:c r="A619" s="15"/>
      <x:c r="B619" s="15"/>
    </x:row>
    <x:row r="620">
      <x:c r="A620" s="15"/>
      <x:c r="B620" s="15"/>
    </x:row>
    <x:row r="621">
      <x:c r="A621" s="15"/>
      <x:c r="B621" s="15"/>
    </x:row>
    <x:row r="622">
      <x:c r="A622" s="15"/>
      <x:c r="B622" s="15"/>
    </x:row>
    <x:row r="623">
      <x:c r="A623" s="15"/>
      <x:c r="B623" s="15"/>
    </x:row>
    <x:row r="624">
      <x:c r="A624" s="15"/>
      <x:c r="B624" s="15"/>
    </x:row>
    <x:row r="625">
      <x:c r="A625" s="15"/>
      <x:c r="B625" s="15"/>
    </x:row>
    <x:row r="626">
      <x:c r="A626" s="15"/>
      <x:c r="B626" s="15"/>
    </x:row>
    <x:row r="627">
      <x:c r="A627" s="15"/>
      <x:c r="B627" s="15"/>
    </x:row>
    <x:row r="628">
      <x:c r="A628" s="15"/>
      <x:c r="B628" s="15"/>
    </x:row>
    <x:row r="629">
      <x:c r="A629" s="15"/>
      <x:c r="B629" s="15"/>
    </x:row>
    <x:row r="630">
      <x:c r="A630" s="15"/>
      <x:c r="B630" s="15"/>
    </x:row>
    <x:row r="631">
      <x:c r="A631" s="15"/>
      <x:c r="B631" s="15"/>
    </x:row>
    <x:row r="632">
      <x:c r="A632" s="15"/>
      <x:c r="B632" s="15"/>
    </x:row>
    <x:row r="633">
      <x:c r="A633" s="15"/>
      <x:c r="B633" s="15"/>
    </x:row>
    <x:row r="634">
      <x:c r="A634" s="15"/>
      <x:c r="B634" s="15"/>
    </x:row>
    <x:row r="635">
      <x:c r="A635" s="15"/>
      <x:c r="B635" s="15"/>
    </x:row>
    <x:row r="636">
      <x:c r="A636" s="15"/>
      <x:c r="B636" s="15"/>
    </x:row>
    <x:row r="637">
      <x:c r="A637" s="15"/>
      <x:c r="B637" s="15"/>
    </x:row>
    <x:row r="638">
      <x:c r="A638" s="15"/>
      <x:c r="B638" s="15"/>
    </x:row>
    <x:row r="639">
      <x:c r="A639" s="15"/>
      <x:c r="B639" s="15"/>
    </x:row>
    <x:row r="640">
      <x:c r="A640" s="15"/>
      <x:c r="B640" s="15"/>
    </x:row>
    <x:row r="641">
      <x:c r="A641" s="15"/>
      <x:c r="B641" s="15"/>
    </x:row>
    <x:row r="642">
      <x:c r="A642" s="15"/>
      <x:c r="B642" s="15"/>
    </x:row>
    <x:row r="643">
      <x:c r="A643" s="15"/>
      <x:c r="B643" s="15"/>
    </x:row>
    <x:row r="644">
      <x:c r="A644" s="15"/>
      <x:c r="B644" s="15"/>
    </x:row>
    <x:row r="645">
      <x:c r="A645" s="15"/>
      <x:c r="B645" s="15"/>
    </x:row>
    <x:row r="646">
      <x:c r="A646" s="15"/>
      <x:c r="B646" s="15"/>
    </x:row>
    <x:row r="647">
      <x:c r="A647" s="15"/>
      <x:c r="B647" s="15"/>
    </x:row>
    <x:row r="648">
      <x:c r="A648" s="15"/>
      <x:c r="B648" s="15"/>
    </x:row>
    <x:row r="649">
      <x:c r="A649" s="15"/>
      <x:c r="B649" s="15"/>
    </x:row>
    <x:row r="650">
      <x:c r="A650" s="15"/>
      <x:c r="B650" s="15"/>
    </x:row>
    <x:row r="651">
      <x:c r="A651" s="15"/>
      <x:c r="B651" s="15"/>
    </x:row>
    <x:row r="652">
      <x:c r="A652" s="15"/>
      <x:c r="B652" s="15"/>
    </x:row>
    <x:row r="653">
      <x:c r="A653" s="15"/>
      <x:c r="B653" s="15"/>
    </x:row>
    <x:row r="654">
      <x:c r="A654" s="15"/>
      <x:c r="B654" s="15"/>
    </x:row>
    <x:row r="655">
      <x:c r="A655" s="15"/>
      <x:c r="B655" s="15"/>
    </x:row>
    <x:row r="656">
      <x:c r="A656" s="15"/>
      <x:c r="B656" s="15"/>
    </x:row>
    <x:row r="657">
      <x:c r="A657" s="15"/>
      <x:c r="B657" s="15"/>
    </x:row>
    <x:row r="658">
      <x:c r="A658" s="15"/>
      <x:c r="B658" s="15"/>
    </x:row>
    <x:row r="659">
      <x:c r="A659" s="15"/>
      <x:c r="B659" s="15"/>
    </x:row>
    <x:row r="660">
      <x:c r="A660" s="15"/>
      <x:c r="B660" s="15"/>
    </x:row>
    <x:row r="661">
      <x:c r="A661" s="15"/>
      <x:c r="B661" s="15"/>
    </x:row>
    <x:row r="662">
      <x:c r="A662" s="15"/>
      <x:c r="B662" s="15"/>
    </x:row>
    <x:row r="663">
      <x:c r="A663" s="15"/>
      <x:c r="B663" s="15"/>
    </x:row>
    <x:row r="664">
      <x:c r="A664" s="15"/>
      <x:c r="B664" s="15"/>
    </x:row>
    <x:row r="665">
      <x:c r="A665" s="15"/>
      <x:c r="B665" s="15"/>
    </x:row>
    <x:row r="666">
      <x:c r="A666" s="15"/>
      <x:c r="B666" s="15"/>
    </x:row>
    <x:row r="667">
      <x:c r="A667" s="15"/>
      <x:c r="B667" s="15"/>
    </x:row>
    <x:row r="668">
      <x:c r="A668" s="15"/>
      <x:c r="B668" s="15"/>
    </x:row>
    <x:row r="669">
      <x:c r="A669" s="15"/>
      <x:c r="B669" s="15"/>
    </x:row>
    <x:row r="670">
      <x:c r="A670" s="15"/>
      <x:c r="B670" s="15"/>
    </x:row>
    <x:row r="671">
      <x:c r="A671" s="15"/>
      <x:c r="B671" s="15"/>
    </x:row>
    <x:row r="672">
      <x:c r="A672" s="15"/>
      <x:c r="B672" s="15"/>
    </x:row>
    <x:row r="673">
      <x:c r="A673" s="15"/>
      <x:c r="B673" s="15"/>
    </x:row>
    <x:row r="674">
      <x:c r="A674" s="15"/>
      <x:c r="B674" s="15"/>
    </x:row>
    <x:row r="675">
      <x:c r="A675" s="15"/>
      <x:c r="B675" s="15"/>
    </x:row>
    <x:row r="676">
      <x:c r="A676" s="15"/>
      <x:c r="B676" s="15"/>
    </x:row>
    <x:row r="677">
      <x:c r="A677" s="15"/>
      <x:c r="B677" s="15"/>
    </x:row>
    <x:row r="678">
      <x:c r="A678" s="15"/>
      <x:c r="B678" s="15"/>
    </x:row>
    <x:row r="679">
      <x:c r="A679" s="15"/>
      <x:c r="B679" s="15"/>
    </x:row>
    <x:row r="680">
      <x:c r="A680" s="15"/>
      <x:c r="B680" s="15"/>
    </x:row>
    <x:row r="681">
      <x:c r="A681" s="15"/>
      <x:c r="B681" s="15"/>
    </x:row>
    <x:row r="682">
      <x:c r="A682" s="15"/>
      <x:c r="B682" s="15"/>
    </x:row>
    <x:row r="683">
      <x:c r="A683" s="15"/>
      <x:c r="B683" s="15"/>
    </x:row>
    <x:row r="684">
      <x:c r="A684" s="15"/>
      <x:c r="B684" s="15"/>
    </x:row>
    <x:row r="685">
      <x:c r="A685" s="15"/>
      <x:c r="B685" s="15"/>
    </x:row>
    <x:row r="686">
      <x:c r="A686" s="15"/>
      <x:c r="B686" s="15"/>
    </x:row>
    <x:row r="687">
      <x:c r="A687" s="15"/>
      <x:c r="B687" s="15"/>
    </x:row>
    <x:row r="688">
      <x:c r="A688" s="15"/>
      <x:c r="B688" s="15"/>
    </x:row>
    <x:row r="689">
      <x:c r="A689" s="15"/>
      <x:c r="B689" s="15"/>
    </x:row>
    <x:row r="690">
      <x:c r="A690" s="15"/>
      <x:c r="B690" s="15"/>
    </x:row>
    <x:row r="691">
      <x:c r="A691" s="15"/>
      <x:c r="B691" s="15"/>
    </x:row>
    <x:row r="692">
      <x:c r="A692" s="15"/>
      <x:c r="B692" s="15"/>
    </x:row>
    <x:row r="693">
      <x:c r="A693" s="15"/>
      <x:c r="B693" s="15"/>
    </x:row>
    <x:row r="694">
      <x:c r="A694" s="15"/>
      <x:c r="B694" s="15"/>
    </x:row>
    <x:row r="695">
      <x:c r="A695" s="15"/>
      <x:c r="B695" s="15"/>
    </x:row>
    <x:row r="696">
      <x:c r="A696" s="15"/>
      <x:c r="B696" s="15"/>
    </x:row>
    <x:row r="697">
      <x:c r="A697" s="15"/>
      <x:c r="B697" s="15"/>
    </x:row>
    <x:row r="698">
      <x:c r="A698" s="15"/>
      <x:c r="B698" s="15"/>
    </x:row>
    <x:row r="699">
      <x:c r="A699" s="15"/>
      <x:c r="B699" s="15"/>
    </x:row>
    <x:row r="700">
      <x:c r="A700" s="15"/>
      <x:c r="B700" s="15"/>
    </x:row>
    <x:row r="701">
      <x:c r="A701" s="15"/>
      <x:c r="B701" s="15"/>
    </x:row>
    <x:row r="702">
      <x:c r="A702" s="15"/>
      <x:c r="B702" s="15"/>
    </x:row>
    <x:row r="703">
      <x:c r="A703" s="15"/>
      <x:c r="B703" s="15"/>
    </x:row>
    <x:row r="704">
      <x:c r="A704" s="15"/>
      <x:c r="B704" s="15"/>
    </x:row>
    <x:row r="705">
      <x:c r="A705" s="15"/>
      <x:c r="B705" s="15"/>
    </x:row>
    <x:row r="706">
      <x:c r="A706" s="15"/>
      <x:c r="B706" s="15"/>
    </x:row>
    <x:row r="707">
      <x:c r="A707" s="15"/>
      <x:c r="B707" s="15"/>
    </x:row>
    <x:row r="708">
      <x:c r="A708" s="15"/>
      <x:c r="B708" s="15"/>
    </x:row>
    <x:row r="709">
      <x:c r="A709" s="15"/>
      <x:c r="B709" s="15"/>
    </x:row>
    <x:row r="710">
      <x:c r="A710" s="15"/>
      <x:c r="B710" s="15"/>
    </x:row>
    <x:row r="711">
      <x:c r="A711" s="15"/>
      <x:c r="B711" s="15"/>
    </x:row>
    <x:row r="712">
      <x:c r="A712" s="15"/>
      <x:c r="B712" s="15"/>
    </x:row>
    <x:row r="713">
      <x:c r="A713" s="15"/>
      <x:c r="B713" s="15"/>
    </x:row>
    <x:row r="714">
      <x:c r="A714" s="15"/>
      <x:c r="B714" s="15"/>
    </x:row>
    <x:row r="715">
      <x:c r="A715" s="15"/>
      <x:c r="B715" s="15"/>
    </x:row>
    <x:row r="716">
      <x:c r="A716" s="15"/>
      <x:c r="B716" s="15"/>
    </x:row>
    <x:row r="717">
      <x:c r="A717" s="15"/>
      <x:c r="B717" s="15"/>
    </x:row>
    <x:row r="718">
      <x:c r="A718" s="15"/>
      <x:c r="B718" s="15"/>
    </x:row>
    <x:row r="719">
      <x:c r="A719" s="15"/>
      <x:c r="B719" s="15"/>
    </x:row>
    <x:row r="720">
      <x:c r="A720" s="15"/>
      <x:c r="B720" s="15"/>
    </x:row>
    <x:row r="721">
      <x:c r="A721" s="15"/>
      <x:c r="B721" s="15"/>
    </x:row>
    <x:row r="722">
      <x:c r="A722" s="15"/>
      <x:c r="B722" s="15"/>
    </x:row>
    <x:row r="723">
      <x:c r="A723" s="15"/>
      <x:c r="B723" s="15"/>
    </x:row>
    <x:row r="724">
      <x:c r="A724" s="15"/>
      <x:c r="B724" s="15"/>
    </x:row>
    <x:row r="725">
      <x:c r="A725" s="15"/>
      <x:c r="B725" s="15"/>
    </x:row>
    <x:row r="726">
      <x:c r="A726" s="15"/>
      <x:c r="B726" s="15"/>
    </x:row>
    <x:row r="727">
      <x:c r="A727" s="15"/>
      <x:c r="B727" s="15"/>
    </x:row>
    <x:row r="728">
      <x:c r="A728" s="15"/>
      <x:c r="B728" s="15"/>
    </x:row>
    <x:row r="729">
      <x:c r="A729" s="15"/>
      <x:c r="B729" s="15"/>
    </x:row>
    <x:row r="730">
      <x:c r="A730" s="15"/>
      <x:c r="B730" s="15"/>
    </x:row>
    <x:row r="731">
      <x:c r="A731" s="15"/>
      <x:c r="B731" s="15"/>
    </x:row>
    <x:row r="732">
      <x:c r="A732" s="15"/>
      <x:c r="B732" s="15"/>
    </x:row>
    <x:row r="733">
      <x:c r="A733" s="15"/>
      <x:c r="B733" s="15"/>
    </x:row>
    <x:row r="734">
      <x:c r="A734" s="15"/>
      <x:c r="B734" s="15"/>
    </x:row>
    <x:row r="735">
      <x:c r="A735" s="15"/>
      <x:c r="B735" s="15"/>
    </x:row>
    <x:row r="736">
      <x:c r="A736" s="15"/>
      <x:c r="B736" s="15"/>
    </x:row>
    <x:row r="737">
      <x:c r="A737" s="15"/>
      <x:c r="B737" s="15"/>
    </x:row>
    <x:row r="738">
      <x:c r="A738" s="15"/>
      <x:c r="B738" s="15"/>
    </x:row>
    <x:row r="739">
      <x:c r="A739" s="15"/>
      <x:c r="B739" s="15"/>
    </x:row>
    <x:row r="740">
      <x:c r="A740" s="15"/>
      <x:c r="B740" s="15"/>
    </x:row>
    <x:row r="741">
      <x:c r="A741" s="15"/>
      <x:c r="B741" s="15"/>
    </x:row>
    <x:row r="742">
      <x:c r="A742" s="15"/>
      <x:c r="B742" s="15"/>
    </x:row>
    <x:row r="743">
      <x:c r="A743" s="15"/>
      <x:c r="B743" s="15"/>
    </x:row>
    <x:row r="744">
      <x:c r="A744" s="15"/>
      <x:c r="B744" s="15"/>
    </x:row>
    <x:row r="745">
      <x:c r="A745" s="15"/>
      <x:c r="B745" s="15"/>
    </x:row>
    <x:row r="746">
      <x:c r="A746" s="15"/>
      <x:c r="B746" s="15"/>
    </x:row>
    <x:row r="747">
      <x:c r="A747" s="15"/>
      <x:c r="B747" s="15"/>
    </x:row>
    <x:row r="748">
      <x:c r="A748" s="15"/>
      <x:c r="B748" s="15"/>
    </x:row>
    <x:row r="749">
      <x:c r="A749" s="15"/>
      <x:c r="B749" s="15"/>
    </x:row>
    <x:row r="750">
      <x:c r="A750" s="15"/>
      <x:c r="B750" s="15"/>
    </x:row>
    <x:row r="751">
      <x:c r="A751" s="15"/>
      <x:c r="B751" s="15"/>
    </x:row>
    <x:row r="752">
      <x:c r="A752" s="15"/>
      <x:c r="B752" s="15"/>
    </x:row>
    <x:row r="753">
      <x:c r="A753" s="15"/>
      <x:c r="B753" s="15"/>
    </x:row>
    <x:row r="754">
      <x:c r="A754" s="15"/>
      <x:c r="B754" s="15"/>
    </x:row>
    <x:row r="755">
      <x:c r="A755" s="15"/>
      <x:c r="B755" s="15"/>
    </x:row>
    <x:row r="756">
      <x:c r="A756" s="15"/>
      <x:c r="B756" s="15"/>
    </x:row>
    <x:row r="757">
      <x:c r="A757" s="15"/>
      <x:c r="B757" s="15"/>
    </x:row>
    <x:row r="758">
      <x:c r="A758" s="15"/>
      <x:c r="B758" s="15"/>
    </x:row>
    <x:row r="759">
      <x:c r="A759" s="15"/>
      <x:c r="B759" s="15"/>
    </x:row>
    <x:row r="760">
      <x:c r="A760" s="15"/>
      <x:c r="B760" s="15"/>
    </x:row>
    <x:row r="761">
      <x:c r="A761" s="15"/>
      <x:c r="B761" s="15"/>
    </x:row>
    <x:row r="762">
      <x:c r="A762" s="15"/>
      <x:c r="B762" s="15"/>
    </x:row>
    <x:row r="763">
      <x:c r="A763" s="15"/>
      <x:c r="B763" s="15"/>
    </x:row>
    <x:row r="764">
      <x:c r="A764" s="15"/>
      <x:c r="B764" s="15"/>
    </x:row>
    <x:row r="765">
      <x:c r="A765" s="15"/>
      <x:c r="B765" s="15"/>
    </x:row>
    <x:row r="766">
      <x:c r="A766" s="15"/>
      <x:c r="B766" s="15"/>
    </x:row>
    <x:row r="767">
      <x:c r="A767" s="15"/>
      <x:c r="B767" s="15"/>
    </x:row>
    <x:row r="768">
      <x:c r="A768" s="15"/>
      <x:c r="B768" s="15"/>
    </x:row>
    <x:row r="769">
      <x:c r="A769" s="15"/>
      <x:c r="B769" s="15"/>
    </x:row>
    <x:row r="770">
      <x:c r="A770" s="15"/>
      <x:c r="B770" s="15"/>
    </x:row>
    <x:row r="771">
      <x:c r="A771" s="15"/>
      <x:c r="B771" s="15"/>
    </x:row>
    <x:row r="772">
      <x:c r="A772" s="15"/>
      <x:c r="B772" s="15"/>
    </x:row>
    <x:row r="773">
      <x:c r="A773" s="15"/>
      <x:c r="B773" s="15"/>
    </x:row>
    <x:row r="774">
      <x:c r="A774" s="15"/>
      <x:c r="B774" s="15"/>
    </x:row>
    <x:row r="775">
      <x:c r="A775" s="15"/>
      <x:c r="B775" s="15"/>
    </x:row>
    <x:row r="776">
      <x:c r="A776" s="15"/>
      <x:c r="B776" s="15"/>
    </x:row>
    <x:row r="777">
      <x:c r="A777" s="15"/>
      <x:c r="B777" s="15"/>
    </x:row>
    <x:row r="778">
      <x:c r="A778" s="15"/>
      <x:c r="B778" s="15"/>
    </x:row>
    <x:row r="779">
      <x:c r="A779" s="15"/>
      <x:c r="B779" s="15"/>
    </x:row>
    <x:row r="780">
      <x:c r="A780" s="15"/>
      <x:c r="B780" s="15"/>
    </x:row>
    <x:row r="781">
      <x:c r="A781" s="15"/>
      <x:c r="B781" s="15"/>
    </x:row>
    <x:row r="782">
      <x:c r="A782" s="15"/>
      <x:c r="B782" s="15"/>
    </x:row>
    <x:row r="783">
      <x:c r="A783" s="15"/>
      <x:c r="B783" s="15"/>
    </x:row>
    <x:row r="784">
      <x:c r="A784" s="15"/>
      <x:c r="B784" s="15"/>
    </x:row>
    <x:row r="785">
      <x:c r="A785" s="15"/>
      <x:c r="B785" s="15"/>
    </x:row>
    <x:row r="786">
      <x:c r="A786" s="15"/>
      <x:c r="B786" s="15"/>
    </x:row>
    <x:row r="787">
      <x:c r="A787" s="15"/>
      <x:c r="B787" s="15"/>
    </x:row>
    <x:row r="788">
      <x:c r="A788" s="15"/>
      <x:c r="B788" s="15"/>
    </x:row>
    <x:row r="789">
      <x:c r="A789" s="15"/>
      <x:c r="B789" s="15"/>
    </x:row>
    <x:row r="790">
      <x:c r="A790" s="15"/>
      <x:c r="B790" s="15"/>
    </x:row>
    <x:row r="791">
      <x:c r="A791" s="15"/>
      <x:c r="B791" s="15"/>
    </x:row>
    <x:row r="792">
      <x:c r="A792" s="15"/>
      <x:c r="B792" s="15"/>
    </x:row>
    <x:row r="793">
      <x:c r="A793" s="15"/>
      <x:c r="B793" s="15"/>
    </x:row>
    <x:row r="794">
      <x:c r="A794" s="15"/>
      <x:c r="B794" s="15"/>
    </x:row>
    <x:row r="795">
      <x:c r="A795" s="15"/>
      <x:c r="B795" s="15"/>
    </x:row>
    <x:row r="796">
      <x:c r="A796" s="15"/>
      <x:c r="B796" s="15"/>
    </x:row>
    <x:row r="797">
      <x:c r="A797" s="15"/>
      <x:c r="B797" s="15"/>
    </x:row>
    <x:row r="798">
      <x:c r="A798" s="15"/>
      <x:c r="B798" s="15"/>
    </x:row>
    <x:row r="799">
      <x:c r="A799" s="15"/>
      <x:c r="B799" s="15"/>
    </x:row>
    <x:row r="800">
      <x:c r="A800" s="15"/>
      <x:c r="B800" s="15"/>
    </x:row>
    <x:row r="801">
      <x:c r="A801" s="15"/>
      <x:c r="B801" s="15"/>
    </x:row>
    <x:row r="802">
      <x:c r="A802" s="15"/>
      <x:c r="B802" s="15"/>
    </x:row>
    <x:row r="803">
      <x:c r="A803" s="15"/>
      <x:c r="B803" s="15"/>
    </x:row>
    <x:row r="804">
      <x:c r="A804" s="15"/>
      <x:c r="B804" s="15"/>
    </x:row>
    <x:row r="805">
      <x:c r="A805" s="15"/>
      <x:c r="B805" s="15"/>
    </x:row>
    <x:row r="806">
      <x:c r="A806" s="15"/>
      <x:c r="B806" s="15"/>
    </x:row>
    <x:row r="807">
      <x:c r="A807" s="15"/>
      <x:c r="B807" s="15"/>
    </x:row>
    <x:row r="808">
      <x:c r="A808" s="15"/>
      <x:c r="B808" s="15"/>
    </x:row>
    <x:row r="809">
      <x:c r="A809" s="15"/>
      <x:c r="B809" s="15"/>
    </x:row>
    <x:row r="810">
      <x:c r="A810" s="15"/>
      <x:c r="B810" s="15"/>
    </x:row>
    <x:row r="811">
      <x:c r="A811" s="15"/>
      <x:c r="B811" s="15"/>
    </x:row>
    <x:row r="812">
      <x:c r="A812" s="15"/>
      <x:c r="B812" s="15"/>
    </x:row>
    <x:row r="813">
      <x:c r="A813" s="15"/>
      <x:c r="B813" s="15"/>
    </x:row>
    <x:row r="814">
      <x:c r="A814" s="15"/>
      <x:c r="B814" s="15"/>
    </x:row>
    <x:row r="815">
      <x:c r="A815" s="15"/>
      <x:c r="B815" s="15"/>
    </x:row>
    <x:row r="816">
      <x:c r="A816" s="15"/>
      <x:c r="B816" s="15"/>
    </x:row>
    <x:row r="817">
      <x:c r="A817" s="15"/>
      <x:c r="B817" s="15"/>
    </x:row>
    <x:row r="818">
      <x:c r="A818" s="15"/>
      <x:c r="B818" s="15"/>
    </x:row>
    <x:row r="819">
      <x:c r="A819" s="15"/>
      <x:c r="B819" s="15"/>
    </x:row>
    <x:row r="820">
      <x:c r="A820" s="15"/>
      <x:c r="B820" s="15"/>
    </x:row>
    <x:row r="821">
      <x:c r="A821" s="15"/>
      <x:c r="B821" s="15"/>
    </x:row>
    <x:row r="822">
      <x:c r="A822" s="15"/>
      <x:c r="B822" s="15"/>
    </x:row>
    <x:row r="823">
      <x:c r="A823" s="15"/>
      <x:c r="B823" s="15"/>
    </x:row>
    <x:row r="824">
      <x:c r="A824" s="15"/>
      <x:c r="B824" s="15"/>
    </x:row>
    <x:row r="825">
      <x:c r="A825" s="15"/>
      <x:c r="B825" s="15"/>
    </x:row>
    <x:row r="826">
      <x:c r="A826" s="15"/>
      <x:c r="B826" s="15"/>
    </x:row>
    <x:row r="827">
      <x:c r="A827" s="15"/>
      <x:c r="B827" s="15"/>
    </x:row>
    <x:row r="828">
      <x:c r="A828" s="15"/>
      <x:c r="B828" s="15"/>
    </x:row>
    <x:row r="829">
      <x:c r="A829" s="15"/>
      <x:c r="B829" s="15"/>
    </x:row>
    <x:row r="830">
      <x:c r="A830" s="15"/>
      <x:c r="B830" s="15"/>
    </x:row>
    <x:row r="831">
      <x:c r="A831" s="15"/>
      <x:c r="B831" s="15"/>
    </x:row>
    <x:row r="832">
      <x:c r="A832" s="15"/>
      <x:c r="B832" s="15"/>
    </x:row>
    <x:row r="833">
      <x:c r="A833" s="15"/>
      <x:c r="B833" s="15"/>
    </x:row>
    <x:row r="834">
      <x:c r="A834" s="15"/>
      <x:c r="B834" s="15"/>
    </x:row>
    <x:row r="835">
      <x:c r="A835" s="15"/>
      <x:c r="B835" s="15"/>
    </x:row>
    <x:row r="836">
      <x:c r="A836" s="15"/>
      <x:c r="B836" s="15"/>
    </x:row>
    <x:row r="837">
      <x:c r="A837" s="15"/>
      <x:c r="B837" s="15"/>
    </x:row>
    <x:row r="838">
      <x:c r="A838" s="15"/>
      <x:c r="B838" s="15"/>
    </x:row>
    <x:row r="839">
      <x:c r="A839" s="15"/>
      <x:c r="B839" s="15"/>
    </x:row>
    <x:row r="840">
      <x:c r="A840" s="15"/>
      <x:c r="B840" s="15"/>
    </x:row>
    <x:row r="841">
      <x:c r="A841" s="15"/>
      <x:c r="B841" s="15"/>
    </x:row>
    <x:row r="842">
      <x:c r="A842" s="15"/>
      <x:c r="B842" s="15"/>
    </x:row>
    <x:row r="843">
      <x:c r="A843" s="15"/>
      <x:c r="B843" s="15"/>
    </x:row>
    <x:row r="844">
      <x:c r="A844" s="15"/>
      <x:c r="B844" s="15"/>
    </x:row>
    <x:row r="845">
      <x:c r="A845" s="15"/>
      <x:c r="B845" s="15"/>
    </x:row>
    <x:row r="846">
      <x:c r="A846" s="15"/>
      <x:c r="B846" s="15"/>
    </x:row>
    <x:row r="847">
      <x:c r="A847" s="15"/>
      <x:c r="B847" s="15"/>
    </x:row>
    <x:row r="848">
      <x:c r="A848" s="15"/>
      <x:c r="B848" s="15"/>
    </x:row>
    <x:row r="849">
      <x:c r="A849" s="15"/>
      <x:c r="B849" s="15"/>
    </x:row>
    <x:row r="850">
      <x:c r="A850" s="15"/>
      <x:c r="B850" s="15"/>
    </x:row>
    <x:row r="851">
      <x:c r="A851" s="15"/>
      <x:c r="B851" s="15"/>
    </x:row>
    <x:row r="852">
      <x:c r="A852" s="15"/>
      <x:c r="B852" s="15"/>
    </x:row>
    <x:row r="853">
      <x:c r="A853" s="15"/>
      <x:c r="B853" s="15"/>
    </x:row>
    <x:row r="854">
      <x:c r="A854" s="15"/>
      <x:c r="B854" s="15"/>
    </x:row>
    <x:row r="855">
      <x:c r="A855" s="15"/>
      <x:c r="B855" s="15"/>
    </x:row>
    <x:row r="856">
      <x:c r="A856" s="15"/>
      <x:c r="B856" s="15"/>
    </x:row>
    <x:row r="857">
      <x:c r="A857" s="15"/>
      <x:c r="B857" s="15"/>
    </x:row>
    <x:row r="858">
      <x:c r="A858" s="15"/>
      <x:c r="B858" s="15"/>
    </x:row>
    <x:row r="859">
      <x:c r="A859" s="15"/>
      <x:c r="B859" s="15"/>
    </x:row>
    <x:row r="860">
      <x:c r="A860" s="15"/>
      <x:c r="B860" s="15"/>
    </x:row>
    <x:row r="861">
      <x:c r="A861" s="15"/>
      <x:c r="B861" s="15"/>
    </x:row>
    <x:row r="862">
      <x:c r="A862" s="15"/>
      <x:c r="B862" s="15"/>
    </x:row>
    <x:row r="863">
      <x:c r="A863" s="15"/>
      <x:c r="B863" s="15"/>
    </x:row>
    <x:row r="864">
      <x:c r="A864" s="15"/>
      <x:c r="B864" s="15"/>
    </x:row>
    <x:row r="865">
      <x:c r="A865" s="15"/>
      <x:c r="B865" s="15"/>
    </x:row>
    <x:row r="866">
      <x:c r="A866" s="15"/>
      <x:c r="B866" s="15"/>
    </x:row>
    <x:row r="867">
      <x:c r="A867" s="15"/>
      <x:c r="B867" s="15"/>
    </x:row>
    <x:row r="868">
      <x:c r="A868" s="15"/>
      <x:c r="B868" s="15"/>
    </x:row>
    <x:row r="869">
      <x:c r="A869" s="15"/>
      <x:c r="B869" s="15"/>
    </x:row>
    <x:row r="870">
      <x:c r="A870" s="15"/>
      <x:c r="B870" s="15"/>
    </x:row>
    <x:row r="871">
      <x:c r="A871" s="15"/>
      <x:c r="B871" s="15"/>
    </x:row>
    <x:row r="872">
      <x:c r="A872" s="15"/>
      <x:c r="B872" s="15"/>
    </x:row>
    <x:row r="873">
      <x:c r="A873" s="15"/>
      <x:c r="B873" s="15"/>
    </x:row>
    <x:row r="874">
      <x:c r="A874" s="15"/>
      <x:c r="B874" s="15"/>
    </x:row>
    <x:row r="875">
      <x:c r="A875" s="15"/>
      <x:c r="B875" s="15"/>
    </x:row>
    <x:row r="876">
      <x:c r="A876" s="15"/>
      <x:c r="B876" s="15"/>
    </x:row>
    <x:row r="877">
      <x:c r="A877" s="15"/>
      <x:c r="B877" s="15"/>
    </x:row>
    <x:row r="878">
      <x:c r="A878" s="15"/>
      <x:c r="B878" s="15"/>
    </x:row>
    <x:row r="879">
      <x:c r="A879" s="15"/>
      <x:c r="B879" s="15"/>
    </x:row>
    <x:row r="880">
      <x:c r="A880" s="15"/>
      <x:c r="B880" s="15"/>
    </x:row>
    <x:row r="881">
      <x:c r="A881" s="15"/>
      <x:c r="B881" s="15"/>
    </x:row>
    <x:row r="882">
      <x:c r="A882" s="15"/>
      <x:c r="B882" s="15"/>
    </x:row>
    <x:row r="883">
      <x:c r="A883" s="15"/>
      <x:c r="B883" s="15"/>
    </x:row>
    <x:row r="884">
      <x:c r="A884" s="15"/>
      <x:c r="B884" s="15"/>
    </x:row>
    <x:row r="885">
      <x:c r="A885" s="15"/>
      <x:c r="B885" s="15"/>
    </x:row>
    <x:row r="886">
      <x:c r="A886" s="15"/>
      <x:c r="B886" s="15"/>
    </x:row>
    <x:row r="887">
      <x:c r="A887" s="15"/>
      <x:c r="B887" s="15"/>
    </x:row>
    <x:row r="888">
      <x:c r="A888" s="15"/>
      <x:c r="B888" s="15"/>
    </x:row>
    <x:row r="889">
      <x:c r="A889" s="15"/>
      <x:c r="B889" s="15"/>
    </x:row>
    <x:row r="890">
      <x:c r="A890" s="15"/>
      <x:c r="B890" s="15"/>
    </x:row>
    <x:row r="891">
      <x:c r="A891" s="15"/>
      <x:c r="B891" s="15"/>
    </x:row>
    <x:row r="892">
      <x:c r="A892" s="15"/>
      <x:c r="B892" s="15"/>
    </x:row>
    <x:row r="893">
      <x:c r="A893" s="15"/>
      <x:c r="B893" s="15"/>
    </x:row>
    <x:row r="894">
      <x:c r="A894" s="15"/>
      <x:c r="B894" s="15"/>
    </x:row>
    <x:row r="895">
      <x:c r="A895" s="15"/>
      <x:c r="B895" s="15"/>
    </x:row>
    <x:row r="896">
      <x:c r="A896" s="15"/>
      <x:c r="B896" s="15"/>
    </x:row>
    <x:row r="897">
      <x:c r="A897" s="15"/>
      <x:c r="B897" s="15"/>
    </x:row>
    <x:row r="898">
      <x:c r="A898" s="15"/>
      <x:c r="B898" s="15"/>
    </x:row>
    <x:row r="899">
      <x:c r="A899" s="15"/>
      <x:c r="B899" s="15"/>
    </x:row>
    <x:row r="900">
      <x:c r="A900" s="15"/>
      <x:c r="B900" s="15"/>
    </x:row>
    <x:row r="901">
      <x:c r="A901" s="15"/>
      <x:c r="B901" s="15"/>
    </x:row>
    <x:row r="902">
      <x:c r="A902" s="15"/>
      <x:c r="B902" s="15"/>
    </x:row>
    <x:row r="903">
      <x:c r="A903" s="15"/>
      <x:c r="B903" s="15"/>
    </x:row>
    <x:row r="904">
      <x:c r="A904" s="15"/>
      <x:c r="B904" s="15"/>
    </x:row>
    <x:row r="905">
      <x:c r="A905" s="15"/>
      <x:c r="B905" s="15"/>
    </x:row>
    <x:row r="906">
      <x:c r="A906" s="15"/>
      <x:c r="B906" s="15"/>
    </x:row>
    <x:row r="907">
      <x:c r="A907" s="15"/>
      <x:c r="B907" s="15"/>
    </x:row>
    <x:row r="908">
      <x:c r="A908" s="15"/>
      <x:c r="B908" s="15"/>
    </x:row>
    <x:row r="909">
      <x:c r="A909" s="15"/>
      <x:c r="B909" s="15"/>
    </x:row>
    <x:row r="910">
      <x:c r="A910" s="15"/>
      <x:c r="B910" s="15"/>
    </x:row>
    <x:row r="911">
      <x:c r="A911" s="15"/>
      <x:c r="B911" s="15"/>
    </x:row>
    <x:row r="912">
      <x:c r="A912" s="15"/>
      <x:c r="B912" s="15"/>
    </x:row>
    <x:row r="913">
      <x:c r="A913" s="15"/>
      <x:c r="B913" s="15"/>
    </x:row>
    <x:row r="914">
      <x:c r="A914" s="15"/>
      <x:c r="B914" s="15"/>
    </x:row>
    <x:row r="915">
      <x:c r="A915" s="15"/>
      <x:c r="B915" s="15"/>
    </x:row>
    <x:row r="916">
      <x:c r="A916" s="15"/>
      <x:c r="B916" s="15"/>
    </x:row>
    <x:row r="917">
      <x:c r="A917" s="15"/>
      <x:c r="B917" s="15"/>
    </x:row>
    <x:row r="918">
      <x:c r="A918" s="15"/>
      <x:c r="B918" s="15"/>
    </x:row>
    <x:row r="919">
      <x:c r="A919" s="15"/>
      <x:c r="B919" s="15"/>
    </x:row>
    <x:row r="920">
      <x:c r="A920" s="15"/>
      <x:c r="B920" s="15"/>
    </x:row>
    <x:row r="921">
      <x:c r="A921" s="15"/>
      <x:c r="B921" s="15"/>
    </x:row>
    <x:row r="922">
      <x:c r="A922" s="15"/>
      <x:c r="B922" s="15"/>
    </x:row>
    <x:row r="923">
      <x:c r="A923" s="15"/>
      <x:c r="B923" s="15"/>
    </x:row>
    <x:row r="924">
      <x:c r="A924" s="15"/>
      <x:c r="B924" s="15"/>
    </x:row>
    <x:row r="925">
      <x:c r="A925" s="15"/>
      <x:c r="B925" s="15"/>
    </x:row>
    <x:row r="926">
      <x:c r="A926" s="15"/>
      <x:c r="B926" s="15"/>
    </x:row>
    <x:row r="927">
      <x:c r="A927" s="15"/>
      <x:c r="B927" s="15"/>
    </x:row>
    <x:row r="928">
      <x:c r="A928" s="15"/>
      <x:c r="B928" s="15"/>
    </x:row>
    <x:row r="929">
      <x:c r="A929" s="15"/>
      <x:c r="B929" s="15"/>
    </x:row>
    <x:row r="930">
      <x:c r="A930" s="15"/>
      <x:c r="B930" s="15"/>
    </x:row>
    <x:row r="931">
      <x:c r="A931" s="15"/>
      <x:c r="B931" s="15"/>
    </x:row>
    <x:row r="932">
      <x:c r="A932" s="15"/>
      <x:c r="B932" s="15"/>
    </x:row>
    <x:row r="933">
      <x:c r="A933" s="15"/>
      <x:c r="B933" s="15"/>
    </x:row>
    <x:row r="934">
      <x:c r="A934" s="15"/>
      <x:c r="B934" s="15"/>
    </x:row>
    <x:row r="935">
      <x:c r="A935" s="15"/>
      <x:c r="B935" s="15"/>
    </x:row>
    <x:row r="936">
      <x:c r="A936" s="15"/>
      <x:c r="B936" s="15"/>
    </x:row>
    <x:row r="937">
      <x:c r="A937" s="15"/>
      <x:c r="B937" s="15"/>
    </x:row>
    <x:row r="938">
      <x:c r="A938" s="15"/>
      <x:c r="B938" s="15"/>
    </x:row>
    <x:row r="939">
      <x:c r="A939" s="15"/>
      <x:c r="B939" s="15"/>
    </x:row>
    <x:row r="940">
      <x:c r="A940" s="15"/>
      <x:c r="B940" s="15"/>
    </x:row>
    <x:row r="941">
      <x:c r="A941" s="15"/>
      <x:c r="B941" s="15"/>
    </x:row>
    <x:row r="942">
      <x:c r="A942" s="15"/>
      <x:c r="B942" s="15"/>
    </x:row>
    <x:row r="943">
      <x:c r="A943" s="15"/>
      <x:c r="B943" s="15"/>
    </x:row>
    <x:row r="944">
      <x:c r="A944" s="15"/>
      <x:c r="B944" s="15"/>
    </x:row>
    <x:row r="945">
      <x:c r="A945" s="15"/>
      <x:c r="B945" s="15"/>
    </x:row>
    <x:row r="946">
      <x:c r="A946" s="15"/>
      <x:c r="B946" s="15"/>
    </x:row>
    <x:row r="947">
      <x:c r="A947" s="15"/>
      <x:c r="B947" s="15"/>
    </x:row>
    <x:row r="948">
      <x:c r="A948" s="15"/>
      <x:c r="B948" s="15"/>
    </x:row>
    <x:row r="949">
      <x:c r="A949" s="15"/>
      <x:c r="B949" s="15"/>
    </x:row>
    <x:row r="950">
      <x:c r="A950" s="15"/>
      <x:c r="B950" s="15"/>
    </x:row>
    <x:row r="951">
      <x:c r="A951" s="15"/>
      <x:c r="B951" s="15"/>
    </x:row>
    <x:row r="952">
      <x:c r="A952" s="15"/>
      <x:c r="B952" s="15"/>
    </x:row>
    <x:row r="953">
      <x:c r="A953" s="15"/>
      <x:c r="B953" s="15"/>
    </x:row>
    <x:row r="954">
      <x:c r="A954" s="15"/>
      <x:c r="B954" s="15"/>
    </x:row>
    <x:row r="955">
      <x:c r="A955" s="15"/>
      <x:c r="B955" s="15"/>
    </x:row>
    <x:row r="956">
      <x:c r="A956" s="15"/>
      <x:c r="B956" s="15"/>
    </x:row>
    <x:row r="957">
      <x:c r="A957" s="15"/>
      <x:c r="B957" s="15"/>
    </x:row>
    <x:row r="958">
      <x:c r="A958" s="15"/>
      <x:c r="B958" s="15"/>
    </x:row>
    <x:row r="959">
      <x:c r="A959" s="15"/>
      <x:c r="B959" s="15"/>
    </x:row>
    <x:row r="960">
      <x:c r="A960" s="15"/>
      <x:c r="B960" s="15"/>
    </x:row>
    <x:row r="961">
      <x:c r="A961" s="15"/>
      <x:c r="B961" s="15"/>
    </x:row>
    <x:row r="962">
      <x:c r="A962" s="15"/>
      <x:c r="B962" s="15"/>
    </x:row>
    <x:row r="963">
      <x:c r="A963" s="15"/>
      <x:c r="B963" s="15"/>
    </x:row>
    <x:row r="964">
      <x:c r="A964" s="15"/>
      <x:c r="B964" s="15"/>
    </x:row>
    <x:row r="965">
      <x:c r="A965" s="15"/>
      <x:c r="B965" s="15"/>
    </x:row>
    <x:row r="966">
      <x:c r="A966" s="15"/>
      <x:c r="B966" s="15"/>
    </x:row>
    <x:row r="967">
      <x:c r="A967" s="15"/>
      <x:c r="B967" s="15"/>
    </x:row>
    <x:row r="968">
      <x:c r="A968" s="15"/>
      <x:c r="B968" s="15"/>
    </x:row>
    <x:row r="969">
      <x:c r="A969" s="15"/>
      <x:c r="B969" s="15"/>
    </x:row>
    <x:row r="970">
      <x:c r="A970" s="15"/>
      <x:c r="B970" s="15"/>
    </x:row>
    <x:row r="971">
      <x:c r="A971" s="15"/>
      <x:c r="B971" s="15"/>
    </x:row>
    <x:row r="972">
      <x:c r="A972" s="15"/>
      <x:c r="B972" s="15"/>
    </x:row>
    <x:row r="973">
      <x:c r="A973" s="15"/>
      <x:c r="B973" s="15"/>
    </x:row>
    <x:row r="974">
      <x:c r="A974" s="15"/>
      <x:c r="B974" s="15"/>
    </x:row>
    <x:row r="975">
      <x:c r="A975" s="15"/>
      <x:c r="B975" s="15"/>
    </x:row>
    <x:row r="976">
      <x:c r="A976" s="15"/>
      <x:c r="B976" s="15"/>
    </x:row>
    <x:row r="977">
      <x:c r="A977" s="15"/>
      <x:c r="B977" s="15"/>
    </x:row>
    <x:row r="978">
      <x:c r="A978" s="15"/>
      <x:c r="B978" s="15"/>
    </x:row>
    <x:row r="979">
      <x:c r="A979" s="15"/>
      <x:c r="B979" s="15"/>
    </x:row>
    <x:row r="980">
      <x:c r="A980" s="15"/>
      <x:c r="B980" s="15"/>
    </x:row>
    <x:row r="981">
      <x:c r="A981" s="15"/>
      <x:c r="B981" s="15"/>
    </x:row>
    <x:row r="982">
      <x:c r="A982" s="15"/>
      <x:c r="B982" s="15"/>
    </x:row>
    <x:row r="983">
      <x:c r="A983" s="15"/>
      <x:c r="B983" s="15"/>
    </x:row>
    <x:row r="984">
      <x:c r="A984" s="15"/>
      <x:c r="B984" s="15"/>
    </x:row>
    <x:row r="985">
      <x:c r="A985" s="15"/>
      <x:c r="B985" s="15"/>
    </x:row>
    <x:row r="986">
      <x:c r="A986" s="15"/>
      <x:c r="B986" s="15"/>
    </x:row>
    <x:row r="987">
      <x:c r="A987" s="15"/>
      <x:c r="B987" s="15"/>
    </x:row>
    <x:row r="988">
      <x:c r="A988" s="15"/>
      <x:c r="B988" s="15"/>
    </x:row>
    <x:row r="989">
      <x:c r="A989" s="15"/>
      <x:c r="B989" s="15"/>
    </x:row>
    <x:row r="990">
      <x:c r="A990" s="15"/>
      <x:c r="B990" s="15"/>
    </x:row>
    <x:row r="991">
      <x:c r="A991" s="15"/>
      <x:c r="B991" s="15"/>
    </x:row>
    <x:row r="992">
      <x:c r="A992" s="15"/>
      <x:c r="B992" s="15"/>
    </x:row>
    <x:row r="993">
      <x:c r="A993" s="15"/>
      <x:c r="B993" s="15"/>
    </x:row>
    <x:row r="994">
      <x:c r="A994" s="15"/>
      <x:c r="B994" s="15"/>
    </x:row>
    <x:row r="995">
      <x:c r="A995" s="15"/>
      <x:c r="B995" s="15"/>
    </x:row>
    <x:row r="996">
      <x:c r="A996" s="15"/>
      <x:c r="B996" s="15"/>
    </x:row>
    <x:row r="997">
      <x:c r="A997" s="15"/>
      <x:c r="B997" s="15"/>
    </x:row>
    <x:row r="998">
      <x:c r="A998" s="15"/>
      <x:c r="B998" s="15"/>
    </x:row>
    <x:row r="999">
      <x:c r="A999" s="15"/>
      <x:c r="B999" s="15"/>
    </x:row>
    <x:row r="1000">
      <x:c r="A1000" s="15"/>
      <x:c r="B1000" s="15"/>
    </x:row>
    <x:row r="1001">
      <x:c r="A1001" s="15"/>
      <x:c r="B1001" s="15"/>
    </x:row>
    <x:row r="1002">
      <x:c r="A1002" s="15"/>
      <x:c r="B1002" s="15"/>
    </x:row>
    <x:row r="1003">
      <x:c r="A1003" s="15"/>
      <x:c r="B1003" s="15"/>
    </x:row>
    <x:row r="1004">
      <x:c r="A1004" s="15"/>
      <x:c r="B1004" s="15"/>
    </x:row>
    <x:row r="1005">
      <x:c r="A1005" s="15"/>
      <x:c r="B1005" s="15"/>
    </x:row>
    <x:row r="1006">
      <x:c r="A1006" s="15"/>
      <x:c r="B1006" s="15"/>
    </x:row>
    <x:row r="1007">
      <x:c r="A1007" s="15"/>
      <x:c r="B1007" s="15"/>
    </x:row>
    <x:row r="1008">
      <x:c r="A1008" s="15"/>
      <x:c r="B1008" s="15"/>
    </x:row>
    <x:row r="1009">
      <x:c r="A1009" s="15"/>
      <x:c r="B1009" s="15"/>
    </x:row>
    <x:row r="1010">
      <x:c r="A1010" s="15"/>
      <x:c r="B1010" s="15"/>
    </x:row>
    <x:row r="1011">
      <x:c r="A1011" s="15"/>
      <x:c r="B1011" s="15"/>
    </x:row>
    <x:row r="1012">
      <x:c r="A1012" s="15"/>
      <x:c r="B1012" s="15"/>
    </x:row>
    <x:row r="1013">
      <x:c r="A1013" s="15"/>
      <x:c r="B1013" s="15"/>
    </x:row>
    <x:row r="1014">
      <x:c r="A1014" s="15"/>
      <x:c r="B1014" s="15"/>
    </x:row>
    <x:row r="1015">
      <x:c r="A1015" s="15"/>
      <x:c r="B1015" s="15"/>
    </x:row>
    <x:row r="1016">
      <x:c r="A1016" s="15"/>
      <x:c r="B1016" s="15"/>
    </x:row>
    <x:row r="1017">
      <x:c r="A1017" s="15"/>
      <x:c r="B1017" s="15"/>
    </x:row>
    <x:row r="1018">
      <x:c r="A1018" s="15"/>
      <x:c r="B1018" s="15"/>
    </x:row>
    <x:row r="1019">
      <x:c r="A1019" s="15"/>
      <x:c r="B1019" s="15"/>
    </x:row>
    <x:row r="1020">
      <x:c r="A1020" s="15"/>
      <x:c r="B1020" s="15"/>
    </x:row>
    <x:row r="1021">
      <x:c r="A1021" s="15"/>
      <x:c r="B1021" s="15"/>
    </x:row>
    <x:row r="1022">
      <x:c r="A1022" s="15"/>
      <x:c r="B1022" s="15"/>
    </x:row>
    <x:row r="1023">
      <x:c r="A1023" s="15"/>
      <x:c r="B1023" s="15"/>
    </x:row>
    <x:row r="1024">
      <x:c r="A1024" s="15"/>
      <x:c r="B1024" s="15"/>
    </x:row>
    <x:row r="1025">
      <x:c r="A1025" s="15"/>
      <x:c r="B1025" s="15"/>
    </x:row>
    <x:row r="1026">
      <x:c r="A1026" s="15"/>
      <x:c r="B1026" s="15"/>
    </x:row>
    <x:row r="1027">
      <x:c r="A1027" s="15"/>
      <x:c r="B1027" s="15"/>
    </x:row>
    <x:row r="1028">
      <x:c r="A1028" s="15"/>
      <x:c r="B1028" s="15"/>
    </x:row>
    <x:row r="1029">
      <x:c r="A1029" s="15"/>
      <x:c r="B1029" s="15"/>
    </x:row>
    <x:row r="1030">
      <x:c r="A1030" s="15"/>
      <x:c r="B1030" s="15"/>
    </x:row>
    <x:row r="1031">
      <x:c r="A1031" s="15"/>
      <x:c r="B1031" s="15"/>
    </x:row>
    <x:row r="1032">
      <x:c r="A1032" s="15"/>
      <x:c r="B1032" s="15"/>
    </x:row>
    <x:row r="1033">
      <x:c r="A1033" s="15"/>
      <x:c r="B1033" s="15"/>
    </x:row>
    <x:row r="1034">
      <x:c r="A1034" s="15"/>
      <x:c r="B1034" s="15"/>
    </x:row>
    <x:row r="1035">
      <x:c r="A1035" s="15"/>
      <x:c r="B1035" s="15"/>
    </x:row>
    <x:row r="1036">
      <x:c r="A1036" s="15"/>
      <x:c r="B1036" s="15"/>
    </x:row>
    <x:row r="1037">
      <x:c r="A1037" s="15"/>
      <x:c r="B1037" s="15"/>
    </x:row>
    <x:row r="1038">
      <x:c r="A1038" s="15"/>
      <x:c r="B1038" s="15"/>
    </x:row>
    <x:row r="1039">
      <x:c r="A1039" s="15"/>
      <x:c r="B1039" s="15"/>
    </x:row>
    <x:row r="1040">
      <x:c r="A1040" s="15"/>
      <x:c r="B1040" s="15"/>
    </x:row>
    <x:row r="1041">
      <x:c r="A1041" s="15"/>
      <x:c r="B1041" s="15"/>
    </x:row>
    <x:row r="1042">
      <x:c r="A1042" s="15"/>
      <x:c r="B1042" s="15"/>
    </x:row>
    <x:row r="1043">
      <x:c r="A1043" s="15"/>
      <x:c r="B1043" s="15"/>
    </x:row>
    <x:row r="1044">
      <x:c r="A1044" s="15"/>
      <x:c r="B1044" s="15"/>
    </x:row>
    <x:row r="1045">
      <x:c r="A1045" s="15"/>
      <x:c r="B1045" s="15"/>
    </x:row>
    <x:row r="1046">
      <x:c r="A1046" s="15"/>
      <x:c r="B1046" s="15"/>
    </x:row>
    <x:row r="1047">
      <x:c r="A1047" s="15"/>
      <x:c r="B1047" s="15"/>
    </x:row>
    <x:row r="1048">
      <x:c r="A1048" s="15"/>
      <x:c r="B1048" s="15"/>
    </x:row>
    <x:row r="1049">
      <x:c r="A1049" s="15"/>
      <x:c r="B1049" s="15"/>
    </x:row>
    <x:row r="1050">
      <x:c r="A1050" s="15"/>
      <x:c r="B1050" s="15"/>
    </x:row>
    <x:row r="1051">
      <x:c r="A1051" s="15"/>
      <x:c r="B1051" s="15"/>
    </x:row>
    <x:row r="1052">
      <x:c r="A1052" s="15"/>
      <x:c r="B1052" s="15"/>
    </x:row>
    <x:row r="1053">
      <x:c r="A1053" s="15"/>
      <x:c r="B1053" s="15"/>
    </x:row>
    <x:row r="1054">
      <x:c r="A1054" s="15"/>
      <x:c r="B1054" s="15"/>
    </x:row>
    <x:row r="1055">
      <x:c r="A1055" s="15"/>
      <x:c r="B1055" s="15"/>
    </x:row>
    <x:row r="1056">
      <x:c r="A1056" s="15"/>
      <x:c r="B1056" s="15"/>
    </x:row>
    <x:row r="1057">
      <x:c r="A1057" s="15"/>
      <x:c r="B1057" s="15"/>
    </x:row>
    <x:row r="1058">
      <x:c r="A1058" s="15"/>
      <x:c r="B1058" s="15"/>
    </x:row>
    <x:row r="1059">
      <x:c r="A1059" s="15"/>
      <x:c r="B1059" s="15"/>
    </x:row>
    <x:row r="1060">
      <x:c r="A1060" s="15"/>
      <x:c r="B1060" s="15"/>
    </x:row>
    <x:row r="1061">
      <x:c r="A1061" s="15"/>
      <x:c r="B1061" s="15"/>
    </x:row>
    <x:row r="1062">
      <x:c r="A1062" s="15"/>
      <x:c r="B1062" s="15"/>
    </x:row>
    <x:row r="1063">
      <x:c r="A1063" s="15"/>
      <x:c r="B1063" s="15"/>
    </x:row>
    <x:row r="1064">
      <x:c r="A1064" s="15"/>
      <x:c r="B1064" s="15"/>
    </x:row>
    <x:row r="1065">
      <x:c r="A1065" s="15"/>
      <x:c r="B1065" s="15"/>
    </x:row>
    <x:row r="1066">
      <x:c r="A1066" s="15"/>
      <x:c r="B1066" s="15"/>
    </x:row>
    <x:row r="1067">
      <x:c r="A1067" s="15"/>
      <x:c r="B1067" s="15"/>
    </x:row>
    <x:row r="1068">
      <x:c r="A1068" s="15"/>
      <x:c r="B1068" s="15"/>
    </x:row>
    <x:row r="1069">
      <x:c r="A1069" s="15"/>
      <x:c r="B1069" s="15"/>
    </x:row>
    <x:row r="1070">
      <x:c r="A1070" s="15"/>
      <x:c r="B1070" s="15"/>
    </x:row>
    <x:row r="1071">
      <x:c r="A1071" s="15"/>
      <x:c r="B1071" s="15"/>
    </x:row>
    <x:row r="1072">
      <x:c r="A1072" s="15"/>
      <x:c r="B1072" s="15"/>
    </x:row>
    <x:row r="1073">
      <x:c r="A1073" s="15"/>
      <x:c r="B1073" s="15"/>
    </x:row>
    <x:row r="1074">
      <x:c r="A1074" s="15"/>
      <x:c r="B1074" s="15"/>
    </x:row>
    <x:row r="1075">
      <x:c r="A1075" s="15"/>
      <x:c r="B1075" s="15"/>
    </x:row>
    <x:row r="1076">
      <x:c r="A1076" s="15"/>
      <x:c r="B1076" s="15"/>
    </x:row>
    <x:row r="1077">
      <x:c r="A1077" s="15"/>
      <x:c r="B1077" s="15"/>
    </x:row>
    <x:row r="1078">
      <x:c r="A1078" s="15"/>
      <x:c r="B1078" s="15"/>
    </x:row>
    <x:row r="1079">
      <x:c r="A1079" s="15"/>
      <x:c r="B1079" s="15"/>
    </x:row>
    <x:row r="1080">
      <x:c r="A1080" s="15"/>
      <x:c r="B1080" s="15"/>
    </x:row>
    <x:row r="1081">
      <x:c r="A1081" s="15"/>
      <x:c r="B1081" s="15"/>
    </x:row>
    <x:row r="1082">
      <x:c r="A1082" s="15"/>
      <x:c r="B1082" s="15"/>
    </x:row>
    <x:row r="1083">
      <x:c r="A1083" s="15"/>
      <x:c r="B1083" s="15"/>
    </x:row>
    <x:row r="1084">
      <x:c r="A1084" s="15"/>
      <x:c r="B1084" s="15"/>
    </x:row>
    <x:row r="1085">
      <x:c r="A1085" s="15"/>
      <x:c r="B1085" s="15"/>
    </x:row>
    <x:row r="1086">
      <x:c r="A1086" s="15"/>
      <x:c r="B1086" s="15"/>
    </x:row>
    <x:row r="1087">
      <x:c r="A1087" s="15"/>
      <x:c r="B1087" s="15"/>
    </x:row>
    <x:row r="1088">
      <x:c r="A1088" s="15"/>
      <x:c r="B1088" s="15"/>
    </x:row>
    <x:row r="1089">
      <x:c r="A1089" s="15"/>
      <x:c r="B1089" s="15"/>
    </x:row>
    <x:row r="1090">
      <x:c r="A1090" s="15"/>
      <x:c r="B1090" s="15"/>
    </x:row>
    <x:row r="1091">
      <x:c r="A1091" s="15"/>
      <x:c r="B1091" s="15"/>
    </x:row>
    <x:row r="1092">
      <x:c r="A1092" s="15"/>
      <x:c r="B1092" s="15"/>
    </x:row>
    <x:row r="1093">
      <x:c r="A1093" s="15"/>
      <x:c r="B1093" s="15"/>
    </x:row>
    <x:row r="1094">
      <x:c r="A1094" s="15"/>
      <x:c r="B1094" s="15"/>
    </x:row>
    <x:row r="1095">
      <x:c r="A1095" s="15"/>
      <x:c r="B1095" s="15"/>
    </x:row>
    <x:row r="1096">
      <x:c r="A1096" s="15"/>
      <x:c r="B1096" s="15"/>
    </x:row>
    <x:row r="1097">
      <x:c r="A1097" s="15"/>
      <x:c r="B1097" s="15"/>
    </x:row>
    <x:row r="1098">
      <x:c r="A1098" s="15"/>
      <x:c r="B1098" s="15"/>
    </x:row>
    <x:row r="1099">
      <x:c r="A1099" s="15"/>
      <x:c r="B1099" s="15"/>
    </x:row>
    <x:row r="1100">
      <x:c r="A1100" s="15"/>
      <x:c r="B1100" s="15"/>
    </x:row>
    <x:row r="1101">
      <x:c r="A1101" s="15"/>
      <x:c r="B1101" s="15"/>
    </x:row>
    <x:row r="1102">
      <x:c r="A1102" s="15"/>
      <x:c r="B1102" s="15"/>
    </x:row>
    <x:row r="1103">
      <x:c r="A1103" s="15"/>
      <x:c r="B1103" s="15"/>
    </x:row>
    <x:row r="1104">
      <x:c r="A1104" s="15"/>
      <x:c r="B1104" s="15"/>
    </x:row>
    <x:row r="1105">
      <x:c r="A1105" s="15"/>
      <x:c r="B1105" s="15"/>
    </x:row>
    <x:row r="1106">
      <x:c r="A1106" s="15"/>
      <x:c r="B1106" s="15"/>
    </x:row>
    <x:row r="1107">
      <x:c r="A1107" s="15"/>
      <x:c r="B1107" s="15"/>
    </x:row>
    <x:row r="1108">
      <x:c r="A1108" s="15"/>
      <x:c r="B1108" s="15"/>
    </x:row>
    <x:row r="1109">
      <x:c r="A1109" s="15"/>
      <x:c r="B1109" s="15"/>
    </x:row>
    <x:row r="1110">
      <x:c r="A1110" s="15"/>
      <x:c r="B1110" s="15"/>
    </x:row>
    <x:row r="1111">
      <x:c r="A1111" s="15"/>
      <x:c r="B1111" s="15"/>
    </x:row>
    <x:row r="1112">
      <x:c r="A1112" s="15"/>
      <x:c r="B1112" s="15"/>
    </x:row>
    <x:row r="1113">
      <x:c r="A1113" s="15"/>
      <x:c r="B1113" s="15"/>
    </x:row>
    <x:row r="1114">
      <x:c r="A1114" s="15"/>
      <x:c r="B1114" s="15"/>
    </x:row>
    <x:row r="1115">
      <x:c r="A1115" s="15"/>
      <x:c r="B1115" s="15"/>
    </x:row>
    <x:row r="1116">
      <x:c r="A1116" s="15"/>
      <x:c r="B1116" s="15"/>
    </x:row>
    <x:row r="1117">
      <x:c r="A1117" s="15"/>
      <x:c r="B1117" s="15"/>
    </x:row>
    <x:row r="1118">
      <x:c r="A1118" s="15"/>
      <x:c r="B1118" s="15"/>
    </x:row>
    <x:row r="1119">
      <x:c r="A1119" s="15"/>
      <x:c r="B1119" s="15"/>
    </x:row>
    <x:row r="1120">
      <x:c r="A1120" s="15"/>
      <x:c r="B1120" s="15"/>
    </x:row>
    <x:row r="1121">
      <x:c r="A1121" s="15"/>
      <x:c r="B1121" s="15"/>
    </x:row>
    <x:row r="1122">
      <x:c r="A1122" s="15"/>
      <x:c r="B1122" s="15"/>
    </x:row>
    <x:row r="1123">
      <x:c r="A1123" s="15"/>
      <x:c r="B1123" s="15"/>
    </x:row>
    <x:row r="1124">
      <x:c r="A1124" s="15"/>
      <x:c r="B1124" s="15"/>
    </x:row>
    <x:row r="1125">
      <x:c r="A1125" s="15"/>
      <x:c r="B1125" s="15"/>
    </x:row>
    <x:row r="1126">
      <x:c r="A1126" s="15"/>
      <x:c r="B1126" s="15"/>
    </x:row>
    <x:row r="1127">
      <x:c r="A1127" s="15"/>
      <x:c r="B1127" s="15"/>
    </x:row>
    <x:row r="1128">
      <x:c r="A1128" s="15"/>
      <x:c r="B1128" s="15"/>
    </x:row>
    <x:row r="1129">
      <x:c r="A1129" s="15"/>
      <x:c r="B1129" s="15"/>
    </x:row>
    <x:row r="1130">
      <x:c r="A1130" s="15"/>
      <x:c r="B1130" s="15"/>
    </x:row>
    <x:row r="1131">
      <x:c r="A1131" s="15"/>
      <x:c r="B1131" s="15"/>
    </x:row>
    <x:row r="1132">
      <x:c r="A1132" s="15"/>
      <x:c r="B1132" s="15"/>
    </x:row>
    <x:row r="1133">
      <x:c r="A1133" s="15"/>
      <x:c r="B1133" s="15"/>
    </x:row>
    <x:row r="1134">
      <x:c r="A1134" s="15"/>
      <x:c r="B1134" s="15"/>
    </x:row>
    <x:row r="1135">
      <x:c r="A1135" s="15"/>
      <x:c r="B1135" s="15"/>
    </x:row>
    <x:row r="1136">
      <x:c r="A1136" s="15"/>
      <x:c r="B1136" s="15"/>
    </x:row>
    <x:row r="1137">
      <x:c r="A1137" s="15"/>
      <x:c r="B1137" s="15"/>
    </x:row>
    <x:row r="1138">
      <x:c r="A1138" s="15"/>
      <x:c r="B1138" s="15"/>
    </x:row>
    <x:row r="1139">
      <x:c r="A1139" s="15"/>
      <x:c r="B1139" s="15"/>
    </x:row>
    <x:row r="1140">
      <x:c r="A1140" s="15"/>
      <x:c r="B1140" s="15"/>
    </x:row>
    <x:row r="1141">
      <x:c r="A1141" s="15"/>
      <x:c r="B1141" s="15"/>
    </x:row>
    <x:row r="1142">
      <x:c r="A1142" s="15"/>
      <x:c r="B1142" s="15"/>
    </x:row>
    <x:row r="1143">
      <x:c r="A1143" s="15"/>
      <x:c r="B1143" s="15"/>
    </x:row>
    <x:row r="1144">
      <x:c r="A1144" s="15"/>
      <x:c r="B1144" s="15"/>
    </x:row>
    <x:row r="1145">
      <x:c r="A1145" s="15"/>
      <x:c r="B1145" s="15"/>
    </x:row>
    <x:row r="1146">
      <x:c r="A1146" s="15"/>
      <x:c r="B1146" s="15"/>
    </x:row>
    <x:row r="1147">
      <x:c r="A1147" s="15"/>
      <x:c r="B1147" s="15"/>
    </x:row>
    <x:row r="1148">
      <x:c r="A1148" s="15"/>
      <x:c r="B1148" s="15"/>
    </x:row>
    <x:row r="1149">
      <x:c r="A1149" s="15"/>
      <x:c r="B1149" s="15"/>
    </x:row>
    <x:row r="1150">
      <x:c r="A1150" s="15"/>
      <x:c r="B1150" s="15"/>
    </x:row>
    <x:row r="1151">
      <x:c r="A1151" s="15"/>
      <x:c r="B1151" s="15"/>
    </x:row>
    <x:row r="1152">
      <x:c r="A1152" s="15"/>
      <x:c r="B1152" s="15"/>
    </x:row>
    <x:row r="1153">
      <x:c r="A1153" s="15"/>
      <x:c r="B1153" s="15"/>
    </x:row>
    <x:row r="1154">
      <x:c r="A1154" s="15"/>
      <x:c r="B1154" s="15"/>
    </x:row>
    <x:row r="1155">
      <x:c r="A1155" s="15"/>
      <x:c r="B1155" s="15"/>
    </x:row>
    <x:row r="1156">
      <x:c r="A1156" s="15"/>
      <x:c r="B1156" s="15"/>
    </x:row>
    <x:row r="1157">
      <x:c r="A1157" s="15"/>
      <x:c r="B1157" s="15"/>
    </x:row>
    <x:row r="1158">
      <x:c r="A1158" s="15"/>
      <x:c r="B1158" s="15"/>
    </x:row>
    <x:row r="1159">
      <x:c r="A1159" s="15"/>
      <x:c r="B1159" s="15"/>
    </x:row>
    <x:row r="1160">
      <x:c r="A1160" s="15"/>
      <x:c r="B1160" s="15"/>
    </x:row>
    <x:row r="1161">
      <x:c r="A1161" s="15"/>
      <x:c r="B1161" s="15"/>
    </x:row>
    <x:row r="1162">
      <x:c r="A1162" s="15"/>
      <x:c r="B1162" s="15"/>
    </x:row>
    <x:row r="1163">
      <x:c r="A1163" s="15"/>
      <x:c r="B1163" s="15"/>
    </x:row>
    <x:row r="1164">
      <x:c r="A1164" s="15"/>
      <x:c r="B1164" s="15"/>
    </x:row>
    <x:row r="1165">
      <x:c r="A1165" s="15"/>
      <x:c r="B1165" s="15"/>
    </x:row>
    <x:row r="1166">
      <x:c r="A1166" s="15"/>
      <x:c r="B1166" s="15"/>
    </x:row>
    <x:row r="1167">
      <x:c r="A1167" s="15"/>
      <x:c r="B1167" s="15"/>
    </x:row>
    <x:row r="1168">
      <x:c r="A1168" s="15"/>
      <x:c r="B1168" s="15"/>
    </x:row>
    <x:row r="1169">
      <x:c r="A1169" s="15"/>
      <x:c r="B1169" s="15"/>
    </x:row>
    <x:row r="1170">
      <x:c r="A1170" s="15"/>
      <x:c r="B1170" s="15"/>
    </x:row>
    <x:row r="1171">
      <x:c r="A1171" s="15"/>
      <x:c r="B1171" s="15"/>
    </x:row>
    <x:row r="1172">
      <x:c r="A1172" s="15"/>
      <x:c r="B1172" s="15"/>
    </x:row>
    <x:row r="1173">
      <x:c r="A1173" s="15"/>
      <x:c r="B1173" s="15"/>
    </x:row>
    <x:row r="1174">
      <x:c r="A1174" s="15"/>
      <x:c r="B1174" s="15"/>
    </x:row>
    <x:row r="1175">
      <x:c r="A1175" s="15"/>
      <x:c r="B1175" s="15"/>
    </x:row>
    <x:row r="1176">
      <x:c r="A1176" s="15"/>
      <x:c r="B1176" s="15"/>
    </x:row>
    <x:row r="1177">
      <x:c r="A1177" s="15"/>
      <x:c r="B1177" s="15"/>
    </x:row>
    <x:row r="1178">
      <x:c r="A1178" s="15"/>
      <x:c r="B1178" s="15"/>
    </x:row>
    <x:row r="1179">
      <x:c r="A1179" s="15"/>
      <x:c r="B1179" s="15"/>
    </x:row>
    <x:row r="1180">
      <x:c r="A1180" s="15"/>
      <x:c r="B1180" s="15"/>
    </x:row>
    <x:row r="1181">
      <x:c r="A1181" s="15"/>
      <x:c r="B1181" s="15"/>
    </x:row>
    <x:row r="1182">
      <x:c r="A1182" s="15"/>
      <x:c r="B1182" s="15"/>
    </x:row>
    <x:row r="1183">
      <x:c r="A1183" s="15"/>
      <x:c r="B1183" s="15"/>
    </x:row>
    <x:row r="1184">
      <x:c r="A1184" s="15"/>
      <x:c r="B1184" s="15"/>
    </x:row>
    <x:row r="1185">
      <x:c r="A1185" s="15"/>
      <x:c r="B1185" s="15"/>
    </x:row>
    <x:row r="1186">
      <x:c r="A1186" s="15"/>
      <x:c r="B1186" s="15"/>
    </x:row>
    <x:row r="1187">
      <x:c r="A1187" s="15"/>
      <x:c r="B1187" s="15"/>
    </x:row>
    <x:row r="1188">
      <x:c r="A1188" s="15"/>
      <x:c r="B1188" s="15"/>
    </x:row>
    <x:row r="1189">
      <x:c r="A1189" s="15"/>
      <x:c r="B1189" s="15"/>
    </x:row>
    <x:row r="1190">
      <x:c r="A1190" s="15"/>
      <x:c r="B1190" s="15"/>
    </x:row>
    <x:row r="1191">
      <x:c r="A1191" s="15"/>
      <x:c r="B1191" s="15"/>
    </x:row>
    <x:row r="1192">
      <x:c r="A1192" s="15"/>
      <x:c r="B1192" s="15"/>
    </x:row>
    <x:row r="1193">
      <x:c r="A1193" s="15"/>
      <x:c r="B1193" s="15"/>
    </x:row>
    <x:row r="1194">
      <x:c r="A1194" s="15"/>
      <x:c r="B1194" s="15"/>
    </x:row>
    <x:row r="1195">
      <x:c r="A1195" s="15"/>
      <x:c r="B1195" s="15"/>
    </x:row>
    <x:row r="1196">
      <x:c r="A1196" s="15"/>
      <x:c r="B1196" s="15"/>
    </x:row>
    <x:row r="1197">
      <x:c r="A1197" s="15"/>
      <x:c r="B1197" s="15"/>
    </x:row>
    <x:row r="1198">
      <x:c r="A1198" s="15"/>
      <x:c r="B1198" s="15"/>
    </x:row>
    <x:row r="1199">
      <x:c r="A1199" s="15"/>
      <x:c r="B1199" s="15"/>
    </x:row>
    <x:row r="1200">
      <x:c r="A1200" s="15"/>
      <x:c r="B1200" s="15"/>
    </x:row>
    <x:row r="1201">
      <x:c r="A1201" s="15"/>
      <x:c r="B1201" s="15"/>
    </x:row>
    <x:row r="1202">
      <x:c r="A1202" s="15"/>
      <x:c r="B1202" s="15"/>
    </x:row>
    <x:row r="1203">
      <x:c r="A1203" s="15"/>
      <x:c r="B1203" s="15"/>
    </x:row>
    <x:row r="1204">
      <x:c r="A1204" s="15"/>
      <x:c r="B1204" s="15"/>
    </x:row>
    <x:row r="1205">
      <x:c r="A1205" s="15"/>
      <x:c r="B1205" s="15"/>
    </x:row>
    <x:row r="1206">
      <x:c r="A1206" s="15"/>
      <x:c r="B1206" s="15"/>
    </x:row>
    <x:row r="1207">
      <x:c r="A1207" s="15"/>
      <x:c r="B1207" s="15"/>
    </x:row>
    <x:row r="1208">
      <x:c r="A1208" s="15"/>
      <x:c r="B1208" s="15"/>
    </x:row>
    <x:row r="1209">
      <x:c r="A1209" s="15"/>
      <x:c r="B1209" s="15"/>
    </x:row>
    <x:row r="1210">
      <x:c r="A1210" s="15"/>
      <x:c r="B1210" s="15"/>
    </x:row>
    <x:row r="1211">
      <x:c r="A1211" s="15"/>
      <x:c r="B1211" s="15"/>
    </x:row>
    <x:row r="1212">
      <x:c r="A1212" s="15"/>
      <x:c r="B1212" s="15"/>
    </x:row>
    <x:row r="1213">
      <x:c r="A1213" s="15"/>
      <x:c r="B1213" s="15"/>
    </x:row>
    <x:row r="1214">
      <x:c r="A1214" s="15"/>
      <x:c r="B1214" s="15"/>
    </x:row>
    <x:row r="1215">
      <x:c r="A1215" s="15"/>
      <x:c r="B1215" s="15"/>
    </x:row>
    <x:row r="1216">
      <x:c r="A1216" s="15"/>
      <x:c r="B1216" s="15"/>
    </x:row>
    <x:row r="1217">
      <x:c r="A1217" s="15"/>
      <x:c r="B1217" s="15"/>
    </x:row>
    <x:row r="1218">
      <x:c r="A1218" s="15"/>
      <x:c r="B1218" s="15"/>
    </x:row>
    <x:row r="1219">
      <x:c r="A1219" s="15"/>
      <x:c r="B1219" s="15"/>
    </x:row>
    <x:row r="1220">
      <x:c r="A1220" s="15"/>
      <x:c r="B1220" s="15"/>
    </x:row>
    <x:row r="1221">
      <x:c r="A1221" s="15"/>
      <x:c r="B1221" s="15"/>
    </x:row>
    <x:row r="1222">
      <x:c r="A1222" s="15"/>
      <x:c r="B1222" s="15"/>
    </x:row>
    <x:row r="1223">
      <x:c r="A1223" s="15"/>
      <x:c r="B1223" s="15"/>
    </x:row>
    <x:row r="1224">
      <x:c r="A1224" s="15"/>
      <x:c r="B1224" s="15"/>
    </x:row>
    <x:row r="1225">
      <x:c r="A1225" s="15"/>
      <x:c r="B1225" s="15"/>
    </x:row>
    <x:row r="1226">
      <x:c r="A1226" s="15"/>
      <x:c r="B1226" s="15"/>
    </x:row>
    <x:row r="1227">
      <x:c r="A1227" s="15"/>
      <x:c r="B1227" s="15"/>
    </x:row>
    <x:row r="1228">
      <x:c r="A1228" s="15"/>
      <x:c r="B1228" s="15"/>
    </x:row>
    <x:row r="1229">
      <x:c r="A1229" s="15"/>
      <x:c r="B1229" s="15"/>
    </x:row>
    <x:row r="1230">
      <x:c r="A1230" s="15"/>
      <x:c r="B1230" s="15"/>
    </x:row>
    <x:row r="1231">
      <x:c r="A1231" s="15"/>
      <x:c r="B1231" s="15"/>
    </x:row>
    <x:row r="1232">
      <x:c r="A1232" s="15"/>
      <x:c r="B1232" s="15"/>
    </x:row>
    <x:row r="1233">
      <x:c r="A1233" s="15"/>
      <x:c r="B1233" s="15"/>
    </x:row>
    <x:row r="1234">
      <x:c r="A1234" s="15"/>
      <x:c r="B1234" s="15"/>
    </x:row>
    <x:row r="1235">
      <x:c r="A1235" s="15"/>
      <x:c r="B1235" s="15"/>
    </x:row>
    <x:row r="1236">
      <x:c r="A1236" s="15"/>
      <x:c r="B1236" s="15"/>
    </x:row>
    <x:row r="1237">
      <x:c r="A1237" s="15"/>
      <x:c r="B1237" s="15"/>
    </x:row>
    <x:row r="1238">
      <x:c r="A1238" s="15"/>
      <x:c r="B1238" s="15"/>
    </x:row>
    <x:row r="1239">
      <x:c r="A1239" s="15"/>
      <x:c r="B1239" s="15"/>
    </x:row>
    <x:row r="1240">
      <x:c r="A1240" s="15"/>
      <x:c r="B1240" s="15"/>
    </x:row>
    <x:row r="1241">
      <x:c r="A1241" s="15"/>
      <x:c r="B1241" s="15"/>
    </x:row>
    <x:row r="1242">
      <x:c r="A1242" s="15"/>
      <x:c r="B1242" s="15"/>
    </x:row>
    <x:row r="1243">
      <x:c r="A1243" s="15"/>
      <x:c r="B1243" s="15"/>
    </x:row>
    <x:row r="1244">
      <x:c r="A1244" s="15"/>
      <x:c r="B1244" s="15"/>
    </x:row>
    <x:row r="1245">
      <x:c r="A1245" s="15"/>
      <x:c r="B1245" s="15"/>
    </x:row>
    <x:row r="1246">
      <x:c r="A1246" s="15"/>
      <x:c r="B1246" s="15"/>
    </x:row>
    <x:row r="1247">
      <x:c r="A1247" s="15"/>
      <x:c r="B1247" s="15"/>
    </x:row>
    <x:row r="1248">
      <x:c r="A1248" s="15"/>
      <x:c r="B1248" s="15"/>
    </x:row>
    <x:row r="1249">
      <x:c r="A1249" s="15"/>
      <x:c r="B1249" s="15"/>
    </x:row>
    <x:row r="1250">
      <x:c r="A1250" s="15"/>
      <x:c r="B1250" s="15"/>
    </x:row>
    <x:row r="1251">
      <x:c r="A1251" s="15"/>
      <x:c r="B1251" s="15"/>
    </x:row>
    <x:row r="1252">
      <x:c r="A1252" s="15"/>
      <x:c r="B1252" s="15"/>
    </x:row>
    <x:row r="1253">
      <x:c r="A1253" s="15"/>
      <x:c r="B1253" s="15"/>
    </x:row>
    <x:row r="1254">
      <x:c r="A1254" s="15"/>
      <x:c r="B1254" s="15"/>
    </x:row>
    <x:row r="1255">
      <x:c r="A1255" s="15"/>
      <x:c r="B1255" s="15"/>
    </x:row>
    <x:row r="1256">
      <x:c r="A1256" s="15"/>
      <x:c r="B1256" s="15"/>
    </x:row>
    <x:row r="1257">
      <x:c r="A1257" s="15"/>
      <x:c r="B1257" s="15"/>
    </x:row>
    <x:row r="1258">
      <x:c r="A1258" s="15"/>
      <x:c r="B1258" s="15"/>
    </x:row>
    <x:row r="1259">
      <x:c r="A1259" s="15"/>
      <x:c r="B1259" s="15"/>
    </x:row>
    <x:row r="1260">
      <x:c r="A1260" s="15"/>
      <x:c r="B1260" s="15"/>
    </x:row>
    <x:row r="1261">
      <x:c r="A1261" s="15"/>
      <x:c r="B1261" s="15"/>
    </x:row>
    <x:row r="1262">
      <x:c r="A1262" s="15"/>
      <x:c r="B1262" s="15"/>
    </x:row>
    <x:row r="1263">
      <x:c r="A1263" s="15"/>
      <x:c r="B1263" s="15"/>
    </x:row>
    <x:row r="1264">
      <x:c r="A1264" s="15"/>
      <x:c r="B1264" s="15"/>
    </x:row>
    <x:row r="1265">
      <x:c r="A1265" s="15"/>
      <x:c r="B1265" s="15"/>
    </x:row>
    <x:row r="1266">
      <x:c r="A1266" s="15"/>
      <x:c r="B1266" s="15"/>
    </x:row>
    <x:row r="1267">
      <x:c r="A1267" s="15"/>
      <x:c r="B1267" s="15"/>
    </x:row>
    <x:row r="1268">
      <x:c r="A1268" s="15"/>
      <x:c r="B1268" s="15"/>
    </x:row>
    <x:row r="1269">
      <x:c r="A1269" s="15"/>
      <x:c r="B1269" s="15"/>
    </x:row>
    <x:row r="1270">
      <x:c r="A1270" s="15"/>
      <x:c r="B1270" s="15"/>
    </x:row>
    <x:row r="1271">
      <x:c r="A1271" s="15"/>
      <x:c r="B1271" s="15"/>
    </x:row>
    <x:row r="1272">
      <x:c r="A1272" s="15"/>
      <x:c r="B1272" s="15"/>
    </x:row>
    <x:row r="1273">
      <x:c r="A1273" s="15"/>
      <x:c r="B1273" s="15"/>
    </x:row>
    <x:row r="1274">
      <x:c r="A1274" s="15"/>
      <x:c r="B1274" s="15"/>
    </x:row>
    <x:row r="1275">
      <x:c r="A1275" s="15"/>
      <x:c r="B1275" s="15"/>
    </x:row>
    <x:row r="1276">
      <x:c r="A1276" s="15"/>
      <x:c r="B1276" s="15"/>
    </x:row>
    <x:row r="1277">
      <x:c r="A1277" s="15"/>
      <x:c r="B1277" s="15"/>
    </x:row>
    <x:row r="1278">
      <x:c r="A1278" s="15"/>
      <x:c r="B1278" s="15"/>
    </x:row>
    <x:row r="1279">
      <x:c r="A1279" s="15"/>
      <x:c r="B1279" s="15"/>
    </x:row>
    <x:row r="1280">
      <x:c r="A1280" s="15"/>
      <x:c r="B1280" s="15"/>
    </x:row>
    <x:row r="1281">
      <x:c r="A1281" s="15"/>
      <x:c r="B1281" s="15"/>
    </x:row>
    <x:row r="1282">
      <x:c r="A1282" s="15"/>
      <x:c r="B1282" s="15"/>
    </x:row>
    <x:row r="1283">
      <x:c r="A1283" s="15"/>
      <x:c r="B1283" s="15"/>
    </x:row>
    <x:row r="1284">
      <x:c r="A1284" s="15"/>
      <x:c r="B1284" s="15"/>
    </x:row>
    <x:row r="1285">
      <x:c r="A1285" s="15"/>
      <x:c r="B1285" s="15"/>
    </x:row>
    <x:row r="1286">
      <x:c r="A1286" s="15"/>
      <x:c r="B1286" s="15"/>
    </x:row>
    <x:row r="1287">
      <x:c r="A1287" s="15"/>
      <x:c r="B1287" s="15"/>
    </x:row>
    <x:row r="1288">
      <x:c r="A1288" s="15"/>
      <x:c r="B1288" s="15"/>
    </x:row>
    <x:row r="1289">
      <x:c r="A1289" s="15"/>
      <x:c r="B1289" s="15"/>
    </x:row>
    <x:row r="1290">
      <x:c r="A1290" s="15"/>
      <x:c r="B1290" s="15"/>
    </x:row>
    <x:row r="1291">
      <x:c r="A1291" s="15"/>
      <x:c r="B1291" s="15"/>
    </x:row>
    <x:row r="1292">
      <x:c r="A1292" s="15"/>
      <x:c r="B1292" s="15"/>
    </x:row>
    <x:row r="1293">
      <x:c r="A1293" s="15"/>
      <x:c r="B1293" s="15"/>
    </x:row>
    <x:row r="1294">
      <x:c r="A1294" s="15"/>
      <x:c r="B1294" s="15"/>
    </x:row>
    <x:row r="1295">
      <x:c r="A1295" s="15"/>
      <x:c r="B1295" s="15"/>
    </x:row>
    <x:row r="1296">
      <x:c r="A1296" s="15"/>
      <x:c r="B1296" s="15"/>
    </x:row>
    <x:row r="1297">
      <x:c r="A1297" s="15"/>
      <x:c r="B1297" s="15"/>
    </x:row>
    <x:row r="1298">
      <x:c r="A1298" s="15"/>
      <x:c r="B1298" s="15"/>
    </x:row>
    <x:row r="1299">
      <x:c r="A1299" s="15"/>
      <x:c r="B1299" s="15"/>
    </x:row>
    <x:row r="1300">
      <x:c r="A1300" s="15"/>
      <x:c r="B1300" s="15"/>
    </x:row>
    <x:row r="1301">
      <x:c r="A1301" s="15"/>
      <x:c r="B1301" s="15"/>
    </x:row>
    <x:row r="1302">
      <x:c r="A1302" s="15"/>
      <x:c r="B1302" s="15"/>
    </x:row>
    <x:row r="1303">
      <x:c r="A1303" s="15"/>
      <x:c r="B1303" s="15"/>
    </x:row>
    <x:row r="1304">
      <x:c r="A1304" s="15"/>
      <x:c r="B1304" s="15"/>
    </x:row>
    <x:row r="1305">
      <x:c r="A1305" s="15"/>
      <x:c r="B1305" s="15"/>
    </x:row>
    <x:row r="1306">
      <x:c r="A1306" s="15"/>
      <x:c r="B1306" s="15"/>
    </x:row>
    <x:row r="1307">
      <x:c r="A1307" s="15"/>
      <x:c r="B1307" s="15"/>
    </x:row>
    <x:row r="1308">
      <x:c r="A1308" s="15"/>
      <x:c r="B1308" s="15"/>
    </x:row>
    <x:row r="1309">
      <x:c r="A1309" s="15"/>
      <x:c r="B1309" s="15"/>
    </x:row>
    <x:row r="1310">
      <x:c r="A1310" s="15"/>
      <x:c r="B1310" s="15"/>
    </x:row>
    <x:row r="1311">
      <x:c r="A1311" s="15"/>
      <x:c r="B1311" s="15"/>
    </x:row>
    <x:row r="1312">
      <x:c r="A1312" s="15"/>
      <x:c r="B1312" s="15"/>
    </x:row>
    <x:row r="1313">
      <x:c r="A1313" s="15"/>
      <x:c r="B1313" s="15"/>
    </x:row>
    <x:row r="1314">
      <x:c r="A1314" s="15"/>
      <x:c r="B1314" s="15"/>
    </x:row>
    <x:row r="1315">
      <x:c r="A1315" s="15"/>
      <x:c r="B1315" s="15"/>
    </x:row>
    <x:row r="1316">
      <x:c r="A1316" s="15"/>
      <x:c r="B1316" s="15"/>
    </x:row>
    <x:row r="1317">
      <x:c r="A1317" s="15"/>
      <x:c r="B1317" s="15"/>
    </x:row>
    <x:row r="1318">
      <x:c r="A1318" s="15"/>
      <x:c r="B1318" s="15"/>
    </x:row>
    <x:row r="1319">
      <x:c r="A1319" s="15"/>
      <x:c r="B1319" s="15"/>
    </x:row>
    <x:row r="1320">
      <x:c r="A1320" s="15"/>
      <x:c r="B1320" s="15"/>
    </x:row>
    <x:row r="1321">
      <x:c r="A1321" s="15"/>
      <x:c r="B1321" s="15"/>
    </x:row>
    <x:row r="1322">
      <x:c r="A1322" s="15"/>
      <x:c r="B1322" s="15"/>
    </x:row>
    <x:row r="1323">
      <x:c r="A1323" s="15"/>
      <x:c r="B1323" s="15"/>
    </x:row>
    <x:row r="1324">
      <x:c r="A1324" s="15"/>
      <x:c r="B1324" s="15"/>
    </x:row>
    <x:row r="1325">
      <x:c r="A1325" s="15"/>
      <x:c r="B1325" s="15"/>
    </x:row>
    <x:row r="1326">
      <x:c r="A1326" s="15"/>
      <x:c r="B1326" s="15"/>
    </x:row>
    <x:row r="1327">
      <x:c r="A1327" s="15"/>
      <x:c r="B1327" s="15"/>
    </x:row>
    <x:row r="1328">
      <x:c r="A1328" s="15"/>
      <x:c r="B1328" s="15"/>
    </x:row>
    <x:row r="1329">
      <x:c r="A1329" s="15"/>
      <x:c r="B1329" s="15"/>
    </x:row>
    <x:row r="1330">
      <x:c r="A1330" s="15"/>
      <x:c r="B1330" s="15"/>
    </x:row>
    <x:row r="1331">
      <x:c r="A1331" s="15"/>
      <x:c r="B1331" s="15"/>
    </x:row>
    <x:row r="1332">
      <x:c r="A1332" s="15"/>
      <x:c r="B1332" s="15"/>
    </x:row>
    <x:row r="1333">
      <x:c r="A1333" s="15"/>
      <x:c r="B1333" s="15"/>
    </x:row>
    <x:row r="1334">
      <x:c r="A1334" s="15"/>
      <x:c r="B1334" s="15"/>
    </x:row>
    <x:row r="1335">
      <x:c r="A1335" s="15"/>
      <x:c r="B1335" s="15"/>
    </x:row>
    <x:row r="1336">
      <x:c r="A1336" s="15"/>
      <x:c r="B1336" s="15"/>
    </x:row>
    <x:row r="1337">
      <x:c r="A1337" s="15"/>
      <x:c r="B1337" s="15"/>
    </x:row>
    <x:row r="1338">
      <x:c r="A1338" s="15"/>
      <x:c r="B1338" s="15"/>
    </x:row>
    <x:row r="1339">
      <x:c r="A1339" s="15"/>
      <x:c r="B1339" s="15"/>
    </x:row>
    <x:row r="1340">
      <x:c r="A1340" s="15"/>
      <x:c r="B1340" s="15"/>
    </x:row>
    <x:row r="1341">
      <x:c r="A1341" s="15"/>
      <x:c r="B1341" s="15"/>
    </x:row>
    <x:row r="1342">
      <x:c r="A1342" s="15"/>
      <x:c r="B1342" s="15"/>
    </x:row>
    <x:row r="1343">
      <x:c r="A1343" s="15"/>
      <x:c r="B1343" s="15"/>
    </x:row>
    <x:row r="1344">
      <x:c r="A1344" s="15"/>
      <x:c r="B1344" s="15"/>
    </x:row>
    <x:row r="1345">
      <x:c r="A1345" s="15"/>
      <x:c r="B1345" s="15"/>
    </x:row>
    <x:row r="1346">
      <x:c r="A1346" s="15"/>
      <x:c r="B1346" s="15"/>
    </x:row>
    <x:row r="1347">
      <x:c r="A1347" s="15"/>
      <x:c r="B1347" s="15"/>
    </x:row>
    <x:row r="1348">
      <x:c r="A1348" s="15"/>
      <x:c r="B1348" s="15"/>
    </x:row>
    <x:row r="1349">
      <x:c r="A1349" s="15"/>
      <x:c r="B1349" s="15"/>
    </x:row>
    <x:row r="1350">
      <x:c r="A1350" s="15"/>
      <x:c r="B1350" s="15"/>
    </x:row>
    <x:row r="1351">
      <x:c r="A1351" s="15"/>
      <x:c r="B1351" s="15"/>
    </x:row>
    <x:row r="1352">
      <x:c r="A1352" s="15"/>
      <x:c r="B1352" s="15"/>
    </x:row>
    <x:row r="1353">
      <x:c r="A1353" s="15"/>
      <x:c r="B1353" s="15"/>
    </x:row>
    <x:row r="1354">
      <x:c r="A1354" s="15"/>
      <x:c r="B1354" s="15"/>
    </x:row>
    <x:row r="1355">
      <x:c r="A1355" s="15"/>
      <x:c r="B1355" s="15"/>
    </x:row>
    <x:row r="1356">
      <x:c r="A1356" s="15"/>
      <x:c r="B1356" s="15"/>
    </x:row>
    <x:row r="1357">
      <x:c r="A1357" s="15"/>
      <x:c r="B1357" s="15"/>
    </x:row>
    <x:row r="1358">
      <x:c r="A1358" s="15"/>
      <x:c r="B1358" s="15"/>
    </x:row>
    <x:row r="1359">
      <x:c r="A1359" s="15"/>
      <x:c r="B1359" s="15"/>
    </x:row>
    <x:row r="1360">
      <x:c r="A1360" s="15"/>
      <x:c r="B1360" s="15"/>
    </x:row>
    <x:row r="1361">
      <x:c r="A1361" s="15"/>
      <x:c r="B1361" s="15"/>
    </x:row>
    <x:row r="1362">
      <x:c r="A1362" s="15"/>
      <x:c r="B1362" s="15"/>
    </x:row>
    <x:row r="1363">
      <x:c r="A1363" s="15"/>
      <x:c r="B1363" s="15"/>
    </x:row>
    <x:row r="1364">
      <x:c r="A1364" s="15"/>
      <x:c r="B1364" s="15"/>
    </x:row>
    <x:row r="1365">
      <x:c r="A1365" s="15"/>
      <x:c r="B1365" s="15"/>
    </x:row>
    <x:row r="1366">
      <x:c r="A1366" s="15"/>
      <x:c r="B1366" s="15"/>
    </x:row>
    <x:row r="1367">
      <x:c r="A1367" s="15"/>
      <x:c r="B1367" s="15"/>
    </x:row>
    <x:row r="1368">
      <x:c r="A1368" s="15"/>
      <x:c r="B1368" s="15"/>
    </x:row>
    <x:row r="1369">
      <x:c r="A1369" s="15"/>
      <x:c r="B1369" s="15"/>
    </x:row>
    <x:row r="1370">
      <x:c r="A1370" s="15"/>
      <x:c r="B1370" s="15"/>
    </x:row>
    <x:row r="1371">
      <x:c r="A1371" s="15"/>
      <x:c r="B1371" s="15"/>
    </x:row>
    <x:row r="1372">
      <x:c r="A1372" s="15"/>
      <x:c r="B1372" s="15"/>
    </x:row>
    <x:row r="1373">
      <x:c r="A1373" s="15"/>
      <x:c r="B1373" s="15"/>
    </x:row>
    <x:row r="1374">
      <x:c r="A1374" s="15"/>
      <x:c r="B1374" s="15"/>
    </x:row>
    <x:row r="1375">
      <x:c r="A1375" s="15"/>
      <x:c r="B1375" s="15"/>
    </x:row>
    <x:row r="1376">
      <x:c r="A1376" s="15"/>
      <x:c r="B1376" s="15"/>
    </x:row>
    <x:row r="1377">
      <x:c r="A1377" s="15"/>
      <x:c r="B1377" s="15"/>
    </x:row>
    <x:row r="1378">
      <x:c r="A1378" s="15"/>
      <x:c r="B1378" s="15"/>
    </x:row>
    <x:row r="1379">
      <x:c r="A1379" s="15"/>
      <x:c r="B1379" s="15"/>
    </x:row>
    <x:row r="1380">
      <x:c r="A1380" s="15"/>
      <x:c r="B1380" s="15"/>
    </x:row>
    <x:row r="1381">
      <x:c r="A1381" s="15"/>
      <x:c r="B1381" s="15"/>
    </x:row>
    <x:row r="1382">
      <x:c r="A1382" s="15"/>
      <x:c r="B1382" s="15"/>
    </x:row>
    <x:row r="1383">
      <x:c r="A1383" s="15"/>
      <x:c r="B1383" s="15"/>
    </x:row>
    <x:row r="1384">
      <x:c r="A1384" s="15"/>
      <x:c r="B1384" s="15"/>
    </x:row>
    <x:row r="1385">
      <x:c r="A1385" s="15"/>
      <x:c r="B1385" s="15"/>
    </x:row>
    <x:row r="1386">
      <x:c r="A1386" s="15"/>
      <x:c r="B1386" s="15"/>
    </x:row>
    <x:row r="1387">
      <x:c r="A1387" s="15"/>
      <x:c r="B1387" s="15"/>
    </x:row>
    <x:row r="1388">
      <x:c r="A1388" s="15"/>
      <x:c r="B1388" s="15"/>
    </x:row>
    <x:row r="1389">
      <x:c r="A1389" s="15"/>
      <x:c r="B1389" s="15"/>
    </x:row>
    <x:row r="1390">
      <x:c r="A1390" s="15"/>
      <x:c r="B1390" s="15"/>
    </x:row>
    <x:row r="1391">
      <x:c r="A1391" s="15"/>
      <x:c r="B1391" s="15"/>
    </x:row>
    <x:row r="1392">
      <x:c r="A1392" s="15"/>
      <x:c r="B1392" s="15"/>
    </x:row>
    <x:row r="1393">
      <x:c r="A1393" s="15"/>
      <x:c r="B1393" s="15"/>
    </x:row>
    <x:row r="1394">
      <x:c r="A1394" s="15"/>
      <x:c r="B1394" s="15"/>
    </x:row>
    <x:row r="1395">
      <x:c r="A1395" s="15"/>
      <x:c r="B1395" s="15"/>
    </x:row>
    <x:row r="1396">
      <x:c r="A1396" s="15"/>
      <x:c r="B1396" s="15"/>
    </x:row>
    <x:row r="1397">
      <x:c r="A1397" s="15"/>
      <x:c r="B1397" s="15"/>
    </x:row>
    <x:row r="1398">
      <x:c r="A1398" s="15"/>
      <x:c r="B1398" s="15"/>
    </x:row>
    <x:row r="1399">
      <x:c r="A1399" s="15"/>
      <x:c r="B1399" s="15"/>
    </x:row>
    <x:row r="1400">
      <x:c r="A1400" s="15"/>
      <x:c r="B1400" s="15"/>
    </x:row>
    <x:row r="1401">
      <x:c r="A1401" s="15"/>
      <x:c r="B1401" s="15"/>
    </x:row>
    <x:row r="1402">
      <x:c r="A1402" s="15"/>
      <x:c r="B1402" s="15"/>
    </x:row>
    <x:row r="1403">
      <x:c r="A1403" s="15"/>
      <x:c r="B1403" s="15"/>
    </x:row>
    <x:row r="1404">
      <x:c r="A1404" s="15"/>
      <x:c r="B1404" s="15"/>
    </x:row>
    <x:row r="1405">
      <x:c r="A1405" s="15"/>
      <x:c r="B1405" s="15"/>
    </x:row>
    <x:row r="1406">
      <x:c r="A1406" s="15"/>
      <x:c r="B1406" s="15"/>
    </x:row>
    <x:row r="1407">
      <x:c r="A1407" s="15"/>
      <x:c r="B1407" s="15"/>
    </x:row>
    <x:row r="1408">
      <x:c r="A1408" s="15"/>
      <x:c r="B1408" s="15"/>
    </x:row>
    <x:row r="1409">
      <x:c r="A1409" s="15"/>
      <x:c r="B1409" s="15"/>
    </x:row>
    <x:row r="1410">
      <x:c r="A1410" s="15"/>
      <x:c r="B1410" s="15"/>
    </x:row>
    <x:row r="1411">
      <x:c r="A1411" s="15"/>
      <x:c r="B1411" s="15"/>
    </x:row>
    <x:row r="1412">
      <x:c r="A1412" s="15"/>
      <x:c r="B1412" s="15"/>
    </x:row>
    <x:row r="1413">
      <x:c r="A1413" s="15"/>
      <x:c r="B1413" s="15"/>
    </x:row>
    <x:row r="1414">
      <x:c r="A1414" s="15"/>
      <x:c r="B1414" s="15"/>
    </x:row>
    <x:row r="1415">
      <x:c r="A1415" s="15"/>
      <x:c r="B1415" s="15"/>
    </x:row>
    <x:row r="1416">
      <x:c r="A1416" s="15"/>
      <x:c r="B1416" s="15"/>
    </x:row>
    <x:row r="1417">
      <x:c r="A1417" s="15"/>
      <x:c r="B1417" s="15"/>
    </x:row>
    <x:row r="1418">
      <x:c r="A1418" s="15"/>
      <x:c r="B1418" s="15"/>
    </x:row>
    <x:row r="1419">
      <x:c r="A1419" s="15"/>
      <x:c r="B1419" s="15"/>
    </x:row>
    <x:row r="1420">
      <x:c r="A1420" s="15"/>
      <x:c r="B1420" s="15"/>
    </x:row>
    <x:row r="1421">
      <x:c r="A1421" s="15"/>
      <x:c r="B1421" s="15"/>
    </x:row>
    <x:row r="1422">
      <x:c r="A1422" s="15"/>
      <x:c r="B1422" s="15"/>
    </x:row>
    <x:row r="1423">
      <x:c r="A1423" s="15"/>
      <x:c r="B1423" s="15"/>
    </x:row>
    <x:row r="1424">
      <x:c r="A1424" s="15"/>
      <x:c r="B1424" s="15"/>
    </x:row>
    <x:row r="1425">
      <x:c r="A1425" s="15"/>
      <x:c r="B1425" s="15"/>
    </x:row>
    <x:row r="1426">
      <x:c r="A1426" s="15"/>
      <x:c r="B1426" s="15"/>
    </x:row>
    <x:row r="1427">
      <x:c r="A1427" s="15"/>
      <x:c r="B1427" s="15"/>
    </x:row>
    <x:row r="1428">
      <x:c r="A1428" s="15"/>
      <x:c r="B1428" s="15"/>
    </x:row>
    <x:row r="1429">
      <x:c r="A1429" s="15"/>
      <x:c r="B1429" s="15"/>
    </x:row>
    <x:row r="1430">
      <x:c r="A1430" s="15"/>
      <x:c r="B1430" s="15"/>
    </x:row>
    <x:row r="1431">
      <x:c r="A1431" s="15"/>
      <x:c r="B1431" s="15"/>
    </x:row>
    <x:row r="1432">
      <x:c r="A1432" s="15"/>
      <x:c r="B1432" s="15"/>
    </x:row>
    <x:row r="1433">
      <x:c r="A1433" s="15"/>
      <x:c r="B1433" s="15"/>
    </x:row>
    <x:row r="1434">
      <x:c r="A1434" s="15"/>
      <x:c r="B1434" s="15"/>
    </x:row>
    <x:row r="1435">
      <x:c r="A1435" s="15"/>
      <x:c r="B1435" s="15"/>
    </x:row>
    <x:row r="1436">
      <x:c r="A1436" s="15"/>
      <x:c r="B1436" s="15"/>
    </x:row>
    <x:row r="1437">
      <x:c r="A1437" s="15"/>
      <x:c r="B1437" s="15"/>
    </x:row>
    <x:row r="1438">
      <x:c r="A1438" s="15"/>
      <x:c r="B1438" s="15"/>
    </x:row>
    <x:row r="1439">
      <x:c r="A1439" s="15"/>
      <x:c r="B1439" s="15"/>
    </x:row>
    <x:row r="1440">
      <x:c r="A1440" s="15"/>
      <x:c r="B1440" s="15"/>
    </x:row>
    <x:row r="1441">
      <x:c r="A1441" s="15"/>
      <x:c r="B1441" s="15"/>
    </x:row>
    <x:row r="1442">
      <x:c r="A1442" s="15"/>
      <x:c r="B1442" s="15"/>
    </x:row>
    <x:row r="1443">
      <x:c r="A1443" s="15"/>
      <x:c r="B1443" s="15"/>
    </x:row>
    <x:row r="1444">
      <x:c r="A1444" s="15"/>
      <x:c r="B1444" s="15"/>
    </x:row>
    <x:row r="1445">
      <x:c r="A1445" s="15"/>
      <x:c r="B1445" s="15"/>
    </x:row>
    <x:row r="1446">
      <x:c r="A1446" s="15"/>
      <x:c r="B1446" s="15"/>
    </x:row>
    <x:row r="1447">
      <x:c r="A1447" s="15"/>
      <x:c r="B1447" s="15"/>
    </x:row>
    <x:row r="1448">
      <x:c r="A1448" s="15"/>
      <x:c r="B1448" s="15"/>
    </x:row>
    <x:row r="1449">
      <x:c r="A1449" s="15"/>
      <x:c r="B1449" s="15"/>
    </x:row>
    <x:row r="1450">
      <x:c r="A1450" s="15"/>
      <x:c r="B1450" s="15"/>
    </x:row>
    <x:row r="1451">
      <x:c r="A1451" s="15"/>
      <x:c r="B1451" s="15"/>
    </x:row>
    <x:row r="1452">
      <x:c r="A1452" s="15"/>
      <x:c r="B1452" s="15"/>
    </x:row>
    <x:row r="1453">
      <x:c r="A1453" s="15"/>
      <x:c r="B1453" s="15"/>
    </x:row>
    <x:row r="1454">
      <x:c r="A1454" s="15"/>
      <x:c r="B1454" s="15"/>
    </x:row>
    <x:row r="1455">
      <x:c r="A1455" s="15"/>
      <x:c r="B1455" s="15"/>
    </x:row>
    <x:row r="1456">
      <x:c r="A1456" s="15"/>
      <x:c r="B1456" s="15"/>
    </x:row>
    <x:row r="1457">
      <x:c r="A1457" s="15"/>
      <x:c r="B1457" s="15"/>
    </x:row>
    <x:row r="1458">
      <x:c r="A1458" s="15"/>
      <x:c r="B1458" s="15"/>
    </x:row>
    <x:row r="1459">
      <x:c r="A1459" s="15"/>
      <x:c r="B1459" s="15"/>
    </x:row>
    <x:row r="1460">
      <x:c r="A1460" s="15"/>
      <x:c r="B1460" s="15"/>
    </x:row>
    <x:row r="1461">
      <x:c r="A1461" s="15"/>
      <x:c r="B1461" s="15"/>
    </x:row>
    <x:row r="1462">
      <x:c r="A1462" s="15"/>
      <x:c r="B1462" s="15"/>
    </x:row>
    <x:row r="1463">
      <x:c r="A1463" s="15"/>
      <x:c r="B1463" s="15"/>
    </x:row>
    <x:row r="1464">
      <x:c r="A1464" s="15"/>
      <x:c r="B1464" s="15"/>
    </x:row>
    <x:row r="1465">
      <x:c r="A1465" s="15"/>
      <x:c r="B1465" s="15"/>
    </x:row>
    <x:row r="1466">
      <x:c r="A1466" s="15"/>
      <x:c r="B1466" s="15"/>
    </x:row>
    <x:row r="1467">
      <x:c r="A1467" s="15"/>
      <x:c r="B1467" s="15"/>
    </x:row>
    <x:row r="1468">
      <x:c r="A1468" s="15"/>
      <x:c r="B1468" s="15"/>
    </x:row>
    <x:row r="1469">
      <x:c r="A1469" s="15"/>
      <x:c r="B1469" s="15"/>
    </x:row>
    <x:row r="1470">
      <x:c r="A1470" s="15"/>
      <x:c r="B1470" s="15"/>
    </x:row>
    <x:row r="1471">
      <x:c r="A1471" s="15"/>
      <x:c r="B1471" s="15"/>
    </x:row>
    <x:row r="1472">
      <x:c r="A1472" s="15"/>
      <x:c r="B1472" s="15"/>
    </x:row>
    <x:row r="1473">
      <x:c r="A1473" s="15"/>
      <x:c r="B1473" s="15"/>
    </x:row>
    <x:row r="1474">
      <x:c r="A1474" s="15"/>
      <x:c r="B1474" s="15"/>
    </x:row>
    <x:row r="1475">
      <x:c r="A1475" s="15"/>
      <x:c r="B1475" s="15"/>
    </x:row>
    <x:row r="1476">
      <x:c r="A1476" s="15"/>
      <x:c r="B1476" s="15"/>
    </x:row>
    <x:row r="1477">
      <x:c r="A1477" s="15"/>
      <x:c r="B1477" s="15"/>
    </x:row>
    <x:row r="1478">
      <x:c r="A1478" s="15"/>
      <x:c r="B1478" s="15"/>
    </x:row>
    <x:row r="1479">
      <x:c r="A1479" s="15"/>
      <x:c r="B1479" s="15"/>
    </x:row>
    <x:row r="1480">
      <x:c r="A1480" s="15"/>
      <x:c r="B1480" s="15"/>
    </x:row>
    <x:row r="1481">
      <x:c r="A1481" s="15"/>
      <x:c r="B1481" s="15"/>
    </x:row>
    <x:row r="1482">
      <x:c r="A1482" s="15"/>
      <x:c r="B1482" s="15"/>
    </x:row>
    <x:row r="1483">
      <x:c r="A1483" s="15"/>
      <x:c r="B1483" s="15"/>
    </x:row>
    <x:row r="1484">
      <x:c r="A1484" s="15"/>
      <x:c r="B1484" s="15"/>
    </x:row>
    <x:row r="1485">
      <x:c r="A1485" s="15"/>
      <x:c r="B1485" s="15"/>
    </x:row>
    <x:row r="1486">
      <x:c r="A1486" s="15"/>
      <x:c r="B1486" s="15"/>
    </x:row>
    <x:row r="1487">
      <x:c r="A1487" s="15"/>
      <x:c r="B1487" s="15"/>
    </x:row>
    <x:row r="1488">
      <x:c r="A1488" s="15"/>
      <x:c r="B1488" s="15"/>
    </x:row>
    <x:row r="1489">
      <x:c r="A1489" s="15"/>
      <x:c r="B1489" s="15"/>
    </x:row>
    <x:row r="1490">
      <x:c r="A1490" s="15"/>
      <x:c r="B1490" s="15"/>
    </x:row>
    <x:row r="1491">
      <x:c r="A1491" s="15"/>
      <x:c r="B1491" s="15"/>
    </x:row>
    <x:row r="1492">
      <x:c r="A1492" s="15"/>
      <x:c r="B1492" s="15"/>
    </x:row>
    <x:row r="1493">
      <x:c r="A1493" s="15"/>
      <x:c r="B1493" s="15"/>
    </x:row>
    <x:row r="1494">
      <x:c r="A1494" s="15"/>
      <x:c r="B1494" s="15"/>
    </x:row>
    <x:row r="1495">
      <x:c r="A1495" s="15"/>
      <x:c r="B1495" s="15"/>
    </x:row>
    <x:row r="1496">
      <x:c r="A1496" s="15"/>
      <x:c r="B1496" s="15"/>
    </x:row>
    <x:row r="1497">
      <x:c r="A1497" s="15"/>
      <x:c r="B1497" s="15"/>
    </x:row>
    <x:row r="1498">
      <x:c r="A1498" s="15"/>
      <x:c r="B1498" s="15"/>
    </x:row>
    <x:row r="1499">
      <x:c r="A1499" s="15"/>
      <x:c r="B1499" s="15"/>
    </x:row>
    <x:row r="1500">
      <x:c r="A1500" s="15"/>
      <x:c r="B1500" s="15"/>
    </x:row>
    <x:row r="1501">
      <x:c r="A1501" s="15"/>
      <x:c r="B1501" s="15"/>
    </x:row>
    <x:row r="1502">
      <x:c r="A1502" s="15"/>
      <x:c r="B1502" s="15"/>
    </x:row>
    <x:row r="1503">
      <x:c r="A1503" s="15"/>
      <x:c r="B1503" s="15"/>
    </x:row>
    <x:row r="1504">
      <x:c r="A1504" s="15"/>
      <x:c r="B1504" s="15"/>
    </x:row>
    <x:row r="1505">
      <x:c r="A1505" s="15"/>
      <x:c r="B1505" s="15"/>
    </x:row>
    <x:row r="1506">
      <x:c r="A1506" s="15"/>
      <x:c r="B1506" s="15"/>
    </x:row>
    <x:row r="1507">
      <x:c r="A1507" s="15"/>
      <x:c r="B1507" s="15"/>
    </x:row>
    <x:row r="1508">
      <x:c r="A1508" s="15"/>
      <x:c r="B1508" s="15"/>
    </x:row>
    <x:row r="1509">
      <x:c r="A1509" s="15"/>
      <x:c r="B1509" s="15"/>
    </x:row>
    <x:row r="1510">
      <x:c r="A1510" s="15"/>
      <x:c r="B1510" s="15"/>
    </x:row>
    <x:row r="1511">
      <x:c r="A1511" s="15"/>
      <x:c r="B1511" s="15"/>
    </x:row>
    <x:row r="1512">
      <x:c r="A1512" s="15"/>
      <x:c r="B1512" s="15"/>
    </x:row>
  </x:sheetData>
  <x:mergeCells>
    <x:mergeCell ref="A2:L2"/>
    <x:mergeCell ref="A4:L4"/>
    <x:mergeCell ref="A5:L5"/>
    <x:mergeCell ref="A6:L6"/>
  </x:mergeCells>
  <x:conditionalFormatting sqref="H13:H67">
    <x:cfRule type="cellIs" dxfId="3" priority="1" operator="equal">
      <x:formula>3</x:formula>
    </x:cfRule>
  </x:conditionalFormatting>
  <x:conditionalFormatting sqref="W13:W67">
    <x:cfRule type="containsText" dxfId="2" priority="2" operator="containsText" text="需调整"/>
  </x:conditionalFormatting>
  <x:pageMargins left="0.7" right="0.7" top="0.75" bottom="0.75" header="0.3" footer="0.3"/>
  <x:drawing xmlns:r="http://schemas.openxmlformats.org/officeDocument/2006/relationships" r:id="R4d18fd08bfe24121"/>
  <x:tableParts count="1">
    <x:tablePart xmlns:r="http://schemas.openxmlformats.org/officeDocument/2006/relationships" r:id="Rba4370dc25754f82"/>
  </x:tableParts>
</x:worksheet>
</file>

<file path=xl/worksheets/sheet4.xml><?xml version="1.0" encoding="utf-8"?>
<x:worksheet xmlns:x="http://schemas.openxmlformats.org/spreadsheetml/2006/main">
  <x:sheetPr>
    <x:tabColor rgb="FF304967"/>
  </x:sheetPr>
  <x:sheetViews>
    <x:sheetView showGridLines="0" workbookViewId="0"/>
  </x:sheetViews>
  <x:sheetFormatPr defaultRowHeight="15"/>
  <x:cols>
    <x:col min="1" max="1" width="20" customWidth="1"/>
    <x:col min="2" max="32" width="14" customWidth="1"/>
    <x:col min="33" max="35" width="20" customWidth="1"/>
    <x:col min="53" max="53" width="29" customWidth="1"/>
    <x:col min="54" max="54" width="15" customWidth="1"/>
    <x:col min="55" max="55" width="46" customWidth="1"/>
    <x:col min="56" max="66" width="15" customWidth="1"/>
  </x:cols>
  <x:sheetData>
    <x:row r="1" ht="24" customHeight="1">
      <x:c r="A1" s="19"/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  <x:c r="V1" s="19"/>
      <x:c r="W1" s="19"/>
      <x:c r="X1" s="19"/>
      <x:c r="Y1" s="19"/>
      <x:c r="Z1" s="19"/>
      <x:c r="AA1" s="19"/>
      <x:c r="AB1" s="19"/>
      <x:c r="AC1" s="19"/>
      <x:c r="AD1" s="19"/>
      <x:c r="AE1" s="19"/>
      <x:c r="AF1" s="19"/>
      <x:c r="AG1" s="19"/>
      <x:c r="AH1" s="19"/>
      <x:c r="AI1" s="19"/>
      <x:c r="BA1" s="19"/>
      <x:c r="BB1" s="19"/>
      <x:c r="BC1" s="19"/>
      <x:c r="BD1" s="19"/>
      <x:c r="BE1" s="19"/>
      <x:c r="BF1" s="19"/>
      <x:c r="BG1" s="19"/>
      <x:c r="BH1" s="19"/>
      <x:c r="BI1" s="19"/>
      <x:c r="BJ1" s="19"/>
      <x:c r="BK1" s="19"/>
      <x:c r="BL1" s="19"/>
      <x:c r="BM1" s="19"/>
      <x:c r="BN1" s="19"/>
    </x:row>
    <x:row r="2" ht="24" customHeight="1">
      <x:c r="A2" s="3" t="s">
        <x:v>283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BA2" s="19"/>
      <x:c r="BB2" s="19"/>
      <x:c r="BC2" s="19"/>
      <x:c r="BD2" s="19"/>
      <x:c r="BE2" s="19"/>
      <x:c r="BF2" s="19"/>
      <x:c r="BG2" s="19"/>
      <x:c r="BH2" s="19"/>
      <x:c r="BI2" s="19"/>
      <x:c r="BJ2" s="19"/>
      <x:c r="BK2" s="19"/>
      <x:c r="BL2" s="19"/>
      <x:c r="BM2" s="19"/>
      <x:c r="BN2" s="19"/>
    </x:row>
    <x:row r="3" ht="36" customHeight="1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  <x:c r="AA3" s="19"/>
      <x:c r="AB3" s="19"/>
      <x:c r="AC3" s="19"/>
      <x:c r="AD3" s="19"/>
      <x:c r="AE3" s="19"/>
      <x:c r="AF3" s="19"/>
      <x:c r="AG3" s="19"/>
      <x:c r="AH3" s="19"/>
      <x:c r="AI3" s="19"/>
      <x:c r="BA3" s="16" t="s">
        <x:v>284</x:v>
      </x:c>
      <x:c r="BB3" s="16" t="s">
        <x:v>285</x:v>
      </x:c>
      <x:c r="BC3" s="16" t="s">
        <x:v>16</x:v>
      </x:c>
      <x:c r="BD3" s="19"/>
      <x:c r="BE3" s="19"/>
      <x:c r="BF3" s="19"/>
      <x:c r="BG3" s="19"/>
      <x:c r="BH3" s="19"/>
      <x:c r="BI3" s="19"/>
      <x:c r="BJ3" s="19"/>
      <x:c r="BK3" s="19"/>
      <x:c r="BL3" s="19"/>
      <x:c r="BM3" s="19"/>
      <x:c r="BN3" s="19"/>
    </x:row>
    <x:row r="4" ht="26.100000381469727" customHeight="1">
      <x:c r="A4" s="5" t="s">
        <x:v>286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BA4" s="19" t="s">
        <x:v>287</x:v>
      </x:c>
      <x:c r="BB4" s="23">
        <x:v>1</x:v>
      </x:c>
      <x:c r="BC4" s="19" t="s">
        <x:v>288</x:v>
      </x:c>
      <x:c r="BD4" s="19"/>
      <x:c r="BE4" s="19"/>
      <x:c r="BF4" s="19"/>
      <x:c r="BG4" s="19"/>
      <x:c r="BH4" s="19"/>
      <x:c r="BI4" s="19"/>
      <x:c r="BJ4" s="19"/>
      <x:c r="BK4" s="19"/>
      <x:c r="BL4" s="19"/>
      <x:c r="BM4" s="19"/>
      <x:c r="BN4" s="19"/>
    </x:row>
    <x:row r="5" ht="26.100000381469727" customHeight="1">
      <x:c r="A5" s="5" t="s">
        <x:v>289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19"/>
      <x:c r="S5" s="19"/>
      <x:c r="T5" s="19"/>
      <x:c r="U5" s="19"/>
      <x:c r="V5" s="19"/>
      <x:c r="W5" s="19"/>
      <x:c r="X5" s="19"/>
      <x:c r="Y5" s="19"/>
      <x:c r="Z5" s="19"/>
      <x:c r="AA5" s="19"/>
      <x:c r="AB5" s="19"/>
      <x:c r="AC5" s="19"/>
      <x:c r="AD5" s="19"/>
      <x:c r="AE5" s="19"/>
      <x:c r="AF5" s="19"/>
      <x:c r="AG5" s="19"/>
      <x:c r="AH5" s="19"/>
      <x:c r="AI5" s="19"/>
      <x:c r="BA5" s="19" t="s">
        <x:v>290</x:v>
      </x:c>
      <x:c r="BB5" s="24">
        <x:v>0.6</x:v>
      </x:c>
      <x:c r="BC5" s="19" t="s">
        <x:v>291</x:v>
      </x:c>
      <x:c r="BD5" s="19"/>
      <x:c r="BE5" s="19"/>
      <x:c r="BF5" s="19"/>
      <x:c r="BG5" s="19"/>
      <x:c r="BH5" s="19"/>
      <x:c r="BI5" s="19"/>
      <x:c r="BJ5" s="19"/>
      <x:c r="BK5" s="19"/>
      <x:c r="BL5" s="19"/>
      <x:c r="BM5" s="19"/>
      <x:c r="BN5" s="19"/>
    </x:row>
    <x:row r="6" ht="26.100000381469727" customHeight="1">
      <x:c r="A6" s="5" t="s">
        <x:v>292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BA6" s="19" t="s">
        <x:v>293</x:v>
      </x:c>
      <x:c r="BB6" s="24">
        <x:v>1.2</x:v>
      </x:c>
      <x:c r="BC6" s="19" t="s">
        <x:v>294</x:v>
      </x:c>
      <x:c r="BD6" s="19"/>
      <x:c r="BE6" s="19"/>
      <x:c r="BF6" s="19"/>
      <x:c r="BG6" s="19"/>
      <x:c r="BH6" s="19"/>
      <x:c r="BI6" s="19"/>
      <x:c r="BJ6" s="19"/>
      <x:c r="BK6" s="19"/>
      <x:c r="BL6" s="19"/>
      <x:c r="BM6" s="19"/>
      <x:c r="BN6" s="19"/>
    </x:row>
    <x:row r="7" ht="26.100000381469727" customHeight="1">
      <x:c r="A7" s="5" t="str">
        <x:f>IF(COUNT(BB22:BB25)=4,"抽卡附带经验和金币已计入。","抽卡附带经验/金币未填项未计入；结果按已知资源估算。")&amp;"可达等级按期望碎片推算，不是随机结果的保证等级。"</x:f>
        <x:v>抽卡附带经验和金币已计入。可达等级按期望碎片推算，不是随机结果的保证等级。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19"/>
      <x:c r="S7" s="19"/>
      <x:c r="T7" s="19"/>
      <x:c r="U7" s="19"/>
      <x:c r="V7" s="19"/>
      <x:c r="W7" s="19"/>
      <x:c r="X7" s="19"/>
      <x:c r="Y7" s="19"/>
      <x:c r="Z7" s="19"/>
      <x:c r="AA7" s="19"/>
      <x:c r="AB7" s="19"/>
      <x:c r="AC7" s="19"/>
      <x:c r="AD7" s="19"/>
      <x:c r="AE7" s="19"/>
      <x:c r="AF7" s="19"/>
      <x:c r="AG7" s="19"/>
      <x:c r="AH7" s="19"/>
      <x:c r="AI7" s="19"/>
      <x:c r="BA7" s="19" t="s">
        <x:v>295</x:v>
      </x:c>
      <x:c r="BB7" s="24">
        <x:v>0.2</x:v>
      </x:c>
      <x:c r="BC7" s="19" t="s">
        <x:v>296</x:v>
      </x:c>
      <x:c r="BD7" s="19"/>
      <x:c r="BE7" s="19"/>
      <x:c r="BF7" s="19"/>
      <x:c r="BG7" s="19"/>
      <x:c r="BH7" s="19"/>
      <x:c r="BI7" s="19"/>
      <x:c r="BJ7" s="19"/>
      <x:c r="BK7" s="19"/>
      <x:c r="BL7" s="19"/>
      <x:c r="BM7" s="19"/>
      <x:c r="BN7" s="19"/>
    </x:row>
    <x:row r="8" ht="24" customHeight="1">
      <x:c r="A8" s="19"/>
      <x:c r="B8" s="19"/>
      <x:c r="C8" s="19"/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BA8" s="19" t="s">
        <x:v>297</x:v>
      </x:c>
      <x:c r="BB8" s="23">
        <x:v>0.5</x:v>
      </x:c>
      <x:c r="BC8" s="19" t="s">
        <x:v>298</x:v>
      </x:c>
      <x:c r="BD8" s="19"/>
      <x:c r="BE8" s="19"/>
      <x:c r="BF8" s="19"/>
      <x:c r="BG8" s="19"/>
      <x:c r="BH8" s="19"/>
      <x:c r="BI8" s="19"/>
      <x:c r="BJ8" s="19"/>
      <x:c r="BK8" s="19"/>
      <x:c r="BL8" s="19"/>
      <x:c r="BM8" s="19"/>
      <x:c r="BN8" s="19"/>
    </x:row>
    <x:row r="9" ht="36" customHeight="1">
      <x:c r="A9" s="16" t="s">
        <x:v>299</x:v>
      </x:c>
      <x:c r="B9" s="16" t="s">
        <x:v>300</x:v>
      </x:c>
      <x:c r="C9" s="16" t="s">
        <x:v>301</x:v>
      </x:c>
      <x:c r="D9" s="16" t="s">
        <x:v>302</x:v>
      </x:c>
      <x:c r="E9" s="16" t="s">
        <x:v>303</x:v>
      </x:c>
      <x:c r="F9" s="16" t="s">
        <x:v>304</x:v>
      </x:c>
      <x:c r="G9" s="16" t="s">
        <x:v>305</x:v>
      </x:c>
      <x:c r="H9" s="16" t="s">
        <x:v>306</x:v>
      </x:c>
      <x:c r="I9" s="16" t="s">
        <x:v>307</x:v>
      </x:c>
      <x:c r="J9" s="16" t="s">
        <x:v>129</x:v>
      </x:c>
      <x:c r="K9" s="16" t="s">
        <x:v>308</x:v>
      </x:c>
      <x:c r="L9" s="16" t="s">
        <x:v>309</x:v>
      </x:c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  <x:c r="AA9" s="19"/>
      <x:c r="AB9" s="19"/>
      <x:c r="AC9" s="19"/>
      <x:c r="AD9" s="19"/>
      <x:c r="AE9" s="19"/>
      <x:c r="AF9" s="19"/>
      <x:c r="AG9" s="19"/>
      <x:c r="AH9" s="19"/>
      <x:c r="AI9" s="19"/>
      <x:c r="BA9" s="19" t="s">
        <x:v>310</x:v>
      </x:c>
      <x:c r="BB9" s="23">
        <x:v>10</x:v>
      </x:c>
      <x:c r="BC9" s="19" t="s">
        <x:v>311</x:v>
      </x:c>
      <x:c r="BD9" s="19"/>
      <x:c r="BE9" s="19"/>
      <x:c r="BF9" s="19"/>
      <x:c r="BG9" s="19"/>
      <x:c r="BH9" s="19"/>
      <x:c r="BI9" s="19"/>
      <x:c r="BJ9" s="19"/>
      <x:c r="BK9" s="19"/>
      <x:c r="BL9" s="19"/>
      <x:c r="BM9" s="19"/>
      <x:c r="BN9" s="19"/>
    </x:row>
    <x:row r="10" ht="24" customHeight="1">
      <x:c r="A10" s="19" t="s">
        <x:v>312</x:v>
      </x:c>
      <x:c r="B10" s="25" t="n">
        <x:f>G108</x:f>
        <x:v>647.0119620960274</x:v>
      </x:c>
      <x:c r="C10" s="25" t="n">
        <x:f>J108</x:f>
        <x:v>20360.23924192055</x:v>
      </x:c>
      <x:c r="D10" s="25" t="n">
        <x:f>K108</x:f>
        <x:v>30</x:v>
      </x:c>
      <x:c r="E10" s="25" t="n">
        <x:f>L108</x:f>
        <x:v>1000</x:v>
      </x:c>
      <x:c r="F10" s="25" t="n">
        <x:f>M108</x:f>
        <x:v>60</x:v>
      </x:c>
      <x:c r="G10" s="19" t="n">
        <x:f>AB108</x:f>
        <x:v>8</x:v>
      </x:c>
      <x:c r="H10" s="19" t="n">
        <x:f>AC108</x:f>
        <x:v>7</x:v>
      </x:c>
      <x:c r="I10" s="19" t="n">
        <x:f>AD108</x:f>
        <x:v>4</x:v>
      </x:c>
      <x:c r="J10" s="19" t="n">
        <x:f>$BB$38</x:f>
        <x:v>10</x:v>
      </x:c>
      <x:c r="K10" s="27" t="n">
        <x:f>B10/(INDEX(养成消耗调参!$J$148:$J$197,J10)*$BB$4)</x:f>
        <x:v>0.7094429408947669</x:v>
      </x:c>
      <x:c r="L10" s="27" t="n">
        <x:f>C10/(INDEX(养成消耗调参!$M$148:$M$197,J10)*$BB$4*$BB$21)</x:f>
        <x:v>1.3307345909751993</x:v>
      </x:c>
      <x:c r="M10" s="19"/>
      <x:c r="N10" s="5" t="s">
        <x:v>313</x:v>
      </x:c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BA10" s="19" t="s">
        <x:v>314</x:v>
      </x:c>
      <x:c r="BB10" s="23">
        <x:v>30</x:v>
      </x:c>
      <x:c r="BC10" s="19" t="s">
        <x:v>315</x:v>
      </x:c>
      <x:c r="BD10" s="19"/>
      <x:c r="BE10" s="19"/>
      <x:c r="BF10" s="19"/>
      <x:c r="BG10" s="19"/>
      <x:c r="BH10" s="19"/>
      <x:c r="BI10" s="19"/>
      <x:c r="BJ10" s="19"/>
      <x:c r="BK10" s="19"/>
      <x:c r="BL10" s="19"/>
      <x:c r="BM10" s="19"/>
      <x:c r="BN10" s="19"/>
    </x:row>
    <x:row r="11" ht="24" customHeight="1">
      <x:c r="A11" s="19" t="s">
        <x:v>316</x:v>
      </x:c>
      <x:c r="B11" s="25" t="n">
        <x:f>G118</x:f>
        <x:v>2667.3612448907306</x:v>
      </x:c>
      <x:c r="C11" s="25" t="n">
        <x:f>J118</x:f>
        <x:v>83507.22489781461</x:v>
      </x:c>
      <x:c r="D11" s="25" t="n">
        <x:f>K118</x:f>
        <x:v>60</x:v>
      </x:c>
      <x:c r="E11" s="25" t="n">
        <x:f>L118</x:f>
        <x:v>2500</x:v>
      </x:c>
      <x:c r="F11" s="25" t="n">
        <x:f>M118</x:f>
        <x:v>140</x:v>
      </x:c>
      <x:c r="G11" s="19" t="n">
        <x:f>AB118</x:f>
        <x:v>16</x:v>
      </x:c>
      <x:c r="H11" s="19" t="n">
        <x:f>AC118</x:f>
        <x:v>9</x:v>
      </x:c>
      <x:c r="I11" s="19" t="n">
        <x:f>AD118</x:f>
        <x:v>4</x:v>
      </x:c>
      <x:c r="J11" s="19" t="n">
        <x:f>$BB$39</x:f>
        <x:v>20</x:v>
      </x:c>
      <x:c r="K11" s="27" t="n">
        <x:f>B11/(INDEX(养成消耗调参!$J$148:$J$197,J11)*$BB$4)</x:f>
        <x:v>0.6576334430203971</x:v>
      </x:c>
      <x:c r="L11" s="27" t="n">
        <x:f>C11/(INDEX(养成消耗调参!$M$148:$M$197,J11)*$BB$4*$BB$21)</x:f>
        <x:v>1.271038430712551</x:v>
      </x:c>
      <x:c r="M11" s="19"/>
      <x:c r="N11" s="5" t="s">
        <x:v>317</x:v>
      </x:c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19"/>
      <x:c r="AA11" s="19"/>
      <x:c r="AB11" s="19"/>
      <x:c r="AC11" s="19"/>
      <x:c r="AD11" s="19"/>
      <x:c r="AE11" s="19"/>
      <x:c r="AF11" s="19"/>
      <x:c r="AG11" s="19"/>
      <x:c r="AH11" s="19"/>
      <x:c r="AI11" s="19"/>
      <x:c r="BA11" s="19" t="s">
        <x:v>318</x:v>
      </x:c>
      <x:c r="BB11" s="23">
        <x:v>10</x:v>
      </x:c>
      <x:c r="BC11" s="19" t="s">
        <x:v>319</x:v>
      </x:c>
      <x:c r="BD11" s="19"/>
      <x:c r="BE11" s="19"/>
      <x:c r="BF11" s="19"/>
      <x:c r="BG11" s="19"/>
      <x:c r="BH11" s="19"/>
      <x:c r="BI11" s="19"/>
      <x:c r="BJ11" s="19"/>
      <x:c r="BK11" s="19"/>
      <x:c r="BL11" s="19"/>
      <x:c r="BM11" s="19"/>
      <x:c r="BN11" s="19"/>
    </x:row>
    <x:row r="12" ht="24" customHeight="1">
      <x:c r="A12" s="19" t="s">
        <x:v>320</x:v>
      </x:c>
      <x:c r="B12" s="25" t="n">
        <x:f>G133</x:f>
        <x:v>6196.053829432123</x:v>
      </x:c>
      <x:c r="C12" s="25" t="n">
        <x:f>J133</x:f>
        <x:v>205561.07658864246</x:v>
      </x:c>
      <x:c r="D12" s="25" t="n">
        <x:f>K133</x:f>
        <x:v>90</x:v>
      </x:c>
      <x:c r="E12" s="25" t="n">
        <x:f>L133</x:f>
        <x:v>5500</x:v>
      </x:c>
      <x:c r="F12" s="25" t="n">
        <x:f>M133</x:f>
        <x:v>270</x:v>
      </x:c>
      <x:c r="G12" s="19" t="n">
        <x:f>AB133</x:f>
        <x:v>24</x:v>
      </x:c>
      <x:c r="H12" s="19" t="n">
        <x:f>AC133</x:f>
        <x:v>14</x:v>
      </x:c>
      <x:c r="I12" s="19" t="n">
        <x:f>AD133</x:f>
        <x:v>9</x:v>
      </x:c>
      <x:c r="J12" s="19" t="n">
        <x:f>$BB$40</x:f>
        <x:v>30</x:v>
      </x:c>
      <x:c r="K12" s="27" t="n">
        <x:f>B12/(INDEX(养成消耗调参!$J$148:$J$197,J12)*$BB$4)</x:f>
        <x:v>0.6470398735831373</x:v>
      </x:c>
      <x:c r="L12" s="27" t="n">
        <x:f>C12/(INDEX(养成消耗调参!$M$148:$M$197,J12)*$BB$4*$BB$21)</x:f>
        <x:v>1.2549516275252897</x:v>
      </x:c>
      <x:c r="M12" s="19"/>
      <x:c r="N12" s="5" t="s">
        <x:v>321</x:v>
      </x:c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BA12" s="19" t="s">
        <x:v>322</x:v>
      </x:c>
      <x:c r="BB12" s="23" t="n">
        <x:f>抽卡投放!D6</x:f>
        <x:v>37.95916746460676</x:v>
      </x:c>
      <x:c r="BC12" s="19" t="s">
        <x:v>323</x:v>
      </x:c>
      <x:c r="BD12" s="19"/>
      <x:c r="BE12" s="19"/>
      <x:c r="BF12" s="19"/>
      <x:c r="BG12" s="19"/>
      <x:c r="BH12" s="19"/>
      <x:c r="BI12" s="19"/>
      <x:c r="BJ12" s="19"/>
      <x:c r="BK12" s="19"/>
      <x:c r="BL12" s="19"/>
      <x:c r="BM12" s="19"/>
      <x:c r="BN12" s="19"/>
    </x:row>
    <x:row r="13" ht="24" customHeight="1">
      <x:c r="A13" s="19" t="s">
        <x:v>324</x:v>
      </x:c>
      <x:c r="B13" s="25" t="n">
        <x:f>G148</x:f>
        <x:v>11164.746413973517</x:v>
      </x:c>
      <x:c r="C13" s="25" t="n">
        <x:f>J148</x:f>
        <x:v>392414.9282794703</x:v>
      </x:c>
      <x:c r="D13" s="25" t="n">
        <x:f>K148</x:f>
        <x:v>120</x:v>
      </x:c>
      <x:c r="E13" s="25" t="n">
        <x:f>L148</x:f>
        <x:v>8500</x:v>
      </x:c>
      <x:c r="F13" s="25" t="n">
        <x:f>M148</x:f>
        <x:v>400</x:v>
      </x:c>
      <x:c r="G13" s="19" t="n">
        <x:f>AB148</x:f>
        <x:v>32</x:v>
      </x:c>
      <x:c r="H13" s="19" t="n">
        <x:f>AC148</x:f>
        <x:v>19</x:v>
      </x:c>
      <x:c r="I13" s="19" t="n">
        <x:f>AD148</x:f>
        <x:v>9</x:v>
      </x:c>
      <x:c r="J13" s="19" t="n">
        <x:f>$BB$41</x:f>
        <x:v>40</x:v>
      </x:c>
      <x:c r="K13" s="27" t="n">
        <x:f>B13/(INDEX(养成消耗调参!$J$148:$J$197,J13)*$BB$4)</x:f>
        <x:v>0.6381313679683079</x:v>
      </x:c>
      <x:c r="L13" s="27" t="n">
        <x:f>C13/(INDEX(养成消耗调参!$M$148:$M$197,J13)*$BB$4*$BB$21)</x:f>
        <x:v>1.2422124985105105</x:v>
      </x:c>
      <x:c r="M13" s="19"/>
      <x:c r="N13" s="5" t="s">
        <x:v>325</x:v>
      </x:c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19"/>
      <x:c r="AA13" s="19"/>
      <x:c r="AB13" s="19"/>
      <x:c r="AC13" s="19"/>
      <x:c r="AD13" s="19"/>
      <x:c r="AE13" s="19"/>
      <x:c r="AF13" s="19"/>
      <x:c r="AG13" s="19"/>
      <x:c r="AH13" s="19"/>
      <x:c r="AI13" s="19"/>
      <x:c r="BA13" s="19" t="s">
        <x:v>326</x:v>
      </x:c>
      <x:c r="BB13" s="23" t="n">
        <x:f>抽卡投放!D7</x:f>
        <x:v>9.995384827817997</x:v>
      </x:c>
      <x:c r="BC13" s="19" t="s">
        <x:v>327</x:v>
      </x:c>
      <x:c r="BD13" s="19"/>
      <x:c r="BE13" s="19"/>
      <x:c r="BF13" s="19"/>
      <x:c r="BG13" s="19"/>
      <x:c r="BH13" s="19"/>
      <x:c r="BI13" s="19"/>
      <x:c r="BJ13" s="19"/>
      <x:c r="BK13" s="19"/>
      <x:c r="BL13" s="19"/>
      <x:c r="BM13" s="19"/>
      <x:c r="BN13" s="19"/>
    </x:row>
    <x:row r="14" ht="24" customHeight="1">
      <x:c r="A14" s="19" t="s">
        <x:v>328</x:v>
      </x:c>
      <x:c r="B14" s="25" t="n">
        <x:f>G153</x:f>
        <x:v>17440.089715720205</x:v>
      </x:c>
      <x:c r="C14" s="25" t="n">
        <x:f>J153</x:f>
        <x:v>641401.7943144041</x:v>
      </x:c>
      <x:c r="D14" s="25" t="n">
        <x:f>K153</x:f>
        <x:v>140</x:v>
      </x:c>
      <x:c r="E14" s="25" t="n">
        <x:f>L153</x:f>
        <x:v>9500</x:v>
      </x:c>
      <x:c r="F14" s="25" t="n">
        <x:f>M153</x:f>
        <x:v>450</x:v>
      </x:c>
      <x:c r="G14" s="19" t="n">
        <x:f>AB153</x:f>
        <x:v>39</x:v>
      </x:c>
      <x:c r="H14" s="19" t="n">
        <x:f>AC153</x:f>
        <x:v>19</x:v>
      </x:c>
      <x:c r="I14" s="19" t="n">
        <x:f>AD153</x:f>
        <x:v>9</x:v>
      </x:c>
      <x:c r="J14" s="19" t="n">
        <x:f>$BB$42</x:f>
        <x:v>50</x:v>
      </x:c>
      <x:c r="K14" s="27" t="n">
        <x:f>B14/(INDEX(养成消耗调参!$J$148:$J$197,J14)*$BB$4)</x:f>
        <x:v>0.6269805045916094</x:v>
      </x:c>
      <x:c r="L14" s="27" t="n">
        <x:f>C14/(INDEX(养成消耗调参!$M$148:$M$197,J14)*$BB$4*$BB$21)</x:f>
        <x:v>1.228739069567824</x:v>
      </x:c>
      <x:c r="M14" s="19"/>
      <x:c r="N14" s="5" t="s">
        <x:v>329</x:v>
      </x:c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BA14" s="19" t="s">
        <x:v>330</x:v>
      </x:c>
      <x:c r="BB14" s="23" t="n">
        <x:f>抽卡投放!D8</x:f>
        <x:v>2.03946665956152</x:v>
      </x:c>
      <x:c r="BC14" s="19" t="s">
        <x:v>331</x:v>
      </x:c>
      <x:c r="BD14" s="19"/>
      <x:c r="BE14" s="19"/>
      <x:c r="BF14" s="19"/>
      <x:c r="BG14" s="19"/>
      <x:c r="BH14" s="19"/>
      <x:c r="BI14" s="19"/>
      <x:c r="BJ14" s="19"/>
      <x:c r="BK14" s="19"/>
      <x:c r="BL14" s="19"/>
      <x:c r="BM14" s="19"/>
      <x:c r="BN14" s="19"/>
    </x:row>
    <x:row r="15" ht="24" customHeight="1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  <x:c r="AA15" s="19"/>
      <x:c r="AB15" s="19"/>
      <x:c r="AC15" s="19"/>
      <x:c r="AD15" s="19"/>
      <x:c r="AE15" s="19"/>
      <x:c r="AF15" s="19"/>
      <x:c r="AG15" s="19"/>
      <x:c r="AH15" s="19"/>
      <x:c r="AI15" s="19"/>
      <x:c r="BA15" s="19" t="s">
        <x:v>332</x:v>
      </x:c>
      <x:c r="BB15" s="65" t="n">
        <x:f>COUNTIF(英雄升级调参!$J$18:$J$27,"蓝色")</x:f>
        <x:v>3</x:v>
      </x:c>
      <x:c r="BC15" s="64" t="s">
        <x:v>333</x:v>
      </x:c>
      <x:c r="BD15" s="19"/>
      <x:c r="BE15" s="19"/>
      <x:c r="BF15" s="19"/>
      <x:c r="BG15" s="19"/>
      <x:c r="BH15" s="19"/>
      <x:c r="BI15" s="19"/>
      <x:c r="BJ15" s="19"/>
      <x:c r="BK15" s="19"/>
      <x:c r="BL15" s="19"/>
      <x:c r="BM15" s="19"/>
      <x:c r="BN15" s="19"/>
    </x:row>
    <x:row r="16" ht="24" customHeight="1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BA16" s="19" t="s">
        <x:v>334</x:v>
      </x:c>
      <x:c r="BB16" s="65" t="n">
        <x:f>COUNTIF(英雄升级调参!$J$18:$J$27,"紫色")</x:f>
        <x:v>4</x:v>
      </x:c>
      <x:c r="BC16" s="64" t="s">
        <x:v>333</x:v>
      </x:c>
      <x:c r="BD16" s="19"/>
      <x:c r="BE16" s="19"/>
      <x:c r="BF16" s="19"/>
      <x:c r="BG16" s="19"/>
      <x:c r="BH16" s="19"/>
      <x:c r="BI16" s="19"/>
      <x:c r="BJ16" s="19"/>
      <x:c r="BK16" s="19"/>
      <x:c r="BL16" s="19"/>
      <x:c r="BM16" s="19"/>
      <x:c r="BN16" s="19"/>
    </x:row>
    <x:row r="17" ht="24" customHeight="1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  <x:c r="AA17" s="19"/>
      <x:c r="AB17" s="19"/>
      <x:c r="AC17" s="19"/>
      <x:c r="AD17" s="19"/>
      <x:c r="AE17" s="19"/>
      <x:c r="AF17" s="19"/>
      <x:c r="AG17" s="19"/>
      <x:c r="AH17" s="19"/>
      <x:c r="AI17" s="19"/>
      <x:c r="BA17" s="19" t="s">
        <x:v>335</x:v>
      </x:c>
      <x:c r="BB17" s="65" t="n">
        <x:f>COUNTIF(英雄升级调参!$J$18:$J$27,"橙色")</x:f>
        <x:v>3</x:v>
      </x:c>
      <x:c r="BC17" s="64" t="s">
        <x:v>333</x:v>
      </x:c>
      <x:c r="BD17" s="19"/>
      <x:c r="BE17" s="19"/>
      <x:c r="BF17" s="19"/>
      <x:c r="BG17" s="19"/>
      <x:c r="BH17" s="19"/>
      <x:c r="BI17" s="19"/>
      <x:c r="BJ17" s="19"/>
      <x:c r="BK17" s="19"/>
      <x:c r="BL17" s="19"/>
      <x:c r="BM17" s="19"/>
      <x:c r="BN17" s="19"/>
    </x:row>
    <x:row r="18" ht="24" customHeight="1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BA18" s="19" t="s">
        <x:v>336</x:v>
      </x:c>
      <x:c r="BB18" s="24">
        <x:v>10</x:v>
      </x:c>
      <x:c r="BC18" s="19" t="s">
        <x:v>337</x:v>
      </x:c>
      <x:c r="BD18" s="19"/>
      <x:c r="BE18" s="19"/>
      <x:c r="BF18" s="19"/>
      <x:c r="BG18" s="19"/>
      <x:c r="BH18" s="19"/>
      <x:c r="BI18" s="19"/>
      <x:c r="BJ18" s="19"/>
      <x:c r="BK18" s="19"/>
      <x:c r="BL18" s="19"/>
      <x:c r="BM18" s="19"/>
      <x:c r="BN18" s="19"/>
    </x:row>
    <x:row r="19" ht="24" customHeight="1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  <x:c r="AA19" s="19"/>
      <x:c r="AB19" s="19"/>
      <x:c r="AC19" s="19"/>
      <x:c r="AD19" s="19"/>
      <x:c r="AE19" s="19"/>
      <x:c r="AF19" s="19"/>
      <x:c r="AG19" s="19"/>
      <x:c r="AH19" s="19"/>
      <x:c r="AI19" s="19"/>
      <x:c r="BA19" s="19" t="s">
        <x:v>338</x:v>
      </x:c>
      <x:c r="BB19" s="30">
        <x:v>10</x:v>
      </x:c>
      <x:c r="BC19" s="19" t="s">
        <x:v>339</x:v>
      </x:c>
      <x:c r="BD19" s="19"/>
      <x:c r="BE19" s="19"/>
      <x:c r="BF19" s="19"/>
      <x:c r="BG19" s="19"/>
      <x:c r="BH19" s="19"/>
      <x:c r="BI19" s="19"/>
      <x:c r="BJ19" s="19"/>
      <x:c r="BK19" s="19"/>
      <x:c r="BL19" s="19"/>
      <x:c r="BM19" s="19"/>
      <x:c r="BN19" s="19"/>
    </x:row>
    <x:row r="20" ht="24" customHeight="1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BA20" s="19"/>
      <x:c r="BB20" s="23"/>
      <x:c r="BC20" s="19"/>
      <x:c r="BD20" s="19"/>
      <x:c r="BE20" s="19"/>
      <x:c r="BF20" s="19"/>
      <x:c r="BG20" s="19"/>
      <x:c r="BH20" s="19"/>
      <x:c r="BI20" s="19"/>
      <x:c r="BJ20" s="19"/>
      <x:c r="BK20" s="19"/>
      <x:c r="BL20" s="19"/>
      <x:c r="BM20" s="19"/>
      <x:c r="BN20" s="19"/>
    </x:row>
    <x:row r="21" ht="24" customHeight="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  <x:c r="P21" s="19"/>
      <x:c r="Q21" s="19"/>
      <x:c r="R21" s="19"/>
      <x:c r="S21" s="19"/>
      <x:c r="T21" s="19"/>
      <x:c r="U21" s="19"/>
      <x:c r="V21" s="19"/>
      <x:c r="W21" s="19"/>
      <x:c r="X21" s="19"/>
      <x:c r="Y21" s="19"/>
      <x:c r="Z21" s="19"/>
      <x:c r="AA21" s="19"/>
      <x:c r="AB21" s="19"/>
      <x:c r="AC21" s="19"/>
      <x:c r="AD21" s="19"/>
      <x:c r="AE21" s="19"/>
      <x:c r="AF21" s="19"/>
      <x:c r="AG21" s="19"/>
      <x:c r="AH21" s="19"/>
      <x:c r="AI21" s="19"/>
      <x:c r="BA21" s="19" t="s">
        <x:v>340</x:v>
      </x:c>
      <x:c r="BB21" s="23">
        <x:v>3</x:v>
      </x:c>
      <x:c r="BC21" s="19" t="s">
        <x:v>341</x:v>
      </x:c>
      <x:c r="BD21" s="19"/>
      <x:c r="BE21" s="19"/>
      <x:c r="BF21" s="19"/>
      <x:c r="BG21" s="19"/>
      <x:c r="BH21" s="19"/>
      <x:c r="BI21" s="19"/>
      <x:c r="BJ21" s="19"/>
      <x:c r="BK21" s="19"/>
      <x:c r="BL21" s="19"/>
      <x:c r="BM21" s="19"/>
      <x:c r="BN21" s="19"/>
    </x:row>
    <x:row r="22" ht="24" customHeight="1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BA22" s="19" t="s">
        <x:v>342</x:v>
      </x:c>
      <x:c r="BB22" s="23" t="n">
        <x:f>抽卡投放!D10</x:f>
        <x:v>16.66866034933791</x:v>
      </x:c>
      <x:c r="BC22" s="19" t="s">
        <x:v>343</x:v>
      </x:c>
      <x:c r="BD22" s="19"/>
      <x:c r="BE22" s="19"/>
      <x:c r="BF22" s="19"/>
      <x:c r="BG22" s="19"/>
      <x:c r="BH22" s="19"/>
      <x:c r="BI22" s="19"/>
      <x:c r="BJ22" s="19"/>
      <x:c r="BK22" s="19"/>
      <x:c r="BL22" s="19"/>
      <x:c r="BM22" s="19"/>
      <x:c r="BN22" s="19"/>
    </x:row>
    <x:row r="23" ht="24" customHeight="1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  <x:c r="O23" s="19"/>
      <x:c r="P23" s="19"/>
      <x:c r="Q23" s="19"/>
      <x:c r="R23" s="19"/>
      <x:c r="S23" s="19"/>
      <x:c r="T23" s="19"/>
      <x:c r="U23" s="19"/>
      <x:c r="V23" s="19"/>
      <x:c r="W23" s="19"/>
      <x:c r="X23" s="19"/>
      <x:c r="Y23" s="19"/>
      <x:c r="Z23" s="19"/>
      <x:c r="AA23" s="19"/>
      <x:c r="AB23" s="19"/>
      <x:c r="AC23" s="19"/>
      <x:c r="AD23" s="19"/>
      <x:c r="AE23" s="19"/>
      <x:c r="AF23" s="19"/>
      <x:c r="AG23" s="19"/>
      <x:c r="AH23" s="19"/>
      <x:c r="AI23" s="19"/>
      <x:c r="BA23" s="19" t="s">
        <x:v>344</x:v>
      </x:c>
      <x:c r="BB23" s="23" t="n">
        <x:f>抽卡投放!D11</x:f>
        <x:v>16.66866034933791</x:v>
      </x:c>
      <x:c r="BC23" s="19" t="s">
        <x:v>343</x:v>
      </x:c>
      <x:c r="BD23" s="19"/>
      <x:c r="BE23" s="19"/>
      <x:c r="BF23" s="19"/>
      <x:c r="BG23" s="19"/>
      <x:c r="BH23" s="19"/>
      <x:c r="BI23" s="19"/>
      <x:c r="BJ23" s="19"/>
      <x:c r="BK23" s="19"/>
      <x:c r="BL23" s="19"/>
      <x:c r="BM23" s="19"/>
      <x:c r="BN23" s="19"/>
    </x:row>
    <x:row r="24" ht="24" customHeight="1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BA24" s="19" t="s">
        <x:v>345</x:v>
      </x:c>
      <x:c r="BB24" s="23" t="n">
        <x:f>抽卡投放!D12</x:f>
        <x:v>16.66866034933791</x:v>
      </x:c>
      <x:c r="BC24" s="19" t="s">
        <x:v>343</x:v>
      </x:c>
      <x:c r="BD24" s="19"/>
      <x:c r="BE24" s="19"/>
      <x:c r="BF24" s="19"/>
      <x:c r="BG24" s="19"/>
      <x:c r="BH24" s="19"/>
      <x:c r="BI24" s="19"/>
      <x:c r="BJ24" s="19"/>
      <x:c r="BK24" s="19"/>
      <x:c r="BL24" s="19"/>
      <x:c r="BM24" s="19"/>
      <x:c r="BN24" s="19"/>
    </x:row>
    <x:row r="25" ht="24" customHeight="1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  <x:c r="O25" s="19"/>
      <x:c r="P25" s="19"/>
      <x:c r="Q25" s="19"/>
      <x:c r="R25" s="19"/>
      <x:c r="S25" s="19"/>
      <x:c r="T25" s="19"/>
      <x:c r="U25" s="19"/>
      <x:c r="V25" s="19"/>
      <x:c r="W25" s="19"/>
      <x:c r="X25" s="19"/>
      <x:c r="Y25" s="19"/>
      <x:c r="Z25" s="19"/>
      <x:c r="AA25" s="19"/>
      <x:c r="AB25" s="19"/>
      <x:c r="AC25" s="19"/>
      <x:c r="AD25" s="19"/>
      <x:c r="AE25" s="19"/>
      <x:c r="AF25" s="19"/>
      <x:c r="AG25" s="19"/>
      <x:c r="AH25" s="19"/>
      <x:c r="AI25" s="19"/>
      <x:c r="BA25" s="19" t="s">
        <x:v>346</x:v>
      </x:c>
      <x:c r="BB25" s="23" t="n">
        <x:f>抽卡投放!D9</x:f>
        <x:v>333.3732069867582</x:v>
      </x:c>
      <x:c r="BC25" s="19" t="s">
        <x:v>343</x:v>
      </x:c>
      <x:c r="BD25" s="19"/>
      <x:c r="BE25" s="19"/>
      <x:c r="BF25" s="19"/>
      <x:c r="BG25" s="19"/>
      <x:c r="BH25" s="19"/>
      <x:c r="BI25" s="19"/>
      <x:c r="BJ25" s="19"/>
      <x:c r="BK25" s="19"/>
      <x:c r="BL25" s="19"/>
      <x:c r="BM25" s="19"/>
      <x:c r="BN25" s="19"/>
    </x:row>
    <x:row r="26" ht="24" customHeight="1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BA26" s="19"/>
      <x:c r="BB26" s="19"/>
      <x:c r="BC26" s="19"/>
      <x:c r="BD26" s="19"/>
      <x:c r="BE26" s="19"/>
      <x:c r="BF26" s="19"/>
      <x:c r="BG26" s="19"/>
      <x:c r="BH26" s="19"/>
      <x:c r="BI26" s="19"/>
      <x:c r="BJ26" s="19"/>
      <x:c r="BK26" s="19"/>
      <x:c r="BL26" s="19"/>
      <x:c r="BM26" s="19"/>
      <x:c r="BN26" s="19"/>
    </x:row>
    <x:row r="27" ht="24" customHeight="1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  <x:c r="O27" s="19"/>
      <x:c r="P27" s="19"/>
      <x:c r="Q27" s="19"/>
      <x:c r="R27" s="19"/>
      <x:c r="S27" s="19"/>
      <x:c r="T27" s="19"/>
      <x:c r="U27" s="19"/>
      <x:c r="V27" s="19"/>
      <x:c r="W27" s="19"/>
      <x:c r="X27" s="19"/>
      <x:c r="Y27" s="19"/>
      <x:c r="Z27" s="19"/>
      <x:c r="AA27" s="19"/>
      <x:c r="AB27" s="19"/>
      <x:c r="AC27" s="19"/>
      <x:c r="AD27" s="19"/>
      <x:c r="AE27" s="19"/>
      <x:c r="AF27" s="19"/>
      <x:c r="AG27" s="19"/>
      <x:c r="AH27" s="19"/>
      <x:c r="AI27" s="19"/>
      <x:c r="BA27" s="19"/>
      <x:c r="BB27" s="19"/>
      <x:c r="BC27" s="19"/>
      <x:c r="BD27" s="19"/>
      <x:c r="BE27" s="19"/>
      <x:c r="BF27" s="19"/>
      <x:c r="BG27" s="19"/>
      <x:c r="BH27" s="19"/>
      <x:c r="BI27" s="19"/>
      <x:c r="BJ27" s="19"/>
      <x:c r="BK27" s="19"/>
      <x:c r="BL27" s="19"/>
      <x:c r="BM27" s="19"/>
      <x:c r="BN27" s="19"/>
    </x:row>
    <x:row r="28" ht="24" customHeight="1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/>
      <x:c r="AF28" s="19"/>
      <x:c r="AG28" s="19"/>
      <x:c r="AH28" s="19"/>
      <x:c r="AI28" s="19"/>
      <x:c r="BA28" s="22" t="s">
        <x:v>347</x:v>
      </x:c>
      <x:c r="BB28" s="19"/>
      <x:c r="BC28" s="19"/>
      <x:c r="BD28" s="19"/>
      <x:c r="BE28" s="19"/>
      <x:c r="BF28" s="19"/>
      <x:c r="BG28" s="19"/>
      <x:c r="BH28" s="19"/>
      <x:c r="BI28" s="19"/>
      <x:c r="BJ28" s="19"/>
      <x:c r="BK28" s="19"/>
      <x:c r="BL28" s="19"/>
      <x:c r="BM28" s="19"/>
      <x:c r="BN28" s="19"/>
    </x:row>
    <x:row r="29" ht="24" customHeight="1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  <x:c r="O29" s="19"/>
      <x:c r="P29" s="19"/>
      <x:c r="Q29" s="19"/>
      <x:c r="R29" s="19"/>
      <x:c r="S29" s="19"/>
      <x:c r="T29" s="19"/>
      <x:c r="U29" s="19"/>
      <x:c r="V29" s="19"/>
      <x:c r="W29" s="19"/>
      <x:c r="X29" s="19"/>
      <x:c r="Y29" s="19"/>
      <x:c r="Z29" s="19"/>
      <x:c r="AA29" s="19"/>
      <x:c r="AB29" s="19"/>
      <x:c r="AC29" s="19"/>
      <x:c r="AD29" s="19"/>
      <x:c r="AE29" s="19"/>
      <x:c r="AF29" s="19"/>
      <x:c r="AG29" s="19"/>
      <x:c r="AH29" s="19"/>
      <x:c r="AI29" s="19"/>
      <x:c r="BA29" s="22" t="s">
        <x:v>348</x:v>
      </x:c>
      <x:c r="BB29" s="19"/>
      <x:c r="BC29" s="19"/>
      <x:c r="BD29" s="19"/>
      <x:c r="BE29" s="19"/>
      <x:c r="BF29" s="19"/>
      <x:c r="BG29" s="19"/>
      <x:c r="BH29" s="19"/>
      <x:c r="BI29" s="19"/>
      <x:c r="BJ29" s="19"/>
      <x:c r="BK29" s="19"/>
      <x:c r="BL29" s="19"/>
      <x:c r="BM29" s="19"/>
      <x:c r="BN29" s="19"/>
    </x:row>
    <x:row r="30" ht="24" customHeight="1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  <x:c r="AA30" s="19"/>
      <x:c r="AB30" s="19"/>
      <x:c r="AC30" s="19"/>
      <x:c r="AD30" s="19"/>
      <x:c r="AE30" s="19"/>
      <x:c r="AF30" s="19"/>
      <x:c r="AG30" s="19"/>
      <x:c r="AH30" s="19"/>
      <x:c r="AI30" s="19"/>
      <x:c r="BA30" s="22" t="s">
        <x:v>349</x:v>
      </x:c>
      <x:c r="BB30" s="19"/>
      <x:c r="BC30" s="19"/>
      <x:c r="BD30" s="19"/>
      <x:c r="BE30" s="19"/>
      <x:c r="BF30" s="19"/>
      <x:c r="BG30" s="19"/>
      <x:c r="BH30" s="19"/>
      <x:c r="BI30" s="19"/>
      <x:c r="BJ30" s="19"/>
      <x:c r="BK30" s="19"/>
      <x:c r="BL30" s="19"/>
      <x:c r="BM30" s="19"/>
      <x:c r="BN30" s="19"/>
    </x:row>
    <x:row r="31" ht="24" customHeight="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  <x:c r="O31" s="19"/>
      <x:c r="P31" s="19"/>
      <x:c r="Q31" s="19"/>
      <x:c r="R31" s="19"/>
      <x:c r="S31" s="19"/>
      <x:c r="T31" s="19"/>
      <x:c r="U31" s="19"/>
      <x:c r="V31" s="19"/>
      <x:c r="W31" s="19"/>
      <x:c r="X31" s="19"/>
      <x:c r="Y31" s="19"/>
      <x:c r="Z31" s="19"/>
      <x:c r="AA31" s="19"/>
      <x:c r="AB31" s="19"/>
      <x:c r="AC31" s="19"/>
      <x:c r="AD31" s="19"/>
      <x:c r="AE31" s="19"/>
      <x:c r="AF31" s="19"/>
      <x:c r="AG31" s="19"/>
      <x:c r="AH31" s="19"/>
      <x:c r="AI31" s="19"/>
      <x:c r="BA31" s="22" t="s">
        <x:v>350</x:v>
      </x:c>
      <x:c r="BB31" s="19"/>
      <x:c r="BC31" s="19"/>
      <x:c r="BD31" s="19"/>
      <x:c r="BE31" s="19"/>
      <x:c r="BF31" s="19"/>
      <x:c r="BG31" s="19"/>
      <x:c r="BH31" s="19"/>
      <x:c r="BI31" s="19"/>
      <x:c r="BJ31" s="19"/>
      <x:c r="BK31" s="19"/>
      <x:c r="BL31" s="19"/>
      <x:c r="BM31" s="19"/>
      <x:c r="BN31" s="19"/>
    </x:row>
    <x:row r="32" ht="24" customHeight="1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  <x:c r="AA32" s="19"/>
      <x:c r="AB32" s="19"/>
      <x:c r="AC32" s="19"/>
      <x:c r="AD32" s="19"/>
      <x:c r="AE32" s="19"/>
      <x:c r="AF32" s="19"/>
      <x:c r="AG32" s="19"/>
      <x:c r="AH32" s="19"/>
      <x:c r="AI32" s="19"/>
      <x:c r="BA32" s="22" t="s">
        <x:v>351</x:v>
      </x:c>
      <x:c r="BB32" s="19"/>
      <x:c r="BC32" s="19"/>
      <x:c r="BD32" s="19"/>
      <x:c r="BE32" s="19"/>
      <x:c r="BF32" s="19"/>
      <x:c r="BG32" s="19"/>
      <x:c r="BH32" s="19"/>
      <x:c r="BI32" s="19"/>
      <x:c r="BJ32" s="19"/>
      <x:c r="BK32" s="19"/>
      <x:c r="BL32" s="19"/>
      <x:c r="BM32" s="19"/>
      <x:c r="BN32" s="19"/>
    </x:row>
    <x:row r="33" ht="24" customHeight="1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  <x:c r="O33" s="19"/>
      <x:c r="P33" s="19"/>
      <x:c r="Q33" s="19"/>
      <x:c r="R33" s="19"/>
      <x:c r="S33" s="19"/>
      <x:c r="T33" s="19"/>
      <x:c r="U33" s="19"/>
      <x:c r="V33" s="19"/>
      <x:c r="W33" s="19"/>
      <x:c r="X33" s="19"/>
      <x:c r="Y33" s="19"/>
      <x:c r="Z33" s="19"/>
      <x:c r="AA33" s="19"/>
      <x:c r="AB33" s="19"/>
      <x:c r="AC33" s="19"/>
      <x:c r="AD33" s="19"/>
      <x:c r="AE33" s="19"/>
      <x:c r="AF33" s="19"/>
      <x:c r="AG33" s="19"/>
      <x:c r="AH33" s="19"/>
      <x:c r="AI33" s="19"/>
      <x:c r="BA33" s="22" t="s">
        <x:v>352</x:v>
      </x:c>
      <x:c r="BB33" s="19"/>
      <x:c r="BC33" s="19"/>
      <x:c r="BD33" s="19"/>
      <x:c r="BE33" s="19"/>
      <x:c r="BF33" s="19"/>
      <x:c r="BG33" s="19"/>
      <x:c r="BH33" s="19"/>
      <x:c r="BI33" s="19"/>
      <x:c r="BJ33" s="19"/>
      <x:c r="BK33" s="19"/>
      <x:c r="BL33" s="19"/>
      <x:c r="BM33" s="19"/>
      <x:c r="BN33" s="19"/>
    </x:row>
    <x:row r="34" ht="24" customHeight="1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  <x:c r="AA34" s="19"/>
      <x:c r="AB34" s="19"/>
      <x:c r="AC34" s="19"/>
      <x:c r="AD34" s="19"/>
      <x:c r="AE34" s="19"/>
      <x:c r="AF34" s="19"/>
      <x:c r="AG34" s="19"/>
      <x:c r="AH34" s="19"/>
      <x:c r="AI34" s="19"/>
      <x:c r="BA34" s="19"/>
      <x:c r="BB34" s="19"/>
      <x:c r="BC34" s="19"/>
      <x:c r="BD34" s="19"/>
      <x:c r="BE34" s="19"/>
      <x:c r="BF34" s="19"/>
      <x:c r="BG34" s="19"/>
      <x:c r="BH34" s="19"/>
      <x:c r="BI34" s="19"/>
      <x:c r="BJ34" s="19"/>
      <x:c r="BK34" s="19"/>
      <x:c r="BL34" s="19"/>
      <x:c r="BM34" s="19"/>
      <x:c r="BN34" s="19"/>
    </x:row>
    <x:row r="35" ht="24" customHeight="1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  <x:c r="O35" s="19"/>
      <x:c r="P35" s="19"/>
      <x:c r="Q35" s="19"/>
      <x:c r="R35" s="19"/>
      <x:c r="S35" s="19"/>
      <x:c r="T35" s="19"/>
      <x:c r="U35" s="19"/>
      <x:c r="V35" s="19"/>
      <x:c r="W35" s="19"/>
      <x:c r="X35" s="19"/>
      <x:c r="Y35" s="19"/>
      <x:c r="Z35" s="19"/>
      <x:c r="AA35" s="19"/>
      <x:c r="AB35" s="19"/>
      <x:c r="AC35" s="19"/>
      <x:c r="AD35" s="19"/>
      <x:c r="AE35" s="19"/>
      <x:c r="AF35" s="19"/>
      <x:c r="AG35" s="19"/>
      <x:c r="AH35" s="19"/>
      <x:c r="AI35" s="19"/>
      <x:c r="BA35" s="19"/>
      <x:c r="BB35" s="19"/>
      <x:c r="BC35" s="19"/>
      <x:c r="BD35" s="19"/>
      <x:c r="BE35" s="19"/>
      <x:c r="BF35" s="19"/>
      <x:c r="BG35" s="19"/>
      <x:c r="BH35" s="19"/>
      <x:c r="BI35" s="19"/>
      <x:c r="BJ35" s="19"/>
      <x:c r="BK35" s="19"/>
      <x:c r="BL35" s="19"/>
      <x:c r="BM35" s="19"/>
      <x:c r="BN35" s="19"/>
    </x:row>
    <x:row r="36" ht="24" customHeight="1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  <x:c r="AA36" s="19"/>
      <x:c r="AB36" s="19"/>
      <x:c r="AC36" s="19"/>
      <x:c r="AD36" s="19"/>
      <x:c r="AE36" s="19"/>
      <x:c r="AF36" s="19"/>
      <x:c r="AG36" s="19"/>
      <x:c r="AH36" s="19"/>
      <x:c r="AI36" s="19"/>
      <x:c r="BA36" s="19"/>
      <x:c r="BB36" s="19"/>
      <x:c r="BC36" s="19"/>
      <x:c r="BD36" s="19"/>
      <x:c r="BE36" s="19"/>
      <x:c r="BF36" s="19"/>
      <x:c r="BG36" s="19"/>
      <x:c r="BH36" s="19"/>
      <x:c r="BI36" s="19"/>
      <x:c r="BJ36" s="19"/>
      <x:c r="BK36" s="19"/>
      <x:c r="BL36" s="19"/>
      <x:c r="BM36" s="19"/>
      <x:c r="BN36" s="19"/>
    </x:row>
    <x:row r="37" ht="36" customHeight="1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  <x:c r="O37" s="19"/>
      <x:c r="P37" s="19"/>
      <x:c r="Q37" s="19"/>
      <x:c r="R37" s="19"/>
      <x:c r="S37" s="19"/>
      <x:c r="T37" s="19"/>
      <x:c r="U37" s="19"/>
      <x:c r="V37" s="19"/>
      <x:c r="W37" s="19"/>
      <x:c r="X37" s="19"/>
      <x:c r="Y37" s="19"/>
      <x:c r="Z37" s="19"/>
      <x:c r="AA37" s="19"/>
      <x:c r="AB37" s="19"/>
      <x:c r="AC37" s="19"/>
      <x:c r="AD37" s="19"/>
      <x:c r="AE37" s="19"/>
      <x:c r="AF37" s="19"/>
      <x:c r="AG37" s="19"/>
      <x:c r="AH37" s="19"/>
      <x:c r="AI37" s="19"/>
      <x:c r="BA37" s="16" t="s">
        <x:v>353</x:v>
      </x:c>
      <x:c r="BB37" s="16" t="s">
        <x:v>354</x:v>
      </x:c>
      <x:c r="BC37" s="16" t="s">
        <x:v>355</x:v>
      </x:c>
      <x:c r="BD37" s="16" t="s">
        <x:v>356</x:v>
      </x:c>
      <x:c r="BE37" s="16" t="s">
        <x:v>50</x:v>
      </x:c>
      <x:c r="BF37" s="16" t="s">
        <x:v>357</x:v>
      </x:c>
      <x:c r="BG37" s="16" t="s">
        <x:v>358</x:v>
      </x:c>
      <x:c r="BH37" s="16" t="s">
        <x:v>359</x:v>
      </x:c>
      <x:c r="BI37" s="16" t="s">
        <x:v>360</x:v>
      </x:c>
      <x:c r="BJ37" s="16" t="s">
        <x:v>361</x:v>
      </x:c>
      <x:c r="BK37" s="16" t="s">
        <x:v>362</x:v>
      </x:c>
      <x:c r="BL37" s="16" t="s">
        <x:v>363</x:v>
      </x:c>
      <x:c r="BM37" s="16" t="s">
        <x:v>364</x:v>
      </x:c>
      <x:c r="BN37" s="16" t="s">
        <x:v>365</x:v>
      </x:c>
    </x:row>
    <x:row r="38" ht="36" customHeight="1">
      <x:c r="A38" s="16" t="s">
        <x:v>366</x:v>
      </x:c>
      <x:c r="B38" s="16" t="s">
        <x:v>353</x:v>
      </x:c>
      <x:c r="C38" s="16" t="s">
        <x:v>138</x:v>
      </x:c>
      <x:c r="D38" s="16" t="s">
        <x:v>367</x:v>
      </x:c>
      <x:c r="E38" s="16" t="s">
        <x:v>140</x:v>
      </x:c>
      <x:c r="F38" s="16" t="s">
        <x:v>129</x:v>
      </x:c>
      <x:c r="G38" s="16" t="s">
        <x:v>368</x:v>
      </x:c>
      <x:c r="H38" s="16" t="s">
        <x:v>369</x:v>
      </x:c>
      <x:c r="I38" s="16" t="s">
        <x:v>370</x:v>
      </x:c>
      <x:c r="J38" s="16" t="s">
        <x:v>371</x:v>
      </x:c>
      <x:c r="K38" s="16" t="s">
        <x:v>372</x:v>
      </x:c>
      <x:c r="L38" s="16" t="s">
        <x:v>373</x:v>
      </x:c>
      <x:c r="M38" s="16" t="s">
        <x:v>374</x:v>
      </x:c>
      <x:c r="N38" s="16" t="s">
        <x:v>375</x:v>
      </x:c>
      <x:c r="O38" s="16" t="s">
        <x:v>376</x:v>
      </x:c>
      <x:c r="P38" s="16" t="s">
        <x:v>377</x:v>
      </x:c>
      <x:c r="Q38" s="16" t="s">
        <x:v>378</x:v>
      </x:c>
      <x:c r="R38" s="16" t="s">
        <x:v>379</x:v>
      </x:c>
      <x:c r="S38" s="16" t="s">
        <x:v>380</x:v>
      </x:c>
      <x:c r="T38" s="19"/>
      <x:c r="U38" s="19"/>
      <x:c r="V38" s="19"/>
      <x:c r="W38" s="19"/>
      <x:c r="X38" s="19"/>
      <x:c r="Y38" s="19"/>
      <x:c r="Z38" s="19"/>
      <x:c r="AA38" s="19"/>
      <x:c r="AB38" s="19"/>
      <x:c r="AC38" s="19"/>
      <x:c r="AD38" s="19"/>
      <x:c r="AE38" s="19"/>
      <x:c r="AF38" s="19"/>
      <x:c r="AG38" s="19"/>
      <x:c r="AH38" s="19"/>
      <x:c r="AI38" s="19"/>
      <x:c r="BA38" s="19">
        <x:v>1</x:v>
      </x:c>
      <x:c r="BB38" s="19" t="n">
        <x:f>关卡数值!AA9</x:f>
        <x:v>10</x:v>
      </x:c>
      <x:c r="BC38" s="19" t="n">
        <x:f>ROUND(INDEX(养成消耗调参!$J$148:$J$197,BB38)*$BB$4*$BB$5,0)</x:f>
        <x:v>547</x:v>
      </x:c>
      <x:c r="BD38" s="19" t="n">
        <x:f>BC38</x:f>
        <x:v>547</x:v>
      </x:c>
      <x:c r="BE38" s="19" t="n">
        <x:f>ROUND((INDEX(养成消耗调参!$M$148:$M$197,BB38)*$BB$4*$BB$21*$BB$6)/$BB$19,0)*$BB$19</x:f>
        <x:v>18360</x:v>
      </x:c>
      <x:c r="BF38" s="19" t="n">
        <x:f>BE38</x:f>
        <x:v>18360</x:v>
      </x:c>
      <x:c r="BG38" s="19" t="n">
        <x:f>SUMIFS($O$39:$O$93,$B$39:$B$93,BA38)</x:f>
        <x:v>30</x:v>
      </x:c>
      <x:c r="BH38" s="19" t="n">
        <x:f>SUM(BG$38:BG38)</x:f>
        <x:v>30</x:v>
      </x:c>
      <x:c r="BI38" s="19" t="n">
        <x:f>ROUNDDOWN((BH38+BJ38/$BB$10)/$BB$11,0)*$BB$11</x:f>
        <x:v>60</x:v>
      </x:c>
      <x:c r="BJ38" s="19" t="n">
        <x:f>SUM(BK$38:BK38)</x:f>
        <x:v>1000</x:v>
      </x:c>
      <x:c r="BK38" s="19" t="n">
        <x:f>SUMIFS($P$39:$P$93,$B$39:$B$93,BA38)</x:f>
        <x:v>1000</x:v>
      </x:c>
      <x:c r="BL38" s="19" t="n">
        <x:f>SUMIFS($R$39:$R$93,$B$39:$B$93,BA38)</x:f>
        <x:v>22.4682781862041</x:v>
      </x:c>
      <x:c r="BM38" s="28">
        <x:v>100</x:v>
      </x:c>
      <x:c r="BN38" s="19" t="n">
        <x:f>INDEX(养成消耗调参!$P$148:$P$197,BB38)</x:f>
        <x:v>40</x:v>
      </x:c>
    </x:row>
    <x:row r="39" ht="24" customHeight="1">
      <x:c r="A39" s="19">
        <x:v>1</x:v>
      </x:c>
      <x:c r="B39" s="19" t="n">
        <x:f>关卡数值!A13</x:f>
        <x:v>1</x:v>
      </x:c>
      <x:c r="C39" s="19" t="n">
        <x:f>关卡数值!B13</x:f>
        <x:v>1010010</x:v>
      </x:c>
      <x:c r="D39" s="19" t="str">
        <x:f>关卡数值!C13</x:f>
        <x:v>1-1</x:v>
      </x:c>
      <x:c r="E39" s="19" t="str">
        <x:f>关卡数值!D13</x:f>
        <x:v>普通</x:v>
      </x:c>
      <x:c r="F39" s="19" t="n">
        <x:f>关卡数值!I13</x:f>
        <x:v>1</x:v>
      </x:c>
      <x:c r="G39" s="25" t="n">
        <x:f>ROUND($BD$38*SUMIFS($R$39:R39,$B$39:B39,B39)/$BL$38,0)-ROUND($BD$38*0/$BL$38,0)</x:f>
        <x:v>24</x:v>
      </x:c>
      <x:c r="H39" s="25" t="n">
        <x:f t="shared" ref="H39:H70" si="0">G39</x:f>
        <x:v>24</x:v>
      </x:c>
      <x:c r="I39" s="25" t="n">
        <x:f t="shared" ref="I39:I70" si="1">G39</x:f>
        <x:v>24</x:v>
      </x:c>
      <x:c r="J39" s="25" t="n">
        <x:f>(ROUND($BF$38*SUMIFS($R$39:R39,$B$39:B39,B39)/$BL$38/$BB$19,0)-ROUND($BF$38*0/$BL$38/$BB$19,0))*$BB$19</x:f>
        <x:v>820</x:v>
      </x:c>
      <x:c r="K39" s="25" t="n">
        <x:f t="shared" ref="K39:K70" si="2">ROUNDDOWN(G39*$BB$7,0)</x:f>
        <x:v>4</x:v>
      </x:c>
      <x:c r="L39" s="25" t="n">
        <x:f t="shared" ref="L39:L70" si="3">ROUNDDOWN(H39*$BB$7,0)</x:f>
        <x:v>4</x:v>
      </x:c>
      <x:c r="M39" s="25" t="n">
        <x:f t="shared" ref="M39:M70" si="4">ROUNDDOWN(I39*$BB$7,0)</x:f>
        <x:v>4</x:v>
      </x:c>
      <x:c r="N39" s="25" t="n">
        <x:f t="shared" ref="N39:N70" si="5">ROUNDDOWN(J39*$BB$7/$BB$19,0)*$BB$19</x:f>
        <x:v>160</x:v>
      </x:c>
      <x:c r="O39" s="25" t="n">
        <x:f>$BB$9</x:f>
        <x:v>10</x:v>
      </x:c>
      <x:c r="P39" s="25" t="n">
        <x:f t="shared" ref="P39:P70" si="6">ROUNDUP(INDEX($BM$38:$BM$42,B39)/$BB$18,0)*$BB$18</x:f>
        <x:v>100</x:v>
      </x:c>
      <x:c r="Q39" s="19" t="s">
        <x:v>381</x:v>
      </x:c>
      <x:c r="R39" s="19" t="n">
        <x:f t="shared" ref="R39:R70" si="7">A39^$BB$8</x:f>
        <x:v>1</x:v>
      </x:c>
      <x:c r="S39" s="20" t="n">
        <x:f t="shared" ref="S39:S70" si="8">P39/$BB$10</x:f>
        <x:v>3.3333333333333335</x:v>
      </x:c>
      <x:c r="T39" s="19"/>
      <x:c r="U39" s="19"/>
      <x:c r="V39" s="19"/>
      <x:c r="W39" s="19"/>
      <x:c r="X39" s="19"/>
      <x:c r="Y39" s="19"/>
      <x:c r="Z39" s="19"/>
      <x:c r="AA39" s="19"/>
      <x:c r="AB39" s="19"/>
      <x:c r="AC39" s="19"/>
      <x:c r="AD39" s="19"/>
      <x:c r="AE39" s="19"/>
      <x:c r="AF39" s="19"/>
      <x:c r="AG39" s="19"/>
      <x:c r="AH39" s="19"/>
      <x:c r="AI39" s="19"/>
      <x:c r="BA39" s="19">
        <x:v>2</x:v>
      </x:c>
      <x:c r="BB39" s="19" t="n">
        <x:f>关卡数值!AA10</x:f>
        <x:v>20</x:v>
      </x:c>
      <x:c r="BC39" s="19" t="n">
        <x:f>ROUND(INDEX(养成消耗调参!$J$148:$J$197,BB39)*$BB$4*$BB$5,0)</x:f>
        <x:v>2434</x:v>
      </x:c>
      <x:c r="BD39" s="19" t="n">
        <x:f>BC39-BC38</x:f>
        <x:v>1887</x:v>
      </x:c>
      <x:c r="BE39" s="19" t="n">
        <x:f>ROUND((INDEX(养成消耗调参!$M$148:$M$197,BB39)*$BB$4*$BB$21*$BB$6)/$BB$19,0)*$BB$19</x:f>
        <x:v>78840</x:v>
      </x:c>
      <x:c r="BF39" s="19" t="n">
        <x:f>BE39-BE38</x:f>
        <x:v>60480</x:v>
      </x:c>
      <x:c r="BG39" s="19" t="n">
        <x:f>SUMIFS($O$39:$O$93,$B$39:$B$93,BA39)</x:f>
        <x:v>30</x:v>
      </x:c>
      <x:c r="BH39" s="19" t="n">
        <x:f>SUM(BG$38:BG39)</x:f>
        <x:v>60</x:v>
      </x:c>
      <x:c r="BI39" s="19" t="n">
        <x:f>ROUNDDOWN((BH39+BJ39/$BB$10)/$BB$11,0)*$BB$11</x:f>
        <x:v>140</x:v>
      </x:c>
      <x:c r="BJ39" s="19" t="n">
        <x:f>SUM(BK$38:BK39)</x:f>
        <x:v>2500</x:v>
      </x:c>
      <x:c r="BK39" s="19" t="n">
        <x:f>SUMIFS($P$39:$P$93,$B$39:$B$93,BA39)</x:f>
        <x:v>1500</x:v>
      </x:c>
      <x:c r="BL39" s="19" t="n">
        <x:f>SUMIFS($R$39:$R$93,$B$39:$B$93,BA39)</x:f>
        <x:v>39.1976996252157</x:v>
      </x:c>
      <x:c r="BM39" s="28">
        <x:v>150</x:v>
      </x:c>
      <x:c r="BN39" s="19" t="n">
        <x:f>INDEX(养成消耗调参!$P$148:$P$197,BB39)</x:f>
        <x:v>160</x:v>
      </x:c>
    </x:row>
    <x:row r="40" ht="24" customHeight="1">
      <x:c r="A40" s="19">
        <x:v>2</x:v>
      </x:c>
      <x:c r="B40" s="19" t="n">
        <x:f>关卡数值!A14</x:f>
        <x:v>1</x:v>
      </x:c>
      <x:c r="C40" s="19" t="n">
        <x:f>关卡数值!B14</x:f>
        <x:v>1010020</x:v>
      </x:c>
      <x:c r="D40" s="19" t="str">
        <x:f>关卡数值!C14</x:f>
        <x:v>1-2</x:v>
      </x:c>
      <x:c r="E40" s="19" t="str">
        <x:f>关卡数值!D14</x:f>
        <x:v>普通</x:v>
      </x:c>
      <x:c r="F40" s="19" t="n">
        <x:f>关卡数值!I14</x:f>
        <x:v>1</x:v>
      </x:c>
      <x:c r="G40" s="25" t="n">
        <x:f>ROUND($BD$38*SUMIFS($R$39:R40,$B$39:B40,B40)/$BL$38,0)-ROUND($BD$38*SUMIFS($R$39:R39,$B$39:B39,B40)/$BL$38,0)</x:f>
        <x:v>35</x:v>
      </x:c>
      <x:c r="H40" s="25">
        <x:f t="shared" si="0"/>
        <x:v>35</x:v>
      </x:c>
      <x:c r="I40" s="25">
        <x:f t="shared" si="1"/>
        <x:v>35</x:v>
      </x:c>
      <x:c r="J40" s="25" t="n">
        <x:f>(ROUND($BF$38*SUMIFS($R$39:R40,$B$39:B40,B40)/$BL$38/$BB$19,0)-ROUND($BF$38*SUMIFS($R$39:R39,$B$39:B39,B40)/$BL$38/$BB$19,0))*$BB$19</x:f>
        <x:v>1150</x:v>
      </x:c>
      <x:c r="K40" s="25">
        <x:f t="shared" si="2"/>
        <x:v>7</x:v>
      </x:c>
      <x:c r="L40" s="25">
        <x:f t="shared" si="3"/>
        <x:v>7</x:v>
      </x:c>
      <x:c r="M40" s="25">
        <x:f t="shared" si="4"/>
        <x:v>7</x:v>
      </x:c>
      <x:c r="N40" s="25">
        <x:f t="shared" si="5"/>
        <x:v>230</x:v>
      </x:c>
      <x:c r="O40" s="25" t="n">
        <x:f>0</x:f>
        <x:v>0</x:v>
      </x:c>
      <x:c r="P40" s="25">
        <x:f t="shared" si="6"/>
        <x:v>100</x:v>
      </x:c>
      <x:c r="Q40" s="19" t="s">
        <x:v>83</x:v>
      </x:c>
      <x:c r="R40" s="19">
        <x:f t="shared" si="7"/>
        <x:v>1.4142135623730951</x:v>
      </x:c>
      <x:c r="S40" s="20">
        <x:f t="shared" si="8"/>
        <x:v>3.3333333333333335</x:v>
      </x:c>
      <x:c r="T40" s="19"/>
      <x:c r="U40" s="19"/>
      <x:c r="V40" s="19"/>
      <x:c r="W40" s="19"/>
      <x:c r="X40" s="19"/>
      <x:c r="Y40" s="19"/>
      <x:c r="Z40" s="19"/>
      <x:c r="AA40" s="19"/>
      <x:c r="AB40" s="19"/>
      <x:c r="AC40" s="19"/>
      <x:c r="AD40" s="19"/>
      <x:c r="AE40" s="19"/>
      <x:c r="AF40" s="19"/>
      <x:c r="AG40" s="19"/>
      <x:c r="AH40" s="19"/>
      <x:c r="AI40" s="19"/>
      <x:c r="BA40" s="19">
        <x:v>3</x:v>
      </x:c>
      <x:c r="BB40" s="19" t="n">
        <x:f>关卡数值!AA11</x:f>
        <x:v>30</x:v>
      </x:c>
      <x:c r="BC40" s="19" t="n">
        <x:f>ROUND(INDEX(养成消耗调参!$J$148:$J$197,BB40)*$BB$4*$BB$5,0)</x:f>
        <x:v>5746</x:v>
      </x:c>
      <x:c r="BD40" s="19" t="n">
        <x:f>BC40-BC39</x:f>
        <x:v>3312</x:v>
      </x:c>
      <x:c r="BE40" s="19" t="n">
        <x:f>ROUND((INDEX(养成消耗调参!$M$148:$M$197,BB40)*$BB$4*$BB$21*$BB$6)/$BB$19,0)*$BB$19</x:f>
        <x:v>196560</x:v>
      </x:c>
      <x:c r="BF40" s="19" t="n">
        <x:f>BE40-BE39</x:f>
        <x:v>117720</x:v>
      </x:c>
      <x:c r="BG40" s="19" t="n">
        <x:f>SUMIFS($O$39:$O$93,$B$39:$B$93,BA40)</x:f>
        <x:v>30</x:v>
      </x:c>
      <x:c r="BH40" s="19" t="n">
        <x:f>SUM(BG$38:BG40)</x:f>
        <x:v>90</x:v>
      </x:c>
      <x:c r="BI40" s="19" t="n">
        <x:f>ROUNDDOWN((BH40+BJ40/$BB$10)/$BB$11,0)*$BB$11</x:f>
        <x:v>270</x:v>
      </x:c>
      <x:c r="BJ40" s="19" t="n">
        <x:f>SUM(BK$38:BK40)</x:f>
        <x:v>5500</x:v>
      </x:c>
      <x:c r="BK40" s="19" t="n">
        <x:f>SUMIFS($P$39:$P$93,$B$39:$B$93,BA40)</x:f>
        <x:v>3000</x:v>
      </x:c>
      <x:c r="BL40" s="19" t="n">
        <x:f>SUMIFS($R$39:$R$93,$B$39:$B$93,BA40)</x:f>
        <x:v>79.13308034107845</x:v>
      </x:c>
      <x:c r="BM40" s="28">
        <x:v>200</x:v>
      </x:c>
      <x:c r="BN40" s="19" t="n">
        <x:f>INDEX(养成消耗调参!$P$148:$P$197,BB40)</x:f>
        <x:v>360</x:v>
      </x:c>
    </x:row>
    <x:row r="41" ht="24" customHeight="1">
      <x:c r="A41" s="19">
        <x:v>3</x:v>
      </x:c>
      <x:c r="B41" s="19" t="n">
        <x:f>关卡数值!A15</x:f>
        <x:v>1</x:v>
      </x:c>
      <x:c r="C41" s="19" t="n">
        <x:f>关卡数值!B15</x:f>
        <x:v>1010030</x:v>
      </x:c>
      <x:c r="D41" s="19" t="str">
        <x:f>关卡数值!C15</x:f>
        <x:v>1-3</x:v>
      </x:c>
      <x:c r="E41" s="19" t="str">
        <x:f>关卡数值!D15</x:f>
        <x:v>普通</x:v>
      </x:c>
      <x:c r="F41" s="19" t="n">
        <x:f>关卡数值!I15</x:f>
        <x:v>2</x:v>
      </x:c>
      <x:c r="G41" s="25" t="n">
        <x:f>ROUND($BD$38*SUMIFS($R$39:R41,$B$39:B41,B41)/$BL$38,0)-ROUND($BD$38*SUMIFS($R$39:R40,$B$39:B40,B41)/$BL$38,0)</x:f>
        <x:v>42</x:v>
      </x:c>
      <x:c r="H41" s="25">
        <x:f t="shared" si="0"/>
        <x:v>42</x:v>
      </x:c>
      <x:c r="I41" s="25">
        <x:f t="shared" si="1"/>
        <x:v>42</x:v>
      </x:c>
      <x:c r="J41" s="25" t="n">
        <x:f>(ROUND($BF$38*SUMIFS($R$39:R41,$B$39:B41,B41)/$BL$38/$BB$19,0)-ROUND($BF$38*SUMIFS($R$39:R40,$B$39:B40,B41)/$BL$38/$BB$19,0))*$BB$19</x:f>
        <x:v>1420</x:v>
      </x:c>
      <x:c r="K41" s="25">
        <x:f t="shared" si="2"/>
        <x:v>8</x:v>
      </x:c>
      <x:c r="L41" s="25">
        <x:f t="shared" si="3"/>
        <x:v>8</x:v>
      </x:c>
      <x:c r="M41" s="25">
        <x:f t="shared" si="4"/>
        <x:v>8</x:v>
      </x:c>
      <x:c r="N41" s="25">
        <x:f t="shared" si="5"/>
        <x:v>280</x:v>
      </x:c>
      <x:c r="O41" s="25" t="n">
        <x:f>0</x:f>
        <x:v>0</x:v>
      </x:c>
      <x:c r="P41" s="25">
        <x:f t="shared" si="6"/>
        <x:v>100</x:v>
      </x:c>
      <x:c r="Q41" s="19" t="s">
        <x:v>83</x:v>
      </x:c>
      <x:c r="R41" s="19">
        <x:f t="shared" si="7"/>
        <x:v>1.7320508075688772</x:v>
      </x:c>
      <x:c r="S41" s="20">
        <x:f t="shared" si="8"/>
        <x:v>3.3333333333333335</x:v>
      </x:c>
      <x:c r="T41" s="19"/>
      <x:c r="U41" s="19"/>
      <x:c r="V41" s="19"/>
      <x:c r="W41" s="19"/>
      <x:c r="X41" s="19"/>
      <x:c r="Y41" s="19"/>
      <x:c r="Z41" s="19"/>
      <x:c r="AA41" s="19"/>
      <x:c r="AB41" s="19"/>
      <x:c r="AC41" s="19"/>
      <x:c r="AD41" s="19"/>
      <x:c r="AE41" s="19"/>
      <x:c r="AF41" s="19"/>
      <x:c r="AG41" s="19"/>
      <x:c r="AH41" s="19"/>
      <x:c r="AI41" s="19"/>
      <x:c r="BA41" s="19">
        <x:v>4</x:v>
      </x:c>
      <x:c r="BB41" s="19" t="n">
        <x:f>关卡数值!AA12</x:f>
        <x:v>40</x:v>
      </x:c>
      <x:c r="BC41" s="19" t="n">
        <x:f>ROUND(INDEX(养成消耗调参!$J$148:$J$197,BB41)*$BB$4*$BB$5,0)</x:f>
        <x:v>10498</x:v>
      </x:c>
      <x:c r="BD41" s="19" t="n">
        <x:f>BC41-BC40</x:f>
        <x:v>4752</x:v>
      </x:c>
      <x:c r="BE41" s="19" t="n">
        <x:f>ROUND((INDEX(养成消耗调参!$M$148:$M$197,BB41)*$BB$4*$BB$21*$BB$6)/$BB$19,0)*$BB$19</x:f>
        <x:v>379080</x:v>
      </x:c>
      <x:c r="BF41" s="19" t="n">
        <x:f>BE41-BE40</x:f>
        <x:v>182520</x:v>
      </x:c>
      <x:c r="BG41" s="19" t="n">
        <x:f>SUMIFS($O$39:$O$93,$B$39:$B$93,BA41)</x:f>
        <x:v>30</x:v>
      </x:c>
      <x:c r="BH41" s="19" t="n">
        <x:f>SUM(BG$38:BG41)</x:f>
        <x:v>120</x:v>
      </x:c>
      <x:c r="BI41" s="19" t="n">
        <x:f>ROUNDDOWN((BH41+BJ41/$BB$10)/$BB$11,0)*$BB$11</x:f>
        <x:v>400</x:v>
      </x:c>
      <x:c r="BJ41" s="19" t="n">
        <x:f>SUM(BK$38:BK41)</x:f>
        <x:v>8500</x:v>
      </x:c>
      <x:c r="BK41" s="19" t="n">
        <x:f>SUMIFS($P$39:$P$93,$B$39:$B$93,BA41)</x:f>
        <x:v>3000</x:v>
      </x:c>
      <x:c r="BL41" s="19" t="n">
        <x:f>SUMIFS($R$39:$R$93,$B$39:$B$93,BA41)</x:f>
        <x:v>98.23674245102252</x:v>
      </x:c>
      <x:c r="BM41" s="28">
        <x:v>200</x:v>
      </x:c>
      <x:c r="BN41" s="19" t="n">
        <x:f>INDEX(养成消耗调参!$P$148:$P$197,BB41)</x:f>
        <x:v>640</x:v>
      </x:c>
    </x:row>
    <x:row r="42" ht="24" customHeight="1">
      <x:c r="A42" s="19">
        <x:v>4</x:v>
      </x:c>
      <x:c r="B42" s="19" t="n">
        <x:f>关卡数值!A16</x:f>
        <x:v>1</x:v>
      </x:c>
      <x:c r="C42" s="19" t="n">
        <x:f>关卡数值!B16</x:f>
        <x:v>1010040</x:v>
      </x:c>
      <x:c r="D42" s="19" t="str">
        <x:f>关卡数值!C16</x:f>
        <x:v>1-4</x:v>
      </x:c>
      <x:c r="E42" s="19" t="str">
        <x:f>关卡数值!D16</x:f>
        <x:v>普通</x:v>
      </x:c>
      <x:c r="F42" s="19" t="n">
        <x:f>关卡数值!I16</x:f>
        <x:v>2</x:v>
      </x:c>
      <x:c r="G42" s="25" t="n">
        <x:f>ROUND($BD$38*SUMIFS($R$39:R42,$B$39:B42,B42)/$BL$38,0)-ROUND($BD$38*SUMIFS($R$39:R41,$B$39:B41,B42)/$BL$38,0)</x:f>
        <x:v>49</x:v>
      </x:c>
      <x:c r="H42" s="25">
        <x:f t="shared" si="0"/>
        <x:v>49</x:v>
      </x:c>
      <x:c r="I42" s="25">
        <x:f t="shared" si="1"/>
        <x:v>49</x:v>
      </x:c>
      <x:c r="J42" s="25" t="n">
        <x:f>(ROUND($BF$38*SUMIFS($R$39:R42,$B$39:B42,B42)/$BL$38/$BB$19,0)-ROUND($BF$38*SUMIFS($R$39:R41,$B$39:B41,B42)/$BL$38/$BB$19,0))*$BB$19</x:f>
        <x:v>1630</x:v>
      </x:c>
      <x:c r="K42" s="25">
        <x:f t="shared" si="2"/>
        <x:v>9</x:v>
      </x:c>
      <x:c r="L42" s="25">
        <x:f t="shared" si="3"/>
        <x:v>9</x:v>
      </x:c>
      <x:c r="M42" s="25">
        <x:f t="shared" si="4"/>
        <x:v>9</x:v>
      </x:c>
      <x:c r="N42" s="25">
        <x:f t="shared" si="5"/>
        <x:v>320</x:v>
      </x:c>
      <x:c r="O42" s="25" t="n">
        <x:f>0</x:f>
        <x:v>0</x:v>
      </x:c>
      <x:c r="P42" s="25">
        <x:f t="shared" si="6"/>
        <x:v>100</x:v>
      </x:c>
      <x:c r="Q42" s="19" t="s">
        <x:v>83</x:v>
      </x:c>
      <x:c r="R42" s="19">
        <x:f t="shared" si="7"/>
        <x:v>2</x:v>
      </x:c>
      <x:c r="S42" s="20">
        <x:f t="shared" si="8"/>
        <x:v>3.3333333333333335</x:v>
      </x:c>
      <x:c r="T42" s="19"/>
      <x:c r="U42" s="19"/>
      <x:c r="V42" s="19"/>
      <x:c r="W42" s="19"/>
      <x:c r="X42" s="19"/>
      <x:c r="Y42" s="19"/>
      <x:c r="Z42" s="19"/>
      <x:c r="AA42" s="19"/>
      <x:c r="AB42" s="19"/>
      <x:c r="AC42" s="19"/>
      <x:c r="AD42" s="19"/>
      <x:c r="AE42" s="19"/>
      <x:c r="AF42" s="19"/>
      <x:c r="AG42" s="19"/>
      <x:c r="AH42" s="19"/>
      <x:c r="AI42" s="19"/>
      <x:c r="BA42" s="19">
        <x:v>5</x:v>
      </x:c>
      <x:c r="BB42" s="19" t="n">
        <x:f>关卡数值!AA13</x:f>
        <x:v>50</x:v>
      </x:c>
      <x:c r="BC42" s="19" t="n">
        <x:f>ROUND(INDEX(养成消耗调参!$J$148:$J$197,BB42)*$BB$4*$BB$5,0)</x:f>
        <x:v>16690</x:v>
      </x:c>
      <x:c r="BD42" s="19" t="n">
        <x:f>BC42-BC41</x:f>
        <x:v>6192</x:v>
      </x:c>
      <x:c r="BE42" s="19" t="n">
        <x:f>ROUND((INDEX(养成消耗调参!$M$148:$M$197,BB42)*$BB$4*$BB$21*$BB$6)/$BB$19,0)*$BB$19</x:f>
        <x:v>626400</x:v>
      </x:c>
      <x:c r="BF42" s="19" t="n">
        <x:f>BE42-BE41</x:f>
        <x:v>247320</x:v>
      </x:c>
      <x:c r="BG42" s="19" t="n">
        <x:f>SUMIFS($O$39:$O$93,$B$39:$B$93,BA42)</x:f>
        <x:v>20</x:v>
      </x:c>
      <x:c r="BH42" s="19" t="n">
        <x:f>SUM(BG$38:BG42)</x:f>
        <x:v>140</x:v>
      </x:c>
      <x:c r="BI42" s="19" t="n">
        <x:f>ROUNDDOWN((BH42+BJ42/$BB$10)/$BB$11,0)*$BB$11</x:f>
        <x:v>450</x:v>
      </x:c>
      <x:c r="BJ42" s="19" t="n">
        <x:f>SUM(BK$38:BK42)</x:f>
        <x:v>9500</x:v>
      </x:c>
      <x:c r="BK42" s="19" t="n">
        <x:f>SUMIFS($P$39:$P$93,$B$39:$B$93,BA42)</x:f>
        <x:v>1000</x:v>
      </x:c>
      <x:c r="BL42" s="19" t="n">
        <x:f>SUMIFS($R$39:$R$93,$B$39:$B$93,BA42)</x:f>
        <x:v>36.397308584196544</x:v>
      </x:c>
      <x:c r="BM42" s="28">
        <x:v>200</x:v>
      </x:c>
      <x:c r="BN42" s="19" t="n">
        <x:f>INDEX(养成消耗调参!$P$148:$P$197,BB42)</x:f>
        <x:v>1000</x:v>
      </x:c>
    </x:row>
    <x:row r="43" ht="24" customHeight="1">
      <x:c r="A43" s="19">
        <x:v>5</x:v>
      </x:c>
      <x:c r="B43" s="19" t="n">
        <x:f>关卡数值!A17</x:f>
        <x:v>1</x:v>
      </x:c>
      <x:c r="C43" s="19" t="n">
        <x:f>关卡数值!B17</x:f>
        <x:v>1010050</x:v>
      </x:c>
      <x:c r="D43" s="19" t="str">
        <x:f>关卡数值!C17</x:f>
        <x:v>1-5</x:v>
      </x:c>
      <x:c r="E43" s="19" t="str">
        <x:f>关卡数值!D17</x:f>
        <x:v>普通</x:v>
      </x:c>
      <x:c r="F43" s="19" t="n">
        <x:f>关卡数值!I17</x:f>
        <x:v>5</x:v>
      </x:c>
      <x:c r="G43" s="25" t="n">
        <x:f>ROUND($BD$38*SUMIFS($R$39:R43,$B$39:B43,B43)/$BL$38,0)-ROUND($BD$38*SUMIFS($R$39:R42,$B$39:B42,B43)/$BL$38,0)</x:f>
        <x:v>54</x:v>
      </x:c>
      <x:c r="H43" s="25">
        <x:f t="shared" si="0"/>
        <x:v>54</x:v>
      </x:c>
      <x:c r="I43" s="25">
        <x:f t="shared" si="1"/>
        <x:v>54</x:v>
      </x:c>
      <x:c r="J43" s="25" t="n">
        <x:f>(ROUND($BF$38*SUMIFS($R$39:R43,$B$39:B43,B43)/$BL$38/$BB$19,0)-ROUND($BF$38*SUMIFS($R$39:R42,$B$39:B42,B43)/$BL$38/$BB$19,0))*$BB$19</x:f>
        <x:v>1830</x:v>
      </x:c>
      <x:c r="K43" s="25">
        <x:f t="shared" si="2"/>
        <x:v>10</x:v>
      </x:c>
      <x:c r="L43" s="25">
        <x:f t="shared" si="3"/>
        <x:v>10</x:v>
      </x:c>
      <x:c r="M43" s="25">
        <x:f t="shared" si="4"/>
        <x:v>10</x:v>
      </x:c>
      <x:c r="N43" s="25">
        <x:f t="shared" si="5"/>
        <x:v>360</x:v>
      </x:c>
      <x:c r="O43" s="25" t="n">
        <x:f>$BB$9</x:f>
        <x:v>10</x:v>
      </x:c>
      <x:c r="P43" s="25">
        <x:f t="shared" si="6"/>
        <x:v>100</x:v>
      </x:c>
      <x:c r="Q43" s="19" t="s">
        <x:v>381</x:v>
      </x:c>
      <x:c r="R43" s="19">
        <x:f t="shared" si="7"/>
        <x:v>2.2360679774997898</x:v>
      </x:c>
      <x:c r="S43" s="20">
        <x:f t="shared" si="8"/>
        <x:v>3.3333333333333335</x:v>
      </x:c>
      <x:c r="T43" s="19"/>
      <x:c r="U43" s="19"/>
      <x:c r="V43" s="19"/>
      <x:c r="W43" s="19"/>
      <x:c r="X43" s="19"/>
      <x:c r="Y43" s="19"/>
      <x:c r="Z43" s="19"/>
      <x:c r="AA43" s="19"/>
      <x:c r="AB43" s="19"/>
      <x:c r="AC43" s="19"/>
      <x:c r="AD43" s="19"/>
      <x:c r="AE43" s="19"/>
      <x:c r="AF43" s="19"/>
      <x:c r="AG43" s="19"/>
      <x:c r="AH43" s="19"/>
      <x:c r="AI43" s="19"/>
      <x:c r="BA43" s="19"/>
      <x:c r="BB43" s="19"/>
      <x:c r="BC43" s="19"/>
      <x:c r="BD43" s="19"/>
      <x:c r="BE43" s="19"/>
      <x:c r="BF43" s="19"/>
      <x:c r="BG43" s="19"/>
      <x:c r="BH43" s="19"/>
      <x:c r="BI43" s="19"/>
      <x:c r="BJ43" s="19"/>
      <x:c r="BK43" s="19"/>
      <x:c r="BL43" s="19"/>
      <x:c r="BM43" s="19"/>
      <x:c r="BN43" s="19"/>
    </x:row>
    <x:row r="44" ht="24" customHeight="1">
      <x:c r="A44" s="19">
        <x:v>6</x:v>
      </x:c>
      <x:c r="B44" s="19" t="n">
        <x:f>关卡数值!A18</x:f>
        <x:v>1</x:v>
      </x:c>
      <x:c r="C44" s="19" t="n">
        <x:f>关卡数值!B18</x:f>
        <x:v>1010060</x:v>
      </x:c>
      <x:c r="D44" s="19" t="str">
        <x:f>关卡数值!C18</x:f>
        <x:v>1-6</x:v>
      </x:c>
      <x:c r="E44" s="19" t="str">
        <x:f>关卡数值!D18</x:f>
        <x:v>普通</x:v>
      </x:c>
      <x:c r="F44" s="19" t="n">
        <x:f>关卡数值!I18</x:f>
        <x:v>6</x:v>
      </x:c>
      <x:c r="G44" s="25" t="n">
        <x:f>ROUND($BD$38*SUMIFS($R$39:R44,$B$39:B44,B44)/$BL$38,0)-ROUND($BD$38*SUMIFS($R$39:R43,$B$39:B43,B44)/$BL$38,0)</x:f>
        <x:v>60</x:v>
      </x:c>
      <x:c r="H44" s="25">
        <x:f t="shared" si="0"/>
        <x:v>60</x:v>
      </x:c>
      <x:c r="I44" s="25">
        <x:f t="shared" si="1"/>
        <x:v>60</x:v>
      </x:c>
      <x:c r="J44" s="25" t="n">
        <x:f>(ROUND($BF$38*SUMIFS($R$39:R44,$B$39:B44,B44)/$BL$38/$BB$19,0)-ROUND($BF$38*SUMIFS($R$39:R43,$B$39:B43,B44)/$BL$38/$BB$19,0))*$BB$19</x:f>
        <x:v>2000</x:v>
      </x:c>
      <x:c r="K44" s="25">
        <x:f t="shared" si="2"/>
        <x:v>12</x:v>
      </x:c>
      <x:c r="L44" s="25">
        <x:f t="shared" si="3"/>
        <x:v>12</x:v>
      </x:c>
      <x:c r="M44" s="25">
        <x:f t="shared" si="4"/>
        <x:v>12</x:v>
      </x:c>
      <x:c r="N44" s="25">
        <x:f t="shared" si="5"/>
        <x:v>400</x:v>
      </x:c>
      <x:c r="O44" s="25" t="n">
        <x:f>0</x:f>
        <x:v>0</x:v>
      </x:c>
      <x:c r="P44" s="25">
        <x:f t="shared" si="6"/>
        <x:v>100</x:v>
      </x:c>
      <x:c r="Q44" s="19" t="s">
        <x:v>83</x:v>
      </x:c>
      <x:c r="R44" s="19">
        <x:f t="shared" si="7"/>
        <x:v>2.4494897427831779</x:v>
      </x:c>
      <x:c r="S44" s="20">
        <x:f t="shared" si="8"/>
        <x:v>3.3333333333333335</x:v>
      </x:c>
      <x:c r="T44" s="19"/>
      <x:c r="U44" s="19"/>
      <x:c r="V44" s="19"/>
      <x:c r="W44" s="19"/>
      <x:c r="X44" s="19"/>
      <x:c r="Y44" s="19"/>
      <x:c r="Z44" s="19"/>
      <x:c r="AA44" s="19"/>
      <x:c r="AB44" s="19"/>
      <x:c r="AC44" s="19"/>
      <x:c r="AD44" s="19"/>
      <x:c r="AE44" s="19"/>
      <x:c r="AF44" s="19"/>
      <x:c r="AG44" s="19"/>
      <x:c r="AH44" s="19"/>
      <x:c r="AI44" s="19"/>
      <x:c r="BA44" s="19"/>
      <x:c r="BB44" s="19"/>
      <x:c r="BC44" s="19"/>
      <x:c r="BD44" s="19"/>
      <x:c r="BE44" s="19"/>
      <x:c r="BF44" s="19"/>
      <x:c r="BG44" s="19"/>
      <x:c r="BH44" s="19"/>
      <x:c r="BI44" s="19"/>
      <x:c r="BJ44" s="19"/>
      <x:c r="BK44" s="19"/>
      <x:c r="BL44" s="19"/>
      <x:c r="BM44" s="19"/>
      <x:c r="BN44" s="19"/>
    </x:row>
    <x:row r="45" ht="24" customHeight="1">
      <x:c r="A45" s="19">
        <x:v>7</x:v>
      </x:c>
      <x:c r="B45" s="19" t="n">
        <x:f>关卡数值!A19</x:f>
        <x:v>1</x:v>
      </x:c>
      <x:c r="C45" s="19" t="n">
        <x:f>关卡数值!B19</x:f>
        <x:v>1010070</x:v>
      </x:c>
      <x:c r="D45" s="19" t="str">
        <x:f>关卡数值!C19</x:f>
        <x:v>1-7</x:v>
      </x:c>
      <x:c r="E45" s="19" t="str">
        <x:f>关卡数值!D19</x:f>
        <x:v>普通</x:v>
      </x:c>
      <x:c r="F45" s="19" t="n">
        <x:f>关卡数值!I19</x:f>
        <x:v>6</x:v>
      </x:c>
      <x:c r="G45" s="25" t="n">
        <x:f>ROUND($BD$38*SUMIFS($R$39:R45,$B$39:B45,B45)/$BL$38,0)-ROUND($BD$38*SUMIFS($R$39:R44,$B$39:B44,B45)/$BL$38,0)</x:f>
        <x:v>64</x:v>
      </x:c>
      <x:c r="H45" s="25">
        <x:f t="shared" si="0"/>
        <x:v>64</x:v>
      </x:c>
      <x:c r="I45" s="25">
        <x:f t="shared" si="1"/>
        <x:v>64</x:v>
      </x:c>
      <x:c r="J45" s="25" t="n">
        <x:f>(ROUND($BF$38*SUMIFS($R$39:R45,$B$39:B45,B45)/$BL$38/$BB$19,0)-ROUND($BF$38*SUMIFS($R$39:R44,$B$39:B44,B45)/$BL$38/$BB$19,0))*$BB$19</x:f>
        <x:v>2160</x:v>
      </x:c>
      <x:c r="K45" s="25">
        <x:f t="shared" si="2"/>
        <x:v>12</x:v>
      </x:c>
      <x:c r="L45" s="25">
        <x:f t="shared" si="3"/>
        <x:v>12</x:v>
      </x:c>
      <x:c r="M45" s="25">
        <x:f t="shared" si="4"/>
        <x:v>12</x:v>
      </x:c>
      <x:c r="N45" s="25">
        <x:f t="shared" si="5"/>
        <x:v>430</x:v>
      </x:c>
      <x:c r="O45" s="25" t="n">
        <x:f>0</x:f>
        <x:v>0</x:v>
      </x:c>
      <x:c r="P45" s="25">
        <x:f t="shared" si="6"/>
        <x:v>100</x:v>
      </x:c>
      <x:c r="Q45" s="19" t="s">
        <x:v>83</x:v>
      </x:c>
      <x:c r="R45" s="19">
        <x:f t="shared" si="7"/>
        <x:v>2.6457513110645907</x:v>
      </x:c>
      <x:c r="S45" s="20">
        <x:f t="shared" si="8"/>
        <x:v>3.3333333333333335</x:v>
      </x:c>
      <x:c r="T45" s="19"/>
      <x:c r="U45" s="19"/>
      <x:c r="V45" s="19"/>
      <x:c r="W45" s="19"/>
      <x:c r="X45" s="19"/>
      <x:c r="Y45" s="19"/>
      <x:c r="Z45" s="19"/>
      <x:c r="AA45" s="19"/>
      <x:c r="AB45" s="19"/>
      <x:c r="AC45" s="19"/>
      <x:c r="AD45" s="19"/>
      <x:c r="AE45" s="19"/>
      <x:c r="AF45" s="19"/>
      <x:c r="AG45" s="19"/>
      <x:c r="AH45" s="19"/>
      <x:c r="AI45" s="19"/>
      <x:c r="BA45" s="19"/>
      <x:c r="BB45" s="19"/>
      <x:c r="BC45" s="19"/>
      <x:c r="BD45" s="19"/>
      <x:c r="BE45" s="19"/>
      <x:c r="BF45" s="19"/>
      <x:c r="BG45" s="19"/>
      <x:c r="BH45" s="19"/>
      <x:c r="BI45" s="19"/>
      <x:c r="BJ45" s="19"/>
      <x:c r="BK45" s="19"/>
      <x:c r="BL45" s="19"/>
      <x:c r="BM45" s="19"/>
      <x:c r="BN45" s="19"/>
    </x:row>
    <x:row r="46" ht="24" customHeight="1">
      <x:c r="A46" s="19">
        <x:v>8</x:v>
      </x:c>
      <x:c r="B46" s="19" t="n">
        <x:f>关卡数值!A20</x:f>
        <x:v>1</x:v>
      </x:c>
      <x:c r="C46" s="19" t="n">
        <x:f>关卡数值!B20</x:f>
        <x:v>1010071</x:v>
      </x:c>
      <x:c r="D46" s="19" t="str">
        <x:f>关卡数值!C20</x:f>
        <x:v>1-7</x:v>
      </x:c>
      <x:c r="E46" s="19" t="str">
        <x:f>关卡数值!D20</x:f>
        <x:v>终章</x:v>
      </x:c>
      <x:c r="F46" s="19" t="n">
        <x:f>关卡数值!I20</x:f>
        <x:v>7</x:v>
      </x:c>
      <x:c r="G46" s="25" t="n">
        <x:f>ROUND($BD$38*SUMIFS($R$39:R46,$B$39:B46,B46)/$BL$38,0)-ROUND($BD$38*SUMIFS($R$39:R45,$B$39:B45,B46)/$BL$38,0)</x:f>
        <x:v>69</x:v>
      </x:c>
      <x:c r="H46" s="25">
        <x:f t="shared" si="0"/>
        <x:v>69</x:v>
      </x:c>
      <x:c r="I46" s="25">
        <x:f t="shared" si="1"/>
        <x:v>69</x:v>
      </x:c>
      <x:c r="J46" s="25" t="n">
        <x:f>(ROUND($BF$38*SUMIFS($R$39:R46,$B$39:B46,B46)/$BL$38/$BB$19,0)-ROUND($BF$38*SUMIFS($R$39:R45,$B$39:B45,B46)/$BL$38/$BB$19,0))*$BB$19</x:f>
        <x:v>2310</x:v>
      </x:c>
      <x:c r="K46" s="25">
        <x:f t="shared" si="2"/>
        <x:v>13</x:v>
      </x:c>
      <x:c r="L46" s="25">
        <x:f t="shared" si="3"/>
        <x:v>13</x:v>
      </x:c>
      <x:c r="M46" s="25">
        <x:f t="shared" si="4"/>
        <x:v>13</x:v>
      </x:c>
      <x:c r="N46" s="25">
        <x:f t="shared" si="5"/>
        <x:v>460</x:v>
      </x:c>
      <x:c r="O46" s="25" t="n">
        <x:f>0</x:f>
        <x:v>0</x:v>
      </x:c>
      <x:c r="P46" s="25">
        <x:f t="shared" si="6"/>
        <x:v>100</x:v>
      </x:c>
      <x:c r="Q46" s="19" t="s">
        <x:v>83</x:v>
      </x:c>
      <x:c r="R46" s="19">
        <x:f t="shared" si="7"/>
        <x:v>2.8284271247461903</x:v>
      </x:c>
      <x:c r="S46" s="20">
        <x:f t="shared" si="8"/>
        <x:v>3.3333333333333335</x:v>
      </x:c>
      <x:c r="T46" s="19"/>
      <x:c r="U46" s="19"/>
      <x:c r="V46" s="19"/>
      <x:c r="W46" s="19"/>
      <x:c r="X46" s="19"/>
      <x:c r="Y46" s="19"/>
      <x:c r="Z46" s="19"/>
      <x:c r="AA46" s="19"/>
      <x:c r="AB46" s="19"/>
      <x:c r="AC46" s="19"/>
      <x:c r="AD46" s="19"/>
      <x:c r="AE46" s="19"/>
      <x:c r="AF46" s="19"/>
      <x:c r="AG46" s="19"/>
      <x:c r="AH46" s="19"/>
      <x:c r="AI46" s="19"/>
      <x:c r="BA46" s="19"/>
      <x:c r="BB46" s="19"/>
      <x:c r="BC46" s="19"/>
      <x:c r="BD46" s="19"/>
      <x:c r="BE46" s="19"/>
      <x:c r="BF46" s="19"/>
      <x:c r="BG46" s="19"/>
      <x:c r="BH46" s="19"/>
      <x:c r="BI46" s="19"/>
      <x:c r="BJ46" s="19"/>
      <x:c r="BK46" s="19"/>
      <x:c r="BL46" s="19"/>
      <x:c r="BM46" s="19"/>
      <x:c r="BN46" s="19"/>
    </x:row>
    <x:row r="47" ht="24" customHeight="1">
      <x:c r="A47" s="19">
        <x:v>9</x:v>
      </x:c>
      <x:c r="B47" s="19" t="n">
        <x:f>关卡数值!A21</x:f>
        <x:v>1</x:v>
      </x:c>
      <x:c r="C47" s="19" t="n">
        <x:f>关卡数值!B21</x:f>
        <x:v>1010072</x:v>
      </x:c>
      <x:c r="D47" s="19" t="str">
        <x:f>关卡数值!C21</x:f>
        <x:v>1-7</x:v>
      </x:c>
      <x:c r="E47" s="19" t="str">
        <x:f>关卡数值!D21</x:f>
        <x:v>终章</x:v>
      </x:c>
      <x:c r="F47" s="19" t="n">
        <x:f>关卡数值!I21</x:f>
        <x:v>10</x:v>
      </x:c>
      <x:c r="G47" s="25" t="n">
        <x:f>ROUND($BD$38*SUMIFS($R$39:R47,$B$39:B47,B47)/$BL$38,0)-ROUND($BD$38*SUMIFS($R$39:R46,$B$39:B46,B47)/$BL$38,0)</x:f>
        <x:v>73</x:v>
      </x:c>
      <x:c r="H47" s="25">
        <x:f t="shared" si="0"/>
        <x:v>73</x:v>
      </x:c>
      <x:c r="I47" s="25">
        <x:f t="shared" si="1"/>
        <x:v>73</x:v>
      </x:c>
      <x:c r="J47" s="25" t="n">
        <x:f>(ROUND($BF$38*SUMIFS($R$39:R47,$B$39:B47,B47)/$BL$38/$BB$19,0)-ROUND($BF$38*SUMIFS($R$39:R46,$B$39:B46,B47)/$BL$38/$BB$19,0))*$BB$19</x:f>
        <x:v>2460</x:v>
      </x:c>
      <x:c r="K47" s="25">
        <x:f t="shared" si="2"/>
        <x:v>14</x:v>
      </x:c>
      <x:c r="L47" s="25">
        <x:f t="shared" si="3"/>
        <x:v>14</x:v>
      </x:c>
      <x:c r="M47" s="25">
        <x:f t="shared" si="4"/>
        <x:v>14</x:v>
      </x:c>
      <x:c r="N47" s="25">
        <x:f t="shared" si="5"/>
        <x:v>490</x:v>
      </x:c>
      <x:c r="O47" s="25" t="n">
        <x:f>$BB$9</x:f>
        <x:v>10</x:v>
      </x:c>
      <x:c r="P47" s="25">
        <x:f t="shared" si="6"/>
        <x:v>100</x:v>
      </x:c>
      <x:c r="Q47" s="19" t="s">
        <x:v>381</x:v>
      </x:c>
      <x:c r="R47" s="19">
        <x:f t="shared" si="7"/>
        <x:v>3</x:v>
      </x:c>
      <x:c r="S47" s="20">
        <x:f t="shared" si="8"/>
        <x:v>3.3333333333333335</x:v>
      </x:c>
      <x:c r="T47" s="19"/>
      <x:c r="U47" s="19"/>
      <x:c r="V47" s="19"/>
      <x:c r="W47" s="19"/>
      <x:c r="X47" s="19"/>
      <x:c r="Y47" s="19"/>
      <x:c r="Z47" s="19"/>
      <x:c r="AA47" s="19"/>
      <x:c r="AB47" s="19"/>
      <x:c r="AC47" s="19"/>
      <x:c r="AD47" s="19"/>
      <x:c r="AE47" s="19"/>
      <x:c r="AF47" s="19"/>
      <x:c r="AG47" s="19"/>
      <x:c r="AH47" s="19"/>
      <x:c r="AI47" s="19"/>
      <x:c r="BA47" s="19"/>
      <x:c r="BB47" s="19"/>
      <x:c r="BC47" s="19"/>
      <x:c r="BD47" s="19"/>
      <x:c r="BE47" s="19"/>
      <x:c r="BF47" s="19"/>
      <x:c r="BG47" s="19"/>
      <x:c r="BH47" s="19"/>
      <x:c r="BI47" s="19"/>
      <x:c r="BJ47" s="19"/>
      <x:c r="BK47" s="19"/>
      <x:c r="BL47" s="19"/>
      <x:c r="BM47" s="19"/>
      <x:c r="BN47" s="19"/>
    </x:row>
    <x:row r="48" ht="24" customHeight="1">
      <x:c r="A48" s="19">
        <x:v>10</x:v>
      </x:c>
      <x:c r="B48" s="19" t="n">
        <x:f>关卡数值!A22</x:f>
        <x:v>1</x:v>
      </x:c>
      <x:c r="C48" s="19" t="n">
        <x:f>关卡数值!B22</x:f>
        <x:v>1010073</x:v>
      </x:c>
      <x:c r="D48" s="19" t="str">
        <x:f>关卡数值!C22</x:f>
        <x:v>1-7</x:v>
      </x:c>
      <x:c r="E48" s="19" t="str">
        <x:f>关卡数值!D22</x:f>
        <x:v>加演</x:v>
      </x:c>
      <x:c r="F48" s="19" t="n">
        <x:f>关卡数值!I22</x:f>
        <x:v>10</x:v>
      </x:c>
      <x:c r="G48" s="25" t="n">
        <x:f>ROUND($BD$38*SUMIFS($R$39:R48,$B$39:B48,B48)/$BL$38,0)-ROUND($BD$38*SUMIFS($R$39:R47,$B$39:B47,B48)/$BL$38,0)</x:f>
        <x:v>77</x:v>
      </x:c>
      <x:c r="H48" s="25">
        <x:f t="shared" si="0"/>
        <x:v>77</x:v>
      </x:c>
      <x:c r="I48" s="25">
        <x:f t="shared" si="1"/>
        <x:v>77</x:v>
      </x:c>
      <x:c r="J48" s="25" t="n">
        <x:f>(ROUND($BF$38*SUMIFS($R$39:R48,$B$39:B48,B48)/$BL$38/$BB$19,0)-ROUND($BF$38*SUMIFS($R$39:R47,$B$39:B47,B48)/$BL$38/$BB$19,0))*$BB$19</x:f>
        <x:v>2580</x:v>
      </x:c>
      <x:c r="K48" s="25">
        <x:f t="shared" si="2"/>
        <x:v>15</x:v>
      </x:c>
      <x:c r="L48" s="25">
        <x:f t="shared" si="3"/>
        <x:v>15</x:v>
      </x:c>
      <x:c r="M48" s="25">
        <x:f t="shared" si="4"/>
        <x:v>15</x:v>
      </x:c>
      <x:c r="N48" s="25">
        <x:f t="shared" si="5"/>
        <x:v>510</x:v>
      </x:c>
      <x:c r="O48" s="25" t="n">
        <x:f>0</x:f>
        <x:v>0</x:v>
      </x:c>
      <x:c r="P48" s="25">
        <x:f t="shared" si="6"/>
        <x:v>100</x:v>
      </x:c>
      <x:c r="Q48" s="19" t="s">
        <x:v>83</x:v>
      </x:c>
      <x:c r="R48" s="19">
        <x:f t="shared" si="7"/>
        <x:v>3.1622776601683795</x:v>
      </x:c>
      <x:c r="S48" s="20">
        <x:f t="shared" si="8"/>
        <x:v>3.3333333333333335</x:v>
      </x:c>
      <x:c r="T48" s="19"/>
      <x:c r="U48" s="19"/>
      <x:c r="V48" s="19"/>
      <x:c r="W48" s="19"/>
      <x:c r="X48" s="19"/>
      <x:c r="Y48" s="19"/>
      <x:c r="Z48" s="19"/>
      <x:c r="AA48" s="19"/>
      <x:c r="AB48" s="19"/>
      <x:c r="AC48" s="19"/>
      <x:c r="AD48" s="19"/>
      <x:c r="AE48" s="19"/>
      <x:c r="AF48" s="19"/>
      <x:c r="AG48" s="19"/>
      <x:c r="AH48" s="19"/>
      <x:c r="AI48" s="19"/>
      <x:c r="BA48" s="19"/>
      <x:c r="BB48" s="19"/>
      <x:c r="BC48" s="19"/>
      <x:c r="BD48" s="19"/>
      <x:c r="BE48" s="19"/>
      <x:c r="BF48" s="19"/>
      <x:c r="BG48" s="19"/>
      <x:c r="BH48" s="19"/>
      <x:c r="BI48" s="19"/>
      <x:c r="BJ48" s="19"/>
      <x:c r="BK48" s="19"/>
      <x:c r="BL48" s="19"/>
      <x:c r="BM48" s="19"/>
      <x:c r="BN48" s="19"/>
    </x:row>
    <x:row r="49" ht="24" customHeight="1">
      <x:c r="A49" s="19">
        <x:v>11</x:v>
      </x:c>
      <x:c r="B49" s="19" t="n">
        <x:f>关卡数值!A23</x:f>
        <x:v>2</x:v>
      </x:c>
      <x:c r="C49" s="19" t="n">
        <x:f>关卡数值!B23</x:f>
        <x:v>1020010</x:v>
      </x:c>
      <x:c r="D49" s="19" t="str">
        <x:f>关卡数值!C23</x:f>
        <x:v>2-1</x:v>
      </x:c>
      <x:c r="E49" s="19" t="str">
        <x:f>关卡数值!D23</x:f>
        <x:v>普通</x:v>
      </x:c>
      <x:c r="F49" s="19" t="n">
        <x:f>关卡数值!I23</x:f>
        <x:v>11</x:v>
      </x:c>
      <x:c r="G49" s="25" t="n">
        <x:f>ROUND($BD$39*SUMIFS($R$39:R49,$B$39:B49,B49)/$BL$39,0)-ROUND($BD$39*0/$BL$39,0)</x:f>
        <x:v>160</x:v>
      </x:c>
      <x:c r="H49" s="25">
        <x:f t="shared" si="0"/>
        <x:v>160</x:v>
      </x:c>
      <x:c r="I49" s="25">
        <x:f t="shared" si="1"/>
        <x:v>160</x:v>
      </x:c>
      <x:c r="J49" s="25" t="n">
        <x:f>(ROUND($BF$39*SUMIFS($R$39:R49,$B$39:B49,B49)/$BL$39/$BB$19,0)-ROUND($BF$39*0/$BL$39/$BB$19,0))*$BB$19</x:f>
        <x:v>5120</x:v>
      </x:c>
      <x:c r="K49" s="25">
        <x:f t="shared" si="2"/>
        <x:v>32</x:v>
      </x:c>
      <x:c r="L49" s="25">
        <x:f t="shared" si="3"/>
        <x:v>32</x:v>
      </x:c>
      <x:c r="M49" s="25">
        <x:f t="shared" si="4"/>
        <x:v>32</x:v>
      </x:c>
      <x:c r="N49" s="25">
        <x:f t="shared" si="5"/>
        <x:v>1020</x:v>
      </x:c>
      <x:c r="O49" s="25" t="n">
        <x:f>$BB$9</x:f>
        <x:v>10</x:v>
      </x:c>
      <x:c r="P49" s="25">
        <x:f t="shared" si="6"/>
        <x:v>150</x:v>
      </x:c>
      <x:c r="Q49" s="19" t="s">
        <x:v>381</x:v>
      </x:c>
      <x:c r="R49" s="19">
        <x:f t="shared" si="7"/>
        <x:v>3.3166247903553998</x:v>
      </x:c>
      <x:c r="S49" s="20">
        <x:f t="shared" si="8"/>
        <x:v>5</x:v>
      </x:c>
      <x:c r="T49" s="19"/>
      <x:c r="U49" s="19"/>
      <x:c r="V49" s="19"/>
      <x:c r="W49" s="19"/>
      <x:c r="X49" s="19"/>
      <x:c r="Y49" s="19"/>
      <x:c r="Z49" s="19"/>
      <x:c r="AA49" s="19"/>
      <x:c r="AB49" s="19"/>
      <x:c r="AC49" s="19"/>
      <x:c r="AD49" s="19"/>
      <x:c r="AE49" s="19"/>
      <x:c r="AF49" s="19"/>
      <x:c r="AG49" s="19"/>
      <x:c r="AH49" s="19"/>
      <x:c r="AI49" s="19"/>
      <x:c r="BA49" s="19"/>
      <x:c r="BB49" s="19"/>
      <x:c r="BC49" s="19"/>
      <x:c r="BD49" s="19"/>
      <x:c r="BE49" s="19"/>
      <x:c r="BF49" s="19"/>
      <x:c r="BG49" s="19"/>
      <x:c r="BH49" s="19"/>
      <x:c r="BI49" s="19"/>
      <x:c r="BJ49" s="19"/>
      <x:c r="BK49" s="19"/>
      <x:c r="BL49" s="19"/>
      <x:c r="BM49" s="19"/>
      <x:c r="BN49" s="19"/>
    </x:row>
    <x:row r="50" ht="24" customHeight="1">
      <x:c r="A50" s="19">
        <x:v>12</x:v>
      </x:c>
      <x:c r="B50" s="19" t="n">
        <x:f>关卡数值!A24</x:f>
        <x:v>2</x:v>
      </x:c>
      <x:c r="C50" s="19" t="n">
        <x:f>关卡数值!B24</x:f>
        <x:v>1020020</x:v>
      </x:c>
      <x:c r="D50" s="19" t="str">
        <x:f>关卡数值!C24</x:f>
        <x:v>2-2</x:v>
      </x:c>
      <x:c r="E50" s="19" t="str">
        <x:f>关卡数值!D24</x:f>
        <x:v>普通</x:v>
      </x:c>
      <x:c r="F50" s="19" t="n">
        <x:f>关卡数值!I24</x:f>
        <x:v>11</x:v>
      </x:c>
      <x:c r="G50" s="25" t="n">
        <x:f>ROUND($BD$39*SUMIFS($R$39:R50,$B$39:B50,B50)/$BL$39,0)-ROUND($BD$39*SUMIFS($R$39:R49,$B$39:B49,B50)/$BL$39,0)</x:f>
        <x:v>166</x:v>
      </x:c>
      <x:c r="H50" s="25">
        <x:f t="shared" si="0"/>
        <x:v>166</x:v>
      </x:c>
      <x:c r="I50" s="25">
        <x:f t="shared" si="1"/>
        <x:v>166</x:v>
      </x:c>
      <x:c r="J50" s="25" t="n">
        <x:f>(ROUND($BF$39*SUMIFS($R$39:R50,$B$39:B50,B50)/$BL$39/$BB$19,0)-ROUND($BF$39*SUMIFS($R$39:R49,$B$39:B49,B50)/$BL$39/$BB$19,0))*$BB$19</x:f>
        <x:v>5340</x:v>
      </x:c>
      <x:c r="K50" s="25">
        <x:f t="shared" si="2"/>
        <x:v>33</x:v>
      </x:c>
      <x:c r="L50" s="25">
        <x:f t="shared" si="3"/>
        <x:v>33</x:v>
      </x:c>
      <x:c r="M50" s="25">
        <x:f t="shared" si="4"/>
        <x:v>33</x:v>
      </x:c>
      <x:c r="N50" s="25">
        <x:f t="shared" si="5"/>
        <x:v>1060</x:v>
      </x:c>
      <x:c r="O50" s="25" t="n">
        <x:f>0</x:f>
        <x:v>0</x:v>
      </x:c>
      <x:c r="P50" s="25">
        <x:f t="shared" si="6"/>
        <x:v>150</x:v>
      </x:c>
      <x:c r="Q50" s="19" t="s">
        <x:v>83</x:v>
      </x:c>
      <x:c r="R50" s="19">
        <x:f t="shared" si="7"/>
        <x:v>3.4641016151377544</x:v>
      </x:c>
      <x:c r="S50" s="20">
        <x:f t="shared" si="8"/>
        <x:v>5</x:v>
      </x:c>
      <x:c r="T50" s="19"/>
      <x:c r="U50" s="19"/>
      <x:c r="V50" s="19"/>
      <x:c r="W50" s="19"/>
      <x:c r="X50" s="19"/>
      <x:c r="Y50" s="19"/>
      <x:c r="Z50" s="19"/>
      <x:c r="AA50" s="19"/>
      <x:c r="AB50" s="19"/>
      <x:c r="AC50" s="19"/>
      <x:c r="AD50" s="19"/>
      <x:c r="AE50" s="19"/>
      <x:c r="AF50" s="19"/>
      <x:c r="AG50" s="19"/>
      <x:c r="AH50" s="19"/>
      <x:c r="AI50" s="19"/>
      <x:c r="BA50" s="19"/>
      <x:c r="BB50" s="19"/>
      <x:c r="BC50" s="19"/>
      <x:c r="BD50" s="19"/>
      <x:c r="BE50" s="19"/>
      <x:c r="BF50" s="19"/>
      <x:c r="BG50" s="19"/>
      <x:c r="BH50" s="19"/>
      <x:c r="BI50" s="19"/>
      <x:c r="BJ50" s="19"/>
      <x:c r="BK50" s="19"/>
      <x:c r="BL50" s="19"/>
      <x:c r="BM50" s="19"/>
      <x:c r="BN50" s="19"/>
    </x:row>
    <x:row r="51" ht="23.100000381469727" customHeight="1">
      <x:c r="A51" s="19">
        <x:v>13</x:v>
      </x:c>
      <x:c r="B51" s="19" t="n">
        <x:f>关卡数值!A25</x:f>
        <x:v>2</x:v>
      </x:c>
      <x:c r="C51" s="19" t="n">
        <x:f>关卡数值!B25</x:f>
        <x:v>1020030</x:v>
      </x:c>
      <x:c r="D51" s="19" t="str">
        <x:f>关卡数值!C25</x:f>
        <x:v>2-3</x:v>
      </x:c>
      <x:c r="E51" s="19" t="str">
        <x:f>关卡数值!D25</x:f>
        <x:v>普通</x:v>
      </x:c>
      <x:c r="F51" s="19" t="n">
        <x:f>关卡数值!I25</x:f>
        <x:v>11</x:v>
      </x:c>
      <x:c r="G51" s="25" t="n">
        <x:f>ROUND($BD$39*SUMIFS($R$39:R51,$B$39:B51,B51)/$BL$39,0)-ROUND($BD$39*SUMIFS($R$39:R50,$B$39:B50,B51)/$BL$39,0)</x:f>
        <x:v>174</x:v>
      </x:c>
      <x:c r="H51" s="25">
        <x:f t="shared" si="0"/>
        <x:v>174</x:v>
      </x:c>
      <x:c r="I51" s="25">
        <x:f t="shared" si="1"/>
        <x:v>174</x:v>
      </x:c>
      <x:c r="J51" s="25" t="n">
        <x:f>(ROUND($BF$39*SUMIFS($R$39:R51,$B$39:B51,B51)/$BL$39/$BB$19,0)-ROUND($BF$39*SUMIFS($R$39:R50,$B$39:B50,B51)/$BL$39/$BB$19,0))*$BB$19</x:f>
        <x:v>5570</x:v>
      </x:c>
      <x:c r="K51" s="25">
        <x:f t="shared" si="2"/>
        <x:v>34</x:v>
      </x:c>
      <x:c r="L51" s="25">
        <x:f t="shared" si="3"/>
        <x:v>34</x:v>
      </x:c>
      <x:c r="M51" s="25">
        <x:f t="shared" si="4"/>
        <x:v>34</x:v>
      </x:c>
      <x:c r="N51" s="25">
        <x:f t="shared" si="5"/>
        <x:v>1110</x:v>
      </x:c>
      <x:c r="O51" s="25" t="n">
        <x:f>0</x:f>
        <x:v>0</x:v>
      </x:c>
      <x:c r="P51" s="25">
        <x:f t="shared" si="6"/>
        <x:v>150</x:v>
      </x:c>
      <x:c r="Q51" s="19" t="s">
        <x:v>83</x:v>
      </x:c>
      <x:c r="R51" s="19">
        <x:f t="shared" si="7"/>
        <x:v>3.6055512754639891</x:v>
      </x:c>
      <x:c r="S51" s="20">
        <x:f t="shared" si="8"/>
        <x:v>5</x:v>
      </x:c>
      <x:c r="T51" s="19"/>
      <x:c r="U51" s="19"/>
      <x:c r="V51" s="19"/>
      <x:c r="W51" s="19"/>
      <x:c r="X51" s="19"/>
      <x:c r="Y51" s="19"/>
      <x:c r="Z51" s="19"/>
      <x:c r="AA51" s="19"/>
      <x:c r="AB51" s="19"/>
      <x:c r="AC51" s="19"/>
      <x:c r="AD51" s="19"/>
      <x:c r="AE51" s="19"/>
      <x:c r="AF51" s="19"/>
      <x:c r="AG51" s="19"/>
      <x:c r="AH51" s="19"/>
      <x:c r="AI51" s="19"/>
    </x:row>
    <x:row r="52" ht="23.100000381469727" customHeight="1">
      <x:c r="A52" s="19">
        <x:v>14</x:v>
      </x:c>
      <x:c r="B52" s="19" t="n">
        <x:f>关卡数值!A26</x:f>
        <x:v>2</x:v>
      </x:c>
      <x:c r="C52" s="19" t="n">
        <x:f>关卡数值!B26</x:f>
        <x:v>1020040</x:v>
      </x:c>
      <x:c r="D52" s="19" t="str">
        <x:f>关卡数值!C26</x:f>
        <x:v>2-4</x:v>
      </x:c>
      <x:c r="E52" s="19" t="str">
        <x:f>关卡数值!D26</x:f>
        <x:v>普通</x:v>
      </x:c>
      <x:c r="F52" s="19" t="n">
        <x:f>关卡数值!I26</x:f>
        <x:v>12</x:v>
      </x:c>
      <x:c r="G52" s="25" t="n">
        <x:f>ROUND($BD$39*SUMIFS($R$39:R52,$B$39:B52,B52)/$BL$39,0)-ROUND($BD$39*SUMIFS($R$39:R51,$B$39:B51,B52)/$BL$39,0)</x:f>
        <x:v>180</x:v>
      </x:c>
      <x:c r="H52" s="25">
        <x:f t="shared" si="0"/>
        <x:v>180</x:v>
      </x:c>
      <x:c r="I52" s="25">
        <x:f t="shared" si="1"/>
        <x:v>180</x:v>
      </x:c>
      <x:c r="J52" s="25" t="n">
        <x:f>(ROUND($BF$39*SUMIFS($R$39:R52,$B$39:B52,B52)/$BL$39/$BB$19,0)-ROUND($BF$39*SUMIFS($R$39:R51,$B$39:B51,B52)/$BL$39/$BB$19,0))*$BB$19</x:f>
        <x:v>5770</x:v>
      </x:c>
      <x:c r="K52" s="25">
        <x:f t="shared" si="2"/>
        <x:v>36</x:v>
      </x:c>
      <x:c r="L52" s="25">
        <x:f t="shared" si="3"/>
        <x:v>36</x:v>
      </x:c>
      <x:c r="M52" s="25">
        <x:f t="shared" si="4"/>
        <x:v>36</x:v>
      </x:c>
      <x:c r="N52" s="25">
        <x:f t="shared" si="5"/>
        <x:v>1150</x:v>
      </x:c>
      <x:c r="O52" s="25" t="n">
        <x:f>0</x:f>
        <x:v>0</x:v>
      </x:c>
      <x:c r="P52" s="25">
        <x:f t="shared" si="6"/>
        <x:v>150</x:v>
      </x:c>
      <x:c r="Q52" s="19" t="s">
        <x:v>83</x:v>
      </x:c>
      <x:c r="R52" s="19">
        <x:f t="shared" si="7"/>
        <x:v>3.7416573867739413</x:v>
      </x:c>
      <x:c r="S52" s="20">
        <x:f t="shared" si="8"/>
        <x:v>5</x:v>
      </x:c>
      <x:c r="T52" s="19"/>
      <x:c r="U52" s="19"/>
      <x:c r="V52" s="19"/>
      <x:c r="W52" s="19"/>
      <x:c r="X52" s="19"/>
      <x:c r="Y52" s="19"/>
      <x:c r="Z52" s="19"/>
      <x:c r="AA52" s="19"/>
      <x:c r="AB52" s="19"/>
      <x:c r="AC52" s="19"/>
      <x:c r="AD52" s="19"/>
      <x:c r="AE52" s="19"/>
      <x:c r="AF52" s="19"/>
      <x:c r="AG52" s="19"/>
      <x:c r="AH52" s="19"/>
      <x:c r="AI52" s="19"/>
    </x:row>
    <x:row r="53" ht="23.100000381469727" customHeight="1">
      <x:c r="A53" s="19">
        <x:v>15</x:v>
      </x:c>
      <x:c r="B53" s="19" t="n">
        <x:f>关卡数值!A27</x:f>
        <x:v>2</x:v>
      </x:c>
      <x:c r="C53" s="19" t="n">
        <x:f>关卡数值!B27</x:f>
        <x:v>1020050</x:v>
      </x:c>
      <x:c r="D53" s="19" t="str">
        <x:f>关卡数值!C27</x:f>
        <x:v>2-5</x:v>
      </x:c>
      <x:c r="E53" s="19" t="str">
        <x:f>关卡数值!D27</x:f>
        <x:v>普通</x:v>
      </x:c>
      <x:c r="F53" s="19" t="n">
        <x:f>关卡数值!I27</x:f>
        <x:v>15</x:v>
      </x:c>
      <x:c r="G53" s="25" t="n">
        <x:f>ROUND($BD$39*SUMIFS($R$39:R53,$B$39:B53,B53)/$BL$39,0)-ROUND($BD$39*SUMIFS($R$39:R52,$B$39:B52,B53)/$BL$39,0)</x:f>
        <x:v>187</x:v>
      </x:c>
      <x:c r="H53" s="25">
        <x:f t="shared" si="0"/>
        <x:v>187</x:v>
      </x:c>
      <x:c r="I53" s="25">
        <x:f t="shared" si="1"/>
        <x:v>187</x:v>
      </x:c>
      <x:c r="J53" s="25" t="n">
        <x:f>(ROUND($BF$39*SUMIFS($R$39:R53,$B$39:B53,B53)/$BL$39/$BB$19,0)-ROUND($BF$39*SUMIFS($R$39:R52,$B$39:B52,B53)/$BL$39/$BB$19,0))*$BB$19</x:f>
        <x:v>5970</x:v>
      </x:c>
      <x:c r="K53" s="25">
        <x:f t="shared" si="2"/>
        <x:v>37</x:v>
      </x:c>
      <x:c r="L53" s="25">
        <x:f t="shared" si="3"/>
        <x:v>37</x:v>
      </x:c>
      <x:c r="M53" s="25">
        <x:f t="shared" si="4"/>
        <x:v>37</x:v>
      </x:c>
      <x:c r="N53" s="25">
        <x:f t="shared" si="5"/>
        <x:v>1190</x:v>
      </x:c>
      <x:c r="O53" s="25" t="n">
        <x:f>$BB$9</x:f>
        <x:v>10</x:v>
      </x:c>
      <x:c r="P53" s="25">
        <x:f t="shared" si="6"/>
        <x:v>150</x:v>
      </x:c>
      <x:c r="Q53" s="19" t="s">
        <x:v>381</x:v>
      </x:c>
      <x:c r="R53" s="19">
        <x:f t="shared" si="7"/>
        <x:v>3.872983346207417</x:v>
      </x:c>
      <x:c r="S53" s="20">
        <x:f t="shared" si="8"/>
        <x:v>5</x:v>
      </x:c>
      <x:c r="T53" s="19"/>
      <x:c r="U53" s="19"/>
      <x:c r="V53" s="19"/>
      <x:c r="W53" s="19"/>
      <x:c r="X53" s="19"/>
      <x:c r="Y53" s="19"/>
      <x:c r="Z53" s="19"/>
      <x:c r="AA53" s="19"/>
      <x:c r="AB53" s="19"/>
      <x:c r="AC53" s="19"/>
      <x:c r="AD53" s="19"/>
      <x:c r="AE53" s="19"/>
      <x:c r="AF53" s="19"/>
      <x:c r="AG53" s="19"/>
      <x:c r="AH53" s="19"/>
      <x:c r="AI53" s="19"/>
    </x:row>
    <x:row r="54" ht="23.100000381469727" customHeight="1">
      <x:c r="A54" s="19">
        <x:v>16</x:v>
      </x:c>
      <x:c r="B54" s="19" t="n">
        <x:f>关卡数值!A28</x:f>
        <x:v>2</x:v>
      </x:c>
      <x:c r="C54" s="19" t="n">
        <x:f>关卡数值!B28</x:f>
        <x:v>1020060</x:v>
      </x:c>
      <x:c r="D54" s="19" t="str">
        <x:f>关卡数值!C28</x:f>
        <x:v>2-6</x:v>
      </x:c>
      <x:c r="E54" s="19" t="str">
        <x:f>关卡数值!D28</x:f>
        <x:v>普通</x:v>
      </x:c>
      <x:c r="F54" s="19" t="n">
        <x:f>关卡数值!I28</x:f>
        <x:v>15</x:v>
      </x:c>
      <x:c r="G54" s="25" t="n">
        <x:f>ROUND($BD$39*SUMIFS($R$39:R54,$B$39:B54,B54)/$BL$39,0)-ROUND($BD$39*SUMIFS($R$39:R53,$B$39:B53,B54)/$BL$39,0)</x:f>
        <x:v>192</x:v>
      </x:c>
      <x:c r="H54" s="25">
        <x:f t="shared" si="0"/>
        <x:v>192</x:v>
      </x:c>
      <x:c r="I54" s="25">
        <x:f t="shared" si="1"/>
        <x:v>192</x:v>
      </x:c>
      <x:c r="J54" s="25" t="n">
        <x:f>(ROUND($BF$39*SUMIFS($R$39:R54,$B$39:B54,B54)/$BL$39/$BB$19,0)-ROUND($BF$39*SUMIFS($R$39:R53,$B$39:B53,B54)/$BL$39/$BB$19,0))*$BB$19</x:f>
        <x:v>6180</x:v>
      </x:c>
      <x:c r="K54" s="25">
        <x:f t="shared" si="2"/>
        <x:v>38</x:v>
      </x:c>
      <x:c r="L54" s="25">
        <x:f t="shared" si="3"/>
        <x:v>38</x:v>
      </x:c>
      <x:c r="M54" s="25">
        <x:f t="shared" si="4"/>
        <x:v>38</x:v>
      </x:c>
      <x:c r="N54" s="25">
        <x:f t="shared" si="5"/>
        <x:v>1230</x:v>
      </x:c>
      <x:c r="O54" s="25" t="n">
        <x:f>0</x:f>
        <x:v>0</x:v>
      </x:c>
      <x:c r="P54" s="25">
        <x:f t="shared" si="6"/>
        <x:v>150</x:v>
      </x:c>
      <x:c r="Q54" s="19" t="s">
        <x:v>83</x:v>
      </x:c>
      <x:c r="R54" s="19">
        <x:f t="shared" si="7"/>
        <x:v>4</x:v>
      </x:c>
      <x:c r="S54" s="20">
        <x:f t="shared" si="8"/>
        <x:v>5</x:v>
      </x:c>
      <x:c r="T54" s="19"/>
      <x:c r="U54" s="19"/>
      <x:c r="V54" s="19"/>
      <x:c r="W54" s="19"/>
      <x:c r="X54" s="19"/>
      <x:c r="Y54" s="19"/>
      <x:c r="Z54" s="19"/>
      <x:c r="AA54" s="19"/>
      <x:c r="AB54" s="19"/>
      <x:c r="AC54" s="19"/>
      <x:c r="AD54" s="19"/>
      <x:c r="AE54" s="19"/>
      <x:c r="AF54" s="19"/>
      <x:c r="AG54" s="19"/>
      <x:c r="AH54" s="19"/>
      <x:c r="AI54" s="19"/>
    </x:row>
    <x:row r="55" ht="23.100000381469727" customHeight="1">
      <x:c r="A55" s="19">
        <x:v>17</x:v>
      </x:c>
      <x:c r="B55" s="19" t="n">
        <x:f>关卡数值!A29</x:f>
        <x:v>2</x:v>
      </x:c>
      <x:c r="C55" s="19" t="n">
        <x:f>关卡数值!B29</x:f>
        <x:v>1020070</x:v>
      </x:c>
      <x:c r="D55" s="19" t="str">
        <x:f>关卡数值!C29</x:f>
        <x:v>2-7</x:v>
      </x:c>
      <x:c r="E55" s="19" t="str">
        <x:f>关卡数值!D29</x:f>
        <x:v>普通</x:v>
      </x:c>
      <x:c r="F55" s="19" t="n">
        <x:f>关卡数值!I29</x:f>
        <x:v>16</x:v>
      </x:c>
      <x:c r="G55" s="25" t="n">
        <x:f>ROUND($BD$39*SUMIFS($R$39:R55,$B$39:B55,B55)/$BL$39,0)-ROUND($BD$39*SUMIFS($R$39:R54,$B$39:B54,B55)/$BL$39,0)</x:f>
        <x:v>199</x:v>
      </x:c>
      <x:c r="H55" s="25">
        <x:f t="shared" si="0"/>
        <x:v>199</x:v>
      </x:c>
      <x:c r="I55" s="25">
        <x:f t="shared" si="1"/>
        <x:v>199</x:v>
      </x:c>
      <x:c r="J55" s="25" t="n">
        <x:f>(ROUND($BF$39*SUMIFS($R$39:R55,$B$39:B55,B55)/$BL$39/$BB$19,0)-ROUND($BF$39*SUMIFS($R$39:R54,$B$39:B54,B55)/$BL$39/$BB$19,0))*$BB$19</x:f>
        <x:v>6360</x:v>
      </x:c>
      <x:c r="K55" s="25">
        <x:f t="shared" si="2"/>
        <x:v>39</x:v>
      </x:c>
      <x:c r="L55" s="25">
        <x:f t="shared" si="3"/>
        <x:v>39</x:v>
      </x:c>
      <x:c r="M55" s="25">
        <x:f t="shared" si="4"/>
        <x:v>39</x:v>
      </x:c>
      <x:c r="N55" s="25">
        <x:f t="shared" si="5"/>
        <x:v>1270</x:v>
      </x:c>
      <x:c r="O55" s="25" t="n">
        <x:f>0</x:f>
        <x:v>0</x:v>
      </x:c>
      <x:c r="P55" s="25">
        <x:f t="shared" si="6"/>
        <x:v>150</x:v>
      </x:c>
      <x:c r="Q55" s="19" t="s">
        <x:v>83</x:v>
      </x:c>
      <x:c r="R55" s="19">
        <x:f t="shared" si="7"/>
        <x:v>4.1231056256176606</x:v>
      </x:c>
      <x:c r="S55" s="20">
        <x:f t="shared" si="8"/>
        <x:v>5</x:v>
      </x:c>
      <x:c r="T55" s="19"/>
      <x:c r="U55" s="19"/>
      <x:c r="V55" s="19"/>
      <x:c r="W55" s="19"/>
      <x:c r="X55" s="19"/>
      <x:c r="Y55" s="19"/>
      <x:c r="Z55" s="19"/>
      <x:c r="AA55" s="19"/>
      <x:c r="AB55" s="19"/>
      <x:c r="AC55" s="19"/>
      <x:c r="AD55" s="19"/>
      <x:c r="AE55" s="19"/>
      <x:c r="AF55" s="19"/>
      <x:c r="AG55" s="19"/>
      <x:c r="AH55" s="19"/>
      <x:c r="AI55" s="19"/>
    </x:row>
    <x:row r="56" ht="23.100000381469727" customHeight="1">
      <x:c r="A56" s="19">
        <x:v>18</x:v>
      </x:c>
      <x:c r="B56" s="19" t="n">
        <x:f>关卡数值!A30</x:f>
        <x:v>2</x:v>
      </x:c>
      <x:c r="C56" s="19" t="n">
        <x:f>关卡数值!B30</x:f>
        <x:v>1020080</x:v>
      </x:c>
      <x:c r="D56" s="19" t="str">
        <x:f>关卡数值!C30</x:f>
        <x:v>2-8</x:v>
      </x:c>
      <x:c r="E56" s="19" t="str">
        <x:f>关卡数值!D30</x:f>
        <x:v>普通</x:v>
      </x:c>
      <x:c r="F56" s="19" t="n">
        <x:f>关卡数值!I30</x:f>
        <x:v>16</x:v>
      </x:c>
      <x:c r="G56" s="25" t="n">
        <x:f>ROUND($BD$39*SUMIFS($R$39:R56,$B$39:B56,B56)/$BL$39,0)-ROUND($BD$39*SUMIFS($R$39:R55,$B$39:B55,B56)/$BL$39,0)</x:f>
        <x:v>204</x:v>
      </x:c>
      <x:c r="H56" s="25">
        <x:f t="shared" si="0"/>
        <x:v>204</x:v>
      </x:c>
      <x:c r="I56" s="25">
        <x:f t="shared" si="1"/>
        <x:v>204</x:v>
      </x:c>
      <x:c r="J56" s="25" t="n">
        <x:f>(ROUND($BF$39*SUMIFS($R$39:R56,$B$39:B56,B56)/$BL$39/$BB$19,0)-ROUND($BF$39*SUMIFS($R$39:R55,$B$39:B55,B56)/$BL$39/$BB$19,0))*$BB$19</x:f>
        <x:v>6540</x:v>
      </x:c>
      <x:c r="K56" s="25">
        <x:f t="shared" si="2"/>
        <x:v>40</x:v>
      </x:c>
      <x:c r="L56" s="25">
        <x:f t="shared" si="3"/>
        <x:v>40</x:v>
      </x:c>
      <x:c r="M56" s="25">
        <x:f t="shared" si="4"/>
        <x:v>40</x:v>
      </x:c>
      <x:c r="N56" s="25">
        <x:f t="shared" si="5"/>
        <x:v>1300</x:v>
      </x:c>
      <x:c r="O56" s="25" t="n">
        <x:f>0</x:f>
        <x:v>0</x:v>
      </x:c>
      <x:c r="P56" s="25">
        <x:f t="shared" si="6"/>
        <x:v>150</x:v>
      </x:c>
      <x:c r="Q56" s="19" t="s">
        <x:v>83</x:v>
      </x:c>
      <x:c r="R56" s="19">
        <x:f t="shared" si="7"/>
        <x:v>4.2426406871192848</x:v>
      </x:c>
      <x:c r="S56" s="20">
        <x:f t="shared" si="8"/>
        <x:v>5</x:v>
      </x:c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</x:row>
    <x:row r="57" ht="23.100000381469727" customHeight="1">
      <x:c r="A57" s="19">
        <x:v>19</x:v>
      </x:c>
      <x:c r="B57" s="19" t="n">
        <x:f>关卡数值!A31</x:f>
        <x:v>2</x:v>
      </x:c>
      <x:c r="C57" s="19" t="n">
        <x:f>关卡数值!B31</x:f>
        <x:v>1020090</x:v>
      </x:c>
      <x:c r="D57" s="19" t="str">
        <x:f>关卡数值!C31</x:f>
        <x:v>2-9</x:v>
      </x:c>
      <x:c r="E57" s="19" t="str">
        <x:f>关卡数值!D31</x:f>
        <x:v>普通</x:v>
      </x:c>
      <x:c r="F57" s="19" t="n">
        <x:f>关卡数值!I31</x:f>
        <x:v>17</x:v>
      </x:c>
      <x:c r="G57" s="25" t="n">
        <x:f>ROUND($BD$39*SUMIFS($R$39:R57,$B$39:B57,B57)/$BL$39,0)-ROUND($BD$39*SUMIFS($R$39:R56,$B$39:B56,B57)/$BL$39,0)</x:f>
        <x:v>210</x:v>
      </x:c>
      <x:c r="H57" s="25">
        <x:f t="shared" si="0"/>
        <x:v>210</x:v>
      </x:c>
      <x:c r="I57" s="25">
        <x:f t="shared" si="1"/>
        <x:v>210</x:v>
      </x:c>
      <x:c r="J57" s="25" t="n">
        <x:f>(ROUND($BF$39*SUMIFS($R$39:R57,$B$39:B57,B57)/$BL$39/$BB$19,0)-ROUND($BF$39*SUMIFS($R$39:R56,$B$39:B56,B57)/$BL$39/$BB$19,0))*$BB$19</x:f>
        <x:v>6730</x:v>
      </x:c>
      <x:c r="K57" s="25">
        <x:f t="shared" si="2"/>
        <x:v>42</x:v>
      </x:c>
      <x:c r="L57" s="25">
        <x:f t="shared" si="3"/>
        <x:v>42</x:v>
      </x:c>
      <x:c r="M57" s="25">
        <x:f t="shared" si="4"/>
        <x:v>42</x:v>
      </x:c>
      <x:c r="N57" s="25">
        <x:f t="shared" si="5"/>
        <x:v>1340</x:v>
      </x:c>
      <x:c r="O57" s="25" t="n">
        <x:f>0</x:f>
        <x:v>0</x:v>
      </x:c>
      <x:c r="P57" s="25">
        <x:f t="shared" si="6"/>
        <x:v>150</x:v>
      </x:c>
      <x:c r="Q57" s="19" t="s">
        <x:v>83</x:v>
      </x:c>
      <x:c r="R57" s="19">
        <x:f t="shared" si="7"/>
        <x:v>4.358898943540674</x:v>
      </x:c>
      <x:c r="S57" s="20">
        <x:f t="shared" si="8"/>
        <x:v>5</x:v>
      </x:c>
      <x:c r="T57" s="19"/>
      <x:c r="U57" s="19"/>
      <x:c r="V57" s="19"/>
      <x:c r="W57" s="19"/>
      <x:c r="X57" s="19"/>
      <x:c r="Y57" s="19"/>
      <x:c r="Z57" s="19"/>
      <x:c r="AA57" s="19"/>
      <x:c r="AB57" s="19"/>
      <x:c r="AC57" s="19"/>
      <x:c r="AD57" s="19"/>
      <x:c r="AE57" s="19"/>
      <x:c r="AF57" s="19"/>
      <x:c r="AG57" s="19"/>
      <x:c r="AH57" s="19"/>
      <x:c r="AI57" s="19"/>
    </x:row>
    <x:row r="58" ht="23.100000381469727" customHeight="1">
      <x:c r="A58" s="19">
        <x:v>20</x:v>
      </x:c>
      <x:c r="B58" s="19" t="n">
        <x:f>关卡数值!A32</x:f>
        <x:v>2</x:v>
      </x:c>
      <x:c r="C58" s="19" t="n">
        <x:f>关卡数值!B32</x:f>
        <x:v>1020100</x:v>
      </x:c>
      <x:c r="D58" s="19" t="str">
        <x:f>关卡数值!C32</x:f>
        <x:v>2-10</x:v>
      </x:c>
      <x:c r="E58" s="19" t="str">
        <x:f>关卡数值!D32</x:f>
        <x:v>普通</x:v>
      </x:c>
      <x:c r="F58" s="19" t="n">
        <x:f>关卡数值!I32</x:f>
        <x:v>20</x:v>
      </x:c>
      <x:c r="G58" s="25" t="n">
        <x:f>ROUND($BD$39*SUMIFS($R$39:R58,$B$39:B58,B58)/$BL$39,0)-ROUND($BD$39*SUMIFS($R$39:R57,$B$39:B57,B58)/$BL$39,0)</x:f>
        <x:v>215</x:v>
      </x:c>
      <x:c r="H58" s="25">
        <x:f t="shared" si="0"/>
        <x:v>215</x:v>
      </x:c>
      <x:c r="I58" s="25">
        <x:f t="shared" si="1"/>
        <x:v>215</x:v>
      </x:c>
      <x:c r="J58" s="25" t="n">
        <x:f>(ROUND($BF$39*SUMIFS($R$39:R58,$B$39:B58,B58)/$BL$39/$BB$19,0)-ROUND($BF$39*SUMIFS($R$39:R57,$B$39:B57,B58)/$BL$39/$BB$19,0))*$BB$19</x:f>
        <x:v>6900</x:v>
      </x:c>
      <x:c r="K58" s="25">
        <x:f t="shared" si="2"/>
        <x:v>43</x:v>
      </x:c>
      <x:c r="L58" s="25">
        <x:f t="shared" si="3"/>
        <x:v>43</x:v>
      </x:c>
      <x:c r="M58" s="25">
        <x:f t="shared" si="4"/>
        <x:v>43</x:v>
      </x:c>
      <x:c r="N58" s="25">
        <x:f t="shared" si="5"/>
        <x:v>1380</x:v>
      </x:c>
      <x:c r="O58" s="25" t="n">
        <x:f>$BB$9</x:f>
        <x:v>10</x:v>
      </x:c>
      <x:c r="P58" s="25">
        <x:f t="shared" si="6"/>
        <x:v>150</x:v>
      </x:c>
      <x:c r="Q58" s="19" t="s">
        <x:v>381</x:v>
      </x:c>
      <x:c r="R58" s="19">
        <x:f t="shared" si="7"/>
        <x:v>4.4721359549995796</x:v>
      </x:c>
      <x:c r="S58" s="20">
        <x:f t="shared" si="8"/>
        <x:v>5</x:v>
      </x:c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</x:row>
    <x:row r="59" ht="23.100000381469727" customHeight="1">
      <x:c r="A59" s="19">
        <x:v>21</x:v>
      </x:c>
      <x:c r="B59" s="19" t="n">
        <x:f>关卡数值!A33</x:f>
        <x:v>3</x:v>
      </x:c>
      <x:c r="C59" s="19" t="n">
        <x:f>关卡数值!B33</x:f>
        <x:v>1030010</x:v>
      </x:c>
      <x:c r="D59" s="19" t="str">
        <x:f>关卡数值!C33</x:f>
        <x:v>3-1</x:v>
      </x:c>
      <x:c r="E59" s="19" t="str">
        <x:f>关卡数值!D33</x:f>
        <x:v>普通</x:v>
      </x:c>
      <x:c r="F59" s="19" t="n">
        <x:f>关卡数值!I33</x:f>
        <x:v>21</x:v>
      </x:c>
      <x:c r="G59" s="25" t="n">
        <x:f>ROUND($BD$40*SUMIFS($R$39:R59,$B$39:B59,B59)/$BL$40,0)-ROUND($BD$40*0/$BL$40,0)</x:f>
        <x:v>192</x:v>
      </x:c>
      <x:c r="H59" s="25">
        <x:f t="shared" si="0"/>
        <x:v>192</x:v>
      </x:c>
      <x:c r="I59" s="25">
        <x:f t="shared" si="1"/>
        <x:v>192</x:v>
      </x:c>
      <x:c r="J59" s="25" t="n">
        <x:f>(ROUND($BF$40*SUMIFS($R$39:R59,$B$39:B59,B59)/$BL$40/$BB$19,0)-ROUND($BF$40*0/$BL$40/$BB$19,0))*$BB$19</x:f>
        <x:v>6820</x:v>
      </x:c>
      <x:c r="K59" s="25">
        <x:f t="shared" si="2"/>
        <x:v>38</x:v>
      </x:c>
      <x:c r="L59" s="25">
        <x:f t="shared" si="3"/>
        <x:v>38</x:v>
      </x:c>
      <x:c r="M59" s="25">
        <x:f t="shared" si="4"/>
        <x:v>38</x:v>
      </x:c>
      <x:c r="N59" s="25">
        <x:f t="shared" si="5"/>
        <x:v>1360</x:v>
      </x:c>
      <x:c r="O59" s="25" t="n">
        <x:f>$BB$9</x:f>
        <x:v>10</x:v>
      </x:c>
      <x:c r="P59" s="25">
        <x:f t="shared" si="6"/>
        <x:v>200</x:v>
      </x:c>
      <x:c r="Q59" s="19" t="s">
        <x:v>381</x:v>
      </x:c>
      <x:c r="R59" s="19">
        <x:f t="shared" si="7"/>
        <x:v>4.5825756949558398</x:v>
      </x:c>
      <x:c r="S59" s="20">
        <x:f t="shared" si="8"/>
        <x:v>6.666666666666667</x:v>
      </x:c>
      <x:c r="T59" s="19"/>
      <x:c r="U59" s="19"/>
      <x:c r="V59" s="19"/>
      <x:c r="W59" s="19"/>
      <x:c r="X59" s="19"/>
      <x:c r="Y59" s="19"/>
      <x:c r="Z59" s="19"/>
      <x:c r="AA59" s="19"/>
      <x:c r="AB59" s="19"/>
      <x:c r="AC59" s="19"/>
      <x:c r="AD59" s="19"/>
      <x:c r="AE59" s="19"/>
      <x:c r="AF59" s="19"/>
      <x:c r="AG59" s="19"/>
      <x:c r="AH59" s="19"/>
      <x:c r="AI59" s="19"/>
    </x:row>
    <x:row r="60" ht="23.100000381469727" customHeight="1">
      <x:c r="A60" s="19">
        <x:v>22</x:v>
      </x:c>
      <x:c r="B60" s="19" t="n">
        <x:f>关卡数值!A34</x:f>
        <x:v>3</x:v>
      </x:c>
      <x:c r="C60" s="19" t="n">
        <x:f>关卡数值!B34</x:f>
        <x:v>1030020</x:v>
      </x:c>
      <x:c r="D60" s="19" t="str">
        <x:f>关卡数值!C34</x:f>
        <x:v>3-2</x:v>
      </x:c>
      <x:c r="E60" s="19" t="str">
        <x:f>关卡数值!D34</x:f>
        <x:v>普通</x:v>
      </x:c>
      <x:c r="F60" s="19" t="n">
        <x:f>关卡数值!I34</x:f>
        <x:v>21</x:v>
      </x:c>
      <x:c r="G60" s="25" t="n">
        <x:f>ROUND($BD$40*SUMIFS($R$39:R60,$B$39:B60,B60)/$BL$40,0)-ROUND($BD$40*SUMIFS($R$39:R59,$B$39:B59,B60)/$BL$40,0)</x:f>
        <x:v>196</x:v>
      </x:c>
      <x:c r="H60" s="25">
        <x:f t="shared" si="0"/>
        <x:v>196</x:v>
      </x:c>
      <x:c r="I60" s="25">
        <x:f t="shared" si="1"/>
        <x:v>196</x:v>
      </x:c>
      <x:c r="J60" s="25" t="n">
        <x:f>(ROUND($BF$40*SUMIFS($R$39:R60,$B$39:B60,B60)/$BL$40/$BB$19,0)-ROUND($BF$40*SUMIFS($R$39:R59,$B$39:B59,B60)/$BL$40/$BB$19,0))*$BB$19</x:f>
        <x:v>6970</x:v>
      </x:c>
      <x:c r="K60" s="25">
        <x:f t="shared" si="2"/>
        <x:v>39</x:v>
      </x:c>
      <x:c r="L60" s="25">
        <x:f t="shared" si="3"/>
        <x:v>39</x:v>
      </x:c>
      <x:c r="M60" s="25">
        <x:f t="shared" si="4"/>
        <x:v>39</x:v>
      </x:c>
      <x:c r="N60" s="25">
        <x:f t="shared" si="5"/>
        <x:v>1390</x:v>
      </x:c>
      <x:c r="O60" s="25" t="n">
        <x:f>0</x:f>
        <x:v>0</x:v>
      </x:c>
      <x:c r="P60" s="25">
        <x:f t="shared" si="6"/>
        <x:v>200</x:v>
      </x:c>
      <x:c r="Q60" s="19" t="s">
        <x:v>83</x:v>
      </x:c>
      <x:c r="R60" s="19">
        <x:f t="shared" si="7"/>
        <x:v>4.6904157598234297</x:v>
      </x:c>
      <x:c r="S60" s="20">
        <x:f t="shared" si="8"/>
        <x:v>6.666666666666667</x:v>
      </x:c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</x:row>
    <x:row r="61" ht="23.100000381469727" customHeight="1">
      <x:c r="A61" s="19">
        <x:v>23</x:v>
      </x:c>
      <x:c r="B61" s="19" t="n">
        <x:f>关卡数值!A35</x:f>
        <x:v>3</x:v>
      </x:c>
      <x:c r="C61" s="19" t="n">
        <x:f>关卡数值!B35</x:f>
        <x:v>1030030</x:v>
      </x:c>
      <x:c r="D61" s="19" t="str">
        <x:f>关卡数值!C35</x:f>
        <x:v>3-3</x:v>
      </x:c>
      <x:c r="E61" s="19" t="str">
        <x:f>关卡数值!D35</x:f>
        <x:v>普通</x:v>
      </x:c>
      <x:c r="F61" s="19" t="n">
        <x:f>关卡数值!I35</x:f>
        <x:v>21</x:v>
      </x:c>
      <x:c r="G61" s="25" t="n">
        <x:f>ROUND($BD$40*SUMIFS($R$39:R61,$B$39:B61,B61)/$BL$40,0)-ROUND($BD$40*SUMIFS($R$39:R60,$B$39:B60,B61)/$BL$40,0)</x:f>
        <x:v>201</x:v>
      </x:c>
      <x:c r="H61" s="25">
        <x:f t="shared" si="0"/>
        <x:v>201</x:v>
      </x:c>
      <x:c r="I61" s="25">
        <x:f t="shared" si="1"/>
        <x:v>201</x:v>
      </x:c>
      <x:c r="J61" s="25" t="n">
        <x:f>(ROUND($BF$40*SUMIFS($R$39:R61,$B$39:B61,B61)/$BL$40/$BB$19,0)-ROUND($BF$40*SUMIFS($R$39:R60,$B$39:B60,B61)/$BL$40/$BB$19,0))*$BB$19</x:f>
        <x:v>7140</x:v>
      </x:c>
      <x:c r="K61" s="25">
        <x:f t="shared" si="2"/>
        <x:v>40</x:v>
      </x:c>
      <x:c r="L61" s="25">
        <x:f t="shared" si="3"/>
        <x:v>40</x:v>
      </x:c>
      <x:c r="M61" s="25">
        <x:f t="shared" si="4"/>
        <x:v>40</x:v>
      </x:c>
      <x:c r="N61" s="25">
        <x:f t="shared" si="5"/>
        <x:v>1420</x:v>
      </x:c>
      <x:c r="O61" s="25" t="n">
        <x:f>0</x:f>
        <x:v>0</x:v>
      </x:c>
      <x:c r="P61" s="25">
        <x:f t="shared" si="6"/>
        <x:v>200</x:v>
      </x:c>
      <x:c r="Q61" s="19" t="s">
        <x:v>83</x:v>
      </x:c>
      <x:c r="R61" s="19">
        <x:f t="shared" si="7"/>
        <x:v>4.7958315233127191</x:v>
      </x:c>
      <x:c r="S61" s="20">
        <x:f t="shared" si="8"/>
        <x:v>6.666666666666667</x:v>
      </x:c>
      <x:c r="T61" s="19"/>
      <x:c r="U61" s="19"/>
      <x:c r="V61" s="19"/>
      <x:c r="W61" s="19"/>
      <x:c r="X61" s="19"/>
      <x:c r="Y61" s="19"/>
      <x:c r="Z61" s="19"/>
      <x:c r="AA61" s="19"/>
      <x:c r="AB61" s="19"/>
      <x:c r="AC61" s="19"/>
      <x:c r="AD61" s="19"/>
      <x:c r="AE61" s="19"/>
      <x:c r="AF61" s="19"/>
      <x:c r="AG61" s="19"/>
      <x:c r="AH61" s="19"/>
      <x:c r="AI61" s="19"/>
    </x:row>
    <x:row r="62" ht="23.100000381469727" customHeight="1">
      <x:c r="A62" s="19">
        <x:v>24</x:v>
      </x:c>
      <x:c r="B62" s="19" t="n">
        <x:f>关卡数值!A36</x:f>
        <x:v>3</x:v>
      </x:c>
      <x:c r="C62" s="19" t="n">
        <x:f>关卡数值!B36</x:f>
        <x:v>1030040</x:v>
      </x:c>
      <x:c r="D62" s="19" t="str">
        <x:f>关卡数值!C36</x:f>
        <x:v>3-4</x:v>
      </x:c>
      <x:c r="E62" s="19" t="str">
        <x:f>关卡数值!D36</x:f>
        <x:v>普通</x:v>
      </x:c>
      <x:c r="F62" s="19" t="n">
        <x:f>关卡数值!I36</x:f>
        <x:v>22</x:v>
      </x:c>
      <x:c r="G62" s="25" t="n">
        <x:f>ROUND($BD$40*SUMIFS($R$39:R62,$B$39:B62,B62)/$BL$40,0)-ROUND($BD$40*SUMIFS($R$39:R61,$B$39:B61,B62)/$BL$40,0)</x:f>
        <x:v>205</x:v>
      </x:c>
      <x:c r="H62" s="25">
        <x:f t="shared" si="0"/>
        <x:v>205</x:v>
      </x:c>
      <x:c r="I62" s="25">
        <x:f t="shared" si="1"/>
        <x:v>205</x:v>
      </x:c>
      <x:c r="J62" s="25" t="n">
        <x:f>(ROUND($BF$40*SUMIFS($R$39:R62,$B$39:B62,B62)/$BL$40/$BB$19,0)-ROUND($BF$40*SUMIFS($R$39:R61,$B$39:B61,B62)/$BL$40/$BB$19,0))*$BB$19</x:f>
        <x:v>7290</x:v>
      </x:c>
      <x:c r="K62" s="25">
        <x:f t="shared" si="2"/>
        <x:v>41</x:v>
      </x:c>
      <x:c r="L62" s="25">
        <x:f t="shared" si="3"/>
        <x:v>41</x:v>
      </x:c>
      <x:c r="M62" s="25">
        <x:f t="shared" si="4"/>
        <x:v>41</x:v>
      </x:c>
      <x:c r="N62" s="25">
        <x:f t="shared" si="5"/>
        <x:v>1450</x:v>
      </x:c>
      <x:c r="O62" s="25" t="n">
        <x:f>0</x:f>
        <x:v>0</x:v>
      </x:c>
      <x:c r="P62" s="25">
        <x:f t="shared" si="6"/>
        <x:v>200</x:v>
      </x:c>
      <x:c r="Q62" s="19" t="s">
        <x:v>83</x:v>
      </x:c>
      <x:c r="R62" s="19">
        <x:f t="shared" si="7"/>
        <x:v>4.8989794855663558</x:v>
      </x:c>
      <x:c r="S62" s="20">
        <x:f t="shared" si="8"/>
        <x:v>6.666666666666667</x:v>
      </x:c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</x:row>
    <x:row r="63" ht="23.100000381469727" customHeight="1">
      <x:c r="A63" s="19">
        <x:v>25</x:v>
      </x:c>
      <x:c r="B63" s="19" t="n">
        <x:f>关卡数值!A37</x:f>
        <x:v>3</x:v>
      </x:c>
      <x:c r="C63" s="19" t="n">
        <x:f>关卡数值!B37</x:f>
        <x:v>1030050</x:v>
      </x:c>
      <x:c r="D63" s="19" t="str">
        <x:f>关卡数值!C37</x:f>
        <x:v>3-5</x:v>
      </x:c>
      <x:c r="E63" s="19" t="str">
        <x:f>关卡数值!D37</x:f>
        <x:v>普通</x:v>
      </x:c>
      <x:c r="F63" s="19" t="n">
        <x:f>关卡数值!I37</x:f>
        <x:v>25</x:v>
      </x:c>
      <x:c r="G63" s="25" t="n">
        <x:f>ROUND($BD$40*SUMIFS($R$39:R63,$B$39:B63,B63)/$BL$40,0)-ROUND($BD$40*SUMIFS($R$39:R62,$B$39:B62,B63)/$BL$40,0)</x:f>
        <x:v>209</x:v>
      </x:c>
      <x:c r="H63" s="25">
        <x:f t="shared" si="0"/>
        <x:v>209</x:v>
      </x:c>
      <x:c r="I63" s="25">
        <x:f t="shared" si="1"/>
        <x:v>209</x:v>
      </x:c>
      <x:c r="J63" s="25" t="n">
        <x:f>(ROUND($BF$40*SUMIFS($R$39:R63,$B$39:B63,B63)/$BL$40/$BB$19,0)-ROUND($BF$40*SUMIFS($R$39:R62,$B$39:B62,B63)/$BL$40/$BB$19,0))*$BB$19</x:f>
        <x:v>7430</x:v>
      </x:c>
      <x:c r="K63" s="25">
        <x:f t="shared" si="2"/>
        <x:v>41</x:v>
      </x:c>
      <x:c r="L63" s="25">
        <x:f t="shared" si="3"/>
        <x:v>41</x:v>
      </x:c>
      <x:c r="M63" s="25">
        <x:f t="shared" si="4"/>
        <x:v>41</x:v>
      </x:c>
      <x:c r="N63" s="25">
        <x:f t="shared" si="5"/>
        <x:v>1480</x:v>
      </x:c>
      <x:c r="O63" s="25" t="n">
        <x:f>$BB$9</x:f>
        <x:v>10</x:v>
      </x:c>
      <x:c r="P63" s="25">
        <x:f t="shared" si="6"/>
        <x:v>200</x:v>
      </x:c>
      <x:c r="Q63" s="19" t="s">
        <x:v>381</x:v>
      </x:c>
      <x:c r="R63" s="19">
        <x:f t="shared" si="7"/>
        <x:v>5</x:v>
      </x:c>
      <x:c r="S63" s="20">
        <x:f t="shared" si="8"/>
        <x:v>6.666666666666667</x:v>
      </x:c>
      <x:c r="T63" s="19"/>
      <x:c r="U63" s="19"/>
      <x:c r="V63" s="19"/>
      <x:c r="W63" s="19"/>
      <x:c r="X63" s="19"/>
      <x:c r="Y63" s="19"/>
      <x:c r="Z63" s="19"/>
      <x:c r="AA63" s="19"/>
      <x:c r="AB63" s="19"/>
      <x:c r="AC63" s="19"/>
      <x:c r="AD63" s="19"/>
      <x:c r="AE63" s="19"/>
      <x:c r="AF63" s="19"/>
      <x:c r="AG63" s="19"/>
      <x:c r="AH63" s="19"/>
      <x:c r="AI63" s="19"/>
    </x:row>
    <x:row r="64" ht="23.100000381469727" customHeight="1">
      <x:c r="A64" s="19">
        <x:v>26</x:v>
      </x:c>
      <x:c r="B64" s="19" t="n">
        <x:f>关卡数值!A38</x:f>
        <x:v>3</x:v>
      </x:c>
      <x:c r="C64" s="19" t="n">
        <x:f>关卡数值!B38</x:f>
        <x:v>1030060</x:v>
      </x:c>
      <x:c r="D64" s="19" t="str">
        <x:f>关卡数值!C38</x:f>
        <x:v>3-6</x:v>
      </x:c>
      <x:c r="E64" s="19" t="str">
        <x:f>关卡数值!D38</x:f>
        <x:v>普通</x:v>
      </x:c>
      <x:c r="F64" s="19" t="n">
        <x:f>关卡数值!I38</x:f>
        <x:v>25</x:v>
      </x:c>
      <x:c r="G64" s="25" t="n">
        <x:f>ROUND($BD$40*SUMIFS($R$39:R64,$B$39:B64,B64)/$BL$40,0)-ROUND($BD$40*SUMIFS($R$39:R63,$B$39:B63,B64)/$BL$40,0)</x:f>
        <x:v>214</x:v>
      </x:c>
      <x:c r="H64" s="25">
        <x:f t="shared" si="0"/>
        <x:v>214</x:v>
      </x:c>
      <x:c r="I64" s="25">
        <x:f t="shared" si="1"/>
        <x:v>214</x:v>
      </x:c>
      <x:c r="J64" s="25" t="n">
        <x:f>(ROUND($BF$40*SUMIFS($R$39:R64,$B$39:B64,B64)/$BL$40/$BB$19,0)-ROUND($BF$40*SUMIFS($R$39:R63,$B$39:B63,B64)/$BL$40/$BB$19,0))*$BB$19</x:f>
        <x:v>7590</x:v>
      </x:c>
      <x:c r="K64" s="25">
        <x:f t="shared" si="2"/>
        <x:v>42</x:v>
      </x:c>
      <x:c r="L64" s="25">
        <x:f t="shared" si="3"/>
        <x:v>42</x:v>
      </x:c>
      <x:c r="M64" s="25">
        <x:f t="shared" si="4"/>
        <x:v>42</x:v>
      </x:c>
      <x:c r="N64" s="25">
        <x:f t="shared" si="5"/>
        <x:v>1510</x:v>
      </x:c>
      <x:c r="O64" s="25" t="n">
        <x:f>0</x:f>
        <x:v>0</x:v>
      </x:c>
      <x:c r="P64" s="25">
        <x:f t="shared" si="6"/>
        <x:v>200</x:v>
      </x:c>
      <x:c r="Q64" s="19" t="s">
        <x:v>83</x:v>
      </x:c>
      <x:c r="R64" s="19">
        <x:f t="shared" si="7"/>
        <x:v>5.0990195135927845</x:v>
      </x:c>
      <x:c r="S64" s="20">
        <x:f t="shared" si="8"/>
        <x:v>6.666666666666667</x:v>
      </x:c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</x:row>
    <x:row r="65" ht="23.100000381469727" customHeight="1">
      <x:c r="A65" s="19">
        <x:v>27</x:v>
      </x:c>
      <x:c r="B65" s="19" t="n">
        <x:f>关卡数值!A39</x:f>
        <x:v>3</x:v>
      </x:c>
      <x:c r="C65" s="19" t="n">
        <x:f>关卡数值!B39</x:f>
        <x:v>1030070</x:v>
      </x:c>
      <x:c r="D65" s="19" t="str">
        <x:f>关卡数值!C39</x:f>
        <x:v>3-7</x:v>
      </x:c>
      <x:c r="E65" s="19" t="str">
        <x:f>关卡数值!D39</x:f>
        <x:v>普通</x:v>
      </x:c>
      <x:c r="F65" s="19" t="n">
        <x:f>关卡数值!I39</x:f>
        <x:v>25</x:v>
      </x:c>
      <x:c r="G65" s="25" t="n">
        <x:f>ROUND($BD$40*SUMIFS($R$39:R65,$B$39:B65,B65)/$BL$40,0)-ROUND($BD$40*SUMIFS($R$39:R64,$B$39:B64,B65)/$BL$40,0)</x:f>
        <x:v>217</x:v>
      </x:c>
      <x:c r="H65" s="25">
        <x:f t="shared" si="0"/>
        <x:v>217</x:v>
      </x:c>
      <x:c r="I65" s="25">
        <x:f t="shared" si="1"/>
        <x:v>217</x:v>
      </x:c>
      <x:c r="J65" s="25" t="n">
        <x:f>(ROUND($BF$40*SUMIFS($R$39:R65,$B$39:B65,B65)/$BL$40/$BB$19,0)-ROUND($BF$40*SUMIFS($R$39:R64,$B$39:B64,B65)/$BL$40/$BB$19,0))*$BB$19</x:f>
        <x:v>7730</x:v>
      </x:c>
      <x:c r="K65" s="25">
        <x:f t="shared" si="2"/>
        <x:v>43</x:v>
      </x:c>
      <x:c r="L65" s="25">
        <x:f t="shared" si="3"/>
        <x:v>43</x:v>
      </x:c>
      <x:c r="M65" s="25">
        <x:f t="shared" si="4"/>
        <x:v>43</x:v>
      </x:c>
      <x:c r="N65" s="25">
        <x:f t="shared" si="5"/>
        <x:v>1540</x:v>
      </x:c>
      <x:c r="O65" s="25" t="n">
        <x:f>0</x:f>
        <x:v>0</x:v>
      </x:c>
      <x:c r="P65" s="25">
        <x:f t="shared" si="6"/>
        <x:v>200</x:v>
      </x:c>
      <x:c r="Q65" s="19" t="s">
        <x:v>83</x:v>
      </x:c>
      <x:c r="R65" s="19">
        <x:f t="shared" si="7"/>
        <x:v>5.196152422706632</x:v>
      </x:c>
      <x:c r="S65" s="20">
        <x:f t="shared" si="8"/>
        <x:v>6.666666666666667</x:v>
      </x:c>
      <x:c r="T65" s="19"/>
      <x:c r="U65" s="19"/>
      <x:c r="V65" s="19"/>
      <x:c r="W65" s="19"/>
      <x:c r="X65" s="19"/>
      <x:c r="Y65" s="19"/>
      <x:c r="Z65" s="19"/>
      <x:c r="AA65" s="19"/>
      <x:c r="AB65" s="19"/>
      <x:c r="AC65" s="19"/>
      <x:c r="AD65" s="19"/>
      <x:c r="AE65" s="19"/>
      <x:c r="AF65" s="19"/>
      <x:c r="AG65" s="19"/>
      <x:c r="AH65" s="19"/>
      <x:c r="AI65" s="19"/>
    </x:row>
    <x:row r="66" ht="23.100000381469727" customHeight="1">
      <x:c r="A66" s="19">
        <x:v>28</x:v>
      </x:c>
      <x:c r="B66" s="19" t="n">
        <x:f>关卡数值!A40</x:f>
        <x:v>3</x:v>
      </x:c>
      <x:c r="C66" s="19" t="n">
        <x:f>关卡数值!B40</x:f>
        <x:v>1030080</x:v>
      </x:c>
      <x:c r="D66" s="19" t="str">
        <x:f>关卡数值!C40</x:f>
        <x:v>3-8</x:v>
      </x:c>
      <x:c r="E66" s="19" t="str">
        <x:f>关卡数值!D40</x:f>
        <x:v>普通</x:v>
      </x:c>
      <x:c r="F66" s="19" t="n">
        <x:f>关卡数值!I40</x:f>
        <x:v>26</x:v>
      </x:c>
      <x:c r="G66" s="25" t="n">
        <x:f>ROUND($BD$40*SUMIFS($R$39:R66,$B$39:B66,B66)/$BL$40,0)-ROUND($BD$40*SUMIFS($R$39:R65,$B$39:B65,B66)/$BL$40,0)</x:f>
        <x:v>221</x:v>
      </x:c>
      <x:c r="H66" s="25">
        <x:f t="shared" si="0"/>
        <x:v>221</x:v>
      </x:c>
      <x:c r="I66" s="25">
        <x:f t="shared" si="1"/>
        <x:v>221</x:v>
      </x:c>
      <x:c r="J66" s="25" t="n">
        <x:f>(ROUND($BF$40*SUMIFS($R$39:R66,$B$39:B66,B66)/$BL$40/$BB$19,0)-ROUND($BF$40*SUMIFS($R$39:R65,$B$39:B65,B66)/$BL$40/$BB$19,0))*$BB$19</x:f>
        <x:v>7870</x:v>
      </x:c>
      <x:c r="K66" s="25">
        <x:f t="shared" si="2"/>
        <x:v>44</x:v>
      </x:c>
      <x:c r="L66" s="25">
        <x:f t="shared" si="3"/>
        <x:v>44</x:v>
      </x:c>
      <x:c r="M66" s="25">
        <x:f t="shared" si="4"/>
        <x:v>44</x:v>
      </x:c>
      <x:c r="N66" s="25">
        <x:f t="shared" si="5"/>
        <x:v>1570</x:v>
      </x:c>
      <x:c r="O66" s="25" t="n">
        <x:f>0</x:f>
        <x:v>0</x:v>
      </x:c>
      <x:c r="P66" s="25">
        <x:f t="shared" si="6"/>
        <x:v>200</x:v>
      </x:c>
      <x:c r="Q66" s="19" t="s">
        <x:v>83</x:v>
      </x:c>
      <x:c r="R66" s="19">
        <x:f t="shared" si="7"/>
        <x:v>5.2915026221291814</x:v>
      </x:c>
      <x:c r="S66" s="20">
        <x:f t="shared" si="8"/>
        <x:v>6.666666666666667</x:v>
      </x:c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</x:row>
    <x:row r="67" ht="23.100000381469727" customHeight="1">
      <x:c r="A67" s="19">
        <x:v>29</x:v>
      </x:c>
      <x:c r="B67" s="19" t="n">
        <x:f>关卡数值!A41</x:f>
        <x:v>3</x:v>
      </x:c>
      <x:c r="C67" s="19" t="n">
        <x:f>关卡数值!B41</x:f>
        <x:v>1030090</x:v>
      </x:c>
      <x:c r="D67" s="19" t="str">
        <x:f>关卡数值!C41</x:f>
        <x:v>3-9</x:v>
      </x:c>
      <x:c r="E67" s="19" t="str">
        <x:f>关卡数值!D41</x:f>
        <x:v>普通</x:v>
      </x:c>
      <x:c r="F67" s="19" t="n">
        <x:f>关卡数值!I41</x:f>
        <x:v>26</x:v>
      </x:c>
      <x:c r="G67" s="25" t="n">
        <x:f>ROUND($BD$40*SUMIFS($R$39:R67,$B$39:B67,B67)/$BL$40,0)-ROUND($BD$40*SUMIFS($R$39:R66,$B$39:B66,B67)/$BL$40,0)</x:f>
        <x:v>226</x:v>
      </x:c>
      <x:c r="H67" s="25">
        <x:f t="shared" si="0"/>
        <x:v>226</x:v>
      </x:c>
      <x:c r="I67" s="25">
        <x:f t="shared" si="1"/>
        <x:v>226</x:v>
      </x:c>
      <x:c r="J67" s="25" t="n">
        <x:f>(ROUND($BF$40*SUMIFS($R$39:R67,$B$39:B67,B67)/$BL$40/$BB$19,0)-ROUND($BF$40*SUMIFS($R$39:R66,$B$39:B66,B67)/$BL$40/$BB$19,0))*$BB$19</x:f>
        <x:v>8010</x:v>
      </x:c>
      <x:c r="K67" s="25">
        <x:f t="shared" si="2"/>
        <x:v>45</x:v>
      </x:c>
      <x:c r="L67" s="25">
        <x:f t="shared" si="3"/>
        <x:v>45</x:v>
      </x:c>
      <x:c r="M67" s="25">
        <x:f t="shared" si="4"/>
        <x:v>45</x:v>
      </x:c>
      <x:c r="N67" s="25">
        <x:f t="shared" si="5"/>
        <x:v>1600</x:v>
      </x:c>
      <x:c r="O67" s="25" t="n">
        <x:f>0</x:f>
        <x:v>0</x:v>
      </x:c>
      <x:c r="P67" s="25">
        <x:f t="shared" si="6"/>
        <x:v>200</x:v>
      </x:c>
      <x:c r="Q67" s="19" t="s">
        <x:v>83</x:v>
      </x:c>
      <x:c r="R67" s="19">
        <x:f t="shared" si="7"/>
        <x:v>5.3851648071345037</x:v>
      </x:c>
      <x:c r="S67" s="20">
        <x:f t="shared" si="8"/>
        <x:v>6.666666666666667</x:v>
      </x:c>
      <x:c r="T67" s="19"/>
      <x:c r="U67" s="19"/>
      <x:c r="V67" s="19"/>
      <x:c r="W67" s="19"/>
      <x:c r="X67" s="19"/>
      <x:c r="Y67" s="19"/>
      <x:c r="Z67" s="19"/>
      <x:c r="AA67" s="19"/>
      <x:c r="AB67" s="19"/>
      <x:c r="AC67" s="19"/>
      <x:c r="AD67" s="19"/>
      <x:c r="AE67" s="19"/>
      <x:c r="AF67" s="19"/>
      <x:c r="AG67" s="19"/>
      <x:c r="AH67" s="19"/>
      <x:c r="AI67" s="19"/>
    </x:row>
    <x:row r="68" ht="23.100000381469727" customHeight="1">
      <x:c r="A68" s="19">
        <x:v>30</x:v>
      </x:c>
      <x:c r="B68" s="19" t="n">
        <x:f>关卡数值!A42</x:f>
        <x:v>3</x:v>
      </x:c>
      <x:c r="C68" s="19" t="n">
        <x:f>关卡数值!B42</x:f>
        <x:v>1030100</x:v>
      </x:c>
      <x:c r="D68" s="19" t="str">
        <x:f>关卡数值!C42</x:f>
        <x:v>3-终章1</x:v>
      </x:c>
      <x:c r="E68" s="19" t="str">
        <x:f>关卡数值!D42</x:f>
        <x:v>终章</x:v>
      </x:c>
      <x:c r="F68" s="19" t="n">
        <x:f>关卡数值!I42</x:f>
        <x:v>27</x:v>
      </x:c>
      <x:c r="G68" s="25" t="n">
        <x:f>ROUND($BD$40*SUMIFS($R$39:R68,$B$39:B68,B68)/$BL$40,0)-ROUND($BD$40*SUMIFS($R$39:R67,$B$39:B67,B68)/$BL$40,0)</x:f>
        <x:v>229</x:v>
      </x:c>
      <x:c r="H68" s="25">
        <x:f t="shared" si="0"/>
        <x:v>229</x:v>
      </x:c>
      <x:c r="I68" s="25">
        <x:f t="shared" si="1"/>
        <x:v>229</x:v>
      </x:c>
      <x:c r="J68" s="25" t="n">
        <x:f>(ROUND($BF$40*SUMIFS($R$39:R68,$B$39:B68,B68)/$BL$40/$BB$19,0)-ROUND($BF$40*SUMIFS($R$39:R67,$B$39:B67,B68)/$BL$40/$BB$19,0))*$BB$19</x:f>
        <x:v>8150</x:v>
      </x:c>
      <x:c r="K68" s="25">
        <x:f t="shared" si="2"/>
        <x:v>45</x:v>
      </x:c>
      <x:c r="L68" s="25">
        <x:f t="shared" si="3"/>
        <x:v>45</x:v>
      </x:c>
      <x:c r="M68" s="25">
        <x:f t="shared" si="4"/>
        <x:v>45</x:v>
      </x:c>
      <x:c r="N68" s="25">
        <x:f t="shared" si="5"/>
        <x:v>1630</x:v>
      </x:c>
      <x:c r="O68" s="25" t="n">
        <x:f>0</x:f>
        <x:v>0</x:v>
      </x:c>
      <x:c r="P68" s="25">
        <x:f t="shared" si="6"/>
        <x:v>200</x:v>
      </x:c>
      <x:c r="Q68" s="19" t="s">
        <x:v>83</x:v>
      </x:c>
      <x:c r="R68" s="19">
        <x:f t="shared" si="7"/>
        <x:v>5.4772255750516612</x:v>
      </x:c>
      <x:c r="S68" s="20">
        <x:f t="shared" si="8"/>
        <x:v>6.666666666666667</x:v>
      </x:c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</x:row>
    <x:row r="69" ht="23.100000381469727" customHeight="1">
      <x:c r="A69" s="19">
        <x:v>31</x:v>
      </x:c>
      <x:c r="B69" s="19" t="n">
        <x:f>关卡数值!A43</x:f>
        <x:v>3</x:v>
      </x:c>
      <x:c r="C69" s="19" t="n">
        <x:f>关卡数值!B43</x:f>
        <x:v>1030110</x:v>
      </x:c>
      <x:c r="D69" s="19" t="str">
        <x:f>关卡数值!C43</x:f>
        <x:v>3-终章2</x:v>
      </x:c>
      <x:c r="E69" s="19" t="str">
        <x:f>关卡数值!D43</x:f>
        <x:v>终章</x:v>
      </x:c>
      <x:c r="F69" s="19" t="n">
        <x:f>关卡数值!I43</x:f>
        <x:v>30</x:v>
      </x:c>
      <x:c r="G69" s="25" t="n">
        <x:f>ROUND($BD$40*SUMIFS($R$39:R69,$B$39:B69,B69)/$BL$40,0)-ROUND($BD$40*SUMIFS($R$39:R68,$B$39:B68,B69)/$BL$40,0)</x:f>
        <x:v>233</x:v>
      </x:c>
      <x:c r="H69" s="25">
        <x:f t="shared" si="0"/>
        <x:v>233</x:v>
      </x:c>
      <x:c r="I69" s="25">
        <x:f t="shared" si="1"/>
        <x:v>233</x:v>
      </x:c>
      <x:c r="J69" s="25" t="n">
        <x:f>(ROUND($BF$40*SUMIFS($R$39:R69,$B$39:B69,B69)/$BL$40/$BB$19,0)-ROUND($BF$40*SUMIFS($R$39:R68,$B$39:B68,B69)/$BL$40/$BB$19,0))*$BB$19</x:f>
        <x:v>8280</x:v>
      </x:c>
      <x:c r="K69" s="25">
        <x:f t="shared" si="2"/>
        <x:v>46</x:v>
      </x:c>
      <x:c r="L69" s="25">
        <x:f t="shared" si="3"/>
        <x:v>46</x:v>
      </x:c>
      <x:c r="M69" s="25">
        <x:f t="shared" si="4"/>
        <x:v>46</x:v>
      </x:c>
      <x:c r="N69" s="25">
        <x:f t="shared" si="5"/>
        <x:v>1650</x:v>
      </x:c>
      <x:c r="O69" s="25" t="n">
        <x:f>$BB$9</x:f>
        <x:v>10</x:v>
      </x:c>
      <x:c r="P69" s="25">
        <x:f t="shared" si="6"/>
        <x:v>200</x:v>
      </x:c>
      <x:c r="Q69" s="19" t="s">
        <x:v>381</x:v>
      </x:c>
      <x:c r="R69" s="19">
        <x:f t="shared" si="7"/>
        <x:v>5.5677643628300215</x:v>
      </x:c>
      <x:c r="S69" s="20">
        <x:f t="shared" si="8"/>
        <x:v>6.666666666666667</x:v>
      </x:c>
      <x:c r="T69" s="19"/>
      <x:c r="U69" s="19"/>
      <x:c r="V69" s="19"/>
      <x:c r="W69" s="19"/>
      <x:c r="X69" s="19"/>
      <x:c r="Y69" s="19"/>
      <x:c r="Z69" s="19"/>
      <x:c r="AA69" s="19"/>
      <x:c r="AB69" s="19"/>
      <x:c r="AC69" s="19"/>
      <x:c r="AD69" s="19"/>
      <x:c r="AE69" s="19"/>
      <x:c r="AF69" s="19"/>
      <x:c r="AG69" s="19"/>
      <x:c r="AH69" s="19"/>
      <x:c r="AI69" s="19"/>
    </x:row>
    <x:row r="70" ht="23.100000381469727" customHeight="1">
      <x:c r="A70" s="19">
        <x:v>32</x:v>
      </x:c>
      <x:c r="B70" s="19" t="n">
        <x:f>关卡数值!A44</x:f>
        <x:v>3</x:v>
      </x:c>
      <x:c r="C70" s="19" t="n">
        <x:f>关卡数值!B44</x:f>
        <x:v>1030120</x:v>
      </x:c>
      <x:c r="D70" s="19" t="str">
        <x:f>关卡数值!C44</x:f>
        <x:v>3-加演1</x:v>
      </x:c>
      <x:c r="E70" s="19" t="str">
        <x:f>关卡数值!D44</x:f>
        <x:v>加演</x:v>
      </x:c>
      <x:c r="F70" s="19" t="n">
        <x:f>关卡数值!I44</x:f>
        <x:v>30</x:v>
      </x:c>
      <x:c r="G70" s="25" t="n">
        <x:f>ROUND($BD$40*SUMIFS($R$39:R70,$B$39:B70,B70)/$BL$40,0)-ROUND($BD$40*SUMIFS($R$39:R69,$B$39:B69,B70)/$BL$40,0)</x:f>
        <x:v>237</x:v>
      </x:c>
      <x:c r="H70" s="25">
        <x:f t="shared" si="0"/>
        <x:v>237</x:v>
      </x:c>
      <x:c r="I70" s="25">
        <x:f t="shared" si="1"/>
        <x:v>237</x:v>
      </x:c>
      <x:c r="J70" s="25" t="n">
        <x:f>(ROUND($BF$40*SUMIFS($R$39:R70,$B$39:B70,B70)/$BL$40/$BB$19,0)-ROUND($BF$40*SUMIFS($R$39:R69,$B$39:B69,B70)/$BL$40/$BB$19,0))*$BB$19</x:f>
        <x:v>8420</x:v>
      </x:c>
      <x:c r="K70" s="25">
        <x:f t="shared" si="2"/>
        <x:v>47</x:v>
      </x:c>
      <x:c r="L70" s="25">
        <x:f t="shared" si="3"/>
        <x:v>47</x:v>
      </x:c>
      <x:c r="M70" s="25">
        <x:f t="shared" si="4"/>
        <x:v>47</x:v>
      </x:c>
      <x:c r="N70" s="25">
        <x:f t="shared" si="5"/>
        <x:v>1680</x:v>
      </x:c>
      <x:c r="O70" s="25" t="n">
        <x:f>0</x:f>
        <x:v>0</x:v>
      </x:c>
      <x:c r="P70" s="25">
        <x:f t="shared" si="6"/>
        <x:v>200</x:v>
      </x:c>
      <x:c r="Q70" s="19" t="s">
        <x:v>83</x:v>
      </x:c>
      <x:c r="R70" s="19">
        <x:f t="shared" si="7"/>
        <x:v>5.6568542494923806</x:v>
      </x:c>
      <x:c r="S70" s="20">
        <x:f t="shared" si="8"/>
        <x:v>6.666666666666667</x:v>
      </x:c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</x:row>
    <x:row r="71" ht="23.100000381469727" customHeight="1">
      <x:c r="A71" s="19">
        <x:v>33</x:v>
      </x:c>
      <x:c r="B71" s="19" t="n">
        <x:f>关卡数值!A45</x:f>
        <x:v>3</x:v>
      </x:c>
      <x:c r="C71" s="19" t="n">
        <x:f>关卡数值!B45</x:f>
        <x:v>1030130</x:v>
      </x:c>
      <x:c r="D71" s="19" t="str">
        <x:f>关卡数值!C45</x:f>
        <x:v>3-加演2</x:v>
      </x:c>
      <x:c r="E71" s="19" t="str">
        <x:f>关卡数值!D45</x:f>
        <x:v>加演</x:v>
      </x:c>
      <x:c r="F71" s="19" t="n">
        <x:f>关卡数值!I45</x:f>
        <x:v>30</x:v>
      </x:c>
      <x:c r="G71" s="25" t="n">
        <x:f>ROUND($BD$40*SUMIFS($R$39:R71,$B$39:B71,B71)/$BL$40,0)-ROUND($BD$40*SUMIFS($R$39:R70,$B$39:B70,B71)/$BL$40,0)</x:f>
        <x:v>240</x:v>
      </x:c>
      <x:c r="H71" s="25" t="n">
        <x:f t="shared" ref="H71:H93" si="9">G71</x:f>
        <x:v>240</x:v>
      </x:c>
      <x:c r="I71" s="25" t="n">
        <x:f t="shared" ref="I71:I93" si="10">G71</x:f>
        <x:v>240</x:v>
      </x:c>
      <x:c r="J71" s="25" t="n">
        <x:f>(ROUND($BF$40*SUMIFS($R$39:R71,$B$39:B71,B71)/$BL$40/$BB$19,0)-ROUND($BF$40*SUMIFS($R$39:R70,$B$39:B70,B71)/$BL$40/$BB$19,0))*$BB$19</x:f>
        <x:v>8540</x:v>
      </x:c>
      <x:c r="K71" s="25" t="n">
        <x:f t="shared" ref="K71:K93" si="11">ROUNDDOWN(G71*$BB$7,0)</x:f>
        <x:v>48</x:v>
      </x:c>
      <x:c r="L71" s="25" t="n">
        <x:f t="shared" ref="L71:L93" si="12">ROUNDDOWN(H71*$BB$7,0)</x:f>
        <x:v>48</x:v>
      </x:c>
      <x:c r="M71" s="25" t="n">
        <x:f t="shared" ref="M71:M93" si="13">ROUNDDOWN(I71*$BB$7,0)</x:f>
        <x:v>48</x:v>
      </x:c>
      <x:c r="N71" s="25" t="n">
        <x:f t="shared" ref="N71:N93" si="14">ROUNDDOWN(J71*$BB$7/$BB$19,0)*$BB$19</x:f>
        <x:v>1700</x:v>
      </x:c>
      <x:c r="O71" s="25" t="n">
        <x:f>0</x:f>
        <x:v>0</x:v>
      </x:c>
      <x:c r="P71" s="25" t="n">
        <x:f t="shared" ref="P71:P93" si="15">ROUNDUP(INDEX($BM$38:$BM$42,B71)/$BB$18,0)*$BB$18</x:f>
        <x:v>200</x:v>
      </x:c>
      <x:c r="Q71" s="19" t="s">
        <x:v>83</x:v>
      </x:c>
      <x:c r="R71" s="19" t="n">
        <x:f t="shared" ref="R71:R93" si="16">A71^$BB$8</x:f>
        <x:v>5.744562646538029</x:v>
      </x:c>
      <x:c r="S71" s="20" t="n">
        <x:f t="shared" ref="S71:S93" si="17">P71/$BB$10</x:f>
        <x:v>6.666666666666667</x:v>
      </x:c>
      <x:c r="T71" s="19"/>
      <x:c r="U71" s="19"/>
      <x:c r="V71" s="19"/>
      <x:c r="W71" s="19"/>
      <x:c r="X71" s="19"/>
      <x:c r="Y71" s="19"/>
      <x:c r="Z71" s="19"/>
      <x:c r="AA71" s="19"/>
      <x:c r="AB71" s="19"/>
      <x:c r="AC71" s="19"/>
      <x:c r="AD71" s="19"/>
      <x:c r="AE71" s="19"/>
      <x:c r="AF71" s="19"/>
      <x:c r="AG71" s="19"/>
      <x:c r="AH71" s="19"/>
      <x:c r="AI71" s="19"/>
    </x:row>
    <x:row r="72" ht="23.100000381469727" customHeight="1">
      <x:c r="A72" s="19">
        <x:v>34</x:v>
      </x:c>
      <x:c r="B72" s="19" t="n">
        <x:f>关卡数值!A46</x:f>
        <x:v>3</x:v>
      </x:c>
      <x:c r="C72" s="19" t="n">
        <x:f>关卡数值!B46</x:f>
        <x:v>1030140</x:v>
      </x:c>
      <x:c r="D72" s="19" t="str">
        <x:f>关卡数值!C46</x:f>
        <x:v>3-加演3</x:v>
      </x:c>
      <x:c r="E72" s="19" t="str">
        <x:f>关卡数值!D46</x:f>
        <x:v>加演</x:v>
      </x:c>
      <x:c r="F72" s="19" t="n">
        <x:f>关卡数值!I46</x:f>
        <x:v>30</x:v>
      </x:c>
      <x:c r="G72" s="25" t="n">
        <x:f>ROUND($BD$40*SUMIFS($R$39:R72,$B$39:B72,B72)/$BL$40,0)-ROUND($BD$40*SUMIFS($R$39:R71,$B$39:B71,B72)/$BL$40,0)</x:f>
        <x:v>244</x:v>
      </x:c>
      <x:c r="H72" s="25">
        <x:f t="shared" si="9"/>
        <x:v>244</x:v>
      </x:c>
      <x:c r="I72" s="25">
        <x:f t="shared" si="10"/>
        <x:v>244</x:v>
      </x:c>
      <x:c r="J72" s="25" t="n">
        <x:f>(ROUND($BF$40*SUMIFS($R$39:R72,$B$39:B72,B72)/$BL$40/$BB$19,0)-ROUND($BF$40*SUMIFS($R$39:R71,$B$39:B71,B72)/$BL$40/$BB$19,0))*$BB$19</x:f>
        <x:v>8680</x:v>
      </x:c>
      <x:c r="K72" s="25">
        <x:f t="shared" si="11"/>
        <x:v>48</x:v>
      </x:c>
      <x:c r="L72" s="25">
        <x:f t="shared" si="12"/>
        <x:v>48</x:v>
      </x:c>
      <x:c r="M72" s="25">
        <x:f t="shared" si="13"/>
        <x:v>48</x:v>
      </x:c>
      <x:c r="N72" s="25">
        <x:f t="shared" si="14"/>
        <x:v>1730</x:v>
      </x:c>
      <x:c r="O72" s="25" t="n">
        <x:f>0</x:f>
        <x:v>0</x:v>
      </x:c>
      <x:c r="P72" s="25">
        <x:f t="shared" si="15"/>
        <x:v>200</x:v>
      </x:c>
      <x:c r="Q72" s="19" t="s">
        <x:v>83</x:v>
      </x:c>
      <x:c r="R72" s="19">
        <x:f t="shared" si="16"/>
        <x:v>5.8309518948453007</x:v>
      </x:c>
      <x:c r="S72" s="20">
        <x:f t="shared" si="17"/>
        <x:v>6.666666666666667</x:v>
      </x:c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</x:row>
    <x:row r="73" ht="23.100000381469727" customHeight="1">
      <x:c r="A73" s="19">
        <x:v>35</x:v>
      </x:c>
      <x:c r="B73" s="19" t="n">
        <x:f>关卡数值!A47</x:f>
        <x:v>3</x:v>
      </x:c>
      <x:c r="C73" s="19" t="n">
        <x:f>关卡数值!B47</x:f>
        <x:v>1030150</x:v>
      </x:c>
      <x:c r="D73" s="19" t="str">
        <x:f>关卡数值!C47</x:f>
        <x:v>3-隐藏关</x:v>
      </x:c>
      <x:c r="E73" s="19" t="str">
        <x:f>关卡数值!D47</x:f>
        <x:v>隐藏</x:v>
      </x:c>
      <x:c r="F73" s="19" t="n">
        <x:f>关卡数值!I47</x:f>
        <x:v>25</x:v>
      </x:c>
      <x:c r="G73" s="25" t="n">
        <x:f>ROUND($BD$40*SUMIFS($R$39:R73,$B$39:B73,B73)/$BL$40,0)-ROUND($BD$40*SUMIFS($R$39:R72,$B$39:B72,B73)/$BL$40,0)</x:f>
        <x:v>248</x:v>
      </x:c>
      <x:c r="H73" s="25">
        <x:f t="shared" si="9"/>
        <x:v>248</x:v>
      </x:c>
      <x:c r="I73" s="25">
        <x:f t="shared" si="10"/>
        <x:v>248</x:v>
      </x:c>
      <x:c r="J73" s="25" t="n">
        <x:f>(ROUND($BF$40*SUMIFS($R$39:R73,$B$39:B73,B73)/$BL$40/$BB$19,0)-ROUND($BF$40*SUMIFS($R$39:R72,$B$39:B72,B73)/$BL$40/$BB$19,0))*$BB$19</x:f>
        <x:v>8800</x:v>
      </x:c>
      <x:c r="K73" s="25">
        <x:f t="shared" si="11"/>
        <x:v>49</x:v>
      </x:c>
      <x:c r="L73" s="25">
        <x:f t="shared" si="12"/>
        <x:v>49</x:v>
      </x:c>
      <x:c r="M73" s="25">
        <x:f t="shared" si="13"/>
        <x:v>49</x:v>
      </x:c>
      <x:c r="N73" s="25">
        <x:f t="shared" si="14"/>
        <x:v>1760</x:v>
      </x:c>
      <x:c r="O73" s="25" t="n">
        <x:f>0</x:f>
        <x:v>0</x:v>
      </x:c>
      <x:c r="P73" s="25">
        <x:f t="shared" si="15"/>
        <x:v>200</x:v>
      </x:c>
      <x:c r="Q73" s="19" t="s">
        <x:v>83</x:v>
      </x:c>
      <x:c r="R73" s="19">
        <x:f t="shared" si="16"/>
        <x:v>5.9160797830996161</x:v>
      </x:c>
      <x:c r="S73" s="20">
        <x:f t="shared" si="17"/>
        <x:v>6.666666666666667</x:v>
      </x:c>
      <x:c r="T73" s="19"/>
      <x:c r="U73" s="19"/>
      <x:c r="V73" s="19"/>
      <x:c r="W73" s="19"/>
      <x:c r="X73" s="19"/>
      <x:c r="Y73" s="19"/>
      <x:c r="Z73" s="19"/>
      <x:c r="AA73" s="19"/>
      <x:c r="AB73" s="19"/>
      <x:c r="AC73" s="19"/>
      <x:c r="AD73" s="19"/>
      <x:c r="AE73" s="19"/>
      <x:c r="AF73" s="19"/>
      <x:c r="AG73" s="19"/>
      <x:c r="AH73" s="19"/>
      <x:c r="AI73" s="19"/>
    </x:row>
    <x:row r="74" ht="23.100000381469727" customHeight="1">
      <x:c r="A74" s="19">
        <x:v>36</x:v>
      </x:c>
      <x:c r="B74" s="19" t="n">
        <x:f>关卡数值!A48</x:f>
        <x:v>4</x:v>
      </x:c>
      <x:c r="C74" s="19" t="n">
        <x:f>关卡数值!B48</x:f>
        <x:v>1040010</x:v>
      </x:c>
      <x:c r="D74" s="19" t="str">
        <x:f>关卡数值!C48</x:f>
        <x:v>4-1</x:v>
      </x:c>
      <x:c r="E74" s="19" t="str">
        <x:f>关卡数值!D48</x:f>
        <x:v>普通</x:v>
      </x:c>
      <x:c r="F74" s="19" t="n">
        <x:f>关卡数值!I48</x:f>
        <x:v>31</x:v>
      </x:c>
      <x:c r="G74" s="25" t="n">
        <x:f>ROUND($BD$41*SUMIFS($R$39:R74,$B$39:B74,B74)/$BL$41,0)-ROUND($BD$41*0/$BL$41,0)</x:f>
        <x:v>290</x:v>
      </x:c>
      <x:c r="H74" s="25">
        <x:f t="shared" si="9"/>
        <x:v>290</x:v>
      </x:c>
      <x:c r="I74" s="25">
        <x:f t="shared" si="10"/>
        <x:v>290</x:v>
      </x:c>
      <x:c r="J74" s="25" t="n">
        <x:f>(ROUND($BF$41*SUMIFS($R$39:R74,$B$39:B74,B74)/$BL$41/$BB$19,0)-ROUND($BF$41*0/$BL$41/$BB$19,0))*$BB$19</x:f>
        <x:v>11150</x:v>
      </x:c>
      <x:c r="K74" s="25">
        <x:f t="shared" si="11"/>
        <x:v>58</x:v>
      </x:c>
      <x:c r="L74" s="25">
        <x:f t="shared" si="12"/>
        <x:v>58</x:v>
      </x:c>
      <x:c r="M74" s="25">
        <x:f t="shared" si="13"/>
        <x:v>58</x:v>
      </x:c>
      <x:c r="N74" s="25">
        <x:f t="shared" si="14"/>
        <x:v>2230</x:v>
      </x:c>
      <x:c r="O74" s="25" t="n">
        <x:f>$BB$9</x:f>
        <x:v>10</x:v>
      </x:c>
      <x:c r="P74" s="25">
        <x:f t="shared" si="15"/>
        <x:v>200</x:v>
      </x:c>
      <x:c r="Q74" s="19" t="s">
        <x:v>381</x:v>
      </x:c>
      <x:c r="R74" s="19">
        <x:f t="shared" si="16"/>
        <x:v>6</x:v>
      </x:c>
      <x:c r="S74" s="20">
        <x:f t="shared" si="17"/>
        <x:v>6.666666666666667</x:v>
      </x:c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</x:row>
    <x:row r="75" ht="23.100000381469727" customHeight="1">
      <x:c r="A75" s="19">
        <x:v>37</x:v>
      </x:c>
      <x:c r="B75" s="19" t="n">
        <x:f>关卡数值!A49</x:f>
        <x:v>4</x:v>
      </x:c>
      <x:c r="C75" s="19" t="n">
        <x:f>关卡数值!B49</x:f>
        <x:v>1040020</x:v>
      </x:c>
      <x:c r="D75" s="19" t="str">
        <x:f>关卡数值!C49</x:f>
        <x:v>4-2</x:v>
      </x:c>
      <x:c r="E75" s="19" t="str">
        <x:f>关卡数值!D49</x:f>
        <x:v>普通</x:v>
      </x:c>
      <x:c r="F75" s="19" t="n">
        <x:f>关卡数值!I49</x:f>
        <x:v>31</x:v>
      </x:c>
      <x:c r="G75" s="25" t="n">
        <x:f>ROUND($BD$41*SUMIFS($R$39:R75,$B$39:B75,B75)/$BL$41,0)-ROUND($BD$41*SUMIFS($R$39:R74,$B$39:B74,B75)/$BL$41,0)</x:f>
        <x:v>294</x:v>
      </x:c>
      <x:c r="H75" s="25">
        <x:f t="shared" si="9"/>
        <x:v>294</x:v>
      </x:c>
      <x:c r="I75" s="25">
        <x:f t="shared" si="10"/>
        <x:v>294</x:v>
      </x:c>
      <x:c r="J75" s="25" t="n">
        <x:f>(ROUND($BF$41*SUMIFS($R$39:R75,$B$39:B75,B75)/$BL$41/$BB$19,0)-ROUND($BF$41*SUMIFS($R$39:R74,$B$39:B74,B75)/$BL$41/$BB$19,0))*$BB$19</x:f>
        <x:v>11300</x:v>
      </x:c>
      <x:c r="K75" s="25">
        <x:f t="shared" si="11"/>
        <x:v>58</x:v>
      </x:c>
      <x:c r="L75" s="25">
        <x:f t="shared" si="12"/>
        <x:v>58</x:v>
      </x:c>
      <x:c r="M75" s="25">
        <x:f t="shared" si="13"/>
        <x:v>58</x:v>
      </x:c>
      <x:c r="N75" s="25">
        <x:f t="shared" si="14"/>
        <x:v>2260</x:v>
      </x:c>
      <x:c r="O75" s="25" t="n">
        <x:f>0</x:f>
        <x:v>0</x:v>
      </x:c>
      <x:c r="P75" s="25">
        <x:f t="shared" si="15"/>
        <x:v>200</x:v>
      </x:c>
      <x:c r="Q75" s="19" t="s">
        <x:v>83</x:v>
      </x:c>
      <x:c r="R75" s="19">
        <x:f t="shared" si="16"/>
        <x:v>6.0827625302982193</x:v>
      </x:c>
      <x:c r="S75" s="20">
        <x:f t="shared" si="17"/>
        <x:v>6.666666666666667</x:v>
      </x:c>
      <x:c r="T75" s="19"/>
      <x:c r="U75" s="19"/>
      <x:c r="V75" s="19"/>
      <x:c r="W75" s="19"/>
      <x:c r="X75" s="19"/>
      <x:c r="Y75" s="19"/>
      <x:c r="Z75" s="19"/>
      <x:c r="AA75" s="19"/>
      <x:c r="AB75" s="19"/>
      <x:c r="AC75" s="19"/>
      <x:c r="AD75" s="19"/>
      <x:c r="AE75" s="19"/>
      <x:c r="AF75" s="19"/>
      <x:c r="AG75" s="19"/>
      <x:c r="AH75" s="19"/>
      <x:c r="AI75" s="19"/>
    </x:row>
    <x:row r="76" ht="23.100000381469727" customHeight="1">
      <x:c r="A76" s="19">
        <x:v>38</x:v>
      </x:c>
      <x:c r="B76" s="19" t="n">
        <x:f>关卡数值!A50</x:f>
        <x:v>4</x:v>
      </x:c>
      <x:c r="C76" s="19" t="n">
        <x:f>关卡数值!B50</x:f>
        <x:v>1040030</x:v>
      </x:c>
      <x:c r="D76" s="19" t="str">
        <x:f>关卡数值!C50</x:f>
        <x:v>4-3</x:v>
      </x:c>
      <x:c r="E76" s="19" t="str">
        <x:f>关卡数值!D50</x:f>
        <x:v>普通</x:v>
      </x:c>
      <x:c r="F76" s="19" t="n">
        <x:f>关卡数值!I50</x:f>
        <x:v>31</x:v>
      </x:c>
      <x:c r="G76" s="25" t="n">
        <x:f>ROUND($BD$41*SUMIFS($R$39:R76,$B$39:B76,B76)/$BL$41,0)-ROUND($BD$41*SUMIFS($R$39:R75,$B$39:B75,B76)/$BL$41,0)</x:f>
        <x:v>299</x:v>
      </x:c>
      <x:c r="H76" s="25">
        <x:f t="shared" si="9"/>
        <x:v>299</x:v>
      </x:c>
      <x:c r="I76" s="25">
        <x:f t="shared" si="10"/>
        <x:v>299</x:v>
      </x:c>
      <x:c r="J76" s="25" t="n">
        <x:f>(ROUND($BF$41*SUMIFS($R$39:R76,$B$39:B76,B76)/$BL$41/$BB$19,0)-ROUND($BF$41*SUMIFS($R$39:R75,$B$39:B75,B76)/$BL$41/$BB$19,0))*$BB$19</x:f>
        <x:v>11450</x:v>
      </x:c>
      <x:c r="K76" s="25">
        <x:f t="shared" si="11"/>
        <x:v>59</x:v>
      </x:c>
      <x:c r="L76" s="25">
        <x:f t="shared" si="12"/>
        <x:v>59</x:v>
      </x:c>
      <x:c r="M76" s="25">
        <x:f t="shared" si="13"/>
        <x:v>59</x:v>
      </x:c>
      <x:c r="N76" s="25">
        <x:f t="shared" si="14"/>
        <x:v>2290</x:v>
      </x:c>
      <x:c r="O76" s="25" t="n">
        <x:f>0</x:f>
        <x:v>0</x:v>
      </x:c>
      <x:c r="P76" s="25">
        <x:f t="shared" si="15"/>
        <x:v>200</x:v>
      </x:c>
      <x:c r="Q76" s="19" t="s">
        <x:v>83</x:v>
      </x:c>
      <x:c r="R76" s="19">
        <x:f t="shared" si="16"/>
        <x:v>6.164414002968976</x:v>
      </x:c>
      <x:c r="S76" s="20">
        <x:f t="shared" si="17"/>
        <x:v>6.666666666666667</x:v>
      </x:c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</x:row>
    <x:row r="77" ht="23.100000381469727" customHeight="1">
      <x:c r="A77" s="19">
        <x:v>39</x:v>
      </x:c>
      <x:c r="B77" s="19" t="n">
        <x:f>关卡数值!A51</x:f>
        <x:v>4</x:v>
      </x:c>
      <x:c r="C77" s="19" t="n">
        <x:f>关卡数值!B51</x:f>
        <x:v>1040040</x:v>
      </x:c>
      <x:c r="D77" s="19" t="str">
        <x:f>关卡数值!C51</x:f>
        <x:v>4-4</x:v>
      </x:c>
      <x:c r="E77" s="19" t="str">
        <x:f>关卡数值!D51</x:f>
        <x:v>普通</x:v>
      </x:c>
      <x:c r="F77" s="19" t="n">
        <x:f>关卡数值!I51</x:f>
        <x:v>32</x:v>
      </x:c>
      <x:c r="G77" s="25" t="n">
        <x:f>ROUND($BD$41*SUMIFS($R$39:R77,$B$39:B77,B77)/$BL$41,0)-ROUND($BD$41*SUMIFS($R$39:R76,$B$39:B76,B77)/$BL$41,0)</x:f>
        <x:v>302</x:v>
      </x:c>
      <x:c r="H77" s="25">
        <x:f t="shared" si="9"/>
        <x:v>302</x:v>
      </x:c>
      <x:c r="I77" s="25">
        <x:f t="shared" si="10"/>
        <x:v>302</x:v>
      </x:c>
      <x:c r="J77" s="25" t="n">
        <x:f>(ROUND($BF$41*SUMIFS($R$39:R77,$B$39:B77,B77)/$BL$41/$BB$19,0)-ROUND($BF$41*SUMIFS($R$39:R76,$B$39:B76,B77)/$BL$41/$BB$19,0))*$BB$19</x:f>
        <x:v>11610</x:v>
      </x:c>
      <x:c r="K77" s="25">
        <x:f t="shared" si="11"/>
        <x:v>60</x:v>
      </x:c>
      <x:c r="L77" s="25">
        <x:f t="shared" si="12"/>
        <x:v>60</x:v>
      </x:c>
      <x:c r="M77" s="25">
        <x:f t="shared" si="13"/>
        <x:v>60</x:v>
      </x:c>
      <x:c r="N77" s="25">
        <x:f t="shared" si="14"/>
        <x:v>2320</x:v>
      </x:c>
      <x:c r="O77" s="25" t="n">
        <x:f>0</x:f>
        <x:v>0</x:v>
      </x:c>
      <x:c r="P77" s="25">
        <x:f t="shared" si="15"/>
        <x:v>200</x:v>
      </x:c>
      <x:c r="Q77" s="19" t="s">
        <x:v>83</x:v>
      </x:c>
      <x:c r="R77" s="19">
        <x:f t="shared" si="16"/>
        <x:v>6.2449979983983983</x:v>
      </x:c>
      <x:c r="S77" s="20">
        <x:f t="shared" si="17"/>
        <x:v>6.666666666666667</x:v>
      </x:c>
      <x:c r="T77" s="19"/>
      <x:c r="U77" s="19"/>
      <x:c r="V77" s="19"/>
      <x:c r="W77" s="19"/>
      <x:c r="X77" s="19"/>
      <x:c r="Y77" s="19"/>
      <x:c r="Z77" s="19"/>
      <x:c r="AA77" s="19"/>
      <x:c r="AB77" s="19"/>
      <x:c r="AC77" s="19"/>
      <x:c r="AD77" s="19"/>
      <x:c r="AE77" s="19"/>
      <x:c r="AF77" s="19"/>
      <x:c r="AG77" s="19"/>
      <x:c r="AH77" s="19"/>
      <x:c r="AI77" s="19"/>
    </x:row>
    <x:row r="78" ht="23.100000381469727" customHeight="1">
      <x:c r="A78" s="19">
        <x:v>40</x:v>
      </x:c>
      <x:c r="B78" s="19" t="n">
        <x:f>关卡数值!A52</x:f>
        <x:v>4</x:v>
      </x:c>
      <x:c r="C78" s="19" t="n">
        <x:f>关卡数值!B52</x:f>
        <x:v>1040050</x:v>
      </x:c>
      <x:c r="D78" s="19" t="str">
        <x:f>关卡数值!C52</x:f>
        <x:v>4-5</x:v>
      </x:c>
      <x:c r="E78" s="19" t="str">
        <x:f>关卡数值!D52</x:f>
        <x:v>普通</x:v>
      </x:c>
      <x:c r="F78" s="19" t="n">
        <x:f>关卡数值!I52</x:f>
        <x:v>35</x:v>
      </x:c>
      <x:c r="G78" s="25" t="n">
        <x:f>ROUND($BD$41*SUMIFS($R$39:R78,$B$39:B78,B78)/$BL$41,0)-ROUND($BD$41*SUMIFS($R$39:R77,$B$39:B77,B78)/$BL$41,0)</x:f>
        <x:v>306</x:v>
      </x:c>
      <x:c r="H78" s="25">
        <x:f t="shared" si="9"/>
        <x:v>306</x:v>
      </x:c>
      <x:c r="I78" s="25">
        <x:f t="shared" si="10"/>
        <x:v>306</x:v>
      </x:c>
      <x:c r="J78" s="25" t="n">
        <x:f>(ROUND($BF$41*SUMIFS($R$39:R78,$B$39:B78,B78)/$BL$41/$BB$19,0)-ROUND($BF$41*SUMIFS($R$39:R77,$B$39:B77,B78)/$BL$41/$BB$19,0))*$BB$19</x:f>
        <x:v>11750</x:v>
      </x:c>
      <x:c r="K78" s="25">
        <x:f t="shared" si="11"/>
        <x:v>61</x:v>
      </x:c>
      <x:c r="L78" s="25">
        <x:f t="shared" si="12"/>
        <x:v>61</x:v>
      </x:c>
      <x:c r="M78" s="25">
        <x:f t="shared" si="13"/>
        <x:v>61</x:v>
      </x:c>
      <x:c r="N78" s="25">
        <x:f t="shared" si="14"/>
        <x:v>2350</x:v>
      </x:c>
      <x:c r="O78" s="25" t="n">
        <x:f>$BB$9</x:f>
        <x:v>10</x:v>
      </x:c>
      <x:c r="P78" s="25">
        <x:f t="shared" si="15"/>
        <x:v>200</x:v>
      </x:c>
      <x:c r="Q78" s="19" t="s">
        <x:v>381</x:v>
      </x:c>
      <x:c r="R78" s="19">
        <x:f t="shared" si="16"/>
        <x:v>6.324555320336759</x:v>
      </x:c>
      <x:c r="S78" s="20">
        <x:f t="shared" si="17"/>
        <x:v>6.666666666666667</x:v>
      </x:c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</x:row>
    <x:row r="79" ht="23.100000381469727" customHeight="1">
      <x:c r="A79" s="19">
        <x:v>41</x:v>
      </x:c>
      <x:c r="B79" s="19" t="n">
        <x:f>关卡数值!A53</x:f>
        <x:v>4</x:v>
      </x:c>
      <x:c r="C79" s="19" t="n">
        <x:f>关卡数值!B53</x:f>
        <x:v>1040060</x:v>
      </x:c>
      <x:c r="D79" s="19" t="str">
        <x:f>关卡数值!C53</x:f>
        <x:v>4-6</x:v>
      </x:c>
      <x:c r="E79" s="19" t="str">
        <x:f>关卡数值!D53</x:f>
        <x:v>普通</x:v>
      </x:c>
      <x:c r="F79" s="19" t="n">
        <x:f>关卡数值!I53</x:f>
        <x:v>35</x:v>
      </x:c>
      <x:c r="G79" s="25" t="n">
        <x:f>ROUND($BD$41*SUMIFS($R$39:R79,$B$39:B79,B79)/$BL$41,0)-ROUND($BD$41*SUMIFS($R$39:R78,$B$39:B78,B79)/$BL$41,0)</x:f>
        <x:v>309</x:v>
      </x:c>
      <x:c r="H79" s="25">
        <x:f t="shared" si="9"/>
        <x:v>309</x:v>
      </x:c>
      <x:c r="I79" s="25">
        <x:f t="shared" si="10"/>
        <x:v>309</x:v>
      </x:c>
      <x:c r="J79" s="25" t="n">
        <x:f>(ROUND($BF$41*SUMIFS($R$39:R79,$B$39:B79,B79)/$BL$41/$BB$19,0)-ROUND($BF$41*SUMIFS($R$39:R78,$B$39:B78,B79)/$BL$41/$BB$19,0))*$BB$19</x:f>
        <x:v>11890</x:v>
      </x:c>
      <x:c r="K79" s="25">
        <x:f t="shared" si="11"/>
        <x:v>61</x:v>
      </x:c>
      <x:c r="L79" s="25">
        <x:f t="shared" si="12"/>
        <x:v>61</x:v>
      </x:c>
      <x:c r="M79" s="25">
        <x:f t="shared" si="13"/>
        <x:v>61</x:v>
      </x:c>
      <x:c r="N79" s="25">
        <x:f t="shared" si="14"/>
        <x:v>2370</x:v>
      </x:c>
      <x:c r="O79" s="25" t="n">
        <x:f>0</x:f>
        <x:v>0</x:v>
      </x:c>
      <x:c r="P79" s="25">
        <x:f t="shared" si="15"/>
        <x:v>200</x:v>
      </x:c>
      <x:c r="Q79" s="19" t="s">
        <x:v>83</x:v>
      </x:c>
      <x:c r="R79" s="19">
        <x:f t="shared" si="16"/>
        <x:v>6.4031242374328485</x:v>
      </x:c>
      <x:c r="S79" s="20">
        <x:f t="shared" si="17"/>
        <x:v>6.666666666666667</x:v>
      </x:c>
      <x:c r="T79" s="19"/>
      <x:c r="U79" s="19"/>
      <x:c r="V79" s="19"/>
      <x:c r="W79" s="19"/>
      <x:c r="X79" s="19"/>
      <x:c r="Y79" s="19"/>
      <x:c r="Z79" s="19"/>
      <x:c r="AA79" s="19"/>
      <x:c r="AB79" s="19"/>
      <x:c r="AC79" s="19"/>
      <x:c r="AD79" s="19"/>
      <x:c r="AE79" s="19"/>
      <x:c r="AF79" s="19"/>
      <x:c r="AG79" s="19"/>
      <x:c r="AH79" s="19"/>
      <x:c r="AI79" s="19"/>
    </x:row>
    <x:row r="80" ht="23.100000381469727" customHeight="1">
      <x:c r="A80" s="19">
        <x:v>42</x:v>
      </x:c>
      <x:c r="B80" s="19" t="n">
        <x:f>关卡数值!A54</x:f>
        <x:v>4</x:v>
      </x:c>
      <x:c r="C80" s="19" t="n">
        <x:f>关卡数值!B54</x:f>
        <x:v>1040070</x:v>
      </x:c>
      <x:c r="D80" s="19" t="str">
        <x:f>关卡数值!C54</x:f>
        <x:v>4-7</x:v>
      </x:c>
      <x:c r="E80" s="19" t="str">
        <x:f>关卡数值!D54</x:f>
        <x:v>普通</x:v>
      </x:c>
      <x:c r="F80" s="19" t="n">
        <x:f>关卡数值!I54</x:f>
        <x:v>35</x:v>
      </x:c>
      <x:c r="G80" s="25" t="n">
        <x:f>ROUND($BD$41*SUMIFS($R$39:R80,$B$39:B80,B80)/$BL$41,0)-ROUND($BD$41*SUMIFS($R$39:R79,$B$39:B79,B80)/$BL$41,0)</x:f>
        <x:v>314</x:v>
      </x:c>
      <x:c r="H80" s="25">
        <x:f t="shared" si="9"/>
        <x:v>314</x:v>
      </x:c>
      <x:c r="I80" s="25">
        <x:f t="shared" si="10"/>
        <x:v>314</x:v>
      </x:c>
      <x:c r="J80" s="25" t="n">
        <x:f>(ROUND($BF$41*SUMIFS($R$39:R80,$B$39:B80,B80)/$BL$41/$BB$19,0)-ROUND($BF$41*SUMIFS($R$39:R79,$B$39:B79,B80)/$BL$41/$BB$19,0))*$BB$19</x:f>
        <x:v>12040</x:v>
      </x:c>
      <x:c r="K80" s="25">
        <x:f t="shared" si="11"/>
        <x:v>62</x:v>
      </x:c>
      <x:c r="L80" s="25">
        <x:f t="shared" si="12"/>
        <x:v>62</x:v>
      </x:c>
      <x:c r="M80" s="25">
        <x:f t="shared" si="13"/>
        <x:v>62</x:v>
      </x:c>
      <x:c r="N80" s="25">
        <x:f t="shared" si="14"/>
        <x:v>2400</x:v>
      </x:c>
      <x:c r="O80" s="25" t="n">
        <x:f>0</x:f>
        <x:v>0</x:v>
      </x:c>
      <x:c r="P80" s="25">
        <x:f t="shared" si="15"/>
        <x:v>200</x:v>
      </x:c>
      <x:c r="Q80" s="19" t="s">
        <x:v>83</x:v>
      </x:c>
      <x:c r="R80" s="19">
        <x:f t="shared" si="16"/>
        <x:v>6.4807406984078604</x:v>
      </x:c>
      <x:c r="S80" s="20">
        <x:f t="shared" si="17"/>
        <x:v>6.666666666666667</x:v>
      </x:c>
      <x:c r="T80" s="19"/>
      <x:c r="U80" s="19"/>
      <x:c r="V80" s="19"/>
      <x:c r="W80" s="19"/>
      <x:c r="X80" s="19"/>
      <x:c r="Y80" s="19"/>
      <x:c r="Z80" s="19"/>
      <x:c r="AA80" s="19"/>
      <x:c r="AB80" s="19"/>
      <x:c r="AC80" s="19"/>
      <x:c r="AD80" s="19"/>
      <x:c r="AE80" s="19"/>
      <x:c r="AF80" s="19"/>
      <x:c r="AG80" s="19"/>
      <x:c r="AH80" s="19"/>
      <x:c r="AI80" s="19"/>
    </x:row>
    <x:row r="81" ht="23.100000381469727" customHeight="1">
      <x:c r="A81" s="19">
        <x:v>43</x:v>
      </x:c>
      <x:c r="B81" s="19" t="n">
        <x:f>关卡数值!A55</x:f>
        <x:v>4</x:v>
      </x:c>
      <x:c r="C81" s="19" t="n">
        <x:f>关卡数值!B55</x:f>
        <x:v>1040080</x:v>
      </x:c>
      <x:c r="D81" s="19" t="str">
        <x:f>关卡数值!C55</x:f>
        <x:v>4-8</x:v>
      </x:c>
      <x:c r="E81" s="19" t="str">
        <x:f>关卡数值!D55</x:f>
        <x:v>普通</x:v>
      </x:c>
      <x:c r="F81" s="19" t="n">
        <x:f>关卡数值!I55</x:f>
        <x:v>36</x:v>
      </x:c>
      <x:c r="G81" s="25" t="n">
        <x:f>ROUND($BD$41*SUMIFS($R$39:R81,$B$39:B81,B81)/$BL$41,0)-ROUND($BD$41*SUMIFS($R$39:R80,$B$39:B80,B81)/$BL$41,0)</x:f>
        <x:v>317</x:v>
      </x:c>
      <x:c r="H81" s="25">
        <x:f t="shared" si="9"/>
        <x:v>317</x:v>
      </x:c>
      <x:c r="I81" s="25">
        <x:f t="shared" si="10"/>
        <x:v>317</x:v>
      </x:c>
      <x:c r="J81" s="25" t="n">
        <x:f>(ROUND($BF$41*SUMIFS($R$39:R81,$B$39:B81,B81)/$BL$41/$BB$19,0)-ROUND($BF$41*SUMIFS($R$39:R80,$B$39:B80,B81)/$BL$41/$BB$19,0))*$BB$19</x:f>
        <x:v>12190</x:v>
      </x:c>
      <x:c r="K81" s="25">
        <x:f t="shared" si="11"/>
        <x:v>63</x:v>
      </x:c>
      <x:c r="L81" s="25">
        <x:f t="shared" si="12"/>
        <x:v>63</x:v>
      </x:c>
      <x:c r="M81" s="25">
        <x:f t="shared" si="13"/>
        <x:v>63</x:v>
      </x:c>
      <x:c r="N81" s="25">
        <x:f t="shared" si="14"/>
        <x:v>2430</x:v>
      </x:c>
      <x:c r="O81" s="25" t="n">
        <x:f>0</x:f>
        <x:v>0</x:v>
      </x:c>
      <x:c r="P81" s="25">
        <x:f t="shared" si="15"/>
        <x:v>200</x:v>
      </x:c>
      <x:c r="Q81" s="19" t="s">
        <x:v>83</x:v>
      </x:c>
      <x:c r="R81" s="19">
        <x:f t="shared" si="16"/>
        <x:v>6.5574385243020004</x:v>
      </x:c>
      <x:c r="S81" s="20">
        <x:f t="shared" si="17"/>
        <x:v>6.666666666666667</x:v>
      </x:c>
      <x:c r="T81" s="19"/>
      <x:c r="U81" s="19"/>
      <x:c r="V81" s="19"/>
      <x:c r="W81" s="19"/>
      <x:c r="X81" s="19"/>
      <x:c r="Y81" s="19"/>
      <x:c r="Z81" s="19"/>
      <x:c r="AA81" s="19"/>
      <x:c r="AB81" s="19"/>
      <x:c r="AC81" s="19"/>
      <x:c r="AD81" s="19"/>
      <x:c r="AE81" s="19"/>
      <x:c r="AF81" s="19"/>
      <x:c r="AG81" s="19"/>
      <x:c r="AH81" s="19"/>
      <x:c r="AI81" s="19"/>
    </x:row>
    <x:row r="82" ht="23.100000381469727" customHeight="1">
      <x:c r="A82" s="19">
        <x:v>44</x:v>
      </x:c>
      <x:c r="B82" s="19" t="n">
        <x:f>关卡数值!A56</x:f>
        <x:v>4</x:v>
      </x:c>
      <x:c r="C82" s="19" t="n">
        <x:f>关卡数值!B56</x:f>
        <x:v>1040090</x:v>
      </x:c>
      <x:c r="D82" s="19" t="str">
        <x:f>关卡数值!C56</x:f>
        <x:v>4-9</x:v>
      </x:c>
      <x:c r="E82" s="19" t="str">
        <x:f>关卡数值!D56</x:f>
        <x:v>普通</x:v>
      </x:c>
      <x:c r="F82" s="19" t="n">
        <x:f>关卡数值!I56</x:f>
        <x:v>36</x:v>
      </x:c>
      <x:c r="G82" s="25" t="n">
        <x:f>ROUND($BD$41*SUMIFS($R$39:R82,$B$39:B82,B82)/$BL$41,0)-ROUND($BD$41*SUMIFS($R$39:R81,$B$39:B81,B82)/$BL$41,0)</x:f>
        <x:v>321</x:v>
      </x:c>
      <x:c r="H82" s="25">
        <x:f t="shared" si="9"/>
        <x:v>321</x:v>
      </x:c>
      <x:c r="I82" s="25">
        <x:f t="shared" si="10"/>
        <x:v>321</x:v>
      </x:c>
      <x:c r="J82" s="25" t="n">
        <x:f>(ROUND($BF$41*SUMIFS($R$39:R82,$B$39:B82,B82)/$BL$41/$BB$19,0)-ROUND($BF$41*SUMIFS($R$39:R81,$B$39:B81,B82)/$BL$41/$BB$19,0))*$BB$19</x:f>
        <x:v>12320</x:v>
      </x:c>
      <x:c r="K82" s="25">
        <x:f t="shared" si="11"/>
        <x:v>64</x:v>
      </x:c>
      <x:c r="L82" s="25">
        <x:f t="shared" si="12"/>
        <x:v>64</x:v>
      </x:c>
      <x:c r="M82" s="25">
        <x:f t="shared" si="13"/>
        <x:v>64</x:v>
      </x:c>
      <x:c r="N82" s="25">
        <x:f t="shared" si="14"/>
        <x:v>2460</x:v>
      </x:c>
      <x:c r="O82" s="25" t="n">
        <x:f>0</x:f>
        <x:v>0</x:v>
      </x:c>
      <x:c r="P82" s="25">
        <x:f t="shared" si="15"/>
        <x:v>200</x:v>
      </x:c>
      <x:c r="Q82" s="19" t="s">
        <x:v>83</x:v>
      </x:c>
      <x:c r="R82" s="19">
        <x:f t="shared" si="16"/>
        <x:v>6.6332495807107996</x:v>
      </x:c>
      <x:c r="S82" s="20">
        <x:f t="shared" si="17"/>
        <x:v>6.666666666666667</x:v>
      </x:c>
      <x:c r="T82" s="19"/>
      <x:c r="U82" s="19"/>
      <x:c r="V82" s="19"/>
      <x:c r="W82" s="19"/>
      <x:c r="X82" s="19"/>
      <x:c r="Y82" s="19"/>
      <x:c r="Z82" s="19"/>
      <x:c r="AA82" s="19"/>
      <x:c r="AB82" s="19"/>
      <x:c r="AC82" s="19"/>
      <x:c r="AD82" s="19"/>
      <x:c r="AE82" s="19"/>
      <x:c r="AF82" s="19"/>
      <x:c r="AG82" s="19"/>
      <x:c r="AH82" s="19"/>
      <x:c r="AI82" s="19"/>
    </x:row>
    <x:row r="83" ht="23.100000381469727" customHeight="1">
      <x:c r="A83" s="19">
        <x:v>45</x:v>
      </x:c>
      <x:c r="B83" s="19" t="n">
        <x:f>关卡数值!A57</x:f>
        <x:v>4</x:v>
      </x:c>
      <x:c r="C83" s="19" t="n">
        <x:f>关卡数值!B57</x:f>
        <x:v>1040100</x:v>
      </x:c>
      <x:c r="D83" s="19" t="str">
        <x:f>关卡数值!C57</x:f>
        <x:v>4-终章1</x:v>
      </x:c>
      <x:c r="E83" s="19" t="str">
        <x:f>关卡数值!D57</x:f>
        <x:v>终章</x:v>
      </x:c>
      <x:c r="F83" s="19" t="n">
        <x:f>关卡数值!I57</x:f>
        <x:v>37</x:v>
      </x:c>
      <x:c r="G83" s="25" t="n">
        <x:f>ROUND($BD$41*SUMIFS($R$39:R83,$B$39:B83,B83)/$BL$41,0)-ROUND($BD$41*SUMIFS($R$39:R82,$B$39:B82,B83)/$BL$41,0)</x:f>
        <x:v>324</x:v>
      </x:c>
      <x:c r="H83" s="25">
        <x:f t="shared" si="9"/>
        <x:v>324</x:v>
      </x:c>
      <x:c r="I83" s="25">
        <x:f t="shared" si="10"/>
        <x:v>324</x:v>
      </x:c>
      <x:c r="J83" s="25" t="n">
        <x:f>(ROUND($BF$41*SUMIFS($R$39:R83,$B$39:B83,B83)/$BL$41/$BB$19,0)-ROUND($BF$41*SUMIFS($R$39:R82,$B$39:B82,B83)/$BL$41/$BB$19,0))*$BB$19</x:f>
        <x:v>12470</x:v>
      </x:c>
      <x:c r="K83" s="25">
        <x:f t="shared" si="11"/>
        <x:v>64</x:v>
      </x:c>
      <x:c r="L83" s="25">
        <x:f t="shared" si="12"/>
        <x:v>64</x:v>
      </x:c>
      <x:c r="M83" s="25">
        <x:f t="shared" si="13"/>
        <x:v>64</x:v>
      </x:c>
      <x:c r="N83" s="25">
        <x:f t="shared" si="14"/>
        <x:v>2490</x:v>
      </x:c>
      <x:c r="O83" s="25" t="n">
        <x:f>0</x:f>
        <x:v>0</x:v>
      </x:c>
      <x:c r="P83" s="25">
        <x:f t="shared" si="15"/>
        <x:v>200</x:v>
      </x:c>
      <x:c r="Q83" s="19" t="s">
        <x:v>83</x:v>
      </x:c>
      <x:c r="R83" s="19">
        <x:f t="shared" si="16"/>
        <x:v>6.7082039324993694</x:v>
      </x:c>
      <x:c r="S83" s="20">
        <x:f t="shared" si="17"/>
        <x:v>6.666666666666667</x:v>
      </x:c>
      <x:c r="T83" s="19"/>
      <x:c r="U83" s="19"/>
      <x:c r="V83" s="19"/>
      <x:c r="W83" s="19"/>
      <x:c r="X83" s="19"/>
      <x:c r="Y83" s="19"/>
      <x:c r="Z83" s="19"/>
      <x:c r="AA83" s="19"/>
      <x:c r="AB83" s="19"/>
      <x:c r="AC83" s="19"/>
      <x:c r="AD83" s="19"/>
      <x:c r="AE83" s="19"/>
      <x:c r="AF83" s="19"/>
      <x:c r="AG83" s="19"/>
      <x:c r="AH83" s="19"/>
      <x:c r="AI83" s="19"/>
    </x:row>
    <x:row r="84" ht="23.100000381469727" customHeight="1">
      <x:c r="A84" s="19">
        <x:v>46</x:v>
      </x:c>
      <x:c r="B84" s="19" t="n">
        <x:f>关卡数值!A58</x:f>
        <x:v>4</x:v>
      </x:c>
      <x:c r="C84" s="19" t="n">
        <x:f>关卡数值!B58</x:f>
        <x:v>1040110</x:v>
      </x:c>
      <x:c r="D84" s="19" t="str">
        <x:f>关卡数值!C58</x:f>
        <x:v>4-终章2</x:v>
      </x:c>
      <x:c r="E84" s="19" t="str">
        <x:f>关卡数值!D58</x:f>
        <x:v>终章</x:v>
      </x:c>
      <x:c r="F84" s="19" t="n">
        <x:f>关卡数值!I58</x:f>
        <x:v>40</x:v>
      </x:c>
      <x:c r="G84" s="25" t="n">
        <x:f>ROUND($BD$41*SUMIFS($R$39:R84,$B$39:B84,B84)/$BL$41,0)-ROUND($BD$41*SUMIFS($R$39:R83,$B$39:B83,B84)/$BL$41,0)</x:f>
        <x:v>329</x:v>
      </x:c>
      <x:c r="H84" s="25">
        <x:f t="shared" si="9"/>
        <x:v>329</x:v>
      </x:c>
      <x:c r="I84" s="25">
        <x:f t="shared" si="10"/>
        <x:v>329</x:v>
      </x:c>
      <x:c r="J84" s="25" t="n">
        <x:f>(ROUND($BF$41*SUMIFS($R$39:R84,$B$39:B84,B84)/$BL$41/$BB$19,0)-ROUND($BF$41*SUMIFS($R$39:R83,$B$39:B83,B84)/$BL$41/$BB$19,0))*$BB$19</x:f>
        <x:v>12600</x:v>
      </x:c>
      <x:c r="K84" s="25">
        <x:f t="shared" si="11"/>
        <x:v>65</x:v>
      </x:c>
      <x:c r="L84" s="25">
        <x:f t="shared" si="12"/>
        <x:v>65</x:v>
      </x:c>
      <x:c r="M84" s="25">
        <x:f t="shared" si="13"/>
        <x:v>65</x:v>
      </x:c>
      <x:c r="N84" s="25">
        <x:f t="shared" si="14"/>
        <x:v>2520</x:v>
      </x:c>
      <x:c r="O84" s="25" t="n">
        <x:f>$BB$9</x:f>
        <x:v>10</x:v>
      </x:c>
      <x:c r="P84" s="25">
        <x:f t="shared" si="15"/>
        <x:v>200</x:v>
      </x:c>
      <x:c r="Q84" s="19" t="s">
        <x:v>381</x:v>
      </x:c>
      <x:c r="R84" s="19">
        <x:f t="shared" si="16"/>
        <x:v>6.7823299831252681</x:v>
      </x:c>
      <x:c r="S84" s="20">
        <x:f t="shared" si="17"/>
        <x:v>6.666666666666667</x:v>
      </x:c>
      <x:c r="T84" s="19"/>
      <x:c r="U84" s="19"/>
      <x:c r="V84" s="19"/>
      <x:c r="W84" s="19"/>
      <x:c r="X84" s="19"/>
      <x:c r="Y84" s="19"/>
      <x:c r="Z84" s="19"/>
      <x:c r="AA84" s="19"/>
      <x:c r="AB84" s="19"/>
      <x:c r="AC84" s="19"/>
      <x:c r="AD84" s="19"/>
      <x:c r="AE84" s="19"/>
      <x:c r="AF84" s="19"/>
      <x:c r="AG84" s="19"/>
      <x:c r="AH84" s="19"/>
      <x:c r="AI84" s="19"/>
    </x:row>
    <x:row r="85" ht="23.100000381469727" customHeight="1">
      <x:c r="A85" s="19">
        <x:v>47</x:v>
      </x:c>
      <x:c r="B85" s="19" t="n">
        <x:f>关卡数值!A59</x:f>
        <x:v>4</x:v>
      </x:c>
      <x:c r="C85" s="19" t="n">
        <x:f>关卡数值!B59</x:f>
        <x:v>1040120</x:v>
      </x:c>
      <x:c r="D85" s="19" t="str">
        <x:f>关卡数值!C59</x:f>
        <x:v>4-加演1</x:v>
      </x:c>
      <x:c r="E85" s="19" t="str">
        <x:f>关卡数值!D59</x:f>
        <x:v>加演</x:v>
      </x:c>
      <x:c r="F85" s="19" t="n">
        <x:f>关卡数值!I59</x:f>
        <x:v>40</x:v>
      </x:c>
      <x:c r="G85" s="25" t="n">
        <x:f>ROUND($BD$41*SUMIFS($R$39:R85,$B$39:B85,B85)/$BL$41,0)-ROUND($BD$41*SUMIFS($R$39:R84,$B$39:B84,B85)/$BL$41,0)</x:f>
        <x:v>331</x:v>
      </x:c>
      <x:c r="H85" s="25">
        <x:f t="shared" si="9"/>
        <x:v>331</x:v>
      </x:c>
      <x:c r="I85" s="25">
        <x:f t="shared" si="10"/>
        <x:v>331</x:v>
      </x:c>
      <x:c r="J85" s="25" t="n">
        <x:f>(ROUND($BF$41*SUMIFS($R$39:R85,$B$39:B85,B85)/$BL$41/$BB$19,0)-ROUND($BF$41*SUMIFS($R$39:R84,$B$39:B84,B85)/$BL$41/$BB$19,0))*$BB$19</x:f>
        <x:v>12730</x:v>
      </x:c>
      <x:c r="K85" s="25">
        <x:f t="shared" si="11"/>
        <x:v>66</x:v>
      </x:c>
      <x:c r="L85" s="25">
        <x:f t="shared" si="12"/>
        <x:v>66</x:v>
      </x:c>
      <x:c r="M85" s="25">
        <x:f t="shared" si="13"/>
        <x:v>66</x:v>
      </x:c>
      <x:c r="N85" s="25">
        <x:f t="shared" si="14"/>
        <x:v>2540</x:v>
      </x:c>
      <x:c r="O85" s="25" t="n">
        <x:f>0</x:f>
        <x:v>0</x:v>
      </x:c>
      <x:c r="P85" s="25">
        <x:f t="shared" si="15"/>
        <x:v>200</x:v>
      </x:c>
      <x:c r="Q85" s="19" t="s">
        <x:v>83</x:v>
      </x:c>
      <x:c r="R85" s="19">
        <x:f t="shared" si="16"/>
        <x:v>6.8556546004010439</x:v>
      </x:c>
      <x:c r="S85" s="20">
        <x:f t="shared" si="17"/>
        <x:v>6.666666666666667</x:v>
      </x:c>
      <x:c r="T85" s="19"/>
      <x:c r="U85" s="19"/>
      <x:c r="V85" s="19"/>
      <x:c r="W85" s="19"/>
      <x:c r="X85" s="19"/>
      <x:c r="Y85" s="19"/>
      <x:c r="Z85" s="19"/>
      <x:c r="AA85" s="19"/>
      <x:c r="AB85" s="19"/>
      <x:c r="AC85" s="19"/>
      <x:c r="AD85" s="19"/>
      <x:c r="AE85" s="19"/>
      <x:c r="AF85" s="19"/>
      <x:c r="AG85" s="19"/>
      <x:c r="AH85" s="19"/>
      <x:c r="AI85" s="19"/>
    </x:row>
    <x:row r="86" ht="23.100000381469727" customHeight="1">
      <x:c r="A86" s="19">
        <x:v>48</x:v>
      </x:c>
      <x:c r="B86" s="19" t="n">
        <x:f>关卡数值!A60</x:f>
        <x:v>4</x:v>
      </x:c>
      <x:c r="C86" s="19" t="n">
        <x:f>关卡数值!B60</x:f>
        <x:v>1040130</x:v>
      </x:c>
      <x:c r="D86" s="19" t="str">
        <x:f>关卡数值!C60</x:f>
        <x:v>4-加演2</x:v>
      </x:c>
      <x:c r="E86" s="19" t="str">
        <x:f>关卡数值!D60</x:f>
        <x:v>加演</x:v>
      </x:c>
      <x:c r="F86" s="19" t="n">
        <x:f>关卡数值!I60</x:f>
        <x:v>40</x:v>
      </x:c>
      <x:c r="G86" s="25" t="n">
        <x:f>ROUND($BD$41*SUMIFS($R$39:R86,$B$39:B86,B86)/$BL$41,0)-ROUND($BD$41*SUMIFS($R$39:R85,$B$39:B85,B86)/$BL$41,0)</x:f>
        <x:v>335</x:v>
      </x:c>
      <x:c r="H86" s="25">
        <x:f t="shared" si="9"/>
        <x:v>335</x:v>
      </x:c>
      <x:c r="I86" s="25">
        <x:f t="shared" si="10"/>
        <x:v>335</x:v>
      </x:c>
      <x:c r="J86" s="25" t="n">
        <x:f>(ROUND($BF$41*SUMIFS($R$39:R86,$B$39:B86,B86)/$BL$41/$BB$19,0)-ROUND($BF$41*SUMIFS($R$39:R85,$B$39:B85,B86)/$BL$41/$BB$19,0))*$BB$19</x:f>
        <x:v>12880</x:v>
      </x:c>
      <x:c r="K86" s="25">
        <x:f t="shared" si="11"/>
        <x:v>67</x:v>
      </x:c>
      <x:c r="L86" s="25">
        <x:f t="shared" si="12"/>
        <x:v>67</x:v>
      </x:c>
      <x:c r="M86" s="25">
        <x:f t="shared" si="13"/>
        <x:v>67</x:v>
      </x:c>
      <x:c r="N86" s="25">
        <x:f t="shared" si="14"/>
        <x:v>2570</x:v>
      </x:c>
      <x:c r="O86" s="25" t="n">
        <x:f>0</x:f>
        <x:v>0</x:v>
      </x:c>
      <x:c r="P86" s="25">
        <x:f t="shared" si="15"/>
        <x:v>200</x:v>
      </x:c>
      <x:c r="Q86" s="19" t="s">
        <x:v>83</x:v>
      </x:c>
      <x:c r="R86" s="19">
        <x:f t="shared" si="16"/>
        <x:v>6.9282032302755088</x:v>
      </x:c>
      <x:c r="S86" s="20">
        <x:f t="shared" si="17"/>
        <x:v>6.666666666666667</x:v>
      </x:c>
      <x:c r="T86" s="19"/>
      <x:c r="U86" s="19"/>
      <x:c r="V86" s="19"/>
      <x:c r="W86" s="19"/>
      <x:c r="X86" s="19"/>
      <x:c r="Y86" s="19"/>
      <x:c r="Z86" s="19"/>
      <x:c r="AA86" s="19"/>
      <x:c r="AB86" s="19"/>
      <x:c r="AC86" s="19"/>
      <x:c r="AD86" s="19"/>
      <x:c r="AE86" s="19"/>
      <x:c r="AF86" s="19"/>
      <x:c r="AG86" s="19"/>
      <x:c r="AH86" s="19"/>
      <x:c r="AI86" s="19"/>
    </x:row>
    <x:row r="87" ht="23.100000381469727" customHeight="1">
      <x:c r="A87" s="19">
        <x:v>49</x:v>
      </x:c>
      <x:c r="B87" s="19" t="n">
        <x:f>关卡数值!A61</x:f>
        <x:v>4</x:v>
      </x:c>
      <x:c r="C87" s="19" t="n">
        <x:f>关卡数值!B61</x:f>
        <x:v>1040140</x:v>
      </x:c>
      <x:c r="D87" s="19" t="str">
        <x:f>关卡数值!C61</x:f>
        <x:v>4-加演3</x:v>
      </x:c>
      <x:c r="E87" s="19" t="str">
        <x:f>关卡数值!D61</x:f>
        <x:v>加演</x:v>
      </x:c>
      <x:c r="F87" s="19" t="n">
        <x:f>关卡数值!I61</x:f>
        <x:v>40</x:v>
      </x:c>
      <x:c r="G87" s="25" t="n">
        <x:f>ROUND($BD$41*SUMIFS($R$39:R87,$B$39:B87,B87)/$BL$41,0)-ROUND($BD$41*SUMIFS($R$39:R86,$B$39:B86,B87)/$BL$41,0)</x:f>
        <x:v>339</x:v>
      </x:c>
      <x:c r="H87" s="25">
        <x:f t="shared" si="9"/>
        <x:v>339</x:v>
      </x:c>
      <x:c r="I87" s="25">
        <x:f t="shared" si="10"/>
        <x:v>339</x:v>
      </x:c>
      <x:c r="J87" s="25" t="n">
        <x:f>(ROUND($BF$41*SUMIFS($R$39:R87,$B$39:B87,B87)/$BL$41/$BB$19,0)-ROUND($BF$41*SUMIFS($R$39:R86,$B$39:B86,B87)/$BL$41/$BB$19,0))*$BB$19</x:f>
        <x:v>13000</x:v>
      </x:c>
      <x:c r="K87" s="25">
        <x:f t="shared" si="11"/>
        <x:v>67</x:v>
      </x:c>
      <x:c r="L87" s="25">
        <x:f t="shared" si="12"/>
        <x:v>67</x:v>
      </x:c>
      <x:c r="M87" s="25">
        <x:f t="shared" si="13"/>
        <x:v>67</x:v>
      </x:c>
      <x:c r="N87" s="25">
        <x:f t="shared" si="14"/>
        <x:v>2600</x:v>
      </x:c>
      <x:c r="O87" s="25" t="n">
        <x:f>0</x:f>
        <x:v>0</x:v>
      </x:c>
      <x:c r="P87" s="25">
        <x:f t="shared" si="15"/>
        <x:v>200</x:v>
      </x:c>
      <x:c r="Q87" s="19" t="s">
        <x:v>83</x:v>
      </x:c>
      <x:c r="R87" s="19">
        <x:f t="shared" si="16"/>
        <x:v>7</x:v>
      </x:c>
      <x:c r="S87" s="20">
        <x:f t="shared" si="17"/>
        <x:v>6.666666666666667</x:v>
      </x:c>
      <x:c r="T87" s="19"/>
      <x:c r="U87" s="19"/>
      <x:c r="V87" s="19"/>
      <x:c r="W87" s="19"/>
      <x:c r="X87" s="19"/>
      <x:c r="Y87" s="19"/>
      <x:c r="Z87" s="19"/>
      <x:c r="AA87" s="19"/>
      <x:c r="AB87" s="19"/>
      <x:c r="AC87" s="19"/>
      <x:c r="AD87" s="19"/>
      <x:c r="AE87" s="19"/>
      <x:c r="AF87" s="19"/>
      <x:c r="AG87" s="19"/>
      <x:c r="AH87" s="19"/>
      <x:c r="AI87" s="19"/>
    </x:row>
    <x:row r="88" ht="23.100000381469727" customHeight="1">
      <x:c r="A88" s="19">
        <x:v>50</x:v>
      </x:c>
      <x:c r="B88" s="19" t="n">
        <x:f>关卡数值!A62</x:f>
        <x:v>4</x:v>
      </x:c>
      <x:c r="C88" s="19" t="n">
        <x:f>关卡数值!B62</x:f>
        <x:v>1040150</x:v>
      </x:c>
      <x:c r="D88" s="19" t="str">
        <x:f>关卡数值!C62</x:f>
        <x:v>4-隐藏关</x:v>
      </x:c>
      <x:c r="E88" s="19" t="str">
        <x:f>关卡数值!D62</x:f>
        <x:v>隐藏</x:v>
      </x:c>
      <x:c r="F88" s="19" t="n">
        <x:f>关卡数值!I62</x:f>
        <x:v>35</x:v>
      </x:c>
      <x:c r="G88" s="25" t="n">
        <x:f>ROUND($BD$41*SUMIFS($R$39:R88,$B$39:B88,B88)/$BL$41,0)-ROUND($BD$41*SUMIFS($R$39:R87,$B$39:B87,B88)/$BL$41,0)</x:f>
        <x:v>342</x:v>
      </x:c>
      <x:c r="H88" s="25">
        <x:f t="shared" si="9"/>
        <x:v>342</x:v>
      </x:c>
      <x:c r="I88" s="25">
        <x:f t="shared" si="10"/>
        <x:v>342</x:v>
      </x:c>
      <x:c r="J88" s="25" t="n">
        <x:f>(ROUND($BF$41*SUMIFS($R$39:R88,$B$39:B88,B88)/$BL$41/$BB$19,0)-ROUND($BF$41*SUMIFS($R$39:R87,$B$39:B87,B88)/$BL$41/$BB$19,0))*$BB$19</x:f>
        <x:v>13140</x:v>
      </x:c>
      <x:c r="K88" s="25">
        <x:f t="shared" si="11"/>
        <x:v>68</x:v>
      </x:c>
      <x:c r="L88" s="25">
        <x:f t="shared" si="12"/>
        <x:v>68</x:v>
      </x:c>
      <x:c r="M88" s="25">
        <x:f t="shared" si="13"/>
        <x:v>68</x:v>
      </x:c>
      <x:c r="N88" s="25">
        <x:f t="shared" si="14"/>
        <x:v>2620</x:v>
      </x:c>
      <x:c r="O88" s="25" t="n">
        <x:f>0</x:f>
        <x:v>0</x:v>
      </x:c>
      <x:c r="P88" s="25">
        <x:f t="shared" si="15"/>
        <x:v>200</x:v>
      </x:c>
      <x:c r="Q88" s="19" t="s">
        <x:v>83</x:v>
      </x:c>
      <x:c r="R88" s="19">
        <x:f t="shared" si="16"/>
        <x:v>7.0710678118654755</x:v>
      </x:c>
      <x:c r="S88" s="20">
        <x:f t="shared" si="17"/>
        <x:v>6.666666666666667</x:v>
      </x:c>
      <x:c r="T88" s="19"/>
      <x:c r="U88" s="19"/>
      <x:c r="V88" s="19"/>
      <x:c r="W88" s="19"/>
      <x:c r="X88" s="19"/>
      <x:c r="Y88" s="19"/>
      <x:c r="Z88" s="19"/>
      <x:c r="AA88" s="19"/>
      <x:c r="AB88" s="19"/>
      <x:c r="AC88" s="19"/>
      <x:c r="AD88" s="19"/>
      <x:c r="AE88" s="19"/>
      <x:c r="AF88" s="19"/>
      <x:c r="AG88" s="19"/>
      <x:c r="AH88" s="19"/>
      <x:c r="AI88" s="19"/>
    </x:row>
    <x:row r="89" ht="23.100000381469727" customHeight="1">
      <x:c r="A89" s="19">
        <x:v>51</x:v>
      </x:c>
      <x:c r="B89" s="19" t="n">
        <x:f>关卡数值!A63</x:f>
        <x:v>5</x:v>
      </x:c>
      <x:c r="C89" s="19" t="n">
        <x:f>关卡数值!B63</x:f>
        <x:v>1050010</x:v>
      </x:c>
      <x:c r="D89" s="19" t="str">
        <x:f>关卡数值!C63</x:f>
        <x:v>5-1</x:v>
      </x:c>
      <x:c r="E89" s="19" t="str">
        <x:f>关卡数值!D63</x:f>
        <x:v>普通</x:v>
      </x:c>
      <x:c r="F89" s="19" t="n">
        <x:f>关卡数值!I63</x:f>
        <x:v>41</x:v>
      </x:c>
      <x:c r="G89" s="25" t="n">
        <x:f>ROUND($BD$42*SUMIFS($R$39:R89,$B$39:B89,B89)/$BL$42,0)-ROUND($BD$42*0/$BL$42,0)</x:f>
        <x:v>1215</x:v>
      </x:c>
      <x:c r="H89" s="25">
        <x:f t="shared" si="9"/>
        <x:v>1215</x:v>
      </x:c>
      <x:c r="I89" s="25">
        <x:f t="shared" si="10"/>
        <x:v>1215</x:v>
      </x:c>
      <x:c r="J89" s="25" t="n">
        <x:f>(ROUND($BF$42*SUMIFS($R$39:R89,$B$39:B89,B89)/$BL$42/$BB$19,0)-ROUND($BF$42*0/$BL$42/$BB$19,0))*$BB$19</x:f>
        <x:v>48530</x:v>
      </x:c>
      <x:c r="K89" s="25">
        <x:f t="shared" si="11"/>
        <x:v>243</x:v>
      </x:c>
      <x:c r="L89" s="25">
        <x:f t="shared" si="12"/>
        <x:v>243</x:v>
      </x:c>
      <x:c r="M89" s="25">
        <x:f t="shared" si="13"/>
        <x:v>243</x:v>
      </x:c>
      <x:c r="N89" s="25">
        <x:f t="shared" si="14"/>
        <x:v>9700</x:v>
      </x:c>
      <x:c r="O89" s="25" t="n">
        <x:f>$BB$9</x:f>
        <x:v>10</x:v>
      </x:c>
      <x:c r="P89" s="25">
        <x:f t="shared" si="15"/>
        <x:v>200</x:v>
      </x:c>
      <x:c r="Q89" s="19" t="s">
        <x:v>381</x:v>
      </x:c>
      <x:c r="R89" s="19">
        <x:f t="shared" si="16"/>
        <x:v>7.1414284285428504</x:v>
      </x:c>
      <x:c r="S89" s="20">
        <x:f t="shared" si="17"/>
        <x:v>6.666666666666667</x:v>
      </x:c>
      <x:c r="T89" s="19"/>
      <x:c r="U89" s="19"/>
      <x:c r="V89" s="19"/>
      <x:c r="W89" s="19"/>
      <x:c r="X89" s="19"/>
      <x:c r="Y89" s="19"/>
      <x:c r="Z89" s="19"/>
      <x:c r="AA89" s="19"/>
      <x:c r="AB89" s="19"/>
      <x:c r="AC89" s="19"/>
      <x:c r="AD89" s="19"/>
      <x:c r="AE89" s="19"/>
      <x:c r="AF89" s="19"/>
      <x:c r="AG89" s="19"/>
      <x:c r="AH89" s="19"/>
      <x:c r="AI89" s="19"/>
    </x:row>
    <x:row r="90" ht="23.100000381469727" customHeight="1">
      <x:c r="A90" s="19">
        <x:v>52</x:v>
      </x:c>
      <x:c r="B90" s="19" t="n">
        <x:f>关卡数值!A64</x:f>
        <x:v>5</x:v>
      </x:c>
      <x:c r="C90" s="19" t="n">
        <x:f>关卡数值!B64</x:f>
        <x:v>1050020</x:v>
      </x:c>
      <x:c r="D90" s="19" t="str">
        <x:f>关卡数值!C64</x:f>
        <x:v>5-2</x:v>
      </x:c>
      <x:c r="E90" s="19" t="str">
        <x:f>关卡数值!D64</x:f>
        <x:v>普通</x:v>
      </x:c>
      <x:c r="F90" s="19" t="n">
        <x:f>关卡数值!I64</x:f>
        <x:v>43</x:v>
      </x:c>
      <x:c r="G90" s="25" t="n">
        <x:f>ROUND($BD$42*SUMIFS($R$39:R90,$B$39:B90,B90)/$BL$42,0)-ROUND($BD$42*SUMIFS($R$39:R89,$B$39:B89,B90)/$BL$42,0)</x:f>
        <x:v>1227</x:v>
      </x:c>
      <x:c r="H90" s="25">
        <x:f t="shared" si="9"/>
        <x:v>1227</x:v>
      </x:c>
      <x:c r="I90" s="25">
        <x:f t="shared" si="10"/>
        <x:v>1227</x:v>
      </x:c>
      <x:c r="J90" s="25" t="n">
        <x:f>(ROUND($BF$42*SUMIFS($R$39:R90,$B$39:B90,B90)/$BL$42/$BB$19,0)-ROUND($BF$42*SUMIFS($R$39:R89,$B$39:B89,B90)/$BL$42/$BB$19,0))*$BB$19</x:f>
        <x:v>49000</x:v>
      </x:c>
      <x:c r="K90" s="25">
        <x:f t="shared" si="11"/>
        <x:v>245</x:v>
      </x:c>
      <x:c r="L90" s="25">
        <x:f t="shared" si="12"/>
        <x:v>245</x:v>
      </x:c>
      <x:c r="M90" s="25">
        <x:f t="shared" si="13"/>
        <x:v>245</x:v>
      </x:c>
      <x:c r="N90" s="25">
        <x:f t="shared" si="14"/>
        <x:v>9800</x:v>
      </x:c>
      <x:c r="O90" s="25" t="n">
        <x:f>0</x:f>
        <x:v>0</x:v>
      </x:c>
      <x:c r="P90" s="25">
        <x:f t="shared" si="15"/>
        <x:v>200</x:v>
      </x:c>
      <x:c r="Q90" s="19" t="s">
        <x:v>83</x:v>
      </x:c>
      <x:c r="R90" s="19">
        <x:f t="shared" si="16"/>
        <x:v>7.2111025509279782</x:v>
      </x:c>
      <x:c r="S90" s="20">
        <x:f t="shared" si="17"/>
        <x:v>6.666666666666667</x:v>
      </x:c>
      <x:c r="T90" s="19"/>
      <x:c r="U90" s="19"/>
      <x:c r="V90" s="19"/>
      <x:c r="W90" s="19"/>
      <x:c r="X90" s="19"/>
      <x:c r="Y90" s="19"/>
      <x:c r="Z90" s="19"/>
      <x:c r="AA90" s="19"/>
      <x:c r="AB90" s="19"/>
      <x:c r="AC90" s="19"/>
      <x:c r="AD90" s="19"/>
      <x:c r="AE90" s="19"/>
      <x:c r="AF90" s="19"/>
      <x:c r="AG90" s="19"/>
      <x:c r="AH90" s="19"/>
      <x:c r="AI90" s="19"/>
    </x:row>
    <x:row r="91" ht="23.100000381469727" customHeight="1">
      <x:c r="A91" s="19">
        <x:v>53</x:v>
      </x:c>
      <x:c r="B91" s="19" t="n">
        <x:f>关卡数值!A65</x:f>
        <x:v>5</x:v>
      </x:c>
      <x:c r="C91" s="19" t="n">
        <x:f>关卡数值!B65</x:f>
        <x:v>1050030</x:v>
      </x:c>
      <x:c r="D91" s="19" t="str">
        <x:f>关卡数值!C65</x:f>
        <x:v>5-3</x:v>
      </x:c>
      <x:c r="E91" s="19" t="str">
        <x:f>关卡数值!D65</x:f>
        <x:v>普通</x:v>
      </x:c>
      <x:c r="F91" s="19" t="n">
        <x:f>关卡数值!I65</x:f>
        <x:v>45</x:v>
      </x:c>
      <x:c r="G91" s="25" t="n">
        <x:f>ROUND($BD$42*SUMIFS($R$39:R91,$B$39:B91,B91)/$BL$42,0)-ROUND($BD$42*SUMIFS($R$39:R90,$B$39:B90,B91)/$BL$42,0)</x:f>
        <x:v>1238</x:v>
      </x:c>
      <x:c r="H91" s="25">
        <x:f t="shared" si="9"/>
        <x:v>1238</x:v>
      </x:c>
      <x:c r="I91" s="25">
        <x:f t="shared" si="10"/>
        <x:v>1238</x:v>
      </x:c>
      <x:c r="J91" s="25" t="n">
        <x:f>(ROUND($BF$42*SUMIFS($R$39:R91,$B$39:B91,B91)/$BL$42/$BB$19,0)-ROUND($BF$42*SUMIFS($R$39:R90,$B$39:B90,B91)/$BL$42/$BB$19,0))*$BB$19</x:f>
        <x:v>49460</x:v>
      </x:c>
      <x:c r="K91" s="25">
        <x:f t="shared" si="11"/>
        <x:v>247</x:v>
      </x:c>
      <x:c r="L91" s="25">
        <x:f t="shared" si="12"/>
        <x:v>247</x:v>
      </x:c>
      <x:c r="M91" s="25">
        <x:f t="shared" si="13"/>
        <x:v>247</x:v>
      </x:c>
      <x:c r="N91" s="25">
        <x:f t="shared" si="14"/>
        <x:v>9890</x:v>
      </x:c>
      <x:c r="O91" s="25" t="n">
        <x:f>0</x:f>
        <x:v>0</x:v>
      </x:c>
      <x:c r="P91" s="25">
        <x:f t="shared" si="15"/>
        <x:v>200</x:v>
      </x:c>
      <x:c r="Q91" s="19" t="s">
        <x:v>83</x:v>
      </x:c>
      <x:c r="R91" s="19">
        <x:f t="shared" si="16"/>
        <x:v>7.2801098892805181</x:v>
      </x:c>
      <x:c r="S91" s="20">
        <x:f t="shared" si="17"/>
        <x:v>6.666666666666667</x:v>
      </x:c>
      <x:c r="T91" s="19"/>
      <x:c r="U91" s="19"/>
      <x:c r="V91" s="19"/>
      <x:c r="W91" s="19"/>
      <x:c r="X91" s="19"/>
      <x:c r="Y91" s="19"/>
      <x:c r="Z91" s="19"/>
      <x:c r="AA91" s="19"/>
      <x:c r="AB91" s="19"/>
      <x:c r="AC91" s="19"/>
      <x:c r="AD91" s="19"/>
      <x:c r="AE91" s="19"/>
      <x:c r="AF91" s="19"/>
      <x:c r="AG91" s="19"/>
      <x:c r="AH91" s="19"/>
      <x:c r="AI91" s="19"/>
    </x:row>
    <x:row r="92" ht="23.100000381469727" customHeight="1">
      <x:c r="A92" s="19">
        <x:v>54</x:v>
      </x:c>
      <x:c r="B92" s="19" t="n">
        <x:f>关卡数值!A66</x:f>
        <x:v>5</x:v>
      </x:c>
      <x:c r="C92" s="19" t="n">
        <x:f>关卡数值!B66</x:f>
        <x:v>1050040</x:v>
      </x:c>
      <x:c r="D92" s="19" t="str">
        <x:f>关卡数值!C66</x:f>
        <x:v>5-4</x:v>
      </x:c>
      <x:c r="E92" s="19" t="str">
        <x:f>关卡数值!D66</x:f>
        <x:v>普通</x:v>
      </x:c>
      <x:c r="F92" s="19" t="n">
        <x:f>关卡数值!I66</x:f>
        <x:v>47</x:v>
      </x:c>
      <x:c r="G92" s="25" t="n">
        <x:f>ROUND($BD$42*SUMIFS($R$39:R92,$B$39:B92,B92)/$BL$42,0)-ROUND($BD$42*SUMIFS($R$39:R91,$B$39:B91,B92)/$BL$42,0)</x:f>
        <x:v>1250</x:v>
      </x:c>
      <x:c r="H92" s="25">
        <x:f t="shared" si="9"/>
        <x:v>1250</x:v>
      </x:c>
      <x:c r="I92" s="25">
        <x:f t="shared" si="10"/>
        <x:v>1250</x:v>
      </x:c>
      <x:c r="J92" s="25" t="n">
        <x:f>(ROUND($BF$42*SUMIFS($R$39:R92,$B$39:B92,B92)/$BL$42/$BB$19,0)-ROUND($BF$42*SUMIFS($R$39:R91,$B$39:B91,B92)/$BL$42/$BB$19,0))*$BB$19</x:f>
        <x:v>49940</x:v>
      </x:c>
      <x:c r="K92" s="25">
        <x:f t="shared" si="11"/>
        <x:v>250</x:v>
      </x:c>
      <x:c r="L92" s="25">
        <x:f t="shared" si="12"/>
        <x:v>250</x:v>
      </x:c>
      <x:c r="M92" s="25">
        <x:f t="shared" si="13"/>
        <x:v>250</x:v>
      </x:c>
      <x:c r="N92" s="25">
        <x:f t="shared" si="14"/>
        <x:v>9980</x:v>
      </x:c>
      <x:c r="O92" s="25" t="n">
        <x:f>0</x:f>
        <x:v>0</x:v>
      </x:c>
      <x:c r="P92" s="25">
        <x:f t="shared" si="15"/>
        <x:v>200</x:v>
      </x:c>
      <x:c r="Q92" s="19" t="s">
        <x:v>83</x:v>
      </x:c>
      <x:c r="R92" s="19">
        <x:f t="shared" si="16"/>
        <x:v>7.3484692283495345</x:v>
      </x:c>
      <x:c r="S92" s="20">
        <x:f t="shared" si="17"/>
        <x:v>6.666666666666667</x:v>
      </x:c>
      <x:c r="T92" s="19"/>
      <x:c r="U92" s="19"/>
      <x:c r="V92" s="19"/>
      <x:c r="W92" s="19"/>
      <x:c r="X92" s="19"/>
      <x:c r="Y92" s="19"/>
      <x:c r="Z92" s="19"/>
      <x:c r="AA92" s="19"/>
      <x:c r="AB92" s="19"/>
      <x:c r="AC92" s="19"/>
      <x:c r="AD92" s="19"/>
      <x:c r="AE92" s="19"/>
      <x:c r="AF92" s="19"/>
      <x:c r="AG92" s="19"/>
      <x:c r="AH92" s="19"/>
      <x:c r="AI92" s="19"/>
    </x:row>
    <x:row r="93" ht="23.100000381469727" customHeight="1">
      <x:c r="A93" s="19">
        <x:v>55</x:v>
      </x:c>
      <x:c r="B93" s="19" t="n">
        <x:f>关卡数值!A67</x:f>
        <x:v>5</x:v>
      </x:c>
      <x:c r="C93" s="19" t="n">
        <x:f>关卡数值!B67</x:f>
        <x:v>1050050</x:v>
      </x:c>
      <x:c r="D93" s="19" t="str">
        <x:f>关卡数值!C67</x:f>
        <x:v>5-5</x:v>
      </x:c>
      <x:c r="E93" s="19" t="str">
        <x:f>关卡数值!D67</x:f>
        <x:v>普通</x:v>
      </x:c>
      <x:c r="F93" s="19" t="n">
        <x:f>关卡数值!I67</x:f>
        <x:v>50</x:v>
      </x:c>
      <x:c r="G93" s="25" t="n">
        <x:f>ROUND($BD$42*SUMIFS($R$39:R93,$B$39:B93,B93)/$BL$42,0)-ROUND($BD$42*SUMIFS($R$39:R92,$B$39:B92,B93)/$BL$42,0)</x:f>
        <x:v>1262</x:v>
      </x:c>
      <x:c r="H93" s="25">
        <x:f t="shared" si="9"/>
        <x:v>1262</x:v>
      </x:c>
      <x:c r="I93" s="25">
        <x:f t="shared" si="10"/>
        <x:v>1262</x:v>
      </x:c>
      <x:c r="J93" s="25" t="n">
        <x:f>(ROUND($BF$42*SUMIFS($R$39:R93,$B$39:B93,B93)/$BL$42/$BB$19,0)-ROUND($BF$42*SUMIFS($R$39:R92,$B$39:B92,B93)/$BL$42/$BB$19,0))*$BB$19</x:f>
        <x:v>50390</x:v>
      </x:c>
      <x:c r="K93" s="25">
        <x:f t="shared" si="11"/>
        <x:v>252</x:v>
      </x:c>
      <x:c r="L93" s="25">
        <x:f t="shared" si="12"/>
        <x:v>252</x:v>
      </x:c>
      <x:c r="M93" s="25">
        <x:f t="shared" si="13"/>
        <x:v>252</x:v>
      </x:c>
      <x:c r="N93" s="25">
        <x:f t="shared" si="14"/>
        <x:v>10070</x:v>
      </x:c>
      <x:c r="O93" s="25" t="n">
        <x:f>$BB$9</x:f>
        <x:v>10</x:v>
      </x:c>
      <x:c r="P93" s="25">
        <x:f t="shared" si="15"/>
        <x:v>200</x:v>
      </x:c>
      <x:c r="Q93" s="19" t="s">
        <x:v>381</x:v>
      </x:c>
      <x:c r="R93" s="19">
        <x:f t="shared" si="16"/>
        <x:v>7.416198487095663</x:v>
      </x:c>
      <x:c r="S93" s="20">
        <x:f t="shared" si="17"/>
        <x:v>6.666666666666667</x:v>
      </x:c>
      <x:c r="T93" s="19"/>
      <x:c r="U93" s="19"/>
      <x:c r="V93" s="19"/>
      <x:c r="W93" s="19"/>
      <x:c r="X93" s="19"/>
      <x:c r="Y93" s="19"/>
      <x:c r="Z93" s="19"/>
      <x:c r="AA93" s="19"/>
      <x:c r="AB93" s="19"/>
      <x:c r="AC93" s="19"/>
      <x:c r="AD93" s="19"/>
      <x:c r="AE93" s="19"/>
      <x:c r="AF93" s="19"/>
      <x:c r="AG93" s="19"/>
      <x:c r="AH93" s="19"/>
      <x:c r="AI93" s="19"/>
    </x:row>
    <x:row r="94" ht="23.100000381469727" customHeight="1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  <x:c r="O94" s="19"/>
      <x:c r="P94" s="19"/>
      <x:c r="Q94" s="19"/>
      <x:c r="R94" s="19"/>
      <x:c r="S94" s="19"/>
      <x:c r="T94" s="19"/>
      <x:c r="U94" s="19"/>
      <x:c r="V94" s="19"/>
      <x:c r="W94" s="19"/>
      <x:c r="X94" s="19"/>
      <x:c r="Y94" s="19"/>
      <x:c r="Z94" s="19"/>
      <x:c r="AA94" s="19"/>
      <x:c r="AB94" s="19"/>
      <x:c r="AC94" s="19"/>
      <x:c r="AD94" s="19"/>
      <x:c r="AE94" s="19"/>
      <x:c r="AF94" s="19"/>
      <x:c r="AG94" s="19"/>
      <x:c r="AH94" s="19"/>
      <x:c r="AI94" s="19"/>
    </x:row>
    <x:row r="95" ht="23.100000381469727" customHeight="1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  <x:c r="O95" s="19"/>
      <x:c r="P95" s="19"/>
      <x:c r="Q95" s="19"/>
      <x:c r="R95" s="19"/>
      <x:c r="S95" s="19"/>
      <x:c r="T95" s="19"/>
      <x:c r="U95" s="19"/>
      <x:c r="V95" s="19"/>
      <x:c r="W95" s="19"/>
      <x:c r="X95" s="19"/>
      <x:c r="Y95" s="19"/>
      <x:c r="Z95" s="19"/>
      <x:c r="AA95" s="19"/>
      <x:c r="AB95" s="19"/>
      <x:c r="AC95" s="19"/>
      <x:c r="AD95" s="19"/>
      <x:c r="AE95" s="19"/>
      <x:c r="AF95" s="19"/>
      <x:c r="AG95" s="19"/>
      <x:c r="AH95" s="19"/>
      <x:c r="AI95" s="19"/>
    </x:row>
    <x:row r="96" ht="23.100000381469727" customHeight="1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  <x:c r="O96" s="19"/>
      <x:c r="P96" s="19"/>
      <x:c r="Q96" s="19"/>
      <x:c r="R96" s="19"/>
      <x:c r="S96" s="19"/>
      <x:c r="T96" s="19"/>
      <x:c r="U96" s="19"/>
      <x:c r="V96" s="19"/>
      <x:c r="W96" s="19"/>
      <x:c r="X96" s="19"/>
      <x:c r="Y96" s="19"/>
      <x:c r="Z96" s="19"/>
      <x:c r="AA96" s="19"/>
      <x:c r="AB96" s="19"/>
      <x:c r="AC96" s="19"/>
      <x:c r="AD96" s="19"/>
      <x:c r="AE96" s="19"/>
      <x:c r="AF96" s="19"/>
      <x:c r="AG96" s="19"/>
      <x:c r="AH96" s="19"/>
      <x:c r="AI96" s="19"/>
    </x:row>
    <x:row r="97" ht="23.100000381469727" customHeight="1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  <x:c r="O97" s="19"/>
      <x:c r="P97" s="19"/>
      <x:c r="Q97" s="19"/>
      <x:c r="R97" s="19"/>
      <x:c r="S97" s="19"/>
      <x:c r="T97" s="19"/>
      <x:c r="U97" s="19"/>
      <x:c r="V97" s="19"/>
      <x:c r="W97" s="19"/>
      <x:c r="X97" s="19"/>
      <x:c r="Y97" s="19"/>
      <x:c r="Z97" s="19"/>
      <x:c r="AA97" s="19"/>
      <x:c r="AB97" s="19"/>
      <x:c r="AC97" s="19"/>
      <x:c r="AD97" s="19"/>
      <x:c r="AE97" s="19"/>
      <x:c r="AF97" s="19"/>
      <x:c r="AG97" s="19"/>
      <x:c r="AH97" s="19"/>
      <x:c r="AI97" s="19"/>
    </x:row>
    <x:row r="98" ht="36" customHeight="1">
      <x:c r="A98" s="16" t="s">
        <x:v>366</x:v>
      </x:c>
      <x:c r="B98" s="16" t="s">
        <x:v>138</x:v>
      </x:c>
      <x:c r="C98" s="16" t="s">
        <x:v>382</x:v>
      </x:c>
      <x:c r="D98" s="16" t="s">
        <x:v>129</x:v>
      </x:c>
      <x:c r="E98" s="16" t="s">
        <x:v>130</x:v>
      </x:c>
      <x:c r="F98" s="16" t="s">
        <x:v>131</x:v>
      </x:c>
      <x:c r="G98" s="16" t="s">
        <x:v>383</x:v>
      </x:c>
      <x:c r="H98" s="16" t="s">
        <x:v>384</x:v>
      </x:c>
      <x:c r="I98" s="16" t="s">
        <x:v>385</x:v>
      </x:c>
      <x:c r="J98" s="16" t="s">
        <x:v>50</x:v>
      </x:c>
      <x:c r="K98" s="16" t="s">
        <x:v>359</x:v>
      </x:c>
      <x:c r="L98" s="16" t="s">
        <x:v>361</x:v>
      </x:c>
      <x:c r="M98" s="16" t="s">
        <x:v>386</x:v>
      </x:c>
      <x:c r="N98" s="16" t="s">
        <x:v>387</x:v>
      </x:c>
      <x:c r="O98" s="16" t="s">
        <x:v>388</x:v>
      </x:c>
      <x:c r="P98" s="16" t="s">
        <x:v>389</x:v>
      </x:c>
      <x:c r="Q98" s="16" t="s">
        <x:v>390</x:v>
      </x:c>
      <x:c r="R98" s="16" t="s">
        <x:v>391</x:v>
      </x:c>
      <x:c r="S98" s="16" t="s">
        <x:v>392</x:v>
      </x:c>
      <x:c r="T98" s="16" t="s">
        <x:v>393</x:v>
      </x:c>
      <x:c r="U98" s="16" t="s">
        <x:v>394</x:v>
      </x:c>
      <x:c r="V98" s="16" t="s">
        <x:v>395</x:v>
      </x:c>
      <x:c r="W98" s="16" t="s">
        <x:v>396</x:v>
      </x:c>
      <x:c r="X98" s="16" t="s">
        <x:v>397</x:v>
      </x:c>
      <x:c r="Y98" s="16" t="s">
        <x:v>398</x:v>
      </x:c>
      <x:c r="Z98" s="16" t="s">
        <x:v>399</x:v>
      </x:c>
      <x:c r="AA98" s="16" t="s">
        <x:v>400</x:v>
      </x:c>
      <x:c r="AB98" s="16" t="s">
        <x:v>401</x:v>
      </x:c>
      <x:c r="AC98" s="16" t="s">
        <x:v>402</x:v>
      </x:c>
      <x:c r="AD98" s="16" t="s">
        <x:v>403</x:v>
      </x:c>
      <x:c r="AE98" s="16" t="s">
        <x:v>404</x:v>
      </x:c>
      <x:c r="AF98" s="16" t="s">
        <x:v>405</x:v>
      </x:c>
      <x:c r="AG98" s="16" t="s">
        <x:v>406</x:v>
      </x:c>
      <x:c r="AH98" s="16" t="s">
        <x:v>407</x:v>
      </x:c>
      <x:c r="AI98" s="16" t="s">
        <x:v>408</x:v>
      </x:c>
    </x:row>
    <x:row r="99" ht="23.100000381469727" customHeight="1">
      <x:c r="A99" s="19" t="n">
        <x:f t="shared" ref="A99:A130" si="18">A39</x:f>
        <x:v>1</x:v>
      </x:c>
      <x:c r="B99" s="19" t="n">
        <x:f t="shared" ref="B99:C118" si="19">C39</x:f>
        <x:v>1010010</x:v>
      </x:c>
      <x:c r="C99" s="19" t="str">
        <x:f t="shared" si="19"/>
        <x:v>1-1</x:v>
      </x:c>
      <x:c r="D99" s="19" t="n">
        <x:f>关卡数值!I13</x:f>
        <x:v>1</x:v>
      </x:c>
      <x:c r="E99" s="19" t="n">
        <x:f>关卡数值!J13</x:f>
        <x:v>1</x:v>
      </x:c>
      <x:c r="F99" s="19" t="n">
        <x:f>关卡数值!K13</x:f>
        <x:v>1</x:v>
      </x:c>
      <x:c r="G99" s="26" t="n">
        <x:f>SUM(G$39:G39)+IF(ISNUMBER($BB$22),M99/$BB$11*$BB$22,0)</x:f>
        <x:v>40.66866034933791</x:v>
      </x:c>
      <x:c r="H99" s="26" t="n">
        <x:f>SUM(H$39:H39)+IF(ISNUMBER($BB$23),M99/$BB$11*$BB$23,0)</x:f>
        <x:v>40.66866034933791</x:v>
      </x:c>
      <x:c r="I99" s="26" t="n">
        <x:f>SUM(I$39:I39)+IF(ISNUMBER($BB$24),M99/$BB$11*$BB$24,0)</x:f>
        <x:v>40.66866034933791</x:v>
      </x:c>
      <x:c r="J99" s="26" t="n">
        <x:f>SUM(J$39:J39)+IF(ISNUMBER($BB$25),M99/$BB$11*$BB$25,0)</x:f>
        <x:v>1153.3732069867583</x:v>
      </x:c>
      <x:c r="K99" s="26" t="n">
        <x:f>SUM(O$39:O39)</x:f>
        <x:v>10</x:v>
      </x:c>
      <x:c r="L99" s="26" t="n">
        <x:f>SUM(P$39:P39)</x:f>
        <x:v>100</x:v>
      </x:c>
      <x:c r="M99" s="26" t="n">
        <x:f t="shared" ref="M99:M130" si="20">ROUNDDOWN((K99+L99/$BB$10)/$BB$11,0)*$BB$11</x:f>
        <x:v>10</x:v>
      </x:c>
      <x:c r="N99" s="26" t="n">
        <x:f t="shared" ref="N99:N130" si="21">MAX(K99-M99,0)</x:f>
        <x:v>0</x:v>
      </x:c>
      <x:c r="O99" s="26" t="n">
        <x:f t="shared" ref="O99:O130" si="22">L99-MAX(M99-K99,0)*$BB$10</x:f>
        <x:v>100</x:v>
      </x:c>
      <x:c r="P99" s="26" t="n">
        <x:f t="shared" ref="P99:P130" si="23">M99/$BB$11*$BB$12/$BB$15</x:f>
        <x:v>12.653055821535586</x:v>
      </x:c>
      <x:c r="Q99" s="26" t="n">
        <x:f t="shared" ref="Q99:Q130" si="24">M99/$BB$11*$BB$13/$BB$16</x:f>
        <x:v>2.498846206954499</x:v>
      </x:c>
      <x:c r="R99" s="26" t="n">
        <x:f t="shared" ref="R99:R130" si="25">M99/$BB$11*$BB$14/$BB$17</x:f>
        <x:v>0.6798222198538401</x:v>
      </x:c>
      <x:c r="S99" s="19" t="n">
        <x:f>COUNTIFS(养成消耗调参!$J$148:$J$197,"&lt;="&amp;MIN(G99:I99)/$BB$4)</x:f>
        <x:v>2</x:v>
      </x:c>
      <x:c r="T99" s="19" t="n">
        <x:f>COUNTIFS(养成消耗调参!$K$148:$K$197,"&lt;="&amp;MIN(G99:I99)/$BB$4)</x:f>
        <x:v>2</x:v>
      </x:c>
      <x:c r="U99" s="19" t="n">
        <x:f>COUNTIFS(养成消耗调参!$L$148:$L$197,"&lt;="&amp;MIN(G99:I99)/$BB$4)</x:f>
        <x:v>1</x:v>
      </x:c>
      <x:c r="V99" s="19" t="n">
        <x:f>COUNTIFS(养成消耗调参!$M$148:$M$197,"&lt;="&amp;J99/($BB$4*$BB$21))</x:f>
        <x:v>2</x:v>
      </x:c>
      <x:c r="W99" s="19" t="n">
        <x:f>COUNTIFS(养成消耗调参!$N$148:$N$197,"&lt;="&amp;J99/($BB$4*$BB$21))</x:f>
        <x:v>1</x:v>
      </x:c>
      <x:c r="X99" s="19" t="n">
        <x:f>COUNTIFS(养成消耗调参!$O$148:$O$197,"&lt;="&amp;J99/($BB$4*$BB$21))</x:f>
        <x:v>1</x:v>
      </x:c>
      <x:c r="Y99" s="19" t="n">
        <x:f>COUNTIFS(养成消耗调参!$P$148:$P$197,"&lt;="&amp;P99)</x:f>
        <x:v>9</x:v>
      </x:c>
      <x:c r="Z99" s="19" t="n">
        <x:f>COUNTIFS(养成消耗调参!$P$148:$P$197,"&lt;="&amp;Q99)</x:f>
        <x:v>4</x:v>
      </x:c>
      <x:c r="AA99" s="19" t="n">
        <x:f>COUNTIFS(养成消耗调参!$P$148:$P$197,"&lt;="&amp;R99)</x:f>
        <x:v>4</x:v>
      </x:c>
      <x:c r="AB99" s="19" t="n">
        <x:f t="shared" ref="AB99:AB130" si="26">MIN(S99,V99,Y99)</x:f>
        <x:v>2</x:v>
      </x:c>
      <x:c r="AC99" s="19" t="n">
        <x:f t="shared" ref="AC99:AC130" si="27">MIN(T99,W99,Z99)</x:f>
        <x:v>1</x:v>
      </x:c>
      <x:c r="AD99" s="19" t="n">
        <x:f t="shared" ref="AD99:AD130" si="28">MIN(U99,X99,AA99)</x:f>
        <x:v>1</x:v>
      </x:c>
      <x:c r="AE99" s="27" t="str">
        <x:f>IF(INDEX(养成消耗调参!$J$148:$J$197,D99)=0,"起步奖励",G99/($BB$4*INDEX(养成消耗调参!$J$148:$J$197,D99)))</x:f>
        <x:v>起步奖励</x:v>
      </x:c>
      <x:c r="AF99" s="27" t="str">
        <x:f>IF(INDEX(养成消耗调参!$M$148:$M$197,D99)=0,"起步奖励",J99/($BB$4*$BB$21*INDEX(养成消耗调参!$M$148:$M$197,D99)))</x:f>
        <x:v>起步奖励</x:v>
      </x:c>
      <x:c r="AG99" s="25" t="n">
        <x:f>J99-INDEX(养成消耗调参!$M$148:$M$197,AB99)*$BB$4*$BB$21</x:f>
        <x:v>253.3732069867583</x:v>
      </x:c>
      <x:c r="AH99" s="27" t="str">
        <x:f>IF(INDEX(养成消耗调参!$P$148:$P$197,D99)=0,"无需突破",P99/INDEX(养成消耗调参!$P$148:$P$197,D99))</x:f>
        <x:v>无需突破</x:v>
      </x:c>
      <x:c r="AI99" s="25" t="n">
        <x:f>MAX(INDEX(养成消耗调参!$J$148:$J$197,D99)*$BB$4-G99,0)</x:f>
        <x:v>0</x:v>
      </x:c>
    </x:row>
    <x:row r="100" ht="23.100000381469727" customHeight="1">
      <x:c r="A100" s="19">
        <x:f t="shared" si="18"/>
        <x:v>2</x:v>
      </x:c>
      <x:c r="B100" s="19">
        <x:f t="shared" si="19"/>
        <x:v>1010020</x:v>
      </x:c>
      <x:c r="C100" s="19" t="str">
        <x:f t="shared" si="19"/>
        <x:v>1-2</x:v>
      </x:c>
      <x:c r="D100" s="19" t="n">
        <x:f>关卡数值!I14</x:f>
        <x:v>1</x:v>
      </x:c>
      <x:c r="E100" s="19" t="n">
        <x:f>关卡数值!J14</x:f>
        <x:v>1</x:v>
      </x:c>
      <x:c r="F100" s="19" t="n">
        <x:f>关卡数值!K14</x:f>
        <x:v>1</x:v>
      </x:c>
      <x:c r="G100" s="26" t="n">
        <x:f>SUM(G$39:G40)+IF(ISNUMBER($BB$22),M100/$BB$11*$BB$22,0)</x:f>
        <x:v>75.66866034933791</x:v>
      </x:c>
      <x:c r="H100" s="26" t="n">
        <x:f>SUM(H$39:H40)+IF(ISNUMBER($BB$23),M100/$BB$11*$BB$23,0)</x:f>
        <x:v>75.66866034933791</x:v>
      </x:c>
      <x:c r="I100" s="26" t="n">
        <x:f>SUM(I$39:I40)+IF(ISNUMBER($BB$24),M100/$BB$11*$BB$24,0)</x:f>
        <x:v>75.66866034933791</x:v>
      </x:c>
      <x:c r="J100" s="26" t="n">
        <x:f>SUM(J$39:J40)+IF(ISNUMBER($BB$25),M100/$BB$11*$BB$25,0)</x:f>
        <x:v>2303.3732069867583</x:v>
      </x:c>
      <x:c r="K100" s="26" t="n">
        <x:f>SUM(O$39:O40)</x:f>
        <x:v>10</x:v>
      </x:c>
      <x:c r="L100" s="26" t="n">
        <x:f>SUM(P$39:P40)</x:f>
        <x:v>200</x:v>
      </x:c>
      <x:c r="M100" s="26">
        <x:f t="shared" si="20"/>
        <x:v>10</x:v>
      </x:c>
      <x:c r="N100" s="26">
        <x:f t="shared" si="21"/>
        <x:v>0</x:v>
      </x:c>
      <x:c r="O100" s="26">
        <x:f t="shared" si="22"/>
        <x:v>200</x:v>
      </x:c>
      <x:c r="P100" s="26">
        <x:f t="shared" si="23"/>
        <x:v>12.653055821535586</x:v>
      </x:c>
      <x:c r="Q100" s="26">
        <x:f t="shared" si="24"/>
        <x:v>2.4988462069544992</x:v>
      </x:c>
      <x:c r="R100" s="26">
        <x:f t="shared" si="25"/>
        <x:v>0.67982221985384006</x:v>
      </x:c>
      <x:c r="S100" s="19" t="n">
        <x:f>COUNTIFS(养成消耗调参!$J$148:$J$197,"&lt;="&amp;MIN(G100:I100)/$BB$4)</x:f>
        <x:v>3</x:v>
      </x:c>
      <x:c r="T100" s="19" t="n">
        <x:f>COUNTIFS(养成消耗调参!$K$148:$K$197,"&lt;="&amp;MIN(G100:I100)/$BB$4)</x:f>
        <x:v>3</x:v>
      </x:c>
      <x:c r="U100" s="19" t="n">
        <x:f>COUNTIFS(养成消耗调参!$L$148:$L$197,"&lt;="&amp;MIN(G100:I100)/$BB$4)</x:f>
        <x:v>2</x:v>
      </x:c>
      <x:c r="V100" s="19" t="n">
        <x:f>COUNTIFS(养成消耗调参!$M$148:$M$197,"&lt;="&amp;J100/($BB$4*$BB$21))</x:f>
        <x:v>3</x:v>
      </x:c>
      <x:c r="W100" s="19" t="n">
        <x:f>COUNTIFS(养成消耗调参!$N$148:$N$197,"&lt;="&amp;J100/($BB$4*$BB$21))</x:f>
        <x:v>2</x:v>
      </x:c>
      <x:c r="X100" s="19" t="n">
        <x:f>COUNTIFS(养成消耗调参!$O$148:$O$197,"&lt;="&amp;J100/($BB$4*$BB$21))</x:f>
        <x:v>2</x:v>
      </x:c>
      <x:c r="Y100" s="19" t="n">
        <x:f>COUNTIFS(养成消耗调参!$P$148:$P$197,"&lt;="&amp;P100)</x:f>
        <x:v>9</x:v>
      </x:c>
      <x:c r="Z100" s="19" t="n">
        <x:f>COUNTIFS(养成消耗调参!$P$148:$P$197,"&lt;="&amp;Q100)</x:f>
        <x:v>4</x:v>
      </x:c>
      <x:c r="AA100" s="19" t="n">
        <x:f>COUNTIFS(养成消耗调参!$P$148:$P$197,"&lt;="&amp;R100)</x:f>
        <x:v>4</x:v>
      </x:c>
      <x:c r="AB100" s="19">
        <x:f t="shared" si="26"/>
        <x:v>3</x:v>
      </x:c>
      <x:c r="AC100" s="19">
        <x:f t="shared" si="27"/>
        <x:v>2</x:v>
      </x:c>
      <x:c r="AD100" s="19">
        <x:f t="shared" si="28"/>
        <x:v>2</x:v>
      </x:c>
      <x:c r="AE100" s="27" t="str">
        <x:f>IF(INDEX(养成消耗调参!$J$148:$J$197,D100)=0,"起步奖励",G100/($BB$4*INDEX(养成消耗调参!$J$148:$J$197,D100)))</x:f>
        <x:v>起步奖励</x:v>
      </x:c>
      <x:c r="AF100" s="27" t="str">
        <x:f>IF(INDEX(养成消耗调参!$M$148:$M$197,D100)=0,"起步奖励",J100/($BB$4*$BB$21*INDEX(养成消耗调参!$M$148:$M$197,D100)))</x:f>
        <x:v>起步奖励</x:v>
      </x:c>
      <x:c r="AG100" s="25" t="n">
        <x:f>J100-INDEX(养成消耗调参!$M$148:$M$197,AB100)*$BB$4*$BB$21</x:f>
        <x:v>503.3732069867583</x:v>
      </x:c>
      <x:c r="AH100" s="27" t="str">
        <x:f>IF(INDEX(养成消耗调参!$P$148:$P$197,D100)=0,"无需突破",P100/INDEX(养成消耗调参!$P$148:$P$197,D100))</x:f>
        <x:v>无需突破</x:v>
      </x:c>
      <x:c r="AI100" s="25" t="n">
        <x:f>MAX(INDEX(养成消耗调参!$J$148:$J$197,D100)*$BB$4-G100,0)</x:f>
        <x:v>0</x:v>
      </x:c>
    </x:row>
    <x:row r="101" ht="23.100000381469727" customHeight="1">
      <x:c r="A101" s="19">
        <x:f t="shared" si="18"/>
        <x:v>3</x:v>
      </x:c>
      <x:c r="B101" s="19">
        <x:f t="shared" si="19"/>
        <x:v>1010030</x:v>
      </x:c>
      <x:c r="C101" s="19" t="str">
        <x:f t="shared" si="19"/>
        <x:v>1-3</x:v>
      </x:c>
      <x:c r="D101" s="19" t="n">
        <x:f>关卡数值!I15</x:f>
        <x:v>2</x:v>
      </x:c>
      <x:c r="E101" s="19" t="n">
        <x:f>关卡数值!J15</x:f>
        <x:v>1</x:v>
      </x:c>
      <x:c r="F101" s="19" t="n">
        <x:f>关卡数值!K15</x:f>
        <x:v>1</x:v>
      </x:c>
      <x:c r="G101" s="26" t="n">
        <x:f>SUM(G$39:G41)+IF(ISNUMBER($BB$22),M101/$BB$11*$BB$22,0)</x:f>
        <x:v>134.33732069867582</x:v>
      </x:c>
      <x:c r="H101" s="26" t="n">
        <x:f>SUM(H$39:H41)+IF(ISNUMBER($BB$23),M101/$BB$11*$BB$23,0)</x:f>
        <x:v>134.33732069867582</x:v>
      </x:c>
      <x:c r="I101" s="26" t="n">
        <x:f>SUM(I$39:I41)+IF(ISNUMBER($BB$24),M101/$BB$11*$BB$24,0)</x:f>
        <x:v>134.33732069867582</x:v>
      </x:c>
      <x:c r="J101" s="26" t="n">
        <x:f>SUM(J$39:J41)+IF(ISNUMBER($BB$25),M101/$BB$11*$BB$25,0)</x:f>
        <x:v>4056.7464139735166</x:v>
      </x:c>
      <x:c r="K101" s="26" t="n">
        <x:f>SUM(O$39:O41)</x:f>
        <x:v>10</x:v>
      </x:c>
      <x:c r="L101" s="26" t="n">
        <x:f>SUM(P$39:P41)</x:f>
        <x:v>300</x:v>
      </x:c>
      <x:c r="M101" s="26">
        <x:f t="shared" si="20"/>
        <x:v>20</x:v>
      </x:c>
      <x:c r="N101" s="26">
        <x:f t="shared" si="21"/>
        <x:v>0</x:v>
      </x:c>
      <x:c r="O101" s="26">
        <x:f t="shared" si="22"/>
        <x:v>0</x:v>
      </x:c>
      <x:c r="P101" s="26">
        <x:f t="shared" si="23"/>
        <x:v>25.306111643071173</x:v>
      </x:c>
      <x:c r="Q101" s="26">
        <x:f t="shared" si="24"/>
        <x:v>4.9976924139089984</x:v>
      </x:c>
      <x:c r="R101" s="26">
        <x:f t="shared" si="25"/>
        <x:v>1.3596444397076801</x:v>
      </x:c>
      <x:c r="S101" s="19" t="n">
        <x:f>COUNTIFS(养成消耗调参!$J$148:$J$197,"&lt;="&amp;MIN(G101:I101)/$BB$4)</x:f>
        <x:v>4</x:v>
      </x:c>
      <x:c r="T101" s="19" t="n">
        <x:f>COUNTIFS(养成消耗调参!$K$148:$K$197,"&lt;="&amp;MIN(G101:I101)/$BB$4)</x:f>
        <x:v>3</x:v>
      </x:c>
      <x:c r="U101" s="19" t="n">
        <x:f>COUNTIFS(养成消耗调参!$L$148:$L$197,"&lt;="&amp;MIN(G101:I101)/$BB$4)</x:f>
        <x:v>3</x:v>
      </x:c>
      <x:c r="V101" s="19" t="n">
        <x:f>COUNTIFS(养成消耗调参!$M$148:$M$197,"&lt;="&amp;J101/($BB$4*$BB$21))</x:f>
        <x:v>5</x:v>
      </x:c>
      <x:c r="W101" s="19" t="n">
        <x:f>COUNTIFS(养成消耗调参!$N$148:$N$197,"&lt;="&amp;J101/($BB$4*$BB$21))</x:f>
        <x:v>4</x:v>
      </x:c>
      <x:c r="X101" s="19" t="n">
        <x:f>COUNTIFS(养成消耗调参!$O$148:$O$197,"&lt;="&amp;J101/($BB$4*$BB$21))</x:f>
        <x:v>3</x:v>
      </x:c>
      <x:c r="Y101" s="19" t="n">
        <x:f>COUNTIFS(养成消耗调参!$P$148:$P$197,"&lt;="&amp;P101)</x:f>
        <x:v>9</x:v>
      </x:c>
      <x:c r="Z101" s="19" t="n">
        <x:f>COUNTIFS(养成消耗调参!$P$148:$P$197,"&lt;="&amp;Q101)</x:f>
        <x:v>4</x:v>
      </x:c>
      <x:c r="AA101" s="19" t="n">
        <x:f>COUNTIFS(养成消耗调参!$P$148:$P$197,"&lt;="&amp;R101)</x:f>
        <x:v>4</x:v>
      </x:c>
      <x:c r="AB101" s="19">
        <x:f t="shared" si="26"/>
        <x:v>4</x:v>
      </x:c>
      <x:c r="AC101" s="19">
        <x:f t="shared" si="27"/>
        <x:v>3</x:v>
      </x:c>
      <x:c r="AD101" s="19">
        <x:f t="shared" si="28"/>
        <x:v>3</x:v>
      </x:c>
      <x:c r="AE101" s="27" t="n">
        <x:f>IF(INDEX(养成消耗调参!$J$148:$J$197,D101)=0,"起步奖励",G101/($BB$4*INDEX(养成消耗调参!$J$148:$J$197,D101)))</x:f>
        <x:v>5.597388362444826</x:v>
      </x:c>
      <x:c r="AF101" s="27" t="n">
        <x:f>IF(INDEX(养成消耗调参!$M$148:$M$197,D101)=0,"起步奖励",J101/($BB$4*$BB$21*INDEX(养成消耗调参!$M$148:$M$197,D101)))</x:f>
        <x:v>4.507496015526129</x:v>
      </x:c>
      <x:c r="AG101" s="25" t="n">
        <x:f>J101-INDEX(养成消耗调参!$M$148:$M$197,AB101)*$BB$4*$BB$21</x:f>
        <x:v>1356.7464139735166</x:v>
      </x:c>
      <x:c r="AH101" s="27" t="str">
        <x:f>IF(INDEX(养成消耗调参!$P$148:$P$197,D101)=0,"无需突破",P101/INDEX(养成消耗调参!$P$148:$P$197,D101))</x:f>
        <x:v>无需突破</x:v>
      </x:c>
      <x:c r="AI101" s="25" t="n">
        <x:f>MAX(INDEX(养成消耗调参!$J$148:$J$197,D101)*$BB$4-G101,0)</x:f>
        <x:v>0</x:v>
      </x:c>
    </x:row>
    <x:row r="102" ht="23.100000381469727" customHeight="1">
      <x:c r="A102" s="19">
        <x:f t="shared" si="18"/>
        <x:v>4</x:v>
      </x:c>
      <x:c r="B102" s="19">
        <x:f t="shared" si="19"/>
        <x:v>1010040</x:v>
      </x:c>
      <x:c r="C102" s="19" t="str">
        <x:f t="shared" si="19"/>
        <x:v>1-4</x:v>
      </x:c>
      <x:c r="D102" s="19" t="n">
        <x:f>关卡数值!I16</x:f>
        <x:v>2</x:v>
      </x:c>
      <x:c r="E102" s="19" t="n">
        <x:f>关卡数值!J16</x:f>
        <x:v>1</x:v>
      </x:c>
      <x:c r="F102" s="19" t="n">
        <x:f>关卡数值!K16</x:f>
        <x:v>1</x:v>
      </x:c>
      <x:c r="G102" s="26" t="n">
        <x:f>SUM(G$39:G42)+IF(ISNUMBER($BB$22),M102/$BB$11*$BB$22,0)</x:f>
        <x:v>183.33732069867582</x:v>
      </x:c>
      <x:c r="H102" s="26" t="n">
        <x:f>SUM(H$39:H42)+IF(ISNUMBER($BB$23),M102/$BB$11*$BB$23,0)</x:f>
        <x:v>183.33732069867582</x:v>
      </x:c>
      <x:c r="I102" s="26" t="n">
        <x:f>SUM(I$39:I42)+IF(ISNUMBER($BB$24),M102/$BB$11*$BB$24,0)</x:f>
        <x:v>183.33732069867582</x:v>
      </x:c>
      <x:c r="J102" s="26" t="n">
        <x:f>SUM(J$39:J42)+IF(ISNUMBER($BB$25),M102/$BB$11*$BB$25,0)</x:f>
        <x:v>5686.746413973517</x:v>
      </x:c>
      <x:c r="K102" s="26" t="n">
        <x:f>SUM(O$39:O42)</x:f>
        <x:v>10</x:v>
      </x:c>
      <x:c r="L102" s="26" t="n">
        <x:f>SUM(P$39:P42)</x:f>
        <x:v>400</x:v>
      </x:c>
      <x:c r="M102" s="26">
        <x:f t="shared" si="20"/>
        <x:v>20</x:v>
      </x:c>
      <x:c r="N102" s="26">
        <x:f t="shared" si="21"/>
        <x:v>0</x:v>
      </x:c>
      <x:c r="O102" s="26">
        <x:f t="shared" si="22"/>
        <x:v>100</x:v>
      </x:c>
      <x:c r="P102" s="26">
        <x:f t="shared" si="23"/>
        <x:v>25.306111643071173</x:v>
      </x:c>
      <x:c r="Q102" s="26">
        <x:f t="shared" si="24"/>
        <x:v>4.9976924139089984</x:v>
      </x:c>
      <x:c r="R102" s="26">
        <x:f t="shared" si="25"/>
        <x:v>1.3596444397076801</x:v>
      </x:c>
      <x:c r="S102" s="19" t="n">
        <x:f>COUNTIFS(养成消耗调参!$J$148:$J$197,"&lt;="&amp;MIN(G102:I102)/$BB$4)</x:f>
        <x:v>5</x:v>
      </x:c>
      <x:c r="T102" s="19" t="n">
        <x:f>COUNTIFS(养成消耗调参!$K$148:$K$197,"&lt;="&amp;MIN(G102:I102)/$BB$4)</x:f>
        <x:v>4</x:v>
      </x:c>
      <x:c r="U102" s="19" t="n">
        <x:f>COUNTIFS(养成消耗调参!$L$148:$L$197,"&lt;="&amp;MIN(G102:I102)/$BB$4)</x:f>
        <x:v>3</x:v>
      </x:c>
      <x:c r="V102" s="19" t="n">
        <x:f>COUNTIFS(养成消耗调参!$M$148:$M$197,"&lt;="&amp;J102/($BB$4*$BB$21))</x:f>
        <x:v>6</x:v>
      </x:c>
      <x:c r="W102" s="19" t="n">
        <x:f>COUNTIFS(养成消耗调参!$N$148:$N$197,"&lt;="&amp;J102/($BB$4*$BB$21))</x:f>
        <x:v>5</x:v>
      </x:c>
      <x:c r="X102" s="19" t="n">
        <x:f>COUNTIFS(养成消耗调参!$O$148:$O$197,"&lt;="&amp;J102/($BB$4*$BB$21))</x:f>
        <x:v>4</x:v>
      </x:c>
      <x:c r="Y102" s="19" t="n">
        <x:f>COUNTIFS(养成消耗调参!$P$148:$P$197,"&lt;="&amp;P102)</x:f>
        <x:v>9</x:v>
      </x:c>
      <x:c r="Z102" s="19" t="n">
        <x:f>COUNTIFS(养成消耗调参!$P$148:$P$197,"&lt;="&amp;Q102)</x:f>
        <x:v>4</x:v>
      </x:c>
      <x:c r="AA102" s="19" t="n">
        <x:f>COUNTIFS(养成消耗调参!$P$148:$P$197,"&lt;="&amp;R102)</x:f>
        <x:v>4</x:v>
      </x:c>
      <x:c r="AB102" s="19">
        <x:f t="shared" si="26"/>
        <x:v>5</x:v>
      </x:c>
      <x:c r="AC102" s="19">
        <x:f t="shared" si="27"/>
        <x:v>4</x:v>
      </x:c>
      <x:c r="AD102" s="19">
        <x:f t="shared" si="28"/>
        <x:v>3</x:v>
      </x:c>
      <x:c r="AE102" s="27" t="n">
        <x:f>IF(INDEX(养成消耗调参!$J$148:$J$197,D102)=0,"起步奖励",G102/($BB$4*INDEX(养成消耗调参!$J$148:$J$197,D102)))</x:f>
        <x:v>7.639055029111493</x:v>
      </x:c>
      <x:c r="AF102" s="27" t="n">
        <x:f>IF(INDEX(养成消耗调参!$M$148:$M$197,D102)=0,"起步奖励",J102/($BB$4*$BB$21*INDEX(养成消耗调参!$M$148:$M$197,D102)))</x:f>
        <x:v>6.31860712663724</x:v>
      </x:c>
      <x:c r="AG102" s="25" t="n">
        <x:f>J102-INDEX(养成消耗调参!$M$148:$M$197,AB102)*$BB$4*$BB$21</x:f>
        <x:v>2086.7464139735166</x:v>
      </x:c>
      <x:c r="AH102" s="27" t="str">
        <x:f>IF(INDEX(养成消耗调参!$P$148:$P$197,D102)=0,"无需突破",P102/INDEX(养成消耗调参!$P$148:$P$197,D102))</x:f>
        <x:v>无需突破</x:v>
      </x:c>
      <x:c r="AI102" s="25" t="n">
        <x:f>MAX(INDEX(养成消耗调参!$J$148:$J$197,D102)*$BB$4-G102,0)</x:f>
        <x:v>0</x:v>
      </x:c>
    </x:row>
    <x:row r="103" ht="23.100000381469727" customHeight="1">
      <x:c r="A103" s="19">
        <x:f t="shared" si="18"/>
        <x:v>5</x:v>
      </x:c>
      <x:c r="B103" s="19">
        <x:f t="shared" si="19"/>
        <x:v>1010050</x:v>
      </x:c>
      <x:c r="C103" s="19" t="str">
        <x:f t="shared" si="19"/>
        <x:v>1-5</x:v>
      </x:c>
      <x:c r="D103" s="19" t="n">
        <x:f>关卡数值!I17</x:f>
        <x:v>5</x:v>
      </x:c>
      <x:c r="E103" s="19" t="n">
        <x:f>关卡数值!J17</x:f>
        <x:v>1</x:v>
      </x:c>
      <x:c r="F103" s="19" t="n">
        <x:f>关卡数值!K17</x:f>
        <x:v>1</x:v>
      </x:c>
      <x:c r="G103" s="26" t="n">
        <x:f>SUM(G$39:G43)+IF(ISNUMBER($BB$22),M103/$BB$11*$BB$22,0)</x:f>
        <x:v>254.00598104801372</x:v>
      </x:c>
      <x:c r="H103" s="26" t="n">
        <x:f>SUM(H$39:H43)+IF(ISNUMBER($BB$23),M103/$BB$11*$BB$23,0)</x:f>
        <x:v>254.00598104801372</x:v>
      </x:c>
      <x:c r="I103" s="26" t="n">
        <x:f>SUM(I$39:I43)+IF(ISNUMBER($BB$24),M103/$BB$11*$BB$24,0)</x:f>
        <x:v>254.00598104801372</x:v>
      </x:c>
      <x:c r="J103" s="26" t="n">
        <x:f>SUM(J$39:J43)+IF(ISNUMBER($BB$25),M103/$BB$11*$BB$25,0)</x:f>
        <x:v>7850.119620960275</x:v>
      </x:c>
      <x:c r="K103" s="26" t="n">
        <x:f>SUM(O$39:O43)</x:f>
        <x:v>20</x:v>
      </x:c>
      <x:c r="L103" s="26" t="n">
        <x:f>SUM(P$39:P43)</x:f>
        <x:v>500</x:v>
      </x:c>
      <x:c r="M103" s="26">
        <x:f t="shared" si="20"/>
        <x:v>30</x:v>
      </x:c>
      <x:c r="N103" s="26">
        <x:f t="shared" si="21"/>
        <x:v>0</x:v>
      </x:c>
      <x:c r="O103" s="26">
        <x:f t="shared" si="22"/>
        <x:v>200</x:v>
      </x:c>
      <x:c r="P103" s="26">
        <x:f t="shared" si="23"/>
        <x:v>37.959167464606757</x:v>
      </x:c>
      <x:c r="Q103" s="26">
        <x:f t="shared" si="24"/>
        <x:v>7.4965386208634976</x:v>
      </x:c>
      <x:c r="R103" s="26">
        <x:f t="shared" si="25"/>
        <x:v>2.0394666595615201</x:v>
      </x:c>
      <x:c r="S103" s="19" t="n">
        <x:f>COUNTIFS(养成消耗调参!$J$148:$J$197,"&lt;="&amp;MIN(G103:I103)/$BB$4)</x:f>
        <x:v>5</x:v>
      </x:c>
      <x:c r="T103" s="19" t="n">
        <x:f>COUNTIFS(养成消耗调参!$K$148:$K$197,"&lt;="&amp;MIN(G103:I103)/$BB$4)</x:f>
        <x:v>5</x:v>
      </x:c>
      <x:c r="U103" s="19" t="n">
        <x:f>COUNTIFS(养成消耗调参!$L$148:$L$197,"&lt;="&amp;MIN(G103:I103)/$BB$4)</x:f>
        <x:v>4</x:v>
      </x:c>
      <x:c r="V103" s="19" t="n">
        <x:f>COUNTIFS(养成消耗调参!$M$148:$M$197,"&lt;="&amp;J103/($BB$4*$BB$21))</x:f>
        <x:v>7</x:v>
      </x:c>
      <x:c r="W103" s="19" t="n">
        <x:f>COUNTIFS(养成消耗调参!$N$148:$N$197,"&lt;="&amp;J103/($BB$4*$BB$21))</x:f>
        <x:v>6</x:v>
      </x:c>
      <x:c r="X103" s="19" t="n">
        <x:f>COUNTIFS(养成消耗调参!$O$148:$O$197,"&lt;="&amp;J103/($BB$4*$BB$21))</x:f>
        <x:v>5</x:v>
      </x:c>
      <x:c r="Y103" s="19" t="n">
        <x:f>COUNTIFS(养成消耗调参!$P$148:$P$197,"&lt;="&amp;P103)</x:f>
        <x:v>9</x:v>
      </x:c>
      <x:c r="Z103" s="19" t="n">
        <x:f>COUNTIFS(养成消耗调参!$P$148:$P$197,"&lt;="&amp;Q103)</x:f>
        <x:v>4</x:v>
      </x:c>
      <x:c r="AA103" s="19" t="n">
        <x:f>COUNTIFS(养成消耗调参!$P$148:$P$197,"&lt;="&amp;R103)</x:f>
        <x:v>4</x:v>
      </x:c>
      <x:c r="AB103" s="19">
        <x:f t="shared" si="26"/>
        <x:v>5</x:v>
      </x:c>
      <x:c r="AC103" s="19">
        <x:f t="shared" si="27"/>
        <x:v>4</x:v>
      </x:c>
      <x:c r="AD103" s="19">
        <x:f t="shared" si="28"/>
        <x:v>4</x:v>
      </x:c>
      <x:c r="AE103" s="27" t="n">
        <x:f>IF(INDEX(养成消耗调参!$J$148:$J$197,D103)=0,"起步奖励",G103/($BB$4*INDEX(养成消耗调参!$J$148:$J$197,D103)))</x:f>
        <x:v>1.511940363381034</x:v>
      </x:c>
      <x:c r="AF103" s="27" t="n">
        <x:f>IF(INDEX(养成消耗调参!$M$148:$M$197,D103)=0,"起步奖励",J103/($BB$4*$BB$21*INDEX(养成消耗调参!$M$148:$M$197,D103)))</x:f>
        <x:v>2.1805887836000766</x:v>
      </x:c>
      <x:c r="AG103" s="25" t="n">
        <x:f>J103-INDEX(养成消耗调参!$M$148:$M$197,AB103)*$BB$4*$BB$21</x:f>
        <x:v>4250.119620960275</x:v>
      </x:c>
      <x:c r="AH103" s="27" t="n">
        <x:f>IF(INDEX(养成消耗调参!$P$148:$P$197,D103)=0,"无需突破",P103/INDEX(养成消耗调参!$P$148:$P$197,D103))</x:f>
        <x:v>3.7959167464606756</x:v>
      </x:c>
      <x:c r="AI103" s="25" t="n">
        <x:f>MAX(INDEX(养成消耗调参!$J$148:$J$197,D103)*$BB$4-G103,0)</x:f>
        <x:v>0</x:v>
      </x:c>
    </x:row>
    <x:row r="104" ht="23.100000381469727" customHeight="1">
      <x:c r="A104" s="19">
        <x:f t="shared" si="18"/>
        <x:v>6</x:v>
      </x:c>
      <x:c r="B104" s="19">
        <x:f t="shared" si="19"/>
        <x:v>1010060</x:v>
      </x:c>
      <x:c r="C104" s="19" t="str">
        <x:f t="shared" si="19"/>
        <x:v>1-6</x:v>
      </x:c>
      <x:c r="D104" s="19" t="n">
        <x:f>关卡数值!I18</x:f>
        <x:v>6</x:v>
      </x:c>
      <x:c r="E104" s="19" t="n">
        <x:f>关卡数值!J18</x:f>
        <x:v>1</x:v>
      </x:c>
      <x:c r="F104" s="19" t="n">
        <x:f>关卡数值!K18</x:f>
        <x:v>1</x:v>
      </x:c>
      <x:c r="G104" s="26" t="n">
        <x:f>SUM(G$39:G44)+IF(ISNUMBER($BB$22),M104/$BB$11*$BB$22,0)</x:f>
        <x:v>330.67464139735165</x:v>
      </x:c>
      <x:c r="H104" s="26" t="n">
        <x:f>SUM(H$39:H44)+IF(ISNUMBER($BB$23),M104/$BB$11*$BB$23,0)</x:f>
        <x:v>330.67464139735165</x:v>
      </x:c>
      <x:c r="I104" s="26" t="n">
        <x:f>SUM(I$39:I44)+IF(ISNUMBER($BB$24),M104/$BB$11*$BB$24,0)</x:f>
        <x:v>330.67464139735165</x:v>
      </x:c>
      <x:c r="J104" s="26" t="n">
        <x:f>SUM(J$39:J44)+IF(ISNUMBER($BB$25),M104/$BB$11*$BB$25,0)</x:f>
        <x:v>10183.492827947033</x:v>
      </x:c>
      <x:c r="K104" s="26" t="n">
        <x:f>SUM(O$39:O44)</x:f>
        <x:v>20</x:v>
      </x:c>
      <x:c r="L104" s="26" t="n">
        <x:f>SUM(P$39:P44)</x:f>
        <x:v>600</x:v>
      </x:c>
      <x:c r="M104" s="26">
        <x:f t="shared" si="20"/>
        <x:v>40</x:v>
      </x:c>
      <x:c r="N104" s="26">
        <x:f t="shared" si="21"/>
        <x:v>0</x:v>
      </x:c>
      <x:c r="O104" s="26">
        <x:f t="shared" si="22"/>
        <x:v>0</x:v>
      </x:c>
      <x:c r="P104" s="26">
        <x:f t="shared" si="23"/>
        <x:v>50.612223286142346</x:v>
      </x:c>
      <x:c r="Q104" s="26">
        <x:f t="shared" si="24"/>
        <x:v>9.9953848278179969</x:v>
      </x:c>
      <x:c r="R104" s="26">
        <x:f t="shared" si="25"/>
        <x:v>2.7192888794153602</x:v>
      </x:c>
      <x:c r="S104" s="19" t="n">
        <x:f>COUNTIFS(养成消耗调参!$J$148:$J$197,"&lt;="&amp;MIN(G104:I104)/$BB$4)</x:f>
        <x:v>6</x:v>
      </x:c>
      <x:c r="T104" s="19" t="n">
        <x:f>COUNTIFS(养成消耗调参!$K$148:$K$197,"&lt;="&amp;MIN(G104:I104)/$BB$4)</x:f>
        <x:v>5</x:v>
      </x:c>
      <x:c r="U104" s="19" t="n">
        <x:f>COUNTIFS(养成消耗调参!$L$148:$L$197,"&lt;="&amp;MIN(G104:I104)/$BB$4)</x:f>
        <x:v>5</x:v>
      </x:c>
      <x:c r="V104" s="19" t="n">
        <x:f>COUNTIFS(养成消耗调参!$M$148:$M$197,"&lt;="&amp;J104/($BB$4*$BB$21))</x:f>
        <x:v>8</x:v>
      </x:c>
      <x:c r="W104" s="19" t="n">
        <x:f>COUNTIFS(养成消耗调参!$N$148:$N$197,"&lt;="&amp;J104/($BB$4*$BB$21))</x:f>
        <x:v>6</x:v>
      </x:c>
      <x:c r="X104" s="19" t="n">
        <x:f>COUNTIFS(养成消耗调参!$O$148:$O$197,"&lt;="&amp;J104/($BB$4*$BB$21))</x:f>
        <x:v>6</x:v>
      </x:c>
      <x:c r="Y104" s="19" t="n">
        <x:f>COUNTIFS(养成消耗调参!$P$148:$P$197,"&lt;="&amp;P104)</x:f>
        <x:v>14</x:v>
      </x:c>
      <x:c r="Z104" s="19" t="n">
        <x:f>COUNTIFS(养成消耗调参!$P$148:$P$197,"&lt;="&amp;Q104)</x:f>
        <x:v>4</x:v>
      </x:c>
      <x:c r="AA104" s="19" t="n">
        <x:f>COUNTIFS(养成消耗调参!$P$148:$P$197,"&lt;="&amp;R104)</x:f>
        <x:v>4</x:v>
      </x:c>
      <x:c r="AB104" s="19">
        <x:f t="shared" si="26"/>
        <x:v>6</x:v>
      </x:c>
      <x:c r="AC104" s="19">
        <x:f t="shared" si="27"/>
        <x:v>4</x:v>
      </x:c>
      <x:c r="AD104" s="19">
        <x:f t="shared" si="28"/>
        <x:v>4</x:v>
      </x:c>
      <x:c r="AE104" s="27" t="n">
        <x:f>IF(INDEX(养成消耗调参!$J$148:$J$197,D104)=0,"起步奖励",G104/($BB$4*INDEX(养成消耗调参!$J$148:$J$197,D104)))</x:f>
        <x:v>1.1481758381852487</x:v>
      </x:c>
      <x:c r="AF104" s="27" t="n">
        <x:f>IF(INDEX(养成消耗调参!$M$148:$M$197,D104)=0,"起步奖励",J104/($BB$4*$BB$21*INDEX(养成消耗调参!$M$148:$M$197,D104)))</x:f>
        <x:v>2.262998406210452</x:v>
      </x:c>
      <x:c r="AG104" s="25" t="n">
        <x:f>J104-INDEX(养成消耗调参!$M$148:$M$197,AB104)*$BB$4*$BB$21</x:f>
        <x:v>5683.492827947033</x:v>
      </x:c>
      <x:c r="AH104" s="27" t="n">
        <x:f>IF(INDEX(养成消耗调参!$P$148:$P$197,D104)=0,"无需突破",P104/INDEX(养成消耗调参!$P$148:$P$197,D104))</x:f>
        <x:v>5.061222328614234</x:v>
      </x:c>
      <x:c r="AI104" s="25" t="n">
        <x:f>MAX(INDEX(养成消耗调参!$J$148:$J$197,D104)*$BB$4-G104,0)</x:f>
        <x:v>0</x:v>
      </x:c>
    </x:row>
    <x:row r="105" ht="23.100000381469727" customHeight="1">
      <x:c r="A105" s="19">
        <x:f t="shared" si="18"/>
        <x:v>7</x:v>
      </x:c>
      <x:c r="B105" s="19">
        <x:f t="shared" si="19"/>
        <x:v>1010070</x:v>
      </x:c>
      <x:c r="C105" s="19" t="str">
        <x:f t="shared" si="19"/>
        <x:v>1-7</x:v>
      </x:c>
      <x:c r="D105" s="19" t="n">
        <x:f>关卡数值!I19</x:f>
        <x:v>6</x:v>
      </x:c>
      <x:c r="E105" s="19" t="n">
        <x:f>关卡数值!J19</x:f>
        <x:v>1</x:v>
      </x:c>
      <x:c r="F105" s="19" t="n">
        <x:f>关卡数值!K19</x:f>
        <x:v>1</x:v>
      </x:c>
      <x:c r="G105" s="26" t="n">
        <x:f>SUM(G$39:G45)+IF(ISNUMBER($BB$22),M105/$BB$11*$BB$22,0)</x:f>
        <x:v>394.67464139735165</x:v>
      </x:c>
      <x:c r="H105" s="26" t="n">
        <x:f>SUM(H$39:H45)+IF(ISNUMBER($BB$23),M105/$BB$11*$BB$23,0)</x:f>
        <x:v>394.67464139735165</x:v>
      </x:c>
      <x:c r="I105" s="26" t="n">
        <x:f>SUM(I$39:I45)+IF(ISNUMBER($BB$24),M105/$BB$11*$BB$24,0)</x:f>
        <x:v>394.67464139735165</x:v>
      </x:c>
      <x:c r="J105" s="26" t="n">
        <x:f>SUM(J$39:J45)+IF(ISNUMBER($BB$25),M105/$BB$11*$BB$25,0)</x:f>
        <x:v>12343.492827947033</x:v>
      </x:c>
      <x:c r="K105" s="26" t="n">
        <x:f>SUM(O$39:O45)</x:f>
        <x:v>20</x:v>
      </x:c>
      <x:c r="L105" s="26" t="n">
        <x:f>SUM(P$39:P45)</x:f>
        <x:v>700</x:v>
      </x:c>
      <x:c r="M105" s="26">
        <x:f t="shared" si="20"/>
        <x:v>40</x:v>
      </x:c>
      <x:c r="N105" s="26">
        <x:f t="shared" si="21"/>
        <x:v>0</x:v>
      </x:c>
      <x:c r="O105" s="26">
        <x:f t="shared" si="22"/>
        <x:v>100</x:v>
      </x:c>
      <x:c r="P105" s="26">
        <x:f t="shared" si="23"/>
        <x:v>50.612223286142346</x:v>
      </x:c>
      <x:c r="Q105" s="26">
        <x:f t="shared" si="24"/>
        <x:v>9.9953848278179969</x:v>
      </x:c>
      <x:c r="R105" s="26">
        <x:f t="shared" si="25"/>
        <x:v>2.7192888794153602</x:v>
      </x:c>
      <x:c r="S105" s="19" t="n">
        <x:f>COUNTIFS(养成消耗调参!$J$148:$J$197,"&lt;="&amp;MIN(G105:I105)/$BB$4)</x:f>
        <x:v>6</x:v>
      </x:c>
      <x:c r="T105" s="19" t="n">
        <x:f>COUNTIFS(养成消耗调参!$K$148:$K$197,"&lt;="&amp;MIN(G105:I105)/$BB$4)</x:f>
        <x:v>6</x:v>
      </x:c>
      <x:c r="U105" s="19" t="n">
        <x:f>COUNTIFS(养成消耗调参!$L$148:$L$197,"&lt;="&amp;MIN(G105:I105)/$BB$4)</x:f>
        <x:v>5</x:v>
      </x:c>
      <x:c r="V105" s="19" t="n">
        <x:f>COUNTIFS(养成消耗调参!$M$148:$M$197,"&lt;="&amp;J105/($BB$4*$BB$21))</x:f>
        <x:v>8</x:v>
      </x:c>
      <x:c r="W105" s="19" t="n">
        <x:f>COUNTIFS(养成消耗调参!$N$148:$N$197,"&lt;="&amp;J105/($BB$4*$BB$21))</x:f>
        <x:v>7</x:v>
      </x:c>
      <x:c r="X105" s="19" t="n">
        <x:f>COUNTIFS(养成消耗调参!$O$148:$O$197,"&lt;="&amp;J105/($BB$4*$BB$21))</x:f>
        <x:v>6</x:v>
      </x:c>
      <x:c r="Y105" s="19" t="n">
        <x:f>COUNTIFS(养成消耗调参!$P$148:$P$197,"&lt;="&amp;P105)</x:f>
        <x:v>14</x:v>
      </x:c>
      <x:c r="Z105" s="19" t="n">
        <x:f>COUNTIFS(养成消耗调参!$P$148:$P$197,"&lt;="&amp;Q105)</x:f>
        <x:v>4</x:v>
      </x:c>
      <x:c r="AA105" s="19" t="n">
        <x:f>COUNTIFS(养成消耗调参!$P$148:$P$197,"&lt;="&amp;R105)</x:f>
        <x:v>4</x:v>
      </x:c>
      <x:c r="AB105" s="19">
        <x:f t="shared" si="26"/>
        <x:v>6</x:v>
      </x:c>
      <x:c r="AC105" s="19">
        <x:f t="shared" si="27"/>
        <x:v>4</x:v>
      </x:c>
      <x:c r="AD105" s="19">
        <x:f t="shared" si="28"/>
        <x:v>4</x:v>
      </x:c>
      <x:c r="AE105" s="27" t="n">
        <x:f>IF(INDEX(养成消耗调参!$J$148:$J$197,D105)=0,"起步奖励",G105/($BB$4*INDEX(养成消耗调参!$J$148:$J$197,D105)))</x:f>
        <x:v>1.370398060407471</x:v>
      </x:c>
      <x:c r="AF105" s="27" t="n">
        <x:f>IF(INDEX(养成消耗调参!$M$148:$M$197,D105)=0,"起步奖励",J105/($BB$4*$BB$21*INDEX(养成消耗调参!$M$148:$M$197,D105)))</x:f>
        <x:v>2.742998406210452</x:v>
      </x:c>
      <x:c r="AG105" s="25" t="n">
        <x:f>J105-INDEX(养成消耗调参!$M$148:$M$197,AB105)*$BB$4*$BB$21</x:f>
        <x:v>7843.492827947033</x:v>
      </x:c>
      <x:c r="AH105" s="27" t="n">
        <x:f>IF(INDEX(养成消耗调参!$P$148:$P$197,D105)=0,"无需突破",P105/INDEX(养成消耗调参!$P$148:$P$197,D105))</x:f>
        <x:v>5.061222328614234</x:v>
      </x:c>
      <x:c r="AI105" s="25" t="n">
        <x:f>MAX(INDEX(养成消耗调参!$J$148:$J$197,D105)*$BB$4-G105,0)</x:f>
        <x:v>0</x:v>
      </x:c>
    </x:row>
    <x:row r="106" ht="23.100000381469727" customHeight="1">
      <x:c r="A106" s="19">
        <x:f t="shared" si="18"/>
        <x:v>8</x:v>
      </x:c>
      <x:c r="B106" s="19">
        <x:f t="shared" si="19"/>
        <x:v>1010071</x:v>
      </x:c>
      <x:c r="C106" s="19" t="str">
        <x:f t="shared" si="19"/>
        <x:v>1-7</x:v>
      </x:c>
      <x:c r="D106" s="19" t="n">
        <x:f>关卡数值!I20</x:f>
        <x:v>7</x:v>
      </x:c>
      <x:c r="E106" s="19" t="n">
        <x:f>关卡数值!J20</x:f>
        <x:v>2</x:v>
      </x:c>
      <x:c r="F106" s="19" t="n">
        <x:f>关卡数值!K20</x:f>
        <x:v>1</x:v>
      </x:c>
      <x:c r="G106" s="26" t="n">
        <x:f>SUM(G$39:G46)+IF(ISNUMBER($BB$22),M106/$BB$11*$BB$22,0)</x:f>
        <x:v>463.67464139735165</x:v>
      </x:c>
      <x:c r="H106" s="26" t="n">
        <x:f>SUM(H$39:H46)+IF(ISNUMBER($BB$23),M106/$BB$11*$BB$23,0)</x:f>
        <x:v>463.67464139735165</x:v>
      </x:c>
      <x:c r="I106" s="26" t="n">
        <x:f>SUM(I$39:I46)+IF(ISNUMBER($BB$24),M106/$BB$11*$BB$24,0)</x:f>
        <x:v>463.67464139735165</x:v>
      </x:c>
      <x:c r="J106" s="26" t="n">
        <x:f>SUM(J$39:J46)+IF(ISNUMBER($BB$25),M106/$BB$11*$BB$25,0)</x:f>
        <x:v>14653.492827947033</x:v>
      </x:c>
      <x:c r="K106" s="26" t="n">
        <x:f>SUM(O$39:O46)</x:f>
        <x:v>20</x:v>
      </x:c>
      <x:c r="L106" s="26" t="n">
        <x:f>SUM(P$39:P46)</x:f>
        <x:v>800</x:v>
      </x:c>
      <x:c r="M106" s="26">
        <x:f t="shared" si="20"/>
        <x:v>40</x:v>
      </x:c>
      <x:c r="N106" s="26">
        <x:f t="shared" si="21"/>
        <x:v>0</x:v>
      </x:c>
      <x:c r="O106" s="26">
        <x:f t="shared" si="22"/>
        <x:v>200</x:v>
      </x:c>
      <x:c r="P106" s="26">
        <x:f t="shared" si="23"/>
        <x:v>50.612223286142346</x:v>
      </x:c>
      <x:c r="Q106" s="26">
        <x:f t="shared" si="24"/>
        <x:v>9.9953848278179969</x:v>
      </x:c>
      <x:c r="R106" s="26">
        <x:f t="shared" si="25"/>
        <x:v>2.7192888794153602</x:v>
      </x:c>
      <x:c r="S106" s="19" t="n">
        <x:f>COUNTIFS(养成消耗调参!$J$148:$J$197,"&lt;="&amp;MIN(G106:I106)/$BB$4)</x:f>
        <x:v>7</x:v>
      </x:c>
      <x:c r="T106" s="19" t="n">
        <x:f>COUNTIFS(养成消耗调参!$K$148:$K$197,"&lt;="&amp;MIN(G106:I106)/$BB$4)</x:f>
        <x:v>6</x:v>
      </x:c>
      <x:c r="U106" s="19" t="n">
        <x:f>COUNTIFS(养成消耗调参!$L$148:$L$197,"&lt;="&amp;MIN(G106:I106)/$BB$4)</x:f>
        <x:v>5</x:v>
      </x:c>
      <x:c r="V106" s="19" t="n">
        <x:f>COUNTIFS(养成消耗调参!$M$148:$M$197,"&lt;="&amp;J106/($BB$4*$BB$21))</x:f>
        <x:v>9</x:v>
      </x:c>
      <x:c r="W106" s="19" t="n">
        <x:f>COUNTIFS(养成消耗调参!$N$148:$N$197,"&lt;="&amp;J106/($BB$4*$BB$21))</x:f>
        <x:v>7</x:v>
      </x:c>
      <x:c r="X106" s="19" t="n">
        <x:f>COUNTIFS(养成消耗调参!$O$148:$O$197,"&lt;="&amp;J106/($BB$4*$BB$21))</x:f>
        <x:v>7</x:v>
      </x:c>
      <x:c r="Y106" s="19" t="n">
        <x:f>COUNTIFS(养成消耗调参!$P$148:$P$197,"&lt;="&amp;P106)</x:f>
        <x:v>14</x:v>
      </x:c>
      <x:c r="Z106" s="19" t="n">
        <x:f>COUNTIFS(养成消耗调参!$P$148:$P$197,"&lt;="&amp;Q106)</x:f>
        <x:v>4</x:v>
      </x:c>
      <x:c r="AA106" s="19" t="n">
        <x:f>COUNTIFS(养成消耗调参!$P$148:$P$197,"&lt;="&amp;R106)</x:f>
        <x:v>4</x:v>
      </x:c>
      <x:c r="AB106" s="19">
        <x:f t="shared" si="26"/>
        <x:v>7</x:v>
      </x:c>
      <x:c r="AC106" s="19">
        <x:f t="shared" si="27"/>
        <x:v>4</x:v>
      </x:c>
      <x:c r="AD106" s="19">
        <x:f t="shared" si="28"/>
        <x:v>4</x:v>
      </x:c>
      <x:c r="AE106" s="27" t="n">
        <x:f>IF(INDEX(养成消耗调参!$J$148:$J$197,D106)=0,"起步奖励",G106/($BB$4*INDEX(养成消耗调参!$J$148:$J$197,D106)))</x:f>
        <x:v>1.1364574544052737</x:v>
      </x:c>
      <x:c r="AF106" s="27" t="n">
        <x:f>IF(INDEX(养成消耗调参!$M$148:$M$197,D106)=0,"起步奖励",J106/($BB$4*$BB$21*INDEX(养成消耗调参!$M$148:$M$197,D106)))</x:f>
        <x:v>2.0352073372148656</x:v>
      </x:c>
      <x:c r="AG106" s="25" t="n">
        <x:f>J106-INDEX(养成消耗调参!$M$148:$M$197,AB106)*$BB$4*$BB$21</x:f>
        <x:v>7453.492827947033</x:v>
      </x:c>
      <x:c r="AH106" s="27" t="n">
        <x:f>IF(INDEX(养成消耗调参!$P$148:$P$197,D106)=0,"无需突破",P106/INDEX(养成消耗调参!$P$148:$P$197,D106))</x:f>
        <x:v>5.061222328614234</x:v>
      </x:c>
      <x:c r="AI106" s="25" t="n">
        <x:f>MAX(INDEX(养成消耗调参!$J$148:$J$197,D106)*$BB$4-G106,0)</x:f>
        <x:v>0</x:v>
      </x:c>
    </x:row>
    <x:row r="107" ht="23.100000381469727" customHeight="1">
      <x:c r="A107" s="19">
        <x:f t="shared" si="18"/>
        <x:v>9</x:v>
      </x:c>
      <x:c r="B107" s="19">
        <x:f t="shared" si="19"/>
        <x:v>1010072</x:v>
      </x:c>
      <x:c r="C107" s="19" t="str">
        <x:f t="shared" si="19"/>
        <x:v>1-7</x:v>
      </x:c>
      <x:c r="D107" s="19" t="n">
        <x:f>关卡数值!I21</x:f>
        <x:v>10</x:v>
      </x:c>
      <x:c r="E107" s="19" t="n">
        <x:f>关卡数值!J21</x:f>
        <x:v>5</x:v>
      </x:c>
      <x:c r="F107" s="19" t="n">
        <x:f>关卡数值!K21</x:f>
        <x:v>1</x:v>
      </x:c>
      <x:c r="G107" s="26" t="n">
        <x:f>SUM(G$39:G47)+IF(ISNUMBER($BB$22),M107/$BB$11*$BB$22,0)</x:f>
        <x:v>570.0119620960274</x:v>
      </x:c>
      <x:c r="H107" s="26" t="n">
        <x:f>SUM(H$39:H47)+IF(ISNUMBER($BB$23),M107/$BB$11*$BB$23,0)</x:f>
        <x:v>570.0119620960274</x:v>
      </x:c>
      <x:c r="I107" s="26" t="n">
        <x:f>SUM(I$39:I47)+IF(ISNUMBER($BB$24),M107/$BB$11*$BB$24,0)</x:f>
        <x:v>570.0119620960274</x:v>
      </x:c>
      <x:c r="J107" s="26" t="n">
        <x:f>SUM(J$39:J47)+IF(ISNUMBER($BB$25),M107/$BB$11*$BB$25,0)</x:f>
        <x:v>17780.23924192055</x:v>
      </x:c>
      <x:c r="K107" s="26" t="n">
        <x:f>SUM(O$39:O47)</x:f>
        <x:v>30</x:v>
      </x:c>
      <x:c r="L107" s="26" t="n">
        <x:f>SUM(P$39:P47)</x:f>
        <x:v>900</x:v>
      </x:c>
      <x:c r="M107" s="26">
        <x:f t="shared" si="20"/>
        <x:v>60</x:v>
      </x:c>
      <x:c r="N107" s="26">
        <x:f t="shared" si="21"/>
        <x:v>0</x:v>
      </x:c>
      <x:c r="O107" s="26">
        <x:f t="shared" si="22"/>
        <x:v>0</x:v>
      </x:c>
      <x:c r="P107" s="26">
        <x:f t="shared" si="23"/>
        <x:v>75.918334929213515</x:v>
      </x:c>
      <x:c r="Q107" s="26">
        <x:f t="shared" si="24"/>
        <x:v>14.993077241726995</x:v>
      </x:c>
      <x:c r="R107" s="26">
        <x:f t="shared" si="25"/>
        <x:v>4.0789333191230401</x:v>
      </x:c>
      <x:c r="S107" s="19" t="n">
        <x:f>COUNTIFS(养成消耗调参!$J$148:$J$197,"&lt;="&amp;MIN(G107:I107)/$BB$4)</x:f>
        <x:v>8</x:v>
      </x:c>
      <x:c r="T107" s="19" t="n">
        <x:f>COUNTIFS(养成消耗调参!$K$148:$K$197,"&lt;="&amp;MIN(G107:I107)/$BB$4)</x:f>
        <x:v>7</x:v>
      </x:c>
      <x:c r="U107" s="19" t="n">
        <x:f>COUNTIFS(养成消耗调参!$L$148:$L$197,"&lt;="&amp;MIN(G107:I107)/$BB$4)</x:f>
        <x:v>6</x:v>
      </x:c>
      <x:c r="V107" s="19" t="n">
        <x:f>COUNTIFS(养成消耗调参!$M$148:$M$197,"&lt;="&amp;J107/($BB$4*$BB$21))</x:f>
        <x:v>10</x:v>
      </x:c>
      <x:c r="W107" s="19" t="n">
        <x:f>COUNTIFS(养成消耗调参!$N$148:$N$197,"&lt;="&amp;J107/($BB$4*$BB$21))</x:f>
        <x:v>8</x:v>
      </x:c>
      <x:c r="X107" s="19" t="n">
        <x:f>COUNTIFS(养成消耗调参!$O$148:$O$197,"&lt;="&amp;J107/($BB$4*$BB$21))</x:f>
        <x:v>7</x:v>
      </x:c>
      <x:c r="Y107" s="19" t="n">
        <x:f>COUNTIFS(养成消耗调参!$P$148:$P$197,"&lt;="&amp;P107)</x:f>
        <x:v>14</x:v>
      </x:c>
      <x:c r="Z107" s="19" t="n">
        <x:f>COUNTIFS(养成消耗调参!$P$148:$P$197,"&lt;="&amp;Q107)</x:f>
        <x:v>9</x:v>
      </x:c>
      <x:c r="AA107" s="19" t="n">
        <x:f>COUNTIFS(养成消耗调参!$P$148:$P$197,"&lt;="&amp;R107)</x:f>
        <x:v>4</x:v>
      </x:c>
      <x:c r="AB107" s="19">
        <x:f t="shared" si="26"/>
        <x:v>8</x:v>
      </x:c>
      <x:c r="AC107" s="19">
        <x:f t="shared" si="27"/>
        <x:v>7</x:v>
      </x:c>
      <x:c r="AD107" s="19">
        <x:f t="shared" si="28"/>
        <x:v>4</x:v>
      </x:c>
      <x:c r="AE107" s="27" t="n">
        <x:f>IF(INDEX(养成消耗调参!$J$148:$J$197,D107)=0,"起步奖励",G107/($BB$4*INDEX(养成消耗调参!$J$148:$J$197,D107)))</x:f>
        <x:v>0.6250131163333634</x:v>
      </x:c>
      <x:c r="AF107" s="27" t="n">
        <x:f>IF(INDEX(养成消耗调参!$M$148:$M$197,D107)=0,"起步奖励",J107/($BB$4*$BB$21*INDEX(养成消耗调参!$M$148:$M$197,D107)))</x:f>
        <x:v>1.162107139994807</x:v>
      </x:c>
      <x:c r="AG107" s="25" t="n">
        <x:f>J107-INDEX(养成消耗调参!$M$148:$M$197,AB107)*$BB$4*$BB$21</x:f>
        <x:v>7880.23924192055</x:v>
      </x:c>
      <x:c r="AH107" s="27" t="n">
        <x:f>IF(INDEX(养成消耗调参!$P$148:$P$197,D107)=0,"无需突破",P107/INDEX(养成消耗调参!$P$148:$P$197,D107))</x:f>
        <x:v>1.8979583732303378</x:v>
      </x:c>
      <x:c r="AI107" s="25" t="n">
        <x:f>MAX(INDEX(养成消耗调参!$J$148:$J$197,D107)*$BB$4-G107,0)</x:f>
        <x:v>341.98803790397255</x:v>
      </x:c>
    </x:row>
    <x:row r="108" ht="23.100000381469727" customHeight="1">
      <x:c r="A108" s="19">
        <x:f t="shared" si="18"/>
        <x:v>10</x:v>
      </x:c>
      <x:c r="B108" s="19">
        <x:f t="shared" si="19"/>
        <x:v>1010073</x:v>
      </x:c>
      <x:c r="C108" s="19" t="str">
        <x:f t="shared" si="19"/>
        <x:v>1-7</x:v>
      </x:c>
      <x:c r="D108" s="19" t="n">
        <x:f>关卡数值!I22</x:f>
        <x:v>10</x:v>
      </x:c>
      <x:c r="E108" s="19" t="n">
        <x:f>关卡数值!J22</x:f>
        <x:v>5</x:v>
      </x:c>
      <x:c r="F108" s="19" t="n">
        <x:f>关卡数值!K22</x:f>
        <x:v>1</x:v>
      </x:c>
      <x:c r="G108" s="26" t="n">
        <x:f>SUM(G$39:G48)+IF(ISNUMBER($BB$22),M108/$BB$11*$BB$22,0)</x:f>
        <x:v>647.0119620960274</x:v>
      </x:c>
      <x:c r="H108" s="26" t="n">
        <x:f>SUM(H$39:H48)+IF(ISNUMBER($BB$23),M108/$BB$11*$BB$23,0)</x:f>
        <x:v>647.0119620960274</x:v>
      </x:c>
      <x:c r="I108" s="26" t="n">
        <x:f>SUM(I$39:I48)+IF(ISNUMBER($BB$24),M108/$BB$11*$BB$24,0)</x:f>
        <x:v>647.0119620960274</x:v>
      </x:c>
      <x:c r="J108" s="26" t="n">
        <x:f>SUM(J$39:J48)+IF(ISNUMBER($BB$25),M108/$BB$11*$BB$25,0)</x:f>
        <x:v>20360.23924192055</x:v>
      </x:c>
      <x:c r="K108" s="26" t="n">
        <x:f>SUM(O$39:O48)</x:f>
        <x:v>30</x:v>
      </x:c>
      <x:c r="L108" s="26" t="n">
        <x:f>SUM(P$39:P48)</x:f>
        <x:v>1000</x:v>
      </x:c>
      <x:c r="M108" s="26">
        <x:f t="shared" si="20"/>
        <x:v>60</x:v>
      </x:c>
      <x:c r="N108" s="26">
        <x:f t="shared" si="21"/>
        <x:v>0</x:v>
      </x:c>
      <x:c r="O108" s="26">
        <x:f t="shared" si="22"/>
        <x:v>100</x:v>
      </x:c>
      <x:c r="P108" s="26">
        <x:f t="shared" si="23"/>
        <x:v>75.918334929213515</x:v>
      </x:c>
      <x:c r="Q108" s="26">
        <x:f t="shared" si="24"/>
        <x:v>14.993077241726995</x:v>
      </x:c>
      <x:c r="R108" s="26">
        <x:f t="shared" si="25"/>
        <x:v>4.0789333191230401</x:v>
      </x:c>
      <x:c r="S108" s="19" t="n">
        <x:f>COUNTIFS(养成消耗调参!$J$148:$J$197,"&lt;="&amp;MIN(G108:I108)/$BB$4)</x:f>
        <x:v>8</x:v>
      </x:c>
      <x:c r="T108" s="19" t="n">
        <x:f>COUNTIFS(养成消耗调参!$K$148:$K$197,"&lt;="&amp;MIN(G108:I108)/$BB$4)</x:f>
        <x:v>7</x:v>
      </x:c>
      <x:c r="U108" s="19" t="n">
        <x:f>COUNTIFS(养成消耗调参!$L$148:$L$197,"&lt;="&amp;MIN(G108:I108)/$BB$4)</x:f>
        <x:v>6</x:v>
      </x:c>
      <x:c r="V108" s="19" t="n">
        <x:f>COUNTIFS(养成消耗调参!$M$148:$M$197,"&lt;="&amp;J108/($BB$4*$BB$21))</x:f>
        <x:v>11</x:v>
      </x:c>
      <x:c r="W108" s="19" t="n">
        <x:f>COUNTIFS(养成消耗调参!$N$148:$N$197,"&lt;="&amp;J108/($BB$4*$BB$21))</x:f>
        <x:v>9</x:v>
      </x:c>
      <x:c r="X108" s="19" t="n">
        <x:f>COUNTIFS(养成消耗调参!$O$148:$O$197,"&lt;="&amp;J108/($BB$4*$BB$21))</x:f>
        <x:v>8</x:v>
      </x:c>
      <x:c r="Y108" s="19" t="n">
        <x:f>COUNTIFS(养成消耗调参!$P$148:$P$197,"&lt;="&amp;P108)</x:f>
        <x:v>14</x:v>
      </x:c>
      <x:c r="Z108" s="19" t="n">
        <x:f>COUNTIFS(养成消耗调参!$P$148:$P$197,"&lt;="&amp;Q108)</x:f>
        <x:v>9</x:v>
      </x:c>
      <x:c r="AA108" s="19" t="n">
        <x:f>COUNTIFS(养成消耗调参!$P$148:$P$197,"&lt;="&amp;R108)</x:f>
        <x:v>4</x:v>
      </x:c>
      <x:c r="AB108" s="19">
        <x:f t="shared" si="26"/>
        <x:v>8</x:v>
      </x:c>
      <x:c r="AC108" s="19">
        <x:f t="shared" si="27"/>
        <x:v>7</x:v>
      </x:c>
      <x:c r="AD108" s="19">
        <x:f t="shared" si="28"/>
        <x:v>4</x:v>
      </x:c>
      <x:c r="AE108" s="27" t="n">
        <x:f>IF(INDEX(养成消耗调参!$J$148:$J$197,D108)=0,"起步奖励",G108/($BB$4*INDEX(养成消耗调参!$J$148:$J$197,D108)))</x:f>
        <x:v>0.7094429408947669</x:v>
      </x:c>
      <x:c r="AF108" s="27" t="n">
        <x:f>IF(INDEX(养成消耗调参!$M$148:$M$197,D108)=0,"起步奖励",J108/($BB$4*$BB$21*INDEX(养成消耗调参!$M$148:$M$197,D108)))</x:f>
        <x:v>1.3307345909751993</x:v>
      </x:c>
      <x:c r="AG108" s="25" t="n">
        <x:f>J108-INDEX(养成消耗调参!$M$148:$M$197,AB108)*$BB$4*$BB$21</x:f>
        <x:v>10460.23924192055</x:v>
      </x:c>
      <x:c r="AH108" s="27" t="n">
        <x:f>IF(INDEX(养成消耗调参!$P$148:$P$197,D108)=0,"无需突破",P108/INDEX(养成消耗调参!$P$148:$P$197,D108))</x:f>
        <x:v>1.8979583732303378</x:v>
      </x:c>
      <x:c r="AI108" s="25" t="n">
        <x:f>MAX(INDEX(养成消耗调参!$J$148:$J$197,D108)*$BB$4-G108,0)</x:f>
        <x:v>264.98803790397255</x:v>
      </x:c>
    </x:row>
    <x:row r="109" ht="23.100000381469727" customHeight="1">
      <x:c r="A109" s="19">
        <x:f t="shared" si="18"/>
        <x:v>11</x:v>
      </x:c>
      <x:c r="B109" s="19">
        <x:f t="shared" si="19"/>
        <x:v>1020010</x:v>
      </x:c>
      <x:c r="C109" s="19" t="str">
        <x:f t="shared" si="19"/>
        <x:v>2-1</x:v>
      </x:c>
      <x:c r="D109" s="19" t="n">
        <x:f>关卡数值!I23</x:f>
        <x:v>11</x:v>
      </x:c>
      <x:c r="E109" s="19" t="n">
        <x:f>关卡数值!J23</x:f>
        <x:v>6</x:v>
      </x:c>
      <x:c r="F109" s="19" t="n">
        <x:f>关卡数值!K23</x:f>
        <x:v>2</x:v>
      </x:c>
      <x:c r="G109" s="26" t="n">
        <x:f>SUM(G$39:G49)+IF(ISNUMBER($BB$22),M109/$BB$11*$BB$22,0)</x:f>
        <x:v>823.6806224453653</x:v>
      </x:c>
      <x:c r="H109" s="26" t="n">
        <x:f>SUM(H$39:H49)+IF(ISNUMBER($BB$23),M109/$BB$11*$BB$23,0)</x:f>
        <x:v>823.6806224453653</x:v>
      </x:c>
      <x:c r="I109" s="26" t="n">
        <x:f>SUM(I$39:I49)+IF(ISNUMBER($BB$24),M109/$BB$11*$BB$24,0)</x:f>
        <x:v>823.6806224453653</x:v>
      </x:c>
      <x:c r="J109" s="26" t="n">
        <x:f>SUM(J$39:J49)+IF(ISNUMBER($BB$25),M109/$BB$11*$BB$25,0)</x:f>
        <x:v>25813.612448907308</x:v>
      </x:c>
      <x:c r="K109" s="26" t="n">
        <x:f>SUM(O$39:O49)</x:f>
        <x:v>40</x:v>
      </x:c>
      <x:c r="L109" s="26" t="n">
        <x:f>SUM(P$39:P49)</x:f>
        <x:v>1150</x:v>
      </x:c>
      <x:c r="M109" s="26">
        <x:f t="shared" si="20"/>
        <x:v>70</x:v>
      </x:c>
      <x:c r="N109" s="26">
        <x:f t="shared" si="21"/>
        <x:v>0</x:v>
      </x:c>
      <x:c r="O109" s="26">
        <x:f t="shared" si="22"/>
        <x:v>250</x:v>
      </x:c>
      <x:c r="P109" s="26">
        <x:f t="shared" si="23"/>
        <x:v>88.571390750749103</x:v>
      </x:c>
      <x:c r="Q109" s="26">
        <x:f t="shared" si="24"/>
        <x:v>17.491923448681494</x:v>
      </x:c>
      <x:c r="R109" s="26">
        <x:f t="shared" si="25"/>
        <x:v>4.7587555389768808</x:v>
      </x:c>
      <x:c r="S109" s="19" t="n">
        <x:f>COUNTIFS(养成消耗调参!$J$148:$J$197,"&lt;="&amp;MIN(G109:I109)/$BB$4)</x:f>
        <x:v>9</x:v>
      </x:c>
      <x:c r="T109" s="19" t="n">
        <x:f>COUNTIFS(养成消耗调参!$K$148:$K$197,"&lt;="&amp;MIN(G109:I109)/$BB$4)</x:f>
        <x:v>8</x:v>
      </x:c>
      <x:c r="U109" s="19" t="n">
        <x:f>COUNTIFS(养成消耗调参!$L$148:$L$197,"&lt;="&amp;MIN(G109:I109)/$BB$4)</x:f>
        <x:v>7</x:v>
      </x:c>
      <x:c r="V109" s="19" t="n">
        <x:f>COUNTIFS(养成消耗调参!$M$148:$M$197,"&lt;="&amp;J109/($BB$4*$BB$21))</x:f>
        <x:v>12</x:v>
      </x:c>
      <x:c r="W109" s="19" t="n">
        <x:f>COUNTIFS(养成消耗调参!$N$148:$N$197,"&lt;="&amp;J109/($BB$4*$BB$21))</x:f>
        <x:v>10</x:v>
      </x:c>
      <x:c r="X109" s="19" t="n">
        <x:f>COUNTIFS(养成消耗调参!$O$148:$O$197,"&lt;="&amp;J109/($BB$4*$BB$21))</x:f>
        <x:v>9</x:v>
      </x:c>
      <x:c r="Y109" s="19" t="n">
        <x:f>COUNTIFS(养成消耗调参!$P$148:$P$197,"&lt;="&amp;P109)</x:f>
        <x:v>14</x:v>
      </x:c>
      <x:c r="Z109" s="19" t="n">
        <x:f>COUNTIFS(养成消耗调参!$P$148:$P$197,"&lt;="&amp;Q109)</x:f>
        <x:v>9</x:v>
      </x:c>
      <x:c r="AA109" s="19" t="n">
        <x:f>COUNTIFS(养成消耗调参!$P$148:$P$197,"&lt;="&amp;R109)</x:f>
        <x:v>4</x:v>
      </x:c>
      <x:c r="AB109" s="19">
        <x:f t="shared" si="26"/>
        <x:v>9</x:v>
      </x:c>
      <x:c r="AC109" s="19">
        <x:f t="shared" si="27"/>
        <x:v>8</x:v>
      </x:c>
      <x:c r="AD109" s="19">
        <x:f t="shared" si="28"/>
        <x:v>4</x:v>
      </x:c>
      <x:c r="AE109" s="27" t="n">
        <x:f>IF(INDEX(养成消耗调参!$J$148:$J$197,D109)=0,"起步奖励",G109/($BB$4*INDEX(养成消耗调参!$J$148:$J$197,D109)))</x:f>
        <x:v>0.730213317770714</x:v>
      </x:c>
      <x:c r="AF109" s="27" t="n">
        <x:f>IF(INDEX(养成消耗调参!$M$148:$M$197,D109)=0,"起步奖励",J109/($BB$4*$BB$21*INDEX(养成消耗调参!$M$148:$M$197,D109)))</x:f>
        <x:v>1.4340895804948504</x:v>
      </x:c>
      <x:c r="AG109" s="25" t="n">
        <x:f>J109-INDEX(养成消耗调参!$M$148:$M$197,AB109)*$BB$4*$BB$21</x:f>
        <x:v>13213.612448907308</x:v>
      </x:c>
      <x:c r="AH109" s="27" t="n">
        <x:f>IF(INDEX(养成消耗调参!$P$148:$P$197,D109)=0,"无需突破",P109/INDEX(养成消耗调参!$P$148:$P$197,D109))</x:f>
        <x:v>2.2142847687687275</x:v>
      </x:c>
      <x:c r="AI109" s="25" t="n">
        <x:f>MAX(INDEX(养成消耗调参!$J$148:$J$197,D109)*$BB$4-G109,0)</x:f>
        <x:v>304.3193775546347</x:v>
      </x:c>
    </x:row>
    <x:row r="110" ht="23.100000381469727" customHeight="1">
      <x:c r="A110" s="19">
        <x:f t="shared" si="18"/>
        <x:v>12</x:v>
      </x:c>
      <x:c r="B110" s="19">
        <x:f t="shared" si="19"/>
        <x:v>1020020</x:v>
      </x:c>
      <x:c r="C110" s="19" t="str">
        <x:f t="shared" si="19"/>
        <x:v>2-2</x:v>
      </x:c>
      <x:c r="D110" s="19" t="n">
        <x:f>关卡数值!I24</x:f>
        <x:v>11</x:v>
      </x:c>
      <x:c r="E110" s="19" t="n">
        <x:f>关卡数值!J24</x:f>
        <x:v>6</x:v>
      </x:c>
      <x:c r="F110" s="19" t="n">
        <x:f>关卡数值!K24</x:f>
        <x:v>2</x:v>
      </x:c>
      <x:c r="G110" s="26" t="n">
        <x:f>SUM(G$39:G50)+IF(ISNUMBER($BB$22),M110/$BB$11*$BB$22,0)</x:f>
        <x:v>1006.3492827947033</x:v>
      </x:c>
      <x:c r="H110" s="26" t="n">
        <x:f>SUM(H$39:H50)+IF(ISNUMBER($BB$23),M110/$BB$11*$BB$23,0)</x:f>
        <x:v>1006.3492827947033</x:v>
      </x:c>
      <x:c r="I110" s="26" t="n">
        <x:f>SUM(I$39:I50)+IF(ISNUMBER($BB$24),M110/$BB$11*$BB$24,0)</x:f>
        <x:v>1006.3492827947033</x:v>
      </x:c>
      <x:c r="J110" s="26" t="n">
        <x:f>SUM(J$39:J50)+IF(ISNUMBER($BB$25),M110/$BB$11*$BB$25,0)</x:f>
        <x:v>31486.985655894066</x:v>
      </x:c>
      <x:c r="K110" s="26" t="n">
        <x:f>SUM(O$39:O50)</x:f>
        <x:v>40</x:v>
      </x:c>
      <x:c r="L110" s="26" t="n">
        <x:f>SUM(P$39:P50)</x:f>
        <x:v>1300</x:v>
      </x:c>
      <x:c r="M110" s="26">
        <x:f t="shared" si="20"/>
        <x:v>80</x:v>
      </x:c>
      <x:c r="N110" s="26">
        <x:f t="shared" si="21"/>
        <x:v>0</x:v>
      </x:c>
      <x:c r="O110" s="26">
        <x:f t="shared" si="22"/>
        <x:v>100</x:v>
      </x:c>
      <x:c r="P110" s="26">
        <x:f t="shared" si="23"/>
        <x:v>101.22444657228469</x:v>
      </x:c>
      <x:c r="Q110" s="26">
        <x:f t="shared" si="24"/>
        <x:v>19.990769655635994</x:v>
      </x:c>
      <x:c r="R110" s="26">
        <x:f t="shared" si="25"/>
        <x:v>5.4385777588307205</x:v>
      </x:c>
      <x:c r="S110" s="19" t="n">
        <x:f>COUNTIFS(养成消耗调参!$J$148:$J$197,"&lt;="&amp;MIN(G110:I110)/$BB$4)</x:f>
        <x:v>10</x:v>
      </x:c>
      <x:c r="T110" s="19" t="n">
        <x:f>COUNTIFS(养成消耗调参!$K$148:$K$197,"&lt;="&amp;MIN(G110:I110)/$BB$4)</x:f>
        <x:v>9</x:v>
      </x:c>
      <x:c r="U110" s="19" t="n">
        <x:f>COUNTIFS(养成消耗调参!$L$148:$L$197,"&lt;="&amp;MIN(G110:I110)/$BB$4)</x:f>
        <x:v>8</x:v>
      </x:c>
      <x:c r="V110" s="19" t="n">
        <x:f>COUNTIFS(养成消耗调参!$M$148:$M$197,"&lt;="&amp;J110/($BB$4*$BB$21))</x:f>
        <x:v>13</x:v>
      </x:c>
      <x:c r="W110" s="19" t="n">
        <x:f>COUNTIFS(养成消耗调参!$N$148:$N$197,"&lt;="&amp;J110/($BB$4*$BB$21))</x:f>
        <x:v>11</x:v>
      </x:c>
      <x:c r="X110" s="19" t="n">
        <x:f>COUNTIFS(养成消耗调参!$O$148:$O$197,"&lt;="&amp;J110/($BB$4*$BB$21))</x:f>
        <x:v>10</x:v>
      </x:c>
      <x:c r="Y110" s="19" t="n">
        <x:f>COUNTIFS(养成消耗调参!$P$148:$P$197,"&lt;="&amp;P110)</x:f>
        <x:v>19</x:v>
      </x:c>
      <x:c r="Z110" s="19" t="n">
        <x:f>COUNTIFS(养成消耗调参!$P$148:$P$197,"&lt;="&amp;Q110)</x:f>
        <x:v>9</x:v>
      </x:c>
      <x:c r="AA110" s="19" t="n">
        <x:f>COUNTIFS(养成消耗调参!$P$148:$P$197,"&lt;="&amp;R110)</x:f>
        <x:v>4</x:v>
      </x:c>
      <x:c r="AB110" s="19">
        <x:f t="shared" si="26"/>
        <x:v>10</x:v>
      </x:c>
      <x:c r="AC110" s="19">
        <x:f t="shared" si="27"/>
        <x:v>9</x:v>
      </x:c>
      <x:c r="AD110" s="19">
        <x:f t="shared" si="28"/>
        <x:v>4</x:v>
      </x:c>
      <x:c r="AE110" s="27" t="n">
        <x:f>IF(INDEX(养成消耗调参!$J$148:$J$197,D110)=0,"起步奖励",G110/($BB$4*INDEX(养成消耗调参!$J$148:$J$197,D110)))</x:f>
        <x:v>0.8921536194988504</x:v>
      </x:c>
      <x:c r="AF110" s="27" t="n">
        <x:f>IF(INDEX(养成消耗调参!$M$148:$M$197,D110)=0,"起步奖励",J110/($BB$4*$BB$21*INDEX(养成消耗调参!$M$148:$M$197,D110)))</x:f>
        <x:v>1.7492769808830038</x:v>
      </x:c>
      <x:c r="AG110" s="25" t="n">
        <x:f>J110-INDEX(养成消耗调参!$M$148:$M$197,AB110)*$BB$4*$BB$21</x:f>
        <x:v>16186.985655894066</x:v>
      </x:c>
      <x:c r="AH110" s="27" t="n">
        <x:f>IF(INDEX(养成消耗调参!$P$148:$P$197,D110)=0,"无需突破",P110/INDEX(养成消耗调参!$P$148:$P$197,D110))</x:f>
        <x:v>2.530611164307117</x:v>
      </x:c>
      <x:c r="AI110" s="25" t="n">
        <x:f>MAX(INDEX(养成消耗调参!$J$148:$J$197,D110)*$BB$4-G110,0)</x:f>
        <x:v>121.6507172052967</x:v>
      </x:c>
    </x:row>
    <x:row r="111" ht="23.100000381469727" customHeight="1">
      <x:c r="A111" s="19">
        <x:f t="shared" si="18"/>
        <x:v>13</x:v>
      </x:c>
      <x:c r="B111" s="19">
        <x:f t="shared" si="19"/>
        <x:v>1020030</x:v>
      </x:c>
      <x:c r="C111" s="19" t="str">
        <x:f t="shared" si="19"/>
        <x:v>2-3</x:v>
      </x:c>
      <x:c r="D111" s="19" t="n">
        <x:f>关卡数值!I25</x:f>
        <x:v>11</x:v>
      </x:c>
      <x:c r="E111" s="19" t="n">
        <x:f>关卡数值!J25</x:f>
        <x:v>6</x:v>
      </x:c>
      <x:c r="F111" s="19" t="n">
        <x:f>关卡数值!K25</x:f>
        <x:v>2</x:v>
      </x:c>
      <x:c r="G111" s="26" t="n">
        <x:f>SUM(G$39:G51)+IF(ISNUMBER($BB$22),M111/$BB$11*$BB$22,0)</x:f>
        <x:v>1180.3492827947032</x:v>
      </x:c>
      <x:c r="H111" s="26" t="n">
        <x:f>SUM(H$39:H51)+IF(ISNUMBER($BB$23),M111/$BB$11*$BB$23,0)</x:f>
        <x:v>1180.3492827947032</x:v>
      </x:c>
      <x:c r="I111" s="26" t="n">
        <x:f>SUM(I$39:I51)+IF(ISNUMBER($BB$24),M111/$BB$11*$BB$24,0)</x:f>
        <x:v>1180.3492827947032</x:v>
      </x:c>
      <x:c r="J111" s="26" t="n">
        <x:f>SUM(J$39:J51)+IF(ISNUMBER($BB$25),M111/$BB$11*$BB$25,0)</x:f>
        <x:v>37056.98565589407</x:v>
      </x:c>
      <x:c r="K111" s="26" t="n">
        <x:f>SUM(O$39:O51)</x:f>
        <x:v>40</x:v>
      </x:c>
      <x:c r="L111" s="26" t="n">
        <x:f>SUM(P$39:P51)</x:f>
        <x:v>1450</x:v>
      </x:c>
      <x:c r="M111" s="26">
        <x:f t="shared" si="20"/>
        <x:v>80</x:v>
      </x:c>
      <x:c r="N111" s="26">
        <x:f t="shared" si="21"/>
        <x:v>0</x:v>
      </x:c>
      <x:c r="O111" s="26">
        <x:f t="shared" si="22"/>
        <x:v>250</x:v>
      </x:c>
      <x:c r="P111" s="26">
        <x:f t="shared" si="23"/>
        <x:v>101.22444657228469</x:v>
      </x:c>
      <x:c r="Q111" s="26">
        <x:f t="shared" si="24"/>
        <x:v>19.990769655635994</x:v>
      </x:c>
      <x:c r="R111" s="26">
        <x:f t="shared" si="25"/>
        <x:v>5.4385777588307205</x:v>
      </x:c>
      <x:c r="S111" s="19" t="n">
        <x:f>COUNTIFS(养成消耗调参!$J$148:$J$197,"&lt;="&amp;MIN(G111:I111)/$BB$4)</x:f>
        <x:v>11</x:v>
      </x:c>
      <x:c r="T111" s="19" t="n">
        <x:f>COUNTIFS(养成消耗调参!$K$148:$K$197,"&lt;="&amp;MIN(G111:I111)/$BB$4)</x:f>
        <x:v>9</x:v>
      </x:c>
      <x:c r="U111" s="19" t="n">
        <x:f>COUNTIFS(养成消耗调参!$L$148:$L$197,"&lt;="&amp;MIN(G111:I111)/$BB$4)</x:f>
        <x:v>8</x:v>
      </x:c>
      <x:c r="V111" s="19" t="n">
        <x:f>COUNTIFS(养成消耗调参!$M$148:$M$197,"&lt;="&amp;J111/($BB$4*$BB$21))</x:f>
        <x:v>15</x:v>
      </x:c>
      <x:c r="W111" s="19" t="n">
        <x:f>COUNTIFS(养成消耗调参!$N$148:$N$197,"&lt;="&amp;J111/($BB$4*$BB$21))</x:f>
        <x:v>12</x:v>
      </x:c>
      <x:c r="X111" s="19" t="n">
        <x:f>COUNTIFS(养成消耗调参!$O$148:$O$197,"&lt;="&amp;J111/($BB$4*$BB$21))</x:f>
        <x:v>11</x:v>
      </x:c>
      <x:c r="Y111" s="19" t="n">
        <x:f>COUNTIFS(养成消耗调参!$P$148:$P$197,"&lt;="&amp;P111)</x:f>
        <x:v>19</x:v>
      </x:c>
      <x:c r="Z111" s="19" t="n">
        <x:f>COUNTIFS(养成消耗调参!$P$148:$P$197,"&lt;="&amp;Q111)</x:f>
        <x:v>9</x:v>
      </x:c>
      <x:c r="AA111" s="19" t="n">
        <x:f>COUNTIFS(养成消耗调参!$P$148:$P$197,"&lt;="&amp;R111)</x:f>
        <x:v>4</x:v>
      </x:c>
      <x:c r="AB111" s="19">
        <x:f t="shared" si="26"/>
        <x:v>11</x:v>
      </x:c>
      <x:c r="AC111" s="19">
        <x:f t="shared" si="27"/>
        <x:v>9</x:v>
      </x:c>
      <x:c r="AD111" s="19">
        <x:f t="shared" si="28"/>
        <x:v>4</x:v>
      </x:c>
      <x:c r="AE111" s="27" t="n">
        <x:f>IF(INDEX(养成消耗调参!$J$148:$J$197,D111)=0,"起步奖励",G111/($BB$4*INDEX(养成消耗调参!$J$148:$J$197,D111)))</x:f>
        <x:v>1.0464089386477866</x:v>
      </x:c>
      <x:c r="AF111" s="27" t="n">
        <x:f>IF(INDEX(养成消耗调参!$M$148:$M$197,D111)=0,"起步奖励",J111/($BB$4*$BB$21*INDEX(养成消耗调参!$M$148:$M$197,D111)))</x:f>
        <x:v>2.058721425327448</x:v>
      </x:c>
      <x:c r="AG111" s="25" t="n">
        <x:f>J111-INDEX(养成消耗调参!$M$148:$M$197,AB111)*$BB$4*$BB$21</x:f>
        <x:v>19056.985655894066</x:v>
      </x:c>
      <x:c r="AH111" s="27" t="n">
        <x:f>IF(INDEX(养成消耗调参!$P$148:$P$197,D111)=0,"无需突破",P111/INDEX(养成消耗调参!$P$148:$P$197,D111))</x:f>
        <x:v>2.530611164307117</x:v>
      </x:c>
      <x:c r="AI111" s="25" t="n">
        <x:f>MAX(INDEX(养成消耗调参!$J$148:$J$197,D111)*$BB$4-G111,0)</x:f>
        <x:v>0</x:v>
      </x:c>
    </x:row>
    <x:row r="112" ht="23.100000381469727" customHeight="1">
      <x:c r="A112" s="19">
        <x:f t="shared" si="18"/>
        <x:v>14</x:v>
      </x:c>
      <x:c r="B112" s="19">
        <x:f t="shared" si="19"/>
        <x:v>1020040</x:v>
      </x:c>
      <x:c r="C112" s="19" t="str">
        <x:f t="shared" si="19"/>
        <x:v>2-4</x:v>
      </x:c>
      <x:c r="D112" s="19" t="n">
        <x:f>关卡数值!I26</x:f>
        <x:v>12</x:v>
      </x:c>
      <x:c r="E112" s="19" t="n">
        <x:f>关卡数值!J26</x:f>
        <x:v>7</x:v>
      </x:c>
      <x:c r="F112" s="19" t="n">
        <x:f>关卡数值!K26</x:f>
        <x:v>3</x:v>
      </x:c>
      <x:c r="G112" s="26" t="n">
        <x:f>SUM(G$39:G52)+IF(ISNUMBER($BB$22),M112/$BB$11*$BB$22,0)</x:f>
        <x:v>1377.017943144041</x:v>
      </x:c>
      <x:c r="H112" s="26" t="n">
        <x:f>SUM(H$39:H52)+IF(ISNUMBER($BB$23),M112/$BB$11*$BB$23,0)</x:f>
        <x:v>1377.017943144041</x:v>
      </x:c>
      <x:c r="I112" s="26" t="n">
        <x:f>SUM(I$39:I52)+IF(ISNUMBER($BB$24),M112/$BB$11*$BB$24,0)</x:f>
        <x:v>1377.017943144041</x:v>
      </x:c>
      <x:c r="J112" s="26" t="n">
        <x:f>SUM(J$39:J52)+IF(ISNUMBER($BB$25),M112/$BB$11*$BB$25,0)</x:f>
        <x:v>43160.35886288082</x:v>
      </x:c>
      <x:c r="K112" s="26" t="n">
        <x:f>SUM(O$39:O52)</x:f>
        <x:v>40</x:v>
      </x:c>
      <x:c r="L112" s="26" t="n">
        <x:f>SUM(P$39:P52)</x:f>
        <x:v>1600</x:v>
      </x:c>
      <x:c r="M112" s="26">
        <x:f t="shared" si="20"/>
        <x:v>90</x:v>
      </x:c>
      <x:c r="N112" s="26">
        <x:f t="shared" si="21"/>
        <x:v>0</x:v>
      </x:c>
      <x:c r="O112" s="26">
        <x:f t="shared" si="22"/>
        <x:v>100</x:v>
      </x:c>
      <x:c r="P112" s="26">
        <x:f t="shared" si="23"/>
        <x:v>113.87750239382028</x:v>
      </x:c>
      <x:c r="Q112" s="26">
        <x:f t="shared" si="24"/>
        <x:v>22.489615862590494</x:v>
      </x:c>
      <x:c r="R112" s="26">
        <x:f t="shared" si="25"/>
        <x:v>6.1183999786845602</x:v>
      </x:c>
      <x:c r="S112" s="19" t="n">
        <x:f>COUNTIFS(养成消耗调参!$J$148:$J$197,"&lt;="&amp;MIN(G112:I112)/$BB$4)</x:f>
        <x:v>12</x:v>
      </x:c>
      <x:c r="T112" s="19" t="n">
        <x:f>COUNTIFS(养成消耗调参!$K$148:$K$197,"&lt;="&amp;MIN(G112:I112)/$BB$4)</x:f>
        <x:v>10</x:v>
      </x:c>
      <x:c r="U112" s="19" t="n">
        <x:f>COUNTIFS(养成消耗调参!$L$148:$L$197,"&lt;="&amp;MIN(G112:I112)/$BB$4)</x:f>
        <x:v>9</x:v>
      </x:c>
      <x:c r="V112" s="19" t="n">
        <x:f>COUNTIFS(养成消耗调参!$M$148:$M$197,"&lt;="&amp;J112/($BB$4*$BB$21))</x:f>
        <x:v>16</x:v>
      </x:c>
      <x:c r="W112" s="19" t="n">
        <x:f>COUNTIFS(养成消耗调参!$N$148:$N$197,"&lt;="&amp;J112/($BB$4*$BB$21))</x:f>
        <x:v>13</x:v>
      </x:c>
      <x:c r="X112" s="19" t="n">
        <x:f>COUNTIFS(养成消耗调参!$O$148:$O$197,"&lt;="&amp;J112/($BB$4*$BB$21))</x:f>
        <x:v>11</x:v>
      </x:c>
      <x:c r="Y112" s="19" t="n">
        <x:f>COUNTIFS(养成消耗调参!$P$148:$P$197,"&lt;="&amp;P112)</x:f>
        <x:v>19</x:v>
      </x:c>
      <x:c r="Z112" s="19" t="n">
        <x:f>COUNTIFS(养成消耗调参!$P$148:$P$197,"&lt;="&amp;Q112)</x:f>
        <x:v>9</x:v>
      </x:c>
      <x:c r="AA112" s="19" t="n">
        <x:f>COUNTIFS(养成消耗调参!$P$148:$P$197,"&lt;="&amp;R112)</x:f>
        <x:v>4</x:v>
      </x:c>
      <x:c r="AB112" s="19">
        <x:f t="shared" si="26"/>
        <x:v>12</x:v>
      </x:c>
      <x:c r="AC112" s="19">
        <x:f t="shared" si="27"/>
        <x:v>9</x:v>
      </x:c>
      <x:c r="AD112" s="19">
        <x:f t="shared" si="28"/>
        <x:v>4</x:v>
      </x:c>
      <x:c r="AE112" s="27" t="n">
        <x:f>IF(INDEX(养成消耗调参!$J$148:$J$197,D112)=0,"起步奖励",G112/($BB$4*INDEX(养成消耗调参!$J$148:$J$197,D112)))</x:f>
        <x:v>1.0065920637017844</x:v>
      </x:c>
      <x:c r="AF112" s="27" t="n">
        <x:f>IF(INDEX(养成消耗调参!$M$148:$M$197,D112)=0,"起步奖励",J112/($BB$4*$BB$21*INDEX(养成消耗调参!$M$148:$M$197,D112)))</x:f>
        <x:v>1.9182381716835921</x:v>
      </x:c>
      <x:c r="AG112" s="25" t="n">
        <x:f>J112-INDEX(养成消耗调参!$M$148:$M$197,AB112)*$BB$4*$BB$21</x:f>
        <x:v>20660.35886288082</x:v>
      </x:c>
      <x:c r="AH112" s="27" t="n">
        <x:f>IF(INDEX(养成消耗调参!$P$148:$P$197,D112)=0,"无需突破",P112/INDEX(养成消耗调参!$P$148:$P$197,D112))</x:f>
        <x:v>2.846937559845507</x:v>
      </x:c>
      <x:c r="AI112" s="25" t="n">
        <x:f>MAX(INDEX(养成消耗调参!$J$148:$J$197,D112)*$BB$4-G112,0)</x:f>
        <x:v>0</x:v>
      </x:c>
    </x:row>
    <x:row r="113" ht="23.100000381469727" customHeight="1">
      <x:c r="A113" s="19">
        <x:f t="shared" si="18"/>
        <x:v>15</x:v>
      </x:c>
      <x:c r="B113" s="19">
        <x:f t="shared" si="19"/>
        <x:v>1020050</x:v>
      </x:c>
      <x:c r="C113" s="19" t="str">
        <x:f t="shared" si="19"/>
        <x:v>2-5</x:v>
      </x:c>
      <x:c r="D113" s="19" t="n">
        <x:f>关卡数值!I27</x:f>
        <x:v>15</x:v>
      </x:c>
      <x:c r="E113" s="19" t="n">
        <x:f>关卡数值!J27</x:f>
        <x:v>10</x:v>
      </x:c>
      <x:c r="F113" s="19" t="n">
        <x:f>关卡数值!K27</x:f>
        <x:v>5</x:v>
      </x:c>
      <x:c r="G113" s="26" t="n">
        <x:f>SUM(G$39:G53)+IF(ISNUMBER($BB$22),M113/$BB$11*$BB$22,0)</x:f>
        <x:v>1580.6866034933792</x:v>
      </x:c>
      <x:c r="H113" s="26" t="n">
        <x:f>SUM(H$39:H53)+IF(ISNUMBER($BB$23),M113/$BB$11*$BB$23,0)</x:f>
        <x:v>1580.6866034933792</x:v>
      </x:c>
      <x:c r="I113" s="26" t="n">
        <x:f>SUM(I$39:I53)+IF(ISNUMBER($BB$24),M113/$BB$11*$BB$24,0)</x:f>
        <x:v>1580.6866034933792</x:v>
      </x:c>
      <x:c r="J113" s="26" t="n">
        <x:f>SUM(J$39:J53)+IF(ISNUMBER($BB$25),M113/$BB$11*$BB$25,0)</x:f>
        <x:v>49463.73206986758</x:v>
      </x:c>
      <x:c r="K113" s="26" t="n">
        <x:f>SUM(O$39:O53)</x:f>
        <x:v>50</x:v>
      </x:c>
      <x:c r="L113" s="26" t="n">
        <x:f>SUM(P$39:P53)</x:f>
        <x:v>1750</x:v>
      </x:c>
      <x:c r="M113" s="26">
        <x:f t="shared" si="20"/>
        <x:v>100</x:v>
      </x:c>
      <x:c r="N113" s="26">
        <x:f t="shared" si="21"/>
        <x:v>0</x:v>
      </x:c>
      <x:c r="O113" s="26">
        <x:f t="shared" si="22"/>
        <x:v>250</x:v>
      </x:c>
      <x:c r="P113" s="26">
        <x:f t="shared" si="23"/>
        <x:v>126.53055821535587</x:v>
      </x:c>
      <x:c r="Q113" s="26">
        <x:f t="shared" si="24"/>
        <x:v>24.988462069544994</x:v>
      </x:c>
      <x:c r="R113" s="26">
        <x:f t="shared" si="25"/>
        <x:v>6.7982221985383999</x:v>
      </x:c>
      <x:c r="S113" s="19" t="n">
        <x:f>COUNTIFS(养成消耗调参!$J$148:$J$197,"&lt;="&amp;MIN(G113:I113)/$BB$4)</x:f>
        <x:v>12</x:v>
      </x:c>
      <x:c r="T113" s="19" t="n">
        <x:f>COUNTIFS(养成消耗调参!$K$148:$K$197,"&lt;="&amp;MIN(G113:I113)/$BB$4)</x:f>
        <x:v>11</x:v>
      </x:c>
      <x:c r="U113" s="19" t="n">
        <x:f>COUNTIFS(养成消耗调参!$L$148:$L$197,"&lt;="&amp;MIN(G113:I113)/$BB$4)</x:f>
        <x:v>9</x:v>
      </x:c>
      <x:c r="V113" s="19" t="n">
        <x:f>COUNTIFS(养成消耗调参!$M$148:$M$197,"&lt;="&amp;J113/($BB$4*$BB$21))</x:f>
        <x:v>17</x:v>
      </x:c>
      <x:c r="W113" s="19" t="n">
        <x:f>COUNTIFS(养成消耗调参!$N$148:$N$197,"&lt;="&amp;J113/($BB$4*$BB$21))</x:f>
        <x:v>14</x:v>
      </x:c>
      <x:c r="X113" s="19" t="n">
        <x:f>COUNTIFS(养成消耗调参!$O$148:$O$197,"&lt;="&amp;J113/($BB$4*$BB$21))</x:f>
        <x:v>12</x:v>
      </x:c>
      <x:c r="Y113" s="19" t="n">
        <x:f>COUNTIFS(养成消耗调参!$P$148:$P$197,"&lt;="&amp;P113)</x:f>
        <x:v>19</x:v>
      </x:c>
      <x:c r="Z113" s="19" t="n">
        <x:f>COUNTIFS(养成消耗调参!$P$148:$P$197,"&lt;="&amp;Q113)</x:f>
        <x:v>9</x:v>
      </x:c>
      <x:c r="AA113" s="19" t="n">
        <x:f>COUNTIFS(养成消耗调参!$P$148:$P$197,"&lt;="&amp;R113)</x:f>
        <x:v>4</x:v>
      </x:c>
      <x:c r="AB113" s="19">
        <x:f t="shared" si="26"/>
        <x:v>12</x:v>
      </x:c>
      <x:c r="AC113" s="19">
        <x:f t="shared" si="27"/>
        <x:v>9</x:v>
      </x:c>
      <x:c r="AD113" s="19">
        <x:f t="shared" si="28"/>
        <x:v>4</x:v>
      </x:c>
      <x:c r="AE113" s="27" t="n">
        <x:f>IF(INDEX(养成消耗调参!$J$148:$J$197,D113)=0,"起步奖励",G113/($BB$4*INDEX(养成消耗调参!$J$148:$J$197,D113)))</x:f>
        <x:v>0.7237576023321333</x:v>
      </x:c>
      <x:c r="AF113" s="27" t="n">
        <x:f>IF(INDEX(养成消耗调参!$M$148:$M$197,D113)=0,"起步奖励",J113/($BB$4*$BB$21*INDEX(养成消耗调参!$M$148:$M$197,D113)))</x:f>
        <x:v>1.3739925574963217</x:v>
      </x:c>
      <x:c r="AG113" s="25" t="n">
        <x:f>J113-INDEX(养成消耗调参!$M$148:$M$197,AB113)*$BB$4*$BB$21</x:f>
        <x:v>26963.732069867583</x:v>
      </x:c>
      <x:c r="AH113" s="27" t="n">
        <x:f>IF(INDEX(养成消耗调参!$P$148:$P$197,D113)=0,"无需突破",P113/INDEX(养成消耗调参!$P$148:$P$197,D113))</x:f>
        <x:v>1.4058950912817318</x:v>
      </x:c>
      <x:c r="AI113" s="25" t="n">
        <x:f>MAX(INDEX(养成消耗调参!$J$148:$J$197,D113)*$BB$4-G113,0)</x:f>
        <x:v>603.3133965066208</x:v>
      </x:c>
    </x:row>
    <x:row r="114" ht="23.100000381469727" customHeight="1">
      <x:c r="A114" s="19">
        <x:f t="shared" si="18"/>
        <x:v>16</x:v>
      </x:c>
      <x:c r="B114" s="19">
        <x:f t="shared" si="19"/>
        <x:v>1020060</x:v>
      </x:c>
      <x:c r="C114" s="19" t="str">
        <x:f t="shared" si="19"/>
        <x:v>2-6</x:v>
      </x:c>
      <x:c r="D114" s="19" t="n">
        <x:f>关卡数值!I28</x:f>
        <x:v>15</x:v>
      </x:c>
      <x:c r="E114" s="19" t="n">
        <x:f>关卡数值!J28</x:f>
        <x:v>10</x:v>
      </x:c>
      <x:c r="F114" s="19" t="n">
        <x:f>关卡数值!K28</x:f>
        <x:v>5</x:v>
      </x:c>
      <x:c r="G114" s="26" t="n">
        <x:f>SUM(G$39:G54)+IF(ISNUMBER($BB$22),M114/$BB$11*$BB$22,0)</x:f>
        <x:v>1789.355263842717</x:v>
      </x:c>
      <x:c r="H114" s="26" t="n">
        <x:f>SUM(H$39:H54)+IF(ISNUMBER($BB$23),M114/$BB$11*$BB$23,0)</x:f>
        <x:v>1789.355263842717</x:v>
      </x:c>
      <x:c r="I114" s="26" t="n">
        <x:f>SUM(I$39:I54)+IF(ISNUMBER($BB$24),M114/$BB$11*$BB$24,0)</x:f>
        <x:v>1789.355263842717</x:v>
      </x:c>
      <x:c r="J114" s="26" t="n">
        <x:f>SUM(J$39:J54)+IF(ISNUMBER($BB$25),M114/$BB$11*$BB$25,0)</x:f>
        <x:v>55977.10527685434</x:v>
      </x:c>
      <x:c r="K114" s="26" t="n">
        <x:f>SUM(O$39:O54)</x:f>
        <x:v>50</x:v>
      </x:c>
      <x:c r="L114" s="26" t="n">
        <x:f>SUM(P$39:P54)</x:f>
        <x:v>1900</x:v>
      </x:c>
      <x:c r="M114" s="26">
        <x:f t="shared" si="20"/>
        <x:v>110</x:v>
      </x:c>
      <x:c r="N114" s="26">
        <x:f t="shared" si="21"/>
        <x:v>0</x:v>
      </x:c>
      <x:c r="O114" s="26">
        <x:f t="shared" si="22"/>
        <x:v>100</x:v>
      </x:c>
      <x:c r="P114" s="26">
        <x:f t="shared" si="23"/>
        <x:v>139.18361403689144</x:v>
      </x:c>
      <x:c r="Q114" s="26">
        <x:f t="shared" si="24"/>
        <x:v>27.48730827649949</x:v>
      </x:c>
      <x:c r="R114" s="26">
        <x:f t="shared" si="25"/>
        <x:v>7.4780444183922405</x:v>
      </x:c>
      <x:c r="S114" s="19" t="n">
        <x:f>COUNTIFS(养成消耗调参!$J$148:$J$197,"&lt;="&amp;MIN(G114:I114)/$BB$4)</x:f>
        <x:v>13</x:v>
      </x:c>
      <x:c r="T114" s="19" t="n">
        <x:f>COUNTIFS(养成消耗调参!$K$148:$K$197,"&lt;="&amp;MIN(G114:I114)/$BB$4)</x:f>
        <x:v>11</x:v>
      </x:c>
      <x:c r="U114" s="19" t="n">
        <x:f>COUNTIFS(养成消耗调参!$L$148:$L$197,"&lt;="&amp;MIN(G114:I114)/$BB$4)</x:f>
        <x:v>10</x:v>
      </x:c>
      <x:c r="V114" s="19" t="n">
        <x:f>COUNTIFS(养成消耗调参!$M$148:$M$197,"&lt;="&amp;J114/($BB$4*$BB$21))</x:f>
        <x:v>18</x:v>
      </x:c>
      <x:c r="W114" s="19" t="n">
        <x:f>COUNTIFS(养成消耗调参!$N$148:$N$197,"&lt;="&amp;J114/($BB$4*$BB$21))</x:f>
        <x:v>15</x:v>
      </x:c>
      <x:c r="X114" s="19" t="n">
        <x:f>COUNTIFS(养成消耗调参!$O$148:$O$197,"&lt;="&amp;J114/($BB$4*$BB$21))</x:f>
        <x:v>13</x:v>
      </x:c>
      <x:c r="Y114" s="19" t="n">
        <x:f>COUNTIFS(养成消耗调参!$P$148:$P$197,"&lt;="&amp;P114)</x:f>
        <x:v>19</x:v>
      </x:c>
      <x:c r="Z114" s="19" t="n">
        <x:f>COUNTIFS(养成消耗调参!$P$148:$P$197,"&lt;="&amp;Q114)</x:f>
        <x:v>9</x:v>
      </x:c>
      <x:c r="AA114" s="19" t="n">
        <x:f>COUNTIFS(养成消耗调参!$P$148:$P$197,"&lt;="&amp;R114)</x:f>
        <x:v>4</x:v>
      </x:c>
      <x:c r="AB114" s="19">
        <x:f t="shared" si="26"/>
        <x:v>13</x:v>
      </x:c>
      <x:c r="AC114" s="19">
        <x:f t="shared" si="27"/>
        <x:v>9</x:v>
      </x:c>
      <x:c r="AD114" s="19">
        <x:f t="shared" si="28"/>
        <x:v>4</x:v>
      </x:c>
      <x:c r="AE114" s="27" t="n">
        <x:f>IF(INDEX(养成消耗调参!$J$148:$J$197,D114)=0,"起步奖励",G114/($BB$4*INDEX(养成消耗调参!$J$148:$J$197,D114)))</x:f>
        <x:v>0.8193018607338448</x:v>
      </x:c>
      <x:c r="AF114" s="27" t="n">
        <x:f>IF(INDEX(养成消耗调参!$M$148:$M$197,D114)=0,"起步奖励",J114/($BB$4*$BB$21*INDEX(养成消耗调参!$M$148:$M$197,D114)))</x:f>
        <x:v>1.5549195910237317</x:v>
      </x:c>
      <x:c r="AG114" s="25" t="n">
        <x:f>J114-INDEX(养成消耗调参!$M$148:$M$197,AB114)*$BB$4*$BB$21</x:f>
        <x:v>28977.105276854338</x:v>
      </x:c>
      <x:c r="AH114" s="27" t="n">
        <x:f>IF(INDEX(养成消耗调参!$P$148:$P$197,D114)=0,"无需突破",P114/INDEX(养成消耗调参!$P$148:$P$197,D114))</x:f>
        <x:v>1.5464846004099049</x:v>
      </x:c>
      <x:c r="AI114" s="25" t="n">
        <x:f>MAX(INDEX(养成消耗调参!$J$148:$J$197,D114)*$BB$4-G114,0)</x:f>
        <x:v>394.644736157283</x:v>
      </x:c>
    </x:row>
    <x:row r="115" ht="23.100000381469727" customHeight="1">
      <x:c r="A115" s="19">
        <x:f t="shared" si="18"/>
        <x:v>17</x:v>
      </x:c>
      <x:c r="B115" s="19">
        <x:f t="shared" si="19"/>
        <x:v>1020070</x:v>
      </x:c>
      <x:c r="C115" s="19" t="str">
        <x:f t="shared" si="19"/>
        <x:v>2-7</x:v>
      </x:c>
      <x:c r="D115" s="19" t="n">
        <x:f>关卡数值!I29</x:f>
        <x:v>16</x:v>
      </x:c>
      <x:c r="E115" s="19" t="n">
        <x:f>关卡数值!J29</x:f>
        <x:v>11</x:v>
      </x:c>
      <x:c r="F115" s="19" t="n">
        <x:f>关卡数值!K29</x:f>
        <x:v>6</x:v>
      </x:c>
      <x:c r="G115" s="26" t="n">
        <x:f>SUM(G$39:G55)+IF(ISNUMBER($BB$22),M115/$BB$11*$BB$22,0)</x:f>
        <x:v>1988.355263842717</x:v>
      </x:c>
      <x:c r="H115" s="26" t="n">
        <x:f>SUM(H$39:H55)+IF(ISNUMBER($BB$23),M115/$BB$11*$BB$23,0)</x:f>
        <x:v>1988.355263842717</x:v>
      </x:c>
      <x:c r="I115" s="26" t="n">
        <x:f>SUM(I$39:I55)+IF(ISNUMBER($BB$24),M115/$BB$11*$BB$24,0)</x:f>
        <x:v>1988.355263842717</x:v>
      </x:c>
      <x:c r="J115" s="26" t="n">
        <x:f>SUM(J$39:J55)+IF(ISNUMBER($BB$25),M115/$BB$11*$BB$25,0)</x:f>
        <x:v>62337.10527685434</x:v>
      </x:c>
      <x:c r="K115" s="26" t="n">
        <x:f>SUM(O$39:O55)</x:f>
        <x:v>50</x:v>
      </x:c>
      <x:c r="L115" s="26" t="n">
        <x:f>SUM(P$39:P55)</x:f>
        <x:v>2050</x:v>
      </x:c>
      <x:c r="M115" s="26">
        <x:f t="shared" si="20"/>
        <x:v>110</x:v>
      </x:c>
      <x:c r="N115" s="26">
        <x:f t="shared" si="21"/>
        <x:v>0</x:v>
      </x:c>
      <x:c r="O115" s="26">
        <x:f t="shared" si="22"/>
        <x:v>250</x:v>
      </x:c>
      <x:c r="P115" s="26">
        <x:f t="shared" si="23"/>
        <x:v>139.18361403689144</x:v>
      </x:c>
      <x:c r="Q115" s="26">
        <x:f t="shared" si="24"/>
        <x:v>27.48730827649949</x:v>
      </x:c>
      <x:c r="R115" s="26">
        <x:f t="shared" si="25"/>
        <x:v>7.4780444183922405</x:v>
      </x:c>
      <x:c r="S115" s="19" t="n">
        <x:f>COUNTIFS(养成消耗调参!$J$148:$J$197,"&lt;="&amp;MIN(G115:I115)/$BB$4)</x:f>
        <x:v>14</x:v>
      </x:c>
      <x:c r="T115" s="19" t="n">
        <x:f>COUNTIFS(养成消耗调参!$K$148:$K$197,"&lt;="&amp;MIN(G115:I115)/$BB$4)</x:f>
        <x:v>12</x:v>
      </x:c>
      <x:c r="U115" s="19" t="n">
        <x:f>COUNTIFS(养成消耗调参!$L$148:$L$197,"&lt;="&amp;MIN(G115:I115)/$BB$4)</x:f>
        <x:v>10</x:v>
      </x:c>
      <x:c r="V115" s="19" t="n">
        <x:f>COUNTIFS(养成消耗调参!$M$148:$M$197,"&lt;="&amp;J115/($BB$4*$BB$21))</x:f>
        <x:v>19</x:v>
      </x:c>
      <x:c r="W115" s="19" t="n">
        <x:f>COUNTIFS(养成消耗调参!$N$148:$N$197,"&lt;="&amp;J115/($BB$4*$BB$21))</x:f>
        <x:v>16</x:v>
      </x:c>
      <x:c r="X115" s="19" t="n">
        <x:f>COUNTIFS(养成消耗调参!$O$148:$O$197,"&lt;="&amp;J115/($BB$4*$BB$21))</x:f>
        <x:v>13</x:v>
      </x:c>
      <x:c r="Y115" s="19" t="n">
        <x:f>COUNTIFS(养成消耗调参!$P$148:$P$197,"&lt;="&amp;P115)</x:f>
        <x:v>19</x:v>
      </x:c>
      <x:c r="Z115" s="19" t="n">
        <x:f>COUNTIFS(养成消耗调参!$P$148:$P$197,"&lt;="&amp;Q115)</x:f>
        <x:v>9</x:v>
      </x:c>
      <x:c r="AA115" s="19" t="n">
        <x:f>COUNTIFS(养成消耗调参!$P$148:$P$197,"&lt;="&amp;R115)</x:f>
        <x:v>4</x:v>
      </x:c>
      <x:c r="AB115" s="19">
        <x:f t="shared" si="26"/>
        <x:v>14</x:v>
      </x:c>
      <x:c r="AC115" s="19">
        <x:f t="shared" si="27"/>
        <x:v>9</x:v>
      </x:c>
      <x:c r="AD115" s="19">
        <x:f t="shared" si="28"/>
        <x:v>4</x:v>
      </x:c>
      <x:c r="AE115" s="27" t="n">
        <x:f>IF(INDEX(养成消耗调参!$J$148:$J$197,D115)=0,"起步奖励",G115/($BB$4*INDEX(养成消耗调参!$J$148:$J$197,D115)))</x:f>
        <x:v>0.7890298666042528</x:v>
      </x:c>
      <x:c r="AF115" s="27" t="n">
        <x:f>IF(INDEX(养成消耗调参!$M$148:$M$197,D115)=0,"起步奖励",J115/($BB$4*$BB$21*INDEX(养成消耗调参!$M$148:$M$197,D115)))</x:f>
        <x:v>1.5391877846136874</x:v>
      </x:c>
      <x:c r="AG115" s="25" t="n">
        <x:f>J115-INDEX(养成消耗调参!$M$148:$M$197,AB115)*$BB$4*$BB$21</x:f>
        <x:v>30837.105276854338</x:v>
      </x:c>
      <x:c r="AH115" s="27" t="n">
        <x:f>IF(INDEX(养成消耗调参!$P$148:$P$197,D115)=0,"无需突破",P115/INDEX(养成消耗调参!$P$148:$P$197,D115))</x:f>
        <x:v>1.5464846004099049</x:v>
      </x:c>
      <x:c r="AI115" s="25" t="n">
        <x:f>MAX(INDEX(养成消耗调参!$J$148:$J$197,D115)*$BB$4-G115,0)</x:f>
        <x:v>531.644736157283</x:v>
      </x:c>
    </x:row>
    <x:row r="116" ht="23.100000381469727" customHeight="1">
      <x:c r="A116" s="19">
        <x:f t="shared" si="18"/>
        <x:v>18</x:v>
      </x:c>
      <x:c r="B116" s="19">
        <x:f t="shared" si="19"/>
        <x:v>1020080</x:v>
      </x:c>
      <x:c r="C116" s="19" t="str">
        <x:f t="shared" si="19"/>
        <x:v>2-8</x:v>
      </x:c>
      <x:c r="D116" s="19" t="n">
        <x:f>关卡数值!I30</x:f>
        <x:v>16</x:v>
      </x:c>
      <x:c r="E116" s="19" t="n">
        <x:f>关卡数值!J30</x:f>
        <x:v>11</x:v>
      </x:c>
      <x:c r="F116" s="19" t="n">
        <x:f>关卡数值!K30</x:f>
        <x:v>6</x:v>
      </x:c>
      <x:c r="G116" s="26" t="n">
        <x:f>SUM(G$39:G56)+IF(ISNUMBER($BB$22),M116/$BB$11*$BB$22,0)</x:f>
        <x:v>2209.023924192055</x:v>
      </x:c>
      <x:c r="H116" s="26" t="n">
        <x:f>SUM(H$39:H56)+IF(ISNUMBER($BB$23),M116/$BB$11*$BB$23,0)</x:f>
        <x:v>2209.023924192055</x:v>
      </x:c>
      <x:c r="I116" s="26" t="n">
        <x:f>SUM(I$39:I56)+IF(ISNUMBER($BB$24),M116/$BB$11*$BB$24,0)</x:f>
        <x:v>2209.023924192055</x:v>
      </x:c>
      <x:c r="J116" s="26" t="n">
        <x:f>SUM(J$39:J56)+IF(ISNUMBER($BB$25),M116/$BB$11*$BB$25,0)</x:f>
        <x:v>69210.4784838411</x:v>
      </x:c>
      <x:c r="K116" s="26" t="n">
        <x:f>SUM(O$39:O56)</x:f>
        <x:v>50</x:v>
      </x:c>
      <x:c r="L116" s="26" t="n">
        <x:f>SUM(P$39:P56)</x:f>
        <x:v>2200</x:v>
      </x:c>
      <x:c r="M116" s="26">
        <x:f t="shared" si="20"/>
        <x:v>120</x:v>
      </x:c>
      <x:c r="N116" s="26">
        <x:f t="shared" si="21"/>
        <x:v>0</x:v>
      </x:c>
      <x:c r="O116" s="26">
        <x:f t="shared" si="22"/>
        <x:v>100</x:v>
      </x:c>
      <x:c r="P116" s="26">
        <x:f t="shared" si="23"/>
        <x:v>151.83666985842703</x:v>
      </x:c>
      <x:c r="Q116" s="26">
        <x:f t="shared" si="24"/>
        <x:v>29.986154483453991</x:v>
      </x:c>
      <x:c r="R116" s="26">
        <x:f t="shared" si="25"/>
        <x:v>8.1578666382460803</x:v>
      </x:c>
      <x:c r="S116" s="19" t="n">
        <x:f>COUNTIFS(养成消耗调参!$J$148:$J$197,"&lt;="&amp;MIN(G116:I116)/$BB$4)</x:f>
        <x:v>15</x:v>
      </x:c>
      <x:c r="T116" s="19" t="n">
        <x:f>COUNTIFS(养成消耗调参!$K$148:$K$197,"&lt;="&amp;MIN(G116:I116)/$BB$4)</x:f>
        <x:v>12</x:v>
      </x:c>
      <x:c r="U116" s="19" t="n">
        <x:f>COUNTIFS(养成消耗调参!$L$148:$L$197,"&lt;="&amp;MIN(G116:I116)/$BB$4)</x:f>
        <x:v>11</x:v>
      </x:c>
      <x:c r="V116" s="19" t="n">
        <x:f>COUNTIFS(养成消耗调参!$M$148:$M$197,"&lt;="&amp;J116/($BB$4*$BB$21))</x:f>
        <x:v>20</x:v>
      </x:c>
      <x:c r="W116" s="19" t="n">
        <x:f>COUNTIFS(养成消耗调参!$N$148:$N$197,"&lt;="&amp;J116/($BB$4*$BB$21))</x:f>
        <x:v>16</x:v>
      </x:c>
      <x:c r="X116" s="19" t="n">
        <x:f>COUNTIFS(养成消耗调参!$O$148:$O$197,"&lt;="&amp;J116/($BB$4*$BB$21))</x:f>
        <x:v>14</x:v>
      </x:c>
      <x:c r="Y116" s="19" t="n">
        <x:f>COUNTIFS(养成消耗调参!$P$148:$P$197,"&lt;="&amp;P116)</x:f>
        <x:v>19</x:v>
      </x:c>
      <x:c r="Z116" s="19" t="n">
        <x:f>COUNTIFS(养成消耗调参!$P$148:$P$197,"&lt;="&amp;Q116)</x:f>
        <x:v>9</x:v>
      </x:c>
      <x:c r="AA116" s="19" t="n">
        <x:f>COUNTIFS(养成消耗调参!$P$148:$P$197,"&lt;="&amp;R116)</x:f>
        <x:v>4</x:v>
      </x:c>
      <x:c r="AB116" s="19">
        <x:f t="shared" si="26"/>
        <x:v>15</x:v>
      </x:c>
      <x:c r="AC116" s="19">
        <x:f t="shared" si="27"/>
        <x:v>9</x:v>
      </x:c>
      <x:c r="AD116" s="19">
        <x:f t="shared" si="28"/>
        <x:v>4</x:v>
      </x:c>
      <x:c r="AE116" s="27" t="n">
        <x:f>IF(INDEX(养成消耗调参!$J$148:$J$197,D116)=0,"起步奖励",G116/($BB$4*INDEX(养成消耗调参!$J$148:$J$197,D116)))</x:f>
        <x:v>0.8765967953143075</x:v>
      </x:c>
      <x:c r="AF116" s="27" t="n">
        <x:f>IF(INDEX(养成消耗调参!$M$148:$M$197,D116)=0,"起步奖励",J116/($BB$4*$BB$21*INDEX(养成消耗调参!$M$148:$M$197,D116)))</x:f>
        <x:v>1.7089007033047185</x:v>
      </x:c>
      <x:c r="AG116" s="25" t="n">
        <x:f>J116-INDEX(养成消耗调参!$M$148:$M$197,AB116)*$BB$4*$BB$21</x:f>
        <x:v>33210.4784838411</x:v>
      </x:c>
      <x:c r="AH116" s="27" t="n">
        <x:f>IF(INDEX(养成消耗调参!$P$148:$P$197,D116)=0,"无需突破",P116/INDEX(养成消耗调参!$P$148:$P$197,D116))</x:f>
        <x:v>1.6870741095380781</x:v>
      </x:c>
      <x:c r="AI116" s="25" t="n">
        <x:f>MAX(INDEX(养成消耗调参!$J$148:$J$197,D116)*$BB$4-G116,0)</x:f>
        <x:v>310.9760758079451</x:v>
      </x:c>
    </x:row>
    <x:row r="117" ht="23.100000381469727" customHeight="1">
      <x:c r="A117" s="19">
        <x:f t="shared" si="18"/>
        <x:v>19</x:v>
      </x:c>
      <x:c r="B117" s="19">
        <x:f t="shared" si="19"/>
        <x:v>1020090</x:v>
      </x:c>
      <x:c r="C117" s="19" t="str">
        <x:f t="shared" si="19"/>
        <x:v>2-9</x:v>
      </x:c>
      <x:c r="D117" s="19" t="n">
        <x:f>关卡数值!I31</x:f>
        <x:v>17</x:v>
      </x:c>
      <x:c r="E117" s="19" t="n">
        <x:f>关卡数值!J31</x:f>
        <x:v>12</x:v>
      </x:c>
      <x:c r="F117" s="19" t="n">
        <x:f>关卡数值!K31</x:f>
        <x:v>7</x:v>
      </x:c>
      <x:c r="G117" s="26" t="n">
        <x:f>SUM(G$39:G57)+IF(ISNUMBER($BB$22),M117/$BB$11*$BB$22,0)</x:f>
        <x:v>2419.023924192055</x:v>
      </x:c>
      <x:c r="H117" s="26" t="n">
        <x:f>SUM(H$39:H57)+IF(ISNUMBER($BB$23),M117/$BB$11*$BB$23,0)</x:f>
        <x:v>2419.023924192055</x:v>
      </x:c>
      <x:c r="I117" s="26" t="n">
        <x:f>SUM(I$39:I57)+IF(ISNUMBER($BB$24),M117/$BB$11*$BB$24,0)</x:f>
        <x:v>2419.023924192055</x:v>
      </x:c>
      <x:c r="J117" s="26" t="n">
        <x:f>SUM(J$39:J57)+IF(ISNUMBER($BB$25),M117/$BB$11*$BB$25,0)</x:f>
        <x:v>75940.4784838411</x:v>
      </x:c>
      <x:c r="K117" s="26" t="n">
        <x:f>SUM(O$39:O57)</x:f>
        <x:v>50</x:v>
      </x:c>
      <x:c r="L117" s="26" t="n">
        <x:f>SUM(P$39:P57)</x:f>
        <x:v>2350</x:v>
      </x:c>
      <x:c r="M117" s="26">
        <x:f t="shared" si="20"/>
        <x:v>120</x:v>
      </x:c>
      <x:c r="N117" s="26">
        <x:f t="shared" si="21"/>
        <x:v>0</x:v>
      </x:c>
      <x:c r="O117" s="26">
        <x:f t="shared" si="22"/>
        <x:v>250</x:v>
      </x:c>
      <x:c r="P117" s="26">
        <x:f t="shared" si="23"/>
        <x:v>151.83666985842703</x:v>
      </x:c>
      <x:c r="Q117" s="26">
        <x:f t="shared" si="24"/>
        <x:v>29.986154483453991</x:v>
      </x:c>
      <x:c r="R117" s="26">
        <x:f t="shared" si="25"/>
        <x:v>8.1578666382460803</x:v>
      </x:c>
      <x:c r="S117" s="19" t="n">
        <x:f>COUNTIFS(养成消耗调参!$J$148:$J$197,"&lt;="&amp;MIN(G117:I117)/$BB$4)</x:f>
        <x:v>15</x:v>
      </x:c>
      <x:c r="T117" s="19" t="n">
        <x:f>COUNTIFS(养成消耗调参!$K$148:$K$197,"&lt;="&amp;MIN(G117:I117)/$BB$4)</x:f>
        <x:v>13</x:v>
      </x:c>
      <x:c r="U117" s="19" t="n">
        <x:f>COUNTIFS(养成消耗调参!$L$148:$L$197,"&lt;="&amp;MIN(G117:I117)/$BB$4)</x:f>
        <x:v>11</x:v>
      </x:c>
      <x:c r="V117" s="19" t="n">
        <x:f>COUNTIFS(养成消耗调参!$M$148:$M$197,"&lt;="&amp;J117/($BB$4*$BB$21))</x:f>
        <x:v>21</x:v>
      </x:c>
      <x:c r="W117" s="19" t="n">
        <x:f>COUNTIFS(养成消耗调参!$N$148:$N$197,"&lt;="&amp;J117/($BB$4*$BB$21))</x:f>
        <x:v>17</x:v>
      </x:c>
      <x:c r="X117" s="19" t="n">
        <x:f>COUNTIFS(养成消耗调参!$O$148:$O$197,"&lt;="&amp;J117/($BB$4*$BB$21))</x:f>
        <x:v>15</x:v>
      </x:c>
      <x:c r="Y117" s="19" t="n">
        <x:f>COUNTIFS(养成消耗调参!$P$148:$P$197,"&lt;="&amp;P117)</x:f>
        <x:v>19</x:v>
      </x:c>
      <x:c r="Z117" s="19" t="n">
        <x:f>COUNTIFS(养成消耗调参!$P$148:$P$197,"&lt;="&amp;Q117)</x:f>
        <x:v>9</x:v>
      </x:c>
      <x:c r="AA117" s="19" t="n">
        <x:f>COUNTIFS(养成消耗调参!$P$148:$P$197,"&lt;="&amp;R117)</x:f>
        <x:v>4</x:v>
      </x:c>
      <x:c r="AB117" s="19">
        <x:f t="shared" si="26"/>
        <x:v>15</x:v>
      </x:c>
      <x:c r="AC117" s="19">
        <x:f t="shared" si="27"/>
        <x:v>9</x:v>
      </x:c>
      <x:c r="AD117" s="19">
        <x:f t="shared" si="28"/>
        <x:v>4</x:v>
      </x:c>
      <x:c r="AE117" s="27" t="n">
        <x:f>IF(INDEX(养成消耗调参!$J$148:$J$197,D117)=0,"起步奖励",G117/($BB$4*INDEX(养成消耗调参!$J$148:$J$197,D117)))</x:f>
        <x:v>0.8469971723361537</x:v>
      </x:c>
      <x:c r="AF117" s="27" t="n">
        <x:f>IF(INDEX(养成消耗调参!$M$148:$M$197,D117)=0,"起步奖励",J117/($BB$4*$BB$21*INDEX(养成消耗调参!$M$148:$M$197,D117)))</x:f>
        <x:v>1.6226597966632714</x:v>
      </x:c>
      <x:c r="AG117" s="25" t="n">
        <x:f>J117-INDEX(养成消耗调参!$M$148:$M$197,AB117)*$BB$4*$BB$21</x:f>
        <x:v>39940.4784838411</x:v>
      </x:c>
      <x:c r="AH117" s="27" t="n">
        <x:f>IF(INDEX(养成消耗调参!$P$148:$P$197,D117)=0,"无需突破",P117/INDEX(养成消耗调参!$P$148:$P$197,D117))</x:f>
        <x:v>1.6870741095380781</x:v>
      </x:c>
      <x:c r="AI117" s="25" t="n">
        <x:f>MAX(INDEX(养成消耗调参!$J$148:$J$197,D117)*$BB$4-G117,0)</x:f>
        <x:v>436.9760758079451</x:v>
      </x:c>
    </x:row>
    <x:row r="118" ht="23.100000381469727" customHeight="1">
      <x:c r="A118" s="19">
        <x:f t="shared" si="18"/>
        <x:v>20</x:v>
      </x:c>
      <x:c r="B118" s="19">
        <x:f t="shared" si="19"/>
        <x:v>1020100</x:v>
      </x:c>
      <x:c r="C118" s="19" t="str">
        <x:f t="shared" si="19"/>
        <x:v>2-10</x:v>
      </x:c>
      <x:c r="D118" s="19" t="n">
        <x:f>关卡数值!I32</x:f>
        <x:v>20</x:v>
      </x:c>
      <x:c r="E118" s="19" t="n">
        <x:f>关卡数值!J32</x:f>
        <x:v>14</x:v>
      </x:c>
      <x:c r="F118" s="19" t="n">
        <x:f>关卡数值!K32</x:f>
        <x:v>9</x:v>
      </x:c>
      <x:c r="G118" s="26" t="n">
        <x:f>SUM(G$39:G58)+IF(ISNUMBER($BB$22),M118/$BB$11*$BB$22,0)</x:f>
        <x:v>2667.3612448907306</x:v>
      </x:c>
      <x:c r="H118" s="26" t="n">
        <x:f>SUM(H$39:H58)+IF(ISNUMBER($BB$23),M118/$BB$11*$BB$23,0)</x:f>
        <x:v>2667.3612448907306</x:v>
      </x:c>
      <x:c r="I118" s="26" t="n">
        <x:f>SUM(I$39:I58)+IF(ISNUMBER($BB$24),M118/$BB$11*$BB$24,0)</x:f>
        <x:v>2667.3612448907306</x:v>
      </x:c>
      <x:c r="J118" s="26" t="n">
        <x:f>SUM(J$39:J58)+IF(ISNUMBER($BB$25),M118/$BB$11*$BB$25,0)</x:f>
        <x:v>83507.22489781461</x:v>
      </x:c>
      <x:c r="K118" s="26" t="n">
        <x:f>SUM(O$39:O58)</x:f>
        <x:v>60</x:v>
      </x:c>
      <x:c r="L118" s="26" t="n">
        <x:f>SUM(P$39:P58)</x:f>
        <x:v>2500</x:v>
      </x:c>
      <x:c r="M118" s="26">
        <x:f t="shared" si="20"/>
        <x:v>140</x:v>
      </x:c>
      <x:c r="N118" s="26">
        <x:f t="shared" si="21"/>
        <x:v>0</x:v>
      </x:c>
      <x:c r="O118" s="26">
        <x:f t="shared" si="22"/>
        <x:v>100</x:v>
      </x:c>
      <x:c r="P118" s="26">
        <x:f t="shared" si="23"/>
        <x:v>177.14278150149821</x:v>
      </x:c>
      <x:c r="Q118" s="26">
        <x:f t="shared" si="24"/>
        <x:v>34.983846897362987</x:v>
      </x:c>
      <x:c r="R118" s="26">
        <x:f t="shared" si="25"/>
        <x:v>9.5175110779537615</x:v>
      </x:c>
      <x:c r="S118" s="19" t="n">
        <x:f>COUNTIFS(养成消耗调参!$J$148:$J$197,"&lt;="&amp;MIN(G118:I118)/$BB$4)</x:f>
        <x:v>16</x:v>
      </x:c>
      <x:c r="T118" s="19" t="n">
        <x:f>COUNTIFS(养成消耗调参!$K$148:$K$197,"&lt;="&amp;MIN(G118:I118)/$BB$4)</x:f>
        <x:v>14</x:v>
      </x:c>
      <x:c r="U118" s="19" t="n">
        <x:f>COUNTIFS(养成消耗调参!$L$148:$L$197,"&lt;="&amp;MIN(G118:I118)/$BB$4)</x:f>
        <x:v>12</x:v>
      </x:c>
      <x:c r="V118" s="19" t="n">
        <x:f>COUNTIFS(养成消耗调参!$M$148:$M$197,"&lt;="&amp;J118/($BB$4*$BB$21))</x:f>
        <x:v>22</x:v>
      </x:c>
      <x:c r="W118" s="19" t="n">
        <x:f>COUNTIFS(养成消耗调参!$N$148:$N$197,"&lt;="&amp;J118/($BB$4*$BB$21))</x:f>
        <x:v>18</x:v>
      </x:c>
      <x:c r="X118" s="19" t="n">
        <x:f>COUNTIFS(养成消耗调参!$O$148:$O$197,"&lt;="&amp;J118/($BB$4*$BB$21))</x:f>
        <x:v>16</x:v>
      </x:c>
      <x:c r="Y118" s="19" t="n">
        <x:f>COUNTIFS(养成消耗调参!$P$148:$P$197,"&lt;="&amp;P118)</x:f>
        <x:v>24</x:v>
      </x:c>
      <x:c r="Z118" s="19" t="n">
        <x:f>COUNTIFS(养成消耗调参!$P$148:$P$197,"&lt;="&amp;Q118)</x:f>
        <x:v>9</x:v>
      </x:c>
      <x:c r="AA118" s="19" t="n">
        <x:f>COUNTIFS(养成消耗调参!$P$148:$P$197,"&lt;="&amp;R118)</x:f>
        <x:v>4</x:v>
      </x:c>
      <x:c r="AB118" s="19">
        <x:f t="shared" si="26"/>
        <x:v>16</x:v>
      </x:c>
      <x:c r="AC118" s="19">
        <x:f t="shared" si="27"/>
        <x:v>9</x:v>
      </x:c>
      <x:c r="AD118" s="19">
        <x:f t="shared" si="28"/>
        <x:v>4</x:v>
      </x:c>
      <x:c r="AE118" s="27" t="n">
        <x:f>IF(INDEX(养成消耗调参!$J$148:$J$197,D118)=0,"起步奖励",G118/($BB$4*INDEX(养成消耗调参!$J$148:$J$197,D118)))</x:f>
        <x:v>0.6576334430203971</x:v>
      </x:c>
      <x:c r="AF118" s="27" t="n">
        <x:f>IF(INDEX(养成消耗调参!$M$148:$M$197,D118)=0,"起步奖励",J118/($BB$4*$BB$21*INDEX(养成消耗调参!$M$148:$M$197,D118)))</x:f>
        <x:v>1.271038430712551</x:v>
      </x:c>
      <x:c r="AG118" s="25" t="n">
        <x:f>J118-INDEX(养成消耗调参!$M$148:$M$197,AB118)*$BB$4*$BB$21</x:f>
        <x:v>43007.22489781461</x:v>
      </x:c>
      <x:c r="AH118" s="27" t="n">
        <x:f>IF(INDEX(养成消耗调参!$P$148:$P$197,D118)=0,"无需突破",P118/INDEX(养成消耗调参!$P$148:$P$197,D118))</x:f>
        <x:v>1.1071423843843637</x:v>
      </x:c>
      <x:c r="AI118" s="25" t="n">
        <x:f>MAX(INDEX(养成消耗调参!$J$148:$J$197,D118)*$BB$4-G118,0)</x:f>
        <x:v>1388.6387551092694</x:v>
      </x:c>
    </x:row>
    <x:row r="119" ht="23.100000381469727" customHeight="1">
      <x:c r="A119" s="19">
        <x:f t="shared" si="18"/>
        <x:v>21</x:v>
      </x:c>
      <x:c r="B119" s="19" t="n">
        <x:f t="shared" ref="B119:C138" si="29">C59</x:f>
        <x:v>1030010</x:v>
      </x:c>
      <x:c r="C119" s="19" t="str">
        <x:f t="shared" si="29"/>
        <x:v>3-1</x:v>
      </x:c>
      <x:c r="D119" s="19" t="n">
        <x:f>关卡数值!I33</x:f>
        <x:v>21</x:v>
      </x:c>
      <x:c r="E119" s="19" t="n">
        <x:f>关卡数值!J33</x:f>
        <x:v>15</x:v>
      </x:c>
      <x:c r="F119" s="19" t="n">
        <x:f>关卡数值!K33</x:f>
        <x:v>10</x:v>
      </x:c>
      <x:c r="G119" s="26" t="n">
        <x:f>SUM(G$39:G59)+IF(ISNUMBER($BB$22),M119/$BB$11*$BB$22,0)</x:f>
        <x:v>2892.6985655894064</x:v>
      </x:c>
      <x:c r="H119" s="26" t="n">
        <x:f>SUM(H$39:H59)+IF(ISNUMBER($BB$23),M119/$BB$11*$BB$23,0)</x:f>
        <x:v>2892.6985655894064</x:v>
      </x:c>
      <x:c r="I119" s="26" t="n">
        <x:f>SUM(I$39:I59)+IF(ISNUMBER($BB$24),M119/$BB$11*$BB$24,0)</x:f>
        <x:v>2892.6985655894064</x:v>
      </x:c>
      <x:c r="J119" s="26" t="n">
        <x:f>SUM(J$39:J59)+IF(ISNUMBER($BB$25),M119/$BB$11*$BB$25,0)</x:f>
        <x:v>90993.97131178813</x:v>
      </x:c>
      <x:c r="K119" s="26" t="n">
        <x:f>SUM(O$39:O59)</x:f>
        <x:v>70</x:v>
      </x:c>
      <x:c r="L119" s="26" t="n">
        <x:f>SUM(P$39:P59)</x:f>
        <x:v>2700</x:v>
      </x:c>
      <x:c r="M119" s="26">
        <x:f t="shared" si="20"/>
        <x:v>160</x:v>
      </x:c>
      <x:c r="N119" s="26">
        <x:f t="shared" si="21"/>
        <x:v>0</x:v>
      </x:c>
      <x:c r="O119" s="26">
        <x:f t="shared" si="22"/>
        <x:v>0</x:v>
      </x:c>
      <x:c r="P119" s="26">
        <x:f t="shared" si="23"/>
        <x:v>202.44889314456938</x:v>
      </x:c>
      <x:c r="Q119" s="26">
        <x:f t="shared" si="24"/>
        <x:v>39.981539311271987</x:v>
      </x:c>
      <x:c r="R119" s="26">
        <x:f t="shared" si="25"/>
        <x:v>10.877155517661441</x:v>
      </x:c>
      <x:c r="S119" s="19" t="n">
        <x:f>COUNTIFS(养成消耗调参!$J$148:$J$197,"&lt;="&amp;MIN(G119:I119)/$BB$4)</x:f>
        <x:v>17</x:v>
      </x:c>
      <x:c r="T119" s="19" t="n">
        <x:f>COUNTIFS(养成消耗调参!$K$148:$K$197,"&lt;="&amp;MIN(G119:I119)/$BB$4)</x:f>
        <x:v>14</x:v>
      </x:c>
      <x:c r="U119" s="19" t="n">
        <x:f>COUNTIFS(养成消耗调参!$L$148:$L$197,"&lt;="&amp;MIN(G119:I119)/$BB$4)</x:f>
        <x:v>12</x:v>
      </x:c>
      <x:c r="V119" s="19" t="n">
        <x:f>COUNTIFS(养成消耗调参!$M$148:$M$197,"&lt;="&amp;J119/($BB$4*$BB$21))</x:f>
        <x:v>23</x:v>
      </x:c>
      <x:c r="W119" s="19" t="n">
        <x:f>COUNTIFS(养成消耗调参!$N$148:$N$197,"&lt;="&amp;J119/($BB$4*$BB$21))</x:f>
        <x:v>19</x:v>
      </x:c>
      <x:c r="X119" s="19" t="n">
        <x:f>COUNTIFS(养成消耗调参!$O$148:$O$197,"&lt;="&amp;J119/($BB$4*$BB$21))</x:f>
        <x:v>16</x:v>
      </x:c>
      <x:c r="Y119" s="19" t="n">
        <x:f>COUNTIFS(养成消耗调参!$P$148:$P$197,"&lt;="&amp;P119)</x:f>
        <x:v>24</x:v>
      </x:c>
      <x:c r="Z119" s="19" t="n">
        <x:f>COUNTIFS(养成消耗调参!$P$148:$P$197,"&lt;="&amp;Q119)</x:f>
        <x:v>9</x:v>
      </x:c>
      <x:c r="AA119" s="19" t="n">
        <x:f>COUNTIFS(养成消耗调参!$P$148:$P$197,"&lt;="&amp;R119)</x:f>
        <x:v>9</x:v>
      </x:c>
      <x:c r="AB119" s="19">
        <x:f t="shared" si="26"/>
        <x:v>17</x:v>
      </x:c>
      <x:c r="AC119" s="19">
        <x:f t="shared" si="27"/>
        <x:v>9</x:v>
      </x:c>
      <x:c r="AD119" s="19">
        <x:f t="shared" si="28"/>
        <x:v>9</x:v>
      </x:c>
      <x:c r="AE119" s="27" t="n">
        <x:f>IF(INDEX(养成消耗调参!$J$148:$J$197,D119)=0,"起步奖励",G119/($BB$4*INDEX(养成消耗调参!$J$148:$J$197,D119)))</x:f>
        <x:v>0.6445406786072653</x:v>
      </x:c>
      <x:c r="AF119" s="27" t="n">
        <x:f>IF(INDEX(养成消耗调参!$M$148:$M$197,D119)=0,"起步奖励",J119/($BB$4*$BB$21*INDEX(养成消耗调参!$M$148:$M$197,D119)))</x:f>
        <x:v>1.2638051571081685</x:v>
      </x:c>
      <x:c r="AG119" s="25" t="n">
        <x:f>J119-INDEX(养成消耗调参!$M$148:$M$197,AB119)*$BB$4*$BB$21</x:f>
        <x:v>44193.97131178813</x:v>
      </x:c>
      <x:c r="AH119" s="27" t="n">
        <x:f>IF(INDEX(养成消耗调参!$P$148:$P$197,D119)=0,"无需突破",P119/INDEX(养成消耗调参!$P$148:$P$197,D119))</x:f>
        <x:v>1.2653055821535586</x:v>
      </x:c>
      <x:c r="AI119" s="25" t="n">
        <x:f>MAX(INDEX(养成消耗调参!$J$148:$J$197,D119)*$BB$4-G119,0)</x:f>
        <x:v>1595.3014344105936</x:v>
      </x:c>
    </x:row>
    <x:row r="120" ht="23.100000381469727" customHeight="1">
      <x:c r="A120" s="19">
        <x:f t="shared" si="18"/>
        <x:v>22</x:v>
      </x:c>
      <x:c r="B120" s="19">
        <x:f t="shared" si="29"/>
        <x:v>1030020</x:v>
      </x:c>
      <x:c r="C120" s="19" t="str">
        <x:f t="shared" si="29"/>
        <x:v>3-2</x:v>
      </x:c>
      <x:c r="D120" s="19" t="n">
        <x:f>关卡数值!I34</x:f>
        <x:v>21</x:v>
      </x:c>
      <x:c r="E120" s="19" t="n">
        <x:f>关卡数值!J34</x:f>
        <x:v>15</x:v>
      </x:c>
      <x:c r="F120" s="19" t="n">
        <x:f>关卡数值!K34</x:f>
        <x:v>10</x:v>
      </x:c>
      <x:c r="G120" s="26" t="n">
        <x:f>SUM(G$39:G60)+IF(ISNUMBER($BB$22),M120/$BB$11*$BB$22,0)</x:f>
        <x:v>3088.6985655894064</x:v>
      </x:c>
      <x:c r="H120" s="26" t="n">
        <x:f>SUM(H$39:H60)+IF(ISNUMBER($BB$23),M120/$BB$11*$BB$23,0)</x:f>
        <x:v>3088.6985655894064</x:v>
      </x:c>
      <x:c r="I120" s="26" t="n">
        <x:f>SUM(I$39:I60)+IF(ISNUMBER($BB$24),M120/$BB$11*$BB$24,0)</x:f>
        <x:v>3088.6985655894064</x:v>
      </x:c>
      <x:c r="J120" s="26" t="n">
        <x:f>SUM(J$39:J60)+IF(ISNUMBER($BB$25),M120/$BB$11*$BB$25,0)</x:f>
        <x:v>97963.97131178813</x:v>
      </x:c>
      <x:c r="K120" s="26" t="n">
        <x:f>SUM(O$39:O60)</x:f>
        <x:v>70</x:v>
      </x:c>
      <x:c r="L120" s="26" t="n">
        <x:f>SUM(P$39:P60)</x:f>
        <x:v>2900</x:v>
      </x:c>
      <x:c r="M120" s="26">
        <x:f t="shared" si="20"/>
        <x:v>160</x:v>
      </x:c>
      <x:c r="N120" s="26">
        <x:f t="shared" si="21"/>
        <x:v>0</x:v>
      </x:c>
      <x:c r="O120" s="26">
        <x:f t="shared" si="22"/>
        <x:v>200</x:v>
      </x:c>
      <x:c r="P120" s="26">
        <x:f t="shared" si="23"/>
        <x:v>202.44889314456938</x:v>
      </x:c>
      <x:c r="Q120" s="26">
        <x:f t="shared" si="24"/>
        <x:v>39.981539311271987</x:v>
      </x:c>
      <x:c r="R120" s="26">
        <x:f t="shared" si="25"/>
        <x:v>10.877155517661441</x:v>
      </x:c>
      <x:c r="S120" s="19" t="n">
        <x:f>COUNTIFS(养成消耗调参!$J$148:$J$197,"&lt;="&amp;MIN(G120:I120)/$BB$4)</x:f>
        <x:v>17</x:v>
      </x:c>
      <x:c r="T120" s="19" t="n">
        <x:f>COUNTIFS(养成消耗调参!$K$148:$K$197,"&lt;="&amp;MIN(G120:I120)/$BB$4)</x:f>
        <x:v>14</x:v>
      </x:c>
      <x:c r="U120" s="19" t="n">
        <x:f>COUNTIFS(养成消耗调参!$L$148:$L$197,"&lt;="&amp;MIN(G120:I120)/$BB$4)</x:f>
        <x:v>13</x:v>
      </x:c>
      <x:c r="V120" s="19" t="n">
        <x:f>COUNTIFS(养成消耗调参!$M$148:$M$197,"&lt;="&amp;J120/($BB$4*$BB$21))</x:f>
        <x:v>23</x:v>
      </x:c>
      <x:c r="W120" s="19" t="n">
        <x:f>COUNTIFS(养成消耗调参!$N$148:$N$197,"&lt;="&amp;J120/($BB$4*$BB$21))</x:f>
        <x:v>19</x:v>
      </x:c>
      <x:c r="X120" s="19" t="n">
        <x:f>COUNTIFS(养成消耗调参!$O$148:$O$197,"&lt;="&amp;J120/($BB$4*$BB$21))</x:f>
        <x:v>17</x:v>
      </x:c>
      <x:c r="Y120" s="19" t="n">
        <x:f>COUNTIFS(养成消耗调参!$P$148:$P$197,"&lt;="&amp;P120)</x:f>
        <x:v>24</x:v>
      </x:c>
      <x:c r="Z120" s="19" t="n">
        <x:f>COUNTIFS(养成消耗调参!$P$148:$P$197,"&lt;="&amp;Q120)</x:f>
        <x:v>9</x:v>
      </x:c>
      <x:c r="AA120" s="19" t="n">
        <x:f>COUNTIFS(养成消耗调参!$P$148:$P$197,"&lt;="&amp;R120)</x:f>
        <x:v>9</x:v>
      </x:c>
      <x:c r="AB120" s="19">
        <x:f t="shared" si="26"/>
        <x:v>17</x:v>
      </x:c>
      <x:c r="AC120" s="19">
        <x:f t="shared" si="27"/>
        <x:v>9</x:v>
      </x:c>
      <x:c r="AD120" s="19">
        <x:f t="shared" si="28"/>
        <x:v>9</x:v>
      </x:c>
      <x:c r="AE120" s="27" t="n">
        <x:f>IF(INDEX(养成消耗调参!$J$148:$J$197,D120)=0,"起步奖励",G120/($BB$4*INDEX(养成消耗调参!$J$148:$J$197,D120)))</x:f>
        <x:v>0.6882126928675147</x:v>
      </x:c>
      <x:c r="AF120" s="27" t="n">
        <x:f>IF(INDEX(养成消耗调参!$M$148:$M$197,D120)=0,"起步奖励",J120/($BB$4*$BB$21*INDEX(养成消耗调参!$M$148:$M$197,D120)))</x:f>
        <x:v>1.3606107126637241</x:v>
      </x:c>
      <x:c r="AG120" s="25" t="n">
        <x:f>J120-INDEX(养成消耗调参!$M$148:$M$197,AB120)*$BB$4*$BB$21</x:f>
        <x:v>51163.97131178813</x:v>
      </x:c>
      <x:c r="AH120" s="27" t="n">
        <x:f>IF(INDEX(养成消耗调参!$P$148:$P$197,D120)=0,"无需突破",P120/INDEX(养成消耗调参!$P$148:$P$197,D120))</x:f>
        <x:v>1.2653055821535586</x:v>
      </x:c>
      <x:c r="AI120" s="25" t="n">
        <x:f>MAX(INDEX(养成消耗调参!$J$148:$J$197,D120)*$BB$4-G120,0)</x:f>
        <x:v>1399.3014344105936</x:v>
      </x:c>
    </x:row>
    <x:row r="121" ht="23.100000381469727" customHeight="1">
      <x:c r="A121" s="19">
        <x:f t="shared" si="18"/>
        <x:v>23</x:v>
      </x:c>
      <x:c r="B121" s="19">
        <x:f t="shared" si="29"/>
        <x:v>1030030</x:v>
      </x:c>
      <x:c r="C121" s="19" t="str">
        <x:f t="shared" si="29"/>
        <x:v>3-3</x:v>
      </x:c>
      <x:c r="D121" s="19" t="n">
        <x:f>关卡数值!I35</x:f>
        <x:v>21</x:v>
      </x:c>
      <x:c r="E121" s="19" t="n">
        <x:f>关卡数值!J35</x:f>
        <x:v>15</x:v>
      </x:c>
      <x:c r="F121" s="19" t="n">
        <x:f>关卡数值!K35</x:f>
        <x:v>10</x:v>
      </x:c>
      <x:c r="G121" s="26" t="n">
        <x:f>SUM(G$39:G61)+IF(ISNUMBER($BB$22),M121/$BB$11*$BB$22,0)</x:f>
        <x:v>3306.3672259387445</x:v>
      </x:c>
      <x:c r="H121" s="26" t="n">
        <x:f>SUM(H$39:H61)+IF(ISNUMBER($BB$23),M121/$BB$11*$BB$23,0)</x:f>
        <x:v>3306.3672259387445</x:v>
      </x:c>
      <x:c r="I121" s="26" t="n">
        <x:f>SUM(I$39:I61)+IF(ISNUMBER($BB$24),M121/$BB$11*$BB$24,0)</x:f>
        <x:v>3306.3672259387445</x:v>
      </x:c>
      <x:c r="J121" s="26" t="n">
        <x:f>SUM(J$39:J61)+IF(ISNUMBER($BB$25),M121/$BB$11*$BB$25,0)</x:f>
        <x:v>105437.34451877489</x:v>
      </x:c>
      <x:c r="K121" s="26" t="n">
        <x:f>SUM(O$39:O61)</x:f>
        <x:v>70</x:v>
      </x:c>
      <x:c r="L121" s="26" t="n">
        <x:f>SUM(P$39:P61)</x:f>
        <x:v>3100</x:v>
      </x:c>
      <x:c r="M121" s="26">
        <x:f t="shared" si="20"/>
        <x:v>170</x:v>
      </x:c>
      <x:c r="N121" s="26">
        <x:f t="shared" si="21"/>
        <x:v>0</x:v>
      </x:c>
      <x:c r="O121" s="26">
        <x:f t="shared" si="22"/>
        <x:v>100</x:v>
      </x:c>
      <x:c r="P121" s="26">
        <x:f t="shared" si="23"/>
        <x:v>215.10194896610494</x:v>
      </x:c>
      <x:c r="Q121" s="26">
        <x:f t="shared" si="24"/>
        <x:v>42.480385518226484</x:v>
      </x:c>
      <x:c r="R121" s="26">
        <x:f t="shared" si="25"/>
        <x:v>11.556977737515281</x:v>
      </x:c>
      <x:c r="S121" s="19" t="n">
        <x:f>COUNTIFS(养成消耗调参!$J$148:$J$197,"&lt;="&amp;MIN(G121:I121)/$BB$4)</x:f>
        <x:v>18</x:v>
      </x:c>
      <x:c r="T121" s="19" t="n">
        <x:f>COUNTIFS(养成消耗调参!$K$148:$K$197,"&lt;="&amp;MIN(G121:I121)/$BB$4)</x:f>
        <x:v>15</x:v>
      </x:c>
      <x:c r="U121" s="19" t="n">
        <x:f>COUNTIFS(养成消耗调参!$L$148:$L$197,"&lt;="&amp;MIN(G121:I121)/$BB$4)</x:f>
        <x:v>13</x:v>
      </x:c>
      <x:c r="V121" s="19" t="n">
        <x:f>COUNTIFS(养成消耗调参!$M$148:$M$197,"&lt;="&amp;J121/($BB$4*$BB$21))</x:f>
        <x:v>24</x:v>
      </x:c>
      <x:c r="W121" s="19" t="n">
        <x:f>COUNTIFS(养成消耗调参!$N$148:$N$197,"&lt;="&amp;J121/($BB$4*$BB$21))</x:f>
        <x:v>20</x:v>
      </x:c>
      <x:c r="X121" s="19" t="n">
        <x:f>COUNTIFS(养成消耗调参!$O$148:$O$197,"&lt;="&amp;J121/($BB$4*$BB$21))</x:f>
        <x:v>17</x:v>
      </x:c>
      <x:c r="Y121" s="19" t="n">
        <x:f>COUNTIFS(养成消耗调参!$P$148:$P$197,"&lt;="&amp;P121)</x:f>
        <x:v>24</x:v>
      </x:c>
      <x:c r="Z121" s="19" t="n">
        <x:f>COUNTIFS(养成消耗调参!$P$148:$P$197,"&lt;="&amp;Q121)</x:f>
        <x:v>14</x:v>
      </x:c>
      <x:c r="AA121" s="19" t="n">
        <x:f>COUNTIFS(养成消耗调参!$P$148:$P$197,"&lt;="&amp;R121)</x:f>
        <x:v>9</x:v>
      </x:c>
      <x:c r="AB121" s="19">
        <x:f t="shared" si="26"/>
        <x:v>18</x:v>
      </x:c>
      <x:c r="AC121" s="19">
        <x:f t="shared" si="27"/>
        <x:v>14</x:v>
      </x:c>
      <x:c r="AD121" s="19">
        <x:f t="shared" si="28"/>
        <x:v>9</x:v>
      </x:c>
      <x:c r="AE121" s="27" t="n">
        <x:f>IF(INDEX(养成消耗调参!$J$148:$J$197,D121)=0,"起步奖励",G121/($BB$4*INDEX(养成消耗调参!$J$148:$J$197,D121)))</x:f>
        <x:v>0.7367128400041766</x:v>
      </x:c>
      <x:c r="AF121" s="27" t="n">
        <x:f>IF(INDEX(养成消耗调参!$M$148:$M$197,D121)=0,"起步奖励",J121/($BB$4*$BB$21*INDEX(养成消耗调参!$M$148:$M$197,D121)))</x:f>
        <x:v>1.4644075627607622</x:v>
      </x:c>
      <x:c r="AG121" s="25" t="n">
        <x:f>J121-INDEX(养成消耗调参!$M$148:$M$197,AB121)*$BB$4*$BB$21</x:f>
        <x:v>52337.34451877489</x:v>
      </x:c>
      <x:c r="AH121" s="27" t="n">
        <x:f>IF(INDEX(养成消耗调参!$P$148:$P$197,D121)=0,"无需突破",P121/INDEX(养成消耗调参!$P$148:$P$197,D121))</x:f>
        <x:v>1.3443871810381558</x:v>
      </x:c>
      <x:c r="AI121" s="25" t="n">
        <x:f>MAX(INDEX(养成消耗调参!$J$148:$J$197,D121)*$BB$4-G121,0)</x:f>
        <x:v>1181.6327740612555</x:v>
      </x:c>
    </x:row>
    <x:row r="122" ht="23.100000381469727" customHeight="1">
      <x:c r="A122" s="19">
        <x:f t="shared" si="18"/>
        <x:v>24</x:v>
      </x:c>
      <x:c r="B122" s="19">
        <x:f t="shared" si="29"/>
        <x:v>1030040</x:v>
      </x:c>
      <x:c r="C122" s="19" t="str">
        <x:f t="shared" si="29"/>
        <x:v>3-4</x:v>
      </x:c>
      <x:c r="D122" s="19" t="n">
        <x:f>关卡数值!I36</x:f>
        <x:v>22</x:v>
      </x:c>
      <x:c r="E122" s="19" t="n">
        <x:f>关卡数值!J36</x:f>
        <x:v>16</x:v>
      </x:c>
      <x:c r="F122" s="19" t="n">
        <x:f>关卡数值!K36</x:f>
        <x:v>10</x:v>
      </x:c>
      <x:c r="G122" s="26" t="n">
        <x:f>SUM(G$39:G62)+IF(ISNUMBER($BB$22),M122/$BB$11*$BB$22,0)</x:f>
        <x:v>3528.035886288082</x:v>
      </x:c>
      <x:c r="H122" s="26" t="n">
        <x:f>SUM(H$39:H62)+IF(ISNUMBER($BB$23),M122/$BB$11*$BB$23,0)</x:f>
        <x:v>3528.035886288082</x:v>
      </x:c>
      <x:c r="I122" s="26" t="n">
        <x:f>SUM(I$39:I62)+IF(ISNUMBER($BB$24),M122/$BB$11*$BB$24,0)</x:f>
        <x:v>3528.035886288082</x:v>
      </x:c>
      <x:c r="J122" s="26" t="n">
        <x:f>SUM(J$39:J62)+IF(ISNUMBER($BB$25),M122/$BB$11*$BB$25,0)</x:f>
        <x:v>113060.71772576164</x:v>
      </x:c>
      <x:c r="K122" s="26" t="n">
        <x:f>SUM(O$39:O62)</x:f>
        <x:v>70</x:v>
      </x:c>
      <x:c r="L122" s="26" t="n">
        <x:f>SUM(P$39:P62)</x:f>
        <x:v>3300</x:v>
      </x:c>
      <x:c r="M122" s="26">
        <x:f t="shared" si="20"/>
        <x:v>180</x:v>
      </x:c>
      <x:c r="N122" s="26">
        <x:f t="shared" si="21"/>
        <x:v>0</x:v>
      </x:c>
      <x:c r="O122" s="26">
        <x:f t="shared" si="22"/>
        <x:v>0</x:v>
      </x:c>
      <x:c r="P122" s="26">
        <x:f t="shared" si="23"/>
        <x:v>227.75500478764056</x:v>
      </x:c>
      <x:c r="Q122" s="26">
        <x:f t="shared" si="24"/>
        <x:v>44.979231725180988</x:v>
      </x:c>
      <x:c r="R122" s="26">
        <x:f t="shared" si="25"/>
        <x:v>12.23679995736912</x:v>
      </x:c>
      <x:c r="S122" s="19" t="n">
        <x:f>COUNTIFS(养成消耗调参!$J$148:$J$197,"&lt;="&amp;MIN(G122:I122)/$BB$4)</x:f>
        <x:v>18</x:v>
      </x:c>
      <x:c r="T122" s="19" t="n">
        <x:f>COUNTIFS(养成消耗调参!$K$148:$K$197,"&lt;="&amp;MIN(G122:I122)/$BB$4)</x:f>
        <x:v>15</x:v>
      </x:c>
      <x:c r="U122" s="19" t="n">
        <x:f>COUNTIFS(养成消耗调参!$L$148:$L$197,"&lt;="&amp;MIN(G122:I122)/$BB$4)</x:f>
        <x:v>13</x:v>
      </x:c>
      <x:c r="V122" s="19" t="n">
        <x:f>COUNTIFS(养成消耗调参!$M$148:$M$197,"&lt;="&amp;J122/($BB$4*$BB$21))</x:f>
        <x:v>25</x:v>
      </x:c>
      <x:c r="W122" s="19" t="n">
        <x:f>COUNTIFS(养成消耗调参!$N$148:$N$197,"&lt;="&amp;J122/($BB$4*$BB$21))</x:f>
        <x:v>21</x:v>
      </x:c>
      <x:c r="X122" s="19" t="n">
        <x:f>COUNTIFS(养成消耗调参!$O$148:$O$197,"&lt;="&amp;J122/($BB$4*$BB$21))</x:f>
        <x:v>18</x:v>
      </x:c>
      <x:c r="Y122" s="19" t="n">
        <x:f>COUNTIFS(养成消耗调参!$P$148:$P$197,"&lt;="&amp;P122)</x:f>
        <x:v>24</x:v>
      </x:c>
      <x:c r="Z122" s="19" t="n">
        <x:f>COUNTIFS(养成消耗调参!$P$148:$P$197,"&lt;="&amp;Q122)</x:f>
        <x:v>14</x:v>
      </x:c>
      <x:c r="AA122" s="19" t="n">
        <x:f>COUNTIFS(养成消耗调参!$P$148:$P$197,"&lt;="&amp;R122)</x:f>
        <x:v>9</x:v>
      </x:c>
      <x:c r="AB122" s="19">
        <x:f t="shared" si="26"/>
        <x:v>18</x:v>
      </x:c>
      <x:c r="AC122" s="19">
        <x:f t="shared" si="27"/>
        <x:v>14</x:v>
      </x:c>
      <x:c r="AD122" s="19">
        <x:f t="shared" si="28"/>
        <x:v>9</x:v>
      </x:c>
      <x:c r="AE122" s="27" t="n">
        <x:f>IF(INDEX(养成消耗调参!$J$148:$J$197,D122)=0,"起步奖励",G122/($BB$4*INDEX(养成消耗调参!$J$148:$J$197,D122)))</x:f>
        <x:v>0.7101521510241711</x:v>
      </x:c>
      <x:c r="AF122" s="27" t="n">
        <x:f>IF(INDEX(养成消耗调参!$M$148:$M$197,D122)=0,"起步奖励",J122/($BB$4*$BB$21*INDEX(养成消耗调参!$M$148:$M$197,D122)))</x:f>
        <x:v>1.3958113299476747</x:v>
      </x:c>
      <x:c r="AG122" s="25" t="n">
        <x:f>J122-INDEX(养成消耗调参!$M$148:$M$197,AB122)*$BB$4*$BB$21</x:f>
        <x:v>59960.71772576164</x:v>
      </x:c>
      <x:c r="AH122" s="27" t="n">
        <x:f>IF(INDEX(养成消耗调参!$P$148:$P$197,D122)=0,"无需突破",P122/INDEX(养成消耗调参!$P$148:$P$197,D122))</x:f>
        <x:v>1.4234687799227534</x:v>
      </x:c>
      <x:c r="AI122" s="25" t="n">
        <x:f>MAX(INDEX(养成消耗调参!$J$148:$J$197,D122)*$BB$4-G122,0)</x:f>
        <x:v>1439.964113711918</x:v>
      </x:c>
    </x:row>
    <x:row r="123" ht="23.100000381469727" customHeight="1">
      <x:c r="A123" s="19">
        <x:f t="shared" si="18"/>
        <x:v>25</x:v>
      </x:c>
      <x:c r="B123" s="19">
        <x:f t="shared" si="29"/>
        <x:v>1030050</x:v>
      </x:c>
      <x:c r="C123" s="19" t="str">
        <x:f t="shared" si="29"/>
        <x:v>3-5</x:v>
      </x:c>
      <x:c r="D123" s="19" t="n">
        <x:f>关卡数值!I37</x:f>
        <x:v>25</x:v>
      </x:c>
      <x:c r="E123" s="19" t="n">
        <x:f>关卡数值!J37</x:f>
        <x:v>18</x:v>
      </x:c>
      <x:c r="F123" s="19" t="n">
        <x:f>关卡数值!K37</x:f>
        <x:v>12</x:v>
      </x:c>
      <x:c r="G123" s="26" t="n">
        <x:f>SUM(G$39:G63)+IF(ISNUMBER($BB$22),M123/$BB$11*$BB$22,0)</x:f>
        <x:v>3753.70454663742</x:v>
      </x:c>
      <x:c r="H123" s="26" t="n">
        <x:f>SUM(H$39:H63)+IF(ISNUMBER($BB$23),M123/$BB$11*$BB$23,0)</x:f>
        <x:v>3753.70454663742</x:v>
      </x:c>
      <x:c r="I123" s="26" t="n">
        <x:f>SUM(I$39:I63)+IF(ISNUMBER($BB$24),M123/$BB$11*$BB$24,0)</x:f>
        <x:v>3753.70454663742</x:v>
      </x:c>
      <x:c r="J123" s="26" t="n">
        <x:f>SUM(J$39:J63)+IF(ISNUMBER($BB$25),M123/$BB$11*$BB$25,0)</x:f>
        <x:v>120824.09093274841</x:v>
      </x:c>
      <x:c r="K123" s="26" t="n">
        <x:f>SUM(O$39:O63)</x:f>
        <x:v>80</x:v>
      </x:c>
      <x:c r="L123" s="26" t="n">
        <x:f>SUM(P$39:P63)</x:f>
        <x:v>3500</x:v>
      </x:c>
      <x:c r="M123" s="26">
        <x:f t="shared" si="20"/>
        <x:v>190</x:v>
      </x:c>
      <x:c r="N123" s="26">
        <x:f t="shared" si="21"/>
        <x:v>0</x:v>
      </x:c>
      <x:c r="O123" s="26">
        <x:f t="shared" si="22"/>
        <x:v>200</x:v>
      </x:c>
      <x:c r="P123" s="26">
        <x:f t="shared" si="23"/>
        <x:v>240.40806060917612</x:v>
      </x:c>
      <x:c r="Q123" s="26">
        <x:f t="shared" si="24"/>
        <x:v>47.478077932135484</x:v>
      </x:c>
      <x:c r="R123" s="26">
        <x:f t="shared" si="25"/>
        <x:v>12.91662217722296</x:v>
      </x:c>
      <x:c r="S123" s="19" t="n">
        <x:f>COUNTIFS(养成消耗调参!$J$148:$J$197,"&lt;="&amp;MIN(G123:I123)/$BB$4)</x:f>
        <x:v>19</x:v>
      </x:c>
      <x:c r="T123" s="19" t="n">
        <x:f>COUNTIFS(养成消耗调参!$K$148:$K$197,"&lt;="&amp;MIN(G123:I123)/$BB$4)</x:f>
        <x:v>16</x:v>
      </x:c>
      <x:c r="U123" s="19" t="n">
        <x:f>COUNTIFS(养成消耗调参!$L$148:$L$197,"&lt;="&amp;MIN(G123:I123)/$BB$4)</x:f>
        <x:v>14</x:v>
      </x:c>
      <x:c r="V123" s="19" t="n">
        <x:f>COUNTIFS(养成消耗调参!$M$148:$M$197,"&lt;="&amp;J123/($BB$4*$BB$21))</x:f>
        <x:v>26</x:v>
      </x:c>
      <x:c r="W123" s="19" t="n">
        <x:f>COUNTIFS(养成消耗调参!$N$148:$N$197,"&lt;="&amp;J123/($BB$4*$BB$21))</x:f>
        <x:v>21</x:v>
      </x:c>
      <x:c r="X123" s="19" t="n">
        <x:f>COUNTIFS(养成消耗调参!$O$148:$O$197,"&lt;="&amp;J123/($BB$4*$BB$21))</x:f>
        <x:v>19</x:v>
      </x:c>
      <x:c r="Y123" s="19" t="n">
        <x:f>COUNTIFS(养成消耗调参!$P$148:$P$197,"&lt;="&amp;P123)</x:f>
        <x:v>24</x:v>
      </x:c>
      <x:c r="Z123" s="19" t="n">
        <x:f>COUNTIFS(养成消耗调参!$P$148:$P$197,"&lt;="&amp;Q123)</x:f>
        <x:v>14</x:v>
      </x:c>
      <x:c r="AA123" s="19" t="n">
        <x:f>COUNTIFS(养成消耗调参!$P$148:$P$197,"&lt;="&amp;R123)</x:f>
        <x:v>9</x:v>
      </x:c>
      <x:c r="AB123" s="19">
        <x:f t="shared" si="26"/>
        <x:v>19</x:v>
      </x:c>
      <x:c r="AC123" s="19">
        <x:f t="shared" si="27"/>
        <x:v>14</x:v>
      </x:c>
      <x:c r="AD123" s="19">
        <x:f t="shared" si="28"/>
        <x:v>9</x:v>
      </x:c>
      <x:c r="AE123" s="27" t="n">
        <x:f>IF(INDEX(养成消耗调参!$J$148:$J$197,D123)=0,"起步奖励",G123/($BB$4*INDEX(养成消耗调参!$J$148:$J$197,D123)))</x:f>
        <x:v>0.5771378454239576</x:v>
      </x:c>
      <x:c r="AF123" s="27" t="n">
        <x:f>IF(INDEX(养成消耗调参!$M$148:$M$197,D123)=0,"起步奖励",J123/($BB$4*$BB$21*INDEX(养成消耗调参!$M$148:$M$197,D123)))</x:f>
        <x:v>1.1187415827106335</x:v>
      </x:c>
      <x:c r="AG123" s="25" t="n">
        <x:f>J123-INDEX(养成消耗调参!$M$148:$M$197,AB123)*$BB$4*$BB$21</x:f>
        <x:v>61424.09093274841</x:v>
      </x:c>
      <x:c r="AH123" s="27" t="n">
        <x:f>IF(INDEX(养成消耗调参!$P$148:$P$197,D123)=0,"无需突破",P123/INDEX(养成消耗调参!$P$148:$P$197,D123))</x:f>
        <x:v>0.9616322424367044</x:v>
      </x:c>
      <x:c r="AI123" s="25" t="n">
        <x:f>MAX(INDEX(养成消耗调参!$J$148:$J$197,D123)*$BB$4-G123,0)</x:f>
        <x:v>2750.29545336258</x:v>
      </x:c>
    </x:row>
    <x:row r="124" ht="23.100000381469727" customHeight="1">
      <x:c r="A124" s="19">
        <x:f t="shared" si="18"/>
        <x:v>26</x:v>
      </x:c>
      <x:c r="B124" s="19">
        <x:f t="shared" si="29"/>
        <x:v>1030060</x:v>
      </x:c>
      <x:c r="C124" s="19" t="str">
        <x:f t="shared" si="29"/>
        <x:v>3-6</x:v>
      </x:c>
      <x:c r="D124" s="19" t="n">
        <x:f>关卡数值!I38</x:f>
        <x:v>25</x:v>
      </x:c>
      <x:c r="E124" s="19" t="n">
        <x:f>关卡数值!J38</x:f>
        <x:v>18</x:v>
      </x:c>
      <x:c r="F124" s="19" t="n">
        <x:f>关卡数值!K38</x:f>
        <x:v>12</x:v>
      </x:c>
      <x:c r="G124" s="26" t="n">
        <x:f>SUM(G$39:G64)+IF(ISNUMBER($BB$22),M124/$BB$11*$BB$22,0)</x:f>
        <x:v>3984.3732069867583</x:v>
      </x:c>
      <x:c r="H124" s="26" t="n">
        <x:f>SUM(H$39:H64)+IF(ISNUMBER($BB$23),M124/$BB$11*$BB$23,0)</x:f>
        <x:v>3984.3732069867583</x:v>
      </x:c>
      <x:c r="I124" s="26" t="n">
        <x:f>SUM(I$39:I64)+IF(ISNUMBER($BB$24),M124/$BB$11*$BB$24,0)</x:f>
        <x:v>3984.3732069867583</x:v>
      </x:c>
      <x:c r="J124" s="26" t="n">
        <x:f>SUM(J$39:J64)+IF(ISNUMBER($BB$25),M124/$BB$11*$BB$25,0)</x:f>
        <x:v>128747.46413973517</x:v>
      </x:c>
      <x:c r="K124" s="26" t="n">
        <x:f>SUM(O$39:O64)</x:f>
        <x:v>80</x:v>
      </x:c>
      <x:c r="L124" s="26" t="n">
        <x:f>SUM(P$39:P64)</x:f>
        <x:v>3700</x:v>
      </x:c>
      <x:c r="M124" s="26">
        <x:f t="shared" si="20"/>
        <x:v>200</x:v>
      </x:c>
      <x:c r="N124" s="26">
        <x:f t="shared" si="21"/>
        <x:v>0</x:v>
      </x:c>
      <x:c r="O124" s="26">
        <x:f t="shared" si="22"/>
        <x:v>100</x:v>
      </x:c>
      <x:c r="P124" s="26">
        <x:f t="shared" si="23"/>
        <x:v>253.06111643071173</x:v>
      </x:c>
      <x:c r="Q124" s="26">
        <x:f t="shared" si="24"/>
        <x:v>49.976924139089988</x:v>
      </x:c>
      <x:c r="R124" s="26">
        <x:f t="shared" si="25"/>
        <x:v>13.5964443970768</x:v>
      </x:c>
      <x:c r="S124" s="19" t="n">
        <x:f>COUNTIFS(养成消耗调参!$J$148:$J$197,"&lt;="&amp;MIN(G124:I124)/$BB$4)</x:f>
        <x:v>19</x:v>
      </x:c>
      <x:c r="T124" s="19" t="n">
        <x:f>COUNTIFS(养成消耗调参!$K$148:$K$197,"&lt;="&amp;MIN(G124:I124)/$BB$4)</x:f>
        <x:v>16</x:v>
      </x:c>
      <x:c r="U124" s="19" t="n">
        <x:f>COUNTIFS(养成消耗调参!$L$148:$L$197,"&lt;="&amp;MIN(G124:I124)/$BB$4)</x:f>
        <x:v>14</x:v>
      </x:c>
      <x:c r="V124" s="19" t="n">
        <x:f>COUNTIFS(养成消耗调参!$M$148:$M$197,"&lt;="&amp;J124/($BB$4*$BB$21))</x:f>
        <x:v>27</x:v>
      </x:c>
      <x:c r="W124" s="19" t="n">
        <x:f>COUNTIFS(养成消耗调参!$N$148:$N$197,"&lt;="&amp;J124/($BB$4*$BB$21))</x:f>
        <x:v>22</x:v>
      </x:c>
      <x:c r="X124" s="19" t="n">
        <x:f>COUNTIFS(养成消耗调参!$O$148:$O$197,"&lt;="&amp;J124/($BB$4*$BB$21))</x:f>
        <x:v>19</x:v>
      </x:c>
      <x:c r="Y124" s="19" t="n">
        <x:f>COUNTIFS(养成消耗调参!$P$148:$P$197,"&lt;="&amp;P124)</x:f>
        <x:v>29</x:v>
      </x:c>
      <x:c r="Z124" s="19" t="n">
        <x:f>COUNTIFS(养成消耗调参!$P$148:$P$197,"&lt;="&amp;Q124)</x:f>
        <x:v>14</x:v>
      </x:c>
      <x:c r="AA124" s="19" t="n">
        <x:f>COUNTIFS(养成消耗调参!$P$148:$P$197,"&lt;="&amp;R124)</x:f>
        <x:v>9</x:v>
      </x:c>
      <x:c r="AB124" s="19">
        <x:f t="shared" si="26"/>
        <x:v>19</x:v>
      </x:c>
      <x:c r="AC124" s="19">
        <x:f t="shared" si="27"/>
        <x:v>14</x:v>
      </x:c>
      <x:c r="AD124" s="19">
        <x:f t="shared" si="28"/>
        <x:v>9</x:v>
      </x:c>
      <x:c r="AE124" s="27" t="n">
        <x:f>IF(INDEX(养成消耗调参!$J$148:$J$197,D124)=0,"起步奖励",G124/($BB$4*INDEX(养成消耗调参!$J$148:$J$197,D124)))</x:f>
        <x:v>0.6126035066092802</x:v>
      </x:c>
      <x:c r="AF124" s="27" t="n">
        <x:f>IF(INDEX(养成消耗调参!$M$148:$M$197,D124)=0,"起步奖励",J124/($BB$4*$BB$21*INDEX(养成消耗调参!$M$148:$M$197,D124)))</x:f>
        <x:v>1.1921061494419922</x:v>
      </x:c>
      <x:c r="AG124" s="25" t="n">
        <x:f>J124-INDEX(养成消耗调参!$M$148:$M$197,AB124)*$BB$4*$BB$21</x:f>
        <x:v>69347.46413973517</x:v>
      </x:c>
      <x:c r="AH124" s="27" t="n">
        <x:f>IF(INDEX(养成消耗调参!$P$148:$P$197,D124)=0,"无需突破",P124/INDEX(养成消耗调参!$P$148:$P$197,D124))</x:f>
        <x:v>1.0122444657228469</x:v>
      </x:c>
      <x:c r="AI124" s="25" t="n">
        <x:f>MAX(INDEX(养成消耗调参!$J$148:$J$197,D124)*$BB$4-G124,0)</x:f>
        <x:v>2519.6267930132417</x:v>
      </x:c>
    </x:row>
    <x:row r="125" ht="23.100000381469727" customHeight="1">
      <x:c r="A125" s="19">
        <x:f t="shared" si="18"/>
        <x:v>27</x:v>
      </x:c>
      <x:c r="B125" s="19">
        <x:f t="shared" si="29"/>
        <x:v>1030070</x:v>
      </x:c>
      <x:c r="C125" s="19" t="str">
        <x:f t="shared" si="29"/>
        <x:v>3-7</x:v>
      </x:c>
      <x:c r="D125" s="19" t="n">
        <x:f>关卡数值!I39</x:f>
        <x:v>25</x:v>
      </x:c>
      <x:c r="E125" s="19" t="n">
        <x:f>关卡数值!J39</x:f>
        <x:v>18</x:v>
      </x:c>
      <x:c r="F125" s="19" t="n">
        <x:f>关卡数值!K39</x:f>
        <x:v>12</x:v>
      </x:c>
      <x:c r="G125" s="26" t="n">
        <x:f>SUM(G$39:G65)+IF(ISNUMBER($BB$22),M125/$BB$11*$BB$22,0)</x:f>
        <x:v>4218.041867336096</x:v>
      </x:c>
      <x:c r="H125" s="26" t="n">
        <x:f>SUM(H$39:H65)+IF(ISNUMBER($BB$23),M125/$BB$11*$BB$23,0)</x:f>
        <x:v>4218.041867336096</x:v>
      </x:c>
      <x:c r="I125" s="26" t="n">
        <x:f>SUM(I$39:I65)+IF(ISNUMBER($BB$24),M125/$BB$11*$BB$24,0)</x:f>
        <x:v>4218.041867336096</x:v>
      </x:c>
      <x:c r="J125" s="26" t="n">
        <x:f>SUM(J$39:J65)+IF(ISNUMBER($BB$25),M125/$BB$11*$BB$25,0)</x:f>
        <x:v>136810.83734672194</x:v>
      </x:c>
      <x:c r="K125" s="26" t="n">
        <x:f>SUM(O$39:O65)</x:f>
        <x:v>80</x:v>
      </x:c>
      <x:c r="L125" s="26" t="n">
        <x:f>SUM(P$39:P65)</x:f>
        <x:v>3900</x:v>
      </x:c>
      <x:c r="M125" s="26">
        <x:f t="shared" si="20"/>
        <x:v>210</x:v>
      </x:c>
      <x:c r="N125" s="26">
        <x:f t="shared" si="21"/>
        <x:v>0</x:v>
      </x:c>
      <x:c r="O125" s="26">
        <x:f t="shared" si="22"/>
        <x:v>0</x:v>
      </x:c>
      <x:c r="P125" s="26">
        <x:f t="shared" si="23"/>
        <x:v>265.71417225224729</x:v>
      </x:c>
      <x:c r="Q125" s="26">
        <x:f t="shared" si="24"/>
        <x:v>52.475770346044484</x:v>
      </x:c>
      <x:c r="R125" s="26">
        <x:f t="shared" si="25"/>
        <x:v>14.276266616930641</x:v>
      </x:c>
      <x:c r="S125" s="19" t="n">
        <x:f>COUNTIFS(养成消耗调参!$J$148:$J$197,"&lt;="&amp;MIN(G125:I125)/$BB$4)</x:f>
        <x:v>20</x:v>
      </x:c>
      <x:c r="T125" s="19" t="n">
        <x:f>COUNTIFS(养成消耗调参!$K$148:$K$197,"&lt;="&amp;MIN(G125:I125)/$BB$4)</x:f>
        <x:v>17</x:v>
      </x:c>
      <x:c r="U125" s="19" t="n">
        <x:f>COUNTIFS(养成消耗调参!$L$148:$L$197,"&lt;="&amp;MIN(G125:I125)/$BB$4)</x:f>
        <x:v>15</x:v>
      </x:c>
      <x:c r="V125" s="19" t="n">
        <x:f>COUNTIFS(养成消耗调参!$M$148:$M$197,"&lt;="&amp;J125/($BB$4*$BB$21))</x:f>
        <x:v>27</x:v>
      </x:c>
      <x:c r="W125" s="19" t="n">
        <x:f>COUNTIFS(养成消耗调参!$N$148:$N$197,"&lt;="&amp;J125/($BB$4*$BB$21))</x:f>
        <x:v>23</x:v>
      </x:c>
      <x:c r="X125" s="19" t="n">
        <x:f>COUNTIFS(养成消耗调参!$O$148:$O$197,"&lt;="&amp;J125/($BB$4*$BB$21))</x:f>
        <x:v>20</x:v>
      </x:c>
      <x:c r="Y125" s="19" t="n">
        <x:f>COUNTIFS(养成消耗调参!$P$148:$P$197,"&lt;="&amp;P125)</x:f>
        <x:v>29</x:v>
      </x:c>
      <x:c r="Z125" s="19" t="n">
        <x:f>COUNTIFS(养成消耗调参!$P$148:$P$197,"&lt;="&amp;Q125)</x:f>
        <x:v>14</x:v>
      </x:c>
      <x:c r="AA125" s="19" t="n">
        <x:f>COUNTIFS(养成消耗调参!$P$148:$P$197,"&lt;="&amp;R125)</x:f>
        <x:v>9</x:v>
      </x:c>
      <x:c r="AB125" s="19">
        <x:f t="shared" si="26"/>
        <x:v>20</x:v>
      </x:c>
      <x:c r="AC125" s="19">
        <x:f t="shared" si="27"/>
        <x:v>14</x:v>
      </x:c>
      <x:c r="AD125" s="19">
        <x:f t="shared" si="28"/>
        <x:v>9</x:v>
      </x:c>
      <x:c r="AE125" s="27" t="n">
        <x:f>IF(INDEX(养成消耗调参!$J$148:$J$197,D125)=0,"起步奖励",G125/($BB$4*INDEX(养成消耗调参!$J$148:$J$197,D125)))</x:f>
        <x:v>0.6485304224071489</x:v>
      </x:c>
      <x:c r="AF125" s="27" t="n">
        <x:f>IF(INDEX(养成消耗调参!$M$148:$M$197,D125)=0,"起步奖励",J125/($BB$4*$BB$21*INDEX(养成消耗调参!$M$148:$M$197,D125)))</x:f>
        <x:v>1.2667670124696475</x:v>
      </x:c>
      <x:c r="AG125" s="25" t="n">
        <x:f>J125-INDEX(养成消耗调参!$M$148:$M$197,AB125)*$BB$4*$BB$21</x:f>
        <x:v>71110.83734672194</x:v>
      </x:c>
      <x:c r="AH125" s="27" t="n">
        <x:f>IF(INDEX(养成消耗调参!$P$148:$P$197,D125)=0,"无需突破",P125/INDEX(养成消耗调参!$P$148:$P$197,D125))</x:f>
        <x:v>1.0628566890089892</x:v>
      </x:c>
      <x:c r="AI125" s="25" t="n">
        <x:f>MAX(INDEX(养成消耗调参!$J$148:$J$197,D125)*$BB$4-G125,0)</x:f>
        <x:v>2285.9581326639036</x:v>
      </x:c>
    </x:row>
    <x:row r="126" ht="23.100000381469727" customHeight="1">
      <x:c r="A126" s="19">
        <x:f t="shared" si="18"/>
        <x:v>28</x:v>
      </x:c>
      <x:c r="B126" s="19">
        <x:f t="shared" si="29"/>
        <x:v>1030080</x:v>
      </x:c>
      <x:c r="C126" s="19" t="str">
        <x:f t="shared" si="29"/>
        <x:v>3-8</x:v>
      </x:c>
      <x:c r="D126" s="19" t="n">
        <x:f>关卡数值!I40</x:f>
        <x:v>26</x:v>
      </x:c>
      <x:c r="E126" s="19" t="n">
        <x:f>关卡数值!J40</x:f>
        <x:v>19</x:v>
      </x:c>
      <x:c r="F126" s="19" t="n">
        <x:f>关卡数值!K40</x:f>
        <x:v>13</x:v>
      </x:c>
      <x:c r="G126" s="26" t="n">
        <x:f>SUM(G$39:G66)+IF(ISNUMBER($BB$22),M126/$BB$11*$BB$22,0)</x:f>
        <x:v>4439.041867336096</x:v>
      </x:c>
      <x:c r="H126" s="26" t="n">
        <x:f>SUM(H$39:H66)+IF(ISNUMBER($BB$23),M126/$BB$11*$BB$23,0)</x:f>
        <x:v>4439.041867336096</x:v>
      </x:c>
      <x:c r="I126" s="26" t="n">
        <x:f>SUM(I$39:I66)+IF(ISNUMBER($BB$24),M126/$BB$11*$BB$24,0)</x:f>
        <x:v>4439.041867336096</x:v>
      </x:c>
      <x:c r="J126" s="26" t="n">
        <x:f>SUM(J$39:J66)+IF(ISNUMBER($BB$25),M126/$BB$11*$BB$25,0)</x:f>
        <x:v>144680.83734672194</x:v>
      </x:c>
      <x:c r="K126" s="26" t="n">
        <x:f>SUM(O$39:O66)</x:f>
        <x:v>80</x:v>
      </x:c>
      <x:c r="L126" s="26" t="n">
        <x:f>SUM(P$39:P66)</x:f>
        <x:v>4100</x:v>
      </x:c>
      <x:c r="M126" s="26">
        <x:f t="shared" si="20"/>
        <x:v>210</x:v>
      </x:c>
      <x:c r="N126" s="26">
        <x:f t="shared" si="21"/>
        <x:v>0</x:v>
      </x:c>
      <x:c r="O126" s="26">
        <x:f t="shared" si="22"/>
        <x:v>200</x:v>
      </x:c>
      <x:c r="P126" s="26">
        <x:f t="shared" si="23"/>
        <x:v>265.71417225224729</x:v>
      </x:c>
      <x:c r="Q126" s="26">
        <x:f t="shared" si="24"/>
        <x:v>52.475770346044484</x:v>
      </x:c>
      <x:c r="R126" s="26">
        <x:f t="shared" si="25"/>
        <x:v>14.276266616930641</x:v>
      </x:c>
      <x:c r="S126" s="19" t="n">
        <x:f>COUNTIFS(养成消耗调参!$J$148:$J$197,"&lt;="&amp;MIN(G126:I126)/$BB$4)</x:f>
        <x:v>20</x:v>
      </x:c>
      <x:c r="T126" s="19" t="n">
        <x:f>COUNTIFS(养成消耗调参!$K$148:$K$197,"&lt;="&amp;MIN(G126:I126)/$BB$4)</x:f>
        <x:v>17</x:v>
      </x:c>
      <x:c r="U126" s="19" t="n">
        <x:f>COUNTIFS(养成消耗调参!$L$148:$L$197,"&lt;="&amp;MIN(G126:I126)/$BB$4)</x:f>
        <x:v>15</x:v>
      </x:c>
      <x:c r="V126" s="19" t="n">
        <x:f>COUNTIFS(养成消耗调参!$M$148:$M$197,"&lt;="&amp;J126/($BB$4*$BB$21))</x:f>
        <x:v>28</x:v>
      </x:c>
      <x:c r="W126" s="19" t="n">
        <x:f>COUNTIFS(养成消耗调参!$N$148:$N$197,"&lt;="&amp;J126/($BB$4*$BB$21))</x:f>
        <x:v>23</x:v>
      </x:c>
      <x:c r="X126" s="19" t="n">
        <x:f>COUNTIFS(养成消耗调参!$O$148:$O$197,"&lt;="&amp;J126/($BB$4*$BB$21))</x:f>
        <x:v>21</x:v>
      </x:c>
      <x:c r="Y126" s="19" t="n">
        <x:f>COUNTIFS(养成消耗调参!$P$148:$P$197,"&lt;="&amp;P126)</x:f>
        <x:v>29</x:v>
      </x:c>
      <x:c r="Z126" s="19" t="n">
        <x:f>COUNTIFS(养成消耗调参!$P$148:$P$197,"&lt;="&amp;Q126)</x:f>
        <x:v>14</x:v>
      </x:c>
      <x:c r="AA126" s="19" t="n">
        <x:f>COUNTIFS(养成消耗调参!$P$148:$P$197,"&lt;="&amp;R126)</x:f>
        <x:v>9</x:v>
      </x:c>
      <x:c r="AB126" s="19">
        <x:f t="shared" si="26"/>
        <x:v>20</x:v>
      </x:c>
      <x:c r="AC126" s="19">
        <x:f t="shared" si="27"/>
        <x:v>14</x:v>
      </x:c>
      <x:c r="AD126" s="19">
        <x:f t="shared" si="28"/>
        <x:v>9</x:v>
      </x:c>
      <x:c r="AE126" s="27" t="n">
        <x:f>IF(INDEX(养成消耗调参!$J$148:$J$197,D126)=0,"起步奖励",G126/($BB$4*INDEX(养成消耗调参!$J$148:$J$197,D126)))</x:f>
        <x:v>0.6269833145954938</x:v>
      </x:c>
      <x:c r="AF126" s="27" t="n">
        <x:f>IF(INDEX(养成消耗调参!$M$148:$M$197,D126)=0,"起步奖励",J126/($BB$4*$BB$21*INDEX(养成消耗调参!$M$148:$M$197,D126)))</x:f>
        <x:v>1.2365883533907858</x:v>
      </x:c>
      <x:c r="AG126" s="25" t="n">
        <x:f>J126-INDEX(养成消耗调参!$M$148:$M$197,AB126)*$BB$4*$BB$21</x:f>
        <x:v>78980.83734672194</x:v>
      </x:c>
      <x:c r="AH126" s="27" t="n">
        <x:f>IF(INDEX(养成消耗调参!$P$148:$P$197,D126)=0,"无需突破",P126/INDEX(养成消耗调参!$P$148:$P$197,D126))</x:f>
        <x:v>1.0628566890089892</x:v>
      </x:c>
      <x:c r="AI126" s="25" t="n">
        <x:f>MAX(INDEX(养成消耗调参!$J$148:$J$197,D126)*$BB$4-G126,0)</x:f>
        <x:v>2640.9581326639036</x:v>
      </x:c>
    </x:row>
    <x:row r="127" ht="23.100000381469727" customHeight="1">
      <x:c r="A127" s="19">
        <x:f t="shared" si="18"/>
        <x:v>29</x:v>
      </x:c>
      <x:c r="B127" s="19">
        <x:f t="shared" si="29"/>
        <x:v>1030090</x:v>
      </x:c>
      <x:c r="C127" s="19" t="str">
        <x:f t="shared" si="29"/>
        <x:v>3-9</x:v>
      </x:c>
      <x:c r="D127" s="19" t="n">
        <x:f>关卡数值!I41</x:f>
        <x:v>26</x:v>
      </x:c>
      <x:c r="E127" s="19" t="n">
        <x:f>关卡数值!J41</x:f>
        <x:v>19</x:v>
      </x:c>
      <x:c r="F127" s="19" t="n">
        <x:f>关卡数值!K41</x:f>
        <x:v>13</x:v>
      </x:c>
      <x:c r="G127" s="26" t="n">
        <x:f>SUM(G$39:G67)+IF(ISNUMBER($BB$22),M127/$BB$11*$BB$22,0)</x:f>
        <x:v>4681.710527685434</x:v>
      </x:c>
      <x:c r="H127" s="26" t="n">
        <x:f>SUM(H$39:H67)+IF(ISNUMBER($BB$23),M127/$BB$11*$BB$23,0)</x:f>
        <x:v>4681.710527685434</x:v>
      </x:c>
      <x:c r="I127" s="26" t="n">
        <x:f>SUM(I$39:I67)+IF(ISNUMBER($BB$24),M127/$BB$11*$BB$24,0)</x:f>
        <x:v>4681.710527685434</x:v>
      </x:c>
      <x:c r="J127" s="26" t="n">
        <x:f>SUM(J$39:J67)+IF(ISNUMBER($BB$25),M127/$BB$11*$BB$25,0)</x:f>
        <x:v>153024.2105537087</x:v>
      </x:c>
      <x:c r="K127" s="26" t="n">
        <x:f>SUM(O$39:O67)</x:f>
        <x:v>80</x:v>
      </x:c>
      <x:c r="L127" s="26" t="n">
        <x:f>SUM(P$39:P67)</x:f>
        <x:v>4300</x:v>
      </x:c>
      <x:c r="M127" s="26">
        <x:f t="shared" si="20"/>
        <x:v>220</x:v>
      </x:c>
      <x:c r="N127" s="26">
        <x:f t="shared" si="21"/>
        <x:v>0</x:v>
      </x:c>
      <x:c r="O127" s="26">
        <x:f t="shared" si="22"/>
        <x:v>100</x:v>
      </x:c>
      <x:c r="P127" s="26">
        <x:f t="shared" si="23"/>
        <x:v>278.36722807378288</x:v>
      </x:c>
      <x:c r="Q127" s="26">
        <x:f t="shared" si="24"/>
        <x:v>54.974616552998981</x:v>
      </x:c>
      <x:c r="R127" s="26">
        <x:f t="shared" si="25"/>
        <x:v>14.956088836784481</x:v>
      </x:c>
      <x:c r="S127" s="19" t="n">
        <x:f>COUNTIFS(养成消耗调参!$J$148:$J$197,"&lt;="&amp;MIN(G127:I127)/$BB$4)</x:f>
        <x:v>21</x:v>
      </x:c>
      <x:c r="T127" s="19" t="n">
        <x:f>COUNTIFS(养成消耗调参!$K$148:$K$197,"&lt;="&amp;MIN(G127:I127)/$BB$4)</x:f>
        <x:v>18</x:v>
      </x:c>
      <x:c r="U127" s="19" t="n">
        <x:f>COUNTIFS(养成消耗调参!$L$148:$L$197,"&lt;="&amp;MIN(G127:I127)/$BB$4)</x:f>
        <x:v>15</x:v>
      </x:c>
      <x:c r="V127" s="19" t="n">
        <x:f>COUNTIFS(养成消耗调参!$M$148:$M$197,"&lt;="&amp;J127/($BB$4*$BB$21))</x:f>
        <x:v>29</x:v>
      </x:c>
      <x:c r="W127" s="19" t="n">
        <x:f>COUNTIFS(养成消耗调参!$N$148:$N$197,"&lt;="&amp;J127/($BB$4*$BB$21))</x:f>
        <x:v>24</x:v>
      </x:c>
      <x:c r="X127" s="19" t="n">
        <x:f>COUNTIFS(养成消耗调参!$O$148:$O$197,"&lt;="&amp;J127/($BB$4*$BB$21))</x:f>
        <x:v>21</x:v>
      </x:c>
      <x:c r="Y127" s="19" t="n">
        <x:f>COUNTIFS(养成消耗调参!$P$148:$P$197,"&lt;="&amp;P127)</x:f>
        <x:v>29</x:v>
      </x:c>
      <x:c r="Z127" s="19" t="n">
        <x:f>COUNTIFS(养成消耗调参!$P$148:$P$197,"&lt;="&amp;Q127)</x:f>
        <x:v>14</x:v>
      </x:c>
      <x:c r="AA127" s="19" t="n">
        <x:f>COUNTIFS(养成消耗调参!$P$148:$P$197,"&lt;="&amp;R127)</x:f>
        <x:v>9</x:v>
      </x:c>
      <x:c r="AB127" s="19">
        <x:f t="shared" si="26"/>
        <x:v>21</x:v>
      </x:c>
      <x:c r="AC127" s="19">
        <x:f t="shared" si="27"/>
        <x:v>14</x:v>
      </x:c>
      <x:c r="AD127" s="19">
        <x:f t="shared" si="28"/>
        <x:v>9</x:v>
      </x:c>
      <x:c r="AE127" s="27" t="n">
        <x:f>IF(INDEX(养成消耗调参!$J$148:$J$197,D127)=0,"起步奖励",G127/($BB$4*INDEX(养成消耗调参!$J$148:$J$197,D127)))</x:f>
        <x:v>0.6612585491081121</x:v>
      </x:c>
      <x:c r="AF127" s="27" t="n">
        <x:f>IF(INDEX(养成消耗调参!$M$148:$M$197,D127)=0,"起步奖励",J127/($BB$4*$BB$21*INDEX(养成消耗调参!$M$148:$M$197,D127)))</x:f>
        <x:v>1.3078992355017838</x:v>
      </x:c>
      <x:c r="AG127" s="25" t="n">
        <x:f>J127-INDEX(养成消耗调参!$M$148:$M$197,AB127)*$BB$4*$BB$21</x:f>
        <x:v>81024.21055370869</x:v>
      </x:c>
      <x:c r="AH127" s="27" t="n">
        <x:f>IF(INDEX(养成消耗调参!$P$148:$P$197,D127)=0,"无需突破",P127/INDEX(养成消耗调参!$P$148:$P$197,D127))</x:f>
        <x:v>1.1134689122951316</x:v>
      </x:c>
      <x:c r="AI127" s="25" t="n">
        <x:f>MAX(INDEX(养成消耗调参!$J$148:$J$197,D127)*$BB$4-G127,0)</x:f>
        <x:v>2398.2894723145664</x:v>
      </x:c>
    </x:row>
    <x:row r="128" ht="23.100000381469727" customHeight="1">
      <x:c r="A128" s="19">
        <x:f t="shared" si="18"/>
        <x:v>30</x:v>
      </x:c>
      <x:c r="B128" s="19">
        <x:f t="shared" si="29"/>
        <x:v>1030100</x:v>
      </x:c>
      <x:c r="C128" s="19" t="str">
        <x:f t="shared" si="29"/>
        <x:v>3-终章1</x:v>
      </x:c>
      <x:c r="D128" s="19" t="n">
        <x:f>关卡数值!I42</x:f>
        <x:v>27</x:v>
      </x:c>
      <x:c r="E128" s="19" t="n">
        <x:f>关卡数值!J42</x:f>
        <x:v>20</x:v>
      </x:c>
      <x:c r="F128" s="19" t="n">
        <x:f>关卡数值!K42</x:f>
        <x:v>14</x:v>
      </x:c>
      <x:c r="G128" s="26" t="n">
        <x:f>SUM(G$39:G68)+IF(ISNUMBER($BB$22),M128/$BB$11*$BB$22,0)</x:f>
        <x:v>4927.379188034772</x:v>
      </x:c>
      <x:c r="H128" s="26" t="n">
        <x:f>SUM(H$39:H68)+IF(ISNUMBER($BB$23),M128/$BB$11*$BB$23,0)</x:f>
        <x:v>4927.379188034772</x:v>
      </x:c>
      <x:c r="I128" s="26" t="n">
        <x:f>SUM(I$39:I68)+IF(ISNUMBER($BB$24),M128/$BB$11*$BB$24,0)</x:f>
        <x:v>4927.379188034772</x:v>
      </x:c>
      <x:c r="J128" s="26" t="n">
        <x:f>SUM(J$39:J68)+IF(ISNUMBER($BB$25),M128/$BB$11*$BB$25,0)</x:f>
        <x:v>161507.58376069544</x:v>
      </x:c>
      <x:c r="K128" s="26" t="n">
        <x:f>SUM(O$39:O68)</x:f>
        <x:v>80</x:v>
      </x:c>
      <x:c r="L128" s="26" t="n">
        <x:f>SUM(P$39:P68)</x:f>
        <x:v>4500</x:v>
      </x:c>
      <x:c r="M128" s="26">
        <x:f t="shared" si="20"/>
        <x:v>230</x:v>
      </x:c>
      <x:c r="N128" s="26">
        <x:f t="shared" si="21"/>
        <x:v>0</x:v>
      </x:c>
      <x:c r="O128" s="26">
        <x:f t="shared" si="22"/>
        <x:v>0</x:v>
      </x:c>
      <x:c r="P128" s="26">
        <x:f t="shared" si="23"/>
        <x:v>291.02028389531847</x:v>
      </x:c>
      <x:c r="Q128" s="26">
        <x:f t="shared" si="24"/>
        <x:v>57.473462759953485</x:v>
      </x:c>
      <x:c r="R128" s="26">
        <x:f t="shared" si="25"/>
        <x:v>15.635911056638321</x:v>
      </x:c>
      <x:c r="S128" s="19" t="n">
        <x:f>COUNTIFS(养成消耗调参!$J$148:$J$197,"&lt;="&amp;MIN(G128:I128)/$BB$4)</x:f>
        <x:v>21</x:v>
      </x:c>
      <x:c r="T128" s="19" t="n">
        <x:f>COUNTIFS(养成消耗调参!$K$148:$K$197,"&lt;="&amp;MIN(G128:I128)/$BB$4)</x:f>
        <x:v>18</x:v>
      </x:c>
      <x:c r="U128" s="19" t="n">
        <x:f>COUNTIFS(养成消耗调参!$L$148:$L$197,"&lt;="&amp;MIN(G128:I128)/$BB$4)</x:f>
        <x:v>16</x:v>
      </x:c>
      <x:c r="V128" s="19" t="n">
        <x:f>COUNTIFS(养成消耗调参!$M$148:$M$197,"&lt;="&amp;J128/($BB$4*$BB$21))</x:f>
        <x:v>29</x:v>
      </x:c>
      <x:c r="W128" s="19" t="n">
        <x:f>COUNTIFS(养成消耗调参!$N$148:$N$197,"&lt;="&amp;J128/($BB$4*$BB$21))</x:f>
        <x:v>24</x:v>
      </x:c>
      <x:c r="X128" s="19" t="n">
        <x:f>COUNTIFS(养成消耗调参!$O$148:$O$197,"&lt;="&amp;J128/($BB$4*$BB$21))</x:f>
        <x:v>21</x:v>
      </x:c>
      <x:c r="Y128" s="19" t="n">
        <x:f>COUNTIFS(养成消耗调参!$P$148:$P$197,"&lt;="&amp;P128)</x:f>
        <x:v>29</x:v>
      </x:c>
      <x:c r="Z128" s="19" t="n">
        <x:f>COUNTIFS(养成消耗调参!$P$148:$P$197,"&lt;="&amp;Q128)</x:f>
        <x:v>14</x:v>
      </x:c>
      <x:c r="AA128" s="19" t="n">
        <x:f>COUNTIFS(养成消耗调参!$P$148:$P$197,"&lt;="&amp;R128)</x:f>
        <x:v>9</x:v>
      </x:c>
      <x:c r="AB128" s="19">
        <x:f t="shared" si="26"/>
        <x:v>21</x:v>
      </x:c>
      <x:c r="AC128" s="19">
        <x:f t="shared" si="27"/>
        <x:v>14</x:v>
      </x:c>
      <x:c r="AD128" s="19">
        <x:f t="shared" si="28"/>
        <x:v>9</x:v>
      </x:c>
      <x:c r="AE128" s="27" t="n">
        <x:f>IF(INDEX(养成消耗调参!$J$148:$J$197,D128)=0,"起步奖励",G128/($BB$4*INDEX(养成消耗调参!$J$148:$J$197,D128)))</x:f>
        <x:v>0.6435970726273212</x:v>
      </x:c>
      <x:c r="AF128" s="27" t="n">
        <x:f>IF(INDEX(养成消耗调参!$M$148:$M$197,D128)=0,"起步奖励",J128/($BB$4*$BB$21*INDEX(养成消耗调参!$M$148:$M$197,D128)))</x:f>
        <x:v>1.2549151807357843</x:v>
      </x:c>
      <x:c r="AG128" s="25" t="n">
        <x:f>J128-INDEX(养成消耗调参!$M$148:$M$197,AB128)*$BB$4*$BB$21</x:f>
        <x:v>89507.58376069544</x:v>
      </x:c>
      <x:c r="AH128" s="27" t="n">
        <x:f>IF(INDEX(养成消耗调参!$P$148:$P$197,D128)=0,"无需突破",P128/INDEX(养成消耗调参!$P$148:$P$197,D128))</x:f>
        <x:v>1.164081135581274</x:v>
      </x:c>
      <x:c r="AI128" s="25" t="n">
        <x:f>MAX(INDEX(养成消耗调参!$J$148:$J$197,D128)*$BB$4-G128,0)</x:f>
        <x:v>2728.6208119652283</x:v>
      </x:c>
    </x:row>
    <x:row r="129" ht="23.100000381469727" customHeight="1">
      <x:c r="A129" s="19">
        <x:f t="shared" si="18"/>
        <x:v>31</x:v>
      </x:c>
      <x:c r="B129" s="19">
        <x:f t="shared" si="29"/>
        <x:v>1030110</x:v>
      </x:c>
      <x:c r="C129" s="19" t="str">
        <x:f t="shared" si="29"/>
        <x:v>3-终章2</x:v>
      </x:c>
      <x:c r="D129" s="19" t="n">
        <x:f>关卡数值!I43</x:f>
        <x:v>30</x:v>
      </x:c>
      <x:c r="E129" s="19" t="n">
        <x:f>关卡数值!J43</x:f>
        <x:v>23</x:v>
      </x:c>
      <x:c r="F129" s="19" t="n">
        <x:f>关卡数值!K43</x:f>
        <x:v>16</x:v>
      </x:c>
      <x:c r="G129" s="26" t="n">
        <x:f>SUM(G$39:G69)+IF(ISNUMBER($BB$22),M129/$BB$11*$BB$22,0)</x:f>
        <x:v>5177.04784838411</x:v>
      </x:c>
      <x:c r="H129" s="26" t="n">
        <x:f>SUM(H$39:H69)+IF(ISNUMBER($BB$23),M129/$BB$11*$BB$23,0)</x:f>
        <x:v>5177.04784838411</x:v>
      </x:c>
      <x:c r="I129" s="26" t="n">
        <x:f>SUM(I$39:I69)+IF(ISNUMBER($BB$24),M129/$BB$11*$BB$24,0)</x:f>
        <x:v>5177.04784838411</x:v>
      </x:c>
      <x:c r="J129" s="26" t="n">
        <x:f>SUM(J$39:J69)+IF(ISNUMBER($BB$25),M129/$BB$11*$BB$25,0)</x:f>
        <x:v>170120.9569676822</x:v>
      </x:c>
      <x:c r="K129" s="26" t="n">
        <x:f>SUM(O$39:O69)</x:f>
        <x:v>90</x:v>
      </x:c>
      <x:c r="L129" s="26" t="n">
        <x:f>SUM(P$39:P69)</x:f>
        <x:v>4700</x:v>
      </x:c>
      <x:c r="M129" s="26">
        <x:f t="shared" si="20"/>
        <x:v>240</x:v>
      </x:c>
      <x:c r="N129" s="26">
        <x:f t="shared" si="21"/>
        <x:v>0</x:v>
      </x:c>
      <x:c r="O129" s="26">
        <x:f t="shared" si="22"/>
        <x:v>200</x:v>
      </x:c>
      <x:c r="P129" s="26">
        <x:f t="shared" si="23"/>
        <x:v>303.67333971685406</x:v>
      </x:c>
      <x:c r="Q129" s="26">
        <x:f t="shared" si="24"/>
        <x:v>59.972308966907981</x:v>
      </x:c>
      <x:c r="R129" s="26">
        <x:f t="shared" si="25"/>
        <x:v>16.315733276492161</x:v>
      </x:c>
      <x:c r="S129" s="19" t="n">
        <x:f>COUNTIFS(养成消耗调参!$J$148:$J$197,"&lt;="&amp;MIN(G129:I129)/$BB$4)</x:f>
        <x:v>22</x:v>
      </x:c>
      <x:c r="T129" s="19" t="n">
        <x:f>COUNTIFS(养成消耗调参!$K$148:$K$197,"&lt;="&amp;MIN(G129:I129)/$BB$4)</x:f>
        <x:v>18</x:v>
      </x:c>
      <x:c r="U129" s="19" t="n">
        <x:f>COUNTIFS(养成消耗调参!$L$148:$L$197,"&lt;="&amp;MIN(G129:I129)/$BB$4)</x:f>
        <x:v>16</x:v>
      </x:c>
      <x:c r="V129" s="19" t="n">
        <x:f>COUNTIFS(养成消耗调参!$M$148:$M$197,"&lt;="&amp;J129/($BB$4*$BB$21))</x:f>
        <x:v>30</x:v>
      </x:c>
      <x:c r="W129" s="19" t="n">
        <x:f>COUNTIFS(养成消耗调参!$N$148:$N$197,"&lt;="&amp;J129/($BB$4*$BB$21))</x:f>
        <x:v>25</x:v>
      </x:c>
      <x:c r="X129" s="19" t="n">
        <x:f>COUNTIFS(养成消耗调参!$O$148:$O$197,"&lt;="&amp;J129/($BB$4*$BB$21))</x:f>
        <x:v>22</x:v>
      </x:c>
      <x:c r="Y129" s="19" t="n">
        <x:f>COUNTIFS(养成消耗调参!$P$148:$P$197,"&lt;="&amp;P129)</x:f>
        <x:v>29</x:v>
      </x:c>
      <x:c r="Z129" s="19" t="n">
        <x:f>COUNTIFS(养成消耗调参!$P$148:$P$197,"&lt;="&amp;Q129)</x:f>
        <x:v>14</x:v>
      </x:c>
      <x:c r="AA129" s="19" t="n">
        <x:f>COUNTIFS(养成消耗调参!$P$148:$P$197,"&lt;="&amp;R129)</x:f>
        <x:v>9</x:v>
      </x:c>
      <x:c r="AB129" s="19">
        <x:f t="shared" si="26"/>
        <x:v>22</x:v>
      </x:c>
      <x:c r="AC129" s="19">
        <x:f t="shared" si="27"/>
        <x:v>14</x:v>
      </x:c>
      <x:c r="AD129" s="19">
        <x:f t="shared" si="28"/>
        <x:v>9</x:v>
      </x:c>
      <x:c r="AE129" s="27" t="n">
        <x:f>IF(INDEX(养成消耗调参!$J$148:$J$197,D129)=0,"起步奖励",G129/($BB$4*INDEX(养成消耗调参!$J$148:$J$197,D129)))</x:f>
        <x:v>0.540627386005024</x:v>
      </x:c>
      <x:c r="AF129" s="27" t="n">
        <x:f>IF(INDEX(养成消耗调参!$M$148:$M$197,D129)=0,"起步奖励",J129/($BB$4*$BB$21*INDEX(养成消耗调参!$M$148:$M$197,D129)))</x:f>
        <x:v>1.0385894808771807</x:v>
      </x:c>
      <x:c r="AG129" s="25" t="n">
        <x:f>J129-INDEX(养成消耗调参!$M$148:$M$197,AB129)*$BB$4*$BB$21</x:f>
        <x:v>89120.9569676822</x:v>
      </x:c>
      <x:c r="AH129" s="27" t="n">
        <x:f>IF(INDEX(养成消耗调参!$P$148:$P$197,D129)=0,"无需突破",P129/INDEX(养成消耗调参!$P$148:$P$197,D129))</x:f>
        <x:v>0.8435370547690391</x:v>
      </x:c>
      <x:c r="AI129" s="25" t="n">
        <x:f>MAX(INDEX(养成消耗调参!$J$148:$J$197,D129)*$BB$4-G129,0)</x:f>
        <x:v>4398.95215161589</x:v>
      </x:c>
    </x:row>
    <x:row r="130" ht="23.100000381469727" customHeight="1">
      <x:c r="A130" s="19">
        <x:f t="shared" si="18"/>
        <x:v>32</x:v>
      </x:c>
      <x:c r="B130" s="19">
        <x:f t="shared" si="29"/>
        <x:v>1030120</x:v>
      </x:c>
      <x:c r="C130" s="19" t="str">
        <x:f t="shared" si="29"/>
        <x:v>3-加演1</x:v>
      </x:c>
      <x:c r="D130" s="19" t="n">
        <x:f>关卡数值!I44</x:f>
        <x:v>30</x:v>
      </x:c>
      <x:c r="E130" s="19" t="n">
        <x:f>关卡数值!J44</x:f>
        <x:v>23</x:v>
      </x:c>
      <x:c r="F130" s="19" t="n">
        <x:f>关卡数值!K44</x:f>
        <x:v>16</x:v>
      </x:c>
      <x:c r="G130" s="26" t="n">
        <x:f>SUM(G$39:G70)+IF(ISNUMBER($BB$22),M130/$BB$11*$BB$22,0)</x:f>
        <x:v>5430.716508733448</x:v>
      </x:c>
      <x:c r="H130" s="26" t="n">
        <x:f>SUM(H$39:H70)+IF(ISNUMBER($BB$23),M130/$BB$11*$BB$23,0)</x:f>
        <x:v>5430.716508733448</x:v>
      </x:c>
      <x:c r="I130" s="26" t="n">
        <x:f>SUM(I$39:I70)+IF(ISNUMBER($BB$24),M130/$BB$11*$BB$24,0)</x:f>
        <x:v>5430.716508733448</x:v>
      </x:c>
      <x:c r="J130" s="26" t="n">
        <x:f>SUM(J$39:J70)+IF(ISNUMBER($BB$25),M130/$BB$11*$BB$25,0)</x:f>
        <x:v>178874.33017466895</x:v>
      </x:c>
      <x:c r="K130" s="26" t="n">
        <x:f>SUM(O$39:O70)</x:f>
        <x:v>90</x:v>
      </x:c>
      <x:c r="L130" s="26" t="n">
        <x:f>SUM(P$39:P70)</x:f>
        <x:v>4900</x:v>
      </x:c>
      <x:c r="M130" s="26">
        <x:f t="shared" si="20"/>
        <x:v>250</x:v>
      </x:c>
      <x:c r="N130" s="26">
        <x:f t="shared" si="21"/>
        <x:v>0</x:v>
      </x:c>
      <x:c r="O130" s="26">
        <x:f t="shared" si="22"/>
        <x:v>100</x:v>
      </x:c>
      <x:c r="P130" s="26">
        <x:f t="shared" si="23"/>
        <x:v>316.32639553838965</x:v>
      </x:c>
      <x:c r="Q130" s="26">
        <x:f t="shared" si="24"/>
        <x:v>62.471155173862478</x:v>
      </x:c>
      <x:c r="R130" s="26">
        <x:f t="shared" si="25"/>
        <x:v>16.995555496346</x:v>
      </x:c>
      <x:c r="S130" s="19" t="n">
        <x:f>COUNTIFS(养成消耗调参!$J$148:$J$197,"&lt;="&amp;MIN(G130:I130)/$BB$4)</x:f>
        <x:v>22</x:v>
      </x:c>
      <x:c r="T130" s="19" t="n">
        <x:f>COUNTIFS(养成消耗调参!$K$148:$K$197,"&lt;="&amp;MIN(G130:I130)/$BB$4)</x:f>
        <x:v>19</x:v>
      </x:c>
      <x:c r="U130" s="19" t="n">
        <x:f>COUNTIFS(养成消耗调参!$L$148:$L$197,"&lt;="&amp;MIN(G130:I130)/$BB$4)</x:f>
        <x:v>16</x:v>
      </x:c>
      <x:c r="V130" s="19" t="n">
        <x:f>COUNTIFS(养成消耗调参!$M$148:$M$197,"&lt;="&amp;J130/($BB$4*$BB$21))</x:f>
        <x:v>31</x:v>
      </x:c>
      <x:c r="W130" s="19" t="n">
        <x:f>COUNTIFS(养成消耗调参!$N$148:$N$197,"&lt;="&amp;J130/($BB$4*$BB$21))</x:f>
        <x:v>26</x:v>
      </x:c>
      <x:c r="X130" s="19" t="n">
        <x:f>COUNTIFS(养成消耗调参!$O$148:$O$197,"&lt;="&amp;J130/($BB$4*$BB$21))</x:f>
        <x:v>22</x:v>
      </x:c>
      <x:c r="Y130" s="19" t="n">
        <x:f>COUNTIFS(养成消耗调参!$P$148:$P$197,"&lt;="&amp;P130)</x:f>
        <x:v>29</x:v>
      </x:c>
      <x:c r="Z130" s="19" t="n">
        <x:f>COUNTIFS(养成消耗调参!$P$148:$P$197,"&lt;="&amp;Q130)</x:f>
        <x:v>14</x:v>
      </x:c>
      <x:c r="AA130" s="19" t="n">
        <x:f>COUNTIFS(养成消耗调参!$P$148:$P$197,"&lt;="&amp;R130)</x:f>
        <x:v>9</x:v>
      </x:c>
      <x:c r="AB130" s="19">
        <x:f t="shared" si="26"/>
        <x:v>22</x:v>
      </x:c>
      <x:c r="AC130" s="19">
        <x:f t="shared" si="27"/>
        <x:v>14</x:v>
      </x:c>
      <x:c r="AD130" s="19">
        <x:f t="shared" si="28"/>
        <x:v>9</x:v>
      </x:c>
      <x:c r="AE130" s="27" t="n">
        <x:f>IF(INDEX(养成消耗调参!$J$148:$J$197,D130)=0,"起步奖励",G130/($BB$4*INDEX(养成消耗调参!$J$148:$J$197,D130)))</x:f>
        <x:v>0.5671174299011537</x:v>
      </x:c>
      <x:c r="AF130" s="27" t="n">
        <x:f>IF(INDEX(养成消耗调参!$M$148:$M$197,D130)=0,"起步奖励",J130/($BB$4*$BB$21*INDEX(养成消耗调参!$M$148:$M$197,D130)))</x:f>
        <x:v>1.0920288777452316</x:v>
      </x:c>
      <x:c r="AG130" s="25" t="n">
        <x:f>J130-INDEX(养成消耗调参!$M$148:$M$197,AB130)*$BB$4*$BB$21</x:f>
        <x:v>97874.33017466895</x:v>
      </x:c>
      <x:c r="AH130" s="27" t="n">
        <x:f>IF(INDEX(养成消耗调参!$P$148:$P$197,D130)=0,"无需突破",P130/INDEX(养成消耗调参!$P$148:$P$197,D130))</x:f>
        <x:v>0.8786844320510824</x:v>
      </x:c>
      <x:c r="AI130" s="25" t="n">
        <x:f>MAX(INDEX(养成消耗调参!$J$148:$J$197,D130)*$BB$4-G130,0)</x:f>
        <x:v>4145.283491266552</x:v>
      </x:c>
    </x:row>
    <x:row r="131" ht="23.100000381469727" customHeight="1">
      <x:c r="A131" s="19" t="n">
        <x:f t="shared" ref="A131:A153" si="30">A71</x:f>
        <x:v>33</x:v>
      </x:c>
      <x:c r="B131" s="19">
        <x:f t="shared" si="29"/>
        <x:v>1030130</x:v>
      </x:c>
      <x:c r="C131" s="19" t="str">
        <x:f t="shared" si="29"/>
        <x:v>3-加演2</x:v>
      </x:c>
      <x:c r="D131" s="19" t="n">
        <x:f>关卡数值!I45</x:f>
        <x:v>30</x:v>
      </x:c>
      <x:c r="E131" s="19" t="n">
        <x:f>关卡数值!J45</x:f>
        <x:v>23</x:v>
      </x:c>
      <x:c r="F131" s="19" t="n">
        <x:f>关卡数值!K45</x:f>
        <x:v>16</x:v>
      </x:c>
      <x:c r="G131" s="26" t="n">
        <x:f>SUM(G$39:G71)+IF(ISNUMBER($BB$22),M131/$BB$11*$BB$22,0)</x:f>
        <x:v>5687.385169082786</x:v>
      </x:c>
      <x:c r="H131" s="26" t="n">
        <x:f>SUM(H$39:H71)+IF(ISNUMBER($BB$23),M131/$BB$11*$BB$23,0)</x:f>
        <x:v>5687.385169082786</x:v>
      </x:c>
      <x:c r="I131" s="26" t="n">
        <x:f>SUM(I$39:I71)+IF(ISNUMBER($BB$24),M131/$BB$11*$BB$24,0)</x:f>
        <x:v>5687.385169082786</x:v>
      </x:c>
      <x:c r="J131" s="26" t="n">
        <x:f>SUM(J$39:J71)+IF(ISNUMBER($BB$25),M131/$BB$11*$BB$25,0)</x:f>
        <x:v>187747.7033816557</x:v>
      </x:c>
      <x:c r="K131" s="26" t="n">
        <x:f>SUM(O$39:O71)</x:f>
        <x:v>90</x:v>
      </x:c>
      <x:c r="L131" s="26" t="n">
        <x:f>SUM(P$39:P71)</x:f>
        <x:v>5100</x:v>
      </x:c>
      <x:c r="M131" s="26" t="n">
        <x:f t="shared" ref="M131:M153" si="31">ROUNDDOWN((K131+L131/$BB$10)/$BB$11,0)*$BB$11</x:f>
        <x:v>260</x:v>
      </x:c>
      <x:c r="N131" s="26" t="n">
        <x:f t="shared" ref="N131:N153" si="32">MAX(K131-M131,0)</x:f>
        <x:v>0</x:v>
      </x:c>
      <x:c r="O131" s="26" t="n">
        <x:f t="shared" ref="O131:O153" si="33">L131-MAX(M131-K131,0)*$BB$10</x:f>
        <x:v>0</x:v>
      </x:c>
      <x:c r="P131" s="26" t="n">
        <x:f t="shared" ref="P131:P153" si="34">M131/$BB$11*$BB$12/$BB$15</x:f>
        <x:v>328.97945135992524</x:v>
      </x:c>
      <x:c r="Q131" s="26" t="n">
        <x:f t="shared" ref="Q131:Q153" si="35">M131/$BB$11*$BB$13/$BB$16</x:f>
        <x:v>64.97000138081698</x:v>
      </x:c>
      <x:c r="R131" s="26" t="n">
        <x:f t="shared" ref="R131:R153" si="36">M131/$BB$11*$BB$14/$BB$17</x:f>
        <x:v>17.67537771619984</x:v>
      </x:c>
      <x:c r="S131" s="19" t="n">
        <x:f>COUNTIFS(养成消耗调参!$J$148:$J$197,"&lt;="&amp;MIN(G131:I131)/$BB$4)</x:f>
        <x:v>23</x:v>
      </x:c>
      <x:c r="T131" s="19" t="n">
        <x:f>COUNTIFS(养成消耗调参!$K$148:$K$197,"&lt;="&amp;MIN(G131:I131)/$BB$4)</x:f>
        <x:v>19</x:v>
      </x:c>
      <x:c r="U131" s="19" t="n">
        <x:f>COUNTIFS(养成消耗调参!$L$148:$L$197,"&lt;="&amp;MIN(G131:I131)/$BB$4)</x:f>
        <x:v>17</x:v>
      </x:c>
      <x:c r="V131" s="19" t="n">
        <x:f>COUNTIFS(养成消耗调参!$M$148:$M$197,"&lt;="&amp;J131/($BB$4*$BB$21))</x:f>
        <x:v>31</x:v>
      </x:c>
      <x:c r="W131" s="19" t="n">
        <x:f>COUNTIFS(养成消耗调参!$N$148:$N$197,"&lt;="&amp;J131/($BB$4*$BB$21))</x:f>
        <x:v>26</x:v>
      </x:c>
      <x:c r="X131" s="19" t="n">
        <x:f>COUNTIFS(养成消耗调参!$O$148:$O$197,"&lt;="&amp;J131/($BB$4*$BB$21))</x:f>
        <x:v>23</x:v>
      </x:c>
      <x:c r="Y131" s="19" t="n">
        <x:f>COUNTIFS(养成消耗调参!$P$148:$P$197,"&lt;="&amp;P131)</x:f>
        <x:v>29</x:v>
      </x:c>
      <x:c r="Z131" s="19" t="n">
        <x:f>COUNTIFS(养成消耗调参!$P$148:$P$197,"&lt;="&amp;Q131)</x:f>
        <x:v>14</x:v>
      </x:c>
      <x:c r="AA131" s="19" t="n">
        <x:f>COUNTIFS(养成消耗调参!$P$148:$P$197,"&lt;="&amp;R131)</x:f>
        <x:v>9</x:v>
      </x:c>
      <x:c r="AB131" s="19" t="n">
        <x:f t="shared" ref="AB131:AB153" si="37">MIN(S131,V131,Y131)</x:f>
        <x:v>23</x:v>
      </x:c>
      <x:c r="AC131" s="19" t="n">
        <x:f t="shared" ref="AC131:AC153" si="38">MIN(T131,W131,Z131)</x:f>
        <x:v>14</x:v>
      </x:c>
      <x:c r="AD131" s="19" t="n">
        <x:f t="shared" ref="AD131:AD153" si="39">MIN(U131,X131,AA131)</x:f>
        <x:v>9</x:v>
      </x:c>
      <x:c r="AE131" s="27" t="n">
        <x:f>IF(INDEX(养成消耗调参!$J$148:$J$197,D131)=0,"起步奖励",G131/($BB$4*INDEX(养成消耗调参!$J$148:$J$197,D131)))</x:f>
        <x:v>0.5939207570053034</x:v>
      </x:c>
      <x:c r="AF131" s="27" t="n">
        <x:f>IF(INDEX(养成消耗调参!$M$148:$M$197,D131)=0,"起步奖励",J131/($BB$4*$BB$21*INDEX(养成消耗调参!$M$148:$M$197,D131)))</x:f>
        <x:v>1.1462008753458834</x:v>
      </x:c>
      <x:c r="AG131" s="25" t="n">
        <x:f>J131-INDEX(养成消耗调参!$M$148:$M$197,AB131)*$BB$4*$BB$21</x:f>
        <x:v>97747.70338165571</x:v>
      </x:c>
      <x:c r="AH131" s="27" t="n">
        <x:f>IF(INDEX(养成消耗调参!$P$148:$P$197,D131)=0,"无需突破",P131/INDEX(养成消耗调参!$P$148:$P$197,D131))</x:f>
        <x:v>0.9138318093331257</x:v>
      </x:c>
      <x:c r="AI131" s="25" t="n">
        <x:f>MAX(INDEX(养成消耗调参!$J$148:$J$197,D131)*$BB$4-G131,0)</x:f>
        <x:v>3888.614830917214</x:v>
      </x:c>
    </x:row>
    <x:row r="132" ht="23.100000381469727" customHeight="1">
      <x:c r="A132" s="19">
        <x:f t="shared" si="30"/>
        <x:v>34</x:v>
      </x:c>
      <x:c r="B132" s="19">
        <x:f t="shared" si="29"/>
        <x:v>1030140</x:v>
      </x:c>
      <x:c r="C132" s="19" t="str">
        <x:f t="shared" si="29"/>
        <x:v>3-加演3</x:v>
      </x:c>
      <x:c r="D132" s="19" t="n">
        <x:f>关卡数值!I46</x:f>
        <x:v>30</x:v>
      </x:c>
      <x:c r="E132" s="19" t="n">
        <x:f>关卡数值!J46</x:f>
        <x:v>23</x:v>
      </x:c>
      <x:c r="F132" s="19" t="n">
        <x:f>关卡数值!K46</x:f>
        <x:v>16</x:v>
      </x:c>
      <x:c r="G132" s="26" t="n">
        <x:f>SUM(G$39:G72)+IF(ISNUMBER($BB$22),M132/$BB$11*$BB$22,0)</x:f>
        <x:v>5931.385169082786</x:v>
      </x:c>
      <x:c r="H132" s="26" t="n">
        <x:f>SUM(H$39:H72)+IF(ISNUMBER($BB$23),M132/$BB$11*$BB$23,0)</x:f>
        <x:v>5931.385169082786</x:v>
      </x:c>
      <x:c r="I132" s="26" t="n">
        <x:f>SUM(I$39:I72)+IF(ISNUMBER($BB$24),M132/$BB$11*$BB$24,0)</x:f>
        <x:v>5931.385169082786</x:v>
      </x:c>
      <x:c r="J132" s="26" t="n">
        <x:f>SUM(J$39:J72)+IF(ISNUMBER($BB$25),M132/$BB$11*$BB$25,0)</x:f>
        <x:v>196427.7033816557</x:v>
      </x:c>
      <x:c r="K132" s="26" t="n">
        <x:f>SUM(O$39:O72)</x:f>
        <x:v>90</x:v>
      </x:c>
      <x:c r="L132" s="26" t="n">
        <x:f>SUM(P$39:P72)</x:f>
        <x:v>5300</x:v>
      </x:c>
      <x:c r="M132" s="26">
        <x:f t="shared" si="31"/>
        <x:v>260</x:v>
      </x:c>
      <x:c r="N132" s="26">
        <x:f t="shared" si="32"/>
        <x:v>0</x:v>
      </x:c>
      <x:c r="O132" s="26">
        <x:f t="shared" si="33"/>
        <x:v>200</x:v>
      </x:c>
      <x:c r="P132" s="26">
        <x:f t="shared" si="34"/>
        <x:v>328.97945135992524</x:v>
      </x:c>
      <x:c r="Q132" s="26">
        <x:f t="shared" si="35"/>
        <x:v>64.970001380816981</x:v>
      </x:c>
      <x:c r="R132" s="26">
        <x:f t="shared" si="36"/>
        <x:v>17.67537771619984</x:v>
      </x:c>
      <x:c r="S132" s="19" t="n">
        <x:f>COUNTIFS(养成消耗调参!$J$148:$J$197,"&lt;="&amp;MIN(G132:I132)/$BB$4)</x:f>
        <x:v>23</x:v>
      </x:c>
      <x:c r="T132" s="19" t="n">
        <x:f>COUNTIFS(养成消耗调参!$K$148:$K$197,"&lt;="&amp;MIN(G132:I132)/$BB$4)</x:f>
        <x:v>20</x:v>
      </x:c>
      <x:c r="U132" s="19" t="n">
        <x:f>COUNTIFS(养成消耗调参!$L$148:$L$197,"&lt;="&amp;MIN(G132:I132)/$BB$4)</x:f>
        <x:v>17</x:v>
      </x:c>
      <x:c r="V132" s="19" t="n">
        <x:f>COUNTIFS(养成消耗调参!$M$148:$M$197,"&lt;="&amp;J132/($BB$4*$BB$21))</x:f>
        <x:v>32</x:v>
      </x:c>
      <x:c r="W132" s="19" t="n">
        <x:f>COUNTIFS(养成消耗调参!$N$148:$N$197,"&lt;="&amp;J132/($BB$4*$BB$21))</x:f>
        <x:v>27</x:v>
      </x:c>
      <x:c r="X132" s="19" t="n">
        <x:f>COUNTIFS(养成消耗调参!$O$148:$O$197,"&lt;="&amp;J132/($BB$4*$BB$21))</x:f>
        <x:v>23</x:v>
      </x:c>
      <x:c r="Y132" s="19" t="n">
        <x:f>COUNTIFS(养成消耗调参!$P$148:$P$197,"&lt;="&amp;P132)</x:f>
        <x:v>29</x:v>
      </x:c>
      <x:c r="Z132" s="19" t="n">
        <x:f>COUNTIFS(养成消耗调参!$P$148:$P$197,"&lt;="&amp;Q132)</x:f>
        <x:v>14</x:v>
      </x:c>
      <x:c r="AA132" s="19" t="n">
        <x:f>COUNTIFS(养成消耗调参!$P$148:$P$197,"&lt;="&amp;R132)</x:f>
        <x:v>9</x:v>
      </x:c>
      <x:c r="AB132" s="19">
        <x:f t="shared" si="37"/>
        <x:v>23</x:v>
      </x:c>
      <x:c r="AC132" s="19">
        <x:f t="shared" si="38"/>
        <x:v>14</x:v>
      </x:c>
      <x:c r="AD132" s="19">
        <x:f t="shared" si="39"/>
        <x:v>9</x:v>
      </x:c>
      <x:c r="AE132" s="27" t="n">
        <x:f>IF(INDEX(养成消耗调参!$J$148:$J$197,D132)=0,"起步奖励",G132/($BB$4*INDEX(养成消耗调参!$J$148:$J$197,D132)))</x:f>
        <x:v>0.6194011245909342</x:v>
      </x:c>
      <x:c r="AF132" s="27" t="n">
        <x:f>IF(INDEX(养成消耗调参!$M$148:$M$197,D132)=0,"起步奖励",J132/($BB$4*$BB$21*INDEX(养成消耗调参!$M$148:$M$197,D132)))</x:f>
        <x:v>1.1991923283373365</x:v>
      </x:c>
      <x:c r="AG132" s="25" t="n">
        <x:f>J132-INDEX(养成消耗调参!$M$148:$M$197,AB132)*$BB$4*$BB$21</x:f>
        <x:v>106427.70338165571</x:v>
      </x:c>
      <x:c r="AH132" s="27" t="n">
        <x:f>IF(INDEX(养成消耗调参!$P$148:$P$197,D132)=0,"无需突破",P132/INDEX(养成消耗调参!$P$148:$P$197,D132))</x:f>
        <x:v>0.9138318093331257</x:v>
      </x:c>
      <x:c r="AI132" s="25" t="n">
        <x:f>MAX(INDEX(养成消耗调参!$J$148:$J$197,D132)*$BB$4-G132,0)</x:f>
        <x:v>3644.614830917214</x:v>
      </x:c>
    </x:row>
    <x:row r="133" ht="23.100000381469727" customHeight="1">
      <x:c r="A133" s="19">
        <x:f t="shared" si="30"/>
        <x:v>35</x:v>
      </x:c>
      <x:c r="B133" s="19">
        <x:f t="shared" si="29"/>
        <x:v>1030150</x:v>
      </x:c>
      <x:c r="C133" s="19" t="str">
        <x:f t="shared" si="29"/>
        <x:v>3-隐藏关</x:v>
      </x:c>
      <x:c r="D133" s="19" t="n">
        <x:f>关卡数值!I47</x:f>
        <x:v>25</x:v>
      </x:c>
      <x:c r="E133" s="19" t="n">
        <x:f>关卡数值!J47</x:f>
        <x:v>18</x:v>
      </x:c>
      <x:c r="F133" s="19" t="n">
        <x:f>关卡数值!K47</x:f>
        <x:v>12</x:v>
      </x:c>
      <x:c r="G133" s="26" t="n">
        <x:f>SUM(G$39:G73)+IF(ISNUMBER($BB$22),M133/$BB$11*$BB$22,0)</x:f>
        <x:v>6196.053829432123</x:v>
      </x:c>
      <x:c r="H133" s="26" t="n">
        <x:f>SUM(H$39:H73)+IF(ISNUMBER($BB$23),M133/$BB$11*$BB$23,0)</x:f>
        <x:v>6196.053829432123</x:v>
      </x:c>
      <x:c r="I133" s="26" t="n">
        <x:f>SUM(I$39:I73)+IF(ISNUMBER($BB$24),M133/$BB$11*$BB$24,0)</x:f>
        <x:v>6196.053829432123</x:v>
      </x:c>
      <x:c r="J133" s="26" t="n">
        <x:f>SUM(J$39:J73)+IF(ISNUMBER($BB$25),M133/$BB$11*$BB$25,0)</x:f>
        <x:v>205561.07658864246</x:v>
      </x:c>
      <x:c r="K133" s="26" t="n">
        <x:f>SUM(O$39:O73)</x:f>
        <x:v>90</x:v>
      </x:c>
      <x:c r="L133" s="26" t="n">
        <x:f>SUM(P$39:P73)</x:f>
        <x:v>5500</x:v>
      </x:c>
      <x:c r="M133" s="26">
        <x:f t="shared" si="31"/>
        <x:v>270</x:v>
      </x:c>
      <x:c r="N133" s="26">
        <x:f t="shared" si="32"/>
        <x:v>0</x:v>
      </x:c>
      <x:c r="O133" s="26">
        <x:f t="shared" si="33"/>
        <x:v>100</x:v>
      </x:c>
      <x:c r="P133" s="26">
        <x:f t="shared" si="34"/>
        <x:v>341.63250718146082</x:v>
      </x:c>
      <x:c r="Q133" s="26">
        <x:f t="shared" si="35"/>
        <x:v>67.468847587771478</x:v>
      </x:c>
      <x:c r="R133" s="26">
        <x:f t="shared" si="36"/>
        <x:v>18.35519993605368</x:v>
      </x:c>
      <x:c r="S133" s="19" t="n">
        <x:f>COUNTIFS(养成消耗调参!$J$148:$J$197,"&lt;="&amp;MIN(G133:I133)/$BB$4)</x:f>
        <x:v>24</x:v>
      </x:c>
      <x:c r="T133" s="19" t="n">
        <x:f>COUNTIFS(养成消耗调参!$K$148:$K$197,"&lt;="&amp;MIN(G133:I133)/$BB$4)</x:f>
        <x:v>20</x:v>
      </x:c>
      <x:c r="U133" s="19" t="n">
        <x:f>COUNTIFS(养成消耗调参!$L$148:$L$197,"&lt;="&amp;MIN(G133:I133)/$BB$4)</x:f>
        <x:v>17</x:v>
      </x:c>
      <x:c r="V133" s="19" t="n">
        <x:f>COUNTIFS(养成消耗调参!$M$148:$M$197,"&lt;="&amp;J133/($BB$4*$BB$21))</x:f>
        <x:v>33</x:v>
      </x:c>
      <x:c r="W133" s="19" t="n">
        <x:f>COUNTIFS(养成消耗调参!$N$148:$N$197,"&lt;="&amp;J133/($BB$4*$BB$21))</x:f>
        <x:v>27</x:v>
      </x:c>
      <x:c r="X133" s="19" t="n">
        <x:f>COUNTIFS(养成消耗调参!$O$148:$O$197,"&lt;="&amp;J133/($BB$4*$BB$21))</x:f>
        <x:v>24</x:v>
      </x:c>
      <x:c r="Y133" s="19" t="n">
        <x:f>COUNTIFS(养成消耗调参!$P$148:$P$197,"&lt;="&amp;P133)</x:f>
        <x:v>29</x:v>
      </x:c>
      <x:c r="Z133" s="19" t="n">
        <x:f>COUNTIFS(养成消耗调参!$P$148:$P$197,"&lt;="&amp;Q133)</x:f>
        <x:v>14</x:v>
      </x:c>
      <x:c r="AA133" s="19" t="n">
        <x:f>COUNTIFS(养成消耗调参!$P$148:$P$197,"&lt;="&amp;R133)</x:f>
        <x:v>9</x:v>
      </x:c>
      <x:c r="AB133" s="19">
        <x:f t="shared" si="37"/>
        <x:v>24</x:v>
      </x:c>
      <x:c r="AC133" s="19">
        <x:f t="shared" si="38"/>
        <x:v>14</x:v>
      </x:c>
      <x:c r="AD133" s="19">
        <x:f t="shared" si="39"/>
        <x:v>9</x:v>
      </x:c>
      <x:c r="AE133" s="27" t="n">
        <x:f>IF(INDEX(养成消耗调参!$J$148:$J$197,D133)=0,"起步奖励",G133/($BB$4*INDEX(养成消耗调参!$J$148:$J$197,D133)))</x:f>
        <x:v>0.952652802803217</x:v>
      </x:c>
      <x:c r="AF133" s="27" t="n">
        <x:f>IF(INDEX(养成消耗调参!$M$148:$M$197,D133)=0,"起步奖励",J133/($BB$4*$BB$21*INDEX(养成消耗调参!$M$148:$M$197,D133)))</x:f>
        <x:v>1.9033433017466894</x:v>
      </x:c>
      <x:c r="AG133" s="25" t="n">
        <x:f>J133-INDEX(养成消耗调参!$M$148:$M$197,AB133)*$BB$4*$BB$21</x:f>
        <x:v>106561.07658864246</x:v>
      </x:c>
      <x:c r="AH133" s="27" t="n">
        <x:f>IF(INDEX(养成消耗调参!$P$148:$P$197,D133)=0,"无需突破",P133/INDEX(养成消耗调参!$P$148:$P$197,D133))</x:f>
        <x:v>1.3665300287258433</x:v>
      </x:c>
      <x:c r="AI133" s="25" t="n">
        <x:f>MAX(INDEX(养成消耗调参!$J$148:$J$197,D133)*$BB$4-G133,0)</x:f>
        <x:v>307.94617056787683</x:v>
      </x:c>
    </x:row>
    <x:row r="134" ht="23.100000381469727" customHeight="1">
      <x:c r="A134" s="19">
        <x:f t="shared" si="30"/>
        <x:v>36</x:v>
      </x:c>
      <x:c r="B134" s="19">
        <x:f t="shared" si="29"/>
        <x:v>1040010</x:v>
      </x:c>
      <x:c r="C134" s="19" t="str">
        <x:f t="shared" si="29"/>
        <x:v>4-1</x:v>
      </x:c>
      <x:c r="D134" s="19" t="n">
        <x:f>关卡数值!I48</x:f>
        <x:v>31</x:v>
      </x:c>
      <x:c r="E134" s="19" t="n">
        <x:f>关卡数值!J48</x:f>
        <x:v>24</x:v>
      </x:c>
      <x:c r="F134" s="19" t="n">
        <x:f>关卡数值!K48</x:f>
        <x:v>16</x:v>
      </x:c>
      <x:c r="G134" s="26" t="n">
        <x:f>SUM(G$39:G74)+IF(ISNUMBER($BB$22),M134/$BB$11*$BB$22,0)</x:f>
        <x:v>6519.391150130799</x:v>
      </x:c>
      <x:c r="H134" s="26" t="n">
        <x:f>SUM(H$39:H74)+IF(ISNUMBER($BB$23),M134/$BB$11*$BB$23,0)</x:f>
        <x:v>6519.391150130799</x:v>
      </x:c>
      <x:c r="I134" s="26" t="n">
        <x:f>SUM(I$39:I74)+IF(ISNUMBER($BB$24),M134/$BB$11*$BB$24,0)</x:f>
        <x:v>6519.391150130799</x:v>
      </x:c>
      <x:c r="J134" s="26" t="n">
        <x:f>SUM(J$39:J74)+IF(ISNUMBER($BB$25),M134/$BB$11*$BB$25,0)</x:f>
        <x:v>217377.823002616</x:v>
      </x:c>
      <x:c r="K134" s="26" t="n">
        <x:f>SUM(O$39:O74)</x:f>
        <x:v>100</x:v>
      </x:c>
      <x:c r="L134" s="26" t="n">
        <x:f>SUM(P$39:P74)</x:f>
        <x:v>5700</x:v>
      </x:c>
      <x:c r="M134" s="26">
        <x:f t="shared" si="31"/>
        <x:v>290</x:v>
      </x:c>
      <x:c r="N134" s="26">
        <x:f t="shared" si="32"/>
        <x:v>0</x:v>
      </x:c>
      <x:c r="O134" s="26">
        <x:f t="shared" si="33"/>
        <x:v>0</x:v>
      </x:c>
      <x:c r="P134" s="26">
        <x:f t="shared" si="34"/>
        <x:v>366.93861882453194</x:v>
      </x:c>
      <x:c r="Q134" s="26">
        <x:f t="shared" si="35"/>
        <x:v>72.466540001680471</x:v>
      </x:c>
      <x:c r="R134" s="26">
        <x:f t="shared" si="36"/>
        <x:v>19.714844375761363</x:v>
      </x:c>
      <x:c r="S134" s="19" t="n">
        <x:f>COUNTIFS(养成消耗调参!$J$148:$J$197,"&lt;="&amp;MIN(G134:I134)/$BB$4)</x:f>
        <x:v>25</x:v>
      </x:c>
      <x:c r="T134" s="19" t="n">
        <x:f>COUNTIFS(养成消耗调参!$K$148:$K$197,"&lt;="&amp;MIN(G134:I134)/$BB$4)</x:f>
        <x:v>20</x:v>
      </x:c>
      <x:c r="U134" s="19" t="n">
        <x:f>COUNTIFS(养成消耗调参!$L$148:$L$197,"&lt;="&amp;MIN(G134:I134)/$BB$4)</x:f>
        <x:v>18</x:v>
      </x:c>
      <x:c r="V134" s="19" t="n">
        <x:f>COUNTIFS(养成消耗调参!$M$148:$M$197,"&lt;="&amp;J134/($BB$4*$BB$21))</x:f>
        <x:v>33</x:v>
      </x:c>
      <x:c r="W134" s="19" t="n">
        <x:f>COUNTIFS(养成消耗调参!$N$148:$N$197,"&lt;="&amp;J134/($BB$4*$BB$21))</x:f>
        <x:v>28</x:v>
      </x:c>
      <x:c r="X134" s="19" t="n">
        <x:f>COUNTIFS(养成消耗调参!$O$148:$O$197,"&lt;="&amp;J134/($BB$4*$BB$21))</x:f>
        <x:v>25</x:v>
      </x:c>
      <x:c r="Y134" s="19" t="n">
        <x:f>COUNTIFS(养成消耗调参!$P$148:$P$197,"&lt;="&amp;P134)</x:f>
        <x:v>34</x:v>
      </x:c>
      <x:c r="Z134" s="19" t="n">
        <x:f>COUNTIFS(养成消耗调参!$P$148:$P$197,"&lt;="&amp;Q134)</x:f>
        <x:v>14</x:v>
      </x:c>
      <x:c r="AA134" s="19" t="n">
        <x:f>COUNTIFS(养成消耗调参!$P$148:$P$197,"&lt;="&amp;R134)</x:f>
        <x:v>9</x:v>
      </x:c>
      <x:c r="AB134" s="19">
        <x:f t="shared" si="37"/>
        <x:v>25</x:v>
      </x:c>
      <x:c r="AC134" s="19">
        <x:f t="shared" si="38"/>
        <x:v>14</x:v>
      </x:c>
      <x:c r="AD134" s="19">
        <x:f t="shared" si="39"/>
        <x:v>9</x:v>
      </x:c>
      <x:c r="AE134" s="27" t="n">
        <x:f>IF(INDEX(养成消耗调参!$J$148:$J$197,D134)=0,"起步奖励",G134/($BB$4*INDEX(养成消耗调参!$J$148:$J$197,D134)))</x:f>
        <x:v>0.6361622902157298</x:v>
      </x:c>
      <x:c r="AF134" s="27" t="n">
        <x:f>IF(INDEX(养成消耗调参!$M$148:$M$197,D134)=0,"起步奖励",J134/($BB$4*$BB$21*INDEX(养成消耗调参!$M$148:$M$197,D134)))</x:f>
        <x:v>1.2386200740889801</x:v>
      </x:c>
      <x:c r="AG134" s="25" t="n">
        <x:f>J134-INDEX(养成消耗调参!$M$148:$M$197,AB134)*$BB$4*$BB$21</x:f>
        <x:v>109377.823002616</x:v>
      </x:c>
      <x:c r="AH134" s="27" t="n">
        <x:f>IF(INDEX(养成消耗调参!$P$148:$P$197,D134)=0,"无需突破",P134/INDEX(养成消耗调参!$P$148:$P$197,D134))</x:f>
        <x:v>1.0192739411792553</x:v>
      </x:c>
      <x:c r="AI134" s="25" t="n">
        <x:f>MAX(INDEX(养成消耗调参!$J$148:$J$197,D134)*$BB$4-G134,0)</x:f>
        <x:v>3728.6088498692006</x:v>
      </x:c>
    </x:row>
    <x:row r="135" ht="23.100000381469727" customHeight="1">
      <x:c r="A135" s="19">
        <x:f t="shared" si="30"/>
        <x:v>37</x:v>
      </x:c>
      <x:c r="B135" s="19">
        <x:f t="shared" si="29"/>
        <x:v>1040020</x:v>
      </x:c>
      <x:c r="C135" s="19" t="str">
        <x:f t="shared" si="29"/>
        <x:v>4-2</x:v>
      </x:c>
      <x:c r="D135" s="19" t="n">
        <x:f>关卡数值!I49</x:f>
        <x:v>31</x:v>
      </x:c>
      <x:c r="E135" s="19" t="n">
        <x:f>关卡数值!J49</x:f>
        <x:v>24</x:v>
      </x:c>
      <x:c r="F135" s="19" t="n">
        <x:f>关卡数值!K49</x:f>
        <x:v>16</x:v>
      </x:c>
      <x:c r="G135" s="26" t="n">
        <x:f>SUM(G$39:G75)+IF(ISNUMBER($BB$22),M135/$BB$11*$BB$22,0)</x:f>
        <x:v>6813.391150130799</x:v>
      </x:c>
      <x:c r="H135" s="26" t="n">
        <x:f>SUM(H$39:H75)+IF(ISNUMBER($BB$23),M135/$BB$11*$BB$23,0)</x:f>
        <x:v>6813.391150130799</x:v>
      </x:c>
      <x:c r="I135" s="26" t="n">
        <x:f>SUM(I$39:I75)+IF(ISNUMBER($BB$24),M135/$BB$11*$BB$24,0)</x:f>
        <x:v>6813.391150130799</x:v>
      </x:c>
      <x:c r="J135" s="26" t="n">
        <x:f>SUM(J$39:J75)+IF(ISNUMBER($BB$25),M135/$BB$11*$BB$25,0)</x:f>
        <x:v>228677.823002616</x:v>
      </x:c>
      <x:c r="K135" s="26" t="n">
        <x:f>SUM(O$39:O75)</x:f>
        <x:v>100</x:v>
      </x:c>
      <x:c r="L135" s="26" t="n">
        <x:f>SUM(P$39:P75)</x:f>
        <x:v>5900</x:v>
      </x:c>
      <x:c r="M135" s="26">
        <x:f t="shared" si="31"/>
        <x:v>290</x:v>
      </x:c>
      <x:c r="N135" s="26">
        <x:f t="shared" si="32"/>
        <x:v>0</x:v>
      </x:c>
      <x:c r="O135" s="26">
        <x:f t="shared" si="33"/>
        <x:v>200</x:v>
      </x:c>
      <x:c r="P135" s="26">
        <x:f t="shared" si="34"/>
        <x:v>366.93861882453194</x:v>
      </x:c>
      <x:c r="Q135" s="26">
        <x:f t="shared" si="35"/>
        <x:v>72.466540001680471</x:v>
      </x:c>
      <x:c r="R135" s="26">
        <x:f t="shared" si="36"/>
        <x:v>19.714844375761363</x:v>
      </x:c>
      <x:c r="S135" s="19" t="n">
        <x:f>COUNTIFS(养成消耗调参!$J$148:$J$197,"&lt;="&amp;MIN(G135:I135)/$BB$4)</x:f>
        <x:v>25</x:v>
      </x:c>
      <x:c r="T135" s="19" t="n">
        <x:f>COUNTIFS(养成消耗调参!$K$148:$K$197,"&lt;="&amp;MIN(G135:I135)/$BB$4)</x:f>
        <x:v>21</x:v>
      </x:c>
      <x:c r="U135" s="19" t="n">
        <x:f>COUNTIFS(养成消耗调参!$L$148:$L$197,"&lt;="&amp;MIN(G135:I135)/$BB$4)</x:f>
        <x:v>18</x:v>
      </x:c>
      <x:c r="V135" s="19" t="n">
        <x:f>COUNTIFS(养成消耗调参!$M$148:$M$197,"&lt;="&amp;J135/($BB$4*$BB$21))</x:f>
        <x:v>34</x:v>
      </x:c>
      <x:c r="W135" s="19" t="n">
        <x:f>COUNTIFS(养成消耗调参!$N$148:$N$197,"&lt;="&amp;J135/($BB$4*$BB$21))</x:f>
        <x:v>29</x:v>
      </x:c>
      <x:c r="X135" s="19" t="n">
        <x:f>COUNTIFS(养成消耗调参!$O$148:$O$197,"&lt;="&amp;J135/($BB$4*$BB$21))</x:f>
        <x:v>25</x:v>
      </x:c>
      <x:c r="Y135" s="19" t="n">
        <x:f>COUNTIFS(养成消耗调参!$P$148:$P$197,"&lt;="&amp;P135)</x:f>
        <x:v>34</x:v>
      </x:c>
      <x:c r="Z135" s="19" t="n">
        <x:f>COUNTIFS(养成消耗调参!$P$148:$P$197,"&lt;="&amp;Q135)</x:f>
        <x:v>14</x:v>
      </x:c>
      <x:c r="AA135" s="19" t="n">
        <x:f>COUNTIFS(养成消耗调参!$P$148:$P$197,"&lt;="&amp;R135)</x:f>
        <x:v>9</x:v>
      </x:c>
      <x:c r="AB135" s="19">
        <x:f t="shared" si="37"/>
        <x:v>25</x:v>
      </x:c>
      <x:c r="AC135" s="19">
        <x:f t="shared" si="38"/>
        <x:v>14</x:v>
      </x:c>
      <x:c r="AD135" s="19">
        <x:f t="shared" si="39"/>
        <x:v>9</x:v>
      </x:c>
      <x:c r="AE135" s="27" t="n">
        <x:f>IF(INDEX(养成消耗调参!$J$148:$J$197,D135)=0,"起步奖励",G135/($BB$4*INDEX(养成消耗调参!$J$148:$J$197,D135)))</x:f>
        <x:v>0.6648508148058938</x:v>
      </x:c>
      <x:c r="AF135" s="27" t="n">
        <x:f>IF(INDEX(养成消耗调参!$M$148:$M$197,D135)=0,"起步奖励",J135/($BB$4*$BB$21*INDEX(养成消耗调参!$M$148:$M$197,D135)))</x:f>
        <x:v>1.3030075384764443</x:v>
      </x:c>
      <x:c r="AG135" s="25" t="n">
        <x:f>J135-INDEX(养成消耗调参!$M$148:$M$197,AB135)*$BB$4*$BB$21</x:f>
        <x:v>120677.823002616</x:v>
      </x:c>
      <x:c r="AH135" s="27" t="n">
        <x:f>IF(INDEX(养成消耗调参!$P$148:$P$197,D135)=0,"无需突破",P135/INDEX(养成消耗调参!$P$148:$P$197,D135))</x:f>
        <x:v>1.0192739411792553</x:v>
      </x:c>
      <x:c r="AI135" s="25" t="n">
        <x:f>MAX(INDEX(养成消耗调参!$J$148:$J$197,D135)*$BB$4-G135,0)</x:f>
        <x:v>3434.6088498692006</x:v>
      </x:c>
    </x:row>
    <x:row r="136" ht="23.100000381469727" customHeight="1">
      <x:c r="A136" s="19">
        <x:f t="shared" si="30"/>
        <x:v>38</x:v>
      </x:c>
      <x:c r="B136" s="19">
        <x:f t="shared" si="29"/>
        <x:v>1040030</x:v>
      </x:c>
      <x:c r="C136" s="19" t="str">
        <x:f t="shared" si="29"/>
        <x:v>4-3</x:v>
      </x:c>
      <x:c r="D136" s="19" t="n">
        <x:f>关卡数值!I50</x:f>
        <x:v>31</x:v>
      </x:c>
      <x:c r="E136" s="19" t="n">
        <x:f>关卡数值!J50</x:f>
        <x:v>24</x:v>
      </x:c>
      <x:c r="F136" s="19" t="n">
        <x:f>关卡数值!K50</x:f>
        <x:v>16</x:v>
      </x:c>
      <x:c r="G136" s="26" t="n">
        <x:f>SUM(G$39:G76)+IF(ISNUMBER($BB$22),M136/$BB$11*$BB$22,0)</x:f>
        <x:v>7129.0598104801375</x:v>
      </x:c>
      <x:c r="H136" s="26" t="n">
        <x:f>SUM(H$39:H76)+IF(ISNUMBER($BB$23),M136/$BB$11*$BB$23,0)</x:f>
        <x:v>7129.0598104801375</x:v>
      </x:c>
      <x:c r="I136" s="26" t="n">
        <x:f>SUM(I$39:I76)+IF(ISNUMBER($BB$24),M136/$BB$11*$BB$24,0)</x:f>
        <x:v>7129.0598104801375</x:v>
      </x:c>
      <x:c r="J136" s="26" t="n">
        <x:f>SUM(J$39:J76)+IF(ISNUMBER($BB$25),M136/$BB$11*$BB$25,0)</x:f>
        <x:v>240461.19620960276</x:v>
      </x:c>
      <x:c r="K136" s="26" t="n">
        <x:f>SUM(O$39:O76)</x:f>
        <x:v>100</x:v>
      </x:c>
      <x:c r="L136" s="26" t="n">
        <x:f>SUM(P$39:P76)</x:f>
        <x:v>6100</x:v>
      </x:c>
      <x:c r="M136" s="26">
        <x:f t="shared" si="31"/>
        <x:v>300</x:v>
      </x:c>
      <x:c r="N136" s="26">
        <x:f t="shared" si="32"/>
        <x:v>0</x:v>
      </x:c>
      <x:c r="O136" s="26">
        <x:f t="shared" si="33"/>
        <x:v>100</x:v>
      </x:c>
      <x:c r="P136" s="26">
        <x:f t="shared" si="34"/>
        <x:v>379.59167464606759</x:v>
      </x:c>
      <x:c r="Q136" s="26">
        <x:f t="shared" si="35"/>
        <x:v>74.965386208634982</x:v>
      </x:c>
      <x:c r="R136" s="26">
        <x:f t="shared" si="36"/>
        <x:v>20.394666595615202</x:v>
      </x:c>
      <x:c r="S136" s="19" t="n">
        <x:f>COUNTIFS(养成消耗调参!$J$148:$J$197,"&lt;="&amp;MIN(G136:I136)/$BB$4)</x:f>
        <x:v>26</x:v>
      </x:c>
      <x:c r="T136" s="19" t="n">
        <x:f>COUNTIFS(养成消耗调参!$K$148:$K$197,"&lt;="&amp;MIN(G136:I136)/$BB$4)</x:f>
        <x:v>21</x:v>
      </x:c>
      <x:c r="U136" s="19" t="n">
        <x:f>COUNTIFS(养成消耗调参!$L$148:$L$197,"&lt;="&amp;MIN(G136:I136)/$BB$4)</x:f>
        <x:v>19</x:v>
      </x:c>
      <x:c r="V136" s="19" t="n">
        <x:f>COUNTIFS(养成消耗调参!$M$148:$M$197,"&lt;="&amp;J136/($BB$4*$BB$21))</x:f>
        <x:v>35</x:v>
      </x:c>
      <x:c r="W136" s="19" t="n">
        <x:f>COUNTIFS(养成消耗调参!$N$148:$N$197,"&lt;="&amp;J136/($BB$4*$BB$21))</x:f>
        <x:v>29</x:v>
      </x:c>
      <x:c r="X136" s="19" t="n">
        <x:f>COUNTIFS(养成消耗调参!$O$148:$O$197,"&lt;="&amp;J136/($BB$4*$BB$21))</x:f>
        <x:v>26</x:v>
      </x:c>
      <x:c r="Y136" s="19" t="n">
        <x:f>COUNTIFS(养成消耗调参!$P$148:$P$197,"&lt;="&amp;P136)</x:f>
        <x:v>34</x:v>
      </x:c>
      <x:c r="Z136" s="19" t="n">
        <x:f>COUNTIFS(养成消耗调参!$P$148:$P$197,"&lt;="&amp;Q136)</x:f>
        <x:v>14</x:v>
      </x:c>
      <x:c r="AA136" s="19" t="n">
        <x:f>COUNTIFS(养成消耗调参!$P$148:$P$197,"&lt;="&amp;R136)</x:f>
        <x:v>9</x:v>
      </x:c>
      <x:c r="AB136" s="19">
        <x:f t="shared" si="37"/>
        <x:v>26</x:v>
      </x:c>
      <x:c r="AC136" s="19">
        <x:f t="shared" si="38"/>
        <x:v>14</x:v>
      </x:c>
      <x:c r="AD136" s="19">
        <x:f t="shared" si="39"/>
        <x:v>9</x:v>
      </x:c>
      <x:c r="AE136" s="27" t="n">
        <x:f>IF(INDEX(养成消耗调参!$J$148:$J$197,D136)=0,"起步奖励",G136/($BB$4*INDEX(养成消耗调参!$J$148:$J$197,D136)))</x:f>
        <x:v>0.6956537676112546</x:v>
      </x:c>
      <x:c r="AF136" s="27" t="n">
        <x:f>IF(INDEX(养成消耗调参!$M$148:$M$197,D136)=0,"起步奖励",J136/($BB$4*$BB$21*INDEX(养成消耗调参!$M$148:$M$197,D136)))</x:f>
        <x:v>1.3701492661515826</x:v>
      </x:c>
      <x:c r="AG136" s="25" t="n">
        <x:f>J136-INDEX(养成消耗调参!$M$148:$M$197,AB136)*$BB$4*$BB$21</x:f>
        <x:v>123461.19620960276</x:v>
      </x:c>
      <x:c r="AH136" s="27" t="n">
        <x:f>IF(INDEX(养成消耗调参!$P$148:$P$197,D136)=0,"无需突破",P136/INDEX(养成消耗调参!$P$148:$P$197,D136))</x:f>
        <x:v>1.054421318461299</x:v>
      </x:c>
      <x:c r="AI136" s="25" t="n">
        <x:f>MAX(INDEX(养成消耗调参!$J$148:$J$197,D136)*$BB$4-G136,0)</x:f>
        <x:v>3118.9401895198625</x:v>
      </x:c>
    </x:row>
    <x:row r="137" ht="23.100000381469727" customHeight="1">
      <x:c r="A137" s="19">
        <x:f t="shared" si="30"/>
        <x:v>39</x:v>
      </x:c>
      <x:c r="B137" s="19">
        <x:f t="shared" si="29"/>
        <x:v>1040040</x:v>
      </x:c>
      <x:c r="C137" s="19" t="str">
        <x:f t="shared" si="29"/>
        <x:v>4-4</x:v>
      </x:c>
      <x:c r="D137" s="19" t="n">
        <x:f>关卡数值!I51</x:f>
        <x:v>32</x:v>
      </x:c>
      <x:c r="E137" s="19" t="n">
        <x:f>关卡数值!J51</x:f>
        <x:v>24</x:v>
      </x:c>
      <x:c r="F137" s="19" t="n">
        <x:f>关卡数值!K51</x:f>
        <x:v>17</x:v>
      </x:c>
      <x:c r="G137" s="26" t="n">
        <x:f>SUM(G$39:G77)+IF(ISNUMBER($BB$22),M137/$BB$11*$BB$22,0)</x:f>
        <x:v>7447.728470829476</x:v>
      </x:c>
      <x:c r="H137" s="26" t="n">
        <x:f>SUM(H$39:H77)+IF(ISNUMBER($BB$23),M137/$BB$11*$BB$23,0)</x:f>
        <x:v>7447.728470829476</x:v>
      </x:c>
      <x:c r="I137" s="26" t="n">
        <x:f>SUM(I$39:I77)+IF(ISNUMBER($BB$24),M137/$BB$11*$BB$24,0)</x:f>
        <x:v>7447.728470829476</x:v>
      </x:c>
      <x:c r="J137" s="26" t="n">
        <x:f>SUM(J$39:J77)+IF(ISNUMBER($BB$25),M137/$BB$11*$BB$25,0)</x:f>
        <x:v>252404.5694165895</x:v>
      </x:c>
      <x:c r="K137" s="26" t="n">
        <x:f>SUM(O$39:O77)</x:f>
        <x:v>100</x:v>
      </x:c>
      <x:c r="L137" s="26" t="n">
        <x:f>SUM(P$39:P77)</x:f>
        <x:v>6300</x:v>
      </x:c>
      <x:c r="M137" s="26">
        <x:f t="shared" si="31"/>
        <x:v>310</x:v>
      </x:c>
      <x:c r="N137" s="26">
        <x:f t="shared" si="32"/>
        <x:v>0</x:v>
      </x:c>
      <x:c r="O137" s="26">
        <x:f t="shared" si="33"/>
        <x:v>0</x:v>
      </x:c>
      <x:c r="P137" s="26">
        <x:f t="shared" si="34"/>
        <x:v>392.24473046760318</x:v>
      </x:c>
      <x:c r="Q137" s="26">
        <x:f t="shared" si="35"/>
        <x:v>77.464232415589478</x:v>
      </x:c>
      <x:c r="R137" s="26">
        <x:f t="shared" si="36"/>
        <x:v>21.074488815469042</x:v>
      </x:c>
      <x:c r="S137" s="19" t="n">
        <x:f>COUNTIFS(养成消耗调参!$J$148:$J$197,"&lt;="&amp;MIN(G137:I137)/$BB$4)</x:f>
        <x:v>26</x:v>
      </x:c>
      <x:c r="T137" s="19" t="n">
        <x:f>COUNTIFS(养成消耗调参!$K$148:$K$197,"&lt;="&amp;MIN(G137:I137)/$BB$4)</x:f>
        <x:v>22</x:v>
      </x:c>
      <x:c r="U137" s="19" t="n">
        <x:f>COUNTIFS(养成消耗调参!$L$148:$L$197,"&lt;="&amp;MIN(G137:I137)/$BB$4)</x:f>
        <x:v>19</x:v>
      </x:c>
      <x:c r="V137" s="19" t="n">
        <x:f>COUNTIFS(养成消耗调参!$M$148:$M$197,"&lt;="&amp;J137/($BB$4*$BB$21))</x:f>
        <x:v>36</x:v>
      </x:c>
      <x:c r="W137" s="19" t="n">
        <x:f>COUNTIFS(养成消耗调参!$N$148:$N$197,"&lt;="&amp;J137/($BB$4*$BB$21))</x:f>
        <x:v>30</x:v>
      </x:c>
      <x:c r="X137" s="19" t="n">
        <x:f>COUNTIFS(养成消耗调参!$O$148:$O$197,"&lt;="&amp;J137/($BB$4*$BB$21))</x:f>
        <x:v>26</x:v>
      </x:c>
      <x:c r="Y137" s="19" t="n">
        <x:f>COUNTIFS(养成消耗调参!$P$148:$P$197,"&lt;="&amp;P137)</x:f>
        <x:v>34</x:v>
      </x:c>
      <x:c r="Z137" s="19" t="n">
        <x:f>COUNTIFS(养成消耗调参!$P$148:$P$197,"&lt;="&amp;Q137)</x:f>
        <x:v>14</x:v>
      </x:c>
      <x:c r="AA137" s="19" t="n">
        <x:f>COUNTIFS(养成消耗调参!$P$148:$P$197,"&lt;="&amp;R137)</x:f>
        <x:v>9</x:v>
      </x:c>
      <x:c r="AB137" s="19">
        <x:f t="shared" si="37"/>
        <x:v>26</x:v>
      </x:c>
      <x:c r="AC137" s="19">
        <x:f t="shared" si="38"/>
        <x:v>14</x:v>
      </x:c>
      <x:c r="AD137" s="19">
        <x:f t="shared" si="39"/>
        <x:v>9</x:v>
      </x:c>
      <x:c r="AE137" s="27" t="n">
        <x:f>IF(INDEX(养成消耗调参!$J$148:$J$197,D137)=0,"起步奖励",G137/($BB$4*INDEX(养成消耗调参!$J$148:$J$197,D137)))</x:f>
        <x:v>0.6790416184199011</x:v>
      </x:c>
      <x:c r="AF137" s="27" t="n">
        <x:f>IF(INDEX(养成消耗调参!$M$148:$M$197,D137)=0,"起步奖励",J137/($BB$4*$BB$21*INDEX(养成消耗调参!$M$148:$M$197,D137)))</x:f>
        <x:v>1.3291446520094234</x:v>
      </x:c>
      <x:c r="AG137" s="25" t="n">
        <x:f>J137-INDEX(养成消耗调参!$M$148:$M$197,AB137)*$BB$4*$BB$21</x:f>
        <x:v>135404.5694165895</x:v>
      </x:c>
      <x:c r="AH137" s="27" t="n">
        <x:f>IF(INDEX(养成消耗调参!$P$148:$P$197,D137)=0,"无需突破",P137/INDEX(养成消耗调参!$P$148:$P$197,D137))</x:f>
        <x:v>1.0895686957433421</x:v>
      </x:c>
      <x:c r="AI137" s="25" t="n">
        <x:f>MAX(INDEX(养成消耗调参!$J$148:$J$197,D137)*$BB$4-G137,0)</x:f>
        <x:v>3520.2715291705244</x:v>
      </x:c>
    </x:row>
    <x:row r="138" ht="23.100000381469727" customHeight="1">
      <x:c r="A138" s="19">
        <x:f t="shared" si="30"/>
        <x:v>40</x:v>
      </x:c>
      <x:c r="B138" s="19">
        <x:f t="shared" si="29"/>
        <x:v>1040050</x:v>
      </x:c>
      <x:c r="C138" s="19" t="str">
        <x:f t="shared" si="29"/>
        <x:v>4-5</x:v>
      </x:c>
      <x:c r="D138" s="19" t="n">
        <x:f>关卡数值!I52</x:f>
        <x:v>35</x:v>
      </x:c>
      <x:c r="E138" s="19" t="n">
        <x:f>关卡数值!J52</x:f>
        <x:v>27</x:v>
      </x:c>
      <x:c r="F138" s="19" t="n">
        <x:f>关卡数值!K52</x:f>
        <x:v>19</x:v>
      </x:c>
      <x:c r="G138" s="26" t="n">
        <x:f>SUM(G$39:G78)+IF(ISNUMBER($BB$22),M138/$BB$11*$BB$22,0)</x:f>
        <x:v>7770.397131178813</x:v>
      </x:c>
      <x:c r="H138" s="26" t="n">
        <x:f>SUM(H$39:H78)+IF(ISNUMBER($BB$23),M138/$BB$11*$BB$23,0)</x:f>
        <x:v>7770.397131178813</x:v>
      </x:c>
      <x:c r="I138" s="26" t="n">
        <x:f>SUM(I$39:I78)+IF(ISNUMBER($BB$24),M138/$BB$11*$BB$24,0)</x:f>
        <x:v>7770.397131178813</x:v>
      </x:c>
      <x:c r="J138" s="26" t="n">
        <x:f>SUM(J$39:J78)+IF(ISNUMBER($BB$25),M138/$BB$11*$BB$25,0)</x:f>
        <x:v>264487.94262357627</x:v>
      </x:c>
      <x:c r="K138" s="26" t="n">
        <x:f>SUM(O$39:O78)</x:f>
        <x:v>110</x:v>
      </x:c>
      <x:c r="L138" s="26" t="n">
        <x:f>SUM(P$39:P78)</x:f>
        <x:v>6500</x:v>
      </x:c>
      <x:c r="M138" s="26">
        <x:f t="shared" si="31"/>
        <x:v>320</x:v>
      </x:c>
      <x:c r="N138" s="26">
        <x:f t="shared" si="32"/>
        <x:v>0</x:v>
      </x:c>
      <x:c r="O138" s="26">
        <x:f t="shared" si="33"/>
        <x:v>200</x:v>
      </x:c>
      <x:c r="P138" s="26">
        <x:f t="shared" si="34"/>
        <x:v>404.89778628913876</x:v>
      </x:c>
      <x:c r="Q138" s="26">
        <x:f t="shared" si="35"/>
        <x:v>79.963078622543975</x:v>
      </x:c>
      <x:c r="R138" s="26">
        <x:f t="shared" si="36"/>
        <x:v>21.754311035322882</x:v>
      </x:c>
      <x:c r="S138" s="19" t="n">
        <x:f>COUNTIFS(养成消耗调参!$J$148:$J$197,"&lt;="&amp;MIN(G138:I138)/$BB$4)</x:f>
        <x:v>27</x:v>
      </x:c>
      <x:c r="T138" s="19" t="n">
        <x:f>COUNTIFS(养成消耗调参!$K$148:$K$197,"&lt;="&amp;MIN(G138:I138)/$BB$4)</x:f>
        <x:v>22</x:v>
      </x:c>
      <x:c r="U138" s="19" t="n">
        <x:f>COUNTIFS(养成消耗调参!$L$148:$L$197,"&lt;="&amp;MIN(G138:I138)/$BB$4)</x:f>
        <x:v>19</x:v>
      </x:c>
      <x:c r="V138" s="19" t="n">
        <x:f>COUNTIFS(养成消耗调参!$M$148:$M$197,"&lt;="&amp;J138/($BB$4*$BB$21))</x:f>
        <x:v>36</x:v>
      </x:c>
      <x:c r="W138" s="19" t="n">
        <x:f>COUNTIFS(养成消耗调参!$N$148:$N$197,"&lt;="&amp;J138/($BB$4*$BB$21))</x:f>
        <x:v>31</x:v>
      </x:c>
      <x:c r="X138" s="19" t="n">
        <x:f>COUNTIFS(养成消耗调参!$O$148:$O$197,"&lt;="&amp;J138/($BB$4*$BB$21))</x:f>
        <x:v>27</x:v>
      </x:c>
      <x:c r="Y138" s="19" t="n">
        <x:f>COUNTIFS(养成消耗调参!$P$148:$P$197,"&lt;="&amp;P138)</x:f>
        <x:v>34</x:v>
      </x:c>
      <x:c r="Z138" s="19" t="n">
        <x:f>COUNTIFS(养成消耗调参!$P$148:$P$197,"&lt;="&amp;Q138)</x:f>
        <x:v>14</x:v>
      </x:c>
      <x:c r="AA138" s="19" t="n">
        <x:f>COUNTIFS(养成消耗调参!$P$148:$P$197,"&lt;="&amp;R138)</x:f>
        <x:v>9</x:v>
      </x:c>
      <x:c r="AB138" s="19">
        <x:f t="shared" si="37"/>
        <x:v>27</x:v>
      </x:c>
      <x:c r="AC138" s="19">
        <x:f t="shared" si="38"/>
        <x:v>14</x:v>
      </x:c>
      <x:c r="AD138" s="19">
        <x:f t="shared" si="39"/>
        <x:v>9</x:v>
      </x:c>
      <x:c r="AE138" s="27" t="n">
        <x:f>IF(INDEX(养成消耗调参!$J$148:$J$197,D138)=0,"起步奖励",G138/($BB$4*INDEX(养成消耗调参!$J$148:$J$197,D138)))</x:f>
        <x:v>0.5875980891696017</x:v>
      </x:c>
      <x:c r="AF138" s="27" t="n">
        <x:f>IF(INDEX(养成消耗调参!$M$148:$M$197,D138)=0,"起步奖励",J138/($BB$4*$BB$21*INDEX(养成消耗调参!$M$148:$M$197,D138)))</x:f>
        <x:v>1.1346544085095507</x:v>
      </x:c>
      <x:c r="AG138" s="25" t="n">
        <x:f>J138-INDEX(养成消耗调参!$M$148:$M$197,AB138)*$BB$4*$BB$21</x:f>
        <x:v>135787.94262357627</x:v>
      </x:c>
      <x:c r="AH138" s="27" t="n">
        <x:f>IF(INDEX(养成消耗调参!$P$148:$P$197,D138)=0,"无需突破",P138/INDEX(养成消耗调参!$P$148:$P$197,D138))</x:f>
        <x:v>0.8263220128349771</x:v>
      </x:c>
      <x:c r="AI138" s="25" t="n">
        <x:f>MAX(INDEX(养成消耗调参!$J$148:$J$197,D138)*$BB$4-G138,0)</x:f>
        <x:v>5453.602868821187</x:v>
      </x:c>
    </x:row>
    <x:row r="139" ht="23.100000381469727" customHeight="1">
      <x:c r="A139" s="19">
        <x:f t="shared" si="30"/>
        <x:v>41</x:v>
      </x:c>
      <x:c r="B139" s="19" t="n">
        <x:f t="shared" ref="B139:C153" si="40">C79</x:f>
        <x:v>1040060</x:v>
      </x:c>
      <x:c r="C139" s="19" t="str">
        <x:f t="shared" si="40"/>
        <x:v>4-6</x:v>
      </x:c>
      <x:c r="D139" s="19" t="n">
        <x:f>关卡数值!I53</x:f>
        <x:v>35</x:v>
      </x:c>
      <x:c r="E139" s="19" t="n">
        <x:f>关卡数值!J53</x:f>
        <x:v>27</x:v>
      </x:c>
      <x:c r="F139" s="19" t="n">
        <x:f>关卡数值!K53</x:f>
        <x:v>19</x:v>
      </x:c>
      <x:c r="G139" s="26" t="n">
        <x:f>SUM(G$39:G79)+IF(ISNUMBER($BB$22),M139/$BB$11*$BB$22,0)</x:f>
        <x:v>8096.065791528151</x:v>
      </x:c>
      <x:c r="H139" s="26" t="n">
        <x:f>SUM(H$39:H79)+IF(ISNUMBER($BB$23),M139/$BB$11*$BB$23,0)</x:f>
        <x:v>8096.065791528151</x:v>
      </x:c>
      <x:c r="I139" s="26" t="n">
        <x:f>SUM(I$39:I79)+IF(ISNUMBER($BB$24),M139/$BB$11*$BB$24,0)</x:f>
        <x:v>8096.065791528151</x:v>
      </x:c>
      <x:c r="J139" s="26" t="n">
        <x:f>SUM(J$39:J79)+IF(ISNUMBER($BB$25),M139/$BB$11*$BB$25,0)</x:f>
        <x:v>276711.315830563</x:v>
      </x:c>
      <x:c r="K139" s="26" t="n">
        <x:f>SUM(O$39:O79)</x:f>
        <x:v>110</x:v>
      </x:c>
      <x:c r="L139" s="26" t="n">
        <x:f>SUM(P$39:P79)</x:f>
        <x:v>6700</x:v>
      </x:c>
      <x:c r="M139" s="26">
        <x:f t="shared" si="31"/>
        <x:v>330</x:v>
      </x:c>
      <x:c r="N139" s="26">
        <x:f t="shared" si="32"/>
        <x:v>0</x:v>
      </x:c>
      <x:c r="O139" s="26">
        <x:f t="shared" si="33"/>
        <x:v>100</x:v>
      </x:c>
      <x:c r="P139" s="26">
        <x:f t="shared" si="34"/>
        <x:v>417.5508421106743</x:v>
      </x:c>
      <x:c r="Q139" s="26">
        <x:f t="shared" si="35"/>
        <x:v>82.461924829498471</x:v>
      </x:c>
      <x:c r="R139" s="26">
        <x:f t="shared" si="36"/>
        <x:v>22.434133255176722</x:v>
      </x:c>
      <x:c r="S139" s="19" t="n">
        <x:f>COUNTIFS(养成消耗调参!$J$148:$J$197,"&lt;="&amp;MIN(G139:I139)/$BB$4)</x:f>
        <x:v>27</x:v>
      </x:c>
      <x:c r="T139" s="19" t="n">
        <x:f>COUNTIFS(养成消耗调参!$K$148:$K$197,"&lt;="&amp;MIN(G139:I139)/$BB$4)</x:f>
        <x:v>23</x:v>
      </x:c>
      <x:c r="U139" s="19" t="n">
        <x:f>COUNTIFS(养成消耗调参!$L$148:$L$197,"&lt;="&amp;MIN(G139:I139)/$BB$4)</x:f>
        <x:v>20</x:v>
      </x:c>
      <x:c r="V139" s="19" t="n">
        <x:f>COUNTIFS(养成消耗调参!$M$148:$M$197,"&lt;="&amp;J139/($BB$4*$BB$21))</x:f>
        <x:v>37</x:v>
      </x:c>
      <x:c r="W139" s="19" t="n">
        <x:f>COUNTIFS(养成消耗调参!$N$148:$N$197,"&lt;="&amp;J139/($BB$4*$BB$21))</x:f>
        <x:v>31</x:v>
      </x:c>
      <x:c r="X139" s="19" t="n">
        <x:f>COUNTIFS(养成消耗调参!$O$148:$O$197,"&lt;="&amp;J139/($BB$4*$BB$21))</x:f>
        <x:v>27</x:v>
      </x:c>
      <x:c r="Y139" s="19" t="n">
        <x:f>COUNTIFS(养成消耗调参!$P$148:$P$197,"&lt;="&amp;P139)</x:f>
        <x:v>34</x:v>
      </x:c>
      <x:c r="Z139" s="19" t="n">
        <x:f>COUNTIFS(养成消耗调参!$P$148:$P$197,"&lt;="&amp;Q139)</x:f>
        <x:v>14</x:v>
      </x:c>
      <x:c r="AA139" s="19" t="n">
        <x:f>COUNTIFS(养成消耗调参!$P$148:$P$197,"&lt;="&amp;R139)</x:f>
        <x:v>9</x:v>
      </x:c>
      <x:c r="AB139" s="19">
        <x:f t="shared" si="37"/>
        <x:v>27</x:v>
      </x:c>
      <x:c r="AC139" s="19">
        <x:f t="shared" si="38"/>
        <x:v>14</x:v>
      </x:c>
      <x:c r="AD139" s="19">
        <x:f t="shared" si="39"/>
        <x:v>9</x:v>
      </x:c>
      <x:c r="AE139" s="27" t="n">
        <x:f>IF(INDEX(养成消耗调参!$J$148:$J$197,D139)=0,"起步奖励",G139/($BB$4*INDEX(养成消耗调参!$J$148:$J$197,D139)))</x:f>
        <x:v>0.6122251808475613</x:v>
      </x:c>
      <x:c r="AF139" s="27" t="n">
        <x:f>IF(INDEX(养成消耗调参!$M$148:$M$197,D139)=0,"起步奖励",J139/($BB$4*$BB$21*INDEX(养成消耗调参!$M$148:$M$197,D139)))</x:f>
        <x:v>1.1870927320058473</x:v>
      </x:c>
      <x:c r="AG139" s="25" t="n">
        <x:f>J139-INDEX(养成消耗调参!$M$148:$M$197,AB139)*$BB$4*$BB$21</x:f>
        <x:v>148011.31583056302</x:v>
      </x:c>
      <x:c r="AH139" s="27" t="n">
        <x:f>IF(INDEX(养成消耗调参!$P$148:$P$197,D139)=0,"无需突破",P139/INDEX(养成消耗调参!$P$148:$P$197,D139))</x:f>
        <x:v>0.8521445757360699</x:v>
      </x:c>
      <x:c r="AI139" s="25" t="n">
        <x:f>MAX(INDEX(养成消耗调参!$J$148:$J$197,D139)*$BB$4-G139,0)</x:f>
        <x:v>5127.934208471849</x:v>
      </x:c>
    </x:row>
    <x:row r="140" ht="23.100000381469727" customHeight="1">
      <x:c r="A140" s="19">
        <x:f t="shared" si="30"/>
        <x:v>42</x:v>
      </x:c>
      <x:c r="B140" s="19">
        <x:f t="shared" si="40"/>
        <x:v>1040070</x:v>
      </x:c>
      <x:c r="C140" s="19" t="str">
        <x:f t="shared" si="40"/>
        <x:v>4-7</x:v>
      </x:c>
      <x:c r="D140" s="19" t="n">
        <x:f>关卡数值!I54</x:f>
        <x:v>35</x:v>
      </x:c>
      <x:c r="E140" s="19" t="n">
        <x:f>关卡数值!J54</x:f>
        <x:v>27</x:v>
      </x:c>
      <x:c r="F140" s="19" t="n">
        <x:f>关卡数值!K54</x:f>
        <x:v>19</x:v>
      </x:c>
      <x:c r="G140" s="26" t="n">
        <x:f>SUM(G$39:G80)+IF(ISNUMBER($BB$22),M140/$BB$11*$BB$22,0)</x:f>
        <x:v>8426.734451877488</x:v>
      </x:c>
      <x:c r="H140" s="26" t="n">
        <x:f>SUM(H$39:H80)+IF(ISNUMBER($BB$23),M140/$BB$11*$BB$23,0)</x:f>
        <x:v>8426.734451877488</x:v>
      </x:c>
      <x:c r="I140" s="26" t="n">
        <x:f>SUM(I$39:I80)+IF(ISNUMBER($BB$24),M140/$BB$11*$BB$24,0)</x:f>
        <x:v>8426.734451877488</x:v>
      </x:c>
      <x:c r="J140" s="26" t="n">
        <x:f>SUM(J$39:J80)+IF(ISNUMBER($BB$25),M140/$BB$11*$BB$25,0)</x:f>
        <x:v>289084.6890375498</x:v>
      </x:c>
      <x:c r="K140" s="26" t="n">
        <x:f>SUM(O$39:O80)</x:f>
        <x:v>110</x:v>
      </x:c>
      <x:c r="L140" s="26" t="n">
        <x:f>SUM(P$39:P80)</x:f>
        <x:v>6900</x:v>
      </x:c>
      <x:c r="M140" s="26">
        <x:f t="shared" si="31"/>
        <x:v>340</x:v>
      </x:c>
      <x:c r="N140" s="26">
        <x:f t="shared" si="32"/>
        <x:v>0</x:v>
      </x:c>
      <x:c r="O140" s="26">
        <x:f t="shared" si="33"/>
        <x:v>0</x:v>
      </x:c>
      <x:c r="P140" s="26">
        <x:f t="shared" si="34"/>
        <x:v>430.20389793220988</x:v>
      </x:c>
      <x:c r="Q140" s="26">
        <x:f t="shared" si="35"/>
        <x:v>84.960771036452968</x:v>
      </x:c>
      <x:c r="R140" s="26">
        <x:f t="shared" si="36"/>
        <x:v>23.113955475030561</x:v>
      </x:c>
      <x:c r="S140" s="19" t="n">
        <x:f>COUNTIFS(养成消耗调参!$J$148:$J$197,"&lt;="&amp;MIN(G140:I140)/$BB$4)</x:f>
        <x:v>28</x:v>
      </x:c>
      <x:c r="T140" s="19" t="n">
        <x:f>COUNTIFS(养成消耗调参!$K$148:$K$197,"&lt;="&amp;MIN(G140:I140)/$BB$4)</x:f>
        <x:v>23</x:v>
      </x:c>
      <x:c r="U140" s="19" t="n">
        <x:f>COUNTIFS(养成消耗调参!$L$148:$L$197,"&lt;="&amp;MIN(G140:I140)/$BB$4)</x:f>
        <x:v>20</x:v>
      </x:c>
      <x:c r="V140" s="19" t="n">
        <x:f>COUNTIFS(养成消耗调参!$M$148:$M$197,"&lt;="&amp;J140/($BB$4*$BB$21))</x:f>
        <x:v>38</x:v>
      </x:c>
      <x:c r="W140" s="19" t="n">
        <x:f>COUNTIFS(养成消耗调参!$N$148:$N$197,"&lt;="&amp;J140/($BB$4*$BB$21))</x:f>
        <x:v>32</x:v>
      </x:c>
      <x:c r="X140" s="19" t="n">
        <x:f>COUNTIFS(养成消耗调参!$O$148:$O$197,"&lt;="&amp;J140/($BB$4*$BB$21))</x:f>
        <x:v>28</x:v>
      </x:c>
      <x:c r="Y140" s="19" t="n">
        <x:f>COUNTIFS(养成消耗调参!$P$148:$P$197,"&lt;="&amp;P140)</x:f>
        <x:v>34</x:v>
      </x:c>
      <x:c r="Z140" s="19" t="n">
        <x:f>COUNTIFS(养成消耗调参!$P$148:$P$197,"&lt;="&amp;Q140)</x:f>
        <x:v>14</x:v>
      </x:c>
      <x:c r="AA140" s="19" t="n">
        <x:f>COUNTIFS(养成消耗调参!$P$148:$P$197,"&lt;="&amp;R140)</x:f>
        <x:v>9</x:v>
      </x:c>
      <x:c r="AB140" s="19">
        <x:f t="shared" si="37"/>
        <x:v>28</x:v>
      </x:c>
      <x:c r="AC140" s="19">
        <x:f t="shared" si="38"/>
        <x:v>14</x:v>
      </x:c>
      <x:c r="AD140" s="19">
        <x:f t="shared" si="39"/>
        <x:v>9</x:v>
      </x:c>
      <x:c r="AE140" s="27" t="n">
        <x:f>IF(INDEX(养成消耗调参!$J$148:$J$197,D140)=0,"起步奖励",G140/($BB$4*INDEX(养成消耗调参!$J$148:$J$197,D140)))</x:f>
        <x:v>0.6372303729489933</x:v>
      </x:c>
      <x:c r="AF140" s="27" t="n">
        <x:f>IF(INDEX(养成消耗调参!$M$148:$M$197,D140)=0,"起步奖励",J140/($BB$4*$BB$21*INDEX(养成消耗调参!$M$148:$M$197,D140)))</x:f>
        <x:v>1.2401745561456448</x:v>
      </x:c>
      <x:c r="AG140" s="25" t="n">
        <x:f>J140-INDEX(养成消耗调参!$M$148:$M$197,AB140)*$BB$4*$BB$21</x:f>
        <x:v>148684.68903754978</x:v>
      </x:c>
      <x:c r="AH140" s="27" t="n">
        <x:f>IF(INDEX(养成消耗调参!$P$148:$P$197,D140)=0,"无需突破",P140/INDEX(养成消耗调参!$P$148:$P$197,D140))</x:f>
        <x:v>0.877967138637163</x:v>
      </x:c>
      <x:c r="AI140" s="25" t="n">
        <x:f>MAX(INDEX(养成消耗调参!$J$148:$J$197,D140)*$BB$4-G140,0)</x:f>
        <x:v>4797.265548122512</x:v>
      </x:c>
    </x:row>
    <x:row r="141" ht="23.100000381469727" customHeight="1">
      <x:c r="A141" s="19">
        <x:f t="shared" si="30"/>
        <x:v>43</x:v>
      </x:c>
      <x:c r="B141" s="19">
        <x:f t="shared" si="40"/>
        <x:v>1040080</x:v>
      </x:c>
      <x:c r="C141" s="19" t="str">
        <x:f t="shared" si="40"/>
        <x:v>4-8</x:v>
      </x:c>
      <x:c r="D141" s="19" t="n">
        <x:f>关卡数值!I55</x:f>
        <x:v>36</x:v>
      </x:c>
      <x:c r="E141" s="19" t="n">
        <x:f>关卡数值!J55</x:f>
        <x:v>28</x:v>
      </x:c>
      <x:c r="F141" s="19" t="n">
        <x:f>关卡数值!K55</x:f>
        <x:v>20</x:v>
      </x:c>
      <x:c r="G141" s="26" t="n">
        <x:f>SUM(G$39:G81)+IF(ISNUMBER($BB$22),M141/$BB$11*$BB$22,0)</x:f>
        <x:v>8743.734451877488</x:v>
      </x:c>
      <x:c r="H141" s="26" t="n">
        <x:f>SUM(H$39:H81)+IF(ISNUMBER($BB$23),M141/$BB$11*$BB$23,0)</x:f>
        <x:v>8743.734451877488</x:v>
      </x:c>
      <x:c r="I141" s="26" t="n">
        <x:f>SUM(I$39:I81)+IF(ISNUMBER($BB$24),M141/$BB$11*$BB$24,0)</x:f>
        <x:v>8743.734451877488</x:v>
      </x:c>
      <x:c r="J141" s="26" t="n">
        <x:f>SUM(J$39:J81)+IF(ISNUMBER($BB$25),M141/$BB$11*$BB$25,0)</x:f>
        <x:v>301274.6890375498</x:v>
      </x:c>
      <x:c r="K141" s="26" t="n">
        <x:f>SUM(O$39:O81)</x:f>
        <x:v>110</x:v>
      </x:c>
      <x:c r="L141" s="26" t="n">
        <x:f>SUM(P$39:P81)</x:f>
        <x:v>7100</x:v>
      </x:c>
      <x:c r="M141" s="26">
        <x:f t="shared" si="31"/>
        <x:v>340</x:v>
      </x:c>
      <x:c r="N141" s="26">
        <x:f t="shared" si="32"/>
        <x:v>0</x:v>
      </x:c>
      <x:c r="O141" s="26">
        <x:f t="shared" si="33"/>
        <x:v>200</x:v>
      </x:c>
      <x:c r="P141" s="26">
        <x:f t="shared" si="34"/>
        <x:v>430.20389793220988</x:v>
      </x:c>
      <x:c r="Q141" s="26">
        <x:f t="shared" si="35"/>
        <x:v>84.960771036452968</x:v>
      </x:c>
      <x:c r="R141" s="26">
        <x:f t="shared" si="36"/>
        <x:v>23.113955475030561</x:v>
      </x:c>
      <x:c r="S141" s="19" t="n">
        <x:f>COUNTIFS(养成消耗调参!$J$148:$J$197,"&lt;="&amp;MIN(G141:I141)/$BB$4)</x:f>
        <x:v>28</x:v>
      </x:c>
      <x:c r="T141" s="19" t="n">
        <x:f>COUNTIFS(养成消耗调参!$K$148:$K$197,"&lt;="&amp;MIN(G141:I141)/$BB$4)</x:f>
        <x:v>23</x:v>
      </x:c>
      <x:c r="U141" s="19" t="n">
        <x:f>COUNTIFS(养成消耗调参!$L$148:$L$197,"&lt;="&amp;MIN(G141:I141)/$BB$4)</x:f>
        <x:v>21</x:v>
      </x:c>
      <x:c r="V141" s="19" t="n">
        <x:f>COUNTIFS(养成消耗调参!$M$148:$M$197,"&lt;="&amp;J141/($BB$4*$BB$21))</x:f>
        <x:v>39</x:v>
      </x:c>
      <x:c r="W141" s="19" t="n">
        <x:f>COUNTIFS(养成消耗调参!$N$148:$N$197,"&lt;="&amp;J141/($BB$4*$BB$21))</x:f>
        <x:v>32</x:v>
      </x:c>
      <x:c r="X141" s="19" t="n">
        <x:f>COUNTIFS(养成消耗调参!$O$148:$O$197,"&lt;="&amp;J141/($BB$4*$BB$21))</x:f>
        <x:v>28</x:v>
      </x:c>
      <x:c r="Y141" s="19" t="n">
        <x:f>COUNTIFS(养成消耗调参!$P$148:$P$197,"&lt;="&amp;P141)</x:f>
        <x:v>34</x:v>
      </x:c>
      <x:c r="Z141" s="19" t="n">
        <x:f>COUNTIFS(养成消耗调参!$P$148:$P$197,"&lt;="&amp;Q141)</x:f>
        <x:v>14</x:v>
      </x:c>
      <x:c r="AA141" s="19" t="n">
        <x:f>COUNTIFS(养成消耗调参!$P$148:$P$197,"&lt;="&amp;R141)</x:f>
        <x:v>9</x:v>
      </x:c>
      <x:c r="AB141" s="19">
        <x:f t="shared" si="37"/>
        <x:v>28</x:v>
      </x:c>
      <x:c r="AC141" s="19">
        <x:f t="shared" si="38"/>
        <x:v>14</x:v>
      </x:c>
      <x:c r="AD141" s="19">
        <x:f t="shared" si="39"/>
        <x:v>9</x:v>
      </x:c>
      <x:c r="AE141" s="27" t="n">
        <x:f>IF(INDEX(养成消耗调参!$J$148:$J$197,D141)=0,"起步奖励",G141/($BB$4*INDEX(养成消耗调参!$J$148:$J$197,D141)))</x:f>
        <x:v>0.6227731091080831</x:v>
      </x:c>
      <x:c r="AF141" s="27" t="n">
        <x:f>IF(INDEX(养成消耗调参!$M$148:$M$197,D141)=0,"起步奖励",J141/($BB$4*$BB$21*INDEX(养成消耗调参!$M$148:$M$197,D141)))</x:f>
        <x:v>1.217271470858787</x:v>
      </x:c>
      <x:c r="AG141" s="25" t="n">
        <x:f>J141-INDEX(养成消耗调参!$M$148:$M$197,AB141)*$BB$4*$BB$21</x:f>
        <x:v>160874.68903754978</x:v>
      </x:c>
      <x:c r="AH141" s="27" t="n">
        <x:f>IF(INDEX(养成消耗调参!$P$148:$P$197,D141)=0,"无需突破",P141/INDEX(养成消耗调参!$P$148:$P$197,D141))</x:f>
        <x:v>0.877967138637163</x:v>
      </x:c>
      <x:c r="AI141" s="25" t="n">
        <x:f>MAX(INDEX(养成消耗调参!$J$148:$J$197,D141)*$BB$4-G141,0)</x:f>
        <x:v>5296.265548122512</x:v>
      </x:c>
    </x:row>
    <x:row r="142" ht="23.100000381469727" customHeight="1">
      <x:c r="A142" s="19">
        <x:f t="shared" si="30"/>
        <x:v>44</x:v>
      </x:c>
      <x:c r="B142" s="19">
        <x:f t="shared" si="40"/>
        <x:v>1040090</x:v>
      </x:c>
      <x:c r="C142" s="19" t="str">
        <x:f t="shared" si="40"/>
        <x:v>4-9</x:v>
      </x:c>
      <x:c r="D142" s="19" t="n">
        <x:f>关卡数值!I56</x:f>
        <x:v>36</x:v>
      </x:c>
      <x:c r="E142" s="19" t="n">
        <x:f>关卡数值!J56</x:f>
        <x:v>28</x:v>
      </x:c>
      <x:c r="F142" s="19" t="n">
        <x:f>关卡数值!K56</x:f>
        <x:v>20</x:v>
      </x:c>
      <x:c r="G142" s="26" t="n">
        <x:f>SUM(G$39:G82)+IF(ISNUMBER($BB$22),M142/$BB$11*$BB$22,0)</x:f>
        <x:v>9081.403112226826</x:v>
      </x:c>
      <x:c r="H142" s="26" t="n">
        <x:f>SUM(H$39:H82)+IF(ISNUMBER($BB$23),M142/$BB$11*$BB$23,0)</x:f>
        <x:v>9081.403112226826</x:v>
      </x:c>
      <x:c r="I142" s="26" t="n">
        <x:f>SUM(I$39:I82)+IF(ISNUMBER($BB$24),M142/$BB$11*$BB$24,0)</x:f>
        <x:v>9081.403112226826</x:v>
      </x:c>
      <x:c r="J142" s="26" t="n">
        <x:f>SUM(J$39:J82)+IF(ISNUMBER($BB$25),M142/$BB$11*$BB$25,0)</x:f>
        <x:v>313928.06224453653</x:v>
      </x:c>
      <x:c r="K142" s="26" t="n">
        <x:f>SUM(O$39:O82)</x:f>
        <x:v>110</x:v>
      </x:c>
      <x:c r="L142" s="26" t="n">
        <x:f>SUM(P$39:P82)</x:f>
        <x:v>7300</x:v>
      </x:c>
      <x:c r="M142" s="26">
        <x:f t="shared" si="31"/>
        <x:v>350</x:v>
      </x:c>
      <x:c r="N142" s="26">
        <x:f t="shared" si="32"/>
        <x:v>0</x:v>
      </x:c>
      <x:c r="O142" s="26">
        <x:f t="shared" si="33"/>
        <x:v>100</x:v>
      </x:c>
      <x:c r="P142" s="26">
        <x:f t="shared" si="34"/>
        <x:v>442.85695375374553</x:v>
      </x:c>
      <x:c r="Q142" s="26">
        <x:f t="shared" si="35"/>
        <x:v>87.459617243407479</x:v>
      </x:c>
      <x:c r="R142" s="26">
        <x:f t="shared" si="36"/>
        <x:v>23.793777694884401</x:v>
      </x:c>
      <x:c r="S142" s="19" t="n">
        <x:f>COUNTIFS(养成消耗调参!$J$148:$J$197,"&lt;="&amp;MIN(G142:I142)/$BB$4)</x:f>
        <x:v>29</x:v>
      </x:c>
      <x:c r="T142" s="19" t="n">
        <x:f>COUNTIFS(养成消耗调参!$K$148:$K$197,"&lt;="&amp;MIN(G142:I142)/$BB$4)</x:f>
        <x:v>24</x:v>
      </x:c>
      <x:c r="U142" s="19" t="n">
        <x:f>COUNTIFS(养成消耗调参!$L$148:$L$197,"&lt;="&amp;MIN(G142:I142)/$BB$4)</x:f>
        <x:v>21</x:v>
      </x:c>
      <x:c r="V142" s="19" t="n">
        <x:f>COUNTIFS(养成消耗调参!$M$148:$M$197,"&lt;="&amp;J142/($BB$4*$BB$21))</x:f>
        <x:v>39</x:v>
      </x:c>
      <x:c r="W142" s="19" t="n">
        <x:f>COUNTIFS(养成消耗调参!$N$148:$N$197,"&lt;="&amp;J142/($BB$4*$BB$21))</x:f>
        <x:v>33</x:v>
      </x:c>
      <x:c r="X142" s="19" t="n">
        <x:f>COUNTIFS(养成消耗调参!$O$148:$O$197,"&lt;="&amp;J142/($BB$4*$BB$21))</x:f>
        <x:v>29</x:v>
      </x:c>
      <x:c r="Y142" s="19" t="n">
        <x:f>COUNTIFS(养成消耗调参!$P$148:$P$197,"&lt;="&amp;P142)</x:f>
        <x:v>34</x:v>
      </x:c>
      <x:c r="Z142" s="19" t="n">
        <x:f>COUNTIFS(养成消耗调参!$P$148:$P$197,"&lt;="&amp;Q142)</x:f>
        <x:v>14</x:v>
      </x:c>
      <x:c r="AA142" s="19" t="n">
        <x:f>COUNTIFS(养成消耗调参!$P$148:$P$197,"&lt;="&amp;R142)</x:f>
        <x:v>9</x:v>
      </x:c>
      <x:c r="AB142" s="19">
        <x:f t="shared" si="37"/>
        <x:v>29</x:v>
      </x:c>
      <x:c r="AC142" s="19">
        <x:f t="shared" si="38"/>
        <x:v>14</x:v>
      </x:c>
      <x:c r="AD142" s="19">
        <x:f t="shared" si="39"/>
        <x:v>9</x:v>
      </x:c>
      <x:c r="AE142" s="27" t="n">
        <x:f>IF(INDEX(养成消耗调参!$J$148:$J$197,D142)=0,"起步奖励",G142/($BB$4*INDEX(养成消耗调参!$J$148:$J$197,D142)))</x:f>
        <x:v>0.6468235834919391</x:v>
      </x:c>
      <x:c r="AF142" s="27" t="n">
        <x:f>IF(INDEX(养成消耗调参!$M$148:$M$197,D142)=0,"起步奖励",J142/($BB$4*$BB$21*INDEX(养成消耗调参!$M$148:$M$197,D142)))</x:f>
        <x:v>1.2683962110890366</x:v>
      </x:c>
      <x:c r="AG142" s="25" t="n">
        <x:f>J142-INDEX(养成消耗调参!$M$148:$M$197,AB142)*$BB$4*$BB$21</x:f>
        <x:v>161828.06224453653</x:v>
      </x:c>
      <x:c r="AH142" s="27" t="n">
        <x:f>IF(INDEX(养成消耗调参!$P$148:$P$197,D142)=0,"无需突破",P142/INDEX(养成消耗调参!$P$148:$P$197,D142))</x:f>
        <x:v>0.9037897015382562</x:v>
      </x:c>
      <x:c r="AI142" s="25" t="n">
        <x:f>MAX(INDEX(养成消耗调参!$J$148:$J$197,D142)*$BB$4-G142,0)</x:f>
        <x:v>4958.596887773174</x:v>
      </x:c>
    </x:row>
    <x:row r="143" ht="23.100000381469727" customHeight="1">
      <x:c r="A143" s="19">
        <x:f t="shared" si="30"/>
        <x:v>45</x:v>
      </x:c>
      <x:c r="B143" s="19">
        <x:f t="shared" si="40"/>
        <x:v>1040100</x:v>
      </x:c>
      <x:c r="C143" s="19" t="str">
        <x:f t="shared" si="40"/>
        <x:v>4-终章1</x:v>
      </x:c>
      <x:c r="D143" s="19" t="n">
        <x:f>关卡数值!I57</x:f>
        <x:v>37</x:v>
      </x:c>
      <x:c r="E143" s="19" t="n">
        <x:f>关卡数值!J57</x:f>
        <x:v>29</x:v>
      </x:c>
      <x:c r="F143" s="19" t="n">
        <x:f>关卡数值!K57</x:f>
        <x:v>20</x:v>
      </x:c>
      <x:c r="G143" s="26" t="n">
        <x:f>SUM(G$39:G83)+IF(ISNUMBER($BB$22),M143/$BB$11*$BB$22,0)</x:f>
        <x:v>9422.071772576164</x:v>
      </x:c>
      <x:c r="H143" s="26" t="n">
        <x:f>SUM(H$39:H83)+IF(ISNUMBER($BB$23),M143/$BB$11*$BB$23,0)</x:f>
        <x:v>9422.071772576164</x:v>
      </x:c>
      <x:c r="I143" s="26" t="n">
        <x:f>SUM(I$39:I83)+IF(ISNUMBER($BB$24),M143/$BB$11*$BB$24,0)</x:f>
        <x:v>9422.071772576164</x:v>
      </x:c>
      <x:c r="J143" s="26" t="n">
        <x:f>SUM(J$39:J83)+IF(ISNUMBER($BB$25),M143/$BB$11*$BB$25,0)</x:f>
        <x:v>326731.4354515233</x:v>
      </x:c>
      <x:c r="K143" s="26" t="n">
        <x:f>SUM(O$39:O83)</x:f>
        <x:v>110</x:v>
      </x:c>
      <x:c r="L143" s="26" t="n">
        <x:f>SUM(P$39:P83)</x:f>
        <x:v>7500</x:v>
      </x:c>
      <x:c r="M143" s="26">
        <x:f t="shared" si="31"/>
        <x:v>360</x:v>
      </x:c>
      <x:c r="N143" s="26">
        <x:f t="shared" si="32"/>
        <x:v>0</x:v>
      </x:c>
      <x:c r="O143" s="26">
        <x:f t="shared" si="33"/>
        <x:v>0</x:v>
      </x:c>
      <x:c r="P143" s="26">
        <x:f t="shared" si="34"/>
        <x:v>455.51000957528112</x:v>
      </x:c>
      <x:c r="Q143" s="26">
        <x:f t="shared" si="35"/>
        <x:v>89.958463450361975</x:v>
      </x:c>
      <x:c r="R143" s="26">
        <x:f t="shared" si="36"/>
        <x:v>24.473599914738241</x:v>
      </x:c>
      <x:c r="S143" s="19" t="n">
        <x:f>COUNTIFS(养成消耗调参!$J$148:$J$197,"&lt;="&amp;MIN(G143:I143)/$BB$4)</x:f>
        <x:v>29</x:v>
      </x:c>
      <x:c r="T143" s="19" t="n">
        <x:f>COUNTIFS(养成消耗调参!$K$148:$K$197,"&lt;="&amp;MIN(G143:I143)/$BB$4)</x:f>
        <x:v>24</x:v>
      </x:c>
      <x:c r="U143" s="19" t="n">
        <x:f>COUNTIFS(养成消耗调参!$L$148:$L$197,"&lt;="&amp;MIN(G143:I143)/$BB$4)</x:f>
        <x:v>21</x:v>
      </x:c>
      <x:c r="V143" s="19" t="n">
        <x:f>COUNTIFS(养成消耗调参!$M$148:$M$197,"&lt;="&amp;J143/($BB$4*$BB$21))</x:f>
        <x:v>40</x:v>
      </x:c>
      <x:c r="W143" s="19" t="n">
        <x:f>COUNTIFS(养成消耗调参!$N$148:$N$197,"&lt;="&amp;J143/($BB$4*$BB$21))</x:f>
        <x:v>33</x:v>
      </x:c>
      <x:c r="X143" s="19" t="n">
        <x:f>COUNTIFS(养成消耗调参!$O$148:$O$197,"&lt;="&amp;J143/($BB$4*$BB$21))</x:f>
        <x:v>29</x:v>
      </x:c>
      <x:c r="Y143" s="19" t="n">
        <x:f>COUNTIFS(养成消耗调参!$P$148:$P$197,"&lt;="&amp;P143)</x:f>
        <x:v>34</x:v>
      </x:c>
      <x:c r="Z143" s="19" t="n">
        <x:f>COUNTIFS(养成消耗调参!$P$148:$P$197,"&lt;="&amp;Q143)</x:f>
        <x:v>14</x:v>
      </x:c>
      <x:c r="AA143" s="19" t="n">
        <x:f>COUNTIFS(养成消耗调参!$P$148:$P$197,"&lt;="&amp;R143)</x:f>
        <x:v>9</x:v>
      </x:c>
      <x:c r="AB143" s="19">
        <x:f t="shared" si="37"/>
        <x:v>29</x:v>
      </x:c>
      <x:c r="AC143" s="19">
        <x:f t="shared" si="38"/>
        <x:v>14</x:v>
      </x:c>
      <x:c r="AD143" s="19">
        <x:f t="shared" si="39"/>
        <x:v>9</x:v>
      </x:c>
      <x:c r="AE143" s="27" t="n">
        <x:f>IF(INDEX(养成消耗调参!$J$148:$J$197,D143)=0,"起步奖励",G143/($BB$4*INDEX(养成消耗调参!$J$148:$J$197,D143)))</x:f>
        <x:v>0.6342266944383524</x:v>
      </x:c>
      <x:c r="AF143" s="27" t="n">
        <x:f>IF(INDEX(养成消耗调参!$M$148:$M$197,D143)=0,"起步奖励",J143/($BB$4*$BB$21*INDEX(养成消耗调参!$M$148:$M$197,D143)))</x:f>
        <x:v>1.234812681222688</x:v>
      </x:c>
      <x:c r="AG143" s="25" t="n">
        <x:f>J143-INDEX(养成消耗调参!$M$148:$M$197,AB143)*$BB$4*$BB$21</x:f>
        <x:v>174631.43545152328</x:v>
      </x:c>
      <x:c r="AH143" s="27" t="n">
        <x:f>IF(INDEX(养成消耗调参!$P$148:$P$197,D143)=0,"无需突破",P143/INDEX(养成消耗调参!$P$148:$P$197,D143))</x:f>
        <x:v>0.9296122644393492</x:v>
      </x:c>
      <x:c r="AI143" s="25" t="n">
        <x:f>MAX(INDEX(养成消耗调参!$J$148:$J$197,D143)*$BB$4-G143,0)</x:f>
        <x:v>5433.928227423836</x:v>
      </x:c>
    </x:row>
    <x:row r="144" ht="23.100000381469727" customHeight="1">
      <x:c r="A144" s="19">
        <x:f t="shared" si="30"/>
        <x:v>46</x:v>
      </x:c>
      <x:c r="B144" s="19">
        <x:f t="shared" si="40"/>
        <x:v>1040110</x:v>
      </x:c>
      <x:c r="C144" s="19" t="str">
        <x:f t="shared" si="40"/>
        <x:v>4-终章2</x:v>
      </x:c>
      <x:c r="D144" s="19" t="n">
        <x:f>关卡数值!I58</x:f>
        <x:v>40</x:v>
      </x:c>
      <x:c r="E144" s="19" t="n">
        <x:f>关卡数值!J58</x:f>
        <x:v>31</x:v>
      </x:c>
      <x:c r="F144" s="19" t="n">
        <x:f>关卡数值!K58</x:f>
        <x:v>22</x:v>
      </x:c>
      <x:c r="G144" s="26" t="n">
        <x:f>SUM(G$39:G84)+IF(ISNUMBER($BB$22),M144/$BB$11*$BB$22,0)</x:f>
        <x:v>9767.740432925502</x:v>
      </x:c>
      <x:c r="H144" s="26" t="n">
        <x:f>SUM(H$39:H84)+IF(ISNUMBER($BB$23),M144/$BB$11*$BB$23,0)</x:f>
        <x:v>9767.740432925502</x:v>
      </x:c>
      <x:c r="I144" s="26" t="n">
        <x:f>SUM(I$39:I84)+IF(ISNUMBER($BB$24),M144/$BB$11*$BB$24,0)</x:f>
        <x:v>9767.740432925502</x:v>
      </x:c>
      <x:c r="J144" s="26" t="n">
        <x:f>SUM(J$39:J84)+IF(ISNUMBER($BB$25),M144/$BB$11*$BB$25,0)</x:f>
        <x:v>339664.80865851004</x:v>
      </x:c>
      <x:c r="K144" s="26" t="n">
        <x:f>SUM(O$39:O84)</x:f>
        <x:v>120</x:v>
      </x:c>
      <x:c r="L144" s="26" t="n">
        <x:f>SUM(P$39:P84)</x:f>
        <x:v>7700</x:v>
      </x:c>
      <x:c r="M144" s="26">
        <x:f t="shared" si="31"/>
        <x:v>370</x:v>
      </x:c>
      <x:c r="N144" s="26">
        <x:f t="shared" si="32"/>
        <x:v>0</x:v>
      </x:c>
      <x:c r="O144" s="26">
        <x:f t="shared" si="33"/>
        <x:v>200</x:v>
      </x:c>
      <x:c r="P144" s="26">
        <x:f t="shared" si="34"/>
        <x:v>468.16306539681665</x:v>
      </x:c>
      <x:c r="Q144" s="26">
        <x:f t="shared" si="35"/>
        <x:v>92.457309657316472</x:v>
      </x:c>
      <x:c r="R144" s="26">
        <x:f t="shared" si="36"/>
        <x:v>25.153422134592081</x:v>
      </x:c>
      <x:c r="S144" s="19" t="n">
        <x:f>COUNTIFS(养成消耗调参!$J$148:$J$197,"&lt;="&amp;MIN(G144:I144)/$BB$4)</x:f>
        <x:v>30</x:v>
      </x:c>
      <x:c r="T144" s="19" t="n">
        <x:f>COUNTIFS(养成消耗调参!$K$148:$K$197,"&lt;="&amp;MIN(G144:I144)/$BB$4)</x:f>
        <x:v>25</x:v>
      </x:c>
      <x:c r="U144" s="19" t="n">
        <x:f>COUNTIFS(养成消耗调参!$L$148:$L$197,"&lt;="&amp;MIN(G144:I144)/$BB$4)</x:f>
        <x:v>22</x:v>
      </x:c>
      <x:c r="V144" s="19" t="n">
        <x:f>COUNTIFS(养成消耗调参!$M$148:$M$197,"&lt;="&amp;J144/($BB$4*$BB$21))</x:f>
        <x:v>41</x:v>
      </x:c>
      <x:c r="W144" s="19" t="n">
        <x:f>COUNTIFS(养成消耗调参!$N$148:$N$197,"&lt;="&amp;J144/($BB$4*$BB$21))</x:f>
        <x:v>34</x:v>
      </x:c>
      <x:c r="X144" s="19" t="n">
        <x:f>COUNTIFS(养成消耗调参!$O$148:$O$197,"&lt;="&amp;J144/($BB$4*$BB$21))</x:f>
        <x:v>30</x:v>
      </x:c>
      <x:c r="Y144" s="19" t="n">
        <x:f>COUNTIFS(养成消耗调参!$P$148:$P$197,"&lt;="&amp;P144)</x:f>
        <x:v>34</x:v>
      </x:c>
      <x:c r="Z144" s="19" t="n">
        <x:f>COUNTIFS(养成消耗调参!$P$148:$P$197,"&lt;="&amp;Q144)</x:f>
        <x:v>19</x:v>
      </x:c>
      <x:c r="AA144" s="19" t="n">
        <x:f>COUNTIFS(养成消耗调参!$P$148:$P$197,"&lt;="&amp;R144)</x:f>
        <x:v>9</x:v>
      </x:c>
      <x:c r="AB144" s="19">
        <x:f t="shared" si="37"/>
        <x:v>30</x:v>
      </x:c>
      <x:c r="AC144" s="19">
        <x:f t="shared" si="38"/>
        <x:v>19</x:v>
      </x:c>
      <x:c r="AD144" s="19">
        <x:f t="shared" si="39"/>
        <x:v>9</x:v>
      </x:c>
      <x:c r="AE144" s="27" t="n">
        <x:f>IF(INDEX(养成消耗调参!$J$148:$J$197,D144)=0,"起步奖励",G144/($BB$4*INDEX(养成消耗调参!$J$148:$J$197,D144)))</x:f>
        <x:v>0.5582842039852254</x:v>
      </x:c>
      <x:c r="AF144" s="27" t="n">
        <x:f>IF(INDEX(养成消耗调参!$M$148:$M$197,D144)=0,"起步奖励",J144/($BB$4*$BB$21*INDEX(养成消耗调参!$M$148:$M$197,D144)))</x:f>
        <x:v>1.0752288973045585</x:v>
      </x:c>
      <x:c r="AG144" s="25" t="n">
        <x:f>J144-INDEX(养成消耗调参!$M$148:$M$197,AB144)*$BB$4*$BB$21</x:f>
        <x:v>175864.80865851004</x:v>
      </x:c>
      <x:c r="AH144" s="27" t="n">
        <x:f>IF(INDEX(养成消耗调参!$P$148:$P$197,D144)=0,"无需突破",P144/INDEX(养成消耗调参!$P$148:$P$197,D144))</x:f>
        <x:v>0.731504789682526</x:v>
      </x:c>
      <x:c r="AI144" s="25" t="n">
        <x:f>MAX(INDEX(养成消耗调参!$J$148:$J$197,D144)*$BB$4-G144,0)</x:f>
        <x:v>7728.259567074498</x:v>
      </x:c>
    </x:row>
    <x:row r="145" ht="23.100000381469727" customHeight="1">
      <x:c r="A145" s="19">
        <x:f t="shared" si="30"/>
        <x:v>47</x:v>
      </x:c>
      <x:c r="B145" s="19">
        <x:f t="shared" si="40"/>
        <x:v>1040120</x:v>
      </x:c>
      <x:c r="C145" s="19" t="str">
        <x:f t="shared" si="40"/>
        <x:v>4-加演1</x:v>
      </x:c>
      <x:c r="D145" s="19" t="n">
        <x:f>关卡数值!I59</x:f>
        <x:v>40</x:v>
      </x:c>
      <x:c r="E145" s="19" t="n">
        <x:f>关卡数值!J59</x:f>
        <x:v>31</x:v>
      </x:c>
      <x:c r="F145" s="19" t="n">
        <x:f>关卡数值!K59</x:f>
        <x:v>22</x:v>
      </x:c>
      <x:c r="G145" s="26" t="n">
        <x:f>SUM(G$39:G85)+IF(ISNUMBER($BB$22),M145/$BB$11*$BB$22,0)</x:f>
        <x:v>10115.40909327484</x:v>
      </x:c>
      <x:c r="H145" s="26" t="n">
        <x:f>SUM(H$39:H85)+IF(ISNUMBER($BB$23),M145/$BB$11*$BB$23,0)</x:f>
        <x:v>10115.40909327484</x:v>
      </x:c>
      <x:c r="I145" s="26" t="n">
        <x:f>SUM(I$39:I85)+IF(ISNUMBER($BB$24),M145/$BB$11*$BB$24,0)</x:f>
        <x:v>10115.40909327484</x:v>
      </x:c>
      <x:c r="J145" s="26" t="n">
        <x:f>SUM(J$39:J85)+IF(ISNUMBER($BB$25),M145/$BB$11*$BB$25,0)</x:f>
        <x:v>352728.1818654968</x:v>
      </x:c>
      <x:c r="K145" s="26" t="n">
        <x:f>SUM(O$39:O85)</x:f>
        <x:v>120</x:v>
      </x:c>
      <x:c r="L145" s="26" t="n">
        <x:f>SUM(P$39:P85)</x:f>
        <x:v>7900</x:v>
      </x:c>
      <x:c r="M145" s="26">
        <x:f t="shared" si="31"/>
        <x:v>380</x:v>
      </x:c>
      <x:c r="N145" s="26">
        <x:f t="shared" si="32"/>
        <x:v>0</x:v>
      </x:c>
      <x:c r="O145" s="26">
        <x:f t="shared" si="33"/>
        <x:v>100</x:v>
      </x:c>
      <x:c r="P145" s="26">
        <x:f t="shared" si="34"/>
        <x:v>480.81612121835224</x:v>
      </x:c>
      <x:c r="Q145" s="26">
        <x:f t="shared" si="35"/>
        <x:v>94.956155864270968</x:v>
      </x:c>
      <x:c r="R145" s="26">
        <x:f t="shared" si="36"/>
        <x:v>25.83324435444592</x:v>
      </x:c>
      <x:c r="S145" s="19" t="n">
        <x:f>COUNTIFS(养成消耗调参!$J$148:$J$197,"&lt;="&amp;MIN(G145:I145)/$BB$4)</x:f>
        <x:v>30</x:v>
      </x:c>
      <x:c r="T145" s="19" t="n">
        <x:f>COUNTIFS(养成消耗调参!$K$148:$K$197,"&lt;="&amp;MIN(G145:I145)/$BB$4)</x:f>
        <x:v>25</x:v>
      </x:c>
      <x:c r="U145" s="19" t="n">
        <x:f>COUNTIFS(养成消耗调参!$L$148:$L$197,"&lt;="&amp;MIN(G145:I145)/$BB$4)</x:f>
        <x:v>22</x:v>
      </x:c>
      <x:c r="V145" s="19" t="n">
        <x:f>COUNTIFS(养成消耗调参!$M$148:$M$197,"&lt;="&amp;J145/($BB$4*$BB$21))</x:f>
        <x:v>41</x:v>
      </x:c>
      <x:c r="W145" s="19" t="n">
        <x:f>COUNTIFS(养成消耗调参!$N$148:$N$197,"&lt;="&amp;J145/($BB$4*$BB$21))</x:f>
        <x:v>35</x:v>
      </x:c>
      <x:c r="X145" s="19" t="n">
        <x:f>COUNTIFS(养成消耗调参!$O$148:$O$197,"&lt;="&amp;J145/($BB$4*$BB$21))</x:f>
        <x:v>31</x:v>
      </x:c>
      <x:c r="Y145" s="19" t="n">
        <x:f>COUNTIFS(养成消耗调参!$P$148:$P$197,"&lt;="&amp;P145)</x:f>
        <x:v>34</x:v>
      </x:c>
      <x:c r="Z145" s="19" t="n">
        <x:f>COUNTIFS(养成消耗调参!$P$148:$P$197,"&lt;="&amp;Q145)</x:f>
        <x:v>19</x:v>
      </x:c>
      <x:c r="AA145" s="19" t="n">
        <x:f>COUNTIFS(养成消耗调参!$P$148:$P$197,"&lt;="&amp;R145)</x:f>
        <x:v>9</x:v>
      </x:c>
      <x:c r="AB145" s="19">
        <x:f t="shared" si="37"/>
        <x:v>30</x:v>
      </x:c>
      <x:c r="AC145" s="19">
        <x:f t="shared" si="38"/>
        <x:v>19</x:v>
      </x:c>
      <x:c r="AD145" s="19">
        <x:f t="shared" si="39"/>
        <x:v>9</x:v>
      </x:c>
      <x:c r="AE145" s="27" t="n">
        <x:f>IF(INDEX(养成消耗调参!$J$148:$J$197,D145)=0,"起步奖励",G145/($BB$4*INDEX(养成消耗调参!$J$148:$J$197,D145)))</x:f>
        <x:v>0.5781555265932122</x:v>
      </x:c>
      <x:c r="AF145" s="27" t="n">
        <x:f>IF(INDEX(养成消耗调参!$M$148:$M$197,D145)=0,"起步奖励",J145/($BB$4*$BB$21*INDEX(养成消耗调参!$M$148:$M$197,D145)))</x:f>
        <x:v>1.116581772287106</x:v>
      </x:c>
      <x:c r="AG145" s="25" t="n">
        <x:f>J145-INDEX(养成消耗调参!$M$148:$M$197,AB145)*$BB$4*$BB$21</x:f>
        <x:v>188928.1818654968</x:v>
      </x:c>
      <x:c r="AH145" s="27" t="n">
        <x:f>IF(INDEX(养成消耗调参!$P$148:$P$197,D145)=0,"无需突破",P145/INDEX(养成消耗调参!$P$148:$P$197,D145))</x:f>
        <x:v>0.7512751894036753</x:v>
      </x:c>
      <x:c r="AI145" s="25" t="n">
        <x:f>MAX(INDEX(养成消耗调参!$J$148:$J$197,D145)*$BB$4-G145,0)</x:f>
        <x:v>7380.59090672516</x:v>
      </x:c>
    </x:row>
    <x:row r="146" ht="23.100000381469727" customHeight="1">
      <x:c r="A146" s="19">
        <x:f t="shared" si="30"/>
        <x:v>48</x:v>
      </x:c>
      <x:c r="B146" s="19">
        <x:f t="shared" si="40"/>
        <x:v>1040130</x:v>
      </x:c>
      <x:c r="C146" s="19" t="str">
        <x:f t="shared" si="40"/>
        <x:v>4-加演2</x:v>
      </x:c>
      <x:c r="D146" s="19" t="n">
        <x:f>关卡数值!I60</x:f>
        <x:v>40</x:v>
      </x:c>
      <x:c r="E146" s="19" t="n">
        <x:f>关卡数值!J60</x:f>
        <x:v>31</x:v>
      </x:c>
      <x:c r="F146" s="19" t="n">
        <x:f>关卡数值!K60</x:f>
        <x:v>22</x:v>
      </x:c>
      <x:c r="G146" s="26" t="n">
        <x:f>SUM(G$39:G86)+IF(ISNUMBER($BB$22),M146/$BB$11*$BB$22,0)</x:f>
        <x:v>10467.077753624179</x:v>
      </x:c>
      <x:c r="H146" s="26" t="n">
        <x:f>SUM(H$39:H86)+IF(ISNUMBER($BB$23),M146/$BB$11*$BB$23,0)</x:f>
        <x:v>10467.077753624179</x:v>
      </x:c>
      <x:c r="I146" s="26" t="n">
        <x:f>SUM(I$39:I86)+IF(ISNUMBER($BB$24),M146/$BB$11*$BB$24,0)</x:f>
        <x:v>10467.077753624179</x:v>
      </x:c>
      <x:c r="J146" s="26" t="n">
        <x:f>SUM(J$39:J86)+IF(ISNUMBER($BB$25),M146/$BB$11*$BB$25,0)</x:f>
        <x:v>365941.55507248355</x:v>
      </x:c>
      <x:c r="K146" s="26" t="n">
        <x:f>SUM(O$39:O86)</x:f>
        <x:v>120</x:v>
      </x:c>
      <x:c r="L146" s="26" t="n">
        <x:f>SUM(P$39:P86)</x:f>
        <x:v>8100</x:v>
      </x:c>
      <x:c r="M146" s="26">
        <x:f t="shared" si="31"/>
        <x:v>390</x:v>
      </x:c>
      <x:c r="N146" s="26">
        <x:f t="shared" si="32"/>
        <x:v>0</x:v>
      </x:c>
      <x:c r="O146" s="26">
        <x:f t="shared" si="33"/>
        <x:v>0</x:v>
      </x:c>
      <x:c r="P146" s="26">
        <x:f t="shared" si="34"/>
        <x:v>493.46917703988788</x:v>
      </x:c>
      <x:c r="Q146" s="26">
        <x:f t="shared" si="35"/>
        <x:v>97.455002071225465</x:v>
      </x:c>
      <x:c r="R146" s="26">
        <x:f t="shared" si="36"/>
        <x:v>26.51306657429976</x:v>
      </x:c>
      <x:c r="S146" s="19" t="n">
        <x:f>COUNTIFS(养成消耗调参!$J$148:$J$197,"&lt;="&amp;MIN(G146:I146)/$BB$4)</x:f>
        <x:v>31</x:v>
      </x:c>
      <x:c r="T146" s="19" t="n">
        <x:f>COUNTIFS(养成消耗调参!$K$148:$K$197,"&lt;="&amp;MIN(G146:I146)/$BB$4)</x:f>
        <x:v>26</x:v>
      </x:c>
      <x:c r="U146" s="19" t="n">
        <x:f>COUNTIFS(养成消耗调参!$L$148:$L$197,"&lt;="&amp;MIN(G146:I146)/$BB$4)</x:f>
        <x:v>22</x:v>
      </x:c>
      <x:c r="V146" s="19" t="n">
        <x:f>COUNTIFS(养成消耗调参!$M$148:$M$197,"&lt;="&amp;J146/($BB$4*$BB$21))</x:f>
        <x:v>42</x:v>
      </x:c>
      <x:c r="W146" s="19" t="n">
        <x:f>COUNTIFS(养成消耗调参!$N$148:$N$197,"&lt;="&amp;J146/($BB$4*$BB$21))</x:f>
        <x:v>35</x:v>
      </x:c>
      <x:c r="X146" s="19" t="n">
        <x:f>COUNTIFS(养成消耗调参!$O$148:$O$197,"&lt;="&amp;J146/($BB$4*$BB$21))</x:f>
        <x:v>31</x:v>
      </x:c>
      <x:c r="Y146" s="19" t="n">
        <x:f>COUNTIFS(养成消耗调参!$P$148:$P$197,"&lt;="&amp;P146)</x:f>
        <x:v>39</x:v>
      </x:c>
      <x:c r="Z146" s="19" t="n">
        <x:f>COUNTIFS(养成消耗调参!$P$148:$P$197,"&lt;="&amp;Q146)</x:f>
        <x:v>19</x:v>
      </x:c>
      <x:c r="AA146" s="19" t="n">
        <x:f>COUNTIFS(养成消耗调参!$P$148:$P$197,"&lt;="&amp;R146)</x:f>
        <x:v>9</x:v>
      </x:c>
      <x:c r="AB146" s="19">
        <x:f t="shared" si="37"/>
        <x:v>31</x:v>
      </x:c>
      <x:c r="AC146" s="19">
        <x:f t="shared" si="38"/>
        <x:v>19</x:v>
      </x:c>
      <x:c r="AD146" s="19">
        <x:f t="shared" si="39"/>
        <x:v>9</x:v>
      </x:c>
      <x:c r="AE146" s="27" t="n">
        <x:f>IF(INDEX(养成消耗调参!$J$148:$J$197,D146)=0,"起步奖励",G146/($BB$4*INDEX(养成消耗调参!$J$148:$J$197,D146)))</x:f>
        <x:v>0.5982554728866128</x:v>
      </x:c>
      <x:c r="AF146" s="27" t="n">
        <x:f>IF(INDEX(养成消耗调参!$M$148:$M$197,D146)=0,"起步奖励",J146/($BB$4*$BB$21*INDEX(养成消耗调参!$M$148:$M$197,D146)))</x:f>
        <x:v>1.1584094810778207</x:v>
      </x:c>
      <x:c r="AG146" s="25" t="n">
        <x:f>J146-INDEX(养成消耗调参!$M$148:$M$197,AB146)*$BB$4*$BB$21</x:f>
        <x:v>190441.55507248355</x:v>
      </x:c>
      <x:c r="AH146" s="27" t="n">
        <x:f>IF(INDEX(养成消耗调参!$P$148:$P$197,D146)=0,"无需突破",P146/INDEX(养成消耗调参!$P$148:$P$197,D146))</x:f>
        <x:v>0.7710455891248248</x:v>
      </x:c>
      <x:c r="AI146" s="25" t="n">
        <x:f>MAX(INDEX(养成消耗调参!$J$148:$J$197,D146)*$BB$4-G146,0)</x:f>
        <x:v>7028.9222463758215</x:v>
      </x:c>
    </x:row>
    <x:row r="147" ht="23.100000381469727" customHeight="1">
      <x:c r="A147" s="19">
        <x:f t="shared" si="30"/>
        <x:v>49</x:v>
      </x:c>
      <x:c r="B147" s="19">
        <x:f t="shared" si="40"/>
        <x:v>1040140</x:v>
      </x:c>
      <x:c r="C147" s="19" t="str">
        <x:f t="shared" si="40"/>
        <x:v>4-加演3</x:v>
      </x:c>
      <x:c r="D147" s="19" t="n">
        <x:f>关卡数值!I61</x:f>
        <x:v>40</x:v>
      </x:c>
      <x:c r="E147" s="19" t="n">
        <x:f>关卡数值!J61</x:f>
        <x:v>31</x:v>
      </x:c>
      <x:c r="F147" s="19" t="n">
        <x:f>关卡数值!K61</x:f>
        <x:v>22</x:v>
      </x:c>
      <x:c r="G147" s="26" t="n">
        <x:f>SUM(G$39:G87)+IF(ISNUMBER($BB$22),M147/$BB$11*$BB$22,0)</x:f>
        <x:v>10806.077753624179</x:v>
      </x:c>
      <x:c r="H147" s="26" t="n">
        <x:f>SUM(H$39:H87)+IF(ISNUMBER($BB$23),M147/$BB$11*$BB$23,0)</x:f>
        <x:v>10806.077753624179</x:v>
      </x:c>
      <x:c r="I147" s="26" t="n">
        <x:f>SUM(I$39:I87)+IF(ISNUMBER($BB$24),M147/$BB$11*$BB$24,0)</x:f>
        <x:v>10806.077753624179</x:v>
      </x:c>
      <x:c r="J147" s="26" t="n">
        <x:f>SUM(J$39:J87)+IF(ISNUMBER($BB$25),M147/$BB$11*$BB$25,0)</x:f>
        <x:v>378941.55507248355</x:v>
      </x:c>
      <x:c r="K147" s="26" t="n">
        <x:f>SUM(O$39:O87)</x:f>
        <x:v>120</x:v>
      </x:c>
      <x:c r="L147" s="26" t="n">
        <x:f>SUM(P$39:P87)</x:f>
        <x:v>8300</x:v>
      </x:c>
      <x:c r="M147" s="26">
        <x:f t="shared" si="31"/>
        <x:v>390</x:v>
      </x:c>
      <x:c r="N147" s="26">
        <x:f t="shared" si="32"/>
        <x:v>0</x:v>
      </x:c>
      <x:c r="O147" s="26">
        <x:f t="shared" si="33"/>
        <x:v>200</x:v>
      </x:c>
      <x:c r="P147" s="26">
        <x:f t="shared" si="34"/>
        <x:v>493.46917703988788</x:v>
      </x:c>
      <x:c r="Q147" s="26">
        <x:f t="shared" si="35"/>
        <x:v>97.455002071225465</x:v>
      </x:c>
      <x:c r="R147" s="26">
        <x:f t="shared" si="36"/>
        <x:v>26.51306657429976</x:v>
      </x:c>
      <x:c r="S147" s="19" t="n">
        <x:f>COUNTIFS(养成消耗调参!$J$148:$J$197,"&lt;="&amp;MIN(G147:I147)/$BB$4)</x:f>
        <x:v>31</x:v>
      </x:c>
      <x:c r="T147" s="19" t="n">
        <x:f>COUNTIFS(养成消耗调参!$K$148:$K$197,"&lt;="&amp;MIN(G147:I147)/$BB$4)</x:f>
        <x:v>26</x:v>
      </x:c>
      <x:c r="U147" s="19" t="n">
        <x:f>COUNTIFS(养成消耗调参!$L$148:$L$197,"&lt;="&amp;MIN(G147:I147)/$BB$4)</x:f>
        <x:v>23</x:v>
      </x:c>
      <x:c r="V147" s="19" t="n">
        <x:f>COUNTIFS(养成消耗调参!$M$148:$M$197,"&lt;="&amp;J147/($BB$4*$BB$21))</x:f>
        <x:v>43</x:v>
      </x:c>
      <x:c r="W147" s="19" t="n">
        <x:f>COUNTIFS(养成消耗调参!$N$148:$N$197,"&lt;="&amp;J147/($BB$4*$BB$21))</x:f>
        <x:v>36</x:v>
      </x:c>
      <x:c r="X147" s="19" t="n">
        <x:f>COUNTIFS(养成消耗调参!$O$148:$O$197,"&lt;="&amp;J147/($BB$4*$BB$21))</x:f>
        <x:v>31</x:v>
      </x:c>
      <x:c r="Y147" s="19" t="n">
        <x:f>COUNTIFS(养成消耗调参!$P$148:$P$197,"&lt;="&amp;P147)</x:f>
        <x:v>39</x:v>
      </x:c>
      <x:c r="Z147" s="19" t="n">
        <x:f>COUNTIFS(养成消耗调参!$P$148:$P$197,"&lt;="&amp;Q147)</x:f>
        <x:v>19</x:v>
      </x:c>
      <x:c r="AA147" s="19" t="n">
        <x:f>COUNTIFS(养成消耗调参!$P$148:$P$197,"&lt;="&amp;R147)</x:f>
        <x:v>9</x:v>
      </x:c>
      <x:c r="AB147" s="19">
        <x:f t="shared" si="37"/>
        <x:v>31</x:v>
      </x:c>
      <x:c r="AC147" s="19">
        <x:f t="shared" si="38"/>
        <x:v>19</x:v>
      </x:c>
      <x:c r="AD147" s="19">
        <x:f t="shared" si="39"/>
        <x:v>9</x:v>
      </x:c>
      <x:c r="AE147" s="27" t="n">
        <x:f>IF(INDEX(养成消耗调参!$J$148:$J$197,D147)=0,"起步奖励",G147/($BB$4*INDEX(养成消耗调参!$J$148:$J$197,D147)))</x:f>
        <x:v>0.6176313302254332</x:v>
      </x:c>
      <x:c r="AF147" s="27" t="n">
        <x:f>IF(INDEX(养成消耗调参!$M$148:$M$197,D147)=0,"起步奖励",J147/($BB$4*$BB$21*INDEX(养成消耗调参!$M$148:$M$197,D147)))</x:f>
        <x:v>1.1995617444523063</x:v>
      </x:c>
      <x:c r="AG147" s="25" t="n">
        <x:f>J147-INDEX(养成消耗调参!$M$148:$M$197,AB147)*$BB$4*$BB$21</x:f>
        <x:v>203441.55507248355</x:v>
      </x:c>
      <x:c r="AH147" s="27" t="n">
        <x:f>IF(INDEX(养成消耗调参!$P$148:$P$197,D147)=0,"无需突破",P147/INDEX(养成消耗调参!$P$148:$P$197,D147))</x:f>
        <x:v>0.7710455891248248</x:v>
      </x:c>
      <x:c r="AI147" s="25" t="n">
        <x:f>MAX(INDEX(养成消耗调参!$J$148:$J$197,D147)*$BB$4-G147,0)</x:f>
        <x:v>6689.9222463758215</x:v>
      </x:c>
    </x:row>
    <x:row r="148" ht="23.100000381469727" customHeight="1">
      <x:c r="A148" s="19">
        <x:f t="shared" si="30"/>
        <x:v>50</x:v>
      </x:c>
      <x:c r="B148" s="19">
        <x:f t="shared" si="40"/>
        <x:v>1040150</x:v>
      </x:c>
      <x:c r="C148" s="19" t="str">
        <x:f t="shared" si="40"/>
        <x:v>4-隐藏关</x:v>
      </x:c>
      <x:c r="D148" s="19" t="n">
        <x:f>关卡数值!I62</x:f>
        <x:v>35</x:v>
      </x:c>
      <x:c r="E148" s="19" t="n">
        <x:f>关卡数值!J62</x:f>
        <x:v>27</x:v>
      </x:c>
      <x:c r="F148" s="19" t="n">
        <x:f>关卡数值!K62</x:f>
        <x:v>19</x:v>
      </x:c>
      <x:c r="G148" s="26" t="n">
        <x:f>SUM(G$39:G88)+IF(ISNUMBER($BB$22),M148/$BB$11*$BB$22,0)</x:f>
        <x:v>11164.746413973517</x:v>
      </x:c>
      <x:c r="H148" s="26" t="n">
        <x:f>SUM(H$39:H88)+IF(ISNUMBER($BB$23),M148/$BB$11*$BB$23,0)</x:f>
        <x:v>11164.746413973517</x:v>
      </x:c>
      <x:c r="I148" s="26" t="n">
        <x:f>SUM(I$39:I88)+IF(ISNUMBER($BB$24),M148/$BB$11*$BB$24,0)</x:f>
        <x:v>11164.746413973517</x:v>
      </x:c>
      <x:c r="J148" s="26" t="n">
        <x:f>SUM(J$39:J88)+IF(ISNUMBER($BB$25),M148/$BB$11*$BB$25,0)</x:f>
        <x:v>392414.9282794703</x:v>
      </x:c>
      <x:c r="K148" s="26" t="n">
        <x:f>SUM(O$39:O88)</x:f>
        <x:v>120</x:v>
      </x:c>
      <x:c r="L148" s="26" t="n">
        <x:f>SUM(P$39:P88)</x:f>
        <x:v>8500</x:v>
      </x:c>
      <x:c r="M148" s="26">
        <x:f t="shared" si="31"/>
        <x:v>400</x:v>
      </x:c>
      <x:c r="N148" s="26">
        <x:f t="shared" si="32"/>
        <x:v>0</x:v>
      </x:c>
      <x:c r="O148" s="26">
        <x:f t="shared" si="33"/>
        <x:v>100</x:v>
      </x:c>
      <x:c r="P148" s="26">
        <x:f t="shared" si="34"/>
        <x:v>506.12223286142347</x:v>
      </x:c>
      <x:c r="Q148" s="26">
        <x:f t="shared" si="35"/>
        <x:v>99.953848278179976</x:v>
      </x:c>
      <x:c r="R148" s="26">
        <x:f t="shared" si="36"/>
        <x:v>27.1928887941536</x:v>
      </x:c>
      <x:c r="S148" s="19" t="n">
        <x:f>COUNTIFS(养成消耗调参!$J$148:$J$197,"&lt;="&amp;MIN(G148:I148)/$BB$4)</x:f>
        <x:v>32</x:v>
      </x:c>
      <x:c r="T148" s="19" t="n">
        <x:f>COUNTIFS(养成消耗调参!$K$148:$K$197,"&lt;="&amp;MIN(G148:I148)/$BB$4)</x:f>
        <x:v>26</x:v>
      </x:c>
      <x:c r="U148" s="19" t="n">
        <x:f>COUNTIFS(养成消耗调参!$L$148:$L$197,"&lt;="&amp;MIN(G148:I148)/$BB$4)</x:f>
        <x:v>23</x:v>
      </x:c>
      <x:c r="V148" s="19" t="n">
        <x:f>COUNTIFS(养成消耗调参!$M$148:$M$197,"&lt;="&amp;J148/($BB$4*$BB$21))</x:f>
        <x:v>44</x:v>
      </x:c>
      <x:c r="W148" s="19" t="n">
        <x:f>COUNTIFS(养成消耗调参!$N$148:$N$197,"&lt;="&amp;J148/($BB$4*$BB$21))</x:f>
        <x:v>36</x:v>
      </x:c>
      <x:c r="X148" s="19" t="n">
        <x:f>COUNTIFS(养成消耗调参!$O$148:$O$197,"&lt;="&amp;J148/($BB$4*$BB$21))</x:f>
        <x:v>32</x:v>
      </x:c>
      <x:c r="Y148" s="19" t="n">
        <x:f>COUNTIFS(养成消耗调参!$P$148:$P$197,"&lt;="&amp;P148)</x:f>
        <x:v>39</x:v>
      </x:c>
      <x:c r="Z148" s="19" t="n">
        <x:f>COUNTIFS(养成消耗调参!$P$148:$P$197,"&lt;="&amp;Q148)</x:f>
        <x:v>19</x:v>
      </x:c>
      <x:c r="AA148" s="19" t="n">
        <x:f>COUNTIFS(养成消耗调参!$P$148:$P$197,"&lt;="&amp;R148)</x:f>
        <x:v>9</x:v>
      </x:c>
      <x:c r="AB148" s="19">
        <x:f t="shared" si="37"/>
        <x:v>32</x:v>
      </x:c>
      <x:c r="AC148" s="19">
        <x:f t="shared" si="38"/>
        <x:v>19</x:v>
      </x:c>
      <x:c r="AD148" s="19">
        <x:f t="shared" si="39"/>
        <x:v>9</x:v>
      </x:c>
      <x:c r="AE148" s="27" t="n">
        <x:f>IF(INDEX(养成消耗调参!$J$148:$J$197,D148)=0,"起步奖励",G148/($BB$4*INDEX(养成消耗调参!$J$148:$J$197,D148)))</x:f>
        <x:v>0.8442790694172351</x:v>
      </x:c>
      <x:c r="AF148" s="27" t="n">
        <x:f>IF(INDEX(养成消耗调参!$M$148:$M$197,D148)=0,"起步奖励",J148/($BB$4*$BB$21*INDEX(养成消耗调参!$M$148:$M$197,D148)))</x:f>
        <x:v>1.6834617257806535</x:v>
      </x:c>
      <x:c r="AG148" s="25" t="n">
        <x:f>J148-INDEX(养成消耗调参!$M$148:$M$197,AB148)*$BB$4*$BB$21</x:f>
        <x:v>202514.9282794703</x:v>
      </x:c>
      <x:c r="AH148" s="27" t="n">
        <x:f>IF(INDEX(养成消耗调参!$P$148:$P$197,D148)=0,"无需突破",P148/INDEX(养成消耗调参!$P$148:$P$197,D148))</x:f>
        <x:v>1.0329025160437213</x:v>
      </x:c>
      <x:c r="AI148" s="25" t="n">
        <x:f>MAX(INDEX(养成消耗调参!$J$148:$J$197,D148)*$BB$4-G148,0)</x:f>
        <x:v>2059.2535860264834</x:v>
      </x:c>
    </x:row>
    <x:row r="149" ht="23.100000381469727" customHeight="1">
      <x:c r="A149" s="19">
        <x:f t="shared" si="30"/>
        <x:v>51</x:v>
      </x:c>
      <x:c r="B149" s="19">
        <x:f t="shared" si="40"/>
        <x:v>1050010</x:v>
      </x:c>
      <x:c r="C149" s="19" t="str">
        <x:f t="shared" si="40"/>
        <x:v>5-1</x:v>
      </x:c>
      <x:c r="D149" s="19" t="n">
        <x:f>关卡数值!I63</x:f>
        <x:v>41</x:v>
      </x:c>
      <x:c r="E149" s="19" t="n">
        <x:f>关卡数值!J63</x:f>
        <x:v>32</x:v>
      </x:c>
      <x:c r="F149" s="19" t="n">
        <x:f>关卡数值!K63</x:f>
        <x:v>23</x:v>
      </x:c>
      <x:c r="G149" s="26" t="n">
        <x:f>SUM(G$39:G89)+IF(ISNUMBER($BB$22),M149/$BB$11*$BB$22,0)</x:f>
        <x:v>12413.083734672193</x:v>
      </x:c>
      <x:c r="H149" s="26" t="n">
        <x:f>SUM(H$39:H89)+IF(ISNUMBER($BB$23),M149/$BB$11*$BB$23,0)</x:f>
        <x:v>12413.083734672193</x:v>
      </x:c>
      <x:c r="I149" s="26" t="n">
        <x:f>SUM(I$39:I89)+IF(ISNUMBER($BB$24),M149/$BB$11*$BB$24,0)</x:f>
        <x:v>12413.083734672193</x:v>
      </x:c>
      <x:c r="J149" s="26" t="n">
        <x:f>SUM(J$39:J89)+IF(ISNUMBER($BB$25),M149/$BB$11*$BB$25,0)</x:f>
        <x:v>441611.67469344387</x:v>
      </x:c>
      <x:c r="K149" s="26" t="n">
        <x:f>SUM(O$39:O89)</x:f>
        <x:v>130</x:v>
      </x:c>
      <x:c r="L149" s="26" t="n">
        <x:f>SUM(P$39:P89)</x:f>
        <x:v>8700</x:v>
      </x:c>
      <x:c r="M149" s="26">
        <x:f t="shared" si="31"/>
        <x:v>420</x:v>
      </x:c>
      <x:c r="N149" s="26">
        <x:f t="shared" si="32"/>
        <x:v>0</x:v>
      </x:c>
      <x:c r="O149" s="26">
        <x:f t="shared" si="33"/>
        <x:v>0</x:v>
      </x:c>
      <x:c r="P149" s="26">
        <x:f t="shared" si="34"/>
        <x:v>531.42834450449459</x:v>
      </x:c>
      <x:c r="Q149" s="26">
        <x:f t="shared" si="35"/>
        <x:v>104.95154069208897</x:v>
      </x:c>
      <x:c r="R149" s="26">
        <x:f t="shared" si="36"/>
        <x:v>28.552533233861283</x:v>
      </x:c>
      <x:c r="S149" s="19" t="n">
        <x:f>COUNTIFS(养成消耗调参!$J$148:$J$197,"&lt;="&amp;MIN(G149:I149)/$BB$4)</x:f>
        <x:v>33</x:v>
      </x:c>
      <x:c r="T149" s="19" t="n">
        <x:f>COUNTIFS(养成消耗调参!$K$148:$K$197,"&lt;="&amp;MIN(G149:I149)/$BB$4)</x:f>
        <x:v>28</x:v>
      </x:c>
      <x:c r="U149" s="19" t="n">
        <x:f>COUNTIFS(养成消耗调参!$L$148:$L$197,"&lt;="&amp;MIN(G149:I149)/$BB$4)</x:f>
        <x:v>24</x:v>
      </x:c>
      <x:c r="V149" s="19" t="n">
        <x:f>COUNTIFS(养成消耗调参!$M$148:$M$197,"&lt;="&amp;J149/($BB$4*$BB$21))</x:f>
        <x:v>46</x:v>
      </x:c>
      <x:c r="W149" s="19" t="n">
        <x:f>COUNTIFS(养成消耗调参!$N$148:$N$197,"&lt;="&amp;J149/($BB$4*$BB$21))</x:f>
        <x:v>38</x:v>
      </x:c>
      <x:c r="X149" s="19" t="n">
        <x:f>COUNTIFS(养成消耗调参!$O$148:$O$197,"&lt;="&amp;J149/($BB$4*$BB$21))</x:f>
        <x:v>34</x:v>
      </x:c>
      <x:c r="Y149" s="19" t="n">
        <x:f>COUNTIFS(养成消耗调参!$P$148:$P$197,"&lt;="&amp;P149)</x:f>
        <x:v>39</x:v>
      </x:c>
      <x:c r="Z149" s="19" t="n">
        <x:f>COUNTIFS(养成消耗调参!$P$148:$P$197,"&lt;="&amp;Q149)</x:f>
        <x:v>19</x:v>
      </x:c>
      <x:c r="AA149" s="19" t="n">
        <x:f>COUNTIFS(养成消耗调参!$P$148:$P$197,"&lt;="&amp;R149)</x:f>
        <x:v>9</x:v>
      </x:c>
      <x:c r="AB149" s="19">
        <x:f t="shared" si="37"/>
        <x:v>33</x:v>
      </x:c>
      <x:c r="AC149" s="19">
        <x:f t="shared" si="38"/>
        <x:v>19</x:v>
      </x:c>
      <x:c r="AD149" s="19">
        <x:f t="shared" si="39"/>
        <x:v>9</x:v>
      </x:c>
      <x:c r="AE149" s="27" t="n">
        <x:f>IF(INDEX(养成消耗调参!$J$148:$J$197,D149)=0,"起步奖励",G149/($BB$4*INDEX(养成消耗调参!$J$148:$J$197,D149)))</x:f>
        <x:v>0.6743309286545085</x:v>
      </x:c>
      <x:c r="AF149" s="27" t="n">
        <x:f>IF(INDEX(养成消耗调参!$M$148:$M$197,D149)=0,"起步奖励",J149/($BB$4*$BB$21*INDEX(养成消耗调参!$M$148:$M$197,D149)))</x:f>
        <x:v>1.3261611852655972</x:v>
      </x:c>
      <x:c r="AG149" s="25" t="n">
        <x:f>J149-INDEX(养成消耗调参!$M$148:$M$197,AB149)*$BB$4*$BB$21</x:f>
        <x:v>237311.67469344387</x:v>
      </x:c>
      <x:c r="AH149" s="27" t="n">
        <x:f>IF(INDEX(养成消耗调参!$P$148:$P$197,D149)=0,"无需突破",P149/INDEX(养成消耗调参!$P$148:$P$197,D149))</x:f>
        <x:v>0.8303567882882728</x:v>
      </x:c>
      <x:c r="AI149" s="25" t="n">
        <x:f>MAX(INDEX(养成消耗调参!$J$148:$J$197,D149)*$BB$4-G149,0)</x:f>
        <x:v>5994.916265327807</x:v>
      </x:c>
    </x:row>
    <x:row r="150" ht="23.100000381469727" customHeight="1">
      <x:c r="A150" s="19">
        <x:f t="shared" si="30"/>
        <x:v>52</x:v>
      </x:c>
      <x:c r="B150" s="19">
        <x:f t="shared" si="40"/>
        <x:v>1050020</x:v>
      </x:c>
      <x:c r="C150" s="19" t="str">
        <x:f t="shared" si="40"/>
        <x:v>5-2</x:v>
      </x:c>
      <x:c r="D150" s="19" t="n">
        <x:f>关卡数值!I64</x:f>
        <x:v>43</x:v>
      </x:c>
      <x:c r="E150" s="19" t="n">
        <x:f>关卡数值!J64</x:f>
        <x:v>34</x:v>
      </x:c>
      <x:c r="F150" s="19" t="n">
        <x:f>关卡数值!K64</x:f>
        <x:v>24</x:v>
      </x:c>
      <x:c r="G150" s="26" t="n">
        <x:f>SUM(G$39:G90)+IF(ISNUMBER($BB$22),M150/$BB$11*$BB$22,0)</x:f>
        <x:v>13640.083734672193</x:v>
      </x:c>
      <x:c r="H150" s="26" t="n">
        <x:f>SUM(H$39:H90)+IF(ISNUMBER($BB$23),M150/$BB$11*$BB$23,0)</x:f>
        <x:v>13640.083734672193</x:v>
      </x:c>
      <x:c r="I150" s="26" t="n">
        <x:f>SUM(I$39:I90)+IF(ISNUMBER($BB$24),M150/$BB$11*$BB$24,0)</x:f>
        <x:v>13640.083734672193</x:v>
      </x:c>
      <x:c r="J150" s="26" t="n">
        <x:f>SUM(J$39:J90)+IF(ISNUMBER($BB$25),M150/$BB$11*$BB$25,0)</x:f>
        <x:v>490611.67469344387</x:v>
      </x:c>
      <x:c r="K150" s="26" t="n">
        <x:f>SUM(O$39:O90)</x:f>
        <x:v>130</x:v>
      </x:c>
      <x:c r="L150" s="26" t="n">
        <x:f>SUM(P$39:P90)</x:f>
        <x:v>8900</x:v>
      </x:c>
      <x:c r="M150" s="26">
        <x:f t="shared" si="31"/>
        <x:v>420</x:v>
      </x:c>
      <x:c r="N150" s="26">
        <x:f t="shared" si="32"/>
        <x:v>0</x:v>
      </x:c>
      <x:c r="O150" s="26">
        <x:f t="shared" si="33"/>
        <x:v>200</x:v>
      </x:c>
      <x:c r="P150" s="26">
        <x:f t="shared" si="34"/>
        <x:v>531.42834450449459</x:v>
      </x:c>
      <x:c r="Q150" s="26">
        <x:f t="shared" si="35"/>
        <x:v>104.95154069208897</x:v>
      </x:c>
      <x:c r="R150" s="26">
        <x:f t="shared" si="36"/>
        <x:v>28.552533233861283</x:v>
      </x:c>
      <x:c r="S150" s="19" t="n">
        <x:f>COUNTIFS(养成消耗调参!$J$148:$J$197,"&lt;="&amp;MIN(G150:I150)/$BB$4)</x:f>
        <x:v>35</x:v>
      </x:c>
      <x:c r="T150" s="19" t="n">
        <x:f>COUNTIFS(养成消耗调参!$K$148:$K$197,"&lt;="&amp;MIN(G150:I150)/$BB$4)</x:f>
        <x:v>29</x:v>
      </x:c>
      <x:c r="U150" s="19" t="n">
        <x:f>COUNTIFS(养成消耗调参!$L$148:$L$197,"&lt;="&amp;MIN(G150:I150)/$BB$4)</x:f>
        <x:v>25</x:v>
      </x:c>
      <x:c r="V150" s="19" t="n">
        <x:f>COUNTIFS(养成消耗调参!$M$148:$M$197,"&lt;="&amp;J150/($BB$4*$BB$21))</x:f>
        <x:v>48</x:v>
      </x:c>
      <x:c r="W150" s="19" t="n">
        <x:f>COUNTIFS(养成消耗调参!$N$148:$N$197,"&lt;="&amp;J150/($BB$4*$BB$21))</x:f>
        <x:v>40</x:v>
      </x:c>
      <x:c r="X150" s="19" t="n">
        <x:f>COUNTIFS(养成消耗调参!$O$148:$O$197,"&lt;="&amp;J150/($BB$4*$BB$21))</x:f>
        <x:v>35</x:v>
      </x:c>
      <x:c r="Y150" s="19" t="n">
        <x:f>COUNTIFS(养成消耗调参!$P$148:$P$197,"&lt;="&amp;P150)</x:f>
        <x:v>39</x:v>
      </x:c>
      <x:c r="Z150" s="19" t="n">
        <x:f>COUNTIFS(养成消耗调参!$P$148:$P$197,"&lt;="&amp;Q150)</x:f>
        <x:v>19</x:v>
      </x:c>
      <x:c r="AA150" s="19" t="n">
        <x:f>COUNTIFS(养成消耗调参!$P$148:$P$197,"&lt;="&amp;R150)</x:f>
        <x:v>9</x:v>
      </x:c>
      <x:c r="AB150" s="19">
        <x:f t="shared" si="37"/>
        <x:v>35</x:v>
      </x:c>
      <x:c r="AC150" s="19">
        <x:f t="shared" si="38"/>
        <x:v>19</x:v>
      </x:c>
      <x:c r="AD150" s="19">
        <x:f t="shared" si="39"/>
        <x:v>9</x:v>
      </x:c>
      <x:c r="AE150" s="27" t="n">
        <x:f>IF(INDEX(养成消耗调参!$J$148:$J$197,D150)=0,"起步奖励",G150/($BB$4*INDEX(养成消耗调参!$J$148:$J$197,D150)))</x:f>
        <x:v>0.6709997901747439</x:v>
      </x:c>
      <x:c r="AF150" s="27" t="n">
        <x:f>IF(INDEX(养成消耗调参!$M$148:$M$197,D150)=0,"起步奖励",J150/($BB$4*$BB$21*INDEX(养成消耗调参!$M$148:$M$197,D150)))</x:f>
        <x:v>1.3167248381466556</x:v>
      </x:c>
      <x:c r="AG150" s="25" t="n">
        <x:f>J150-INDEX(养成消耗调参!$M$148:$M$197,AB150)*$BB$4*$BB$21</x:f>
        <x:v>257511.67469344387</x:v>
      </x:c>
      <x:c r="AH150" s="27" t="n">
        <x:f>IF(INDEX(养成消耗调参!$P$148:$P$197,D150)=0,"无需突破",P150/INDEX(养成消耗调参!$P$148:$P$197,D150))</x:f>
        <x:v>0.8303567882882728</x:v>
      </x:c>
      <x:c r="AI150" s="25" t="n">
        <x:f>MAX(INDEX(养成消耗调参!$J$148:$J$197,D150)*$BB$4-G150,0)</x:f>
        <x:v>6687.916265327807</x:v>
      </x:c>
    </x:row>
    <x:row r="151" ht="23.100000381469727" customHeight="1">
      <x:c r="A151" s="19">
        <x:f t="shared" si="30"/>
        <x:v>53</x:v>
      </x:c>
      <x:c r="B151" s="19">
        <x:f t="shared" si="40"/>
        <x:v>1050030</x:v>
      </x:c>
      <x:c r="C151" s="19" t="str">
        <x:f t="shared" si="40"/>
        <x:v>5-3</x:v>
      </x:c>
      <x:c r="D151" s="19" t="n">
        <x:f>关卡数值!I65</x:f>
        <x:v>45</x:v>
      </x:c>
      <x:c r="E151" s="19" t="n">
        <x:f>关卡数值!J65</x:f>
        <x:v>35</x:v>
      </x:c>
      <x:c r="F151" s="19" t="n">
        <x:f>关卡数值!K65</x:f>
        <x:v>25</x:v>
      </x:c>
      <x:c r="G151" s="26" t="n">
        <x:f>SUM(G$39:G91)+IF(ISNUMBER($BB$22),M151/$BB$11*$BB$22,0)</x:f>
        <x:v>14894.75239502153</x:v>
      </x:c>
      <x:c r="H151" s="26" t="n">
        <x:f>SUM(H$39:H91)+IF(ISNUMBER($BB$23),M151/$BB$11*$BB$23,0)</x:f>
        <x:v>14894.75239502153</x:v>
      </x:c>
      <x:c r="I151" s="26" t="n">
        <x:f>SUM(I$39:I91)+IF(ISNUMBER($BB$24),M151/$BB$11*$BB$24,0)</x:f>
        <x:v>14894.75239502153</x:v>
      </x:c>
      <x:c r="J151" s="26" t="n">
        <x:f>SUM(J$39:J91)+IF(ISNUMBER($BB$25),M151/$BB$11*$BB$25,0)</x:f>
        <x:v>540405.0479004306</x:v>
      </x:c>
      <x:c r="K151" s="26" t="n">
        <x:f>SUM(O$39:O91)</x:f>
        <x:v>130</x:v>
      </x:c>
      <x:c r="L151" s="26" t="n">
        <x:f>SUM(P$39:P91)</x:f>
        <x:v>9100</x:v>
      </x:c>
      <x:c r="M151" s="26">
        <x:f t="shared" si="31"/>
        <x:v>430</x:v>
      </x:c>
      <x:c r="N151" s="26">
        <x:f t="shared" si="32"/>
        <x:v>0</x:v>
      </x:c>
      <x:c r="O151" s="26">
        <x:f t="shared" si="33"/>
        <x:v>100</x:v>
      </x:c>
      <x:c r="P151" s="26">
        <x:f t="shared" si="34"/>
        <x:v>544.08140032603012</x:v>
      </x:c>
      <x:c r="Q151" s="26">
        <x:f t="shared" si="35"/>
        <x:v>107.45038689904347</x:v>
      </x:c>
      <x:c r="R151" s="26">
        <x:f t="shared" si="36"/>
        <x:v>29.232355453715119</x:v>
      </x:c>
      <x:c r="S151" s="19" t="n">
        <x:f>COUNTIFS(养成消耗调参!$J$148:$J$197,"&lt;="&amp;MIN(G151:I151)/$BB$4)</x:f>
        <x:v>37</x:v>
      </x:c>
      <x:c r="T151" s="19" t="n">
        <x:f>COUNTIFS(养成消耗调参!$K$148:$K$197,"&lt;="&amp;MIN(G151:I151)/$BB$4)</x:f>
        <x:v>30</x:v>
      </x:c>
      <x:c r="U151" s="19" t="n">
        <x:f>COUNTIFS(养成消耗调参!$L$148:$L$197,"&lt;="&amp;MIN(G151:I151)/$BB$4)</x:f>
        <x:v>26</x:v>
      </x:c>
      <x:c r="V151" s="19" t="n">
        <x:f>COUNTIFS(养成消耗调参!$M$148:$M$197,"&lt;="&amp;J151/($BB$4*$BB$21))</x:f>
        <x:v>50</x:v>
      </x:c>
      <x:c r="W151" s="19" t="n">
        <x:f>COUNTIFS(养成消耗调参!$N$148:$N$197,"&lt;="&amp;J151/($BB$4*$BB$21))</x:f>
        <x:v>42</x:v>
      </x:c>
      <x:c r="X151" s="19" t="n">
        <x:f>COUNTIFS(养成消耗调参!$O$148:$O$197,"&lt;="&amp;J151/($BB$4*$BB$21))</x:f>
        <x:v>37</x:v>
      </x:c>
      <x:c r="Y151" s="19" t="n">
        <x:f>COUNTIFS(养成消耗调参!$P$148:$P$197,"&lt;="&amp;P151)</x:f>
        <x:v>39</x:v>
      </x:c>
      <x:c r="Z151" s="19" t="n">
        <x:f>COUNTIFS(养成消耗调参!$P$148:$P$197,"&lt;="&amp;Q151)</x:f>
        <x:v>19</x:v>
      </x:c>
      <x:c r="AA151" s="19" t="n">
        <x:f>COUNTIFS(养成消耗调参!$P$148:$P$197,"&lt;="&amp;R151)</x:f>
        <x:v>9</x:v>
      </x:c>
      <x:c r="AB151" s="19">
        <x:f t="shared" si="37"/>
        <x:v>37</x:v>
      </x:c>
      <x:c r="AC151" s="19">
        <x:f t="shared" si="38"/>
        <x:v>19</x:v>
      </x:c>
      <x:c r="AD151" s="19">
        <x:f t="shared" si="39"/>
        <x:v>9</x:v>
      </x:c>
      <x:c r="AE151" s="27" t="n">
        <x:f>IF(INDEX(养成消耗调参!$J$148:$J$197,D151)=0,"起步奖励",G151/($BB$4*INDEX(养成消耗调参!$J$148:$J$197,D151)))</x:f>
        <x:v>0.6666108304252386</x:v>
      </x:c>
      <x:c r="AF151" s="27" t="n">
        <x:f>IF(INDEX(养成消耗调参!$M$148:$M$197,D151)=0,"起步奖励",J151/($BB$4*$BB$21*INDEX(养成消耗调参!$M$148:$M$197,D151)))</x:f>
        <x:v>1.3110263170801326</x:v>
      </x:c>
      <x:c r="AG151" s="25" t="n">
        <x:f>J151-INDEX(养成消耗调参!$M$148:$M$197,AB151)*$BB$4*$BB$21</x:f>
        <x:v>275805.0479004306</x:v>
      </x:c>
      <x:c r="AH151" s="27" t="n">
        <x:f>IF(INDEX(养成消耗调参!$P$148:$P$197,D151)=0,"无需突破",P151/INDEX(养成消耗调参!$P$148:$P$197,D151))</x:f>
        <x:v>0.6717054325012718</x:v>
      </x:c>
      <x:c r="AI151" s="25" t="n">
        <x:f>MAX(INDEX(养成消耗调参!$J$148:$J$197,D151)*$BB$4-G151,0)</x:f>
        <x:v>7449.247604978469</x:v>
      </x:c>
    </x:row>
    <x:row r="152" ht="23.100000381469727" customHeight="1">
      <x:c r="A152" s="19">
        <x:f t="shared" si="30"/>
        <x:v>54</x:v>
      </x:c>
      <x:c r="B152" s="19">
        <x:f t="shared" si="40"/>
        <x:v>1050040</x:v>
      </x:c>
      <x:c r="C152" s="19" t="str">
        <x:f t="shared" si="40"/>
        <x:v>5-4</x:v>
      </x:c>
      <x:c r="D152" s="19" t="n">
        <x:f>关卡数值!I66</x:f>
        <x:v>47</x:v>
      </x:c>
      <x:c r="E152" s="19" t="n">
        <x:f>关卡数值!J66</x:f>
        <x:v>37</x:v>
      </x:c>
      <x:c r="F152" s="19" t="n">
        <x:f>关卡数值!K66</x:f>
        <x:v>27</x:v>
      </x:c>
      <x:c r="G152" s="26" t="n">
        <x:f>SUM(G$39:G92)+IF(ISNUMBER($BB$22),M152/$BB$11*$BB$22,0)</x:f>
        <x:v>16161.421055370867</x:v>
      </x:c>
      <x:c r="H152" s="26" t="n">
        <x:f>SUM(H$39:H92)+IF(ISNUMBER($BB$23),M152/$BB$11*$BB$23,0)</x:f>
        <x:v>16161.421055370867</x:v>
      </x:c>
      <x:c r="I152" s="26" t="n">
        <x:f>SUM(I$39:I92)+IF(ISNUMBER($BB$24),M152/$BB$11*$BB$24,0)</x:f>
        <x:v>16161.421055370867</x:v>
      </x:c>
      <x:c r="J152" s="26" t="n">
        <x:f>SUM(J$39:J92)+IF(ISNUMBER($BB$25),M152/$BB$11*$BB$25,0)</x:f>
        <x:v>590678.4211074173</x:v>
      </x:c>
      <x:c r="K152" s="26" t="n">
        <x:f>SUM(O$39:O92)</x:f>
        <x:v>130</x:v>
      </x:c>
      <x:c r="L152" s="26" t="n">
        <x:f>SUM(P$39:P92)</x:f>
        <x:v>9300</x:v>
      </x:c>
      <x:c r="M152" s="26">
        <x:f t="shared" si="31"/>
        <x:v>440</x:v>
      </x:c>
      <x:c r="N152" s="26">
        <x:f t="shared" si="32"/>
        <x:v>0</x:v>
      </x:c>
      <x:c r="O152" s="26">
        <x:f t="shared" si="33"/>
        <x:v>0</x:v>
      </x:c>
      <x:c r="P152" s="26">
        <x:f t="shared" si="34"/>
        <x:v>556.73445614756577</x:v>
      </x:c>
      <x:c r="Q152" s="26">
        <x:f t="shared" si="35"/>
        <x:v>109.94923310599796</x:v>
      </x:c>
      <x:c r="R152" s="26">
        <x:f t="shared" si="36"/>
        <x:v>29.912177673568962</x:v>
      </x:c>
      <x:c r="S152" s="19" t="n">
        <x:f>COUNTIFS(养成消耗调参!$J$148:$J$197,"&lt;="&amp;MIN(G152:I152)/$BB$4)</x:f>
        <x:v>38</x:v>
      </x:c>
      <x:c r="T152" s="19" t="n">
        <x:f>COUNTIFS(养成消耗调参!$K$148:$K$197,"&lt;="&amp;MIN(G152:I152)/$BB$4)</x:f>
        <x:v>31</x:v>
      </x:c>
      <x:c r="U152" s="19" t="n">
        <x:f>COUNTIFS(养成消耗调参!$L$148:$L$197,"&lt;="&amp;MIN(G152:I152)/$BB$4)</x:f>
        <x:v>27</x:v>
      </x:c>
      <x:c r="V152" s="19" t="n">
        <x:f>COUNTIFS(养成消耗调参!$M$148:$M$197,"&lt;="&amp;J152/($BB$4*$BB$21))</x:f>
        <x:v>50</x:v>
      </x:c>
      <x:c r="W152" s="19" t="n">
        <x:f>COUNTIFS(养成消耗调参!$N$148:$N$197,"&lt;="&amp;J152/($BB$4*$BB$21))</x:f>
        <x:v>44</x:v>
      </x:c>
      <x:c r="X152" s="19" t="n">
        <x:f>COUNTIFS(养成消耗调参!$O$148:$O$197,"&lt;="&amp;J152/($BB$4*$BB$21))</x:f>
        <x:v>38</x:v>
      </x:c>
      <x:c r="Y152" s="19" t="n">
        <x:f>COUNTIFS(养成消耗调参!$P$148:$P$197,"&lt;="&amp;P152)</x:f>
        <x:v>39</x:v>
      </x:c>
      <x:c r="Z152" s="19" t="n">
        <x:f>COUNTIFS(养成消耗调参!$P$148:$P$197,"&lt;="&amp;Q152)</x:f>
        <x:v>19</x:v>
      </x:c>
      <x:c r="AA152" s="19" t="n">
        <x:f>COUNTIFS(养成消耗调参!$P$148:$P$197,"&lt;="&amp;R152)</x:f>
        <x:v>9</x:v>
      </x:c>
      <x:c r="AB152" s="19">
        <x:f t="shared" si="37"/>
        <x:v>38</x:v>
      </x:c>
      <x:c r="AC152" s="19">
        <x:f t="shared" si="38"/>
        <x:v>19</x:v>
      </x:c>
      <x:c r="AD152" s="19">
        <x:f t="shared" si="39"/>
        <x:v>9</x:v>
      </x:c>
      <x:c r="AE152" s="27" t="n">
        <x:f>IF(INDEX(养成消耗调参!$J$148:$J$197,D152)=0,"起步奖励",G152/($BB$4*INDEX(养成消耗调参!$J$148:$J$197,D152)))</x:f>
        <x:v>0.6608366476680924</x:v>
      </x:c>
      <x:c r="AF152" s="27" t="n">
        <x:f>IF(INDEX(养成消耗调参!$M$148:$M$197,D152)=0,"起步奖励",J152/($BB$4*$BB$21*INDEX(养成消耗调参!$M$148:$M$197,D152)))</x:f>
        <x:v>1.2996224886851866</x:v>
      </x:c>
      <x:c r="AG152" s="25" t="n">
        <x:f>J152-INDEX(养成消耗调参!$M$148:$M$197,AB152)*$BB$4*$BB$21</x:f>
        <x:v>308978.4211074173</x:v>
      </x:c>
      <x:c r="AH152" s="27" t="n">
        <x:f>IF(INDEX(养成消耗调参!$P$148:$P$197,D152)=0,"无需突破",P152/INDEX(养成消耗调参!$P$148:$P$197,D152))</x:f>
        <x:v>0.6873264890710689</x:v>
      </x:c>
      <x:c r="AI152" s="25" t="n">
        <x:f>MAX(INDEX(养成消耗调参!$J$148:$J$197,D152)*$BB$4-G152,0)</x:f>
        <x:v>8294.578944629133</x:v>
      </x:c>
    </x:row>
    <x:row r="153" ht="23.100000381469727" customHeight="1">
      <x:c r="A153" s="19">
        <x:f t="shared" si="30"/>
        <x:v>55</x:v>
      </x:c>
      <x:c r="B153" s="19">
        <x:f t="shared" si="40"/>
        <x:v>1050050</x:v>
      </x:c>
      <x:c r="C153" s="19" t="str">
        <x:f t="shared" si="40"/>
        <x:v>5-5</x:v>
      </x:c>
      <x:c r="D153" s="19" t="n">
        <x:f>关卡数值!I67</x:f>
        <x:v>50</x:v>
      </x:c>
      <x:c r="E153" s="19" t="n">
        <x:f>关卡数值!J67</x:f>
        <x:v>39</x:v>
      </x:c>
      <x:c r="F153" s="19" t="n">
        <x:f>关卡数值!K67</x:f>
        <x:v>29</x:v>
      </x:c>
      <x:c r="G153" s="26" t="n">
        <x:f>SUM(G$39:G93)+IF(ISNUMBER($BB$22),M153/$BB$11*$BB$22,0)</x:f>
        <x:v>17440.089715720205</x:v>
      </x:c>
      <x:c r="H153" s="26" t="n">
        <x:f>SUM(H$39:H93)+IF(ISNUMBER($BB$23),M153/$BB$11*$BB$23,0)</x:f>
        <x:v>17440.089715720205</x:v>
      </x:c>
      <x:c r="I153" s="26" t="n">
        <x:f>SUM(I$39:I93)+IF(ISNUMBER($BB$24),M153/$BB$11*$BB$24,0)</x:f>
        <x:v>17440.089715720205</x:v>
      </x:c>
      <x:c r="J153" s="26" t="n">
        <x:f>SUM(J$39:J93)+IF(ISNUMBER($BB$25),M153/$BB$11*$BB$25,0)</x:f>
        <x:v>641401.7943144041</x:v>
      </x:c>
      <x:c r="K153" s="26" t="n">
        <x:f>SUM(O$39:O93)</x:f>
        <x:v>140</x:v>
      </x:c>
      <x:c r="L153" s="26" t="n">
        <x:f>SUM(P$39:P93)</x:f>
        <x:v>9500</x:v>
      </x:c>
      <x:c r="M153" s="26">
        <x:f t="shared" si="31"/>
        <x:v>450</x:v>
      </x:c>
      <x:c r="N153" s="26">
        <x:f t="shared" si="32"/>
        <x:v>0</x:v>
      </x:c>
      <x:c r="O153" s="26">
        <x:f t="shared" si="33"/>
        <x:v>200</x:v>
      </x:c>
      <x:c r="P153" s="26">
        <x:f t="shared" si="34"/>
        <x:v>569.38751196910141</x:v>
      </x:c>
      <x:c r="Q153" s="26">
        <x:f t="shared" si="35"/>
        <x:v>112.44807931295246</x:v>
      </x:c>
      <x:c r="R153" s="26">
        <x:f t="shared" si="36"/>
        <x:v>30.591999893422798</x:v>
      </x:c>
      <x:c r="S153" s="19" t="n">
        <x:f>COUNTIFS(养成消耗调参!$J$148:$J$197,"&lt;="&amp;MIN(G153:I153)/$BB$4)</x:f>
        <x:v>39</x:v>
      </x:c>
      <x:c r="T153" s="19" t="n">
        <x:f>COUNTIFS(养成消耗调参!$K$148:$K$197,"&lt;="&amp;MIN(G153:I153)/$BB$4)</x:f>
        <x:v>33</x:v>
      </x:c>
      <x:c r="U153" s="19" t="n">
        <x:f>COUNTIFS(养成消耗调参!$L$148:$L$197,"&lt;="&amp;MIN(G153:I153)/$BB$4)</x:f>
        <x:v>28</x:v>
      </x:c>
      <x:c r="V153" s="19" t="n">
        <x:f>COUNTIFS(养成消耗调参!$M$148:$M$197,"&lt;="&amp;J153/($BB$4*$BB$21))</x:f>
        <x:v>50</x:v>
      </x:c>
      <x:c r="W153" s="19" t="n">
        <x:f>COUNTIFS(养成消耗调参!$N$148:$N$197,"&lt;="&amp;J153/($BB$4*$BB$21))</x:f>
        <x:v>45</x:v>
      </x:c>
      <x:c r="X153" s="19" t="n">
        <x:f>COUNTIFS(养成消耗调参!$O$148:$O$197,"&lt;="&amp;J153/($BB$4*$BB$21))</x:f>
        <x:v>40</x:v>
      </x:c>
      <x:c r="Y153" s="19" t="n">
        <x:f>COUNTIFS(养成消耗调参!$P$148:$P$197,"&lt;="&amp;P153)</x:f>
        <x:v>39</x:v>
      </x:c>
      <x:c r="Z153" s="19" t="n">
        <x:f>COUNTIFS(养成消耗调参!$P$148:$P$197,"&lt;="&amp;Q153)</x:f>
        <x:v>19</x:v>
      </x:c>
      <x:c r="AA153" s="19" t="n">
        <x:f>COUNTIFS(养成消耗调参!$P$148:$P$197,"&lt;="&amp;R153)</x:f>
        <x:v>9</x:v>
      </x:c>
      <x:c r="AB153" s="19">
        <x:f t="shared" si="37"/>
        <x:v>39</x:v>
      </x:c>
      <x:c r="AC153" s="19">
        <x:f t="shared" si="38"/>
        <x:v>19</x:v>
      </x:c>
      <x:c r="AD153" s="19">
        <x:f t="shared" si="39"/>
        <x:v>9</x:v>
      </x:c>
      <x:c r="AE153" s="27" t="n">
        <x:f>IF(INDEX(养成消耗调参!$J$148:$J$197,D153)=0,"起步奖励",G153/($BB$4*INDEX(养成消耗调参!$J$148:$J$197,D153)))</x:f>
        <x:v>0.6269805045916094</x:v>
      </x:c>
      <x:c r="AF153" s="27" t="n">
        <x:f>IF(INDEX(养成消耗调参!$M$148:$M$197,D153)=0,"起步奖励",J153/($BB$4*$BB$21*INDEX(养成消耗调参!$M$148:$M$197,D153)))</x:f>
        <x:v>1.228739069567824</x:v>
      </x:c>
      <x:c r="AG153" s="25" t="n">
        <x:f>J153-INDEX(养成消耗调参!$M$148:$M$197,AB153)*$BB$4*$BB$21</x:f>
        <x:v>342601.79431440413</x:v>
      </x:c>
      <x:c r="AH153" s="27" t="n">
        <x:f>IF(INDEX(养成消耗调参!$P$148:$P$197,D153)=0,"无需突破",P153/INDEX(养成消耗调参!$P$148:$P$197,D153))</x:f>
        <x:v>0.5693875119691014</x:v>
      </x:c>
      <x:c r="AI153" s="25" t="n">
        <x:f>MAX(INDEX(养成消耗调参!$J$148:$J$197,D153)*$BB$4-G153,0)</x:f>
        <x:v>10375.910284279795</x:v>
      </x:c>
    </x:row>
    <x:row r="154" ht="23.100000381469727" customHeight="1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19"/>
      <x:c r="L154" s="19"/>
      <x:c r="M154" s="19"/>
      <x:c r="N154" s="19"/>
      <x:c r="O154" s="19"/>
      <x:c r="P154" s="19"/>
      <x:c r="Q154" s="19"/>
      <x:c r="R154" s="19"/>
      <x:c r="S154" s="19"/>
      <x:c r="T154" s="19"/>
      <x:c r="U154" s="19"/>
      <x:c r="V154" s="19"/>
      <x:c r="W154" s="19"/>
      <x:c r="X154" s="19"/>
      <x:c r="Y154" s="19"/>
      <x:c r="Z154" s="19"/>
      <x:c r="AA154" s="19"/>
      <x:c r="AB154" s="19"/>
      <x:c r="AC154" s="19"/>
      <x:c r="AD154" s="19"/>
      <x:c r="AE154" s="19"/>
      <x:c r="AF154" s="19"/>
      <x:c r="AG154" s="19"/>
      <x:c r="AH154" s="19"/>
      <x:c r="AI154" s="19"/>
    </x:row>
    <x:row r="155" ht="23.100000381469727" customHeight="1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19"/>
      <x:c r="L155" s="19"/>
      <x:c r="M155" s="19"/>
      <x:c r="N155" s="19"/>
      <x:c r="O155" s="19"/>
      <x:c r="P155" s="19"/>
      <x:c r="Q155" s="19"/>
      <x:c r="R155" s="19"/>
      <x:c r="S155" s="19"/>
      <x:c r="T155" s="19"/>
      <x:c r="U155" s="19"/>
      <x:c r="V155" s="19"/>
      <x:c r="W155" s="19"/>
      <x:c r="X155" s="19"/>
      <x:c r="Y155" s="19"/>
      <x:c r="Z155" s="19"/>
      <x:c r="AA155" s="19"/>
      <x:c r="AB155" s="19"/>
      <x:c r="AC155" s="19"/>
      <x:c r="AD155" s="19"/>
      <x:c r="AE155" s="19"/>
      <x:c r="AF155" s="19"/>
      <x:c r="AG155" s="19"/>
      <x:c r="AH155" s="19"/>
      <x:c r="AI155" s="19"/>
    </x:row>
    <x:row r="156" ht="23.100000381469727" customHeight="1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19"/>
      <x:c r="L156" s="19"/>
      <x:c r="M156" s="19"/>
      <x:c r="N156" s="19"/>
      <x:c r="O156" s="19"/>
      <x:c r="P156" s="19"/>
      <x:c r="Q156" s="19"/>
      <x:c r="R156" s="19"/>
      <x:c r="S156" s="19"/>
      <x:c r="T156" s="19"/>
      <x:c r="U156" s="19"/>
      <x:c r="V156" s="19"/>
      <x:c r="W156" s="19"/>
      <x:c r="X156" s="19"/>
      <x:c r="Y156" s="19"/>
      <x:c r="Z156" s="19"/>
      <x:c r="AA156" s="19"/>
      <x:c r="AB156" s="19"/>
      <x:c r="AC156" s="19"/>
      <x:c r="AD156" s="19"/>
      <x:c r="AE156" s="19"/>
      <x:c r="AF156" s="19"/>
      <x:c r="AG156" s="19"/>
      <x:c r="AH156" s="19"/>
      <x:c r="AI156" s="19"/>
    </x:row>
    <x:row r="157" ht="23.100000381469727" customHeight="1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  <x:c r="K157" s="19"/>
      <x:c r="L157" s="19"/>
      <x:c r="M157" s="19"/>
      <x:c r="N157" s="19"/>
      <x:c r="O157" s="19"/>
      <x:c r="P157" s="19"/>
      <x:c r="Q157" s="19"/>
      <x:c r="R157" s="19"/>
      <x:c r="S157" s="19"/>
      <x:c r="T157" s="19"/>
      <x:c r="U157" s="19"/>
      <x:c r="V157" s="19"/>
      <x:c r="W157" s="19"/>
      <x:c r="X157" s="19"/>
      <x:c r="Y157" s="19"/>
      <x:c r="Z157" s="19"/>
      <x:c r="AA157" s="19"/>
      <x:c r="AB157" s="19"/>
      <x:c r="AC157" s="19"/>
      <x:c r="AD157" s="19"/>
      <x:c r="AE157" s="19"/>
      <x:c r="AF157" s="19"/>
      <x:c r="AG157" s="19"/>
      <x:c r="AH157" s="19"/>
      <x:c r="AI157" s="19"/>
    </x:row>
  </x:sheetData>
  <x:mergeCells>
    <x:mergeCell ref="A2:P2"/>
    <x:mergeCell ref="A4:Q4"/>
    <x:mergeCell ref="A5:Q5"/>
    <x:mergeCell ref="A6:Q6"/>
    <x:mergeCell ref="A7:Q7"/>
    <x:mergeCell ref="N10:Y10"/>
    <x:mergeCell ref="N11:Y11"/>
    <x:mergeCell ref="N12:Y12"/>
    <x:mergeCell ref="N13:Y13"/>
    <x:mergeCell ref="N14:Y14"/>
  </x:mergeCells>
  <x:conditionalFormatting sqref="AB99:AD153">
    <x:cfRule type="colorScale" priority="1">
      <x:colorScale>
        <x:cfvo type="min"/>
        <x:cfvo type="percentile" val="50"/>
        <x:cfvo type="max"/>
        <x:color rgb="FFFAEFE8"/>
        <x:color rgb="FFEEF4F9"/>
        <x:color rgb="FFB6D5EC"/>
      </x:colorScale>
    </x:cfRule>
  </x:conditionalFormatting>
  <x:dataValidations count="2">
    <x:dataValidation type="whole" sqref="BB4 BB20:BB21 BB9:BB17">
      <x:formula1>1</x:formula1>
      <x:formula2>10000</x:formula2>
    </x:dataValidation>
    <x:dataValidation type="list" sqref="BB19">
      <x:formula1>"5,10"</x:formula1>
    </x:dataValidation>
  </x:dataValidations>
  <x:pageMargins left="0.7" right="0.7" top="0.75" bottom="0.75" header="0.3" footer="0.3"/>
  <x:drawing xmlns:r="http://schemas.openxmlformats.org/officeDocument/2006/relationships" r:id="R91fe6e7ca8a44b65"/>
  <x:tableParts count="2">
    <x:tablePart xmlns:r="http://schemas.openxmlformats.org/officeDocument/2006/relationships" r:id="Re2a1ba20ba1f426b"/>
    <x:tablePart xmlns:r="http://schemas.openxmlformats.org/officeDocument/2006/relationships" r:id="R0b70a2d8ee3d4ffe"/>
  </x:tableParts>
</x:worksheet>
</file>

<file path=xl/worksheets/sheet5.xml><?xml version="1.0" encoding="utf-8"?>
<x:worksheet xmlns:x="http://schemas.openxmlformats.org/spreadsheetml/2006/main">
  <x:sheetPr>
    <x:tabColor rgb="FFB8822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customWidth="1"/>
    <x:col min="2" max="2" width="17" customWidth="1"/>
    <x:col min="3" max="6" width="13" customWidth="1"/>
    <x:col min="7" max="7" width="21" customWidth="1"/>
    <x:col min="8" max="9" width="13" customWidth="1"/>
    <x:col min="10" max="10" width="21" customWidth="1"/>
    <x:col min="11" max="16" width="13" customWidth="1"/>
  </x:cols>
  <x:sheetData>
    <x:row r="1" ht="23.100000381469727" customHeight="1">
      <x:c r="A1" s="19"/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</x:row>
    <x:row r="2" ht="32.099998474121094" customHeight="1">
      <x:c r="A2" s="19"/>
      <x:c r="B2" s="32" t="s">
        <x:v>409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</x:row>
    <x:row r="3" ht="23.100000381469727" customHeight="1">
      <x:c r="A3" s="19"/>
      <x:c r="B3" s="33" t="s">
        <x:v>410</x:v>
      </x:c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</x:row>
    <x:row r="4" ht="23.100000381469727" customHeight="1">
      <x:c r="A4" s="19"/>
      <x:c r="B4" s="34"/>
      <x:c r="C4" s="34"/>
      <x:c r="D4" s="34"/>
      <x:c r="E4" s="34"/>
      <x:c r="F4" s="34"/>
      <x:c r="G4" s="34"/>
      <x:c r="H4" s="34"/>
      <x:c r="I4" s="34"/>
      <x:c r="J4" s="34"/>
      <x:c r="K4" s="34"/>
      <x:c r="L4" s="34"/>
      <x:c r="M4" s="34"/>
      <x:c r="N4" s="34"/>
      <x:c r="O4" s="34"/>
      <x:c r="P4" s="34"/>
    </x:row>
    <x:row r="5" ht="23.100000381469727" customHeight="1">
      <x:c r="A5" s="19"/>
      <x:c r="B5" s="25"/>
      <x:c r="C5" s="25"/>
      <x:c r="D5" s="25"/>
      <x:c r="E5" s="25"/>
      <x:c r="F5" s="25"/>
      <x:c r="G5" s="25"/>
      <x:c r="H5" s="25"/>
      <x:c r="I5" s="25"/>
      <x:c r="J5" s="25"/>
      <x:c r="K5" s="25"/>
      <x:c r="L5" s="25"/>
      <x:c r="M5" s="25"/>
      <x:c r="N5" s="25"/>
      <x:c r="O5" s="25"/>
      <x:c r="P5" s="25"/>
    </x:row>
    <x:row r="6" ht="23.100000381469727" customHeight="1">
      <x:c r="A6" s="19"/>
      <x:c r="B6" s="35" t="s">
        <x:v>411</x:v>
      </x:c>
      <x:c r="C6" s="25"/>
      <x:c r="D6" s="25"/>
      <x:c r="E6" s="25"/>
      <x:c r="F6" s="25"/>
      <x:c r="G6" s="35" t="s">
        <x:v>412</x:v>
      </x:c>
      <x:c r="H6" s="25"/>
      <x:c r="I6" s="25"/>
      <x:c r="J6" s="25"/>
      <x:c r="K6" s="25"/>
      <x:c r="L6" s="25"/>
      <x:c r="M6" s="25"/>
      <x:c r="N6" s="25"/>
      <x:c r="O6" s="25"/>
      <x:c r="P6" s="25"/>
    </x:row>
    <x:row r="7" ht="23.100000381469727" customHeight="1">
      <x:c r="A7" s="19"/>
      <x:c r="B7" s="25"/>
      <x:c r="C7" s="25"/>
      <x:c r="D7" s="25"/>
      <x:c r="E7" s="25"/>
      <x:c r="F7" s="25"/>
      <x:c r="G7" s="25"/>
      <x:c r="H7" s="25"/>
      <x:c r="I7" s="25"/>
      <x:c r="J7" s="25"/>
      <x:c r="K7" s="25"/>
      <x:c r="L7" s="25"/>
      <x:c r="M7" s="25"/>
      <x:c r="N7" s="25"/>
      <x:c r="O7" s="25"/>
      <x:c r="P7" s="25"/>
    </x:row>
    <x:row r="8" ht="30" customHeight="1">
      <x:c r="A8" s="19"/>
      <x:c r="B8" s="36" t="s">
        <x:v>413</x:v>
      </x:c>
      <x:c r="C8" s="49" t="s">
        <x:v>414</x:v>
      </x:c>
      <x:c r="D8" s="50" t="s">
        <x:v>415</x:v>
      </x:c>
      <x:c r="E8" s="51" t="s">
        <x:v>416</x:v>
      </x:c>
      <x:c r="F8" s="25"/>
      <x:c r="G8" s="36" t="s">
        <x:v>417</x:v>
      </x:c>
      <x:c r="H8" s="37" t="s">
        <x:v>418</x:v>
      </x:c>
      <x:c r="I8" s="37" t="s">
        <x:v>419</x:v>
      </x:c>
      <x:c r="J8" s="38" t="s">
        <x:v>420</x:v>
      </x:c>
      <x:c r="K8" s="25"/>
      <x:c r="L8" s="25"/>
      <x:c r="M8" s="25"/>
      <x:c r="N8" s="25"/>
      <x:c r="O8" s="25"/>
      <x:c r="P8" s="25"/>
    </x:row>
    <x:row r="9" ht="23.100000381469727" customHeight="1">
      <x:c r="A9" s="19"/>
      <x:c r="B9" s="25" t="s">
        <x:v>421</x:v>
      </x:c>
      <x:c r="C9" s="39">
        <x:v>24</x:v>
      </x:c>
      <x:c r="D9" s="39">
        <x:v>36</x:v>
      </x:c>
      <x:c r="E9" s="39">
        <x:v>48</x:v>
      </x:c>
      <x:c r="F9" s="25"/>
      <x:c r="G9" s="25" t="s">
        <x:v>422</x:v>
      </x:c>
      <x:c r="H9" s="39">
        <x:v>10</x:v>
      </x:c>
      <x:c r="I9" s="25" t="s">
        <x:v>423</x:v>
      </x:c>
      <x:c r="J9" s="25" t="s">
        <x:v>424</x:v>
      </x:c>
      <x:c r="K9" s="25"/>
      <x:c r="L9" s="25"/>
      <x:c r="M9" s="25"/>
      <x:c r="N9" s="25"/>
      <x:c r="O9" s="25"/>
      <x:c r="P9" s="25"/>
    </x:row>
    <x:row r="10" ht="23.100000381469727" customHeight="1">
      <x:c r="A10" s="19"/>
      <x:c r="B10" s="25" t="s">
        <x:v>425</x:v>
      </x:c>
      <x:c r="C10" s="39">
        <x:v>300</x:v>
      </x:c>
      <x:c r="D10" s="39">
        <x:v>450</x:v>
      </x:c>
      <x:c r="E10" s="39">
        <x:v>600</x:v>
      </x:c>
      <x:c r="F10" s="25"/>
      <x:c r="G10" s="25" t="s">
        <x:v>426</x:v>
      </x:c>
      <x:c r="H10" s="39">
        <x:v>20</x:v>
      </x:c>
      <x:c r="I10" s="25" t="s">
        <x:v>423</x:v>
      </x:c>
      <x:c r="J10" s="25" t="s">
        <x:v>427</x:v>
      </x:c>
      <x:c r="K10" s="25"/>
      <x:c r="L10" s="25"/>
      <x:c r="M10" s="25"/>
      <x:c r="N10" s="25"/>
      <x:c r="O10" s="25"/>
      <x:c r="P10" s="25"/>
    </x:row>
    <x:row r="11" ht="23.100000381469727" customHeight="1">
      <x:c r="A11" s="19"/>
      <x:c r="B11" s="25"/>
      <x:c r="C11" s="25"/>
      <x:c r="D11" s="25"/>
      <x:c r="E11" s="25"/>
      <x:c r="F11" s="25"/>
      <x:c r="G11" s="25" t="s">
        <x:v>428</x:v>
      </x:c>
      <x:c r="H11" s="39">
        <x:v>20</x:v>
      </x:c>
      <x:c r="I11" s="25" t="s">
        <x:v>429</x:v>
      </x:c>
      <x:c r="J11" s="25" t="s">
        <x:v>430</x:v>
      </x:c>
      <x:c r="K11" s="25"/>
      <x:c r="L11" s="25"/>
      <x:c r="M11" s="25"/>
      <x:c r="N11" s="25"/>
      <x:c r="O11" s="25"/>
      <x:c r="P11" s="25"/>
    </x:row>
    <x:row r="12" ht="23.100000381469727" customHeight="1">
      <x:c r="A12" s="19"/>
      <x:c r="B12" s="25" t="s">
        <x:v>431</x:v>
      </x:c>
      <x:c r="C12" s="25"/>
      <x:c r="D12" s="25"/>
      <x:c r="E12" s="25"/>
      <x:c r="F12" s="25"/>
      <x:c r="G12" s="25" t="s">
        <x:v>432</x:v>
      </x:c>
      <x:c r="H12" s="40" t="n">
        <x:f>英雄升级调参!$C$10</x:f>
        <x:v>5</x:v>
      </x:c>
      <x:c r="I12" s="25" t="s">
        <x:v>433</x:v>
      </x:c>
      <x:c r="J12" s="25" t="s">
        <x:v>434</x:v>
      </x:c>
      <x:c r="K12" s="25"/>
      <x:c r="L12" s="25"/>
      <x:c r="M12" s="25"/>
      <x:c r="N12" s="25"/>
      <x:c r="O12" s="25"/>
      <x:c r="P12" s="25"/>
    </x:row>
    <x:row r="13" ht="23.100000381469727" customHeight="1">
      <x:c r="A13" s="19"/>
      <x:c r="B13" s="25"/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  <x:c r="M13" s="25"/>
      <x:c r="N13" s="25"/>
      <x:c r="O13" s="25"/>
      <x:c r="P13" s="25"/>
    </x:row>
    <x:row r="14" ht="23.100000381469727" customHeight="1">
      <x:c r="A14" s="19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</x:row>
    <x:row r="15" ht="23.100000381469727" customHeight="1">
      <x:c r="A15" s="19"/>
      <x:c r="B15" s="35" t="s">
        <x:v>435</x:v>
      </x:c>
      <x:c r="C15" s="25"/>
      <x:c r="D15" s="25"/>
      <x:c r="E15" s="25"/>
      <x:c r="F15" s="25"/>
      <x:c r="G15" s="25"/>
      <x:c r="H15" s="25"/>
      <x:c r="I15" s="25"/>
      <x:c r="J15" s="35" t="s">
        <x:v>436</x:v>
      </x:c>
      <x:c r="K15" s="25"/>
      <x:c r="L15" s="25"/>
      <x:c r="M15" s="25"/>
      <x:c r="N15" s="25"/>
      <x:c r="O15" s="25"/>
      <x:c r="P15" s="25"/>
    </x:row>
    <x:row r="16" ht="23.100000381469727" customHeight="1">
      <x:c r="A16" s="19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</x:row>
    <x:row r="17" ht="30" customHeight="1">
      <x:c r="A17" s="19"/>
      <x:c r="B17" s="36" t="s">
        <x:v>437</x:v>
      </x:c>
      <x:c r="C17" s="49" t="s">
        <x:v>438</x:v>
      </x:c>
      <x:c r="D17" s="50" t="s">
        <x:v>439</x:v>
      </x:c>
      <x:c r="E17" s="52" t="s">
        <x:v>440</x:v>
      </x:c>
      <x:c r="F17" s="49" t="s">
        <x:v>441</x:v>
      </x:c>
      <x:c r="G17" s="50" t="s">
        <x:v>442</x:v>
      </x:c>
      <x:c r="H17" s="51" t="s">
        <x:v>443</x:v>
      </x:c>
      <x:c r="I17" s="25"/>
      <x:c r="J17" s="36" t="s">
        <x:v>444</x:v>
      </x:c>
      <x:c r="K17" s="49" t="s">
        <x:v>438</x:v>
      </x:c>
      <x:c r="L17" s="50" t="s">
        <x:v>439</x:v>
      </x:c>
      <x:c r="M17" s="51" t="s">
        <x:v>440</x:v>
      </x:c>
      <x:c r="N17" s="25"/>
      <x:c r="O17" s="25"/>
      <x:c r="P17" s="25"/>
    </x:row>
    <x:row r="18" ht="23.100000381469727" customHeight="1">
      <x:c r="A18" s="19"/>
      <x:c r="B18" s="25">
        <x:v>1</x:v>
      </x:c>
      <x:c r="C18" s="39">
        <x:v>1</x:v>
      </x:c>
      <x:c r="D18" s="39">
        <x:v>1</x:v>
      </x:c>
      <x:c r="E18" s="39">
        <x:v>1</x:v>
      </x:c>
      <x:c r="F18" s="40" t="n">
        <x:f>IF(养成消耗调参!$B$18&gt;=英雄升级调参!$C$9,0,养成消耗调参!$C$9*养成消耗调参!$C$18)</x:f>
        <x:v>24</x:v>
      </x:c>
      <x:c r="G18" s="40" t="n">
        <x:f>IF(养成消耗调参!$B$18&gt;=英雄升级调参!$C$9,0,养成消耗调参!$D$9*养成消耗调参!$D$18)</x:f>
        <x:v>36</x:v>
      </x:c>
      <x:c r="H18" s="40" t="n">
        <x:f>IF(养成消耗调参!$B$18&gt;=英雄升级调参!$C$9,0,养成消耗调参!$E$9*养成消耗调参!$E$18)</x:f>
        <x:v>48</x:v>
      </x:c>
      <x:c r="I18" s="25"/>
      <x:c r="J18" s="25" t="s">
        <x:v>445</x:v>
      </x:c>
      <x:c r="K18" s="39">
        <x:v>1</x:v>
      </x:c>
      <x:c r="L18" s="39">
        <x:v>1</x:v>
      </x:c>
      <x:c r="M18" s="39">
        <x:v>1</x:v>
      </x:c>
      <x:c r="N18" s="25"/>
      <x:c r="O18" s="25"/>
      <x:c r="P18" s="25"/>
    </x:row>
    <x:row r="19" ht="23.100000381469727" customHeight="1">
      <x:c r="A19" s="19"/>
      <x:c r="B19" s="25">
        <x:v>2</x:v>
      </x:c>
      <x:c r="C19" s="39">
        <x:v>1</x:v>
      </x:c>
      <x:c r="D19" s="39">
        <x:v>1</x:v>
      </x:c>
      <x:c r="E19" s="39">
        <x:v>1</x:v>
      </x:c>
      <x:c r="F19" s="40" t="n">
        <x:f>IF(养成消耗调参!$B$19&gt;=英雄升级调参!$C$9,0,养成消耗调参!$C$9*养成消耗调参!$C$19)</x:f>
        <x:v>24</x:v>
      </x:c>
      <x:c r="G19" s="40" t="n">
        <x:f>IF(养成消耗调参!$B$19&gt;=英雄升级调参!$C$9,0,养成消耗调参!$D$9*养成消耗调参!$D$19)</x:f>
        <x:v>36</x:v>
      </x:c>
      <x:c r="H19" s="40" t="n">
        <x:f>IF(养成消耗调参!$B$19&gt;=英雄升级调参!$C$9,0,养成消耗调参!$E$9*养成消耗调参!$E$19)</x:f>
        <x:v>48</x:v>
      </x:c>
      <x:c r="I19" s="25"/>
      <x:c r="J19" s="25" t="s">
        <x:v>446</x:v>
      </x:c>
      <x:c r="K19" s="39">
        <x:v>3</x:v>
      </x:c>
      <x:c r="L19" s="39">
        <x:v>3</x:v>
      </x:c>
      <x:c r="M19" s="39">
        <x:v>3</x:v>
      </x:c>
      <x:c r="N19" s="25"/>
      <x:c r="O19" s="25"/>
      <x:c r="P19" s="25"/>
    </x:row>
    <x:row r="20" ht="23.100000381469727" customHeight="1">
      <x:c r="A20" s="19"/>
      <x:c r="B20" s="25">
        <x:v>3</x:v>
      </x:c>
      <x:c r="C20" s="39">
        <x:v>2</x:v>
      </x:c>
      <x:c r="D20" s="39">
        <x:v>2</x:v>
      </x:c>
      <x:c r="E20" s="39">
        <x:v>2</x:v>
      </x:c>
      <x:c r="F20" s="40" t="n">
        <x:f>IF(养成消耗调参!$B$20&gt;=英雄升级调参!$C$9,0,养成消耗调参!$C$9*养成消耗调参!$C$20)</x:f>
        <x:v>48</x:v>
      </x:c>
      <x:c r="G20" s="40" t="n">
        <x:f>IF(养成消耗调参!$B$20&gt;=英雄升级调参!$C$9,0,养成消耗调参!$D$9*养成消耗调参!$D$20)</x:f>
        <x:v>72</x:v>
      </x:c>
      <x:c r="H20" s="40" t="n">
        <x:f>IF(养成消耗调参!$B$20&gt;=英雄升级调参!$C$9,0,养成消耗调参!$E$9*养成消耗调参!$E$20)</x:f>
        <x:v>96</x:v>
      </x:c>
      <x:c r="I20" s="25"/>
      <x:c r="J20" s="25" t="s">
        <x:v>447</x:v>
      </x:c>
      <x:c r="K20" s="39">
        <x:v>5</x:v>
      </x:c>
      <x:c r="L20" s="39">
        <x:v>5</x:v>
      </x:c>
      <x:c r="M20" s="39">
        <x:v>5</x:v>
      </x:c>
      <x:c r="N20" s="25"/>
      <x:c r="O20" s="25"/>
      <x:c r="P20" s="25"/>
    </x:row>
    <x:row r="21" ht="23.100000381469727" customHeight="1">
      <x:c r="A21" s="19"/>
      <x:c r="B21" s="25">
        <x:v>4</x:v>
      </x:c>
      <x:c r="C21" s="39">
        <x:v>3</x:v>
      </x:c>
      <x:c r="D21" s="39">
        <x:v>2</x:v>
      </x:c>
      <x:c r="E21" s="39">
        <x:v>2</x:v>
      </x:c>
      <x:c r="F21" s="40" t="n">
        <x:f>IF(养成消耗调参!$B$21&gt;=英雄升级调参!$C$9,0,养成消耗调参!$C$9*养成消耗调参!$C$21)</x:f>
        <x:v>72</x:v>
      </x:c>
      <x:c r="G21" s="40" t="n">
        <x:f>IF(养成消耗调参!$B$21&gt;=英雄升级调参!$C$9,0,养成消耗调参!$D$9*养成消耗调参!$D$21)</x:f>
        <x:v>72</x:v>
      </x:c>
      <x:c r="H21" s="40" t="n">
        <x:f>IF(养成消耗调参!$B$21&gt;=英雄升级调参!$C$9,0,养成消耗调参!$E$9*养成消耗调参!$E$21)</x:f>
        <x:v>96</x:v>
      </x:c>
      <x:c r="I21" s="25"/>
      <x:c r="J21" s="25" t="s">
        <x:v>448</x:v>
      </x:c>
      <x:c r="K21" s="39">
        <x:v>7</x:v>
      </x:c>
      <x:c r="L21" s="39">
        <x:v>7</x:v>
      </x:c>
      <x:c r="M21" s="39">
        <x:v>7</x:v>
      </x:c>
      <x:c r="N21" s="25"/>
      <x:c r="O21" s="25"/>
      <x:c r="P21" s="25"/>
    </x:row>
    <x:row r="22" ht="23.100000381469727" customHeight="1">
      <x:c r="A22" s="19"/>
      <x:c r="B22" s="25">
        <x:v>5</x:v>
      </x:c>
      <x:c r="C22" s="39">
        <x:v>5</x:v>
      </x:c>
      <x:c r="D22" s="39">
        <x:v>4</x:v>
      </x:c>
      <x:c r="E22" s="39">
        <x:v>4</x:v>
      </x:c>
      <x:c r="F22" s="40" t="n">
        <x:f>IF(养成消耗调参!$B$22&gt;=英雄升级调参!$C$9,0,养成消耗调参!$C$9*养成消耗调参!$C$22)</x:f>
        <x:v>120</x:v>
      </x:c>
      <x:c r="G22" s="40" t="n">
        <x:f>IF(养成消耗调参!$B$22&gt;=英雄升级调参!$C$9,0,养成消耗调参!$D$9*养成消耗调参!$D$22)</x:f>
        <x:v>144</x:v>
      </x:c>
      <x:c r="H22" s="40" t="n">
        <x:f>IF(养成消耗调参!$B$22&gt;=英雄升级调参!$C$9,0,养成消耗调参!$E$9*养成消耗调参!$E$22)</x:f>
        <x:v>192</x:v>
      </x:c>
      <x:c r="I22" s="25"/>
      <x:c r="J22" s="25" t="s">
        <x:v>449</x:v>
      </x:c>
      <x:c r="K22" s="39">
        <x:v>10</x:v>
      </x:c>
      <x:c r="L22" s="39">
        <x:v>10</x:v>
      </x:c>
      <x:c r="M22" s="39">
        <x:v>10</x:v>
      </x:c>
      <x:c r="N22" s="25"/>
      <x:c r="O22" s="25"/>
      <x:c r="P22" s="25"/>
    </x:row>
    <x:row r="23" ht="23.100000381469727" customHeight="1">
      <x:c r="A23" s="19"/>
      <x:c r="B23" s="25">
        <x:v>6</x:v>
      </x:c>
      <x:c r="C23" s="39">
        <x:v>5</x:v>
      </x:c>
      <x:c r="D23" s="39">
        <x:v>4</x:v>
      </x:c>
      <x:c r="E23" s="39">
        <x:v>4</x:v>
      </x:c>
      <x:c r="F23" s="40" t="n">
        <x:f>IF(养成消耗调参!$B$23&gt;=英雄升级调参!$C$9,0,养成消耗调参!$C$9*养成消耗调参!$C$23)</x:f>
        <x:v>120</x:v>
      </x:c>
      <x:c r="G23" s="40" t="n">
        <x:f>IF(养成消耗调参!$B$23&gt;=英雄升级调参!$C$9,0,养成消耗调参!$D$9*养成消耗调参!$D$23)</x:f>
        <x:v>144</x:v>
      </x:c>
      <x:c r="H23" s="40" t="n">
        <x:f>IF(养成消耗调参!$B$23&gt;=英雄升级调参!$C$9,0,养成消耗调参!$E$9*养成消耗调参!$E$23)</x:f>
        <x:v>192</x:v>
      </x:c>
      <x:c r="I23" s="25"/>
      <x:c r="J23" s="25" t="s">
        <x:v>450</x:v>
      </x:c>
      <x:c r="K23" s="39">
        <x:v>13</x:v>
      </x:c>
      <x:c r="L23" s="39">
        <x:v>13</x:v>
      </x:c>
      <x:c r="M23" s="39">
        <x:v>13</x:v>
      </x:c>
      <x:c r="N23" s="25"/>
      <x:c r="O23" s="25"/>
      <x:c r="P23" s="25"/>
    </x:row>
    <x:row r="24" ht="23.100000381469727" customHeight="1">
      <x:c r="A24" s="19"/>
      <x:c r="B24" s="25">
        <x:v>7</x:v>
      </x:c>
      <x:c r="C24" s="39">
        <x:v>6</x:v>
      </x:c>
      <x:c r="D24" s="39">
        <x:v>6</x:v>
      </x:c>
      <x:c r="E24" s="39">
        <x:v>6</x:v>
      </x:c>
      <x:c r="F24" s="40" t="n">
        <x:f>IF(养成消耗调参!$B$24&gt;=英雄升级调参!$C$9,0,养成消耗调参!$C$9*养成消耗调参!$C$24)</x:f>
        <x:v>144</x:v>
      </x:c>
      <x:c r="G24" s="40" t="n">
        <x:f>IF(养成消耗调参!$B$24&gt;=英雄升级调参!$C$9,0,养成消耗调参!$D$9*养成消耗调参!$D$24)</x:f>
        <x:v>216</x:v>
      </x:c>
      <x:c r="H24" s="40" t="n">
        <x:f>IF(养成消耗调参!$B$24&gt;=英雄升级调参!$C$9,0,养成消耗调参!$E$9*养成消耗调参!$E$24)</x:f>
        <x:v>288</x:v>
      </x:c>
      <x:c r="I24" s="25"/>
      <x:c r="J24" s="25" t="s">
        <x:v>451</x:v>
      </x:c>
      <x:c r="K24" s="39">
        <x:v>16</x:v>
      </x:c>
      <x:c r="L24" s="39">
        <x:v>16</x:v>
      </x:c>
      <x:c r="M24" s="39">
        <x:v>16</x:v>
      </x:c>
      <x:c r="N24" s="25"/>
      <x:c r="O24" s="25"/>
      <x:c r="P24" s="25"/>
    </x:row>
    <x:row r="25" ht="23.100000381469727" customHeight="1">
      <x:c r="A25" s="19"/>
      <x:c r="B25" s="25">
        <x:v>8</x:v>
      </x:c>
      <x:c r="C25" s="39">
        <x:v>6</x:v>
      </x:c>
      <x:c r="D25" s="39">
        <x:v>6</x:v>
      </x:c>
      <x:c r="E25" s="39">
        <x:v>6</x:v>
      </x:c>
      <x:c r="F25" s="40" t="n">
        <x:f>IF(养成消耗调参!$B$25&gt;=英雄升级调参!$C$9,0,养成消耗调参!$C$9*养成消耗调参!$C$25)</x:f>
        <x:v>144</x:v>
      </x:c>
      <x:c r="G25" s="40" t="n">
        <x:f>IF(养成消耗调参!$B$25&gt;=英雄升级调参!$C$9,0,养成消耗调参!$D$9*养成消耗调参!$D$25)</x:f>
        <x:v>216</x:v>
      </x:c>
      <x:c r="H25" s="40" t="n">
        <x:f>IF(养成消耗调参!$B$25&gt;=英雄升级调参!$C$9,0,养成消耗调参!$E$9*养成消耗调参!$E$25)</x:f>
        <x:v>288</x:v>
      </x:c>
      <x:c r="I25" s="25"/>
      <x:c r="J25" s="25" t="s">
        <x:v>452</x:v>
      </x:c>
      <x:c r="K25" s="39">
        <x:v>19</x:v>
      </x:c>
      <x:c r="L25" s="39">
        <x:v>19</x:v>
      </x:c>
      <x:c r="M25" s="39">
        <x:v>19</x:v>
      </x:c>
      <x:c r="N25" s="25"/>
      <x:c r="O25" s="25"/>
      <x:c r="P25" s="25"/>
    </x:row>
    <x:row r="26" ht="23.100000381469727" customHeight="1">
      <x:c r="A26" s="19"/>
      <x:c r="B26" s="25">
        <x:v>9</x:v>
      </x:c>
      <x:c r="C26" s="39">
        <x:v>9</x:v>
      </x:c>
      <x:c r="D26" s="39">
        <x:v>8</x:v>
      </x:c>
      <x:c r="E26" s="39">
        <x:v>8</x:v>
      </x:c>
      <x:c r="F26" s="40" t="n">
        <x:f>IF(养成消耗调参!$B$26&gt;=英雄升级调参!$C$9,0,养成消耗调参!$C$9*养成消耗调参!$C$26)</x:f>
        <x:v>216</x:v>
      </x:c>
      <x:c r="G26" s="40" t="n">
        <x:f>IF(养成消耗调参!$B$26&gt;=英雄升级调参!$C$9,0,养成消耗调参!$D$9*养成消耗调参!$D$26)</x:f>
        <x:v>288</x:v>
      </x:c>
      <x:c r="H26" s="40" t="n">
        <x:f>IF(养成消耗调参!$B$26&gt;=英雄升级调参!$C$9,0,养成消耗调参!$E$9*养成消耗调参!$E$26)</x:f>
        <x:v>384</x:v>
      </x:c>
      <x:c r="I26" s="25"/>
      <x:c r="J26" s="25" t="s">
        <x:v>453</x:v>
      </x:c>
      <x:c r="K26" s="39">
        <x:v>22</x:v>
      </x:c>
      <x:c r="L26" s="39">
        <x:v>22</x:v>
      </x:c>
      <x:c r="M26" s="39">
        <x:v>22</x:v>
      </x:c>
      <x:c r="N26" s="25"/>
      <x:c r="O26" s="25"/>
      <x:c r="P26" s="25"/>
    </x:row>
    <x:row r="27" ht="23.100000381469727" customHeight="1">
      <x:c r="A27" s="19"/>
      <x:c r="B27" s="25">
        <x:v>10</x:v>
      </x:c>
      <x:c r="C27" s="39">
        <x:v>9</x:v>
      </x:c>
      <x:c r="D27" s="39">
        <x:v>8</x:v>
      </x:c>
      <x:c r="E27" s="39">
        <x:v>8</x:v>
      </x:c>
      <x:c r="F27" s="40" t="n">
        <x:f>IF(养成消耗调参!$B$27&gt;=英雄升级调参!$C$9,0,养成消耗调参!$C$9*养成消耗调参!$C$27)</x:f>
        <x:v>216</x:v>
      </x:c>
      <x:c r="G27" s="40" t="n">
        <x:f>IF(养成消耗调参!$B$27&gt;=英雄升级调参!$C$9,0,养成消耗调参!$D$9*养成消耗调参!$D$27)</x:f>
        <x:v>288</x:v>
      </x:c>
      <x:c r="H27" s="40" t="n">
        <x:f>IF(养成消耗调参!$B$27&gt;=英雄升级调参!$C$9,0,养成消耗调参!$E$9*养成消耗调参!$E$27)</x:f>
        <x:v>384</x:v>
      </x:c>
      <x:c r="I27" s="25"/>
      <x:c r="J27" s="25" t="s">
        <x:v>454</x:v>
      </x:c>
      <x:c r="K27" s="39">
        <x:v>25</x:v>
      </x:c>
      <x:c r="L27" s="39">
        <x:v>25</x:v>
      </x:c>
      <x:c r="M27" s="39">
        <x:v>25</x:v>
      </x:c>
      <x:c r="N27" s="25"/>
      <x:c r="O27" s="25"/>
      <x:c r="P27" s="25"/>
    </x:row>
    <x:row r="28" ht="23.100000381469727" customHeight="1">
      <x:c r="A28" s="19"/>
      <x:c r="B28" s="25">
        <x:v>11</x:v>
      </x:c>
      <x:c r="C28" s="39">
        <x:v>10</x:v>
      </x:c>
      <x:c r="D28" s="39">
        <x:v>10</x:v>
      </x:c>
      <x:c r="E28" s="39">
        <x:v>10</x:v>
      </x:c>
      <x:c r="F28" s="40" t="n">
        <x:f>IF(养成消耗调参!$B$28&gt;=英雄升级调参!$C$9,0,养成消耗调参!$C$9*养成消耗调参!$C$28)</x:f>
        <x:v>240</x:v>
      </x:c>
      <x:c r="G28" s="40" t="n">
        <x:f>IF(养成消耗调参!$B$28&gt;=英雄升级调参!$C$9,0,养成消耗调参!$D$9*养成消耗调参!$D$28)</x:f>
        <x:v>360</x:v>
      </x:c>
      <x:c r="H28" s="40" t="n">
        <x:f>IF(养成消耗调参!$B$28&gt;=英雄升级调参!$C$9,0,养成消耗调参!$E$9*养成消耗调参!$E$28)</x:f>
        <x:v>480</x:v>
      </x:c>
      <x:c r="I28" s="25"/>
      <x:c r="J28" s="25"/>
      <x:c r="K28" s="25"/>
      <x:c r="L28" s="25"/>
      <x:c r="M28" s="25"/>
      <x:c r="N28" s="25"/>
      <x:c r="O28" s="25"/>
      <x:c r="P28" s="25"/>
    </x:row>
    <x:row r="29" ht="23.100000381469727" customHeight="1">
      <x:c r="A29" s="19"/>
      <x:c r="B29" s="25">
        <x:v>12</x:v>
      </x:c>
      <x:c r="C29" s="39">
        <x:v>10</x:v>
      </x:c>
      <x:c r="D29" s="39">
        <x:v>10</x:v>
      </x:c>
      <x:c r="E29" s="39">
        <x:v>10</x:v>
      </x:c>
      <x:c r="F29" s="40" t="n">
        <x:f>IF(养成消耗调参!$B$29&gt;=英雄升级调参!$C$9,0,养成消耗调参!$C$9*养成消耗调参!$C$29)</x:f>
        <x:v>240</x:v>
      </x:c>
      <x:c r="G29" s="40" t="n">
        <x:f>IF(养成消耗调参!$B$29&gt;=英雄升级调参!$C$9,0,养成消耗调参!$D$9*养成消耗调参!$D$29)</x:f>
        <x:v>360</x:v>
      </x:c>
      <x:c r="H29" s="40" t="n">
        <x:f>IF(养成消耗调参!$B$29&gt;=英雄升级调参!$C$9,0,养成消耗调参!$E$9*养成消耗调参!$E$29)</x:f>
        <x:v>480</x:v>
      </x:c>
      <x:c r="I29" s="25"/>
      <x:c r="J29" s="25" t="s">
        <x:v>455</x:v>
      </x:c>
      <x:c r="K29" s="25"/>
      <x:c r="L29" s="25"/>
      <x:c r="M29" s="25"/>
      <x:c r="N29" s="25"/>
      <x:c r="O29" s="25"/>
      <x:c r="P29" s="25"/>
    </x:row>
    <x:row r="30" ht="23.100000381469727" customHeight="1">
      <x:c r="A30" s="19"/>
      <x:c r="B30" s="25">
        <x:v>13</x:v>
      </x:c>
      <x:c r="C30" s="39">
        <x:v>12</x:v>
      </x:c>
      <x:c r="D30" s="39">
        <x:v>12</x:v>
      </x:c>
      <x:c r="E30" s="39">
        <x:v>12</x:v>
      </x:c>
      <x:c r="F30" s="40" t="n">
        <x:f>IF(养成消耗调参!$B$30&gt;=英雄升级调参!$C$9,0,养成消耗调参!$C$9*养成消耗调参!$C$30)</x:f>
        <x:v>288</x:v>
      </x:c>
      <x:c r="G30" s="40" t="n">
        <x:f>IF(养成消耗调参!$B$30&gt;=英雄升级调参!$C$9,0,养成消耗调参!$D$9*养成消耗调参!$D$30)</x:f>
        <x:v>432</x:v>
      </x:c>
      <x:c r="H30" s="40" t="n">
        <x:f>IF(养成消耗调参!$B$30&gt;=英雄升级调参!$C$9,0,养成消耗调参!$E$9*养成消耗调参!$E$30)</x:f>
        <x:v>576</x:v>
      </x:c>
      <x:c r="I30" s="25"/>
      <x:c r="J30" s="25"/>
      <x:c r="K30" s="25"/>
      <x:c r="L30" s="25"/>
      <x:c r="M30" s="25"/>
      <x:c r="N30" s="25"/>
      <x:c r="O30" s="25"/>
      <x:c r="P30" s="25"/>
    </x:row>
    <x:row r="31" ht="23.100000381469727" customHeight="1">
      <x:c r="A31" s="19"/>
      <x:c r="B31" s="25">
        <x:v>14</x:v>
      </x:c>
      <x:c r="C31" s="39">
        <x:v>12</x:v>
      </x:c>
      <x:c r="D31" s="39">
        <x:v>12</x:v>
      </x:c>
      <x:c r="E31" s="39">
        <x:v>12</x:v>
      </x:c>
      <x:c r="F31" s="40" t="n">
        <x:f>IF(养成消耗调参!$B$31&gt;=英雄升级调参!$C$9,0,养成消耗调参!$C$9*养成消耗调参!$C$31)</x:f>
        <x:v>288</x:v>
      </x:c>
      <x:c r="G31" s="40" t="n">
        <x:f>IF(养成消耗调参!$B$31&gt;=英雄升级调参!$C$9,0,养成消耗调参!$D$9*养成消耗调参!$D$31)</x:f>
        <x:v>432</x:v>
      </x:c>
      <x:c r="H31" s="40" t="n">
        <x:f>IF(养成消耗调参!$B$31&gt;=英雄升级调参!$C$9,0,养成消耗调参!$E$9*养成消耗调参!$E$31)</x:f>
        <x:v>576</x:v>
      </x:c>
      <x:c r="I31" s="25"/>
      <x:c r="J31" s="35" t="s">
        <x:v>456</x:v>
      </x:c>
      <x:c r="K31" s="25"/>
      <x:c r="L31" s="25"/>
      <x:c r="M31" s="25"/>
      <x:c r="N31" s="25"/>
      <x:c r="O31" s="25"/>
      <x:c r="P31" s="25"/>
    </x:row>
    <x:row r="32" ht="23.100000381469727" customHeight="1">
      <x:c r="A32" s="19"/>
      <x:c r="B32" s="25">
        <x:v>15</x:v>
      </x:c>
      <x:c r="C32" s="39">
        <x:v>14</x:v>
      </x:c>
      <x:c r="D32" s="39">
        <x:v>14</x:v>
      </x:c>
      <x:c r="E32" s="39">
        <x:v>14</x:v>
      </x:c>
      <x:c r="F32" s="40" t="n">
        <x:f>IF(养成消耗调参!$B$32&gt;=英雄升级调参!$C$9,0,养成消耗调参!$C$9*养成消耗调参!$C$32)</x:f>
        <x:v>336</x:v>
      </x:c>
      <x:c r="G32" s="40" t="n">
        <x:f>IF(养成消耗调参!$B$32&gt;=英雄升级调参!$C$9,0,养成消耗调参!$D$9*养成消耗调参!$D$32)</x:f>
        <x:v>504</x:v>
      </x:c>
      <x:c r="H32" s="40" t="n">
        <x:f>IF(养成消耗调参!$B$32&gt;=英雄升级调参!$C$9,0,养成消耗调参!$E$9*养成消耗调参!$E$32)</x:f>
        <x:v>672</x:v>
      </x:c>
      <x:c r="I32" s="25"/>
      <x:c r="J32" s="25"/>
      <x:c r="K32" s="25"/>
      <x:c r="L32" s="25"/>
      <x:c r="M32" s="25"/>
      <x:c r="N32" s="25"/>
      <x:c r="O32" s="25"/>
      <x:c r="P32" s="25"/>
    </x:row>
    <x:row r="33" ht="30" customHeight="1">
      <x:c r="A33" s="19"/>
      <x:c r="B33" s="25">
        <x:v>16</x:v>
      </x:c>
      <x:c r="C33" s="39">
        <x:v>14</x:v>
      </x:c>
      <x:c r="D33" s="39">
        <x:v>14</x:v>
      </x:c>
      <x:c r="E33" s="39">
        <x:v>14</x:v>
      </x:c>
      <x:c r="F33" s="40" t="n">
        <x:f>IF(养成消耗调参!$B$33&gt;=英雄升级调参!$C$9,0,养成消耗调参!$C$9*养成消耗调参!$C$33)</x:f>
        <x:v>336</x:v>
      </x:c>
      <x:c r="G33" s="40" t="n">
        <x:f>IF(养成消耗调参!$B$33&gt;=英雄升级调参!$C$9,0,养成消耗调参!$D$9*养成消耗调参!$D$33)</x:f>
        <x:v>504</x:v>
      </x:c>
      <x:c r="H33" s="40" t="n">
        <x:f>IF(养成消耗调参!$B$33&gt;=英雄升级调参!$C$9,0,养成消耗调参!$E$9*养成消耗调参!$E$33)</x:f>
        <x:v>672</x:v>
      </x:c>
      <x:c r="I33" s="25"/>
      <x:c r="J33" s="36" t="s">
        <x:v>457</x:v>
      </x:c>
      <x:c r="K33" s="37" t="s">
        <x:v>458</x:v>
      </x:c>
      <x:c r="L33" s="37" t="s">
        <x:v>459</x:v>
      </x:c>
      <x:c r="M33" s="38" t="s">
        <x:v>51</x:v>
      </x:c>
      <x:c r="N33" s="25"/>
      <x:c r="O33" s="25"/>
      <x:c r="P33" s="25"/>
    </x:row>
    <x:row r="34" ht="23.100000381469727" customHeight="1">
      <x:c r="A34" s="19"/>
      <x:c r="B34" s="25">
        <x:v>17</x:v>
      </x:c>
      <x:c r="C34" s="39">
        <x:v>16</x:v>
      </x:c>
      <x:c r="D34" s="39">
        <x:v>16</x:v>
      </x:c>
      <x:c r="E34" s="39">
        <x:v>16</x:v>
      </x:c>
      <x:c r="F34" s="40" t="n">
        <x:f>IF(养成消耗调参!$B$34&gt;=英雄升级调参!$C$9,0,养成消耗调参!$C$9*养成消耗调参!$C$34)</x:f>
        <x:v>384</x:v>
      </x:c>
      <x:c r="G34" s="40" t="n">
        <x:f>IF(养成消耗调参!$B$34&gt;=英雄升级调参!$C$9,0,养成消耗调参!$D$9*养成消耗调参!$D$34)</x:f>
        <x:v>576</x:v>
      </x:c>
      <x:c r="H34" s="40" t="n">
        <x:f>IF(养成消耗调参!$B$34&gt;=英雄升级调参!$C$9,0,养成消耗调参!$E$9*养成消耗调参!$E$34)</x:f>
        <x:v>768</x:v>
      </x:c>
      <x:c r="I34" s="25"/>
      <x:c r="J34" s="25">
        <x:v>1</x:v>
      </x:c>
      <x:c r="K34" s="40" t="n">
        <x:f t="shared" ref="K34:K43" si="0">J34*$H$12</x:f>
        <x:v>5</x:v>
      </x:c>
      <x:c r="L34" s="40" t="n">
        <x:f t="shared" ref="L34:L43" si="1">$H$9+(J34-1)*$H$10</x:f>
        <x:v>10</x:v>
      </x:c>
      <x:c r="M34" s="40" t="n">
        <x:f>SUM(L$34:L34)</x:f>
        <x:v>10</x:v>
      </x:c>
      <x:c r="N34" s="25"/>
      <x:c r="O34" s="25"/>
      <x:c r="P34" s="25"/>
    </x:row>
    <x:row r="35" ht="23.100000381469727" customHeight="1">
      <x:c r="A35" s="19"/>
      <x:c r="B35" s="25">
        <x:v>18</x:v>
      </x:c>
      <x:c r="C35" s="39">
        <x:v>16</x:v>
      </x:c>
      <x:c r="D35" s="39">
        <x:v>16</x:v>
      </x:c>
      <x:c r="E35" s="39">
        <x:v>16</x:v>
      </x:c>
      <x:c r="F35" s="40" t="n">
        <x:f>IF(养成消耗调参!$B$35&gt;=英雄升级调参!$C$9,0,养成消耗调参!$C$9*养成消耗调参!$C$35)</x:f>
        <x:v>384</x:v>
      </x:c>
      <x:c r="G35" s="40" t="n">
        <x:f>IF(养成消耗调参!$B$35&gt;=英雄升级调参!$C$9,0,养成消耗调参!$D$9*养成消耗调参!$D$35)</x:f>
        <x:v>576</x:v>
      </x:c>
      <x:c r="H35" s="40" t="n">
        <x:f>IF(养成消耗调参!$B$35&gt;=英雄升级调参!$C$9,0,养成消耗调参!$E$9*养成消耗调参!$E$35)</x:f>
        <x:v>768</x:v>
      </x:c>
      <x:c r="I35" s="25"/>
      <x:c r="J35" s="25">
        <x:v>2</x:v>
      </x:c>
      <x:c r="K35" s="40">
        <x:f t="shared" si="0"/>
        <x:v>10</x:v>
      </x:c>
      <x:c r="L35" s="40">
        <x:f t="shared" si="1"/>
        <x:v>30</x:v>
      </x:c>
      <x:c r="M35" s="40" t="n">
        <x:f>SUM(L$34:L35)</x:f>
        <x:v>40</x:v>
      </x:c>
      <x:c r="N35" s="25"/>
      <x:c r="O35" s="25"/>
      <x:c r="P35" s="25"/>
    </x:row>
    <x:row r="36" ht="23.100000381469727" customHeight="1">
      <x:c r="A36" s="19"/>
      <x:c r="B36" s="25">
        <x:v>19</x:v>
      </x:c>
      <x:c r="C36" s="39">
        <x:v>18</x:v>
      </x:c>
      <x:c r="D36" s="39">
        <x:v>18</x:v>
      </x:c>
      <x:c r="E36" s="39">
        <x:v>18</x:v>
      </x:c>
      <x:c r="F36" s="40" t="n">
        <x:f>IF(养成消耗调参!$B$36&gt;=英雄升级调参!$C$9,0,养成消耗调参!$C$9*养成消耗调参!$C$36)</x:f>
        <x:v>432</x:v>
      </x:c>
      <x:c r="G36" s="40" t="n">
        <x:f>IF(养成消耗调参!$B$36&gt;=英雄升级调参!$C$9,0,养成消耗调参!$D$9*养成消耗调参!$D$36)</x:f>
        <x:v>648</x:v>
      </x:c>
      <x:c r="H36" s="40" t="n">
        <x:f>IF(养成消耗调参!$B$36&gt;=英雄升级调参!$C$9,0,养成消耗调参!$E$9*养成消耗调参!$E$36)</x:f>
        <x:v>864</x:v>
      </x:c>
      <x:c r="I36" s="25"/>
      <x:c r="J36" s="25">
        <x:v>3</x:v>
      </x:c>
      <x:c r="K36" s="40">
        <x:f t="shared" si="0"/>
        <x:v>15</x:v>
      </x:c>
      <x:c r="L36" s="40">
        <x:f t="shared" si="1"/>
        <x:v>50</x:v>
      </x:c>
      <x:c r="M36" s="40" t="n">
        <x:f>SUM(L$34:L36)</x:f>
        <x:v>90</x:v>
      </x:c>
      <x:c r="N36" s="25"/>
      <x:c r="O36" s="25"/>
      <x:c r="P36" s="25"/>
    </x:row>
    <x:row r="37" ht="23.100000381469727" customHeight="1">
      <x:c r="A37" s="19"/>
      <x:c r="B37" s="25">
        <x:v>20</x:v>
      </x:c>
      <x:c r="C37" s="39">
        <x:v>18</x:v>
      </x:c>
      <x:c r="D37" s="39">
        <x:v>18</x:v>
      </x:c>
      <x:c r="E37" s="39">
        <x:v>18</x:v>
      </x:c>
      <x:c r="F37" s="40" t="n">
        <x:f>IF(养成消耗调参!$B$37&gt;=英雄升级调参!$C$9,0,养成消耗调参!$C$9*养成消耗调参!$C$37)</x:f>
        <x:v>432</x:v>
      </x:c>
      <x:c r="G37" s="40" t="n">
        <x:f>IF(养成消耗调参!$B$37&gt;=英雄升级调参!$C$9,0,养成消耗调参!$D$9*养成消耗调参!$D$37)</x:f>
        <x:v>648</x:v>
      </x:c>
      <x:c r="H37" s="40" t="n">
        <x:f>IF(养成消耗调参!$B$37&gt;=英雄升级调参!$C$9,0,养成消耗调参!$E$9*养成消耗调参!$E$37)</x:f>
        <x:v>864</x:v>
      </x:c>
      <x:c r="I37" s="25"/>
      <x:c r="J37" s="25">
        <x:v>4</x:v>
      </x:c>
      <x:c r="K37" s="40">
        <x:f t="shared" si="0"/>
        <x:v>20</x:v>
      </x:c>
      <x:c r="L37" s="40">
        <x:f t="shared" si="1"/>
        <x:v>70</x:v>
      </x:c>
      <x:c r="M37" s="40" t="n">
        <x:f>SUM(L$34:L37)</x:f>
        <x:v>160</x:v>
      </x:c>
      <x:c r="N37" s="25"/>
      <x:c r="O37" s="25"/>
      <x:c r="P37" s="25"/>
    </x:row>
    <x:row r="38" ht="23.100000381469727" customHeight="1">
      <x:c r="A38" s="19"/>
      <x:c r="B38" s="25">
        <x:v>21</x:v>
      </x:c>
      <x:c r="C38" s="39">
        <x:v>20</x:v>
      </x:c>
      <x:c r="D38" s="39">
        <x:v>20</x:v>
      </x:c>
      <x:c r="E38" s="39">
        <x:v>20</x:v>
      </x:c>
      <x:c r="F38" s="40" t="n">
        <x:f>IF(养成消耗调参!$B$38&gt;=英雄升级调参!$C$9,0,养成消耗调参!$C$9*养成消耗调参!$C$38)</x:f>
        <x:v>480</x:v>
      </x:c>
      <x:c r="G38" s="40" t="n">
        <x:f>IF(养成消耗调参!$B$38&gt;=英雄升级调参!$C$9,0,养成消耗调参!$D$9*养成消耗调参!$D$38)</x:f>
        <x:v>720</x:v>
      </x:c>
      <x:c r="H38" s="40" t="n">
        <x:f>IF(养成消耗调参!$B$38&gt;=英雄升级调参!$C$9,0,养成消耗调参!$E$9*养成消耗调参!$E$38)</x:f>
        <x:v>960</x:v>
      </x:c>
      <x:c r="I38" s="25"/>
      <x:c r="J38" s="25">
        <x:v>5</x:v>
      </x:c>
      <x:c r="K38" s="40">
        <x:f t="shared" si="0"/>
        <x:v>25</x:v>
      </x:c>
      <x:c r="L38" s="40">
        <x:f t="shared" si="1"/>
        <x:v>90</x:v>
      </x:c>
      <x:c r="M38" s="40" t="n">
        <x:f>SUM(L$34:L38)</x:f>
        <x:v>250</x:v>
      </x:c>
      <x:c r="N38" s="25"/>
      <x:c r="O38" s="25"/>
      <x:c r="P38" s="25"/>
    </x:row>
    <x:row r="39" ht="23.100000381469727" customHeight="1">
      <x:c r="A39" s="19"/>
      <x:c r="B39" s="25">
        <x:v>22</x:v>
      </x:c>
      <x:c r="C39" s="39">
        <x:v>20</x:v>
      </x:c>
      <x:c r="D39" s="39">
        <x:v>20</x:v>
      </x:c>
      <x:c r="E39" s="39">
        <x:v>20</x:v>
      </x:c>
      <x:c r="F39" s="40" t="n">
        <x:f>IF(养成消耗调参!$B$39&gt;=英雄升级调参!$C$9,0,养成消耗调参!$C$9*养成消耗调参!$C$39)</x:f>
        <x:v>480</x:v>
      </x:c>
      <x:c r="G39" s="40" t="n">
        <x:f>IF(养成消耗调参!$B$39&gt;=英雄升级调参!$C$9,0,养成消耗调参!$D$9*养成消耗调参!$D$39)</x:f>
        <x:v>720</x:v>
      </x:c>
      <x:c r="H39" s="40" t="n">
        <x:f>IF(养成消耗调参!$B$39&gt;=英雄升级调参!$C$9,0,养成消耗调参!$E$9*养成消耗调参!$E$39)</x:f>
        <x:v>960</x:v>
      </x:c>
      <x:c r="I39" s="25"/>
      <x:c r="J39" s="25">
        <x:v>6</x:v>
      </x:c>
      <x:c r="K39" s="40">
        <x:f t="shared" si="0"/>
        <x:v>30</x:v>
      </x:c>
      <x:c r="L39" s="40">
        <x:f t="shared" si="1"/>
        <x:v>110</x:v>
      </x:c>
      <x:c r="M39" s="40" t="n">
        <x:f>SUM(L$34:L39)</x:f>
        <x:v>360</x:v>
      </x:c>
      <x:c r="N39" s="25"/>
      <x:c r="O39" s="25"/>
      <x:c r="P39" s="25"/>
    </x:row>
    <x:row r="40" ht="23.100000381469727" customHeight="1">
      <x:c r="A40" s="19"/>
      <x:c r="B40" s="25">
        <x:v>23</x:v>
      </x:c>
      <x:c r="C40" s="39">
        <x:v>22</x:v>
      </x:c>
      <x:c r="D40" s="39">
        <x:v>22</x:v>
      </x:c>
      <x:c r="E40" s="39">
        <x:v>22</x:v>
      </x:c>
      <x:c r="F40" s="40" t="n">
        <x:f>IF(养成消耗调参!$B$40&gt;=英雄升级调参!$C$9,0,养成消耗调参!$C$9*养成消耗调参!$C$40)</x:f>
        <x:v>528</x:v>
      </x:c>
      <x:c r="G40" s="40" t="n">
        <x:f>IF(养成消耗调参!$B$40&gt;=英雄升级调参!$C$9,0,养成消耗调参!$D$9*养成消耗调参!$D$40)</x:f>
        <x:v>792</x:v>
      </x:c>
      <x:c r="H40" s="40" t="n">
        <x:f>IF(养成消耗调参!$B$40&gt;=英雄升级调参!$C$9,0,养成消耗调参!$E$9*养成消耗调参!$E$40)</x:f>
        <x:v>1056</x:v>
      </x:c>
      <x:c r="I40" s="25"/>
      <x:c r="J40" s="25">
        <x:v>7</x:v>
      </x:c>
      <x:c r="K40" s="40">
        <x:f t="shared" si="0"/>
        <x:v>35</x:v>
      </x:c>
      <x:c r="L40" s="40">
        <x:f t="shared" si="1"/>
        <x:v>130</x:v>
      </x:c>
      <x:c r="M40" s="40" t="n">
        <x:f>SUM(L$34:L40)</x:f>
        <x:v>490</x:v>
      </x:c>
      <x:c r="N40" s="25"/>
      <x:c r="O40" s="25"/>
      <x:c r="P40" s="25"/>
    </x:row>
    <x:row r="41" ht="23.100000381469727" customHeight="1">
      <x:c r="A41" s="19"/>
      <x:c r="B41" s="25">
        <x:v>24</x:v>
      </x:c>
      <x:c r="C41" s="39">
        <x:v>22</x:v>
      </x:c>
      <x:c r="D41" s="39">
        <x:v>22</x:v>
      </x:c>
      <x:c r="E41" s="39">
        <x:v>22</x:v>
      </x:c>
      <x:c r="F41" s="40" t="n">
        <x:f>IF(养成消耗调参!$B$41&gt;=英雄升级调参!$C$9,0,养成消耗调参!$C$9*养成消耗调参!$C$41)</x:f>
        <x:v>528</x:v>
      </x:c>
      <x:c r="G41" s="40" t="n">
        <x:f>IF(养成消耗调参!$B$41&gt;=英雄升级调参!$C$9,0,养成消耗调参!$D$9*养成消耗调参!$D$41)</x:f>
        <x:v>792</x:v>
      </x:c>
      <x:c r="H41" s="40" t="n">
        <x:f>IF(养成消耗调参!$B$41&gt;=英雄升级调参!$C$9,0,养成消耗调参!$E$9*养成消耗调参!$E$41)</x:f>
        <x:v>1056</x:v>
      </x:c>
      <x:c r="I41" s="25"/>
      <x:c r="J41" s="25">
        <x:v>8</x:v>
      </x:c>
      <x:c r="K41" s="40">
        <x:f t="shared" si="0"/>
        <x:v>40</x:v>
      </x:c>
      <x:c r="L41" s="40">
        <x:f t="shared" si="1"/>
        <x:v>150</x:v>
      </x:c>
      <x:c r="M41" s="40" t="n">
        <x:f>SUM(L$34:L41)</x:f>
        <x:v>640</x:v>
      </x:c>
      <x:c r="N41" s="25"/>
      <x:c r="O41" s="25"/>
      <x:c r="P41" s="25"/>
    </x:row>
    <x:row r="42" ht="23.100000381469727" customHeight="1">
      <x:c r="A42" s="19"/>
      <x:c r="B42" s="25">
        <x:v>25</x:v>
      </x:c>
      <x:c r="C42" s="39">
        <x:v>24</x:v>
      </x:c>
      <x:c r="D42" s="39">
        <x:v>24</x:v>
      </x:c>
      <x:c r="E42" s="39">
        <x:v>24</x:v>
      </x:c>
      <x:c r="F42" s="40" t="n">
        <x:f>IF(养成消耗调参!$B$42&gt;=英雄升级调参!$C$9,0,养成消耗调参!$C$9*养成消耗调参!$C$42)</x:f>
        <x:v>576</x:v>
      </x:c>
      <x:c r="G42" s="40" t="n">
        <x:f>IF(养成消耗调参!$B$42&gt;=英雄升级调参!$C$9,0,养成消耗调参!$D$9*养成消耗调参!$D$42)</x:f>
        <x:v>864</x:v>
      </x:c>
      <x:c r="H42" s="40" t="n">
        <x:f>IF(养成消耗调参!$B$42&gt;=英雄升级调参!$C$9,0,养成消耗调参!$E$9*养成消耗调参!$E$42)</x:f>
        <x:v>1152</x:v>
      </x:c>
      <x:c r="I42" s="25"/>
      <x:c r="J42" s="25">
        <x:v>9</x:v>
      </x:c>
      <x:c r="K42" s="40">
        <x:f t="shared" si="0"/>
        <x:v>45</x:v>
      </x:c>
      <x:c r="L42" s="40">
        <x:f t="shared" si="1"/>
        <x:v>170</x:v>
      </x:c>
      <x:c r="M42" s="40" t="n">
        <x:f>SUM(L$34:L42)</x:f>
        <x:v>810</x:v>
      </x:c>
      <x:c r="N42" s="25"/>
      <x:c r="O42" s="25"/>
      <x:c r="P42" s="25"/>
    </x:row>
    <x:row r="43" ht="23.100000381469727" customHeight="1">
      <x:c r="A43" s="19"/>
      <x:c r="B43" s="25">
        <x:v>26</x:v>
      </x:c>
      <x:c r="C43" s="39">
        <x:v>24</x:v>
      </x:c>
      <x:c r="D43" s="39">
        <x:v>24</x:v>
      </x:c>
      <x:c r="E43" s="39">
        <x:v>24</x:v>
      </x:c>
      <x:c r="F43" s="40" t="n">
        <x:f>IF(养成消耗调参!$B$43&gt;=英雄升级调参!$C$9,0,养成消耗调参!$C$9*养成消耗调参!$C$43)</x:f>
        <x:v>576</x:v>
      </x:c>
      <x:c r="G43" s="40" t="n">
        <x:f>IF(养成消耗调参!$B$43&gt;=英雄升级调参!$C$9,0,养成消耗调参!$D$9*养成消耗调参!$D$43)</x:f>
        <x:v>864</x:v>
      </x:c>
      <x:c r="H43" s="40" t="n">
        <x:f>IF(养成消耗调参!$B$43&gt;=英雄升级调参!$C$9,0,养成消耗调参!$E$9*养成消耗调参!$E$43)</x:f>
        <x:v>1152</x:v>
      </x:c>
      <x:c r="I43" s="25"/>
      <x:c r="J43" s="25">
        <x:v>10</x:v>
      </x:c>
      <x:c r="K43" s="40">
        <x:f t="shared" si="0"/>
        <x:v>50</x:v>
      </x:c>
      <x:c r="L43" s="40">
        <x:f t="shared" si="1"/>
        <x:v>190</x:v>
      </x:c>
      <x:c r="M43" s="40" t="n">
        <x:f>SUM(L$34:L43)</x:f>
        <x:v>1000</x:v>
      </x:c>
      <x:c r="N43" s="25"/>
      <x:c r="O43" s="25"/>
      <x:c r="P43" s="25"/>
    </x:row>
    <x:row r="44" ht="23.100000381469727" customHeight="1">
      <x:c r="A44" s="19"/>
      <x:c r="B44" s="25">
        <x:v>27</x:v>
      </x:c>
      <x:c r="C44" s="39">
        <x:v>26</x:v>
      </x:c>
      <x:c r="D44" s="39">
        <x:v>26</x:v>
      </x:c>
      <x:c r="E44" s="39">
        <x:v>26</x:v>
      </x:c>
      <x:c r="F44" s="40" t="n">
        <x:f>IF(养成消耗调参!$B$44&gt;=英雄升级调参!$C$9,0,养成消耗调参!$C$9*养成消耗调参!$C$44)</x:f>
        <x:v>624</x:v>
      </x:c>
      <x:c r="G44" s="40" t="n">
        <x:f>IF(养成消耗调参!$B$44&gt;=英雄升级调参!$C$9,0,养成消耗调参!$D$9*养成消耗调参!$D$44)</x:f>
        <x:v>936</x:v>
      </x:c>
      <x:c r="H44" s="40" t="n">
        <x:f>IF(养成消耗调参!$B$44&gt;=英雄升级调参!$C$9,0,养成消耗调参!$E$9*养成消耗调参!$E$44)</x:f>
        <x:v>1248</x:v>
      </x:c>
      <x:c r="I44" s="25"/>
      <x:c r="J44" s="25"/>
      <x:c r="K44" s="25"/>
      <x:c r="L44" s="25"/>
      <x:c r="M44" s="25"/>
      <x:c r="N44" s="25"/>
      <x:c r="O44" s="25"/>
      <x:c r="P44" s="25"/>
    </x:row>
    <x:row r="45" ht="23.100000381469727" customHeight="1">
      <x:c r="A45" s="19"/>
      <x:c r="B45" s="25">
        <x:v>28</x:v>
      </x:c>
      <x:c r="C45" s="39">
        <x:v>26</x:v>
      </x:c>
      <x:c r="D45" s="39">
        <x:v>26</x:v>
      </x:c>
      <x:c r="E45" s="39">
        <x:v>26</x:v>
      </x:c>
      <x:c r="F45" s="40" t="n">
        <x:f>IF(养成消耗调参!$B$45&gt;=英雄升级调参!$C$9,0,养成消耗调参!$C$9*养成消耗调参!$C$45)</x:f>
        <x:v>624</x:v>
      </x:c>
      <x:c r="G45" s="40" t="n">
        <x:f>IF(养成消耗调参!$B$45&gt;=英雄升级调参!$C$9,0,养成消耗调参!$D$9*养成消耗调参!$D$45)</x:f>
        <x:v>936</x:v>
      </x:c>
      <x:c r="H45" s="40" t="n">
        <x:f>IF(养成消耗调参!$B$45&gt;=英雄升级调参!$C$9,0,养成消耗调参!$E$9*养成消耗调参!$E$45)</x:f>
        <x:v>1248</x:v>
      </x:c>
      <x:c r="I45" s="25"/>
      <x:c r="J45" s="25"/>
      <x:c r="K45" s="25"/>
      <x:c r="L45" s="25"/>
      <x:c r="M45" s="25"/>
      <x:c r="N45" s="25"/>
      <x:c r="O45" s="25"/>
      <x:c r="P45" s="25"/>
    </x:row>
    <x:row r="46" ht="23.100000381469727" customHeight="1">
      <x:c r="A46" s="19"/>
      <x:c r="B46" s="25">
        <x:v>29</x:v>
      </x:c>
      <x:c r="C46" s="39">
        <x:v>28</x:v>
      </x:c>
      <x:c r="D46" s="39">
        <x:v>28</x:v>
      </x:c>
      <x:c r="E46" s="39">
        <x:v>28</x:v>
      </x:c>
      <x:c r="F46" s="40" t="n">
        <x:f>IF(养成消耗调参!$B$46&gt;=英雄升级调参!$C$9,0,养成消耗调参!$C$9*养成消耗调参!$C$46)</x:f>
        <x:v>672</x:v>
      </x:c>
      <x:c r="G46" s="40" t="n">
        <x:f>IF(养成消耗调参!$B$46&gt;=英雄升级调参!$C$9,0,养成消耗调参!$D$9*养成消耗调参!$D$46)</x:f>
        <x:v>1008</x:v>
      </x:c>
      <x:c r="H46" s="40" t="n">
        <x:f>IF(养成消耗调参!$B$46&gt;=英雄升级调参!$C$9,0,养成消耗调参!$E$9*养成消耗调参!$E$46)</x:f>
        <x:v>1344</x:v>
      </x:c>
      <x:c r="I46" s="25"/>
      <x:c r="J46" s="25"/>
      <x:c r="K46" s="25"/>
      <x:c r="L46" s="25"/>
      <x:c r="M46" s="25"/>
      <x:c r="N46" s="25"/>
      <x:c r="O46" s="25"/>
      <x:c r="P46" s="25"/>
    </x:row>
    <x:row r="47" ht="23.100000381469727" customHeight="1">
      <x:c r="A47" s="19"/>
      <x:c r="B47" s="25">
        <x:v>30</x:v>
      </x:c>
      <x:c r="C47" s="39">
        <x:v>28</x:v>
      </x:c>
      <x:c r="D47" s="39">
        <x:v>28</x:v>
      </x:c>
      <x:c r="E47" s="39">
        <x:v>28</x:v>
      </x:c>
      <x:c r="F47" s="40" t="n">
        <x:f>IF(养成消耗调参!$B$47&gt;=英雄升级调参!$C$9,0,养成消耗调参!$C$9*养成消耗调参!$C$47)</x:f>
        <x:v>672</x:v>
      </x:c>
      <x:c r="G47" s="40" t="n">
        <x:f>IF(养成消耗调参!$B$47&gt;=英雄升级调参!$C$9,0,养成消耗调参!$D$9*养成消耗调参!$D$47)</x:f>
        <x:v>1008</x:v>
      </x:c>
      <x:c r="H47" s="40" t="n">
        <x:f>IF(养成消耗调参!$B$47&gt;=英雄升级调参!$C$9,0,养成消耗调参!$E$9*养成消耗调参!$E$47)</x:f>
        <x:v>1344</x:v>
      </x:c>
      <x:c r="I47" s="25"/>
      <x:c r="J47" s="25"/>
      <x:c r="K47" s="25"/>
      <x:c r="L47" s="25"/>
      <x:c r="M47" s="25"/>
      <x:c r="N47" s="25"/>
      <x:c r="O47" s="25"/>
      <x:c r="P47" s="25"/>
    </x:row>
    <x:row r="48" ht="23.100000381469727" customHeight="1">
      <x:c r="A48" s="19"/>
      <x:c r="B48" s="25">
        <x:v>31</x:v>
      </x:c>
      <x:c r="C48" s="39">
        <x:v>30</x:v>
      </x:c>
      <x:c r="D48" s="39">
        <x:v>30</x:v>
      </x:c>
      <x:c r="E48" s="39">
        <x:v>30</x:v>
      </x:c>
      <x:c r="F48" s="40" t="n">
        <x:f>IF(养成消耗调参!$B$48&gt;=英雄升级调参!$C$9,0,养成消耗调参!$C$9*养成消耗调参!$C$48)</x:f>
        <x:v>720</x:v>
      </x:c>
      <x:c r="G48" s="40" t="n">
        <x:f>IF(养成消耗调参!$B$48&gt;=英雄升级调参!$C$9,0,养成消耗调参!$D$9*养成消耗调参!$D$48)</x:f>
        <x:v>1080</x:v>
      </x:c>
      <x:c r="H48" s="40" t="n">
        <x:f>IF(养成消耗调参!$B$48&gt;=英雄升级调参!$C$9,0,养成消耗调参!$E$9*养成消耗调参!$E$48)</x:f>
        <x:v>1440</x:v>
      </x:c>
      <x:c r="I48" s="25"/>
      <x:c r="J48" s="25"/>
      <x:c r="K48" s="25"/>
      <x:c r="L48" s="25"/>
      <x:c r="M48" s="25"/>
      <x:c r="N48" s="25"/>
      <x:c r="O48" s="25"/>
      <x:c r="P48" s="25"/>
    </x:row>
    <x:row r="49" ht="23.100000381469727" customHeight="1">
      <x:c r="A49" s="19"/>
      <x:c r="B49" s="25">
        <x:v>32</x:v>
      </x:c>
      <x:c r="C49" s="39">
        <x:v>30</x:v>
      </x:c>
      <x:c r="D49" s="39">
        <x:v>30</x:v>
      </x:c>
      <x:c r="E49" s="39">
        <x:v>30</x:v>
      </x:c>
      <x:c r="F49" s="40" t="n">
        <x:f>IF(养成消耗调参!$B$49&gt;=英雄升级调参!$C$9,0,养成消耗调参!$C$9*养成消耗调参!$C$49)</x:f>
        <x:v>720</x:v>
      </x:c>
      <x:c r="G49" s="40" t="n">
        <x:f>IF(养成消耗调参!$B$49&gt;=英雄升级调参!$C$9,0,养成消耗调参!$D$9*养成消耗调参!$D$49)</x:f>
        <x:v>1080</x:v>
      </x:c>
      <x:c r="H49" s="40" t="n">
        <x:f>IF(养成消耗调参!$B$49&gt;=英雄升级调参!$C$9,0,养成消耗调参!$E$9*养成消耗调参!$E$49)</x:f>
        <x:v>1440</x:v>
      </x:c>
      <x:c r="I49" s="25"/>
      <x:c r="J49" s="25"/>
      <x:c r="K49" s="25"/>
      <x:c r="L49" s="25"/>
      <x:c r="M49" s="25"/>
      <x:c r="N49" s="25"/>
      <x:c r="O49" s="25"/>
      <x:c r="P49" s="25"/>
    </x:row>
    <x:row r="50" ht="23.100000381469727" customHeight="1">
      <x:c r="A50" s="19"/>
      <x:c r="B50" s="25">
        <x:v>33</x:v>
      </x:c>
      <x:c r="C50" s="39">
        <x:v>32</x:v>
      </x:c>
      <x:c r="D50" s="39">
        <x:v>32</x:v>
      </x:c>
      <x:c r="E50" s="39">
        <x:v>32</x:v>
      </x:c>
      <x:c r="F50" s="40" t="n">
        <x:f>IF(养成消耗调参!$B$50&gt;=英雄升级调参!$C$9,0,养成消耗调参!$C$9*养成消耗调参!$C$50)</x:f>
        <x:v>768</x:v>
      </x:c>
      <x:c r="G50" s="40" t="n">
        <x:f>IF(养成消耗调参!$B$50&gt;=英雄升级调参!$C$9,0,养成消耗调参!$D$9*养成消耗调参!$D$50)</x:f>
        <x:v>1152</x:v>
      </x:c>
      <x:c r="H50" s="40" t="n">
        <x:f>IF(养成消耗调参!$B$50&gt;=英雄升级调参!$C$9,0,养成消耗调参!$E$9*养成消耗调参!$E$50)</x:f>
        <x:v>1536</x:v>
      </x:c>
      <x:c r="I50" s="25"/>
      <x:c r="J50" s="25"/>
      <x:c r="K50" s="25"/>
      <x:c r="L50" s="25"/>
      <x:c r="M50" s="25"/>
      <x:c r="N50" s="25"/>
      <x:c r="O50" s="25"/>
      <x:c r="P50" s="25"/>
    </x:row>
    <x:row r="51" ht="23.100000381469727" customHeight="1">
      <x:c r="A51" s="19"/>
      <x:c r="B51" s="25">
        <x:v>34</x:v>
      </x:c>
      <x:c r="C51" s="39">
        <x:v>32</x:v>
      </x:c>
      <x:c r="D51" s="39">
        <x:v>32</x:v>
      </x:c>
      <x:c r="E51" s="39">
        <x:v>32</x:v>
      </x:c>
      <x:c r="F51" s="40" t="n">
        <x:f>IF(养成消耗调参!$B$51&gt;=英雄升级调参!$C$9,0,养成消耗调参!$C$9*养成消耗调参!$C$51)</x:f>
        <x:v>768</x:v>
      </x:c>
      <x:c r="G51" s="40" t="n">
        <x:f>IF(养成消耗调参!$B$51&gt;=英雄升级调参!$C$9,0,养成消耗调参!$D$9*养成消耗调参!$D$51)</x:f>
        <x:v>1152</x:v>
      </x:c>
      <x:c r="H51" s="40" t="n">
        <x:f>IF(养成消耗调参!$B$51&gt;=英雄升级调参!$C$9,0,养成消耗调参!$E$9*养成消耗调参!$E$51)</x:f>
        <x:v>1536</x:v>
      </x:c>
      <x:c r="I51" s="25"/>
      <x:c r="J51" s="25"/>
      <x:c r="K51" s="25"/>
      <x:c r="L51" s="25"/>
      <x:c r="M51" s="25"/>
      <x:c r="N51" s="25"/>
      <x:c r="O51" s="25"/>
      <x:c r="P51" s="25"/>
    </x:row>
    <x:row r="52" ht="23.100000381469727" customHeight="1">
      <x:c r="A52" s="19"/>
      <x:c r="B52" s="25">
        <x:v>35</x:v>
      </x:c>
      <x:c r="C52" s="39">
        <x:v>34</x:v>
      </x:c>
      <x:c r="D52" s="39">
        <x:v>34</x:v>
      </x:c>
      <x:c r="E52" s="39">
        <x:v>34</x:v>
      </x:c>
      <x:c r="F52" s="40" t="n">
        <x:f>IF(养成消耗调参!$B$52&gt;=英雄升级调参!$C$9,0,养成消耗调参!$C$9*养成消耗调参!$C$52)</x:f>
        <x:v>816</x:v>
      </x:c>
      <x:c r="G52" s="40" t="n">
        <x:f>IF(养成消耗调参!$B$52&gt;=英雄升级调参!$C$9,0,养成消耗调参!$D$9*养成消耗调参!$D$52)</x:f>
        <x:v>1224</x:v>
      </x:c>
      <x:c r="H52" s="40" t="n">
        <x:f>IF(养成消耗调参!$B$52&gt;=英雄升级调参!$C$9,0,养成消耗调参!$E$9*养成消耗调参!$E$52)</x:f>
        <x:v>1632</x:v>
      </x:c>
      <x:c r="I52" s="25"/>
      <x:c r="J52" s="25"/>
      <x:c r="K52" s="25"/>
      <x:c r="L52" s="25"/>
      <x:c r="M52" s="25"/>
      <x:c r="N52" s="25"/>
      <x:c r="O52" s="25"/>
      <x:c r="P52" s="25"/>
    </x:row>
    <x:row r="53" ht="23.100000381469727" customHeight="1">
      <x:c r="A53" s="19"/>
      <x:c r="B53" s="25">
        <x:v>36</x:v>
      </x:c>
      <x:c r="C53" s="39">
        <x:v>34</x:v>
      </x:c>
      <x:c r="D53" s="39">
        <x:v>34</x:v>
      </x:c>
      <x:c r="E53" s="39">
        <x:v>34</x:v>
      </x:c>
      <x:c r="F53" s="40" t="n">
        <x:f>IF(养成消耗调参!$B$53&gt;=英雄升级调参!$C$9,0,养成消耗调参!$C$9*养成消耗调参!$C$53)</x:f>
        <x:v>816</x:v>
      </x:c>
      <x:c r="G53" s="40" t="n">
        <x:f>IF(养成消耗调参!$B$53&gt;=英雄升级调参!$C$9,0,养成消耗调参!$D$9*养成消耗调参!$D$53)</x:f>
        <x:v>1224</x:v>
      </x:c>
      <x:c r="H53" s="40" t="n">
        <x:f>IF(养成消耗调参!$B$53&gt;=英雄升级调参!$C$9,0,养成消耗调参!$E$9*养成消耗调参!$E$53)</x:f>
        <x:v>1632</x:v>
      </x:c>
      <x:c r="I53" s="25"/>
      <x:c r="J53" s="25"/>
      <x:c r="K53" s="25"/>
      <x:c r="L53" s="25"/>
      <x:c r="M53" s="25"/>
      <x:c r="N53" s="25"/>
      <x:c r="O53" s="25"/>
      <x:c r="P53" s="25"/>
    </x:row>
    <x:row r="54" ht="23.100000381469727" customHeight="1">
      <x:c r="A54" s="19"/>
      <x:c r="B54" s="25">
        <x:v>37</x:v>
      </x:c>
      <x:c r="C54" s="39">
        <x:v>36</x:v>
      </x:c>
      <x:c r="D54" s="39">
        <x:v>36</x:v>
      </x:c>
      <x:c r="E54" s="39">
        <x:v>36</x:v>
      </x:c>
      <x:c r="F54" s="40" t="n">
        <x:f>IF(养成消耗调参!$B$54&gt;=英雄升级调参!$C$9,0,养成消耗调参!$C$9*养成消耗调参!$C$54)</x:f>
        <x:v>864</x:v>
      </x:c>
      <x:c r="G54" s="40" t="n">
        <x:f>IF(养成消耗调参!$B$54&gt;=英雄升级调参!$C$9,0,养成消耗调参!$D$9*养成消耗调参!$D$54)</x:f>
        <x:v>1296</x:v>
      </x:c>
      <x:c r="H54" s="40" t="n">
        <x:f>IF(养成消耗调参!$B$54&gt;=英雄升级调参!$C$9,0,养成消耗调参!$E$9*养成消耗调参!$E$54)</x:f>
        <x:v>1728</x:v>
      </x:c>
      <x:c r="I54" s="25"/>
      <x:c r="J54" s="25"/>
      <x:c r="K54" s="25"/>
      <x:c r="L54" s="25"/>
      <x:c r="M54" s="25"/>
      <x:c r="N54" s="25"/>
      <x:c r="O54" s="25"/>
      <x:c r="P54" s="25"/>
    </x:row>
    <x:row r="55" ht="23.100000381469727" customHeight="1">
      <x:c r="A55" s="19"/>
      <x:c r="B55" s="25">
        <x:v>38</x:v>
      </x:c>
      <x:c r="C55" s="39">
        <x:v>36</x:v>
      </x:c>
      <x:c r="D55" s="39">
        <x:v>36</x:v>
      </x:c>
      <x:c r="E55" s="39">
        <x:v>36</x:v>
      </x:c>
      <x:c r="F55" s="40" t="n">
        <x:f>IF(养成消耗调参!$B$55&gt;=英雄升级调参!$C$9,0,养成消耗调参!$C$9*养成消耗调参!$C$55)</x:f>
        <x:v>864</x:v>
      </x:c>
      <x:c r="G55" s="40" t="n">
        <x:f>IF(养成消耗调参!$B$55&gt;=英雄升级调参!$C$9,0,养成消耗调参!$D$9*养成消耗调参!$D$55)</x:f>
        <x:v>1296</x:v>
      </x:c>
      <x:c r="H55" s="40" t="n">
        <x:f>IF(养成消耗调参!$B$55&gt;=英雄升级调参!$C$9,0,养成消耗调参!$E$9*养成消耗调参!$E$55)</x:f>
        <x:v>1728</x:v>
      </x:c>
      <x:c r="I55" s="25"/>
      <x:c r="J55" s="25"/>
      <x:c r="K55" s="25"/>
      <x:c r="L55" s="25"/>
      <x:c r="M55" s="25"/>
      <x:c r="N55" s="25"/>
      <x:c r="O55" s="25"/>
      <x:c r="P55" s="25"/>
    </x:row>
    <x:row r="56" ht="23.100000381469727" customHeight="1">
      <x:c r="A56" s="19"/>
      <x:c r="B56" s="25">
        <x:v>39</x:v>
      </x:c>
      <x:c r="C56" s="39">
        <x:v>38</x:v>
      </x:c>
      <x:c r="D56" s="39">
        <x:v>38</x:v>
      </x:c>
      <x:c r="E56" s="39">
        <x:v>38</x:v>
      </x:c>
      <x:c r="F56" s="40" t="n">
        <x:f>IF(养成消耗调参!$B$56&gt;=英雄升级调参!$C$9,0,养成消耗调参!$C$9*养成消耗调参!$C$56)</x:f>
        <x:v>912</x:v>
      </x:c>
      <x:c r="G56" s="40" t="n">
        <x:f>IF(养成消耗调参!$B$56&gt;=英雄升级调参!$C$9,0,养成消耗调参!$D$9*养成消耗调参!$D$56)</x:f>
        <x:v>1368</x:v>
      </x:c>
      <x:c r="H56" s="40" t="n">
        <x:f>IF(养成消耗调参!$B$56&gt;=英雄升级调参!$C$9,0,养成消耗调参!$E$9*养成消耗调参!$E$56)</x:f>
        <x:v>1824</x:v>
      </x:c>
      <x:c r="I56" s="25"/>
      <x:c r="J56" s="25"/>
      <x:c r="K56" s="25"/>
      <x:c r="L56" s="25"/>
      <x:c r="M56" s="25"/>
      <x:c r="N56" s="25"/>
      <x:c r="O56" s="25"/>
      <x:c r="P56" s="25"/>
    </x:row>
    <x:row r="57" ht="23.100000381469727" customHeight="1">
      <x:c r="A57" s="19"/>
      <x:c r="B57" s="25">
        <x:v>40</x:v>
      </x:c>
      <x:c r="C57" s="39">
        <x:v>38</x:v>
      </x:c>
      <x:c r="D57" s="39">
        <x:v>38</x:v>
      </x:c>
      <x:c r="E57" s="39">
        <x:v>38</x:v>
      </x:c>
      <x:c r="F57" s="40" t="n">
        <x:f>IF(养成消耗调参!$B$57&gt;=英雄升级调参!$C$9,0,养成消耗调参!$C$9*养成消耗调参!$C$57)</x:f>
        <x:v>912</x:v>
      </x:c>
      <x:c r="G57" s="40" t="n">
        <x:f>IF(养成消耗调参!$B$57&gt;=英雄升级调参!$C$9,0,养成消耗调参!$D$9*养成消耗调参!$D$57)</x:f>
        <x:v>1368</x:v>
      </x:c>
      <x:c r="H57" s="40" t="n">
        <x:f>IF(养成消耗调参!$B$57&gt;=英雄升级调参!$C$9,0,养成消耗调参!$E$9*养成消耗调参!$E$57)</x:f>
        <x:v>1824</x:v>
      </x:c>
      <x:c r="I57" s="25"/>
      <x:c r="J57" s="25"/>
      <x:c r="K57" s="25"/>
      <x:c r="L57" s="25"/>
      <x:c r="M57" s="25"/>
      <x:c r="N57" s="25"/>
      <x:c r="O57" s="25"/>
      <x:c r="P57" s="25"/>
    </x:row>
    <x:row r="58" ht="23.100000381469727" customHeight="1">
      <x:c r="A58" s="19"/>
      <x:c r="B58" s="25">
        <x:v>41</x:v>
      </x:c>
      <x:c r="C58" s="39">
        <x:v>40</x:v>
      </x:c>
      <x:c r="D58" s="39">
        <x:v>40</x:v>
      </x:c>
      <x:c r="E58" s="39">
        <x:v>40</x:v>
      </x:c>
      <x:c r="F58" s="40" t="n">
        <x:f>IF(养成消耗调参!$B$58&gt;=英雄升级调参!$C$9,0,养成消耗调参!$C$9*养成消耗调参!$C$58)</x:f>
        <x:v>960</x:v>
      </x:c>
      <x:c r="G58" s="40" t="n">
        <x:f>IF(养成消耗调参!$B$58&gt;=英雄升级调参!$C$9,0,养成消耗调参!$D$9*养成消耗调参!$D$58)</x:f>
        <x:v>1440</x:v>
      </x:c>
      <x:c r="H58" s="40" t="n">
        <x:f>IF(养成消耗调参!$B$58&gt;=英雄升级调参!$C$9,0,养成消耗调参!$E$9*养成消耗调参!$E$58)</x:f>
        <x:v>1920</x:v>
      </x:c>
      <x:c r="I58" s="25"/>
      <x:c r="J58" s="25"/>
      <x:c r="K58" s="25"/>
      <x:c r="L58" s="25"/>
      <x:c r="M58" s="25"/>
      <x:c r="N58" s="25"/>
      <x:c r="O58" s="25"/>
      <x:c r="P58" s="25"/>
    </x:row>
    <x:row r="59" ht="23.100000381469727" customHeight="1">
      <x:c r="A59" s="19"/>
      <x:c r="B59" s="25">
        <x:v>42</x:v>
      </x:c>
      <x:c r="C59" s="39">
        <x:v>40</x:v>
      </x:c>
      <x:c r="D59" s="39">
        <x:v>40</x:v>
      </x:c>
      <x:c r="E59" s="39">
        <x:v>40</x:v>
      </x:c>
      <x:c r="F59" s="40" t="n">
        <x:f>IF(养成消耗调参!$B$59&gt;=英雄升级调参!$C$9,0,养成消耗调参!$C$9*养成消耗调参!$C$59)</x:f>
        <x:v>960</x:v>
      </x:c>
      <x:c r="G59" s="40" t="n">
        <x:f>IF(养成消耗调参!$B$59&gt;=英雄升级调参!$C$9,0,养成消耗调参!$D$9*养成消耗调参!$D$59)</x:f>
        <x:v>1440</x:v>
      </x:c>
      <x:c r="H59" s="40" t="n">
        <x:f>IF(养成消耗调参!$B$59&gt;=英雄升级调参!$C$9,0,养成消耗调参!$E$9*养成消耗调参!$E$59)</x:f>
        <x:v>1920</x:v>
      </x:c>
      <x:c r="I59" s="25"/>
      <x:c r="J59" s="25"/>
      <x:c r="K59" s="25"/>
      <x:c r="L59" s="25"/>
      <x:c r="M59" s="25"/>
      <x:c r="N59" s="25"/>
      <x:c r="O59" s="25"/>
      <x:c r="P59" s="25"/>
    </x:row>
    <x:row r="60" ht="23.100000381469727" customHeight="1">
      <x:c r="A60" s="19"/>
      <x:c r="B60" s="25">
        <x:v>43</x:v>
      </x:c>
      <x:c r="C60" s="39">
        <x:v>42</x:v>
      </x:c>
      <x:c r="D60" s="39">
        <x:v>42</x:v>
      </x:c>
      <x:c r="E60" s="39">
        <x:v>42</x:v>
      </x:c>
      <x:c r="F60" s="40" t="n">
        <x:f>IF(养成消耗调参!$B$60&gt;=英雄升级调参!$C$9,0,养成消耗调参!$C$9*养成消耗调参!$C$60)</x:f>
        <x:v>1008</x:v>
      </x:c>
      <x:c r="G60" s="40" t="n">
        <x:f>IF(养成消耗调参!$B$60&gt;=英雄升级调参!$C$9,0,养成消耗调参!$D$9*养成消耗调参!$D$60)</x:f>
        <x:v>1512</x:v>
      </x:c>
      <x:c r="H60" s="40" t="n">
        <x:f>IF(养成消耗调参!$B$60&gt;=英雄升级调参!$C$9,0,养成消耗调参!$E$9*养成消耗调参!$E$60)</x:f>
        <x:v>2016</x:v>
      </x:c>
      <x:c r="I60" s="25"/>
      <x:c r="J60" s="25"/>
      <x:c r="K60" s="25"/>
      <x:c r="L60" s="25"/>
      <x:c r="M60" s="25"/>
      <x:c r="N60" s="25"/>
      <x:c r="O60" s="25"/>
      <x:c r="P60" s="25"/>
    </x:row>
    <x:row r="61" ht="23.100000381469727" customHeight="1">
      <x:c r="A61" s="19"/>
      <x:c r="B61" s="25">
        <x:v>44</x:v>
      </x:c>
      <x:c r="C61" s="39">
        <x:v>42</x:v>
      </x:c>
      <x:c r="D61" s="39">
        <x:v>42</x:v>
      </x:c>
      <x:c r="E61" s="39">
        <x:v>42</x:v>
      </x:c>
      <x:c r="F61" s="40" t="n">
        <x:f>IF(养成消耗调参!$B$61&gt;=英雄升级调参!$C$9,0,养成消耗调参!$C$9*养成消耗调参!$C$61)</x:f>
        <x:v>1008</x:v>
      </x:c>
      <x:c r="G61" s="40" t="n">
        <x:f>IF(养成消耗调参!$B$61&gt;=英雄升级调参!$C$9,0,养成消耗调参!$D$9*养成消耗调参!$D$61)</x:f>
        <x:v>1512</x:v>
      </x:c>
      <x:c r="H61" s="40" t="n">
        <x:f>IF(养成消耗调参!$B$61&gt;=英雄升级调参!$C$9,0,养成消耗调参!$E$9*养成消耗调参!$E$61)</x:f>
        <x:v>2016</x:v>
      </x:c>
      <x:c r="I61" s="25"/>
      <x:c r="J61" s="25"/>
      <x:c r="K61" s="25"/>
      <x:c r="L61" s="25"/>
      <x:c r="M61" s="25"/>
      <x:c r="N61" s="25"/>
      <x:c r="O61" s="25"/>
      <x:c r="P61" s="25"/>
    </x:row>
    <x:row r="62" ht="23.100000381469727" customHeight="1">
      <x:c r="A62" s="19"/>
      <x:c r="B62" s="25">
        <x:v>45</x:v>
      </x:c>
      <x:c r="C62" s="39">
        <x:v>44</x:v>
      </x:c>
      <x:c r="D62" s="39">
        <x:v>44</x:v>
      </x:c>
      <x:c r="E62" s="39">
        <x:v>44</x:v>
      </x:c>
      <x:c r="F62" s="40" t="n">
        <x:f>IF(养成消耗调参!$B$62&gt;=英雄升级调参!$C$9,0,养成消耗调参!$C$9*养成消耗调参!$C$62)</x:f>
        <x:v>1056</x:v>
      </x:c>
      <x:c r="G62" s="40" t="n">
        <x:f>IF(养成消耗调参!$B$62&gt;=英雄升级调参!$C$9,0,养成消耗调参!$D$9*养成消耗调参!$D$62)</x:f>
        <x:v>1584</x:v>
      </x:c>
      <x:c r="H62" s="40" t="n">
        <x:f>IF(养成消耗调参!$B$62&gt;=英雄升级调参!$C$9,0,养成消耗调参!$E$9*养成消耗调参!$E$62)</x:f>
        <x:v>2112</x:v>
      </x:c>
      <x:c r="I62" s="25"/>
      <x:c r="J62" s="25"/>
      <x:c r="K62" s="25"/>
      <x:c r="L62" s="25"/>
      <x:c r="M62" s="25"/>
      <x:c r="N62" s="25"/>
      <x:c r="O62" s="25"/>
      <x:c r="P62" s="25"/>
    </x:row>
    <x:row r="63" ht="23.100000381469727" customHeight="1">
      <x:c r="A63" s="19"/>
      <x:c r="B63" s="25">
        <x:v>46</x:v>
      </x:c>
      <x:c r="C63" s="39">
        <x:v>44</x:v>
      </x:c>
      <x:c r="D63" s="39">
        <x:v>44</x:v>
      </x:c>
      <x:c r="E63" s="39">
        <x:v>44</x:v>
      </x:c>
      <x:c r="F63" s="40" t="n">
        <x:f>IF(养成消耗调参!$B$63&gt;=英雄升级调参!$C$9,0,养成消耗调参!$C$9*养成消耗调参!$C$63)</x:f>
        <x:v>1056</x:v>
      </x:c>
      <x:c r="G63" s="40" t="n">
        <x:f>IF(养成消耗调参!$B$63&gt;=英雄升级调参!$C$9,0,养成消耗调参!$D$9*养成消耗调参!$D$63)</x:f>
        <x:v>1584</x:v>
      </x:c>
      <x:c r="H63" s="40" t="n">
        <x:f>IF(养成消耗调参!$B$63&gt;=英雄升级调参!$C$9,0,养成消耗调参!$E$9*养成消耗调参!$E$63)</x:f>
        <x:v>2112</x:v>
      </x:c>
      <x:c r="I63" s="25"/>
      <x:c r="J63" s="25"/>
      <x:c r="K63" s="25"/>
      <x:c r="L63" s="25"/>
      <x:c r="M63" s="25"/>
      <x:c r="N63" s="25"/>
      <x:c r="O63" s="25"/>
      <x:c r="P63" s="25"/>
    </x:row>
    <x:row r="64" ht="23.100000381469727" customHeight="1">
      <x:c r="A64" s="19"/>
      <x:c r="B64" s="25">
        <x:v>47</x:v>
      </x:c>
      <x:c r="C64" s="39">
        <x:v>46</x:v>
      </x:c>
      <x:c r="D64" s="39">
        <x:v>46</x:v>
      </x:c>
      <x:c r="E64" s="39">
        <x:v>46</x:v>
      </x:c>
      <x:c r="F64" s="40" t="n">
        <x:f>IF(养成消耗调参!$B$64&gt;=英雄升级调参!$C$9,0,养成消耗调参!$C$9*养成消耗调参!$C$64)</x:f>
        <x:v>1104</x:v>
      </x:c>
      <x:c r="G64" s="40" t="n">
        <x:f>IF(养成消耗调参!$B$64&gt;=英雄升级调参!$C$9,0,养成消耗调参!$D$9*养成消耗调参!$D$64)</x:f>
        <x:v>1656</x:v>
      </x:c>
      <x:c r="H64" s="40" t="n">
        <x:f>IF(养成消耗调参!$B$64&gt;=英雄升级调参!$C$9,0,养成消耗调参!$E$9*养成消耗调参!$E$64)</x:f>
        <x:v>2208</x:v>
      </x:c>
      <x:c r="I64" s="25"/>
      <x:c r="J64" s="25"/>
      <x:c r="K64" s="25"/>
      <x:c r="L64" s="25"/>
      <x:c r="M64" s="25"/>
      <x:c r="N64" s="25"/>
      <x:c r="O64" s="25"/>
      <x:c r="P64" s="25"/>
    </x:row>
    <x:row r="65" ht="23.100000381469727" customHeight="1">
      <x:c r="A65" s="19"/>
      <x:c r="B65" s="25">
        <x:v>48</x:v>
      </x:c>
      <x:c r="C65" s="39">
        <x:v>46</x:v>
      </x:c>
      <x:c r="D65" s="39">
        <x:v>46</x:v>
      </x:c>
      <x:c r="E65" s="39">
        <x:v>46</x:v>
      </x:c>
      <x:c r="F65" s="40" t="n">
        <x:f>IF(养成消耗调参!$B$65&gt;=英雄升级调参!$C$9,0,养成消耗调参!$C$9*养成消耗调参!$C$65)</x:f>
        <x:v>1104</x:v>
      </x:c>
      <x:c r="G65" s="40" t="n">
        <x:f>IF(养成消耗调参!$B$65&gt;=英雄升级调参!$C$9,0,养成消耗调参!$D$9*养成消耗调参!$D$65)</x:f>
        <x:v>1656</x:v>
      </x:c>
      <x:c r="H65" s="40" t="n">
        <x:f>IF(养成消耗调参!$B$65&gt;=英雄升级调参!$C$9,0,养成消耗调参!$E$9*养成消耗调参!$E$65)</x:f>
        <x:v>2208</x:v>
      </x:c>
      <x:c r="I65" s="25"/>
      <x:c r="J65" s="25"/>
      <x:c r="K65" s="25"/>
      <x:c r="L65" s="25"/>
      <x:c r="M65" s="25"/>
      <x:c r="N65" s="25"/>
      <x:c r="O65" s="25"/>
      <x:c r="P65" s="25"/>
    </x:row>
    <x:row r="66" ht="23.100000381469727" customHeight="1">
      <x:c r="A66" s="19"/>
      <x:c r="B66" s="25">
        <x:v>49</x:v>
      </x:c>
      <x:c r="C66" s="39">
        <x:v>48</x:v>
      </x:c>
      <x:c r="D66" s="39">
        <x:v>48</x:v>
      </x:c>
      <x:c r="E66" s="39">
        <x:v>48</x:v>
      </x:c>
      <x:c r="F66" s="40" t="n">
        <x:f>IF(养成消耗调参!$B$66&gt;=英雄升级调参!$C$9,0,养成消耗调参!$C$9*养成消耗调参!$C$66)</x:f>
        <x:v>1152</x:v>
      </x:c>
      <x:c r="G66" s="40" t="n">
        <x:f>IF(养成消耗调参!$B$66&gt;=英雄升级调参!$C$9,0,养成消耗调参!$D$9*养成消耗调参!$D$66)</x:f>
        <x:v>1728</x:v>
      </x:c>
      <x:c r="H66" s="40" t="n">
        <x:f>IF(养成消耗调参!$B$66&gt;=英雄升级调参!$C$9,0,养成消耗调参!$E$9*养成消耗调参!$E$66)</x:f>
        <x:v>2304</x:v>
      </x:c>
      <x:c r="I66" s="25"/>
      <x:c r="J66" s="25"/>
      <x:c r="K66" s="25"/>
      <x:c r="L66" s="25"/>
      <x:c r="M66" s="25"/>
      <x:c r="N66" s="25"/>
      <x:c r="O66" s="25"/>
      <x:c r="P66" s="25"/>
    </x:row>
    <x:row r="67" ht="23.100000381469727" customHeight="1">
      <x:c r="A67" s="19"/>
      <x:c r="B67" s="41">
        <x:v>50</x:v>
      </x:c>
      <x:c r="C67" s="41">
        <x:v>0</x:v>
      </x:c>
      <x:c r="D67" s="41">
        <x:v>0</x:v>
      </x:c>
      <x:c r="E67" s="41">
        <x:v>0</x:v>
      </x:c>
      <x:c r="F67" s="41" t="n">
        <x:f>IF(养成消耗调参!$B$67&gt;=英雄升级调参!$C$9,0,养成消耗调参!$C$9*养成消耗调参!$C$67)</x:f>
        <x:v>0</x:v>
      </x:c>
      <x:c r="G67" s="41" t="n">
        <x:f>IF(养成消耗调参!$B$67&gt;=英雄升级调参!$C$9,0,养成消耗调参!$D$9*养成消耗调参!$D$67)</x:f>
        <x:v>0</x:v>
      </x:c>
      <x:c r="H67" s="41" t="n">
        <x:f>IF(养成消耗调参!$B$67&gt;=英雄升级调参!$C$9,0,养成消耗调参!$E$9*养成消耗调参!$E$67)</x:f>
        <x:v>0</x:v>
      </x:c>
      <x:c r="I67" s="25"/>
      <x:c r="J67" s="25"/>
      <x:c r="K67" s="25"/>
      <x:c r="L67" s="25"/>
      <x:c r="M67" s="25"/>
      <x:c r="N67" s="25"/>
      <x:c r="O67" s="25"/>
      <x:c r="P67" s="25"/>
    </x:row>
    <x:row r="68" ht="23.100000381469727" customHeight="1">
      <x:c r="A68" s="19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</x:row>
    <x:row r="69" ht="23.100000381469727" customHeight="1">
      <x:c r="A69" s="19"/>
      <x:c r="B69" s="25" t="s">
        <x:v>460</x:v>
      </x:c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</x:row>
    <x:row r="70" ht="23.100000381469727" customHeight="1">
      <x:c r="A70" s="19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</x:row>
    <x:row r="71" ht="23.100000381469727" customHeight="1">
      <x:c r="A71" s="19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</x:row>
    <x:row r="72" ht="23.100000381469727" customHeight="1">
      <x:c r="A72" s="19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</x:row>
    <x:row r="73" ht="23.100000381469727" customHeight="1">
      <x:c r="A73" s="19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</x:row>
    <x:row r="74" ht="23.100000381469727" customHeight="1">
      <x:c r="A74" s="19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</x:row>
    <x:row r="75" ht="23.100000381469727" customHeight="1">
      <x:c r="A75" s="19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</x:row>
    <x:row r="76" ht="23.100000381469727" customHeight="1">
      <x:c r="A76" s="19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</x:row>
    <x:row r="77" ht="23.100000381469727" customHeight="1">
      <x:c r="A77" s="19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</x:row>
    <x:row r="78" ht="23.100000381469727" customHeight="1">
      <x:c r="A78" s="19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</x:row>
    <x:row r="79" ht="23.100000381469727" customHeight="1">
      <x:c r="A79" s="19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</x:row>
    <x:row r="80" ht="23.100000381469727" customHeight="1">
      <x:c r="A80" s="19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</x:row>
    <x:row r="81" ht="23.100000381469727" customHeight="1">
      <x:c r="A81" s="19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</x:row>
    <x:row r="82" ht="23.100000381469727" customHeight="1">
      <x:c r="A82" s="19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</x:row>
    <x:row r="83" ht="23.100000381469727" customHeight="1">
      <x:c r="A83" s="19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</x:row>
    <x:row r="84" ht="23.100000381469727" customHeight="1">
      <x:c r="A84" s="19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</x:row>
    <x:row r="85" ht="23.100000381469727" customHeight="1">
      <x:c r="A85" s="19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</x:row>
    <x:row r="86" ht="23.100000381469727" customHeight="1">
      <x:c r="A86" s="19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</x:row>
    <x:row r="87" ht="23.100000381469727" customHeight="1">
      <x:c r="A87" s="19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</x:row>
    <x:row r="88" ht="23.100000381469727" customHeight="1">
      <x:c r="A88" s="19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</x:row>
    <x:row r="89" ht="23.100000381469727" customHeight="1">
      <x:c r="A89" s="19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</x:row>
    <x:row r="90" ht="23.100000381469727" customHeight="1">
      <x:c r="A90" s="19"/>
      <x:c r="B90" s="35" t="s">
        <x:v>461</x:v>
      </x:c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</x:row>
    <x:row r="91" ht="23.100000381469727" customHeight="1">
      <x:c r="A91" s="19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</x:row>
    <x:row r="92" ht="30" customHeight="1">
      <x:c r="A92" s="19"/>
      <x:c r="B92" s="36" t="s">
        <x:v>437</x:v>
      </x:c>
      <x:c r="C92" s="49" t="s">
        <x:v>438</x:v>
      </x:c>
      <x:c r="D92" s="50" t="s">
        <x:v>439</x:v>
      </x:c>
      <x:c r="E92" s="52" t="s">
        <x:v>440</x:v>
      </x:c>
      <x:c r="F92" s="49" t="s">
        <x:v>462</x:v>
      </x:c>
      <x:c r="G92" s="50" t="s">
        <x:v>463</x:v>
      </x:c>
      <x:c r="H92" s="51" t="s">
        <x:v>464</x:v>
      </x:c>
      <x:c r="I92" s="25"/>
      <x:c r="J92" s="25"/>
      <x:c r="K92" s="25"/>
      <x:c r="L92" s="25"/>
      <x:c r="M92" s="25"/>
      <x:c r="N92" s="25"/>
      <x:c r="O92" s="25"/>
      <x:c r="P92" s="25"/>
    </x:row>
    <x:row r="93" ht="23.100000381469727" customHeight="1">
      <x:c r="A93" s="19"/>
      <x:c r="B93" s="25">
        <x:v>1</x:v>
      </x:c>
      <x:c r="C93" s="40" t="n">
        <x:f>IF(B93&gt;=英雄升级调参!$C$9,0,INDEX($K$18:$K$27,ROUNDUP(B93/$H$12,0)))</x:f>
        <x:v>1</x:v>
      </x:c>
      <x:c r="D93" s="40" t="n">
        <x:f>IF(B93&gt;=英雄升级调参!$C$9,0,INDEX($L$18:$L$27,ROUNDUP(B93/$H$12,0)))</x:f>
        <x:v>1</x:v>
      </x:c>
      <x:c r="E93" s="40" t="n">
        <x:f>IF(B93&gt;=英雄升级调参!$C$9,0,INDEX($M$18:$M$27,ROUNDUP(B93/$H$12,0)))</x:f>
        <x:v>1</x:v>
      </x:c>
      <x:c r="F93" s="40" t="n">
        <x:f>IF(养成消耗调参!$B$93&gt;=英雄升级调参!$C$9,0,养成消耗调参!$C$10*INDEX(养成消耗调参!$K$18:$K$27,ROUNDUP(养成消耗调参!$B$93/5,0)))</x:f>
        <x:v>300</x:v>
      </x:c>
      <x:c r="G93" s="40" t="n">
        <x:f>IF(养成消耗调参!$B$93&gt;=英雄升级调参!$C$9,0,养成消耗调参!$D$10*INDEX(养成消耗调参!$L$18:$L$27,ROUNDUP(养成消耗调参!$B$93/5,0)))</x:f>
        <x:v>450</x:v>
      </x:c>
      <x:c r="H93" s="40" t="n">
        <x:f>IF(养成消耗调参!$B$93&gt;=英雄升级调参!$C$9,0,养成消耗调参!$E$10*INDEX(养成消耗调参!$M$18:$M$27,ROUNDUP(养成消耗调参!$B$93/5,0)))</x:f>
        <x:v>600</x:v>
      </x:c>
      <x:c r="I93" s="25"/>
      <x:c r="J93" s="25"/>
      <x:c r="K93" s="25"/>
      <x:c r="L93" s="25"/>
      <x:c r="M93" s="25"/>
      <x:c r="N93" s="25"/>
      <x:c r="O93" s="25"/>
      <x:c r="P93" s="25"/>
    </x:row>
    <x:row r="94" ht="23.100000381469727" customHeight="1">
      <x:c r="A94" s="19"/>
      <x:c r="B94" s="25">
        <x:v>2</x:v>
      </x:c>
      <x:c r="C94" s="40" t="n">
        <x:f>IF(B94&gt;=英雄升级调参!$C$9,0,INDEX($K$18:$K$27,ROUNDUP(B94/$H$12,0)))</x:f>
        <x:v>1</x:v>
      </x:c>
      <x:c r="D94" s="40" t="n">
        <x:f>IF(B94&gt;=英雄升级调参!$C$9,0,INDEX($L$18:$L$27,ROUNDUP(B94/$H$12,0)))</x:f>
        <x:v>1</x:v>
      </x:c>
      <x:c r="E94" s="40" t="n">
        <x:f>IF(B94&gt;=英雄升级调参!$C$9,0,INDEX($M$18:$M$27,ROUNDUP(B94/$H$12,0)))</x:f>
        <x:v>1</x:v>
      </x:c>
      <x:c r="F94" s="40" t="n">
        <x:f>IF(养成消耗调参!$B$94&gt;=英雄升级调参!$C$9,0,养成消耗调参!$C$10*INDEX(养成消耗调参!$K$18:$K$27,ROUNDUP(养成消耗调参!$B$94/5,0)))</x:f>
        <x:v>300</x:v>
      </x:c>
      <x:c r="G94" s="40" t="n">
        <x:f>IF(养成消耗调参!$B$94&gt;=英雄升级调参!$C$9,0,养成消耗调参!$D$10*INDEX(养成消耗调参!$L$18:$L$27,ROUNDUP(养成消耗调参!$B$94/5,0)))</x:f>
        <x:v>450</x:v>
      </x:c>
      <x:c r="H94" s="40" t="n">
        <x:f>IF(养成消耗调参!$B$94&gt;=英雄升级调参!$C$9,0,养成消耗调参!$E$10*INDEX(养成消耗调参!$M$18:$M$27,ROUNDUP(养成消耗调参!$B$94/5,0)))</x:f>
        <x:v>600</x:v>
      </x:c>
      <x:c r="I94" s="25"/>
      <x:c r="J94" s="25"/>
      <x:c r="K94" s="25"/>
      <x:c r="L94" s="25"/>
      <x:c r="M94" s="25"/>
      <x:c r="N94" s="25"/>
      <x:c r="O94" s="25"/>
      <x:c r="P94" s="25"/>
    </x:row>
    <x:row r="95" ht="23.100000381469727" customHeight="1">
      <x:c r="A95" s="19"/>
      <x:c r="B95" s="25">
        <x:v>3</x:v>
      </x:c>
      <x:c r="C95" s="40" t="n">
        <x:f>IF(B95&gt;=英雄升级调参!$C$9,0,INDEX($K$18:$K$27,ROUNDUP(B95/$H$12,0)))</x:f>
        <x:v>1</x:v>
      </x:c>
      <x:c r="D95" s="40" t="n">
        <x:f>IF(B95&gt;=英雄升级调参!$C$9,0,INDEX($L$18:$L$27,ROUNDUP(B95/$H$12,0)))</x:f>
        <x:v>1</x:v>
      </x:c>
      <x:c r="E95" s="40" t="n">
        <x:f>IF(B95&gt;=英雄升级调参!$C$9,0,INDEX($M$18:$M$27,ROUNDUP(B95/$H$12,0)))</x:f>
        <x:v>1</x:v>
      </x:c>
      <x:c r="F95" s="40" t="n">
        <x:f>IF(养成消耗调参!$B$95&gt;=英雄升级调参!$C$9,0,养成消耗调参!$C$10*INDEX(养成消耗调参!$K$18:$K$27,ROUNDUP(养成消耗调参!$B$95/5,0)))</x:f>
        <x:v>300</x:v>
      </x:c>
      <x:c r="G95" s="40" t="n">
        <x:f>IF(养成消耗调参!$B$95&gt;=英雄升级调参!$C$9,0,养成消耗调参!$D$10*INDEX(养成消耗调参!$L$18:$L$27,ROUNDUP(养成消耗调参!$B$95/5,0)))</x:f>
        <x:v>450</x:v>
      </x:c>
      <x:c r="H95" s="40" t="n">
        <x:f>IF(养成消耗调参!$B$95&gt;=英雄升级调参!$C$9,0,养成消耗调参!$E$10*INDEX(养成消耗调参!$M$18:$M$27,ROUNDUP(养成消耗调参!$B$95/5,0)))</x:f>
        <x:v>600</x:v>
      </x:c>
      <x:c r="I95" s="25"/>
      <x:c r="J95" s="25"/>
      <x:c r="K95" s="25"/>
      <x:c r="L95" s="25"/>
      <x:c r="M95" s="25"/>
      <x:c r="N95" s="25"/>
      <x:c r="O95" s="25"/>
      <x:c r="P95" s="25"/>
    </x:row>
    <x:row r="96" ht="23.100000381469727" customHeight="1">
      <x:c r="A96" s="19"/>
      <x:c r="B96" s="25">
        <x:v>4</x:v>
      </x:c>
      <x:c r="C96" s="40" t="n">
        <x:f>IF(B96&gt;=英雄升级调参!$C$9,0,INDEX($K$18:$K$27,ROUNDUP(B96/$H$12,0)))</x:f>
        <x:v>1</x:v>
      </x:c>
      <x:c r="D96" s="40" t="n">
        <x:f>IF(B96&gt;=英雄升级调参!$C$9,0,INDEX($L$18:$L$27,ROUNDUP(B96/$H$12,0)))</x:f>
        <x:v>1</x:v>
      </x:c>
      <x:c r="E96" s="40" t="n">
        <x:f>IF(B96&gt;=英雄升级调参!$C$9,0,INDEX($M$18:$M$27,ROUNDUP(B96/$H$12,0)))</x:f>
        <x:v>1</x:v>
      </x:c>
      <x:c r="F96" s="40" t="n">
        <x:f>IF(养成消耗调参!$B$96&gt;=英雄升级调参!$C$9,0,养成消耗调参!$C$10*INDEX(养成消耗调参!$K$18:$K$27,ROUNDUP(养成消耗调参!$B$96/5,0)))</x:f>
        <x:v>300</x:v>
      </x:c>
      <x:c r="G96" s="40" t="n">
        <x:f>IF(养成消耗调参!$B$96&gt;=英雄升级调参!$C$9,0,养成消耗调参!$D$10*INDEX(养成消耗调参!$L$18:$L$27,ROUNDUP(养成消耗调参!$B$96/5,0)))</x:f>
        <x:v>450</x:v>
      </x:c>
      <x:c r="H96" s="40" t="n">
        <x:f>IF(养成消耗调参!$B$96&gt;=英雄升级调参!$C$9,0,养成消耗调参!$E$10*INDEX(养成消耗调参!$M$18:$M$27,ROUNDUP(养成消耗调参!$B$96/5,0)))</x:f>
        <x:v>600</x:v>
      </x:c>
      <x:c r="I96" s="25"/>
      <x:c r="J96" s="25"/>
      <x:c r="K96" s="25"/>
      <x:c r="L96" s="25"/>
      <x:c r="M96" s="25"/>
      <x:c r="N96" s="25"/>
      <x:c r="O96" s="25"/>
      <x:c r="P96" s="25"/>
    </x:row>
    <x:row r="97" ht="23.100000381469727" customHeight="1">
      <x:c r="A97" s="19"/>
      <x:c r="B97" s="25">
        <x:v>5</x:v>
      </x:c>
      <x:c r="C97" s="40" t="n">
        <x:f>IF(B97&gt;=英雄升级调参!$C$9,0,INDEX($K$18:$K$27,ROUNDUP(B97/$H$12,0)))</x:f>
        <x:v>1</x:v>
      </x:c>
      <x:c r="D97" s="40" t="n">
        <x:f>IF(B97&gt;=英雄升级调参!$C$9,0,INDEX($L$18:$L$27,ROUNDUP(B97/$H$12,0)))</x:f>
        <x:v>1</x:v>
      </x:c>
      <x:c r="E97" s="40" t="n">
        <x:f>IF(B97&gt;=英雄升级调参!$C$9,0,INDEX($M$18:$M$27,ROUNDUP(B97/$H$12,0)))</x:f>
        <x:v>1</x:v>
      </x:c>
      <x:c r="F97" s="40" t="n">
        <x:f>IF(养成消耗调参!$B$97&gt;=英雄升级调参!$C$9,0,养成消耗调参!$C$10*INDEX(养成消耗调参!$K$18:$K$27,ROUNDUP(养成消耗调参!$B$97/5,0)))</x:f>
        <x:v>300</x:v>
      </x:c>
      <x:c r="G97" s="40" t="n">
        <x:f>IF(养成消耗调参!$B$97&gt;=英雄升级调参!$C$9,0,养成消耗调参!$D$10*INDEX(养成消耗调参!$L$18:$L$27,ROUNDUP(养成消耗调参!$B$97/5,0)))</x:f>
        <x:v>450</x:v>
      </x:c>
      <x:c r="H97" s="40" t="n">
        <x:f>IF(养成消耗调参!$B$97&gt;=英雄升级调参!$C$9,0,养成消耗调参!$E$10*INDEX(养成消耗调参!$M$18:$M$27,ROUNDUP(养成消耗调参!$B$97/5,0)))</x:f>
        <x:v>600</x:v>
      </x:c>
      <x:c r="I97" s="25"/>
      <x:c r="J97" s="25"/>
      <x:c r="K97" s="25"/>
      <x:c r="L97" s="25"/>
      <x:c r="M97" s="25"/>
      <x:c r="N97" s="25"/>
      <x:c r="O97" s="25"/>
      <x:c r="P97" s="25"/>
    </x:row>
    <x:row r="98" ht="23.100000381469727" customHeight="1">
      <x:c r="A98" s="19"/>
      <x:c r="B98" s="25">
        <x:v>6</x:v>
      </x:c>
      <x:c r="C98" s="40" t="n">
        <x:f>IF(B98&gt;=英雄升级调参!$C$9,0,INDEX($K$18:$K$27,ROUNDUP(B98/$H$12,0)))</x:f>
        <x:v>3</x:v>
      </x:c>
      <x:c r="D98" s="40" t="n">
        <x:f>IF(B98&gt;=英雄升级调参!$C$9,0,INDEX($L$18:$L$27,ROUNDUP(B98/$H$12,0)))</x:f>
        <x:v>3</x:v>
      </x:c>
      <x:c r="E98" s="40" t="n">
        <x:f>IF(B98&gt;=英雄升级调参!$C$9,0,INDEX($M$18:$M$27,ROUNDUP(B98/$H$12,0)))</x:f>
        <x:v>3</x:v>
      </x:c>
      <x:c r="F98" s="40" t="n">
        <x:f>IF(养成消耗调参!$B$98&gt;=英雄升级调参!$C$9,0,养成消耗调参!$C$10*INDEX(养成消耗调参!$K$18:$K$27,ROUNDUP(养成消耗调参!$B$98/5,0)))</x:f>
        <x:v>900</x:v>
      </x:c>
      <x:c r="G98" s="40" t="n">
        <x:f>IF(养成消耗调参!$B$98&gt;=英雄升级调参!$C$9,0,养成消耗调参!$D$10*INDEX(养成消耗调参!$L$18:$L$27,ROUNDUP(养成消耗调参!$B$98/5,0)))</x:f>
        <x:v>1350</x:v>
      </x:c>
      <x:c r="H98" s="40" t="n">
        <x:f>IF(养成消耗调参!$B$98&gt;=英雄升级调参!$C$9,0,养成消耗调参!$E$10*INDEX(养成消耗调参!$M$18:$M$27,ROUNDUP(养成消耗调参!$B$98/5,0)))</x:f>
        <x:v>1800</x:v>
      </x:c>
      <x:c r="I98" s="25"/>
      <x:c r="J98" s="25"/>
      <x:c r="K98" s="25"/>
      <x:c r="L98" s="25"/>
      <x:c r="M98" s="25"/>
      <x:c r="N98" s="25"/>
      <x:c r="O98" s="25"/>
      <x:c r="P98" s="25"/>
    </x:row>
    <x:row r="99" ht="23.100000381469727" customHeight="1">
      <x:c r="A99" s="19"/>
      <x:c r="B99" s="25">
        <x:v>7</x:v>
      </x:c>
      <x:c r="C99" s="40" t="n">
        <x:f>IF(B99&gt;=英雄升级调参!$C$9,0,INDEX($K$18:$K$27,ROUNDUP(B99/$H$12,0)))</x:f>
        <x:v>3</x:v>
      </x:c>
      <x:c r="D99" s="40" t="n">
        <x:f>IF(B99&gt;=英雄升级调参!$C$9,0,INDEX($L$18:$L$27,ROUNDUP(B99/$H$12,0)))</x:f>
        <x:v>3</x:v>
      </x:c>
      <x:c r="E99" s="40" t="n">
        <x:f>IF(B99&gt;=英雄升级调参!$C$9,0,INDEX($M$18:$M$27,ROUNDUP(B99/$H$12,0)))</x:f>
        <x:v>3</x:v>
      </x:c>
      <x:c r="F99" s="40" t="n">
        <x:f>IF(养成消耗调参!$B$99&gt;=英雄升级调参!$C$9,0,养成消耗调参!$C$10*INDEX(养成消耗调参!$K$18:$K$27,ROUNDUP(养成消耗调参!$B$99/5,0)))</x:f>
        <x:v>900</x:v>
      </x:c>
      <x:c r="G99" s="40" t="n">
        <x:f>IF(养成消耗调参!$B$99&gt;=英雄升级调参!$C$9,0,养成消耗调参!$D$10*INDEX(养成消耗调参!$L$18:$L$27,ROUNDUP(养成消耗调参!$B$99/5,0)))</x:f>
        <x:v>1350</x:v>
      </x:c>
      <x:c r="H99" s="40" t="n">
        <x:f>IF(养成消耗调参!$B$99&gt;=英雄升级调参!$C$9,0,养成消耗调参!$E$10*INDEX(养成消耗调参!$M$18:$M$27,ROUNDUP(养成消耗调参!$B$99/5,0)))</x:f>
        <x:v>1800</x:v>
      </x:c>
      <x:c r="I99" s="25"/>
      <x:c r="J99" s="25"/>
      <x:c r="K99" s="25"/>
      <x:c r="L99" s="25"/>
      <x:c r="M99" s="25"/>
      <x:c r="N99" s="25"/>
      <x:c r="O99" s="25"/>
      <x:c r="P99" s="25"/>
    </x:row>
    <x:row r="100" ht="23.100000381469727" customHeight="1">
      <x:c r="A100" s="19"/>
      <x:c r="B100" s="25">
        <x:v>8</x:v>
      </x:c>
      <x:c r="C100" s="40" t="n">
        <x:f>IF(B100&gt;=英雄升级调参!$C$9,0,INDEX($K$18:$K$27,ROUNDUP(B100/$H$12,0)))</x:f>
        <x:v>3</x:v>
      </x:c>
      <x:c r="D100" s="40" t="n">
        <x:f>IF(B100&gt;=英雄升级调参!$C$9,0,INDEX($L$18:$L$27,ROUNDUP(B100/$H$12,0)))</x:f>
        <x:v>3</x:v>
      </x:c>
      <x:c r="E100" s="40" t="n">
        <x:f>IF(B100&gt;=英雄升级调参!$C$9,0,INDEX($M$18:$M$27,ROUNDUP(B100/$H$12,0)))</x:f>
        <x:v>3</x:v>
      </x:c>
      <x:c r="F100" s="40" t="n">
        <x:f>IF(养成消耗调参!$B$100&gt;=英雄升级调参!$C$9,0,养成消耗调参!$C$10*INDEX(养成消耗调参!$K$18:$K$27,ROUNDUP(养成消耗调参!$B$100/5,0)))</x:f>
        <x:v>900</x:v>
      </x:c>
      <x:c r="G100" s="40" t="n">
        <x:f>IF(养成消耗调参!$B$100&gt;=英雄升级调参!$C$9,0,养成消耗调参!$D$10*INDEX(养成消耗调参!$L$18:$L$27,ROUNDUP(养成消耗调参!$B$100/5,0)))</x:f>
        <x:v>1350</x:v>
      </x:c>
      <x:c r="H100" s="40" t="n">
        <x:f>IF(养成消耗调参!$B$100&gt;=英雄升级调参!$C$9,0,养成消耗调参!$E$10*INDEX(养成消耗调参!$M$18:$M$27,ROUNDUP(养成消耗调参!$B$100/5,0)))</x:f>
        <x:v>1800</x:v>
      </x:c>
      <x:c r="I100" s="25"/>
      <x:c r="J100" s="25"/>
      <x:c r="K100" s="25"/>
      <x:c r="L100" s="25"/>
      <x:c r="M100" s="25"/>
      <x:c r="N100" s="25"/>
      <x:c r="O100" s="25"/>
      <x:c r="P100" s="25"/>
    </x:row>
    <x:row r="101" ht="23.100000381469727" customHeight="1">
      <x:c r="A101" s="19"/>
      <x:c r="B101" s="25">
        <x:v>9</x:v>
      </x:c>
      <x:c r="C101" s="40" t="n">
        <x:f>IF(B101&gt;=英雄升级调参!$C$9,0,INDEX($K$18:$K$27,ROUNDUP(B101/$H$12,0)))</x:f>
        <x:v>3</x:v>
      </x:c>
      <x:c r="D101" s="40" t="n">
        <x:f>IF(B101&gt;=英雄升级调参!$C$9,0,INDEX($L$18:$L$27,ROUNDUP(B101/$H$12,0)))</x:f>
        <x:v>3</x:v>
      </x:c>
      <x:c r="E101" s="40" t="n">
        <x:f>IF(B101&gt;=英雄升级调参!$C$9,0,INDEX($M$18:$M$27,ROUNDUP(B101/$H$12,0)))</x:f>
        <x:v>3</x:v>
      </x:c>
      <x:c r="F101" s="40" t="n">
        <x:f>IF(养成消耗调参!$B$101&gt;=英雄升级调参!$C$9,0,养成消耗调参!$C$10*INDEX(养成消耗调参!$K$18:$K$27,ROUNDUP(养成消耗调参!$B$101/5,0)))</x:f>
        <x:v>900</x:v>
      </x:c>
      <x:c r="G101" s="40" t="n">
        <x:f>IF(养成消耗调参!$B$101&gt;=英雄升级调参!$C$9,0,养成消耗调参!$D$10*INDEX(养成消耗调参!$L$18:$L$27,ROUNDUP(养成消耗调参!$B$101/5,0)))</x:f>
        <x:v>1350</x:v>
      </x:c>
      <x:c r="H101" s="40" t="n">
        <x:f>IF(养成消耗调参!$B$101&gt;=英雄升级调参!$C$9,0,养成消耗调参!$E$10*INDEX(养成消耗调参!$M$18:$M$27,ROUNDUP(养成消耗调参!$B$101/5,0)))</x:f>
        <x:v>1800</x:v>
      </x:c>
      <x:c r="I101" s="25"/>
      <x:c r="J101" s="25"/>
      <x:c r="K101" s="25"/>
      <x:c r="L101" s="25"/>
      <x:c r="M101" s="25"/>
      <x:c r="N101" s="25"/>
      <x:c r="O101" s="25"/>
      <x:c r="P101" s="25"/>
    </x:row>
    <x:row r="102" ht="23.100000381469727" customHeight="1">
      <x:c r="A102" s="19"/>
      <x:c r="B102" s="25">
        <x:v>10</x:v>
      </x:c>
      <x:c r="C102" s="40" t="n">
        <x:f>IF(B102&gt;=英雄升级调参!$C$9,0,INDEX($K$18:$K$27,ROUNDUP(B102/$H$12,0)))</x:f>
        <x:v>3</x:v>
      </x:c>
      <x:c r="D102" s="40" t="n">
        <x:f>IF(B102&gt;=英雄升级调参!$C$9,0,INDEX($L$18:$L$27,ROUNDUP(B102/$H$12,0)))</x:f>
        <x:v>3</x:v>
      </x:c>
      <x:c r="E102" s="40" t="n">
        <x:f>IF(B102&gt;=英雄升级调参!$C$9,0,INDEX($M$18:$M$27,ROUNDUP(B102/$H$12,0)))</x:f>
        <x:v>3</x:v>
      </x:c>
      <x:c r="F102" s="40" t="n">
        <x:f>IF(养成消耗调参!$B$102&gt;=英雄升级调参!$C$9,0,养成消耗调参!$C$10*INDEX(养成消耗调参!$K$18:$K$27,ROUNDUP(养成消耗调参!$B$102/5,0)))</x:f>
        <x:v>900</x:v>
      </x:c>
      <x:c r="G102" s="40" t="n">
        <x:f>IF(养成消耗调参!$B$102&gt;=英雄升级调参!$C$9,0,养成消耗调参!$D$10*INDEX(养成消耗调参!$L$18:$L$27,ROUNDUP(养成消耗调参!$B$102/5,0)))</x:f>
        <x:v>1350</x:v>
      </x:c>
      <x:c r="H102" s="40" t="n">
        <x:f>IF(养成消耗调参!$B$102&gt;=英雄升级调参!$C$9,0,养成消耗调参!$E$10*INDEX(养成消耗调参!$M$18:$M$27,ROUNDUP(养成消耗调参!$B$102/5,0)))</x:f>
        <x:v>1800</x:v>
      </x:c>
      <x:c r="I102" s="25"/>
      <x:c r="J102" s="25"/>
      <x:c r="K102" s="25"/>
      <x:c r="L102" s="25"/>
      <x:c r="M102" s="25"/>
      <x:c r="N102" s="25"/>
      <x:c r="O102" s="25"/>
      <x:c r="P102" s="25"/>
    </x:row>
    <x:row r="103" ht="23.100000381469727" customHeight="1">
      <x:c r="A103" s="19"/>
      <x:c r="B103" s="25">
        <x:v>11</x:v>
      </x:c>
      <x:c r="C103" s="40" t="n">
        <x:f>IF(B103&gt;=英雄升级调参!$C$9,0,INDEX($K$18:$K$27,ROUNDUP(B103/$H$12,0)))</x:f>
        <x:v>5</x:v>
      </x:c>
      <x:c r="D103" s="40" t="n">
        <x:f>IF(B103&gt;=英雄升级调参!$C$9,0,INDEX($L$18:$L$27,ROUNDUP(B103/$H$12,0)))</x:f>
        <x:v>5</x:v>
      </x:c>
      <x:c r="E103" s="40" t="n">
        <x:f>IF(B103&gt;=英雄升级调参!$C$9,0,INDEX($M$18:$M$27,ROUNDUP(B103/$H$12,0)))</x:f>
        <x:v>5</x:v>
      </x:c>
      <x:c r="F103" s="40" t="n">
        <x:f>IF(养成消耗调参!$B$103&gt;=英雄升级调参!$C$9,0,养成消耗调参!$C$10*INDEX(养成消耗调参!$K$18:$K$27,ROUNDUP(养成消耗调参!$B$103/5,0)))</x:f>
        <x:v>1500</x:v>
      </x:c>
      <x:c r="G103" s="40" t="n">
        <x:f>IF(养成消耗调参!$B$103&gt;=英雄升级调参!$C$9,0,养成消耗调参!$D$10*INDEX(养成消耗调参!$L$18:$L$27,ROUNDUP(养成消耗调参!$B$103/5,0)))</x:f>
        <x:v>2250</x:v>
      </x:c>
      <x:c r="H103" s="40" t="n">
        <x:f>IF(养成消耗调参!$B$103&gt;=英雄升级调参!$C$9,0,养成消耗调参!$E$10*INDEX(养成消耗调参!$M$18:$M$27,ROUNDUP(养成消耗调参!$B$103/5,0)))</x:f>
        <x:v>3000</x:v>
      </x:c>
      <x:c r="I103" s="25"/>
      <x:c r="J103" s="25"/>
      <x:c r="K103" s="25"/>
      <x:c r="L103" s="25"/>
      <x:c r="M103" s="25"/>
      <x:c r="N103" s="25"/>
      <x:c r="O103" s="25"/>
      <x:c r="P103" s="25"/>
    </x:row>
    <x:row r="104" ht="23.100000381469727" customHeight="1">
      <x:c r="A104" s="19"/>
      <x:c r="B104" s="25">
        <x:v>12</x:v>
      </x:c>
      <x:c r="C104" s="40" t="n">
        <x:f>IF(B104&gt;=英雄升级调参!$C$9,0,INDEX($K$18:$K$27,ROUNDUP(B104/$H$12,0)))</x:f>
        <x:v>5</x:v>
      </x:c>
      <x:c r="D104" s="40" t="n">
        <x:f>IF(B104&gt;=英雄升级调参!$C$9,0,INDEX($L$18:$L$27,ROUNDUP(B104/$H$12,0)))</x:f>
        <x:v>5</x:v>
      </x:c>
      <x:c r="E104" s="40" t="n">
        <x:f>IF(B104&gt;=英雄升级调参!$C$9,0,INDEX($M$18:$M$27,ROUNDUP(B104/$H$12,0)))</x:f>
        <x:v>5</x:v>
      </x:c>
      <x:c r="F104" s="40" t="n">
        <x:f>IF(养成消耗调参!$B$104&gt;=英雄升级调参!$C$9,0,养成消耗调参!$C$10*INDEX(养成消耗调参!$K$18:$K$27,ROUNDUP(养成消耗调参!$B$104/5,0)))</x:f>
        <x:v>1500</x:v>
      </x:c>
      <x:c r="G104" s="40" t="n">
        <x:f>IF(养成消耗调参!$B$104&gt;=英雄升级调参!$C$9,0,养成消耗调参!$D$10*INDEX(养成消耗调参!$L$18:$L$27,ROUNDUP(养成消耗调参!$B$104/5,0)))</x:f>
        <x:v>2250</x:v>
      </x:c>
      <x:c r="H104" s="40" t="n">
        <x:f>IF(养成消耗调参!$B$104&gt;=英雄升级调参!$C$9,0,养成消耗调参!$E$10*INDEX(养成消耗调参!$M$18:$M$27,ROUNDUP(养成消耗调参!$B$104/5,0)))</x:f>
        <x:v>3000</x:v>
      </x:c>
      <x:c r="I104" s="25"/>
      <x:c r="J104" s="25"/>
      <x:c r="K104" s="25"/>
      <x:c r="L104" s="25"/>
      <x:c r="M104" s="25"/>
      <x:c r="N104" s="25"/>
      <x:c r="O104" s="25"/>
      <x:c r="P104" s="25"/>
    </x:row>
    <x:row r="105" ht="23.100000381469727" customHeight="1">
      <x:c r="A105" s="19"/>
      <x:c r="B105" s="25">
        <x:v>13</x:v>
      </x:c>
      <x:c r="C105" s="40" t="n">
        <x:f>IF(B105&gt;=英雄升级调参!$C$9,0,INDEX($K$18:$K$27,ROUNDUP(B105/$H$12,0)))</x:f>
        <x:v>5</x:v>
      </x:c>
      <x:c r="D105" s="40" t="n">
        <x:f>IF(B105&gt;=英雄升级调参!$C$9,0,INDEX($L$18:$L$27,ROUNDUP(B105/$H$12,0)))</x:f>
        <x:v>5</x:v>
      </x:c>
      <x:c r="E105" s="40" t="n">
        <x:f>IF(B105&gt;=英雄升级调参!$C$9,0,INDEX($M$18:$M$27,ROUNDUP(B105/$H$12,0)))</x:f>
        <x:v>5</x:v>
      </x:c>
      <x:c r="F105" s="40" t="n">
        <x:f>IF(养成消耗调参!$B$105&gt;=英雄升级调参!$C$9,0,养成消耗调参!$C$10*INDEX(养成消耗调参!$K$18:$K$27,ROUNDUP(养成消耗调参!$B$105/5,0)))</x:f>
        <x:v>1500</x:v>
      </x:c>
      <x:c r="G105" s="40" t="n">
        <x:f>IF(养成消耗调参!$B$105&gt;=英雄升级调参!$C$9,0,养成消耗调参!$D$10*INDEX(养成消耗调参!$L$18:$L$27,ROUNDUP(养成消耗调参!$B$105/5,0)))</x:f>
        <x:v>2250</x:v>
      </x:c>
      <x:c r="H105" s="40" t="n">
        <x:f>IF(养成消耗调参!$B$105&gt;=英雄升级调参!$C$9,0,养成消耗调参!$E$10*INDEX(养成消耗调参!$M$18:$M$27,ROUNDUP(养成消耗调参!$B$105/5,0)))</x:f>
        <x:v>3000</x:v>
      </x:c>
      <x:c r="I105" s="25"/>
      <x:c r="J105" s="25"/>
      <x:c r="K105" s="25"/>
      <x:c r="L105" s="25"/>
      <x:c r="M105" s="25"/>
      <x:c r="N105" s="25"/>
      <x:c r="O105" s="25"/>
      <x:c r="P105" s="25"/>
    </x:row>
    <x:row r="106" ht="23.100000381469727" customHeight="1">
      <x:c r="A106" s="19"/>
      <x:c r="B106" s="25">
        <x:v>14</x:v>
      </x:c>
      <x:c r="C106" s="40" t="n">
        <x:f>IF(B106&gt;=英雄升级调参!$C$9,0,INDEX($K$18:$K$27,ROUNDUP(B106/$H$12,0)))</x:f>
        <x:v>5</x:v>
      </x:c>
      <x:c r="D106" s="40" t="n">
        <x:f>IF(B106&gt;=英雄升级调参!$C$9,0,INDEX($L$18:$L$27,ROUNDUP(B106/$H$12,0)))</x:f>
        <x:v>5</x:v>
      </x:c>
      <x:c r="E106" s="40" t="n">
        <x:f>IF(B106&gt;=英雄升级调参!$C$9,0,INDEX($M$18:$M$27,ROUNDUP(B106/$H$12,0)))</x:f>
        <x:v>5</x:v>
      </x:c>
      <x:c r="F106" s="40" t="n">
        <x:f>IF(养成消耗调参!$B$106&gt;=英雄升级调参!$C$9,0,养成消耗调参!$C$10*INDEX(养成消耗调参!$K$18:$K$27,ROUNDUP(养成消耗调参!$B$106/5,0)))</x:f>
        <x:v>1500</x:v>
      </x:c>
      <x:c r="G106" s="40" t="n">
        <x:f>IF(养成消耗调参!$B$106&gt;=英雄升级调参!$C$9,0,养成消耗调参!$D$10*INDEX(养成消耗调参!$L$18:$L$27,ROUNDUP(养成消耗调参!$B$106/5,0)))</x:f>
        <x:v>2250</x:v>
      </x:c>
      <x:c r="H106" s="40" t="n">
        <x:f>IF(养成消耗调参!$B$106&gt;=英雄升级调参!$C$9,0,养成消耗调参!$E$10*INDEX(养成消耗调参!$M$18:$M$27,ROUNDUP(养成消耗调参!$B$106/5,0)))</x:f>
        <x:v>3000</x:v>
      </x:c>
      <x:c r="I106" s="25"/>
      <x:c r="J106" s="25"/>
      <x:c r="K106" s="25"/>
      <x:c r="L106" s="25"/>
      <x:c r="M106" s="25"/>
      <x:c r="N106" s="25"/>
      <x:c r="O106" s="25"/>
      <x:c r="P106" s="25"/>
    </x:row>
    <x:row r="107" ht="23.100000381469727" customHeight="1">
      <x:c r="A107" s="19"/>
      <x:c r="B107" s="25">
        <x:v>15</x:v>
      </x:c>
      <x:c r="C107" s="40" t="n">
        <x:f>IF(B107&gt;=英雄升级调参!$C$9,0,INDEX($K$18:$K$27,ROUNDUP(B107/$H$12,0)))</x:f>
        <x:v>5</x:v>
      </x:c>
      <x:c r="D107" s="40" t="n">
        <x:f>IF(B107&gt;=英雄升级调参!$C$9,0,INDEX($L$18:$L$27,ROUNDUP(B107/$H$12,0)))</x:f>
        <x:v>5</x:v>
      </x:c>
      <x:c r="E107" s="40" t="n">
        <x:f>IF(B107&gt;=英雄升级调参!$C$9,0,INDEX($M$18:$M$27,ROUNDUP(B107/$H$12,0)))</x:f>
        <x:v>5</x:v>
      </x:c>
      <x:c r="F107" s="40" t="n">
        <x:f>IF(养成消耗调参!$B$107&gt;=英雄升级调参!$C$9,0,养成消耗调参!$C$10*INDEX(养成消耗调参!$K$18:$K$27,ROUNDUP(养成消耗调参!$B$107/5,0)))</x:f>
        <x:v>1500</x:v>
      </x:c>
      <x:c r="G107" s="40" t="n">
        <x:f>IF(养成消耗调参!$B$107&gt;=英雄升级调参!$C$9,0,养成消耗调参!$D$10*INDEX(养成消耗调参!$L$18:$L$27,ROUNDUP(养成消耗调参!$B$107/5,0)))</x:f>
        <x:v>2250</x:v>
      </x:c>
      <x:c r="H107" s="40" t="n">
        <x:f>IF(养成消耗调参!$B$107&gt;=英雄升级调参!$C$9,0,养成消耗调参!$E$10*INDEX(养成消耗调参!$M$18:$M$27,ROUNDUP(养成消耗调参!$B$107/5,0)))</x:f>
        <x:v>3000</x:v>
      </x:c>
      <x:c r="I107" s="25"/>
      <x:c r="J107" s="25"/>
      <x:c r="K107" s="25"/>
      <x:c r="L107" s="25"/>
      <x:c r="M107" s="25"/>
      <x:c r="N107" s="25"/>
      <x:c r="O107" s="25"/>
      <x:c r="P107" s="25"/>
    </x:row>
    <x:row r="108" ht="23.100000381469727" customHeight="1">
      <x:c r="A108" s="19"/>
      <x:c r="B108" s="25">
        <x:v>16</x:v>
      </x:c>
      <x:c r="C108" s="40" t="n">
        <x:f>IF(B108&gt;=英雄升级调参!$C$9,0,INDEX($K$18:$K$27,ROUNDUP(B108/$H$12,0)))</x:f>
        <x:v>7</x:v>
      </x:c>
      <x:c r="D108" s="40" t="n">
        <x:f>IF(B108&gt;=英雄升级调参!$C$9,0,INDEX($L$18:$L$27,ROUNDUP(B108/$H$12,0)))</x:f>
        <x:v>7</x:v>
      </x:c>
      <x:c r="E108" s="40" t="n">
        <x:f>IF(B108&gt;=英雄升级调参!$C$9,0,INDEX($M$18:$M$27,ROUNDUP(B108/$H$12,0)))</x:f>
        <x:v>7</x:v>
      </x:c>
      <x:c r="F108" s="40" t="n">
        <x:f>IF(养成消耗调参!$B$108&gt;=英雄升级调参!$C$9,0,养成消耗调参!$C$10*INDEX(养成消耗调参!$K$18:$K$27,ROUNDUP(养成消耗调参!$B$108/5,0)))</x:f>
        <x:v>2100</x:v>
      </x:c>
      <x:c r="G108" s="40" t="n">
        <x:f>IF(养成消耗调参!$B$108&gt;=英雄升级调参!$C$9,0,养成消耗调参!$D$10*INDEX(养成消耗调参!$L$18:$L$27,ROUNDUP(养成消耗调参!$B$108/5,0)))</x:f>
        <x:v>3150</x:v>
      </x:c>
      <x:c r="H108" s="40" t="n">
        <x:f>IF(养成消耗调参!$B$108&gt;=英雄升级调参!$C$9,0,养成消耗调参!$E$10*INDEX(养成消耗调参!$M$18:$M$27,ROUNDUP(养成消耗调参!$B$108/5,0)))</x:f>
        <x:v>4200</x:v>
      </x:c>
      <x:c r="I108" s="25"/>
      <x:c r="J108" s="25"/>
      <x:c r="K108" s="25"/>
      <x:c r="L108" s="25"/>
      <x:c r="M108" s="25"/>
      <x:c r="N108" s="25"/>
      <x:c r="O108" s="25"/>
      <x:c r="P108" s="25"/>
    </x:row>
    <x:row r="109" ht="23.100000381469727" customHeight="1">
      <x:c r="A109" s="19"/>
      <x:c r="B109" s="25">
        <x:v>17</x:v>
      </x:c>
      <x:c r="C109" s="40" t="n">
        <x:f>IF(B109&gt;=英雄升级调参!$C$9,0,INDEX($K$18:$K$27,ROUNDUP(B109/$H$12,0)))</x:f>
        <x:v>7</x:v>
      </x:c>
      <x:c r="D109" s="40" t="n">
        <x:f>IF(B109&gt;=英雄升级调参!$C$9,0,INDEX($L$18:$L$27,ROUNDUP(B109/$H$12,0)))</x:f>
        <x:v>7</x:v>
      </x:c>
      <x:c r="E109" s="40" t="n">
        <x:f>IF(B109&gt;=英雄升级调参!$C$9,0,INDEX($M$18:$M$27,ROUNDUP(B109/$H$12,0)))</x:f>
        <x:v>7</x:v>
      </x:c>
      <x:c r="F109" s="40" t="n">
        <x:f>IF(养成消耗调参!$B$109&gt;=英雄升级调参!$C$9,0,养成消耗调参!$C$10*INDEX(养成消耗调参!$K$18:$K$27,ROUNDUP(养成消耗调参!$B$109/5,0)))</x:f>
        <x:v>2100</x:v>
      </x:c>
      <x:c r="G109" s="40" t="n">
        <x:f>IF(养成消耗调参!$B$109&gt;=英雄升级调参!$C$9,0,养成消耗调参!$D$10*INDEX(养成消耗调参!$L$18:$L$27,ROUNDUP(养成消耗调参!$B$109/5,0)))</x:f>
        <x:v>3150</x:v>
      </x:c>
      <x:c r="H109" s="40" t="n">
        <x:f>IF(养成消耗调参!$B$109&gt;=英雄升级调参!$C$9,0,养成消耗调参!$E$10*INDEX(养成消耗调参!$M$18:$M$27,ROUNDUP(养成消耗调参!$B$109/5,0)))</x:f>
        <x:v>4200</x:v>
      </x:c>
      <x:c r="I109" s="25"/>
      <x:c r="J109" s="25"/>
      <x:c r="K109" s="25"/>
      <x:c r="L109" s="25"/>
      <x:c r="M109" s="25"/>
      <x:c r="N109" s="25"/>
      <x:c r="O109" s="25"/>
      <x:c r="P109" s="25"/>
    </x:row>
    <x:row r="110" ht="23.100000381469727" customHeight="1">
      <x:c r="A110" s="19"/>
      <x:c r="B110" s="25">
        <x:v>18</x:v>
      </x:c>
      <x:c r="C110" s="40" t="n">
        <x:f>IF(B110&gt;=英雄升级调参!$C$9,0,INDEX($K$18:$K$27,ROUNDUP(B110/$H$12,0)))</x:f>
        <x:v>7</x:v>
      </x:c>
      <x:c r="D110" s="40" t="n">
        <x:f>IF(B110&gt;=英雄升级调参!$C$9,0,INDEX($L$18:$L$27,ROUNDUP(B110/$H$12,0)))</x:f>
        <x:v>7</x:v>
      </x:c>
      <x:c r="E110" s="40" t="n">
        <x:f>IF(B110&gt;=英雄升级调参!$C$9,0,INDEX($M$18:$M$27,ROUNDUP(B110/$H$12,0)))</x:f>
        <x:v>7</x:v>
      </x:c>
      <x:c r="F110" s="40" t="n">
        <x:f>IF(养成消耗调参!$B$110&gt;=英雄升级调参!$C$9,0,养成消耗调参!$C$10*INDEX(养成消耗调参!$K$18:$K$27,ROUNDUP(养成消耗调参!$B$110/5,0)))</x:f>
        <x:v>2100</x:v>
      </x:c>
      <x:c r="G110" s="40" t="n">
        <x:f>IF(养成消耗调参!$B$110&gt;=英雄升级调参!$C$9,0,养成消耗调参!$D$10*INDEX(养成消耗调参!$L$18:$L$27,ROUNDUP(养成消耗调参!$B$110/5,0)))</x:f>
        <x:v>3150</x:v>
      </x:c>
      <x:c r="H110" s="40" t="n">
        <x:f>IF(养成消耗调参!$B$110&gt;=英雄升级调参!$C$9,0,养成消耗调参!$E$10*INDEX(养成消耗调参!$M$18:$M$27,ROUNDUP(养成消耗调参!$B$110/5,0)))</x:f>
        <x:v>4200</x:v>
      </x:c>
      <x:c r="I110" s="25"/>
      <x:c r="J110" s="25"/>
      <x:c r="K110" s="25"/>
      <x:c r="L110" s="25"/>
      <x:c r="M110" s="25"/>
      <x:c r="N110" s="25"/>
      <x:c r="O110" s="25"/>
      <x:c r="P110" s="25"/>
    </x:row>
    <x:row r="111" ht="23.100000381469727" customHeight="1">
      <x:c r="A111" s="19"/>
      <x:c r="B111" s="25">
        <x:v>19</x:v>
      </x:c>
      <x:c r="C111" s="40" t="n">
        <x:f>IF(B111&gt;=英雄升级调参!$C$9,0,INDEX($K$18:$K$27,ROUNDUP(B111/$H$12,0)))</x:f>
        <x:v>7</x:v>
      </x:c>
      <x:c r="D111" s="40" t="n">
        <x:f>IF(B111&gt;=英雄升级调参!$C$9,0,INDEX($L$18:$L$27,ROUNDUP(B111/$H$12,0)))</x:f>
        <x:v>7</x:v>
      </x:c>
      <x:c r="E111" s="40" t="n">
        <x:f>IF(B111&gt;=英雄升级调参!$C$9,0,INDEX($M$18:$M$27,ROUNDUP(B111/$H$12,0)))</x:f>
        <x:v>7</x:v>
      </x:c>
      <x:c r="F111" s="40" t="n">
        <x:f>IF(养成消耗调参!$B$111&gt;=英雄升级调参!$C$9,0,养成消耗调参!$C$10*INDEX(养成消耗调参!$K$18:$K$27,ROUNDUP(养成消耗调参!$B$111/5,0)))</x:f>
        <x:v>2100</x:v>
      </x:c>
      <x:c r="G111" s="40" t="n">
        <x:f>IF(养成消耗调参!$B$111&gt;=英雄升级调参!$C$9,0,养成消耗调参!$D$10*INDEX(养成消耗调参!$L$18:$L$27,ROUNDUP(养成消耗调参!$B$111/5,0)))</x:f>
        <x:v>3150</x:v>
      </x:c>
      <x:c r="H111" s="40" t="n">
        <x:f>IF(养成消耗调参!$B$111&gt;=英雄升级调参!$C$9,0,养成消耗调参!$E$10*INDEX(养成消耗调参!$M$18:$M$27,ROUNDUP(养成消耗调参!$B$111/5,0)))</x:f>
        <x:v>4200</x:v>
      </x:c>
      <x:c r="I111" s="25"/>
      <x:c r="J111" s="25"/>
      <x:c r="K111" s="25"/>
      <x:c r="L111" s="25"/>
      <x:c r="M111" s="25"/>
      <x:c r="N111" s="25"/>
      <x:c r="O111" s="25"/>
      <x:c r="P111" s="25"/>
    </x:row>
    <x:row r="112" ht="23.100000381469727" customHeight="1">
      <x:c r="A112" s="19"/>
      <x:c r="B112" s="25">
        <x:v>20</x:v>
      </x:c>
      <x:c r="C112" s="40" t="n">
        <x:f>IF(B112&gt;=英雄升级调参!$C$9,0,INDEX($K$18:$K$27,ROUNDUP(B112/$H$12,0)))</x:f>
        <x:v>7</x:v>
      </x:c>
      <x:c r="D112" s="40" t="n">
        <x:f>IF(B112&gt;=英雄升级调参!$C$9,0,INDEX($L$18:$L$27,ROUNDUP(B112/$H$12,0)))</x:f>
        <x:v>7</x:v>
      </x:c>
      <x:c r="E112" s="40" t="n">
        <x:f>IF(B112&gt;=英雄升级调参!$C$9,0,INDEX($M$18:$M$27,ROUNDUP(B112/$H$12,0)))</x:f>
        <x:v>7</x:v>
      </x:c>
      <x:c r="F112" s="40" t="n">
        <x:f>IF(养成消耗调参!$B$112&gt;=英雄升级调参!$C$9,0,养成消耗调参!$C$10*INDEX(养成消耗调参!$K$18:$K$27,ROUNDUP(养成消耗调参!$B$112/5,0)))</x:f>
        <x:v>2100</x:v>
      </x:c>
      <x:c r="G112" s="40" t="n">
        <x:f>IF(养成消耗调参!$B$112&gt;=英雄升级调参!$C$9,0,养成消耗调参!$D$10*INDEX(养成消耗调参!$L$18:$L$27,ROUNDUP(养成消耗调参!$B$112/5,0)))</x:f>
        <x:v>3150</x:v>
      </x:c>
      <x:c r="H112" s="40" t="n">
        <x:f>IF(养成消耗调参!$B$112&gt;=英雄升级调参!$C$9,0,养成消耗调参!$E$10*INDEX(养成消耗调参!$M$18:$M$27,ROUNDUP(养成消耗调参!$B$112/5,0)))</x:f>
        <x:v>4200</x:v>
      </x:c>
      <x:c r="I112" s="25"/>
      <x:c r="J112" s="25"/>
      <x:c r="K112" s="25"/>
      <x:c r="L112" s="25"/>
      <x:c r="M112" s="25"/>
      <x:c r="N112" s="25"/>
      <x:c r="O112" s="25"/>
      <x:c r="P112" s="25"/>
    </x:row>
    <x:row r="113" ht="23.100000381469727" customHeight="1">
      <x:c r="A113" s="19"/>
      <x:c r="B113" s="25">
        <x:v>21</x:v>
      </x:c>
      <x:c r="C113" s="40" t="n">
        <x:f>IF(B113&gt;=英雄升级调参!$C$9,0,INDEX($K$18:$K$27,ROUNDUP(B113/$H$12,0)))</x:f>
        <x:v>10</x:v>
      </x:c>
      <x:c r="D113" s="40" t="n">
        <x:f>IF(B113&gt;=英雄升级调参!$C$9,0,INDEX($L$18:$L$27,ROUNDUP(B113/$H$12,0)))</x:f>
        <x:v>10</x:v>
      </x:c>
      <x:c r="E113" s="40" t="n">
        <x:f>IF(B113&gt;=英雄升级调参!$C$9,0,INDEX($M$18:$M$27,ROUNDUP(B113/$H$12,0)))</x:f>
        <x:v>10</x:v>
      </x:c>
      <x:c r="F113" s="40" t="n">
        <x:f>IF(养成消耗调参!$B$113&gt;=英雄升级调参!$C$9,0,养成消耗调参!$C$10*INDEX(养成消耗调参!$K$18:$K$27,ROUNDUP(养成消耗调参!$B$113/5,0)))</x:f>
        <x:v>3000</x:v>
      </x:c>
      <x:c r="G113" s="40" t="n">
        <x:f>IF(养成消耗调参!$B$113&gt;=英雄升级调参!$C$9,0,养成消耗调参!$D$10*INDEX(养成消耗调参!$L$18:$L$27,ROUNDUP(养成消耗调参!$B$113/5,0)))</x:f>
        <x:v>4500</x:v>
      </x:c>
      <x:c r="H113" s="40" t="n">
        <x:f>IF(养成消耗调参!$B$113&gt;=英雄升级调参!$C$9,0,养成消耗调参!$E$10*INDEX(养成消耗调参!$M$18:$M$27,ROUNDUP(养成消耗调参!$B$113/5,0)))</x:f>
        <x:v>6000</x:v>
      </x:c>
      <x:c r="I113" s="25"/>
      <x:c r="J113" s="25"/>
      <x:c r="K113" s="25"/>
      <x:c r="L113" s="25"/>
      <x:c r="M113" s="25"/>
      <x:c r="N113" s="25"/>
      <x:c r="O113" s="25"/>
      <x:c r="P113" s="25"/>
    </x:row>
    <x:row r="114" ht="23.100000381469727" customHeight="1">
      <x:c r="A114" s="19"/>
      <x:c r="B114" s="25">
        <x:v>22</x:v>
      </x:c>
      <x:c r="C114" s="40" t="n">
        <x:f>IF(B114&gt;=英雄升级调参!$C$9,0,INDEX($K$18:$K$27,ROUNDUP(B114/$H$12,0)))</x:f>
        <x:v>10</x:v>
      </x:c>
      <x:c r="D114" s="40" t="n">
        <x:f>IF(B114&gt;=英雄升级调参!$C$9,0,INDEX($L$18:$L$27,ROUNDUP(B114/$H$12,0)))</x:f>
        <x:v>10</x:v>
      </x:c>
      <x:c r="E114" s="40" t="n">
        <x:f>IF(B114&gt;=英雄升级调参!$C$9,0,INDEX($M$18:$M$27,ROUNDUP(B114/$H$12,0)))</x:f>
        <x:v>10</x:v>
      </x:c>
      <x:c r="F114" s="40" t="n">
        <x:f>IF(养成消耗调参!$B$114&gt;=英雄升级调参!$C$9,0,养成消耗调参!$C$10*INDEX(养成消耗调参!$K$18:$K$27,ROUNDUP(养成消耗调参!$B$114/5,0)))</x:f>
        <x:v>3000</x:v>
      </x:c>
      <x:c r="G114" s="40" t="n">
        <x:f>IF(养成消耗调参!$B$114&gt;=英雄升级调参!$C$9,0,养成消耗调参!$D$10*INDEX(养成消耗调参!$L$18:$L$27,ROUNDUP(养成消耗调参!$B$114/5,0)))</x:f>
        <x:v>4500</x:v>
      </x:c>
      <x:c r="H114" s="40" t="n">
        <x:f>IF(养成消耗调参!$B$114&gt;=英雄升级调参!$C$9,0,养成消耗调参!$E$10*INDEX(养成消耗调参!$M$18:$M$27,ROUNDUP(养成消耗调参!$B$114/5,0)))</x:f>
        <x:v>6000</x:v>
      </x:c>
      <x:c r="I114" s="25"/>
      <x:c r="J114" s="25"/>
      <x:c r="K114" s="25"/>
      <x:c r="L114" s="25"/>
      <x:c r="M114" s="25"/>
      <x:c r="N114" s="25"/>
      <x:c r="O114" s="25"/>
      <x:c r="P114" s="25"/>
    </x:row>
    <x:row r="115" ht="23.100000381469727" customHeight="1">
      <x:c r="A115" s="19"/>
      <x:c r="B115" s="25">
        <x:v>23</x:v>
      </x:c>
      <x:c r="C115" s="40" t="n">
        <x:f>IF(B115&gt;=英雄升级调参!$C$9,0,INDEX($K$18:$K$27,ROUNDUP(B115/$H$12,0)))</x:f>
        <x:v>10</x:v>
      </x:c>
      <x:c r="D115" s="40" t="n">
        <x:f>IF(B115&gt;=英雄升级调参!$C$9,0,INDEX($L$18:$L$27,ROUNDUP(B115/$H$12,0)))</x:f>
        <x:v>10</x:v>
      </x:c>
      <x:c r="E115" s="40" t="n">
        <x:f>IF(B115&gt;=英雄升级调参!$C$9,0,INDEX($M$18:$M$27,ROUNDUP(B115/$H$12,0)))</x:f>
        <x:v>10</x:v>
      </x:c>
      <x:c r="F115" s="40" t="n">
        <x:f>IF(养成消耗调参!$B$115&gt;=英雄升级调参!$C$9,0,养成消耗调参!$C$10*INDEX(养成消耗调参!$K$18:$K$27,ROUNDUP(养成消耗调参!$B$115/5,0)))</x:f>
        <x:v>3000</x:v>
      </x:c>
      <x:c r="G115" s="40" t="n">
        <x:f>IF(养成消耗调参!$B$115&gt;=英雄升级调参!$C$9,0,养成消耗调参!$D$10*INDEX(养成消耗调参!$L$18:$L$27,ROUNDUP(养成消耗调参!$B$115/5,0)))</x:f>
        <x:v>4500</x:v>
      </x:c>
      <x:c r="H115" s="40" t="n">
        <x:f>IF(养成消耗调参!$B$115&gt;=英雄升级调参!$C$9,0,养成消耗调参!$E$10*INDEX(养成消耗调参!$M$18:$M$27,ROUNDUP(养成消耗调参!$B$115/5,0)))</x:f>
        <x:v>6000</x:v>
      </x:c>
      <x:c r="I115" s="25"/>
      <x:c r="J115" s="25"/>
      <x:c r="K115" s="25"/>
      <x:c r="L115" s="25"/>
      <x:c r="M115" s="25"/>
      <x:c r="N115" s="25"/>
      <x:c r="O115" s="25"/>
      <x:c r="P115" s="25"/>
    </x:row>
    <x:row r="116" ht="23.100000381469727" customHeight="1">
      <x:c r="A116" s="19"/>
      <x:c r="B116" s="25">
        <x:v>24</x:v>
      </x:c>
      <x:c r="C116" s="40" t="n">
        <x:f>IF(B116&gt;=英雄升级调参!$C$9,0,INDEX($K$18:$K$27,ROUNDUP(B116/$H$12,0)))</x:f>
        <x:v>10</x:v>
      </x:c>
      <x:c r="D116" s="40" t="n">
        <x:f>IF(B116&gt;=英雄升级调参!$C$9,0,INDEX($L$18:$L$27,ROUNDUP(B116/$H$12,0)))</x:f>
        <x:v>10</x:v>
      </x:c>
      <x:c r="E116" s="40" t="n">
        <x:f>IF(B116&gt;=英雄升级调参!$C$9,0,INDEX($M$18:$M$27,ROUNDUP(B116/$H$12,0)))</x:f>
        <x:v>10</x:v>
      </x:c>
      <x:c r="F116" s="40" t="n">
        <x:f>IF(养成消耗调参!$B$116&gt;=英雄升级调参!$C$9,0,养成消耗调参!$C$10*INDEX(养成消耗调参!$K$18:$K$27,ROUNDUP(养成消耗调参!$B$116/5,0)))</x:f>
        <x:v>3000</x:v>
      </x:c>
      <x:c r="G116" s="40" t="n">
        <x:f>IF(养成消耗调参!$B$116&gt;=英雄升级调参!$C$9,0,养成消耗调参!$D$10*INDEX(养成消耗调参!$L$18:$L$27,ROUNDUP(养成消耗调参!$B$116/5,0)))</x:f>
        <x:v>4500</x:v>
      </x:c>
      <x:c r="H116" s="40" t="n">
        <x:f>IF(养成消耗调参!$B$116&gt;=英雄升级调参!$C$9,0,养成消耗调参!$E$10*INDEX(养成消耗调参!$M$18:$M$27,ROUNDUP(养成消耗调参!$B$116/5,0)))</x:f>
        <x:v>6000</x:v>
      </x:c>
      <x:c r="I116" s="25"/>
      <x:c r="J116" s="25"/>
      <x:c r="K116" s="25"/>
      <x:c r="L116" s="25"/>
      <x:c r="M116" s="25"/>
      <x:c r="N116" s="25"/>
      <x:c r="O116" s="25"/>
      <x:c r="P116" s="25"/>
    </x:row>
    <x:row r="117" ht="23.100000381469727" customHeight="1">
      <x:c r="A117" s="19"/>
      <x:c r="B117" s="25">
        <x:v>25</x:v>
      </x:c>
      <x:c r="C117" s="40" t="n">
        <x:f>IF(B117&gt;=英雄升级调参!$C$9,0,INDEX($K$18:$K$27,ROUNDUP(B117/$H$12,0)))</x:f>
        <x:v>10</x:v>
      </x:c>
      <x:c r="D117" s="40" t="n">
        <x:f>IF(B117&gt;=英雄升级调参!$C$9,0,INDEX($L$18:$L$27,ROUNDUP(B117/$H$12,0)))</x:f>
        <x:v>10</x:v>
      </x:c>
      <x:c r="E117" s="40" t="n">
        <x:f>IF(B117&gt;=英雄升级调参!$C$9,0,INDEX($M$18:$M$27,ROUNDUP(B117/$H$12,0)))</x:f>
        <x:v>10</x:v>
      </x:c>
      <x:c r="F117" s="40" t="n">
        <x:f>IF(养成消耗调参!$B$117&gt;=英雄升级调参!$C$9,0,养成消耗调参!$C$10*INDEX(养成消耗调参!$K$18:$K$27,ROUNDUP(养成消耗调参!$B$117/5,0)))</x:f>
        <x:v>3000</x:v>
      </x:c>
      <x:c r="G117" s="40" t="n">
        <x:f>IF(养成消耗调参!$B$117&gt;=英雄升级调参!$C$9,0,养成消耗调参!$D$10*INDEX(养成消耗调参!$L$18:$L$27,ROUNDUP(养成消耗调参!$B$117/5,0)))</x:f>
        <x:v>4500</x:v>
      </x:c>
      <x:c r="H117" s="40" t="n">
        <x:f>IF(养成消耗调参!$B$117&gt;=英雄升级调参!$C$9,0,养成消耗调参!$E$10*INDEX(养成消耗调参!$M$18:$M$27,ROUNDUP(养成消耗调参!$B$117/5,0)))</x:f>
        <x:v>6000</x:v>
      </x:c>
      <x:c r="I117" s="25"/>
      <x:c r="J117" s="25"/>
      <x:c r="K117" s="25"/>
      <x:c r="L117" s="25"/>
      <x:c r="M117" s="25"/>
      <x:c r="N117" s="25"/>
      <x:c r="O117" s="25"/>
      <x:c r="P117" s="25"/>
    </x:row>
    <x:row r="118" ht="23.100000381469727" customHeight="1">
      <x:c r="A118" s="19"/>
      <x:c r="B118" s="25">
        <x:v>26</x:v>
      </x:c>
      <x:c r="C118" s="40" t="n">
        <x:f>IF(B118&gt;=英雄升级调参!$C$9,0,INDEX($K$18:$K$27,ROUNDUP(B118/$H$12,0)))</x:f>
        <x:v>13</x:v>
      </x:c>
      <x:c r="D118" s="40" t="n">
        <x:f>IF(B118&gt;=英雄升级调参!$C$9,0,INDEX($L$18:$L$27,ROUNDUP(B118/$H$12,0)))</x:f>
        <x:v>13</x:v>
      </x:c>
      <x:c r="E118" s="40" t="n">
        <x:f>IF(B118&gt;=英雄升级调参!$C$9,0,INDEX($M$18:$M$27,ROUNDUP(B118/$H$12,0)))</x:f>
        <x:v>13</x:v>
      </x:c>
      <x:c r="F118" s="40" t="n">
        <x:f>IF(养成消耗调参!$B$118&gt;=英雄升级调参!$C$9,0,养成消耗调参!$C$10*INDEX(养成消耗调参!$K$18:$K$27,ROUNDUP(养成消耗调参!$B$118/5,0)))</x:f>
        <x:v>3900</x:v>
      </x:c>
      <x:c r="G118" s="40" t="n">
        <x:f>IF(养成消耗调参!$B$118&gt;=英雄升级调参!$C$9,0,养成消耗调参!$D$10*INDEX(养成消耗调参!$L$18:$L$27,ROUNDUP(养成消耗调参!$B$118/5,0)))</x:f>
        <x:v>5850</x:v>
      </x:c>
      <x:c r="H118" s="40" t="n">
        <x:f>IF(养成消耗调参!$B$118&gt;=英雄升级调参!$C$9,0,养成消耗调参!$E$10*INDEX(养成消耗调参!$M$18:$M$27,ROUNDUP(养成消耗调参!$B$118/5,0)))</x:f>
        <x:v>7800</x:v>
      </x:c>
      <x:c r="I118" s="25"/>
      <x:c r="J118" s="25"/>
      <x:c r="K118" s="25"/>
      <x:c r="L118" s="25"/>
      <x:c r="M118" s="25"/>
      <x:c r="N118" s="25"/>
      <x:c r="O118" s="25"/>
      <x:c r="P118" s="25"/>
    </x:row>
    <x:row r="119" ht="23.100000381469727" customHeight="1">
      <x:c r="A119" s="19"/>
      <x:c r="B119" s="25">
        <x:v>27</x:v>
      </x:c>
      <x:c r="C119" s="40" t="n">
        <x:f>IF(B119&gt;=英雄升级调参!$C$9,0,INDEX($K$18:$K$27,ROUNDUP(B119/$H$12,0)))</x:f>
        <x:v>13</x:v>
      </x:c>
      <x:c r="D119" s="40" t="n">
        <x:f>IF(B119&gt;=英雄升级调参!$C$9,0,INDEX($L$18:$L$27,ROUNDUP(B119/$H$12,0)))</x:f>
        <x:v>13</x:v>
      </x:c>
      <x:c r="E119" s="40" t="n">
        <x:f>IF(B119&gt;=英雄升级调参!$C$9,0,INDEX($M$18:$M$27,ROUNDUP(B119/$H$12,0)))</x:f>
        <x:v>13</x:v>
      </x:c>
      <x:c r="F119" s="40" t="n">
        <x:f>IF(养成消耗调参!$B$119&gt;=英雄升级调参!$C$9,0,养成消耗调参!$C$10*INDEX(养成消耗调参!$K$18:$K$27,ROUNDUP(养成消耗调参!$B$119/5,0)))</x:f>
        <x:v>3900</x:v>
      </x:c>
      <x:c r="G119" s="40" t="n">
        <x:f>IF(养成消耗调参!$B$119&gt;=英雄升级调参!$C$9,0,养成消耗调参!$D$10*INDEX(养成消耗调参!$L$18:$L$27,ROUNDUP(养成消耗调参!$B$119/5,0)))</x:f>
        <x:v>5850</x:v>
      </x:c>
      <x:c r="H119" s="40" t="n">
        <x:f>IF(养成消耗调参!$B$119&gt;=英雄升级调参!$C$9,0,养成消耗调参!$E$10*INDEX(养成消耗调参!$M$18:$M$27,ROUNDUP(养成消耗调参!$B$119/5,0)))</x:f>
        <x:v>7800</x:v>
      </x:c>
      <x:c r="I119" s="25"/>
      <x:c r="J119" s="25"/>
      <x:c r="K119" s="25"/>
      <x:c r="L119" s="25"/>
      <x:c r="M119" s="25"/>
      <x:c r="N119" s="25"/>
      <x:c r="O119" s="25"/>
      <x:c r="P119" s="25"/>
    </x:row>
    <x:row r="120" ht="23.100000381469727" customHeight="1">
      <x:c r="A120" s="19"/>
      <x:c r="B120" s="25">
        <x:v>28</x:v>
      </x:c>
      <x:c r="C120" s="40" t="n">
        <x:f>IF(B120&gt;=英雄升级调参!$C$9,0,INDEX($K$18:$K$27,ROUNDUP(B120/$H$12,0)))</x:f>
        <x:v>13</x:v>
      </x:c>
      <x:c r="D120" s="40" t="n">
        <x:f>IF(B120&gt;=英雄升级调参!$C$9,0,INDEX($L$18:$L$27,ROUNDUP(B120/$H$12,0)))</x:f>
        <x:v>13</x:v>
      </x:c>
      <x:c r="E120" s="40" t="n">
        <x:f>IF(B120&gt;=英雄升级调参!$C$9,0,INDEX($M$18:$M$27,ROUNDUP(B120/$H$12,0)))</x:f>
        <x:v>13</x:v>
      </x:c>
      <x:c r="F120" s="40" t="n">
        <x:f>IF(养成消耗调参!$B$120&gt;=英雄升级调参!$C$9,0,养成消耗调参!$C$10*INDEX(养成消耗调参!$K$18:$K$27,ROUNDUP(养成消耗调参!$B$120/5,0)))</x:f>
        <x:v>3900</x:v>
      </x:c>
      <x:c r="G120" s="40" t="n">
        <x:f>IF(养成消耗调参!$B$120&gt;=英雄升级调参!$C$9,0,养成消耗调参!$D$10*INDEX(养成消耗调参!$L$18:$L$27,ROUNDUP(养成消耗调参!$B$120/5,0)))</x:f>
        <x:v>5850</x:v>
      </x:c>
      <x:c r="H120" s="40" t="n">
        <x:f>IF(养成消耗调参!$B$120&gt;=英雄升级调参!$C$9,0,养成消耗调参!$E$10*INDEX(养成消耗调参!$M$18:$M$27,ROUNDUP(养成消耗调参!$B$120/5,0)))</x:f>
        <x:v>7800</x:v>
      </x:c>
      <x:c r="I120" s="25"/>
      <x:c r="J120" s="25"/>
      <x:c r="K120" s="25"/>
      <x:c r="L120" s="25"/>
      <x:c r="M120" s="25"/>
      <x:c r="N120" s="25"/>
      <x:c r="O120" s="25"/>
      <x:c r="P120" s="25"/>
    </x:row>
    <x:row r="121" ht="23.100000381469727" customHeight="1">
      <x:c r="A121" s="19"/>
      <x:c r="B121" s="25">
        <x:v>29</x:v>
      </x:c>
      <x:c r="C121" s="40" t="n">
        <x:f>IF(B121&gt;=英雄升级调参!$C$9,0,INDEX($K$18:$K$27,ROUNDUP(B121/$H$12,0)))</x:f>
        <x:v>13</x:v>
      </x:c>
      <x:c r="D121" s="40" t="n">
        <x:f>IF(B121&gt;=英雄升级调参!$C$9,0,INDEX($L$18:$L$27,ROUNDUP(B121/$H$12,0)))</x:f>
        <x:v>13</x:v>
      </x:c>
      <x:c r="E121" s="40" t="n">
        <x:f>IF(B121&gt;=英雄升级调参!$C$9,0,INDEX($M$18:$M$27,ROUNDUP(B121/$H$12,0)))</x:f>
        <x:v>13</x:v>
      </x:c>
      <x:c r="F121" s="40" t="n">
        <x:f>IF(养成消耗调参!$B$121&gt;=英雄升级调参!$C$9,0,养成消耗调参!$C$10*INDEX(养成消耗调参!$K$18:$K$27,ROUNDUP(养成消耗调参!$B$121/5,0)))</x:f>
        <x:v>3900</x:v>
      </x:c>
      <x:c r="G121" s="40" t="n">
        <x:f>IF(养成消耗调参!$B$121&gt;=英雄升级调参!$C$9,0,养成消耗调参!$D$10*INDEX(养成消耗调参!$L$18:$L$27,ROUNDUP(养成消耗调参!$B$121/5,0)))</x:f>
        <x:v>5850</x:v>
      </x:c>
      <x:c r="H121" s="40" t="n">
        <x:f>IF(养成消耗调参!$B$121&gt;=英雄升级调参!$C$9,0,养成消耗调参!$E$10*INDEX(养成消耗调参!$M$18:$M$27,ROUNDUP(养成消耗调参!$B$121/5,0)))</x:f>
        <x:v>7800</x:v>
      </x:c>
      <x:c r="I121" s="25"/>
      <x:c r="J121" s="25"/>
      <x:c r="K121" s="25"/>
      <x:c r="L121" s="25"/>
      <x:c r="M121" s="25"/>
      <x:c r="N121" s="25"/>
      <x:c r="O121" s="25"/>
      <x:c r="P121" s="25"/>
    </x:row>
    <x:row r="122" ht="23.100000381469727" customHeight="1">
      <x:c r="A122" s="19"/>
      <x:c r="B122" s="25">
        <x:v>30</x:v>
      </x:c>
      <x:c r="C122" s="40" t="n">
        <x:f>IF(B122&gt;=英雄升级调参!$C$9,0,INDEX($K$18:$K$27,ROUNDUP(B122/$H$12,0)))</x:f>
        <x:v>13</x:v>
      </x:c>
      <x:c r="D122" s="40" t="n">
        <x:f>IF(B122&gt;=英雄升级调参!$C$9,0,INDEX($L$18:$L$27,ROUNDUP(B122/$H$12,0)))</x:f>
        <x:v>13</x:v>
      </x:c>
      <x:c r="E122" s="40" t="n">
        <x:f>IF(B122&gt;=英雄升级调参!$C$9,0,INDEX($M$18:$M$27,ROUNDUP(B122/$H$12,0)))</x:f>
        <x:v>13</x:v>
      </x:c>
      <x:c r="F122" s="40" t="n">
        <x:f>IF(养成消耗调参!$B$122&gt;=英雄升级调参!$C$9,0,养成消耗调参!$C$10*INDEX(养成消耗调参!$K$18:$K$27,ROUNDUP(养成消耗调参!$B$122/5,0)))</x:f>
        <x:v>3900</x:v>
      </x:c>
      <x:c r="G122" s="40" t="n">
        <x:f>IF(养成消耗调参!$B$122&gt;=英雄升级调参!$C$9,0,养成消耗调参!$D$10*INDEX(养成消耗调参!$L$18:$L$27,ROUNDUP(养成消耗调参!$B$122/5,0)))</x:f>
        <x:v>5850</x:v>
      </x:c>
      <x:c r="H122" s="40" t="n">
        <x:f>IF(养成消耗调参!$B$122&gt;=英雄升级调参!$C$9,0,养成消耗调参!$E$10*INDEX(养成消耗调参!$M$18:$M$27,ROUNDUP(养成消耗调参!$B$122/5,0)))</x:f>
        <x:v>7800</x:v>
      </x:c>
      <x:c r="I122" s="25"/>
      <x:c r="J122" s="25"/>
      <x:c r="K122" s="25"/>
      <x:c r="L122" s="25"/>
      <x:c r="M122" s="25"/>
      <x:c r="N122" s="25"/>
      <x:c r="O122" s="25"/>
      <x:c r="P122" s="25"/>
    </x:row>
    <x:row r="123" ht="23.100000381469727" customHeight="1">
      <x:c r="A123" s="19"/>
      <x:c r="B123" s="25">
        <x:v>31</x:v>
      </x:c>
      <x:c r="C123" s="40" t="n">
        <x:f>IF(B123&gt;=英雄升级调参!$C$9,0,INDEX($K$18:$K$27,ROUNDUP(B123/$H$12,0)))</x:f>
        <x:v>16</x:v>
      </x:c>
      <x:c r="D123" s="40" t="n">
        <x:f>IF(B123&gt;=英雄升级调参!$C$9,0,INDEX($L$18:$L$27,ROUNDUP(B123/$H$12,0)))</x:f>
        <x:v>16</x:v>
      </x:c>
      <x:c r="E123" s="40" t="n">
        <x:f>IF(B123&gt;=英雄升级调参!$C$9,0,INDEX($M$18:$M$27,ROUNDUP(B123/$H$12,0)))</x:f>
        <x:v>16</x:v>
      </x:c>
      <x:c r="F123" s="40" t="n">
        <x:f>IF(养成消耗调参!$B$123&gt;=英雄升级调参!$C$9,0,养成消耗调参!$C$10*INDEX(养成消耗调参!$K$18:$K$27,ROUNDUP(养成消耗调参!$B$123/5,0)))</x:f>
        <x:v>4800</x:v>
      </x:c>
      <x:c r="G123" s="40" t="n">
        <x:f>IF(养成消耗调参!$B$123&gt;=英雄升级调参!$C$9,0,养成消耗调参!$D$10*INDEX(养成消耗调参!$L$18:$L$27,ROUNDUP(养成消耗调参!$B$123/5,0)))</x:f>
        <x:v>7200</x:v>
      </x:c>
      <x:c r="H123" s="40" t="n">
        <x:f>IF(养成消耗调参!$B$123&gt;=英雄升级调参!$C$9,0,养成消耗调参!$E$10*INDEX(养成消耗调参!$M$18:$M$27,ROUNDUP(养成消耗调参!$B$123/5,0)))</x:f>
        <x:v>9600</x:v>
      </x:c>
      <x:c r="I123" s="25"/>
      <x:c r="J123" s="25"/>
      <x:c r="K123" s="25"/>
      <x:c r="L123" s="25"/>
      <x:c r="M123" s="25"/>
      <x:c r="N123" s="25"/>
      <x:c r="O123" s="25"/>
      <x:c r="P123" s="25"/>
    </x:row>
    <x:row r="124" ht="23.100000381469727" customHeight="1">
      <x:c r="A124" s="19"/>
      <x:c r="B124" s="25">
        <x:v>32</x:v>
      </x:c>
      <x:c r="C124" s="40" t="n">
        <x:f>IF(B124&gt;=英雄升级调参!$C$9,0,INDEX($K$18:$K$27,ROUNDUP(B124/$H$12,0)))</x:f>
        <x:v>16</x:v>
      </x:c>
      <x:c r="D124" s="40" t="n">
        <x:f>IF(B124&gt;=英雄升级调参!$C$9,0,INDEX($L$18:$L$27,ROUNDUP(B124/$H$12,0)))</x:f>
        <x:v>16</x:v>
      </x:c>
      <x:c r="E124" s="40" t="n">
        <x:f>IF(B124&gt;=英雄升级调参!$C$9,0,INDEX($M$18:$M$27,ROUNDUP(B124/$H$12,0)))</x:f>
        <x:v>16</x:v>
      </x:c>
      <x:c r="F124" s="40" t="n">
        <x:f>IF(养成消耗调参!$B$124&gt;=英雄升级调参!$C$9,0,养成消耗调参!$C$10*INDEX(养成消耗调参!$K$18:$K$27,ROUNDUP(养成消耗调参!$B$124/5,0)))</x:f>
        <x:v>4800</x:v>
      </x:c>
      <x:c r="G124" s="40" t="n">
        <x:f>IF(养成消耗调参!$B$124&gt;=英雄升级调参!$C$9,0,养成消耗调参!$D$10*INDEX(养成消耗调参!$L$18:$L$27,ROUNDUP(养成消耗调参!$B$124/5,0)))</x:f>
        <x:v>7200</x:v>
      </x:c>
      <x:c r="H124" s="40" t="n">
        <x:f>IF(养成消耗调参!$B$124&gt;=英雄升级调参!$C$9,0,养成消耗调参!$E$10*INDEX(养成消耗调参!$M$18:$M$27,ROUNDUP(养成消耗调参!$B$124/5,0)))</x:f>
        <x:v>9600</x:v>
      </x:c>
      <x:c r="I124" s="25"/>
      <x:c r="J124" s="25"/>
      <x:c r="K124" s="25"/>
      <x:c r="L124" s="25"/>
      <x:c r="M124" s="25"/>
      <x:c r="N124" s="25"/>
      <x:c r="O124" s="25"/>
      <x:c r="P124" s="25"/>
    </x:row>
    <x:row r="125" ht="23.100000381469727" customHeight="1">
      <x:c r="A125" s="19"/>
      <x:c r="B125" s="25">
        <x:v>33</x:v>
      </x:c>
      <x:c r="C125" s="40" t="n">
        <x:f>IF(B125&gt;=英雄升级调参!$C$9,0,INDEX($K$18:$K$27,ROUNDUP(B125/$H$12,0)))</x:f>
        <x:v>16</x:v>
      </x:c>
      <x:c r="D125" s="40" t="n">
        <x:f>IF(B125&gt;=英雄升级调参!$C$9,0,INDEX($L$18:$L$27,ROUNDUP(B125/$H$12,0)))</x:f>
        <x:v>16</x:v>
      </x:c>
      <x:c r="E125" s="40" t="n">
        <x:f>IF(B125&gt;=英雄升级调参!$C$9,0,INDEX($M$18:$M$27,ROUNDUP(B125/$H$12,0)))</x:f>
        <x:v>16</x:v>
      </x:c>
      <x:c r="F125" s="40" t="n">
        <x:f>IF(养成消耗调参!$B$125&gt;=英雄升级调参!$C$9,0,养成消耗调参!$C$10*INDEX(养成消耗调参!$K$18:$K$27,ROUNDUP(养成消耗调参!$B$125/5,0)))</x:f>
        <x:v>4800</x:v>
      </x:c>
      <x:c r="G125" s="40" t="n">
        <x:f>IF(养成消耗调参!$B$125&gt;=英雄升级调参!$C$9,0,养成消耗调参!$D$10*INDEX(养成消耗调参!$L$18:$L$27,ROUNDUP(养成消耗调参!$B$125/5,0)))</x:f>
        <x:v>7200</x:v>
      </x:c>
      <x:c r="H125" s="40" t="n">
        <x:f>IF(养成消耗调参!$B$125&gt;=英雄升级调参!$C$9,0,养成消耗调参!$E$10*INDEX(养成消耗调参!$M$18:$M$27,ROUNDUP(养成消耗调参!$B$125/5,0)))</x:f>
        <x:v>9600</x:v>
      </x:c>
      <x:c r="I125" s="25"/>
      <x:c r="J125" s="25"/>
      <x:c r="K125" s="25"/>
      <x:c r="L125" s="25"/>
      <x:c r="M125" s="25"/>
      <x:c r="N125" s="25"/>
      <x:c r="O125" s="25"/>
      <x:c r="P125" s="25"/>
    </x:row>
    <x:row r="126" ht="23.100000381469727" customHeight="1">
      <x:c r="A126" s="19"/>
      <x:c r="B126" s="25">
        <x:v>34</x:v>
      </x:c>
      <x:c r="C126" s="40" t="n">
        <x:f>IF(B126&gt;=英雄升级调参!$C$9,0,INDEX($K$18:$K$27,ROUNDUP(B126/$H$12,0)))</x:f>
        <x:v>16</x:v>
      </x:c>
      <x:c r="D126" s="40" t="n">
        <x:f>IF(B126&gt;=英雄升级调参!$C$9,0,INDEX($L$18:$L$27,ROUNDUP(B126/$H$12,0)))</x:f>
        <x:v>16</x:v>
      </x:c>
      <x:c r="E126" s="40" t="n">
        <x:f>IF(B126&gt;=英雄升级调参!$C$9,0,INDEX($M$18:$M$27,ROUNDUP(B126/$H$12,0)))</x:f>
        <x:v>16</x:v>
      </x:c>
      <x:c r="F126" s="40" t="n">
        <x:f>IF(养成消耗调参!$B$126&gt;=英雄升级调参!$C$9,0,养成消耗调参!$C$10*INDEX(养成消耗调参!$K$18:$K$27,ROUNDUP(养成消耗调参!$B$126/5,0)))</x:f>
        <x:v>4800</x:v>
      </x:c>
      <x:c r="G126" s="40" t="n">
        <x:f>IF(养成消耗调参!$B$126&gt;=英雄升级调参!$C$9,0,养成消耗调参!$D$10*INDEX(养成消耗调参!$L$18:$L$27,ROUNDUP(养成消耗调参!$B$126/5,0)))</x:f>
        <x:v>7200</x:v>
      </x:c>
      <x:c r="H126" s="40" t="n">
        <x:f>IF(养成消耗调参!$B$126&gt;=英雄升级调参!$C$9,0,养成消耗调参!$E$10*INDEX(养成消耗调参!$M$18:$M$27,ROUNDUP(养成消耗调参!$B$126/5,0)))</x:f>
        <x:v>9600</x:v>
      </x:c>
      <x:c r="I126" s="25"/>
      <x:c r="J126" s="25"/>
      <x:c r="K126" s="25"/>
      <x:c r="L126" s="25"/>
      <x:c r="M126" s="25"/>
      <x:c r="N126" s="25"/>
      <x:c r="O126" s="25"/>
      <x:c r="P126" s="25"/>
    </x:row>
    <x:row r="127" ht="23.100000381469727" customHeight="1">
      <x:c r="A127" s="19"/>
      <x:c r="B127" s="25">
        <x:v>35</x:v>
      </x:c>
      <x:c r="C127" s="40" t="n">
        <x:f>IF(B127&gt;=英雄升级调参!$C$9,0,INDEX($K$18:$K$27,ROUNDUP(B127/$H$12,0)))</x:f>
        <x:v>16</x:v>
      </x:c>
      <x:c r="D127" s="40" t="n">
        <x:f>IF(B127&gt;=英雄升级调参!$C$9,0,INDEX($L$18:$L$27,ROUNDUP(B127/$H$12,0)))</x:f>
        <x:v>16</x:v>
      </x:c>
      <x:c r="E127" s="40" t="n">
        <x:f>IF(B127&gt;=英雄升级调参!$C$9,0,INDEX($M$18:$M$27,ROUNDUP(B127/$H$12,0)))</x:f>
        <x:v>16</x:v>
      </x:c>
      <x:c r="F127" s="40" t="n">
        <x:f>IF(养成消耗调参!$B$127&gt;=英雄升级调参!$C$9,0,养成消耗调参!$C$10*INDEX(养成消耗调参!$K$18:$K$27,ROUNDUP(养成消耗调参!$B$127/5,0)))</x:f>
        <x:v>4800</x:v>
      </x:c>
      <x:c r="G127" s="40" t="n">
        <x:f>IF(养成消耗调参!$B$127&gt;=英雄升级调参!$C$9,0,养成消耗调参!$D$10*INDEX(养成消耗调参!$L$18:$L$27,ROUNDUP(养成消耗调参!$B$127/5,0)))</x:f>
        <x:v>7200</x:v>
      </x:c>
      <x:c r="H127" s="40" t="n">
        <x:f>IF(养成消耗调参!$B$127&gt;=英雄升级调参!$C$9,0,养成消耗调参!$E$10*INDEX(养成消耗调参!$M$18:$M$27,ROUNDUP(养成消耗调参!$B$127/5,0)))</x:f>
        <x:v>9600</x:v>
      </x:c>
      <x:c r="I127" s="25"/>
      <x:c r="J127" s="25"/>
      <x:c r="K127" s="25"/>
      <x:c r="L127" s="25"/>
      <x:c r="M127" s="25"/>
      <x:c r="N127" s="25"/>
      <x:c r="O127" s="25"/>
      <x:c r="P127" s="25"/>
    </x:row>
    <x:row r="128" ht="23.100000381469727" customHeight="1">
      <x:c r="A128" s="19"/>
      <x:c r="B128" s="25">
        <x:v>36</x:v>
      </x:c>
      <x:c r="C128" s="40" t="n">
        <x:f>IF(B128&gt;=英雄升级调参!$C$9,0,INDEX($K$18:$K$27,ROUNDUP(B128/$H$12,0)))</x:f>
        <x:v>19</x:v>
      </x:c>
      <x:c r="D128" s="40" t="n">
        <x:f>IF(B128&gt;=英雄升级调参!$C$9,0,INDEX($L$18:$L$27,ROUNDUP(B128/$H$12,0)))</x:f>
        <x:v>19</x:v>
      </x:c>
      <x:c r="E128" s="40" t="n">
        <x:f>IF(B128&gt;=英雄升级调参!$C$9,0,INDEX($M$18:$M$27,ROUNDUP(B128/$H$12,0)))</x:f>
        <x:v>19</x:v>
      </x:c>
      <x:c r="F128" s="40" t="n">
        <x:f>IF(养成消耗调参!$B$128&gt;=英雄升级调参!$C$9,0,养成消耗调参!$C$10*INDEX(养成消耗调参!$K$18:$K$27,ROUNDUP(养成消耗调参!$B$128/5,0)))</x:f>
        <x:v>5700</x:v>
      </x:c>
      <x:c r="G128" s="40" t="n">
        <x:f>IF(养成消耗调参!$B$128&gt;=英雄升级调参!$C$9,0,养成消耗调参!$D$10*INDEX(养成消耗调参!$L$18:$L$27,ROUNDUP(养成消耗调参!$B$128/5,0)))</x:f>
        <x:v>8550</x:v>
      </x:c>
      <x:c r="H128" s="40" t="n">
        <x:f>IF(养成消耗调参!$B$128&gt;=英雄升级调参!$C$9,0,养成消耗调参!$E$10*INDEX(养成消耗调参!$M$18:$M$27,ROUNDUP(养成消耗调参!$B$128/5,0)))</x:f>
        <x:v>11400</x:v>
      </x:c>
      <x:c r="I128" s="25"/>
      <x:c r="J128" s="25"/>
      <x:c r="K128" s="25"/>
      <x:c r="L128" s="25"/>
      <x:c r="M128" s="25"/>
      <x:c r="N128" s="25"/>
      <x:c r="O128" s="25"/>
      <x:c r="P128" s="25"/>
    </x:row>
    <x:row r="129" ht="23.100000381469727" customHeight="1">
      <x:c r="A129" s="19"/>
      <x:c r="B129" s="25">
        <x:v>37</x:v>
      </x:c>
      <x:c r="C129" s="40" t="n">
        <x:f>IF(B129&gt;=英雄升级调参!$C$9,0,INDEX($K$18:$K$27,ROUNDUP(B129/$H$12,0)))</x:f>
        <x:v>19</x:v>
      </x:c>
      <x:c r="D129" s="40" t="n">
        <x:f>IF(B129&gt;=英雄升级调参!$C$9,0,INDEX($L$18:$L$27,ROUNDUP(B129/$H$12,0)))</x:f>
        <x:v>19</x:v>
      </x:c>
      <x:c r="E129" s="40" t="n">
        <x:f>IF(B129&gt;=英雄升级调参!$C$9,0,INDEX($M$18:$M$27,ROUNDUP(B129/$H$12,0)))</x:f>
        <x:v>19</x:v>
      </x:c>
      <x:c r="F129" s="40" t="n">
        <x:f>IF(养成消耗调参!$B$129&gt;=英雄升级调参!$C$9,0,养成消耗调参!$C$10*INDEX(养成消耗调参!$K$18:$K$27,ROUNDUP(养成消耗调参!$B$129/5,0)))</x:f>
        <x:v>5700</x:v>
      </x:c>
      <x:c r="G129" s="40" t="n">
        <x:f>IF(养成消耗调参!$B$129&gt;=英雄升级调参!$C$9,0,养成消耗调参!$D$10*INDEX(养成消耗调参!$L$18:$L$27,ROUNDUP(养成消耗调参!$B$129/5,0)))</x:f>
        <x:v>8550</x:v>
      </x:c>
      <x:c r="H129" s="40" t="n">
        <x:f>IF(养成消耗调参!$B$129&gt;=英雄升级调参!$C$9,0,养成消耗调参!$E$10*INDEX(养成消耗调参!$M$18:$M$27,ROUNDUP(养成消耗调参!$B$129/5,0)))</x:f>
        <x:v>11400</x:v>
      </x:c>
      <x:c r="I129" s="25"/>
      <x:c r="J129" s="25"/>
      <x:c r="K129" s="25"/>
      <x:c r="L129" s="25"/>
      <x:c r="M129" s="25"/>
      <x:c r="N129" s="25"/>
      <x:c r="O129" s="25"/>
      <x:c r="P129" s="25"/>
    </x:row>
    <x:row r="130" ht="23.100000381469727" customHeight="1">
      <x:c r="A130" s="19"/>
      <x:c r="B130" s="25">
        <x:v>38</x:v>
      </x:c>
      <x:c r="C130" s="40" t="n">
        <x:f>IF(B130&gt;=英雄升级调参!$C$9,0,INDEX($K$18:$K$27,ROUNDUP(B130/$H$12,0)))</x:f>
        <x:v>19</x:v>
      </x:c>
      <x:c r="D130" s="40" t="n">
        <x:f>IF(B130&gt;=英雄升级调参!$C$9,0,INDEX($L$18:$L$27,ROUNDUP(B130/$H$12,0)))</x:f>
        <x:v>19</x:v>
      </x:c>
      <x:c r="E130" s="40" t="n">
        <x:f>IF(B130&gt;=英雄升级调参!$C$9,0,INDEX($M$18:$M$27,ROUNDUP(B130/$H$12,0)))</x:f>
        <x:v>19</x:v>
      </x:c>
      <x:c r="F130" s="40" t="n">
        <x:f>IF(养成消耗调参!$B$130&gt;=英雄升级调参!$C$9,0,养成消耗调参!$C$10*INDEX(养成消耗调参!$K$18:$K$27,ROUNDUP(养成消耗调参!$B$130/5,0)))</x:f>
        <x:v>5700</x:v>
      </x:c>
      <x:c r="G130" s="40" t="n">
        <x:f>IF(养成消耗调参!$B$130&gt;=英雄升级调参!$C$9,0,养成消耗调参!$D$10*INDEX(养成消耗调参!$L$18:$L$27,ROUNDUP(养成消耗调参!$B$130/5,0)))</x:f>
        <x:v>8550</x:v>
      </x:c>
      <x:c r="H130" s="40" t="n">
        <x:f>IF(养成消耗调参!$B$130&gt;=英雄升级调参!$C$9,0,养成消耗调参!$E$10*INDEX(养成消耗调参!$M$18:$M$27,ROUNDUP(养成消耗调参!$B$130/5,0)))</x:f>
        <x:v>11400</x:v>
      </x:c>
      <x:c r="I130" s="25"/>
      <x:c r="J130" s="25"/>
      <x:c r="K130" s="25"/>
      <x:c r="L130" s="25"/>
      <x:c r="M130" s="25"/>
      <x:c r="N130" s="25"/>
      <x:c r="O130" s="25"/>
      <x:c r="P130" s="25"/>
    </x:row>
    <x:row r="131" ht="23.100000381469727" customHeight="1">
      <x:c r="A131" s="19"/>
      <x:c r="B131" s="25">
        <x:v>39</x:v>
      </x:c>
      <x:c r="C131" s="40" t="n">
        <x:f>IF(B131&gt;=英雄升级调参!$C$9,0,INDEX($K$18:$K$27,ROUNDUP(B131/$H$12,0)))</x:f>
        <x:v>19</x:v>
      </x:c>
      <x:c r="D131" s="40" t="n">
        <x:f>IF(B131&gt;=英雄升级调参!$C$9,0,INDEX($L$18:$L$27,ROUNDUP(B131/$H$12,0)))</x:f>
        <x:v>19</x:v>
      </x:c>
      <x:c r="E131" s="40" t="n">
        <x:f>IF(B131&gt;=英雄升级调参!$C$9,0,INDEX($M$18:$M$27,ROUNDUP(B131/$H$12,0)))</x:f>
        <x:v>19</x:v>
      </x:c>
      <x:c r="F131" s="40" t="n">
        <x:f>IF(养成消耗调参!$B$131&gt;=英雄升级调参!$C$9,0,养成消耗调参!$C$10*INDEX(养成消耗调参!$K$18:$K$27,ROUNDUP(养成消耗调参!$B$131/5,0)))</x:f>
        <x:v>5700</x:v>
      </x:c>
      <x:c r="G131" s="40" t="n">
        <x:f>IF(养成消耗调参!$B$131&gt;=英雄升级调参!$C$9,0,养成消耗调参!$D$10*INDEX(养成消耗调参!$L$18:$L$27,ROUNDUP(养成消耗调参!$B$131/5,0)))</x:f>
        <x:v>8550</x:v>
      </x:c>
      <x:c r="H131" s="40" t="n">
        <x:f>IF(养成消耗调参!$B$131&gt;=英雄升级调参!$C$9,0,养成消耗调参!$E$10*INDEX(养成消耗调参!$M$18:$M$27,ROUNDUP(养成消耗调参!$B$131/5,0)))</x:f>
        <x:v>11400</x:v>
      </x:c>
      <x:c r="I131" s="25"/>
      <x:c r="J131" s="25"/>
      <x:c r="K131" s="25"/>
      <x:c r="L131" s="25"/>
      <x:c r="M131" s="25"/>
      <x:c r="N131" s="25"/>
      <x:c r="O131" s="25"/>
      <x:c r="P131" s="25"/>
    </x:row>
    <x:row r="132" ht="23.100000381469727" customHeight="1">
      <x:c r="A132" s="19"/>
      <x:c r="B132" s="25">
        <x:v>40</x:v>
      </x:c>
      <x:c r="C132" s="40" t="n">
        <x:f>IF(B132&gt;=英雄升级调参!$C$9,0,INDEX($K$18:$K$27,ROUNDUP(B132/$H$12,0)))</x:f>
        <x:v>19</x:v>
      </x:c>
      <x:c r="D132" s="40" t="n">
        <x:f>IF(B132&gt;=英雄升级调参!$C$9,0,INDEX($L$18:$L$27,ROUNDUP(B132/$H$12,0)))</x:f>
        <x:v>19</x:v>
      </x:c>
      <x:c r="E132" s="40" t="n">
        <x:f>IF(B132&gt;=英雄升级调参!$C$9,0,INDEX($M$18:$M$27,ROUNDUP(B132/$H$12,0)))</x:f>
        <x:v>19</x:v>
      </x:c>
      <x:c r="F132" s="40" t="n">
        <x:f>IF(养成消耗调参!$B$132&gt;=英雄升级调参!$C$9,0,养成消耗调参!$C$10*INDEX(养成消耗调参!$K$18:$K$27,ROUNDUP(养成消耗调参!$B$132/5,0)))</x:f>
        <x:v>5700</x:v>
      </x:c>
      <x:c r="G132" s="40" t="n">
        <x:f>IF(养成消耗调参!$B$132&gt;=英雄升级调参!$C$9,0,养成消耗调参!$D$10*INDEX(养成消耗调参!$L$18:$L$27,ROUNDUP(养成消耗调参!$B$132/5,0)))</x:f>
        <x:v>8550</x:v>
      </x:c>
      <x:c r="H132" s="40" t="n">
        <x:f>IF(养成消耗调参!$B$132&gt;=英雄升级调参!$C$9,0,养成消耗调参!$E$10*INDEX(养成消耗调参!$M$18:$M$27,ROUNDUP(养成消耗调参!$B$132/5,0)))</x:f>
        <x:v>11400</x:v>
      </x:c>
      <x:c r="I132" s="25"/>
      <x:c r="J132" s="25"/>
      <x:c r="K132" s="25"/>
      <x:c r="L132" s="25"/>
      <x:c r="M132" s="25"/>
      <x:c r="N132" s="25"/>
      <x:c r="O132" s="25"/>
      <x:c r="P132" s="25"/>
    </x:row>
    <x:row r="133" ht="23.100000381469727" customHeight="1">
      <x:c r="A133" s="19"/>
      <x:c r="B133" s="25">
        <x:v>41</x:v>
      </x:c>
      <x:c r="C133" s="40" t="n">
        <x:f>IF(B133&gt;=英雄升级调参!$C$9,0,INDEX($K$18:$K$27,ROUNDUP(B133/$H$12,0)))</x:f>
        <x:v>22</x:v>
      </x:c>
      <x:c r="D133" s="40" t="n">
        <x:f>IF(B133&gt;=英雄升级调参!$C$9,0,INDEX($L$18:$L$27,ROUNDUP(B133/$H$12,0)))</x:f>
        <x:v>22</x:v>
      </x:c>
      <x:c r="E133" s="40" t="n">
        <x:f>IF(B133&gt;=英雄升级调参!$C$9,0,INDEX($M$18:$M$27,ROUNDUP(B133/$H$12,0)))</x:f>
        <x:v>22</x:v>
      </x:c>
      <x:c r="F133" s="40" t="n">
        <x:f>IF(养成消耗调参!$B$133&gt;=英雄升级调参!$C$9,0,养成消耗调参!$C$10*INDEX(养成消耗调参!$K$18:$K$27,ROUNDUP(养成消耗调参!$B$133/5,0)))</x:f>
        <x:v>6600</x:v>
      </x:c>
      <x:c r="G133" s="40" t="n">
        <x:f>IF(养成消耗调参!$B$133&gt;=英雄升级调参!$C$9,0,养成消耗调参!$D$10*INDEX(养成消耗调参!$L$18:$L$27,ROUNDUP(养成消耗调参!$B$133/5,0)))</x:f>
        <x:v>9900</x:v>
      </x:c>
      <x:c r="H133" s="40" t="n">
        <x:f>IF(养成消耗调参!$B$133&gt;=英雄升级调参!$C$9,0,养成消耗调参!$E$10*INDEX(养成消耗调参!$M$18:$M$27,ROUNDUP(养成消耗调参!$B$133/5,0)))</x:f>
        <x:v>13200</x:v>
      </x:c>
      <x:c r="I133" s="25"/>
      <x:c r="J133" s="25"/>
      <x:c r="K133" s="25"/>
      <x:c r="L133" s="25"/>
      <x:c r="M133" s="25"/>
      <x:c r="N133" s="25"/>
      <x:c r="O133" s="25"/>
      <x:c r="P133" s="25"/>
    </x:row>
    <x:row r="134" ht="23.100000381469727" customHeight="1">
      <x:c r="A134" s="19"/>
      <x:c r="B134" s="25">
        <x:v>42</x:v>
      </x:c>
      <x:c r="C134" s="40" t="n">
        <x:f>IF(B134&gt;=英雄升级调参!$C$9,0,INDEX($K$18:$K$27,ROUNDUP(B134/$H$12,0)))</x:f>
        <x:v>22</x:v>
      </x:c>
      <x:c r="D134" s="40" t="n">
        <x:f>IF(B134&gt;=英雄升级调参!$C$9,0,INDEX($L$18:$L$27,ROUNDUP(B134/$H$12,0)))</x:f>
        <x:v>22</x:v>
      </x:c>
      <x:c r="E134" s="40" t="n">
        <x:f>IF(B134&gt;=英雄升级调参!$C$9,0,INDEX($M$18:$M$27,ROUNDUP(B134/$H$12,0)))</x:f>
        <x:v>22</x:v>
      </x:c>
      <x:c r="F134" s="40" t="n">
        <x:f>IF(养成消耗调参!$B$134&gt;=英雄升级调参!$C$9,0,养成消耗调参!$C$10*INDEX(养成消耗调参!$K$18:$K$27,ROUNDUP(养成消耗调参!$B$134/5,0)))</x:f>
        <x:v>6600</x:v>
      </x:c>
      <x:c r="G134" s="40" t="n">
        <x:f>IF(养成消耗调参!$B$134&gt;=英雄升级调参!$C$9,0,养成消耗调参!$D$10*INDEX(养成消耗调参!$L$18:$L$27,ROUNDUP(养成消耗调参!$B$134/5,0)))</x:f>
        <x:v>9900</x:v>
      </x:c>
      <x:c r="H134" s="40" t="n">
        <x:f>IF(养成消耗调参!$B$134&gt;=英雄升级调参!$C$9,0,养成消耗调参!$E$10*INDEX(养成消耗调参!$M$18:$M$27,ROUNDUP(养成消耗调参!$B$134/5,0)))</x:f>
        <x:v>13200</x:v>
      </x:c>
      <x:c r="I134" s="25"/>
      <x:c r="J134" s="25"/>
      <x:c r="K134" s="25"/>
      <x:c r="L134" s="25"/>
      <x:c r="M134" s="25"/>
      <x:c r="N134" s="25"/>
      <x:c r="O134" s="25"/>
      <x:c r="P134" s="25"/>
    </x:row>
    <x:row r="135" ht="23.100000381469727" customHeight="1">
      <x:c r="A135" s="19"/>
      <x:c r="B135" s="25">
        <x:v>43</x:v>
      </x:c>
      <x:c r="C135" s="40" t="n">
        <x:f>IF(B135&gt;=英雄升级调参!$C$9,0,INDEX($K$18:$K$27,ROUNDUP(B135/$H$12,0)))</x:f>
        <x:v>22</x:v>
      </x:c>
      <x:c r="D135" s="40" t="n">
        <x:f>IF(B135&gt;=英雄升级调参!$C$9,0,INDEX($L$18:$L$27,ROUNDUP(B135/$H$12,0)))</x:f>
        <x:v>22</x:v>
      </x:c>
      <x:c r="E135" s="40" t="n">
        <x:f>IF(B135&gt;=英雄升级调参!$C$9,0,INDEX($M$18:$M$27,ROUNDUP(B135/$H$12,0)))</x:f>
        <x:v>22</x:v>
      </x:c>
      <x:c r="F135" s="40" t="n">
        <x:f>IF(养成消耗调参!$B$135&gt;=英雄升级调参!$C$9,0,养成消耗调参!$C$10*INDEX(养成消耗调参!$K$18:$K$27,ROUNDUP(养成消耗调参!$B$135/5,0)))</x:f>
        <x:v>6600</x:v>
      </x:c>
      <x:c r="G135" s="40" t="n">
        <x:f>IF(养成消耗调参!$B$135&gt;=英雄升级调参!$C$9,0,养成消耗调参!$D$10*INDEX(养成消耗调参!$L$18:$L$27,ROUNDUP(养成消耗调参!$B$135/5,0)))</x:f>
        <x:v>9900</x:v>
      </x:c>
      <x:c r="H135" s="40" t="n">
        <x:f>IF(养成消耗调参!$B$135&gt;=英雄升级调参!$C$9,0,养成消耗调参!$E$10*INDEX(养成消耗调参!$M$18:$M$27,ROUNDUP(养成消耗调参!$B$135/5,0)))</x:f>
        <x:v>13200</x:v>
      </x:c>
      <x:c r="I135" s="25"/>
      <x:c r="J135" s="25"/>
      <x:c r="K135" s="25"/>
      <x:c r="L135" s="25"/>
      <x:c r="M135" s="25"/>
      <x:c r="N135" s="25"/>
      <x:c r="O135" s="25"/>
      <x:c r="P135" s="25"/>
    </x:row>
    <x:row r="136" ht="23.100000381469727" customHeight="1">
      <x:c r="A136" s="19"/>
      <x:c r="B136" s="25">
        <x:v>44</x:v>
      </x:c>
      <x:c r="C136" s="40" t="n">
        <x:f>IF(B136&gt;=英雄升级调参!$C$9,0,INDEX($K$18:$K$27,ROUNDUP(B136/$H$12,0)))</x:f>
        <x:v>22</x:v>
      </x:c>
      <x:c r="D136" s="40" t="n">
        <x:f>IF(B136&gt;=英雄升级调参!$C$9,0,INDEX($L$18:$L$27,ROUNDUP(B136/$H$12,0)))</x:f>
        <x:v>22</x:v>
      </x:c>
      <x:c r="E136" s="40" t="n">
        <x:f>IF(B136&gt;=英雄升级调参!$C$9,0,INDEX($M$18:$M$27,ROUNDUP(B136/$H$12,0)))</x:f>
        <x:v>22</x:v>
      </x:c>
      <x:c r="F136" s="40" t="n">
        <x:f>IF(养成消耗调参!$B$136&gt;=英雄升级调参!$C$9,0,养成消耗调参!$C$10*INDEX(养成消耗调参!$K$18:$K$27,ROUNDUP(养成消耗调参!$B$136/5,0)))</x:f>
        <x:v>6600</x:v>
      </x:c>
      <x:c r="G136" s="40" t="n">
        <x:f>IF(养成消耗调参!$B$136&gt;=英雄升级调参!$C$9,0,养成消耗调参!$D$10*INDEX(养成消耗调参!$L$18:$L$27,ROUNDUP(养成消耗调参!$B$136/5,0)))</x:f>
        <x:v>9900</x:v>
      </x:c>
      <x:c r="H136" s="40" t="n">
        <x:f>IF(养成消耗调参!$B$136&gt;=英雄升级调参!$C$9,0,养成消耗调参!$E$10*INDEX(养成消耗调参!$M$18:$M$27,ROUNDUP(养成消耗调参!$B$136/5,0)))</x:f>
        <x:v>13200</x:v>
      </x:c>
      <x:c r="I136" s="25"/>
      <x:c r="J136" s="25"/>
      <x:c r="K136" s="25"/>
      <x:c r="L136" s="25"/>
      <x:c r="M136" s="25"/>
      <x:c r="N136" s="25"/>
      <x:c r="O136" s="25"/>
      <x:c r="P136" s="25"/>
    </x:row>
    <x:row r="137" ht="23.100000381469727" customHeight="1">
      <x:c r="A137" s="19"/>
      <x:c r="B137" s="25">
        <x:v>45</x:v>
      </x:c>
      <x:c r="C137" s="40" t="n">
        <x:f>IF(B137&gt;=英雄升级调参!$C$9,0,INDEX($K$18:$K$27,ROUNDUP(B137/$H$12,0)))</x:f>
        <x:v>22</x:v>
      </x:c>
      <x:c r="D137" s="40" t="n">
        <x:f>IF(B137&gt;=英雄升级调参!$C$9,0,INDEX($L$18:$L$27,ROUNDUP(B137/$H$12,0)))</x:f>
        <x:v>22</x:v>
      </x:c>
      <x:c r="E137" s="40" t="n">
        <x:f>IF(B137&gt;=英雄升级调参!$C$9,0,INDEX($M$18:$M$27,ROUNDUP(B137/$H$12,0)))</x:f>
        <x:v>22</x:v>
      </x:c>
      <x:c r="F137" s="40" t="n">
        <x:f>IF(养成消耗调参!$B$137&gt;=英雄升级调参!$C$9,0,养成消耗调参!$C$10*INDEX(养成消耗调参!$K$18:$K$27,ROUNDUP(养成消耗调参!$B$137/5,0)))</x:f>
        <x:v>6600</x:v>
      </x:c>
      <x:c r="G137" s="40" t="n">
        <x:f>IF(养成消耗调参!$B$137&gt;=英雄升级调参!$C$9,0,养成消耗调参!$D$10*INDEX(养成消耗调参!$L$18:$L$27,ROUNDUP(养成消耗调参!$B$137/5,0)))</x:f>
        <x:v>9900</x:v>
      </x:c>
      <x:c r="H137" s="40" t="n">
        <x:f>IF(养成消耗调参!$B$137&gt;=英雄升级调参!$C$9,0,养成消耗调参!$E$10*INDEX(养成消耗调参!$M$18:$M$27,ROUNDUP(养成消耗调参!$B$137/5,0)))</x:f>
        <x:v>13200</x:v>
      </x:c>
      <x:c r="I137" s="25"/>
      <x:c r="J137" s="25"/>
      <x:c r="K137" s="25"/>
      <x:c r="L137" s="25"/>
      <x:c r="M137" s="25"/>
      <x:c r="N137" s="25"/>
      <x:c r="O137" s="25"/>
      <x:c r="P137" s="25"/>
    </x:row>
    <x:row r="138" ht="23.100000381469727" customHeight="1">
      <x:c r="A138" s="19"/>
      <x:c r="B138" s="25">
        <x:v>46</x:v>
      </x:c>
      <x:c r="C138" s="40" t="n">
        <x:f>IF(B138&gt;=英雄升级调参!$C$9,0,INDEX($K$18:$K$27,ROUNDUP(B138/$H$12,0)))</x:f>
        <x:v>25</x:v>
      </x:c>
      <x:c r="D138" s="40" t="n">
        <x:f>IF(B138&gt;=英雄升级调参!$C$9,0,INDEX($L$18:$L$27,ROUNDUP(B138/$H$12,0)))</x:f>
        <x:v>25</x:v>
      </x:c>
      <x:c r="E138" s="40" t="n">
        <x:f>IF(B138&gt;=英雄升级调参!$C$9,0,INDEX($M$18:$M$27,ROUNDUP(B138/$H$12,0)))</x:f>
        <x:v>25</x:v>
      </x:c>
      <x:c r="F138" s="40" t="n">
        <x:f>IF(养成消耗调参!$B$138&gt;=英雄升级调参!$C$9,0,养成消耗调参!$C$10*INDEX(养成消耗调参!$K$18:$K$27,ROUNDUP(养成消耗调参!$B$138/5,0)))</x:f>
        <x:v>7500</x:v>
      </x:c>
      <x:c r="G138" s="40" t="n">
        <x:f>IF(养成消耗调参!$B$138&gt;=英雄升级调参!$C$9,0,养成消耗调参!$D$10*INDEX(养成消耗调参!$L$18:$L$27,ROUNDUP(养成消耗调参!$B$138/5,0)))</x:f>
        <x:v>11250</x:v>
      </x:c>
      <x:c r="H138" s="40" t="n">
        <x:f>IF(养成消耗调参!$B$138&gt;=英雄升级调参!$C$9,0,养成消耗调参!$E$10*INDEX(养成消耗调参!$M$18:$M$27,ROUNDUP(养成消耗调参!$B$138/5,0)))</x:f>
        <x:v>15000</x:v>
      </x:c>
      <x:c r="I138" s="25"/>
      <x:c r="J138" s="25"/>
      <x:c r="K138" s="25"/>
      <x:c r="L138" s="25"/>
      <x:c r="M138" s="25"/>
      <x:c r="N138" s="25"/>
      <x:c r="O138" s="25"/>
      <x:c r="P138" s="25"/>
    </x:row>
    <x:row r="139" ht="23.100000381469727" customHeight="1">
      <x:c r="A139" s="19"/>
      <x:c r="B139" s="25">
        <x:v>47</x:v>
      </x:c>
      <x:c r="C139" s="40" t="n">
        <x:f>IF(B139&gt;=英雄升级调参!$C$9,0,INDEX($K$18:$K$27,ROUNDUP(B139/$H$12,0)))</x:f>
        <x:v>25</x:v>
      </x:c>
      <x:c r="D139" s="40" t="n">
        <x:f>IF(B139&gt;=英雄升级调参!$C$9,0,INDEX($L$18:$L$27,ROUNDUP(B139/$H$12,0)))</x:f>
        <x:v>25</x:v>
      </x:c>
      <x:c r="E139" s="40" t="n">
        <x:f>IF(B139&gt;=英雄升级调参!$C$9,0,INDEX($M$18:$M$27,ROUNDUP(B139/$H$12,0)))</x:f>
        <x:v>25</x:v>
      </x:c>
      <x:c r="F139" s="40" t="n">
        <x:f>IF(养成消耗调参!$B$139&gt;=英雄升级调参!$C$9,0,养成消耗调参!$C$10*INDEX(养成消耗调参!$K$18:$K$27,ROUNDUP(养成消耗调参!$B$139/5,0)))</x:f>
        <x:v>7500</x:v>
      </x:c>
      <x:c r="G139" s="40" t="n">
        <x:f>IF(养成消耗调参!$B$139&gt;=英雄升级调参!$C$9,0,养成消耗调参!$D$10*INDEX(养成消耗调参!$L$18:$L$27,ROUNDUP(养成消耗调参!$B$139/5,0)))</x:f>
        <x:v>11250</x:v>
      </x:c>
      <x:c r="H139" s="40" t="n">
        <x:f>IF(养成消耗调参!$B$139&gt;=英雄升级调参!$C$9,0,养成消耗调参!$E$10*INDEX(养成消耗调参!$M$18:$M$27,ROUNDUP(养成消耗调参!$B$139/5,0)))</x:f>
        <x:v>15000</x:v>
      </x:c>
      <x:c r="I139" s="25"/>
      <x:c r="J139" s="25"/>
      <x:c r="K139" s="25"/>
      <x:c r="L139" s="25"/>
      <x:c r="M139" s="25"/>
      <x:c r="N139" s="25"/>
      <x:c r="O139" s="25"/>
      <x:c r="P139" s="25"/>
    </x:row>
    <x:row r="140" ht="23.100000381469727" customHeight="1">
      <x:c r="A140" s="19"/>
      <x:c r="B140" s="25">
        <x:v>48</x:v>
      </x:c>
      <x:c r="C140" s="40" t="n">
        <x:f>IF(B140&gt;=英雄升级调参!$C$9,0,INDEX($K$18:$K$27,ROUNDUP(B140/$H$12,0)))</x:f>
        <x:v>25</x:v>
      </x:c>
      <x:c r="D140" s="40" t="n">
        <x:f>IF(B140&gt;=英雄升级调参!$C$9,0,INDEX($L$18:$L$27,ROUNDUP(B140/$H$12,0)))</x:f>
        <x:v>25</x:v>
      </x:c>
      <x:c r="E140" s="40" t="n">
        <x:f>IF(B140&gt;=英雄升级调参!$C$9,0,INDEX($M$18:$M$27,ROUNDUP(B140/$H$12,0)))</x:f>
        <x:v>25</x:v>
      </x:c>
      <x:c r="F140" s="40" t="n">
        <x:f>IF(养成消耗调参!$B$140&gt;=英雄升级调参!$C$9,0,养成消耗调参!$C$10*INDEX(养成消耗调参!$K$18:$K$27,ROUNDUP(养成消耗调参!$B$140/5,0)))</x:f>
        <x:v>7500</x:v>
      </x:c>
      <x:c r="G140" s="40" t="n">
        <x:f>IF(养成消耗调参!$B$140&gt;=英雄升级调参!$C$9,0,养成消耗调参!$D$10*INDEX(养成消耗调参!$L$18:$L$27,ROUNDUP(养成消耗调参!$B$140/5,0)))</x:f>
        <x:v>11250</x:v>
      </x:c>
      <x:c r="H140" s="40" t="n">
        <x:f>IF(养成消耗调参!$B$140&gt;=英雄升级调参!$C$9,0,养成消耗调参!$E$10*INDEX(养成消耗调参!$M$18:$M$27,ROUNDUP(养成消耗调参!$B$140/5,0)))</x:f>
        <x:v>15000</x:v>
      </x:c>
      <x:c r="I140" s="25"/>
      <x:c r="J140" s="25"/>
      <x:c r="K140" s="25"/>
      <x:c r="L140" s="25"/>
      <x:c r="M140" s="25"/>
      <x:c r="N140" s="25"/>
      <x:c r="O140" s="25"/>
      <x:c r="P140" s="25"/>
    </x:row>
    <x:row r="141" ht="23.100000381469727" customHeight="1">
      <x:c r="A141" s="19"/>
      <x:c r="B141" s="25">
        <x:v>49</x:v>
      </x:c>
      <x:c r="C141" s="40" t="n">
        <x:f>IF(B141&gt;=英雄升级调参!$C$9,0,INDEX($K$18:$K$27,ROUNDUP(B141/$H$12,0)))</x:f>
        <x:v>25</x:v>
      </x:c>
      <x:c r="D141" s="40" t="n">
        <x:f>IF(B141&gt;=英雄升级调参!$C$9,0,INDEX($L$18:$L$27,ROUNDUP(B141/$H$12,0)))</x:f>
        <x:v>25</x:v>
      </x:c>
      <x:c r="E141" s="40" t="n">
        <x:f>IF(B141&gt;=英雄升级调参!$C$9,0,INDEX($M$18:$M$27,ROUNDUP(B141/$H$12,0)))</x:f>
        <x:v>25</x:v>
      </x:c>
      <x:c r="F141" s="40" t="n">
        <x:f>IF(养成消耗调参!$B$141&gt;=英雄升级调参!$C$9,0,养成消耗调参!$C$10*INDEX(养成消耗调参!$K$18:$K$27,ROUNDUP(养成消耗调参!$B$141/5,0)))</x:f>
        <x:v>7500</x:v>
      </x:c>
      <x:c r="G141" s="40" t="n">
        <x:f>IF(养成消耗调参!$B$141&gt;=英雄升级调参!$C$9,0,养成消耗调参!$D$10*INDEX(养成消耗调参!$L$18:$L$27,ROUNDUP(养成消耗调参!$B$141/5,0)))</x:f>
        <x:v>11250</x:v>
      </x:c>
      <x:c r="H141" s="40" t="n">
        <x:f>IF(养成消耗调参!$B$141&gt;=英雄升级调参!$C$9,0,养成消耗调参!$E$10*INDEX(养成消耗调参!$M$18:$M$27,ROUNDUP(养成消耗调参!$B$141/5,0)))</x:f>
        <x:v>15000</x:v>
      </x:c>
      <x:c r="I141" s="25"/>
      <x:c r="J141" s="25"/>
      <x:c r="K141" s="25"/>
      <x:c r="L141" s="25"/>
      <x:c r="M141" s="25"/>
      <x:c r="N141" s="25"/>
      <x:c r="O141" s="25"/>
      <x:c r="P141" s="25"/>
    </x:row>
    <x:row r="142" ht="23.100000381469727" customHeight="1">
      <x:c r="A142" s="19"/>
      <x:c r="B142" s="25">
        <x:v>50</x:v>
      </x:c>
      <x:c r="C142" s="40" t="n">
        <x:f>IF(B142&gt;=英雄升级调参!$C$9,0,INDEX($K$18:$K$27,ROUNDUP(B142/$H$12,0)))</x:f>
        <x:v>0</x:v>
      </x:c>
      <x:c r="D142" s="40" t="n">
        <x:f>IF(B142&gt;=英雄升级调参!$C$9,0,INDEX($L$18:$L$27,ROUNDUP(B142/$H$12,0)))</x:f>
        <x:v>0</x:v>
      </x:c>
      <x:c r="E142" s="40" t="n">
        <x:f>IF(B142&gt;=英雄升级调参!$C$9,0,INDEX($M$18:$M$27,ROUNDUP(B142/$H$12,0)))</x:f>
        <x:v>0</x:v>
      </x:c>
      <x:c r="F142" s="40" t="n">
        <x:f>IF(养成消耗调参!$B$142&gt;=英雄升级调参!$C$9,0,养成消耗调参!$C$10*INDEX(养成消耗调参!$K$18:$K$27,ROUNDUP(养成消耗调参!$B$142/5,0)))</x:f>
        <x:v>0</x:v>
      </x:c>
      <x:c r="G142" s="40" t="n">
        <x:f>IF(养成消耗调参!$B$142&gt;=英雄升级调参!$C$9,0,养成消耗调参!$D$10*INDEX(养成消耗调参!$L$18:$L$27,ROUNDUP(养成消耗调参!$B$142/5,0)))</x:f>
        <x:v>0</x:v>
      </x:c>
      <x:c r="H142" s="40" t="n">
        <x:f>IF(养成消耗调参!$B$142&gt;=英雄升级调参!$C$9,0,养成消耗调参!$E$10*INDEX(养成消耗调参!$M$18:$M$27,ROUNDUP(养成消耗调参!$B$142/5,0)))</x:f>
        <x:v>0</x:v>
      </x:c>
      <x:c r="I142" s="25"/>
      <x:c r="J142" s="25"/>
      <x:c r="K142" s="25"/>
      <x:c r="L142" s="25"/>
      <x:c r="M142" s="25"/>
      <x:c r="N142" s="25"/>
      <x:c r="O142" s="25"/>
      <x:c r="P142" s="25"/>
    </x:row>
    <x:row r="143" ht="23.100000381469727" customHeight="1">
      <x:c r="A143" s="19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</x:row>
    <x:row r="144" ht="23.100000381469727" customHeight="1">
      <x:c r="A144" s="19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</x:row>
    <x:row r="145" ht="23.100000381469727" customHeight="1">
      <x:c r="A145" s="19"/>
      <x:c r="B145" s="35" t="s">
        <x:v>465</x:v>
      </x:c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</x:row>
    <x:row r="146" ht="23.100000381469727" customHeight="1">
      <x:c r="A146" s="19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</x:row>
    <x:row r="147" ht="42" customHeight="1">
      <x:c r="A147" s="19"/>
      <x:c r="B147" s="42" t="s">
        <x:v>466</x:v>
      </x:c>
      <x:c r="C147" s="43" t="s">
        <x:v>441</x:v>
      </x:c>
      <x:c r="D147" s="43" t="s">
        <x:v>442</x:v>
      </x:c>
      <x:c r="E147" s="43" t="s">
        <x:v>443</x:v>
      </x:c>
      <x:c r="F147" s="43" t="s">
        <x:v>462</x:v>
      </x:c>
      <x:c r="G147" s="43" t="s">
        <x:v>463</x:v>
      </x:c>
      <x:c r="H147" s="43" t="s">
        <x:v>464</x:v>
      </x:c>
      <x:c r="I147" s="43" t="s">
        <x:v>412</x:v>
      </x:c>
      <x:c r="J147" s="43" t="s">
        <x:v>467</x:v>
      </x:c>
      <x:c r="K147" s="43" t="s">
        <x:v>468</x:v>
      </x:c>
      <x:c r="L147" s="43" t="s">
        <x:v>469</x:v>
      </x:c>
      <x:c r="M147" s="43" t="s">
        <x:v>470</x:v>
      </x:c>
      <x:c r="N147" s="43" t="s">
        <x:v>471</x:v>
      </x:c>
      <x:c r="O147" s="43" t="s">
        <x:v>472</x:v>
      </x:c>
      <x:c r="P147" s="44" t="s">
        <x:v>51</x:v>
      </x:c>
    </x:row>
    <x:row r="148" ht="23.100000381469727" customHeight="1">
      <x:c r="A148" s="19"/>
      <x:c r="B148" s="25">
        <x:v>1</x:v>
      </x:c>
      <x:c r="C148" s="40" t="n">
        <x:f>0</x:f>
        <x:v>0</x:v>
      </x:c>
      <x:c r="D148" s="40" t="n">
        <x:f>0</x:f>
        <x:v>0</x:v>
      </x:c>
      <x:c r="E148" s="40" t="n">
        <x:f>0</x:f>
        <x:v>0</x:v>
      </x:c>
      <x:c r="F148" s="40" t="n">
        <x:f>0</x:f>
        <x:v>0</x:v>
      </x:c>
      <x:c r="G148" s="40" t="n">
        <x:f>0</x:f>
        <x:v>0</x:v>
      </x:c>
      <x:c r="H148" s="40" t="n">
        <x:f>0</x:f>
        <x:v>0</x:v>
      </x:c>
      <x:c r="I148" s="40" t="n">
        <x:f t="shared" ref="I148:I179" si="2">IF(MOD(B148,$H$12)=0,$H$9+(B148/$H$12-1)*$H$10,0)</x:f>
        <x:v>0</x:v>
      </x:c>
      <x:c r="J148" s="40" t="n">
        <x:f>SUM(养成消耗调参!$C$148:$C$148)</x:f>
        <x:v>0</x:v>
      </x:c>
      <x:c r="K148" s="40" t="n">
        <x:f>SUM(养成消耗调参!$D$148:$D$148)</x:f>
        <x:v>0</x:v>
      </x:c>
      <x:c r="L148" s="40" t="n">
        <x:f>SUM(养成消耗调参!$E$148:$E$148)</x:f>
        <x:v>0</x:v>
      </x:c>
      <x:c r="M148" s="40" t="n">
        <x:f>SUM(养成消耗调参!$F$148:$F$148)</x:f>
        <x:v>0</x:v>
      </x:c>
      <x:c r="N148" s="40" t="n">
        <x:f>SUM(养成消耗调参!$G$148:$G$148)</x:f>
        <x:v>0</x:v>
      </x:c>
      <x:c r="O148" s="40" t="n">
        <x:f>SUM(养成消耗调参!$H$148:$H$148)</x:f>
        <x:v>0</x:v>
      </x:c>
      <x:c r="P148" s="40" t="n">
        <x:f>SUM(养成消耗调参!$I$148:$I$148)</x:f>
        <x:v>0</x:v>
      </x:c>
    </x:row>
    <x:row r="149" ht="23.100000381469727" customHeight="1">
      <x:c r="A149" s="19"/>
      <x:c r="B149" s="25">
        <x:v>2</x:v>
      </x:c>
      <x:c r="C149" s="40" t="n">
        <x:f>养成消耗调参!$F$18</x:f>
        <x:v>24</x:v>
      </x:c>
      <x:c r="D149" s="40" t="n">
        <x:f>养成消耗调参!$G$18</x:f>
        <x:v>36</x:v>
      </x:c>
      <x:c r="E149" s="40" t="n">
        <x:f>养成消耗调参!$H$18</x:f>
        <x:v>48</x:v>
      </x:c>
      <x:c r="F149" s="40" t="n">
        <x:f>养成消耗调参!$F$93</x:f>
        <x:v>300</x:v>
      </x:c>
      <x:c r="G149" s="40" t="n">
        <x:f>养成消耗调参!$G$93</x:f>
        <x:v>450</x:v>
      </x:c>
      <x:c r="H149" s="40" t="n">
        <x:f>养成消耗调参!$H$93</x:f>
        <x:v>600</x:v>
      </x:c>
      <x:c r="I149" s="40">
        <x:f t="shared" si="2"/>
        <x:v>0</x:v>
      </x:c>
      <x:c r="J149" s="40" t="n">
        <x:f>SUM(养成消耗调参!$C$148:$C$149)</x:f>
        <x:v>24</x:v>
      </x:c>
      <x:c r="K149" s="40" t="n">
        <x:f>SUM(养成消耗调参!$D$148:$D$149)</x:f>
        <x:v>36</x:v>
      </x:c>
      <x:c r="L149" s="40" t="n">
        <x:f>SUM(养成消耗调参!$E$148:$E$149)</x:f>
        <x:v>48</x:v>
      </x:c>
      <x:c r="M149" s="40" t="n">
        <x:f>SUM(养成消耗调参!$F$148:$F$149)</x:f>
        <x:v>300</x:v>
      </x:c>
      <x:c r="N149" s="40" t="n">
        <x:f>SUM(养成消耗调参!$G$148:$G$149)</x:f>
        <x:v>450</x:v>
      </x:c>
      <x:c r="O149" s="40" t="n">
        <x:f>SUM(养成消耗调参!$H$148:$H$149)</x:f>
        <x:v>600</x:v>
      </x:c>
      <x:c r="P149" s="40" t="n">
        <x:f>SUM(养成消耗调参!$I$148:$I$149)</x:f>
        <x:v>0</x:v>
      </x:c>
    </x:row>
    <x:row r="150" ht="23.100000381469727" customHeight="1">
      <x:c r="A150" s="19"/>
      <x:c r="B150" s="25">
        <x:v>3</x:v>
      </x:c>
      <x:c r="C150" s="40" t="n">
        <x:f>养成消耗调参!$F$19</x:f>
        <x:v>24</x:v>
      </x:c>
      <x:c r="D150" s="40" t="n">
        <x:f>养成消耗调参!$G$19</x:f>
        <x:v>36</x:v>
      </x:c>
      <x:c r="E150" s="40" t="n">
        <x:f>养成消耗调参!$H$19</x:f>
        <x:v>48</x:v>
      </x:c>
      <x:c r="F150" s="40" t="n">
        <x:f>养成消耗调参!$F$94</x:f>
        <x:v>300</x:v>
      </x:c>
      <x:c r="G150" s="40" t="n">
        <x:f>养成消耗调参!$G$94</x:f>
        <x:v>450</x:v>
      </x:c>
      <x:c r="H150" s="40" t="n">
        <x:f>养成消耗调参!$H$94</x:f>
        <x:v>600</x:v>
      </x:c>
      <x:c r="I150" s="40">
        <x:f t="shared" si="2"/>
        <x:v>0</x:v>
      </x:c>
      <x:c r="J150" s="40" t="n">
        <x:f>SUM(养成消耗调参!$C$148:$C$150)</x:f>
        <x:v>48</x:v>
      </x:c>
      <x:c r="K150" s="40" t="n">
        <x:f>SUM(养成消耗调参!$D$148:$D$150)</x:f>
        <x:v>72</x:v>
      </x:c>
      <x:c r="L150" s="40" t="n">
        <x:f>SUM(养成消耗调参!$E$148:$E$150)</x:f>
        <x:v>96</x:v>
      </x:c>
      <x:c r="M150" s="40" t="n">
        <x:f>SUM(养成消耗调参!$F$148:$F$150)</x:f>
        <x:v>600</x:v>
      </x:c>
      <x:c r="N150" s="40" t="n">
        <x:f>SUM(养成消耗调参!$G$148:$G$150)</x:f>
        <x:v>900</x:v>
      </x:c>
      <x:c r="O150" s="40" t="n">
        <x:f>SUM(养成消耗调参!$H$148:$H$150)</x:f>
        <x:v>1200</x:v>
      </x:c>
      <x:c r="P150" s="40" t="n">
        <x:f>SUM(养成消耗调参!$I$148:$I$150)</x:f>
        <x:v>0</x:v>
      </x:c>
    </x:row>
    <x:row r="151" ht="23.100000381469727" customHeight="1">
      <x:c r="A151" s="19"/>
      <x:c r="B151" s="25">
        <x:v>4</x:v>
      </x:c>
      <x:c r="C151" s="40" t="n">
        <x:f>养成消耗调参!$F$20</x:f>
        <x:v>48</x:v>
      </x:c>
      <x:c r="D151" s="40" t="n">
        <x:f>养成消耗调参!$G$20</x:f>
        <x:v>72</x:v>
      </x:c>
      <x:c r="E151" s="40" t="n">
        <x:f>养成消耗调参!$H$20</x:f>
        <x:v>96</x:v>
      </x:c>
      <x:c r="F151" s="40" t="n">
        <x:f>养成消耗调参!$F$95</x:f>
        <x:v>300</x:v>
      </x:c>
      <x:c r="G151" s="40" t="n">
        <x:f>养成消耗调参!$G$95</x:f>
        <x:v>450</x:v>
      </x:c>
      <x:c r="H151" s="40" t="n">
        <x:f>养成消耗调参!$H$95</x:f>
        <x:v>600</x:v>
      </x:c>
      <x:c r="I151" s="40">
        <x:f t="shared" si="2"/>
        <x:v>0</x:v>
      </x:c>
      <x:c r="J151" s="40" t="n">
        <x:f>SUM(养成消耗调参!$C$148:$C$151)</x:f>
        <x:v>96</x:v>
      </x:c>
      <x:c r="K151" s="40" t="n">
        <x:f>SUM(养成消耗调参!$D$148:$D$151)</x:f>
        <x:v>144</x:v>
      </x:c>
      <x:c r="L151" s="40" t="n">
        <x:f>SUM(养成消耗调参!$E$148:$E$151)</x:f>
        <x:v>192</x:v>
      </x:c>
      <x:c r="M151" s="40" t="n">
        <x:f>SUM(养成消耗调参!$F$148:$F$151)</x:f>
        <x:v>900</x:v>
      </x:c>
      <x:c r="N151" s="40" t="n">
        <x:f>SUM(养成消耗调参!$G$148:$G$151)</x:f>
        <x:v>1350</x:v>
      </x:c>
      <x:c r="O151" s="40" t="n">
        <x:f>SUM(养成消耗调参!$H$148:$H$151)</x:f>
        <x:v>1800</x:v>
      </x:c>
      <x:c r="P151" s="40" t="n">
        <x:f>SUM(养成消耗调参!$I$148:$I$151)</x:f>
        <x:v>0</x:v>
      </x:c>
    </x:row>
    <x:row r="152" ht="23.100000381469727" customHeight="1">
      <x:c r="A152" s="19"/>
      <x:c r="B152" s="25">
        <x:v>5</x:v>
      </x:c>
      <x:c r="C152" s="40" t="n">
        <x:f>养成消耗调参!$F$21</x:f>
        <x:v>72</x:v>
      </x:c>
      <x:c r="D152" s="40" t="n">
        <x:f>养成消耗调参!$G$21</x:f>
        <x:v>72</x:v>
      </x:c>
      <x:c r="E152" s="40" t="n">
        <x:f>养成消耗调参!$H$21</x:f>
        <x:v>96</x:v>
      </x:c>
      <x:c r="F152" s="40" t="n">
        <x:f>养成消耗调参!$F$96</x:f>
        <x:v>300</x:v>
      </x:c>
      <x:c r="G152" s="40" t="n">
        <x:f>养成消耗调参!$G$96</x:f>
        <x:v>450</x:v>
      </x:c>
      <x:c r="H152" s="40" t="n">
        <x:f>养成消耗调参!$H$96</x:f>
        <x:v>600</x:v>
      </x:c>
      <x:c r="I152" s="40">
        <x:f t="shared" si="2"/>
        <x:v>10</x:v>
      </x:c>
      <x:c r="J152" s="40" t="n">
        <x:f>SUM(养成消耗调参!$C$148:$C$152)</x:f>
        <x:v>168</x:v>
      </x:c>
      <x:c r="K152" s="40" t="n">
        <x:f>SUM(养成消耗调参!$D$148:$D$152)</x:f>
        <x:v>216</x:v>
      </x:c>
      <x:c r="L152" s="40" t="n">
        <x:f>SUM(养成消耗调参!$E$148:$E$152)</x:f>
        <x:v>288</x:v>
      </x:c>
      <x:c r="M152" s="40" t="n">
        <x:f>SUM(养成消耗调参!$F$148:$F$152)</x:f>
        <x:v>1200</x:v>
      </x:c>
      <x:c r="N152" s="40" t="n">
        <x:f>SUM(养成消耗调参!$G$148:$G$152)</x:f>
        <x:v>1800</x:v>
      </x:c>
      <x:c r="O152" s="40" t="n">
        <x:f>SUM(养成消耗调参!$H$148:$H$152)</x:f>
        <x:v>2400</x:v>
      </x:c>
      <x:c r="P152" s="40" t="n">
        <x:f>SUM(养成消耗调参!$I$148:$I$152)</x:f>
        <x:v>10</x:v>
      </x:c>
    </x:row>
    <x:row r="153" ht="23.100000381469727" customHeight="1">
      <x:c r="A153" s="19"/>
      <x:c r="B153" s="25">
        <x:v>6</x:v>
      </x:c>
      <x:c r="C153" s="40" t="n">
        <x:f>养成消耗调参!$F$22</x:f>
        <x:v>120</x:v>
      </x:c>
      <x:c r="D153" s="40" t="n">
        <x:f>养成消耗调参!$G$22</x:f>
        <x:v>144</x:v>
      </x:c>
      <x:c r="E153" s="40" t="n">
        <x:f>养成消耗调参!$H$22</x:f>
        <x:v>192</x:v>
      </x:c>
      <x:c r="F153" s="40" t="n">
        <x:f>养成消耗调参!$F$97</x:f>
        <x:v>300</x:v>
      </x:c>
      <x:c r="G153" s="40" t="n">
        <x:f>养成消耗调参!$G$97</x:f>
        <x:v>450</x:v>
      </x:c>
      <x:c r="H153" s="40" t="n">
        <x:f>养成消耗调参!$H$97</x:f>
        <x:v>600</x:v>
      </x:c>
      <x:c r="I153" s="40">
        <x:f t="shared" si="2"/>
        <x:v>0</x:v>
      </x:c>
      <x:c r="J153" s="40" t="n">
        <x:f>SUM(养成消耗调参!$C$148:$C$153)</x:f>
        <x:v>288</x:v>
      </x:c>
      <x:c r="K153" s="40" t="n">
        <x:f>SUM(养成消耗调参!$D$148:$D$153)</x:f>
        <x:v>360</x:v>
      </x:c>
      <x:c r="L153" s="40" t="n">
        <x:f>SUM(养成消耗调参!$E$148:$E$153)</x:f>
        <x:v>480</x:v>
      </x:c>
      <x:c r="M153" s="40" t="n">
        <x:f>SUM(养成消耗调参!$F$148:$F$153)</x:f>
        <x:v>1500</x:v>
      </x:c>
      <x:c r="N153" s="40" t="n">
        <x:f>SUM(养成消耗调参!$G$148:$G$153)</x:f>
        <x:v>2250</x:v>
      </x:c>
      <x:c r="O153" s="40" t="n">
        <x:f>SUM(养成消耗调参!$H$148:$H$153)</x:f>
        <x:v>3000</x:v>
      </x:c>
      <x:c r="P153" s="40" t="n">
        <x:f>SUM(养成消耗调参!$I$148:$I$153)</x:f>
        <x:v>10</x:v>
      </x:c>
    </x:row>
    <x:row r="154" ht="23.100000381469727" customHeight="1">
      <x:c r="A154" s="19"/>
      <x:c r="B154" s="25">
        <x:v>7</x:v>
      </x:c>
      <x:c r="C154" s="40" t="n">
        <x:f>养成消耗调参!$F$23</x:f>
        <x:v>120</x:v>
      </x:c>
      <x:c r="D154" s="40" t="n">
        <x:f>养成消耗调参!$G$23</x:f>
        <x:v>144</x:v>
      </x:c>
      <x:c r="E154" s="40" t="n">
        <x:f>养成消耗调参!$H$23</x:f>
        <x:v>192</x:v>
      </x:c>
      <x:c r="F154" s="40" t="n">
        <x:f>养成消耗调参!$F$98</x:f>
        <x:v>900</x:v>
      </x:c>
      <x:c r="G154" s="40" t="n">
        <x:f>养成消耗调参!$G$98</x:f>
        <x:v>1350</x:v>
      </x:c>
      <x:c r="H154" s="40" t="n">
        <x:f>养成消耗调参!$H$98</x:f>
        <x:v>1800</x:v>
      </x:c>
      <x:c r="I154" s="40">
        <x:f t="shared" si="2"/>
        <x:v>0</x:v>
      </x:c>
      <x:c r="J154" s="40" t="n">
        <x:f>SUM(养成消耗调参!$C$148:$C$154)</x:f>
        <x:v>408</x:v>
      </x:c>
      <x:c r="K154" s="40" t="n">
        <x:f>SUM(养成消耗调参!$D$148:$D$154)</x:f>
        <x:v>504</x:v>
      </x:c>
      <x:c r="L154" s="40" t="n">
        <x:f>SUM(养成消耗调参!$E$148:$E$154)</x:f>
        <x:v>672</x:v>
      </x:c>
      <x:c r="M154" s="40" t="n">
        <x:f>SUM(养成消耗调参!$F$148:$F$154)</x:f>
        <x:v>2400</x:v>
      </x:c>
      <x:c r="N154" s="40" t="n">
        <x:f>SUM(养成消耗调参!$G$148:$G$154)</x:f>
        <x:v>3600</x:v>
      </x:c>
      <x:c r="O154" s="40" t="n">
        <x:f>SUM(养成消耗调参!$H$148:$H$154)</x:f>
        <x:v>4800</x:v>
      </x:c>
      <x:c r="P154" s="40" t="n">
        <x:f>SUM(养成消耗调参!$I$148:$I$154)</x:f>
        <x:v>10</x:v>
      </x:c>
    </x:row>
    <x:row r="155" ht="23.100000381469727" customHeight="1">
      <x:c r="A155" s="19"/>
      <x:c r="B155" s="25">
        <x:v>8</x:v>
      </x:c>
      <x:c r="C155" s="40" t="n">
        <x:f>养成消耗调参!$F$24</x:f>
        <x:v>144</x:v>
      </x:c>
      <x:c r="D155" s="40" t="n">
        <x:f>养成消耗调参!$G$24</x:f>
        <x:v>216</x:v>
      </x:c>
      <x:c r="E155" s="40" t="n">
        <x:f>养成消耗调参!$H$24</x:f>
        <x:v>288</x:v>
      </x:c>
      <x:c r="F155" s="40" t="n">
        <x:f>养成消耗调参!$F$99</x:f>
        <x:v>900</x:v>
      </x:c>
      <x:c r="G155" s="40" t="n">
        <x:f>养成消耗调参!$G$99</x:f>
        <x:v>1350</x:v>
      </x:c>
      <x:c r="H155" s="40" t="n">
        <x:f>养成消耗调参!$H$99</x:f>
        <x:v>1800</x:v>
      </x:c>
      <x:c r="I155" s="40">
        <x:f t="shared" si="2"/>
        <x:v>0</x:v>
      </x:c>
      <x:c r="J155" s="40" t="n">
        <x:f>SUM(养成消耗调参!$C$148:$C$155)</x:f>
        <x:v>552</x:v>
      </x:c>
      <x:c r="K155" s="40" t="n">
        <x:f>SUM(养成消耗调参!$D$148:$D$155)</x:f>
        <x:v>720</x:v>
      </x:c>
      <x:c r="L155" s="40" t="n">
        <x:f>SUM(养成消耗调参!$E$148:$E$155)</x:f>
        <x:v>960</x:v>
      </x:c>
      <x:c r="M155" s="40" t="n">
        <x:f>SUM(养成消耗调参!$F$148:$F$155)</x:f>
        <x:v>3300</x:v>
      </x:c>
      <x:c r="N155" s="40" t="n">
        <x:f>SUM(养成消耗调参!$G$148:$G$155)</x:f>
        <x:v>4950</x:v>
      </x:c>
      <x:c r="O155" s="40" t="n">
        <x:f>SUM(养成消耗调参!$H$148:$H$155)</x:f>
        <x:v>6600</x:v>
      </x:c>
      <x:c r="P155" s="40" t="n">
        <x:f>SUM(养成消耗调参!$I$148:$I$155)</x:f>
        <x:v>10</x:v>
      </x:c>
    </x:row>
    <x:row r="156" ht="23.100000381469727" customHeight="1">
      <x:c r="A156" s="19"/>
      <x:c r="B156" s="25">
        <x:v>9</x:v>
      </x:c>
      <x:c r="C156" s="40" t="n">
        <x:f>养成消耗调参!$F$25</x:f>
        <x:v>144</x:v>
      </x:c>
      <x:c r="D156" s="40" t="n">
        <x:f>养成消耗调参!$G$25</x:f>
        <x:v>216</x:v>
      </x:c>
      <x:c r="E156" s="40" t="n">
        <x:f>养成消耗调参!$H$25</x:f>
        <x:v>288</x:v>
      </x:c>
      <x:c r="F156" s="40" t="n">
        <x:f>养成消耗调参!$F$100</x:f>
        <x:v>900</x:v>
      </x:c>
      <x:c r="G156" s="40" t="n">
        <x:f>养成消耗调参!$G$100</x:f>
        <x:v>1350</x:v>
      </x:c>
      <x:c r="H156" s="40" t="n">
        <x:f>养成消耗调参!$H$100</x:f>
        <x:v>1800</x:v>
      </x:c>
      <x:c r="I156" s="40">
        <x:f t="shared" si="2"/>
        <x:v>0</x:v>
      </x:c>
      <x:c r="J156" s="40" t="n">
        <x:f>SUM(养成消耗调参!$C$148:$C$156)</x:f>
        <x:v>696</x:v>
      </x:c>
      <x:c r="K156" s="40" t="n">
        <x:f>SUM(养成消耗调参!$D$148:$D$156)</x:f>
        <x:v>936</x:v>
      </x:c>
      <x:c r="L156" s="40" t="n">
        <x:f>SUM(养成消耗调参!$E$148:$E$156)</x:f>
        <x:v>1248</x:v>
      </x:c>
      <x:c r="M156" s="40" t="n">
        <x:f>SUM(养成消耗调参!$F$148:$F$156)</x:f>
        <x:v>4200</x:v>
      </x:c>
      <x:c r="N156" s="40" t="n">
        <x:f>SUM(养成消耗调参!$G$148:$G$156)</x:f>
        <x:v>6300</x:v>
      </x:c>
      <x:c r="O156" s="40" t="n">
        <x:f>SUM(养成消耗调参!$H$148:$H$156)</x:f>
        <x:v>8400</x:v>
      </x:c>
      <x:c r="P156" s="40" t="n">
        <x:f>SUM(养成消耗调参!$I$148:$I$156)</x:f>
        <x:v>10</x:v>
      </x:c>
    </x:row>
    <x:row r="157" ht="23.100000381469727" customHeight="1">
      <x:c r="A157" s="19"/>
      <x:c r="B157" s="25">
        <x:v>10</x:v>
      </x:c>
      <x:c r="C157" s="40" t="n">
        <x:f>养成消耗调参!$F$26</x:f>
        <x:v>216</x:v>
      </x:c>
      <x:c r="D157" s="40" t="n">
        <x:f>养成消耗调参!$G$26</x:f>
        <x:v>288</x:v>
      </x:c>
      <x:c r="E157" s="40" t="n">
        <x:f>养成消耗调参!$H$26</x:f>
        <x:v>384</x:v>
      </x:c>
      <x:c r="F157" s="40" t="n">
        <x:f>养成消耗调参!$F$101</x:f>
        <x:v>900</x:v>
      </x:c>
      <x:c r="G157" s="40" t="n">
        <x:f>养成消耗调参!$G$101</x:f>
        <x:v>1350</x:v>
      </x:c>
      <x:c r="H157" s="40" t="n">
        <x:f>养成消耗调参!$H$101</x:f>
        <x:v>1800</x:v>
      </x:c>
      <x:c r="I157" s="40">
        <x:f t="shared" si="2"/>
        <x:v>30</x:v>
      </x:c>
      <x:c r="J157" s="40" t="n">
        <x:f>SUM(养成消耗调参!$C$148:$C$157)</x:f>
        <x:v>912</x:v>
      </x:c>
      <x:c r="K157" s="40" t="n">
        <x:f>SUM(养成消耗调参!$D$148:$D$157)</x:f>
        <x:v>1224</x:v>
      </x:c>
      <x:c r="L157" s="40" t="n">
        <x:f>SUM(养成消耗调参!$E$148:$E$157)</x:f>
        <x:v>1632</x:v>
      </x:c>
      <x:c r="M157" s="40" t="n">
        <x:f>SUM(养成消耗调参!$F$148:$F$157)</x:f>
        <x:v>5100</x:v>
      </x:c>
      <x:c r="N157" s="40" t="n">
        <x:f>SUM(养成消耗调参!$G$148:$G$157)</x:f>
        <x:v>7650</x:v>
      </x:c>
      <x:c r="O157" s="40" t="n">
        <x:f>SUM(养成消耗调参!$H$148:$H$157)</x:f>
        <x:v>10200</x:v>
      </x:c>
      <x:c r="P157" s="40" t="n">
        <x:f>SUM(养成消耗调参!$I$148:$I$157)</x:f>
        <x:v>40</x:v>
      </x:c>
    </x:row>
    <x:row r="158" ht="23.100000381469727" customHeight="1">
      <x:c r="A158" s="19"/>
      <x:c r="B158" s="25">
        <x:v>11</x:v>
      </x:c>
      <x:c r="C158" s="40" t="n">
        <x:f>养成消耗调参!$F$27</x:f>
        <x:v>216</x:v>
      </x:c>
      <x:c r="D158" s="40" t="n">
        <x:f>养成消耗调参!$G$27</x:f>
        <x:v>288</x:v>
      </x:c>
      <x:c r="E158" s="40" t="n">
        <x:f>养成消耗调参!$H$27</x:f>
        <x:v>384</x:v>
      </x:c>
      <x:c r="F158" s="40" t="n">
        <x:f>养成消耗调参!$F$102</x:f>
        <x:v>900</x:v>
      </x:c>
      <x:c r="G158" s="40" t="n">
        <x:f>养成消耗调参!$G$102</x:f>
        <x:v>1350</x:v>
      </x:c>
      <x:c r="H158" s="40" t="n">
        <x:f>养成消耗调参!$H$102</x:f>
        <x:v>1800</x:v>
      </x:c>
      <x:c r="I158" s="40">
        <x:f t="shared" si="2"/>
        <x:v>0</x:v>
      </x:c>
      <x:c r="J158" s="40" t="n">
        <x:f>SUM(养成消耗调参!$C$148:$C$158)</x:f>
        <x:v>1128</x:v>
      </x:c>
      <x:c r="K158" s="40" t="n">
        <x:f>SUM(养成消耗调参!$D$148:$D$158)</x:f>
        <x:v>1512</x:v>
      </x:c>
      <x:c r="L158" s="40" t="n">
        <x:f>SUM(养成消耗调参!$E$148:$E$158)</x:f>
        <x:v>2016</x:v>
      </x:c>
      <x:c r="M158" s="40" t="n">
        <x:f>SUM(养成消耗调参!$F$148:$F$158)</x:f>
        <x:v>6000</x:v>
      </x:c>
      <x:c r="N158" s="40" t="n">
        <x:f>SUM(养成消耗调参!$G$148:$G$158)</x:f>
        <x:v>9000</x:v>
      </x:c>
      <x:c r="O158" s="40" t="n">
        <x:f>SUM(养成消耗调参!$H$148:$H$158)</x:f>
        <x:v>12000</x:v>
      </x:c>
      <x:c r="P158" s="40" t="n">
        <x:f>SUM(养成消耗调参!$I$148:$I$158)</x:f>
        <x:v>40</x:v>
      </x:c>
    </x:row>
    <x:row r="159" ht="23.100000381469727" customHeight="1">
      <x:c r="A159" s="19"/>
      <x:c r="B159" s="25">
        <x:v>12</x:v>
      </x:c>
      <x:c r="C159" s="40" t="n">
        <x:f>养成消耗调参!$F$28</x:f>
        <x:v>240</x:v>
      </x:c>
      <x:c r="D159" s="40" t="n">
        <x:f>养成消耗调参!$G$28</x:f>
        <x:v>360</x:v>
      </x:c>
      <x:c r="E159" s="40" t="n">
        <x:f>养成消耗调参!$H$28</x:f>
        <x:v>480</x:v>
      </x:c>
      <x:c r="F159" s="40" t="n">
        <x:f>养成消耗调参!$F$103</x:f>
        <x:v>1500</x:v>
      </x:c>
      <x:c r="G159" s="40" t="n">
        <x:f>养成消耗调参!$G$103</x:f>
        <x:v>2250</x:v>
      </x:c>
      <x:c r="H159" s="40" t="n">
        <x:f>养成消耗调参!$H$103</x:f>
        <x:v>3000</x:v>
      </x:c>
      <x:c r="I159" s="40">
        <x:f t="shared" si="2"/>
        <x:v>0</x:v>
      </x:c>
      <x:c r="J159" s="40" t="n">
        <x:f>SUM(养成消耗调参!$C$148:$C$159)</x:f>
        <x:v>1368</x:v>
      </x:c>
      <x:c r="K159" s="40" t="n">
        <x:f>SUM(养成消耗调参!$D$148:$D$159)</x:f>
        <x:v>1872</x:v>
      </x:c>
      <x:c r="L159" s="40" t="n">
        <x:f>SUM(养成消耗调参!$E$148:$E$159)</x:f>
        <x:v>2496</x:v>
      </x:c>
      <x:c r="M159" s="40" t="n">
        <x:f>SUM(养成消耗调参!$F$148:$F$159)</x:f>
        <x:v>7500</x:v>
      </x:c>
      <x:c r="N159" s="40" t="n">
        <x:f>SUM(养成消耗调参!$G$148:$G$159)</x:f>
        <x:v>11250</x:v>
      </x:c>
      <x:c r="O159" s="40" t="n">
        <x:f>SUM(养成消耗调参!$H$148:$H$159)</x:f>
        <x:v>15000</x:v>
      </x:c>
      <x:c r="P159" s="40" t="n">
        <x:f>SUM(养成消耗调参!$I$148:$I$159)</x:f>
        <x:v>40</x:v>
      </x:c>
    </x:row>
    <x:row r="160" ht="23.100000381469727" customHeight="1">
      <x:c r="A160" s="19"/>
      <x:c r="B160" s="25">
        <x:v>13</x:v>
      </x:c>
      <x:c r="C160" s="40" t="n">
        <x:f>养成消耗调参!$F$29</x:f>
        <x:v>240</x:v>
      </x:c>
      <x:c r="D160" s="40" t="n">
        <x:f>养成消耗调参!$G$29</x:f>
        <x:v>360</x:v>
      </x:c>
      <x:c r="E160" s="40" t="n">
        <x:f>养成消耗调参!$H$29</x:f>
        <x:v>480</x:v>
      </x:c>
      <x:c r="F160" s="40" t="n">
        <x:f>养成消耗调参!$F$104</x:f>
        <x:v>1500</x:v>
      </x:c>
      <x:c r="G160" s="40" t="n">
        <x:f>养成消耗调参!$G$104</x:f>
        <x:v>2250</x:v>
      </x:c>
      <x:c r="H160" s="40" t="n">
        <x:f>养成消耗调参!$H$104</x:f>
        <x:v>3000</x:v>
      </x:c>
      <x:c r="I160" s="40">
        <x:f t="shared" si="2"/>
        <x:v>0</x:v>
      </x:c>
      <x:c r="J160" s="40" t="n">
        <x:f>SUM(养成消耗调参!$C$148:$C$160)</x:f>
        <x:v>1608</x:v>
      </x:c>
      <x:c r="K160" s="40" t="n">
        <x:f>SUM(养成消耗调参!$D$148:$D$160)</x:f>
        <x:v>2232</x:v>
      </x:c>
      <x:c r="L160" s="40" t="n">
        <x:f>SUM(养成消耗调参!$E$148:$E$160)</x:f>
        <x:v>2976</x:v>
      </x:c>
      <x:c r="M160" s="40" t="n">
        <x:f>SUM(养成消耗调参!$F$148:$F$160)</x:f>
        <x:v>9000</x:v>
      </x:c>
      <x:c r="N160" s="40" t="n">
        <x:f>SUM(养成消耗调参!$G$148:$G$160)</x:f>
        <x:v>13500</x:v>
      </x:c>
      <x:c r="O160" s="40" t="n">
        <x:f>SUM(养成消耗调参!$H$148:$H$160)</x:f>
        <x:v>18000</x:v>
      </x:c>
      <x:c r="P160" s="40" t="n">
        <x:f>SUM(养成消耗调参!$I$148:$I$160)</x:f>
        <x:v>40</x:v>
      </x:c>
    </x:row>
    <x:row r="161" ht="23.100000381469727" customHeight="1">
      <x:c r="A161" s="19"/>
      <x:c r="B161" s="25">
        <x:v>14</x:v>
      </x:c>
      <x:c r="C161" s="40" t="n">
        <x:f>养成消耗调参!$F$30</x:f>
        <x:v>288</x:v>
      </x:c>
      <x:c r="D161" s="40" t="n">
        <x:f>养成消耗调参!$G$30</x:f>
        <x:v>432</x:v>
      </x:c>
      <x:c r="E161" s="40" t="n">
        <x:f>养成消耗调参!$H$30</x:f>
        <x:v>576</x:v>
      </x:c>
      <x:c r="F161" s="40" t="n">
        <x:f>养成消耗调参!$F$105</x:f>
        <x:v>1500</x:v>
      </x:c>
      <x:c r="G161" s="40" t="n">
        <x:f>养成消耗调参!$G$105</x:f>
        <x:v>2250</x:v>
      </x:c>
      <x:c r="H161" s="40" t="n">
        <x:f>养成消耗调参!$H$105</x:f>
        <x:v>3000</x:v>
      </x:c>
      <x:c r="I161" s="40">
        <x:f t="shared" si="2"/>
        <x:v>0</x:v>
      </x:c>
      <x:c r="J161" s="40" t="n">
        <x:f>SUM(养成消耗调参!$C$148:$C$161)</x:f>
        <x:v>1896</x:v>
      </x:c>
      <x:c r="K161" s="40" t="n">
        <x:f>SUM(养成消耗调参!$D$148:$D$161)</x:f>
        <x:v>2664</x:v>
      </x:c>
      <x:c r="L161" s="40" t="n">
        <x:f>SUM(养成消耗调参!$E$148:$E$161)</x:f>
        <x:v>3552</x:v>
      </x:c>
      <x:c r="M161" s="40" t="n">
        <x:f>SUM(养成消耗调参!$F$148:$F$161)</x:f>
        <x:v>10500</x:v>
      </x:c>
      <x:c r="N161" s="40" t="n">
        <x:f>SUM(养成消耗调参!$G$148:$G$161)</x:f>
        <x:v>15750</x:v>
      </x:c>
      <x:c r="O161" s="40" t="n">
        <x:f>SUM(养成消耗调参!$H$148:$H$161)</x:f>
        <x:v>21000</x:v>
      </x:c>
      <x:c r="P161" s="40" t="n">
        <x:f>SUM(养成消耗调参!$I$148:$I$161)</x:f>
        <x:v>40</x:v>
      </x:c>
    </x:row>
    <x:row r="162" ht="23.100000381469727" customHeight="1">
      <x:c r="A162" s="19"/>
      <x:c r="B162" s="25">
        <x:v>15</x:v>
      </x:c>
      <x:c r="C162" s="40" t="n">
        <x:f>养成消耗调参!$F$31</x:f>
        <x:v>288</x:v>
      </x:c>
      <x:c r="D162" s="40" t="n">
        <x:f>养成消耗调参!$G$31</x:f>
        <x:v>432</x:v>
      </x:c>
      <x:c r="E162" s="40" t="n">
        <x:f>养成消耗调参!$H$31</x:f>
        <x:v>576</x:v>
      </x:c>
      <x:c r="F162" s="40" t="n">
        <x:f>养成消耗调参!$F$106</x:f>
        <x:v>1500</x:v>
      </x:c>
      <x:c r="G162" s="40" t="n">
        <x:f>养成消耗调参!$G$106</x:f>
        <x:v>2250</x:v>
      </x:c>
      <x:c r="H162" s="40" t="n">
        <x:f>养成消耗调参!$H$106</x:f>
        <x:v>3000</x:v>
      </x:c>
      <x:c r="I162" s="40">
        <x:f t="shared" si="2"/>
        <x:v>50</x:v>
      </x:c>
      <x:c r="J162" s="40" t="n">
        <x:f>SUM(养成消耗调参!$C$148:$C$162)</x:f>
        <x:v>2184</x:v>
      </x:c>
      <x:c r="K162" s="40" t="n">
        <x:f>SUM(养成消耗调参!$D$148:$D$162)</x:f>
        <x:v>3096</x:v>
      </x:c>
      <x:c r="L162" s="40" t="n">
        <x:f>SUM(养成消耗调参!$E$148:$E$162)</x:f>
        <x:v>4128</x:v>
      </x:c>
      <x:c r="M162" s="40" t="n">
        <x:f>SUM(养成消耗调参!$F$148:$F$162)</x:f>
        <x:v>12000</x:v>
      </x:c>
      <x:c r="N162" s="40" t="n">
        <x:f>SUM(养成消耗调参!$G$148:$G$162)</x:f>
        <x:v>18000</x:v>
      </x:c>
      <x:c r="O162" s="40" t="n">
        <x:f>SUM(养成消耗调参!$H$148:$H$162)</x:f>
        <x:v>24000</x:v>
      </x:c>
      <x:c r="P162" s="40" t="n">
        <x:f>SUM(养成消耗调参!$I$148:$I$162)</x:f>
        <x:v>90</x:v>
      </x:c>
    </x:row>
    <x:row r="163" ht="23.100000381469727" customHeight="1">
      <x:c r="A163" s="19"/>
      <x:c r="B163" s="25">
        <x:v>16</x:v>
      </x:c>
      <x:c r="C163" s="40" t="n">
        <x:f>养成消耗调参!$F$32</x:f>
        <x:v>336</x:v>
      </x:c>
      <x:c r="D163" s="40" t="n">
        <x:f>养成消耗调参!$G$32</x:f>
        <x:v>504</x:v>
      </x:c>
      <x:c r="E163" s="40" t="n">
        <x:f>养成消耗调参!$H$32</x:f>
        <x:v>672</x:v>
      </x:c>
      <x:c r="F163" s="40" t="n">
        <x:f>养成消耗调参!$F$107</x:f>
        <x:v>1500</x:v>
      </x:c>
      <x:c r="G163" s="40" t="n">
        <x:f>养成消耗调参!$G$107</x:f>
        <x:v>2250</x:v>
      </x:c>
      <x:c r="H163" s="40" t="n">
        <x:f>养成消耗调参!$H$107</x:f>
        <x:v>3000</x:v>
      </x:c>
      <x:c r="I163" s="40">
        <x:f t="shared" si="2"/>
        <x:v>0</x:v>
      </x:c>
      <x:c r="J163" s="40" t="n">
        <x:f>SUM(养成消耗调参!$C$148:$C$163)</x:f>
        <x:v>2520</x:v>
      </x:c>
      <x:c r="K163" s="40" t="n">
        <x:f>SUM(养成消耗调参!$D$148:$D$163)</x:f>
        <x:v>3600</x:v>
      </x:c>
      <x:c r="L163" s="40" t="n">
        <x:f>SUM(养成消耗调参!$E$148:$E$163)</x:f>
        <x:v>4800</x:v>
      </x:c>
      <x:c r="M163" s="40" t="n">
        <x:f>SUM(养成消耗调参!$F$148:$F$163)</x:f>
        <x:v>13500</x:v>
      </x:c>
      <x:c r="N163" s="40" t="n">
        <x:f>SUM(养成消耗调参!$G$148:$G$163)</x:f>
        <x:v>20250</x:v>
      </x:c>
      <x:c r="O163" s="40" t="n">
        <x:f>SUM(养成消耗调参!$H$148:$H$163)</x:f>
        <x:v>27000</x:v>
      </x:c>
      <x:c r="P163" s="40" t="n">
        <x:f>SUM(养成消耗调参!$I$148:$I$163)</x:f>
        <x:v>90</x:v>
      </x:c>
    </x:row>
    <x:row r="164" ht="23.100000381469727" customHeight="1">
      <x:c r="A164" s="19"/>
      <x:c r="B164" s="25">
        <x:v>17</x:v>
      </x:c>
      <x:c r="C164" s="40" t="n">
        <x:f>养成消耗调参!$F$33</x:f>
        <x:v>336</x:v>
      </x:c>
      <x:c r="D164" s="40" t="n">
        <x:f>养成消耗调参!$G$33</x:f>
        <x:v>504</x:v>
      </x:c>
      <x:c r="E164" s="40" t="n">
        <x:f>养成消耗调参!$H$33</x:f>
        <x:v>672</x:v>
      </x:c>
      <x:c r="F164" s="40" t="n">
        <x:f>养成消耗调参!$F$108</x:f>
        <x:v>2100</x:v>
      </x:c>
      <x:c r="G164" s="40" t="n">
        <x:f>养成消耗调参!$G$108</x:f>
        <x:v>3150</x:v>
      </x:c>
      <x:c r="H164" s="40" t="n">
        <x:f>养成消耗调参!$H$108</x:f>
        <x:v>4200</x:v>
      </x:c>
      <x:c r="I164" s="40">
        <x:f t="shared" si="2"/>
        <x:v>0</x:v>
      </x:c>
      <x:c r="J164" s="40" t="n">
        <x:f>SUM(养成消耗调参!$C$148:$C$164)</x:f>
        <x:v>2856</x:v>
      </x:c>
      <x:c r="K164" s="40" t="n">
        <x:f>SUM(养成消耗调参!$D$148:$D$164)</x:f>
        <x:v>4104</x:v>
      </x:c>
      <x:c r="L164" s="40" t="n">
        <x:f>SUM(养成消耗调参!$E$148:$E$164)</x:f>
        <x:v>5472</x:v>
      </x:c>
      <x:c r="M164" s="40" t="n">
        <x:f>SUM(养成消耗调参!$F$148:$F$164)</x:f>
        <x:v>15600</x:v>
      </x:c>
      <x:c r="N164" s="40" t="n">
        <x:f>SUM(养成消耗调参!$G$148:$G$164)</x:f>
        <x:v>23400</x:v>
      </x:c>
      <x:c r="O164" s="40" t="n">
        <x:f>SUM(养成消耗调参!$H$148:$H$164)</x:f>
        <x:v>31200</x:v>
      </x:c>
      <x:c r="P164" s="40" t="n">
        <x:f>SUM(养成消耗调参!$I$148:$I$164)</x:f>
        <x:v>90</x:v>
      </x:c>
    </x:row>
    <x:row r="165" ht="23.100000381469727" customHeight="1">
      <x:c r="A165" s="19"/>
      <x:c r="B165" s="25">
        <x:v>18</x:v>
      </x:c>
      <x:c r="C165" s="40" t="n">
        <x:f>养成消耗调参!$F$34</x:f>
        <x:v>384</x:v>
      </x:c>
      <x:c r="D165" s="40" t="n">
        <x:f>养成消耗调参!$G$34</x:f>
        <x:v>576</x:v>
      </x:c>
      <x:c r="E165" s="40" t="n">
        <x:f>养成消耗调参!$H$34</x:f>
        <x:v>768</x:v>
      </x:c>
      <x:c r="F165" s="40" t="n">
        <x:f>养成消耗调参!$F$109</x:f>
        <x:v>2100</x:v>
      </x:c>
      <x:c r="G165" s="40" t="n">
        <x:f>养成消耗调参!$G$109</x:f>
        <x:v>3150</x:v>
      </x:c>
      <x:c r="H165" s="40" t="n">
        <x:f>养成消耗调参!$H$109</x:f>
        <x:v>4200</x:v>
      </x:c>
      <x:c r="I165" s="40">
        <x:f t="shared" si="2"/>
        <x:v>0</x:v>
      </x:c>
      <x:c r="J165" s="40" t="n">
        <x:f>SUM(养成消耗调参!$C$148:$C$165)</x:f>
        <x:v>3240</x:v>
      </x:c>
      <x:c r="K165" s="40" t="n">
        <x:f>SUM(养成消耗调参!$D$148:$D$165)</x:f>
        <x:v>4680</x:v>
      </x:c>
      <x:c r="L165" s="40" t="n">
        <x:f>SUM(养成消耗调参!$E$148:$E$165)</x:f>
        <x:v>6240</x:v>
      </x:c>
      <x:c r="M165" s="40" t="n">
        <x:f>SUM(养成消耗调参!$F$148:$F$165)</x:f>
        <x:v>17700</x:v>
      </x:c>
      <x:c r="N165" s="40" t="n">
        <x:f>SUM(养成消耗调参!$G$148:$G$165)</x:f>
        <x:v>26550</x:v>
      </x:c>
      <x:c r="O165" s="40" t="n">
        <x:f>SUM(养成消耗调参!$H$148:$H$165)</x:f>
        <x:v>35400</x:v>
      </x:c>
      <x:c r="P165" s="40" t="n">
        <x:f>SUM(养成消耗调参!$I$148:$I$165)</x:f>
        <x:v>90</x:v>
      </x:c>
    </x:row>
    <x:row r="166" ht="23.100000381469727" customHeight="1">
      <x:c r="A166" s="19"/>
      <x:c r="B166" s="25">
        <x:v>19</x:v>
      </x:c>
      <x:c r="C166" s="40" t="n">
        <x:f>养成消耗调参!$F$35</x:f>
        <x:v>384</x:v>
      </x:c>
      <x:c r="D166" s="40" t="n">
        <x:f>养成消耗调参!$G$35</x:f>
        <x:v>576</x:v>
      </x:c>
      <x:c r="E166" s="40" t="n">
        <x:f>养成消耗调参!$H$35</x:f>
        <x:v>768</x:v>
      </x:c>
      <x:c r="F166" s="40" t="n">
        <x:f>养成消耗调参!$F$110</x:f>
        <x:v>2100</x:v>
      </x:c>
      <x:c r="G166" s="40" t="n">
        <x:f>养成消耗调参!$G$110</x:f>
        <x:v>3150</x:v>
      </x:c>
      <x:c r="H166" s="40" t="n">
        <x:f>养成消耗调参!$H$110</x:f>
        <x:v>4200</x:v>
      </x:c>
      <x:c r="I166" s="40">
        <x:f t="shared" si="2"/>
        <x:v>0</x:v>
      </x:c>
      <x:c r="J166" s="40" t="n">
        <x:f>SUM(养成消耗调参!$C$148:$C$166)</x:f>
        <x:v>3624</x:v>
      </x:c>
      <x:c r="K166" s="40" t="n">
        <x:f>SUM(养成消耗调参!$D$148:$D$166)</x:f>
        <x:v>5256</x:v>
      </x:c>
      <x:c r="L166" s="40" t="n">
        <x:f>SUM(养成消耗调参!$E$148:$E$166)</x:f>
        <x:v>7008</x:v>
      </x:c>
      <x:c r="M166" s="40" t="n">
        <x:f>SUM(养成消耗调参!$F$148:$F$166)</x:f>
        <x:v>19800</x:v>
      </x:c>
      <x:c r="N166" s="40" t="n">
        <x:f>SUM(养成消耗调参!$G$148:$G$166)</x:f>
        <x:v>29700</x:v>
      </x:c>
      <x:c r="O166" s="40" t="n">
        <x:f>SUM(养成消耗调参!$H$148:$H$166)</x:f>
        <x:v>39600</x:v>
      </x:c>
      <x:c r="P166" s="40" t="n">
        <x:f>SUM(养成消耗调参!$I$148:$I$166)</x:f>
        <x:v>90</x:v>
      </x:c>
    </x:row>
    <x:row r="167" ht="23.100000381469727" customHeight="1">
      <x:c r="A167" s="19"/>
      <x:c r="B167" s="25">
        <x:v>20</x:v>
      </x:c>
      <x:c r="C167" s="40" t="n">
        <x:f>养成消耗调参!$F$36</x:f>
        <x:v>432</x:v>
      </x:c>
      <x:c r="D167" s="40" t="n">
        <x:f>养成消耗调参!$G$36</x:f>
        <x:v>648</x:v>
      </x:c>
      <x:c r="E167" s="40" t="n">
        <x:f>养成消耗调参!$H$36</x:f>
        <x:v>864</x:v>
      </x:c>
      <x:c r="F167" s="40" t="n">
        <x:f>养成消耗调参!$F$111</x:f>
        <x:v>2100</x:v>
      </x:c>
      <x:c r="G167" s="40" t="n">
        <x:f>养成消耗调参!$G$111</x:f>
        <x:v>3150</x:v>
      </x:c>
      <x:c r="H167" s="40" t="n">
        <x:f>养成消耗调参!$H$111</x:f>
        <x:v>4200</x:v>
      </x:c>
      <x:c r="I167" s="40">
        <x:f t="shared" si="2"/>
        <x:v>70</x:v>
      </x:c>
      <x:c r="J167" s="40" t="n">
        <x:f>SUM(养成消耗调参!$C$148:$C$167)</x:f>
        <x:v>4056</x:v>
      </x:c>
      <x:c r="K167" s="40" t="n">
        <x:f>SUM(养成消耗调参!$D$148:$D$167)</x:f>
        <x:v>5904</x:v>
      </x:c>
      <x:c r="L167" s="40" t="n">
        <x:f>SUM(养成消耗调参!$E$148:$E$167)</x:f>
        <x:v>7872</x:v>
      </x:c>
      <x:c r="M167" s="40" t="n">
        <x:f>SUM(养成消耗调参!$F$148:$F$167)</x:f>
        <x:v>21900</x:v>
      </x:c>
      <x:c r="N167" s="40" t="n">
        <x:f>SUM(养成消耗调参!$G$148:$G$167)</x:f>
        <x:v>32850</x:v>
      </x:c>
      <x:c r="O167" s="40" t="n">
        <x:f>SUM(养成消耗调参!$H$148:$H$167)</x:f>
        <x:v>43800</x:v>
      </x:c>
      <x:c r="P167" s="40" t="n">
        <x:f>SUM(养成消耗调参!$I$148:$I$167)</x:f>
        <x:v>160</x:v>
      </x:c>
    </x:row>
    <x:row r="168" ht="23.100000381469727" customHeight="1">
      <x:c r="A168" s="19"/>
      <x:c r="B168" s="25">
        <x:v>21</x:v>
      </x:c>
      <x:c r="C168" s="40" t="n">
        <x:f>养成消耗调参!$F$37</x:f>
        <x:v>432</x:v>
      </x:c>
      <x:c r="D168" s="40" t="n">
        <x:f>养成消耗调参!$G$37</x:f>
        <x:v>648</x:v>
      </x:c>
      <x:c r="E168" s="40" t="n">
        <x:f>养成消耗调参!$H$37</x:f>
        <x:v>864</x:v>
      </x:c>
      <x:c r="F168" s="40" t="n">
        <x:f>养成消耗调参!$F$112</x:f>
        <x:v>2100</x:v>
      </x:c>
      <x:c r="G168" s="40" t="n">
        <x:f>养成消耗调参!$G$112</x:f>
        <x:v>3150</x:v>
      </x:c>
      <x:c r="H168" s="40" t="n">
        <x:f>养成消耗调参!$H$112</x:f>
        <x:v>4200</x:v>
      </x:c>
      <x:c r="I168" s="40">
        <x:f t="shared" si="2"/>
        <x:v>0</x:v>
      </x:c>
      <x:c r="J168" s="40" t="n">
        <x:f>SUM(养成消耗调参!$C$148:$C$168)</x:f>
        <x:v>4488</x:v>
      </x:c>
      <x:c r="K168" s="40" t="n">
        <x:f>SUM(养成消耗调参!$D$148:$D$168)</x:f>
        <x:v>6552</x:v>
      </x:c>
      <x:c r="L168" s="40" t="n">
        <x:f>SUM(养成消耗调参!$E$148:$E$168)</x:f>
        <x:v>8736</x:v>
      </x:c>
      <x:c r="M168" s="40" t="n">
        <x:f>SUM(养成消耗调参!$F$148:$F$168)</x:f>
        <x:v>24000</x:v>
      </x:c>
      <x:c r="N168" s="40" t="n">
        <x:f>SUM(养成消耗调参!$G$148:$G$168)</x:f>
        <x:v>36000</x:v>
      </x:c>
      <x:c r="O168" s="40" t="n">
        <x:f>SUM(养成消耗调参!$H$148:$H$168)</x:f>
        <x:v>48000</x:v>
      </x:c>
      <x:c r="P168" s="40" t="n">
        <x:f>SUM(养成消耗调参!$I$148:$I$168)</x:f>
        <x:v>160</x:v>
      </x:c>
    </x:row>
    <x:row r="169" ht="23.100000381469727" customHeight="1">
      <x:c r="A169" s="19"/>
      <x:c r="B169" s="25">
        <x:v>22</x:v>
      </x:c>
      <x:c r="C169" s="40" t="n">
        <x:f>养成消耗调参!$F$38</x:f>
        <x:v>480</x:v>
      </x:c>
      <x:c r="D169" s="40" t="n">
        <x:f>养成消耗调参!$G$38</x:f>
        <x:v>720</x:v>
      </x:c>
      <x:c r="E169" s="40" t="n">
        <x:f>养成消耗调参!$H$38</x:f>
        <x:v>960</x:v>
      </x:c>
      <x:c r="F169" s="40" t="n">
        <x:f>养成消耗调参!$F$113</x:f>
        <x:v>3000</x:v>
      </x:c>
      <x:c r="G169" s="40" t="n">
        <x:f>养成消耗调参!$G$113</x:f>
        <x:v>4500</x:v>
      </x:c>
      <x:c r="H169" s="40" t="n">
        <x:f>养成消耗调参!$H$113</x:f>
        <x:v>6000</x:v>
      </x:c>
      <x:c r="I169" s="40">
        <x:f t="shared" si="2"/>
        <x:v>0</x:v>
      </x:c>
      <x:c r="J169" s="40" t="n">
        <x:f>SUM(养成消耗调参!$C$148:$C$169)</x:f>
        <x:v>4968</x:v>
      </x:c>
      <x:c r="K169" s="40" t="n">
        <x:f>SUM(养成消耗调参!$D$148:$D$169)</x:f>
        <x:v>7272</x:v>
      </x:c>
      <x:c r="L169" s="40" t="n">
        <x:f>SUM(养成消耗调参!$E$148:$E$169)</x:f>
        <x:v>9696</x:v>
      </x:c>
      <x:c r="M169" s="40" t="n">
        <x:f>SUM(养成消耗调参!$F$148:$F$169)</x:f>
        <x:v>27000</x:v>
      </x:c>
      <x:c r="N169" s="40" t="n">
        <x:f>SUM(养成消耗调参!$G$148:$G$169)</x:f>
        <x:v>40500</x:v>
      </x:c>
      <x:c r="O169" s="40" t="n">
        <x:f>SUM(养成消耗调参!$H$148:$H$169)</x:f>
        <x:v>54000</x:v>
      </x:c>
      <x:c r="P169" s="40" t="n">
        <x:f>SUM(养成消耗调参!$I$148:$I$169)</x:f>
        <x:v>160</x:v>
      </x:c>
    </x:row>
    <x:row r="170" ht="23.100000381469727" customHeight="1">
      <x:c r="A170" s="19"/>
      <x:c r="B170" s="25">
        <x:v>23</x:v>
      </x:c>
      <x:c r="C170" s="40" t="n">
        <x:f>养成消耗调参!$F$39</x:f>
        <x:v>480</x:v>
      </x:c>
      <x:c r="D170" s="40" t="n">
        <x:f>养成消耗调参!$G$39</x:f>
        <x:v>720</x:v>
      </x:c>
      <x:c r="E170" s="40" t="n">
        <x:f>养成消耗调参!$H$39</x:f>
        <x:v>960</x:v>
      </x:c>
      <x:c r="F170" s="40" t="n">
        <x:f>养成消耗调参!$F$114</x:f>
        <x:v>3000</x:v>
      </x:c>
      <x:c r="G170" s="40" t="n">
        <x:f>养成消耗调参!$G$114</x:f>
        <x:v>4500</x:v>
      </x:c>
      <x:c r="H170" s="40" t="n">
        <x:f>养成消耗调参!$H$114</x:f>
        <x:v>6000</x:v>
      </x:c>
      <x:c r="I170" s="40">
        <x:f t="shared" si="2"/>
        <x:v>0</x:v>
      </x:c>
      <x:c r="J170" s="40" t="n">
        <x:f>SUM(养成消耗调参!$C$148:$C$170)</x:f>
        <x:v>5448</x:v>
      </x:c>
      <x:c r="K170" s="40" t="n">
        <x:f>SUM(养成消耗调参!$D$148:$D$170)</x:f>
        <x:v>7992</x:v>
      </x:c>
      <x:c r="L170" s="40" t="n">
        <x:f>SUM(养成消耗调参!$E$148:$E$170)</x:f>
        <x:v>10656</x:v>
      </x:c>
      <x:c r="M170" s="40" t="n">
        <x:f>SUM(养成消耗调参!$F$148:$F$170)</x:f>
        <x:v>30000</x:v>
      </x:c>
      <x:c r="N170" s="40" t="n">
        <x:f>SUM(养成消耗调参!$G$148:$G$170)</x:f>
        <x:v>45000</x:v>
      </x:c>
      <x:c r="O170" s="40" t="n">
        <x:f>SUM(养成消耗调参!$H$148:$H$170)</x:f>
        <x:v>60000</x:v>
      </x:c>
      <x:c r="P170" s="40" t="n">
        <x:f>SUM(养成消耗调参!$I$148:$I$170)</x:f>
        <x:v>160</x:v>
      </x:c>
    </x:row>
    <x:row r="171" ht="23.100000381469727" customHeight="1">
      <x:c r="A171" s="19"/>
      <x:c r="B171" s="25">
        <x:v>24</x:v>
      </x:c>
      <x:c r="C171" s="40" t="n">
        <x:f>养成消耗调参!$F$40</x:f>
        <x:v>528</x:v>
      </x:c>
      <x:c r="D171" s="40" t="n">
        <x:f>养成消耗调参!$G$40</x:f>
        <x:v>792</x:v>
      </x:c>
      <x:c r="E171" s="40" t="n">
        <x:f>养成消耗调参!$H$40</x:f>
        <x:v>1056</x:v>
      </x:c>
      <x:c r="F171" s="40" t="n">
        <x:f>养成消耗调参!$F$115</x:f>
        <x:v>3000</x:v>
      </x:c>
      <x:c r="G171" s="40" t="n">
        <x:f>养成消耗调参!$G$115</x:f>
        <x:v>4500</x:v>
      </x:c>
      <x:c r="H171" s="40" t="n">
        <x:f>养成消耗调参!$H$115</x:f>
        <x:v>6000</x:v>
      </x:c>
      <x:c r="I171" s="40">
        <x:f t="shared" si="2"/>
        <x:v>0</x:v>
      </x:c>
      <x:c r="J171" s="40" t="n">
        <x:f>SUM(养成消耗调参!$C$148:$C$171)</x:f>
        <x:v>5976</x:v>
      </x:c>
      <x:c r="K171" s="40" t="n">
        <x:f>SUM(养成消耗调参!$D$148:$D$171)</x:f>
        <x:v>8784</x:v>
      </x:c>
      <x:c r="L171" s="40" t="n">
        <x:f>SUM(养成消耗调参!$E$148:$E$171)</x:f>
        <x:v>11712</x:v>
      </x:c>
      <x:c r="M171" s="40" t="n">
        <x:f>SUM(养成消耗调参!$F$148:$F$171)</x:f>
        <x:v>33000</x:v>
      </x:c>
      <x:c r="N171" s="40" t="n">
        <x:f>SUM(养成消耗调参!$G$148:$G$171)</x:f>
        <x:v>49500</x:v>
      </x:c>
      <x:c r="O171" s="40" t="n">
        <x:f>SUM(养成消耗调参!$H$148:$H$171)</x:f>
        <x:v>66000</x:v>
      </x:c>
      <x:c r="P171" s="40" t="n">
        <x:f>SUM(养成消耗调参!$I$148:$I$171)</x:f>
        <x:v>160</x:v>
      </x:c>
    </x:row>
    <x:row r="172" ht="23.100000381469727" customHeight="1">
      <x:c r="A172" s="19"/>
      <x:c r="B172" s="25">
        <x:v>25</x:v>
      </x:c>
      <x:c r="C172" s="40" t="n">
        <x:f>养成消耗调参!$F$41</x:f>
        <x:v>528</x:v>
      </x:c>
      <x:c r="D172" s="40" t="n">
        <x:f>养成消耗调参!$G$41</x:f>
        <x:v>792</x:v>
      </x:c>
      <x:c r="E172" s="40" t="n">
        <x:f>养成消耗调参!$H$41</x:f>
        <x:v>1056</x:v>
      </x:c>
      <x:c r="F172" s="40" t="n">
        <x:f>养成消耗调参!$F$116</x:f>
        <x:v>3000</x:v>
      </x:c>
      <x:c r="G172" s="40" t="n">
        <x:f>养成消耗调参!$G$116</x:f>
        <x:v>4500</x:v>
      </x:c>
      <x:c r="H172" s="40" t="n">
        <x:f>养成消耗调参!$H$116</x:f>
        <x:v>6000</x:v>
      </x:c>
      <x:c r="I172" s="40">
        <x:f t="shared" si="2"/>
        <x:v>90</x:v>
      </x:c>
      <x:c r="J172" s="40" t="n">
        <x:f>SUM(养成消耗调参!$C$148:$C$172)</x:f>
        <x:v>6504</x:v>
      </x:c>
      <x:c r="K172" s="40" t="n">
        <x:f>SUM(养成消耗调参!$D$148:$D$172)</x:f>
        <x:v>9576</x:v>
      </x:c>
      <x:c r="L172" s="40" t="n">
        <x:f>SUM(养成消耗调参!$E$148:$E$172)</x:f>
        <x:v>12768</x:v>
      </x:c>
      <x:c r="M172" s="40" t="n">
        <x:f>SUM(养成消耗调参!$F$148:$F$172)</x:f>
        <x:v>36000</x:v>
      </x:c>
      <x:c r="N172" s="40" t="n">
        <x:f>SUM(养成消耗调参!$G$148:$G$172)</x:f>
        <x:v>54000</x:v>
      </x:c>
      <x:c r="O172" s="40" t="n">
        <x:f>SUM(养成消耗调参!$H$148:$H$172)</x:f>
        <x:v>72000</x:v>
      </x:c>
      <x:c r="P172" s="40" t="n">
        <x:f>SUM(养成消耗调参!$I$148:$I$172)</x:f>
        <x:v>250</x:v>
      </x:c>
    </x:row>
    <x:row r="173" ht="23.100000381469727" customHeight="1">
      <x:c r="A173" s="19"/>
      <x:c r="B173" s="25">
        <x:v>26</x:v>
      </x:c>
      <x:c r="C173" s="40" t="n">
        <x:f>养成消耗调参!$F$42</x:f>
        <x:v>576</x:v>
      </x:c>
      <x:c r="D173" s="40" t="n">
        <x:f>养成消耗调参!$G$42</x:f>
        <x:v>864</x:v>
      </x:c>
      <x:c r="E173" s="40" t="n">
        <x:f>养成消耗调参!$H$42</x:f>
        <x:v>1152</x:v>
      </x:c>
      <x:c r="F173" s="40" t="n">
        <x:f>养成消耗调参!$F$117</x:f>
        <x:v>3000</x:v>
      </x:c>
      <x:c r="G173" s="40" t="n">
        <x:f>养成消耗调参!$G$117</x:f>
        <x:v>4500</x:v>
      </x:c>
      <x:c r="H173" s="40" t="n">
        <x:f>养成消耗调参!$H$117</x:f>
        <x:v>6000</x:v>
      </x:c>
      <x:c r="I173" s="40">
        <x:f t="shared" si="2"/>
        <x:v>0</x:v>
      </x:c>
      <x:c r="J173" s="40" t="n">
        <x:f>SUM(养成消耗调参!$C$148:$C$173)</x:f>
        <x:v>7080</x:v>
      </x:c>
      <x:c r="K173" s="40" t="n">
        <x:f>SUM(养成消耗调参!$D$148:$D$173)</x:f>
        <x:v>10440</x:v>
      </x:c>
      <x:c r="L173" s="40" t="n">
        <x:f>SUM(养成消耗调参!$E$148:$E$173)</x:f>
        <x:v>13920</x:v>
      </x:c>
      <x:c r="M173" s="40" t="n">
        <x:f>SUM(养成消耗调参!$F$148:$F$173)</x:f>
        <x:v>39000</x:v>
      </x:c>
      <x:c r="N173" s="40" t="n">
        <x:f>SUM(养成消耗调参!$G$148:$G$173)</x:f>
        <x:v>58500</x:v>
      </x:c>
      <x:c r="O173" s="40" t="n">
        <x:f>SUM(养成消耗调参!$H$148:$H$173)</x:f>
        <x:v>78000</x:v>
      </x:c>
      <x:c r="P173" s="40" t="n">
        <x:f>SUM(养成消耗调参!$I$148:$I$173)</x:f>
        <x:v>250</x:v>
      </x:c>
    </x:row>
    <x:row r="174" ht="23.100000381469727" customHeight="1">
      <x:c r="A174" s="19"/>
      <x:c r="B174" s="25">
        <x:v>27</x:v>
      </x:c>
      <x:c r="C174" s="40" t="n">
        <x:f>养成消耗调参!$F$43</x:f>
        <x:v>576</x:v>
      </x:c>
      <x:c r="D174" s="40" t="n">
        <x:f>养成消耗调参!$G$43</x:f>
        <x:v>864</x:v>
      </x:c>
      <x:c r="E174" s="40" t="n">
        <x:f>养成消耗调参!$H$43</x:f>
        <x:v>1152</x:v>
      </x:c>
      <x:c r="F174" s="40" t="n">
        <x:f>养成消耗调参!$F$118</x:f>
        <x:v>3900</x:v>
      </x:c>
      <x:c r="G174" s="40" t="n">
        <x:f>养成消耗调参!$G$118</x:f>
        <x:v>5850</x:v>
      </x:c>
      <x:c r="H174" s="40" t="n">
        <x:f>养成消耗调参!$H$118</x:f>
        <x:v>7800</x:v>
      </x:c>
      <x:c r="I174" s="40">
        <x:f t="shared" si="2"/>
        <x:v>0</x:v>
      </x:c>
      <x:c r="J174" s="40" t="n">
        <x:f>SUM(养成消耗调参!$C$148:$C$174)</x:f>
        <x:v>7656</x:v>
      </x:c>
      <x:c r="K174" s="40" t="n">
        <x:f>SUM(养成消耗调参!$D$148:$D$174)</x:f>
        <x:v>11304</x:v>
      </x:c>
      <x:c r="L174" s="40" t="n">
        <x:f>SUM(养成消耗调参!$E$148:$E$174)</x:f>
        <x:v>15072</x:v>
      </x:c>
      <x:c r="M174" s="40" t="n">
        <x:f>SUM(养成消耗调参!$F$148:$F$174)</x:f>
        <x:v>42900</x:v>
      </x:c>
      <x:c r="N174" s="40" t="n">
        <x:f>SUM(养成消耗调参!$G$148:$G$174)</x:f>
        <x:v>64350</x:v>
      </x:c>
      <x:c r="O174" s="40" t="n">
        <x:f>SUM(养成消耗调参!$H$148:$H$174)</x:f>
        <x:v>85800</x:v>
      </x:c>
      <x:c r="P174" s="40" t="n">
        <x:f>SUM(养成消耗调参!$I$148:$I$174)</x:f>
        <x:v>250</x:v>
      </x:c>
    </x:row>
    <x:row r="175" ht="23.100000381469727" customHeight="1">
      <x:c r="A175" s="19"/>
      <x:c r="B175" s="25">
        <x:v>28</x:v>
      </x:c>
      <x:c r="C175" s="40" t="n">
        <x:f>养成消耗调参!$F$44</x:f>
        <x:v>624</x:v>
      </x:c>
      <x:c r="D175" s="40" t="n">
        <x:f>养成消耗调参!$G$44</x:f>
        <x:v>936</x:v>
      </x:c>
      <x:c r="E175" s="40" t="n">
        <x:f>养成消耗调参!$H$44</x:f>
        <x:v>1248</x:v>
      </x:c>
      <x:c r="F175" s="40" t="n">
        <x:f>养成消耗调参!$F$119</x:f>
        <x:v>3900</x:v>
      </x:c>
      <x:c r="G175" s="40" t="n">
        <x:f>养成消耗调参!$G$119</x:f>
        <x:v>5850</x:v>
      </x:c>
      <x:c r="H175" s="40" t="n">
        <x:f>养成消耗调参!$H$119</x:f>
        <x:v>7800</x:v>
      </x:c>
      <x:c r="I175" s="40">
        <x:f t="shared" si="2"/>
        <x:v>0</x:v>
      </x:c>
      <x:c r="J175" s="40" t="n">
        <x:f>SUM(养成消耗调参!$C$148:$C$175)</x:f>
        <x:v>8280</x:v>
      </x:c>
      <x:c r="K175" s="40" t="n">
        <x:f>SUM(养成消耗调参!$D$148:$D$175)</x:f>
        <x:v>12240</x:v>
      </x:c>
      <x:c r="L175" s="40" t="n">
        <x:f>SUM(养成消耗调参!$E$148:$E$175)</x:f>
        <x:v>16320</x:v>
      </x:c>
      <x:c r="M175" s="40" t="n">
        <x:f>SUM(养成消耗调参!$F$148:$F$175)</x:f>
        <x:v>46800</x:v>
      </x:c>
      <x:c r="N175" s="40" t="n">
        <x:f>SUM(养成消耗调参!$G$148:$G$175)</x:f>
        <x:v>70200</x:v>
      </x:c>
      <x:c r="O175" s="40" t="n">
        <x:f>SUM(养成消耗调参!$H$148:$H$175)</x:f>
        <x:v>93600</x:v>
      </x:c>
      <x:c r="P175" s="40" t="n">
        <x:f>SUM(养成消耗调参!$I$148:$I$175)</x:f>
        <x:v>250</x:v>
      </x:c>
    </x:row>
    <x:row r="176" ht="23.100000381469727" customHeight="1">
      <x:c r="A176" s="19"/>
      <x:c r="B176" s="25">
        <x:v>29</x:v>
      </x:c>
      <x:c r="C176" s="40" t="n">
        <x:f>养成消耗调参!$F$45</x:f>
        <x:v>624</x:v>
      </x:c>
      <x:c r="D176" s="40" t="n">
        <x:f>养成消耗调参!$G$45</x:f>
        <x:v>936</x:v>
      </x:c>
      <x:c r="E176" s="40" t="n">
        <x:f>养成消耗调参!$H$45</x:f>
        <x:v>1248</x:v>
      </x:c>
      <x:c r="F176" s="40" t="n">
        <x:f>养成消耗调参!$F$120</x:f>
        <x:v>3900</x:v>
      </x:c>
      <x:c r="G176" s="40" t="n">
        <x:f>养成消耗调参!$G$120</x:f>
        <x:v>5850</x:v>
      </x:c>
      <x:c r="H176" s="40" t="n">
        <x:f>养成消耗调参!$H$120</x:f>
        <x:v>7800</x:v>
      </x:c>
      <x:c r="I176" s="40">
        <x:f t="shared" si="2"/>
        <x:v>0</x:v>
      </x:c>
      <x:c r="J176" s="40" t="n">
        <x:f>SUM(养成消耗调参!$C$148:$C$176)</x:f>
        <x:v>8904</x:v>
      </x:c>
      <x:c r="K176" s="40" t="n">
        <x:f>SUM(养成消耗调参!$D$148:$D$176)</x:f>
        <x:v>13176</x:v>
      </x:c>
      <x:c r="L176" s="40" t="n">
        <x:f>SUM(养成消耗调参!$E$148:$E$176)</x:f>
        <x:v>17568</x:v>
      </x:c>
      <x:c r="M176" s="40" t="n">
        <x:f>SUM(养成消耗调参!$F$148:$F$176)</x:f>
        <x:v>50700</x:v>
      </x:c>
      <x:c r="N176" s="40" t="n">
        <x:f>SUM(养成消耗调参!$G$148:$G$176)</x:f>
        <x:v>76050</x:v>
      </x:c>
      <x:c r="O176" s="40" t="n">
        <x:f>SUM(养成消耗调参!$H$148:$H$176)</x:f>
        <x:v>101400</x:v>
      </x:c>
      <x:c r="P176" s="40" t="n">
        <x:f>SUM(养成消耗调参!$I$148:$I$176)</x:f>
        <x:v>250</x:v>
      </x:c>
    </x:row>
    <x:row r="177" ht="23.100000381469727" customHeight="1">
      <x:c r="A177" s="19"/>
      <x:c r="B177" s="25">
        <x:v>30</x:v>
      </x:c>
      <x:c r="C177" s="40" t="n">
        <x:f>养成消耗调参!$F$46</x:f>
        <x:v>672</x:v>
      </x:c>
      <x:c r="D177" s="40" t="n">
        <x:f>养成消耗调参!$G$46</x:f>
        <x:v>1008</x:v>
      </x:c>
      <x:c r="E177" s="40" t="n">
        <x:f>养成消耗调参!$H$46</x:f>
        <x:v>1344</x:v>
      </x:c>
      <x:c r="F177" s="40" t="n">
        <x:f>养成消耗调参!$F$121</x:f>
        <x:v>3900</x:v>
      </x:c>
      <x:c r="G177" s="40" t="n">
        <x:f>养成消耗调参!$G$121</x:f>
        <x:v>5850</x:v>
      </x:c>
      <x:c r="H177" s="40" t="n">
        <x:f>养成消耗调参!$H$121</x:f>
        <x:v>7800</x:v>
      </x:c>
      <x:c r="I177" s="40">
        <x:f t="shared" si="2"/>
        <x:v>110</x:v>
      </x:c>
      <x:c r="J177" s="40" t="n">
        <x:f>SUM(养成消耗调参!$C$148:$C$177)</x:f>
        <x:v>9576</x:v>
      </x:c>
      <x:c r="K177" s="40" t="n">
        <x:f>SUM(养成消耗调参!$D$148:$D$177)</x:f>
        <x:v>14184</x:v>
      </x:c>
      <x:c r="L177" s="40" t="n">
        <x:f>SUM(养成消耗调参!$E$148:$E$177)</x:f>
        <x:v>18912</x:v>
      </x:c>
      <x:c r="M177" s="40" t="n">
        <x:f>SUM(养成消耗调参!$F$148:$F$177)</x:f>
        <x:v>54600</x:v>
      </x:c>
      <x:c r="N177" s="40" t="n">
        <x:f>SUM(养成消耗调参!$G$148:$G$177)</x:f>
        <x:v>81900</x:v>
      </x:c>
      <x:c r="O177" s="40" t="n">
        <x:f>SUM(养成消耗调参!$H$148:$H$177)</x:f>
        <x:v>109200</x:v>
      </x:c>
      <x:c r="P177" s="40" t="n">
        <x:f>SUM(养成消耗调参!$I$148:$I$177)</x:f>
        <x:v>360</x:v>
      </x:c>
    </x:row>
    <x:row r="178" ht="23.100000381469727" customHeight="1">
      <x:c r="A178" s="19"/>
      <x:c r="B178" s="25">
        <x:v>31</x:v>
      </x:c>
      <x:c r="C178" s="40" t="n">
        <x:f>养成消耗调参!$F$47</x:f>
        <x:v>672</x:v>
      </x:c>
      <x:c r="D178" s="40" t="n">
        <x:f>养成消耗调参!$G$47</x:f>
        <x:v>1008</x:v>
      </x:c>
      <x:c r="E178" s="40" t="n">
        <x:f>养成消耗调参!$H$47</x:f>
        <x:v>1344</x:v>
      </x:c>
      <x:c r="F178" s="40" t="n">
        <x:f>养成消耗调参!$F$122</x:f>
        <x:v>3900</x:v>
      </x:c>
      <x:c r="G178" s="40" t="n">
        <x:f>养成消耗调参!$G$122</x:f>
        <x:v>5850</x:v>
      </x:c>
      <x:c r="H178" s="40" t="n">
        <x:f>养成消耗调参!$H$122</x:f>
        <x:v>7800</x:v>
      </x:c>
      <x:c r="I178" s="40">
        <x:f t="shared" si="2"/>
        <x:v>0</x:v>
      </x:c>
      <x:c r="J178" s="40" t="n">
        <x:f>SUM(养成消耗调参!$C$148:$C$178)</x:f>
        <x:v>10248</x:v>
      </x:c>
      <x:c r="K178" s="40" t="n">
        <x:f>SUM(养成消耗调参!$D$148:$D$178)</x:f>
        <x:v>15192</x:v>
      </x:c>
      <x:c r="L178" s="40" t="n">
        <x:f>SUM(养成消耗调参!$E$148:$E$178)</x:f>
        <x:v>20256</x:v>
      </x:c>
      <x:c r="M178" s="40" t="n">
        <x:f>SUM(养成消耗调参!$F$148:$F$178)</x:f>
        <x:v>58500</x:v>
      </x:c>
      <x:c r="N178" s="40" t="n">
        <x:f>SUM(养成消耗调参!$G$148:$G$178)</x:f>
        <x:v>87750</x:v>
      </x:c>
      <x:c r="O178" s="40" t="n">
        <x:f>SUM(养成消耗调参!$H$148:$H$178)</x:f>
        <x:v>117000</x:v>
      </x:c>
      <x:c r="P178" s="40" t="n">
        <x:f>SUM(养成消耗调参!$I$148:$I$178)</x:f>
        <x:v>360</x:v>
      </x:c>
    </x:row>
    <x:row r="179" ht="23.100000381469727" customHeight="1">
      <x:c r="A179" s="19"/>
      <x:c r="B179" s="25">
        <x:v>32</x:v>
      </x:c>
      <x:c r="C179" s="40" t="n">
        <x:f>养成消耗调参!$F$48</x:f>
        <x:v>720</x:v>
      </x:c>
      <x:c r="D179" s="40" t="n">
        <x:f>养成消耗调参!$G$48</x:f>
        <x:v>1080</x:v>
      </x:c>
      <x:c r="E179" s="40" t="n">
        <x:f>养成消耗调参!$H$48</x:f>
        <x:v>1440</x:v>
      </x:c>
      <x:c r="F179" s="40" t="n">
        <x:f>养成消耗调参!$F$123</x:f>
        <x:v>4800</x:v>
      </x:c>
      <x:c r="G179" s="40" t="n">
        <x:f>养成消耗调参!$G$123</x:f>
        <x:v>7200</x:v>
      </x:c>
      <x:c r="H179" s="40" t="n">
        <x:f>养成消耗调参!$H$123</x:f>
        <x:v>9600</x:v>
      </x:c>
      <x:c r="I179" s="40">
        <x:f t="shared" si="2"/>
        <x:v>0</x:v>
      </x:c>
      <x:c r="J179" s="40" t="n">
        <x:f>SUM(养成消耗调参!$C$148:$C$179)</x:f>
        <x:v>10968</x:v>
      </x:c>
      <x:c r="K179" s="40" t="n">
        <x:f>SUM(养成消耗调参!$D$148:$D$179)</x:f>
        <x:v>16272</x:v>
      </x:c>
      <x:c r="L179" s="40" t="n">
        <x:f>SUM(养成消耗调参!$E$148:$E$179)</x:f>
        <x:v>21696</x:v>
      </x:c>
      <x:c r="M179" s="40" t="n">
        <x:f>SUM(养成消耗调参!$F$148:$F$179)</x:f>
        <x:v>63300</x:v>
      </x:c>
      <x:c r="N179" s="40" t="n">
        <x:f>SUM(养成消耗调参!$G$148:$G$179)</x:f>
        <x:v>94950</x:v>
      </x:c>
      <x:c r="O179" s="40" t="n">
        <x:f>SUM(养成消耗调参!$H$148:$H$179)</x:f>
        <x:v>126600</x:v>
      </x:c>
      <x:c r="P179" s="40" t="n">
        <x:f>SUM(养成消耗调参!$I$148:$I$179)</x:f>
        <x:v>360</x:v>
      </x:c>
    </x:row>
    <x:row r="180" ht="23.100000381469727" customHeight="1">
      <x:c r="A180" s="19"/>
      <x:c r="B180" s="25">
        <x:v>33</x:v>
      </x:c>
      <x:c r="C180" s="40" t="n">
        <x:f>养成消耗调参!$F$49</x:f>
        <x:v>720</x:v>
      </x:c>
      <x:c r="D180" s="40" t="n">
        <x:f>养成消耗调参!$G$49</x:f>
        <x:v>1080</x:v>
      </x:c>
      <x:c r="E180" s="40" t="n">
        <x:f>养成消耗调参!$H$49</x:f>
        <x:v>1440</x:v>
      </x:c>
      <x:c r="F180" s="40" t="n">
        <x:f>养成消耗调参!$F$124</x:f>
        <x:v>4800</x:v>
      </x:c>
      <x:c r="G180" s="40" t="n">
        <x:f>养成消耗调参!$G$124</x:f>
        <x:v>7200</x:v>
      </x:c>
      <x:c r="H180" s="40" t="n">
        <x:f>养成消耗调参!$H$124</x:f>
        <x:v>9600</x:v>
      </x:c>
      <x:c r="I180" s="40" t="n">
        <x:f t="shared" ref="I180:I197" si="3">IF(MOD(B180,$H$12)=0,$H$9+(B180/$H$12-1)*$H$10,0)</x:f>
        <x:v>0</x:v>
      </x:c>
      <x:c r="J180" s="40" t="n">
        <x:f>SUM(养成消耗调参!$C$148:$C$180)</x:f>
        <x:v>11688</x:v>
      </x:c>
      <x:c r="K180" s="40" t="n">
        <x:f>SUM(养成消耗调参!$D$148:$D$180)</x:f>
        <x:v>17352</x:v>
      </x:c>
      <x:c r="L180" s="40" t="n">
        <x:f>SUM(养成消耗调参!$E$148:$E$180)</x:f>
        <x:v>23136</x:v>
      </x:c>
      <x:c r="M180" s="40" t="n">
        <x:f>SUM(养成消耗调参!$F$148:$F$180)</x:f>
        <x:v>68100</x:v>
      </x:c>
      <x:c r="N180" s="40" t="n">
        <x:f>SUM(养成消耗调参!$G$148:$G$180)</x:f>
        <x:v>102150</x:v>
      </x:c>
      <x:c r="O180" s="40" t="n">
        <x:f>SUM(养成消耗调参!$H$148:$H$180)</x:f>
        <x:v>136200</x:v>
      </x:c>
      <x:c r="P180" s="40" t="n">
        <x:f>SUM(养成消耗调参!$I$148:$I$180)</x:f>
        <x:v>360</x:v>
      </x:c>
    </x:row>
    <x:row r="181" ht="23.100000381469727" customHeight="1">
      <x:c r="A181" s="19"/>
      <x:c r="B181" s="25">
        <x:v>34</x:v>
      </x:c>
      <x:c r="C181" s="40" t="n">
        <x:f>养成消耗调参!$F$50</x:f>
        <x:v>768</x:v>
      </x:c>
      <x:c r="D181" s="40" t="n">
        <x:f>养成消耗调参!$G$50</x:f>
        <x:v>1152</x:v>
      </x:c>
      <x:c r="E181" s="40" t="n">
        <x:f>养成消耗调参!$H$50</x:f>
        <x:v>1536</x:v>
      </x:c>
      <x:c r="F181" s="40" t="n">
        <x:f>养成消耗调参!$F$125</x:f>
        <x:v>4800</x:v>
      </x:c>
      <x:c r="G181" s="40" t="n">
        <x:f>养成消耗调参!$G$125</x:f>
        <x:v>7200</x:v>
      </x:c>
      <x:c r="H181" s="40" t="n">
        <x:f>养成消耗调参!$H$125</x:f>
        <x:v>9600</x:v>
      </x:c>
      <x:c r="I181" s="40">
        <x:f t="shared" si="3"/>
        <x:v>0</x:v>
      </x:c>
      <x:c r="J181" s="40" t="n">
        <x:f>SUM(养成消耗调参!$C$148:$C$181)</x:f>
        <x:v>12456</x:v>
      </x:c>
      <x:c r="K181" s="40" t="n">
        <x:f>SUM(养成消耗调参!$D$148:$D$181)</x:f>
        <x:v>18504</x:v>
      </x:c>
      <x:c r="L181" s="40" t="n">
        <x:f>SUM(养成消耗调参!$E$148:$E$181)</x:f>
        <x:v>24672</x:v>
      </x:c>
      <x:c r="M181" s="40" t="n">
        <x:f>SUM(养成消耗调参!$F$148:$F$181)</x:f>
        <x:v>72900</x:v>
      </x:c>
      <x:c r="N181" s="40" t="n">
        <x:f>SUM(养成消耗调参!$G$148:$G$181)</x:f>
        <x:v>109350</x:v>
      </x:c>
      <x:c r="O181" s="40" t="n">
        <x:f>SUM(养成消耗调参!$H$148:$H$181)</x:f>
        <x:v>145800</x:v>
      </x:c>
      <x:c r="P181" s="40" t="n">
        <x:f>SUM(养成消耗调参!$I$148:$I$181)</x:f>
        <x:v>360</x:v>
      </x:c>
    </x:row>
    <x:row r="182" ht="23.100000381469727" customHeight="1">
      <x:c r="A182" s="19"/>
      <x:c r="B182" s="25">
        <x:v>35</x:v>
      </x:c>
      <x:c r="C182" s="40" t="n">
        <x:f>养成消耗调参!$F$51</x:f>
        <x:v>768</x:v>
      </x:c>
      <x:c r="D182" s="40" t="n">
        <x:f>养成消耗调参!$G$51</x:f>
        <x:v>1152</x:v>
      </x:c>
      <x:c r="E182" s="40" t="n">
        <x:f>养成消耗调参!$H$51</x:f>
        <x:v>1536</x:v>
      </x:c>
      <x:c r="F182" s="40" t="n">
        <x:f>养成消耗调参!$F$126</x:f>
        <x:v>4800</x:v>
      </x:c>
      <x:c r="G182" s="40" t="n">
        <x:f>养成消耗调参!$G$126</x:f>
        <x:v>7200</x:v>
      </x:c>
      <x:c r="H182" s="40" t="n">
        <x:f>养成消耗调参!$H$126</x:f>
        <x:v>9600</x:v>
      </x:c>
      <x:c r="I182" s="40">
        <x:f t="shared" si="3"/>
        <x:v>130</x:v>
      </x:c>
      <x:c r="J182" s="40" t="n">
        <x:f>SUM(养成消耗调参!$C$148:$C$182)</x:f>
        <x:v>13224</x:v>
      </x:c>
      <x:c r="K182" s="40" t="n">
        <x:f>SUM(养成消耗调参!$D$148:$D$182)</x:f>
        <x:v>19656</x:v>
      </x:c>
      <x:c r="L182" s="40" t="n">
        <x:f>SUM(养成消耗调参!$E$148:$E$182)</x:f>
        <x:v>26208</x:v>
      </x:c>
      <x:c r="M182" s="40" t="n">
        <x:f>SUM(养成消耗调参!$F$148:$F$182)</x:f>
        <x:v>77700</x:v>
      </x:c>
      <x:c r="N182" s="40" t="n">
        <x:f>SUM(养成消耗调参!$G$148:$G$182)</x:f>
        <x:v>116550</x:v>
      </x:c>
      <x:c r="O182" s="40" t="n">
        <x:f>SUM(养成消耗调参!$H$148:$H$182)</x:f>
        <x:v>155400</x:v>
      </x:c>
      <x:c r="P182" s="40" t="n">
        <x:f>SUM(养成消耗调参!$I$148:$I$182)</x:f>
        <x:v>490</x:v>
      </x:c>
    </x:row>
    <x:row r="183" ht="23.100000381469727" customHeight="1">
      <x:c r="A183" s="19"/>
      <x:c r="B183" s="25">
        <x:v>36</x:v>
      </x:c>
      <x:c r="C183" s="40" t="n">
        <x:f>养成消耗调参!$F$52</x:f>
        <x:v>816</x:v>
      </x:c>
      <x:c r="D183" s="40" t="n">
        <x:f>养成消耗调参!$G$52</x:f>
        <x:v>1224</x:v>
      </x:c>
      <x:c r="E183" s="40" t="n">
        <x:f>养成消耗调参!$H$52</x:f>
        <x:v>1632</x:v>
      </x:c>
      <x:c r="F183" s="40" t="n">
        <x:f>养成消耗调参!$F$127</x:f>
        <x:v>4800</x:v>
      </x:c>
      <x:c r="G183" s="40" t="n">
        <x:f>养成消耗调参!$G$127</x:f>
        <x:v>7200</x:v>
      </x:c>
      <x:c r="H183" s="40" t="n">
        <x:f>养成消耗调参!$H$127</x:f>
        <x:v>9600</x:v>
      </x:c>
      <x:c r="I183" s="40">
        <x:f t="shared" si="3"/>
        <x:v>0</x:v>
      </x:c>
      <x:c r="J183" s="40" t="n">
        <x:f>SUM(养成消耗调参!$C$148:$C$183)</x:f>
        <x:v>14040</x:v>
      </x:c>
      <x:c r="K183" s="40" t="n">
        <x:f>SUM(养成消耗调参!$D$148:$D$183)</x:f>
        <x:v>20880</x:v>
      </x:c>
      <x:c r="L183" s="40" t="n">
        <x:f>SUM(养成消耗调参!$E$148:$E$183)</x:f>
        <x:v>27840</x:v>
      </x:c>
      <x:c r="M183" s="40" t="n">
        <x:f>SUM(养成消耗调参!$F$148:$F$183)</x:f>
        <x:v>82500</x:v>
      </x:c>
      <x:c r="N183" s="40" t="n">
        <x:f>SUM(养成消耗调参!$G$148:$G$183)</x:f>
        <x:v>123750</x:v>
      </x:c>
      <x:c r="O183" s="40" t="n">
        <x:f>SUM(养成消耗调参!$H$148:$H$183)</x:f>
        <x:v>165000</x:v>
      </x:c>
      <x:c r="P183" s="40" t="n">
        <x:f>SUM(养成消耗调参!$I$148:$I$183)</x:f>
        <x:v>490</x:v>
      </x:c>
    </x:row>
    <x:row r="184" ht="23.100000381469727" customHeight="1">
      <x:c r="A184" s="19"/>
      <x:c r="B184" s="25">
        <x:v>37</x:v>
      </x:c>
      <x:c r="C184" s="40" t="n">
        <x:f>养成消耗调参!$F$53</x:f>
        <x:v>816</x:v>
      </x:c>
      <x:c r="D184" s="40" t="n">
        <x:f>养成消耗调参!$G$53</x:f>
        <x:v>1224</x:v>
      </x:c>
      <x:c r="E184" s="40" t="n">
        <x:f>养成消耗调参!$H$53</x:f>
        <x:v>1632</x:v>
      </x:c>
      <x:c r="F184" s="40" t="n">
        <x:f>养成消耗调参!$F$128</x:f>
        <x:v>5700</x:v>
      </x:c>
      <x:c r="G184" s="40" t="n">
        <x:f>养成消耗调参!$G$128</x:f>
        <x:v>8550</x:v>
      </x:c>
      <x:c r="H184" s="40" t="n">
        <x:f>养成消耗调参!$H$128</x:f>
        <x:v>11400</x:v>
      </x:c>
      <x:c r="I184" s="40">
        <x:f t="shared" si="3"/>
        <x:v>0</x:v>
      </x:c>
      <x:c r="J184" s="40" t="n">
        <x:f>SUM(养成消耗调参!$C$148:$C$184)</x:f>
        <x:v>14856</x:v>
      </x:c>
      <x:c r="K184" s="40" t="n">
        <x:f>SUM(养成消耗调参!$D$148:$D$184)</x:f>
        <x:v>22104</x:v>
      </x:c>
      <x:c r="L184" s="40" t="n">
        <x:f>SUM(养成消耗调参!$E$148:$E$184)</x:f>
        <x:v>29472</x:v>
      </x:c>
      <x:c r="M184" s="40" t="n">
        <x:f>SUM(养成消耗调参!$F$148:$F$184)</x:f>
        <x:v>88200</x:v>
      </x:c>
      <x:c r="N184" s="40" t="n">
        <x:f>SUM(养成消耗调参!$G$148:$G$184)</x:f>
        <x:v>132300</x:v>
      </x:c>
      <x:c r="O184" s="40" t="n">
        <x:f>SUM(养成消耗调参!$H$148:$H$184)</x:f>
        <x:v>176400</x:v>
      </x:c>
      <x:c r="P184" s="40" t="n">
        <x:f>SUM(养成消耗调参!$I$148:$I$184)</x:f>
        <x:v>490</x:v>
      </x:c>
    </x:row>
    <x:row r="185" ht="23.100000381469727" customHeight="1">
      <x:c r="A185" s="19"/>
      <x:c r="B185" s="25">
        <x:v>38</x:v>
      </x:c>
      <x:c r="C185" s="40" t="n">
        <x:f>养成消耗调参!$F$54</x:f>
        <x:v>864</x:v>
      </x:c>
      <x:c r="D185" s="40" t="n">
        <x:f>养成消耗调参!$G$54</x:f>
        <x:v>1296</x:v>
      </x:c>
      <x:c r="E185" s="40" t="n">
        <x:f>养成消耗调参!$H$54</x:f>
        <x:v>1728</x:v>
      </x:c>
      <x:c r="F185" s="40" t="n">
        <x:f>养成消耗调参!$F$129</x:f>
        <x:v>5700</x:v>
      </x:c>
      <x:c r="G185" s="40" t="n">
        <x:f>养成消耗调参!$G$129</x:f>
        <x:v>8550</x:v>
      </x:c>
      <x:c r="H185" s="40" t="n">
        <x:f>养成消耗调参!$H$129</x:f>
        <x:v>11400</x:v>
      </x:c>
      <x:c r="I185" s="40">
        <x:f t="shared" si="3"/>
        <x:v>0</x:v>
      </x:c>
      <x:c r="J185" s="40" t="n">
        <x:f>SUM(养成消耗调参!$C$148:$C$185)</x:f>
        <x:v>15720</x:v>
      </x:c>
      <x:c r="K185" s="40" t="n">
        <x:f>SUM(养成消耗调参!$D$148:$D$185)</x:f>
        <x:v>23400</x:v>
      </x:c>
      <x:c r="L185" s="40" t="n">
        <x:f>SUM(养成消耗调参!$E$148:$E$185)</x:f>
        <x:v>31200</x:v>
      </x:c>
      <x:c r="M185" s="40" t="n">
        <x:f>SUM(养成消耗调参!$F$148:$F$185)</x:f>
        <x:v>93900</x:v>
      </x:c>
      <x:c r="N185" s="40" t="n">
        <x:f>SUM(养成消耗调参!$G$148:$G$185)</x:f>
        <x:v>140850</x:v>
      </x:c>
      <x:c r="O185" s="40" t="n">
        <x:f>SUM(养成消耗调参!$H$148:$H$185)</x:f>
        <x:v>187800</x:v>
      </x:c>
      <x:c r="P185" s="40" t="n">
        <x:f>SUM(养成消耗调参!$I$148:$I$185)</x:f>
        <x:v>490</x:v>
      </x:c>
    </x:row>
    <x:row r="186" ht="23.100000381469727" customHeight="1">
      <x:c r="A186" s="19"/>
      <x:c r="B186" s="25">
        <x:v>39</x:v>
      </x:c>
      <x:c r="C186" s="40" t="n">
        <x:f>养成消耗调参!$F$55</x:f>
        <x:v>864</x:v>
      </x:c>
      <x:c r="D186" s="40" t="n">
        <x:f>养成消耗调参!$G$55</x:f>
        <x:v>1296</x:v>
      </x:c>
      <x:c r="E186" s="40" t="n">
        <x:f>养成消耗调参!$H$55</x:f>
        <x:v>1728</x:v>
      </x:c>
      <x:c r="F186" s="40" t="n">
        <x:f>养成消耗调参!$F$130</x:f>
        <x:v>5700</x:v>
      </x:c>
      <x:c r="G186" s="40" t="n">
        <x:f>养成消耗调参!$G$130</x:f>
        <x:v>8550</x:v>
      </x:c>
      <x:c r="H186" s="40" t="n">
        <x:f>养成消耗调参!$H$130</x:f>
        <x:v>11400</x:v>
      </x:c>
      <x:c r="I186" s="40">
        <x:f t="shared" si="3"/>
        <x:v>0</x:v>
      </x:c>
      <x:c r="J186" s="40" t="n">
        <x:f>SUM(养成消耗调参!$C$148:$C$186)</x:f>
        <x:v>16584</x:v>
      </x:c>
      <x:c r="K186" s="40" t="n">
        <x:f>SUM(养成消耗调参!$D$148:$D$186)</x:f>
        <x:v>24696</x:v>
      </x:c>
      <x:c r="L186" s="40" t="n">
        <x:f>SUM(养成消耗调参!$E$148:$E$186)</x:f>
        <x:v>32928</x:v>
      </x:c>
      <x:c r="M186" s="40" t="n">
        <x:f>SUM(养成消耗调参!$F$148:$F$186)</x:f>
        <x:v>99600</x:v>
      </x:c>
      <x:c r="N186" s="40" t="n">
        <x:f>SUM(养成消耗调参!$G$148:$G$186)</x:f>
        <x:v>149400</x:v>
      </x:c>
      <x:c r="O186" s="40" t="n">
        <x:f>SUM(养成消耗调参!$H$148:$H$186)</x:f>
        <x:v>199200</x:v>
      </x:c>
      <x:c r="P186" s="40" t="n">
        <x:f>SUM(养成消耗调参!$I$148:$I$186)</x:f>
        <x:v>490</x:v>
      </x:c>
    </x:row>
    <x:row r="187" ht="23.100000381469727" customHeight="1">
      <x:c r="A187" s="19"/>
      <x:c r="B187" s="25">
        <x:v>40</x:v>
      </x:c>
      <x:c r="C187" s="40" t="n">
        <x:f>养成消耗调参!$F$56</x:f>
        <x:v>912</x:v>
      </x:c>
      <x:c r="D187" s="40" t="n">
        <x:f>养成消耗调参!$G$56</x:f>
        <x:v>1368</x:v>
      </x:c>
      <x:c r="E187" s="40" t="n">
        <x:f>养成消耗调参!$H$56</x:f>
        <x:v>1824</x:v>
      </x:c>
      <x:c r="F187" s="40" t="n">
        <x:f>养成消耗调参!$F$131</x:f>
        <x:v>5700</x:v>
      </x:c>
      <x:c r="G187" s="40" t="n">
        <x:f>养成消耗调参!$G$131</x:f>
        <x:v>8550</x:v>
      </x:c>
      <x:c r="H187" s="40" t="n">
        <x:f>养成消耗调参!$H$131</x:f>
        <x:v>11400</x:v>
      </x:c>
      <x:c r="I187" s="40">
        <x:f t="shared" si="3"/>
        <x:v>150</x:v>
      </x:c>
      <x:c r="J187" s="40" t="n">
        <x:f>SUM(养成消耗调参!$C$148:$C$187)</x:f>
        <x:v>17496</x:v>
      </x:c>
      <x:c r="K187" s="40" t="n">
        <x:f>SUM(养成消耗调参!$D$148:$D$187)</x:f>
        <x:v>26064</x:v>
      </x:c>
      <x:c r="L187" s="40" t="n">
        <x:f>SUM(养成消耗调参!$E$148:$E$187)</x:f>
        <x:v>34752</x:v>
      </x:c>
      <x:c r="M187" s="40" t="n">
        <x:f>SUM(养成消耗调参!$F$148:$F$187)</x:f>
        <x:v>105300</x:v>
      </x:c>
      <x:c r="N187" s="40" t="n">
        <x:f>SUM(养成消耗调参!$G$148:$G$187)</x:f>
        <x:v>157950</x:v>
      </x:c>
      <x:c r="O187" s="40" t="n">
        <x:f>SUM(养成消耗调参!$H$148:$H$187)</x:f>
        <x:v>210600</x:v>
      </x:c>
      <x:c r="P187" s="40" t="n">
        <x:f>SUM(养成消耗调参!$I$148:$I$187)</x:f>
        <x:v>640</x:v>
      </x:c>
    </x:row>
    <x:row r="188" ht="23.100000381469727" customHeight="1">
      <x:c r="A188" s="19"/>
      <x:c r="B188" s="25">
        <x:v>41</x:v>
      </x:c>
      <x:c r="C188" s="40" t="n">
        <x:f>养成消耗调参!$F$57</x:f>
        <x:v>912</x:v>
      </x:c>
      <x:c r="D188" s="40" t="n">
        <x:f>养成消耗调参!$G$57</x:f>
        <x:v>1368</x:v>
      </x:c>
      <x:c r="E188" s="40" t="n">
        <x:f>养成消耗调参!$H$57</x:f>
        <x:v>1824</x:v>
      </x:c>
      <x:c r="F188" s="40" t="n">
        <x:f>养成消耗调参!$F$132</x:f>
        <x:v>5700</x:v>
      </x:c>
      <x:c r="G188" s="40" t="n">
        <x:f>养成消耗调参!$G$132</x:f>
        <x:v>8550</x:v>
      </x:c>
      <x:c r="H188" s="40" t="n">
        <x:f>养成消耗调参!$H$132</x:f>
        <x:v>11400</x:v>
      </x:c>
      <x:c r="I188" s="40">
        <x:f t="shared" si="3"/>
        <x:v>0</x:v>
      </x:c>
      <x:c r="J188" s="40" t="n">
        <x:f>SUM(养成消耗调参!$C$148:$C$188)</x:f>
        <x:v>18408</x:v>
      </x:c>
      <x:c r="K188" s="40" t="n">
        <x:f>SUM(养成消耗调参!$D$148:$D$188)</x:f>
        <x:v>27432</x:v>
      </x:c>
      <x:c r="L188" s="40" t="n">
        <x:f>SUM(养成消耗调参!$E$148:$E$188)</x:f>
        <x:v>36576</x:v>
      </x:c>
      <x:c r="M188" s="40" t="n">
        <x:f>SUM(养成消耗调参!$F$148:$F$188)</x:f>
        <x:v>111000</x:v>
      </x:c>
      <x:c r="N188" s="40" t="n">
        <x:f>SUM(养成消耗调参!$G$148:$G$188)</x:f>
        <x:v>166500</x:v>
      </x:c>
      <x:c r="O188" s="40" t="n">
        <x:f>SUM(养成消耗调参!$H$148:$H$188)</x:f>
        <x:v>222000</x:v>
      </x:c>
      <x:c r="P188" s="40" t="n">
        <x:f>SUM(养成消耗调参!$I$148:$I$188)</x:f>
        <x:v>640</x:v>
      </x:c>
    </x:row>
    <x:row r="189" ht="23.100000381469727" customHeight="1">
      <x:c r="A189" s="19"/>
      <x:c r="B189" s="25">
        <x:v>42</x:v>
      </x:c>
      <x:c r="C189" s="40" t="n">
        <x:f>养成消耗调参!$F$58</x:f>
        <x:v>960</x:v>
      </x:c>
      <x:c r="D189" s="40" t="n">
        <x:f>养成消耗调参!$G$58</x:f>
        <x:v>1440</x:v>
      </x:c>
      <x:c r="E189" s="40" t="n">
        <x:f>养成消耗调参!$H$58</x:f>
        <x:v>1920</x:v>
      </x:c>
      <x:c r="F189" s="40" t="n">
        <x:f>养成消耗调参!$F$133</x:f>
        <x:v>6600</x:v>
      </x:c>
      <x:c r="G189" s="40" t="n">
        <x:f>养成消耗调参!$G$133</x:f>
        <x:v>9900</x:v>
      </x:c>
      <x:c r="H189" s="40" t="n">
        <x:f>养成消耗调参!$H$133</x:f>
        <x:v>13200</x:v>
      </x:c>
      <x:c r="I189" s="40">
        <x:f t="shared" si="3"/>
        <x:v>0</x:v>
      </x:c>
      <x:c r="J189" s="40" t="n">
        <x:f>SUM(养成消耗调参!$C$148:$C$189)</x:f>
        <x:v>19368</x:v>
      </x:c>
      <x:c r="K189" s="40" t="n">
        <x:f>SUM(养成消耗调参!$D$148:$D$189)</x:f>
        <x:v>28872</x:v>
      </x:c>
      <x:c r="L189" s="40" t="n">
        <x:f>SUM(养成消耗调参!$E$148:$E$189)</x:f>
        <x:v>38496</x:v>
      </x:c>
      <x:c r="M189" s="40" t="n">
        <x:f>SUM(养成消耗调参!$F$148:$F$189)</x:f>
        <x:v>117600</x:v>
      </x:c>
      <x:c r="N189" s="40" t="n">
        <x:f>SUM(养成消耗调参!$G$148:$G$189)</x:f>
        <x:v>176400</x:v>
      </x:c>
      <x:c r="O189" s="40" t="n">
        <x:f>SUM(养成消耗调参!$H$148:$H$189)</x:f>
        <x:v>235200</x:v>
      </x:c>
      <x:c r="P189" s="40" t="n">
        <x:f>SUM(养成消耗调参!$I$148:$I$189)</x:f>
        <x:v>640</x:v>
      </x:c>
    </x:row>
    <x:row r="190" ht="23.100000381469727" customHeight="1">
      <x:c r="A190" s="19"/>
      <x:c r="B190" s="25">
        <x:v>43</x:v>
      </x:c>
      <x:c r="C190" s="40" t="n">
        <x:f>养成消耗调参!$F$59</x:f>
        <x:v>960</x:v>
      </x:c>
      <x:c r="D190" s="40" t="n">
        <x:f>养成消耗调参!$G$59</x:f>
        <x:v>1440</x:v>
      </x:c>
      <x:c r="E190" s="40" t="n">
        <x:f>养成消耗调参!$H$59</x:f>
        <x:v>1920</x:v>
      </x:c>
      <x:c r="F190" s="40" t="n">
        <x:f>养成消耗调参!$F$134</x:f>
        <x:v>6600</x:v>
      </x:c>
      <x:c r="G190" s="40" t="n">
        <x:f>养成消耗调参!$G$134</x:f>
        <x:v>9900</x:v>
      </x:c>
      <x:c r="H190" s="40" t="n">
        <x:f>养成消耗调参!$H$134</x:f>
        <x:v>13200</x:v>
      </x:c>
      <x:c r="I190" s="40">
        <x:f t="shared" si="3"/>
        <x:v>0</x:v>
      </x:c>
      <x:c r="J190" s="40" t="n">
        <x:f>SUM(养成消耗调参!$C$148:$C$190)</x:f>
        <x:v>20328</x:v>
      </x:c>
      <x:c r="K190" s="40" t="n">
        <x:f>SUM(养成消耗调参!$D$148:$D$190)</x:f>
        <x:v>30312</x:v>
      </x:c>
      <x:c r="L190" s="40" t="n">
        <x:f>SUM(养成消耗调参!$E$148:$E$190)</x:f>
        <x:v>40416</x:v>
      </x:c>
      <x:c r="M190" s="40" t="n">
        <x:f>SUM(养成消耗调参!$F$148:$F$190)</x:f>
        <x:v>124200</x:v>
      </x:c>
      <x:c r="N190" s="40" t="n">
        <x:f>SUM(养成消耗调参!$G$148:$G$190)</x:f>
        <x:v>186300</x:v>
      </x:c>
      <x:c r="O190" s="40" t="n">
        <x:f>SUM(养成消耗调参!$H$148:$H$190)</x:f>
        <x:v>248400</x:v>
      </x:c>
      <x:c r="P190" s="40" t="n">
        <x:f>SUM(养成消耗调参!$I$148:$I$190)</x:f>
        <x:v>640</x:v>
      </x:c>
    </x:row>
    <x:row r="191" ht="23.100000381469727" customHeight="1">
      <x:c r="A191" s="19"/>
      <x:c r="B191" s="25">
        <x:v>44</x:v>
      </x:c>
      <x:c r="C191" s="40" t="n">
        <x:f>养成消耗调参!$F$60</x:f>
        <x:v>1008</x:v>
      </x:c>
      <x:c r="D191" s="40" t="n">
        <x:f>养成消耗调参!$G$60</x:f>
        <x:v>1512</x:v>
      </x:c>
      <x:c r="E191" s="40" t="n">
        <x:f>养成消耗调参!$H$60</x:f>
        <x:v>2016</x:v>
      </x:c>
      <x:c r="F191" s="40" t="n">
        <x:f>养成消耗调参!$F$135</x:f>
        <x:v>6600</x:v>
      </x:c>
      <x:c r="G191" s="40" t="n">
        <x:f>养成消耗调参!$G$135</x:f>
        <x:v>9900</x:v>
      </x:c>
      <x:c r="H191" s="40" t="n">
        <x:f>养成消耗调参!$H$135</x:f>
        <x:v>13200</x:v>
      </x:c>
      <x:c r="I191" s="40">
        <x:f t="shared" si="3"/>
        <x:v>0</x:v>
      </x:c>
      <x:c r="J191" s="40" t="n">
        <x:f>SUM(养成消耗调参!$C$148:$C$191)</x:f>
        <x:v>21336</x:v>
      </x:c>
      <x:c r="K191" s="40" t="n">
        <x:f>SUM(养成消耗调参!$D$148:$D$191)</x:f>
        <x:v>31824</x:v>
      </x:c>
      <x:c r="L191" s="40" t="n">
        <x:f>SUM(养成消耗调参!$E$148:$E$191)</x:f>
        <x:v>42432</x:v>
      </x:c>
      <x:c r="M191" s="40" t="n">
        <x:f>SUM(养成消耗调参!$F$148:$F$191)</x:f>
        <x:v>130800</x:v>
      </x:c>
      <x:c r="N191" s="40" t="n">
        <x:f>SUM(养成消耗调参!$G$148:$G$191)</x:f>
        <x:v>196200</x:v>
      </x:c>
      <x:c r="O191" s="40" t="n">
        <x:f>SUM(养成消耗调参!$H$148:$H$191)</x:f>
        <x:v>261600</x:v>
      </x:c>
      <x:c r="P191" s="40" t="n">
        <x:f>SUM(养成消耗调参!$I$148:$I$191)</x:f>
        <x:v>640</x:v>
      </x:c>
    </x:row>
    <x:row r="192" ht="23.100000381469727" customHeight="1">
      <x:c r="A192" s="19"/>
      <x:c r="B192" s="25">
        <x:v>45</x:v>
      </x:c>
      <x:c r="C192" s="40" t="n">
        <x:f>养成消耗调参!$F$61</x:f>
        <x:v>1008</x:v>
      </x:c>
      <x:c r="D192" s="40" t="n">
        <x:f>养成消耗调参!$G$61</x:f>
        <x:v>1512</x:v>
      </x:c>
      <x:c r="E192" s="40" t="n">
        <x:f>养成消耗调参!$H$61</x:f>
        <x:v>2016</x:v>
      </x:c>
      <x:c r="F192" s="40" t="n">
        <x:f>养成消耗调参!$F$136</x:f>
        <x:v>6600</x:v>
      </x:c>
      <x:c r="G192" s="40" t="n">
        <x:f>养成消耗调参!$G$136</x:f>
        <x:v>9900</x:v>
      </x:c>
      <x:c r="H192" s="40" t="n">
        <x:f>养成消耗调参!$H$136</x:f>
        <x:v>13200</x:v>
      </x:c>
      <x:c r="I192" s="40">
        <x:f t="shared" si="3"/>
        <x:v>170</x:v>
      </x:c>
      <x:c r="J192" s="40" t="n">
        <x:f>SUM(养成消耗调参!$C$148:$C$192)</x:f>
        <x:v>22344</x:v>
      </x:c>
      <x:c r="K192" s="40" t="n">
        <x:f>SUM(养成消耗调参!$D$148:$D$192)</x:f>
        <x:v>33336</x:v>
      </x:c>
      <x:c r="L192" s="40" t="n">
        <x:f>SUM(养成消耗调参!$E$148:$E$192)</x:f>
        <x:v>44448</x:v>
      </x:c>
      <x:c r="M192" s="40" t="n">
        <x:f>SUM(养成消耗调参!$F$148:$F$192)</x:f>
        <x:v>137400</x:v>
      </x:c>
      <x:c r="N192" s="40" t="n">
        <x:f>SUM(养成消耗调参!$G$148:$G$192)</x:f>
        <x:v>206100</x:v>
      </x:c>
      <x:c r="O192" s="40" t="n">
        <x:f>SUM(养成消耗调参!$H$148:$H$192)</x:f>
        <x:v>274800</x:v>
      </x:c>
      <x:c r="P192" s="40" t="n">
        <x:f>SUM(养成消耗调参!$I$148:$I$192)</x:f>
        <x:v>810</x:v>
      </x:c>
    </x:row>
    <x:row r="193" ht="23.100000381469727" customHeight="1">
      <x:c r="A193" s="19"/>
      <x:c r="B193" s="25">
        <x:v>46</x:v>
      </x:c>
      <x:c r="C193" s="40" t="n">
        <x:f>养成消耗调参!$F$62</x:f>
        <x:v>1056</x:v>
      </x:c>
      <x:c r="D193" s="40" t="n">
        <x:f>养成消耗调参!$G$62</x:f>
        <x:v>1584</x:v>
      </x:c>
      <x:c r="E193" s="40" t="n">
        <x:f>养成消耗调参!$H$62</x:f>
        <x:v>2112</x:v>
      </x:c>
      <x:c r="F193" s="40" t="n">
        <x:f>养成消耗调参!$F$137</x:f>
        <x:v>6600</x:v>
      </x:c>
      <x:c r="G193" s="40" t="n">
        <x:f>养成消耗调参!$G$137</x:f>
        <x:v>9900</x:v>
      </x:c>
      <x:c r="H193" s="40" t="n">
        <x:f>养成消耗调参!$H$137</x:f>
        <x:v>13200</x:v>
      </x:c>
      <x:c r="I193" s="40">
        <x:f t="shared" si="3"/>
        <x:v>0</x:v>
      </x:c>
      <x:c r="J193" s="40" t="n">
        <x:f>SUM(养成消耗调参!$C$148:$C$193)</x:f>
        <x:v>23400</x:v>
      </x:c>
      <x:c r="K193" s="40" t="n">
        <x:f>SUM(养成消耗调参!$D$148:$D$193)</x:f>
        <x:v>34920</x:v>
      </x:c>
      <x:c r="L193" s="40" t="n">
        <x:f>SUM(养成消耗调参!$E$148:$E$193)</x:f>
        <x:v>46560</x:v>
      </x:c>
      <x:c r="M193" s="40" t="n">
        <x:f>SUM(养成消耗调参!$F$148:$F$193)</x:f>
        <x:v>144000</x:v>
      </x:c>
      <x:c r="N193" s="40" t="n">
        <x:f>SUM(养成消耗调参!$G$148:$G$193)</x:f>
        <x:v>216000</x:v>
      </x:c>
      <x:c r="O193" s="40" t="n">
        <x:f>SUM(养成消耗调参!$H$148:$H$193)</x:f>
        <x:v>288000</x:v>
      </x:c>
      <x:c r="P193" s="40" t="n">
        <x:f>SUM(养成消耗调参!$I$148:$I$193)</x:f>
        <x:v>810</x:v>
      </x:c>
    </x:row>
    <x:row r="194" ht="23.100000381469727" customHeight="1">
      <x:c r="A194" s="19"/>
      <x:c r="B194" s="25">
        <x:v>47</x:v>
      </x:c>
      <x:c r="C194" s="40" t="n">
        <x:f>养成消耗调参!$F$63</x:f>
        <x:v>1056</x:v>
      </x:c>
      <x:c r="D194" s="40" t="n">
        <x:f>养成消耗调参!$G$63</x:f>
        <x:v>1584</x:v>
      </x:c>
      <x:c r="E194" s="40" t="n">
        <x:f>养成消耗调参!$H$63</x:f>
        <x:v>2112</x:v>
      </x:c>
      <x:c r="F194" s="40" t="n">
        <x:f>养成消耗调参!$F$138</x:f>
        <x:v>7500</x:v>
      </x:c>
      <x:c r="G194" s="40" t="n">
        <x:f>养成消耗调参!$G$138</x:f>
        <x:v>11250</x:v>
      </x:c>
      <x:c r="H194" s="40" t="n">
        <x:f>养成消耗调参!$H$138</x:f>
        <x:v>15000</x:v>
      </x:c>
      <x:c r="I194" s="40">
        <x:f t="shared" si="3"/>
        <x:v>0</x:v>
      </x:c>
      <x:c r="J194" s="40" t="n">
        <x:f>SUM(养成消耗调参!$C$148:$C$194)</x:f>
        <x:v>24456</x:v>
      </x:c>
      <x:c r="K194" s="40" t="n">
        <x:f>SUM(养成消耗调参!$D$148:$D$194)</x:f>
        <x:v>36504</x:v>
      </x:c>
      <x:c r="L194" s="40" t="n">
        <x:f>SUM(养成消耗调参!$E$148:$E$194)</x:f>
        <x:v>48672</x:v>
      </x:c>
      <x:c r="M194" s="40" t="n">
        <x:f>SUM(养成消耗调参!$F$148:$F$194)</x:f>
        <x:v>151500</x:v>
      </x:c>
      <x:c r="N194" s="40" t="n">
        <x:f>SUM(养成消耗调参!$G$148:$G$194)</x:f>
        <x:v>227250</x:v>
      </x:c>
      <x:c r="O194" s="40" t="n">
        <x:f>SUM(养成消耗调参!$H$148:$H$194)</x:f>
        <x:v>303000</x:v>
      </x:c>
      <x:c r="P194" s="40" t="n">
        <x:f>SUM(养成消耗调参!$I$148:$I$194)</x:f>
        <x:v>810</x:v>
      </x:c>
    </x:row>
    <x:row r="195" ht="23.100000381469727" customHeight="1">
      <x:c r="A195" s="19"/>
      <x:c r="B195" s="25">
        <x:v>48</x:v>
      </x:c>
      <x:c r="C195" s="40" t="n">
        <x:f>养成消耗调参!$F$64</x:f>
        <x:v>1104</x:v>
      </x:c>
      <x:c r="D195" s="40" t="n">
        <x:f>养成消耗调参!$G$64</x:f>
        <x:v>1656</x:v>
      </x:c>
      <x:c r="E195" s="40" t="n">
        <x:f>养成消耗调参!$H$64</x:f>
        <x:v>2208</x:v>
      </x:c>
      <x:c r="F195" s="40" t="n">
        <x:f>养成消耗调参!$F$139</x:f>
        <x:v>7500</x:v>
      </x:c>
      <x:c r="G195" s="40" t="n">
        <x:f>养成消耗调参!$G$139</x:f>
        <x:v>11250</x:v>
      </x:c>
      <x:c r="H195" s="40" t="n">
        <x:f>养成消耗调参!$H$139</x:f>
        <x:v>15000</x:v>
      </x:c>
      <x:c r="I195" s="40">
        <x:f t="shared" si="3"/>
        <x:v>0</x:v>
      </x:c>
      <x:c r="J195" s="40" t="n">
        <x:f>SUM(养成消耗调参!$C$148:$C$195)</x:f>
        <x:v>25560</x:v>
      </x:c>
      <x:c r="K195" s="40" t="n">
        <x:f>SUM(养成消耗调参!$D$148:$D$195)</x:f>
        <x:v>38160</x:v>
      </x:c>
      <x:c r="L195" s="40" t="n">
        <x:f>SUM(养成消耗调参!$E$148:$E$195)</x:f>
        <x:v>50880</x:v>
      </x:c>
      <x:c r="M195" s="40" t="n">
        <x:f>SUM(养成消耗调参!$F$148:$F$195)</x:f>
        <x:v>159000</x:v>
      </x:c>
      <x:c r="N195" s="40" t="n">
        <x:f>SUM(养成消耗调参!$G$148:$G$195)</x:f>
        <x:v>238500</x:v>
      </x:c>
      <x:c r="O195" s="40" t="n">
        <x:f>SUM(养成消耗调参!$H$148:$H$195)</x:f>
        <x:v>318000</x:v>
      </x:c>
      <x:c r="P195" s="40" t="n">
        <x:f>SUM(养成消耗调参!$I$148:$I$195)</x:f>
        <x:v>810</x:v>
      </x:c>
    </x:row>
    <x:row r="196" ht="23.100000381469727" customHeight="1">
      <x:c r="A196" s="19"/>
      <x:c r="B196" s="25">
        <x:v>49</x:v>
      </x:c>
      <x:c r="C196" s="40" t="n">
        <x:f>养成消耗调参!$F$65</x:f>
        <x:v>1104</x:v>
      </x:c>
      <x:c r="D196" s="40" t="n">
        <x:f>养成消耗调参!$G$65</x:f>
        <x:v>1656</x:v>
      </x:c>
      <x:c r="E196" s="40" t="n">
        <x:f>养成消耗调参!$H$65</x:f>
        <x:v>2208</x:v>
      </x:c>
      <x:c r="F196" s="40" t="n">
        <x:f>养成消耗调参!$F$140</x:f>
        <x:v>7500</x:v>
      </x:c>
      <x:c r="G196" s="40" t="n">
        <x:f>养成消耗调参!$G$140</x:f>
        <x:v>11250</x:v>
      </x:c>
      <x:c r="H196" s="40" t="n">
        <x:f>养成消耗调参!$H$140</x:f>
        <x:v>15000</x:v>
      </x:c>
      <x:c r="I196" s="40">
        <x:f t="shared" si="3"/>
        <x:v>0</x:v>
      </x:c>
      <x:c r="J196" s="40" t="n">
        <x:f>SUM(养成消耗调参!$C$148:$C$196)</x:f>
        <x:v>26664</x:v>
      </x:c>
      <x:c r="K196" s="40" t="n">
        <x:f>SUM(养成消耗调参!$D$148:$D$196)</x:f>
        <x:v>39816</x:v>
      </x:c>
      <x:c r="L196" s="40" t="n">
        <x:f>SUM(养成消耗调参!$E$148:$E$196)</x:f>
        <x:v>53088</x:v>
      </x:c>
      <x:c r="M196" s="40" t="n">
        <x:f>SUM(养成消耗调参!$F$148:$F$196)</x:f>
        <x:v>166500</x:v>
      </x:c>
      <x:c r="N196" s="40" t="n">
        <x:f>SUM(养成消耗调参!$G$148:$G$196)</x:f>
        <x:v>249750</x:v>
      </x:c>
      <x:c r="O196" s="40" t="n">
        <x:f>SUM(养成消耗调参!$H$148:$H$196)</x:f>
        <x:v>333000</x:v>
      </x:c>
      <x:c r="P196" s="40" t="n">
        <x:f>SUM(养成消耗调参!$I$148:$I$196)</x:f>
        <x:v>810</x:v>
      </x:c>
    </x:row>
    <x:row r="197" ht="23.100000381469727" customHeight="1">
      <x:c r="A197" s="19"/>
      <x:c r="B197" s="25">
        <x:v>50</x:v>
      </x:c>
      <x:c r="C197" s="40" t="n">
        <x:f>养成消耗调参!$F$66</x:f>
        <x:v>1152</x:v>
      </x:c>
      <x:c r="D197" s="40" t="n">
        <x:f>养成消耗调参!$G$66</x:f>
        <x:v>1728</x:v>
      </x:c>
      <x:c r="E197" s="40" t="n">
        <x:f>养成消耗调参!$H$66</x:f>
        <x:v>2304</x:v>
      </x:c>
      <x:c r="F197" s="40" t="n">
        <x:f>养成消耗调参!$F$141</x:f>
        <x:v>7500</x:v>
      </x:c>
      <x:c r="G197" s="40" t="n">
        <x:f>养成消耗调参!$G$141</x:f>
        <x:v>11250</x:v>
      </x:c>
      <x:c r="H197" s="40" t="n">
        <x:f>养成消耗调参!$H$141</x:f>
        <x:v>15000</x:v>
      </x:c>
      <x:c r="I197" s="40">
        <x:f t="shared" si="3"/>
        <x:v>190</x:v>
      </x:c>
      <x:c r="J197" s="40" t="n">
        <x:f>SUM(养成消耗调参!$C$148:$C$197)</x:f>
        <x:v>27816</x:v>
      </x:c>
      <x:c r="K197" s="40" t="n">
        <x:f>SUM(养成消耗调参!$D$148:$D$197)</x:f>
        <x:v>41544</x:v>
      </x:c>
      <x:c r="L197" s="40" t="n">
        <x:f>SUM(养成消耗调参!$E$148:$E$197)</x:f>
        <x:v>55392</x:v>
      </x:c>
      <x:c r="M197" s="40" t="n">
        <x:f>SUM(养成消耗调参!$F$148:$F$197)</x:f>
        <x:v>174000</x:v>
      </x:c>
      <x:c r="N197" s="40" t="n">
        <x:f>SUM(养成消耗调参!$G$148:$G$197)</x:f>
        <x:v>261000</x:v>
      </x:c>
      <x:c r="O197" s="40" t="n">
        <x:f>SUM(养成消耗调参!$H$148:$H$197)</x:f>
        <x:v>348000</x:v>
      </x:c>
      <x:c r="P197" s="40" t="n">
        <x:f>SUM(养成消耗调参!$I$148:$I$197)</x:f>
        <x:v>1000</x:v>
      </x:c>
    </x:row>
  </x:sheetData>
  <x:dataValidations count="2">
    <x:dataValidation type="whole" operator="greaterThanOrEqual" sqref="C9:E10">
      <x:formula1>1</x:formula1>
    </x:dataValidation>
    <x:dataValidation type="whole" operator="greaterThanOrEqual" sqref="H9:H11 C18:E66 K18:M27">
      <x:formula1>0</x:formula1>
    </x:dataValidation>
  </x:dataValidations>
  <x:pageMargins left="0.7" right="0.7" top="0.75" bottom="0.75" header="0.3" footer="0.3"/>
  <x:drawing xmlns:r="http://schemas.openxmlformats.org/officeDocument/2006/relationships" r:id="Rfae458823c2847cf"/>
</x:worksheet>
</file>

<file path=xl/worksheets/sheet6.xml><?xml version="1.0" encoding="utf-8"?>
<x:worksheet xmlns:x="http://schemas.openxmlformats.org/spreadsheetml/2006/main">
  <x:sheetPr>
    <x:tabColor rgb="FF4C699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customWidth="1"/>
    <x:col min="2" max="2" width="13" customWidth="1"/>
    <x:col min="3" max="3" width="17" customWidth="1"/>
    <x:col min="4" max="8" width="13" customWidth="1"/>
    <x:col min="9" max="9" width="18" customWidth="1"/>
    <x:col min="10" max="10" width="13" customWidth="1"/>
    <x:col min="11" max="11" width="18" customWidth="1"/>
    <x:col min="12" max="16" width="13" customWidth="1"/>
  </x:cols>
  <x:sheetData>
    <x:row r="1" ht="23.100000381469727" customHeight="1">
      <x:c r="A1" s="19"/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</x:row>
    <x:row r="2" ht="32.099998474121094" customHeight="1">
      <x:c r="A2" s="19"/>
      <x:c r="B2" s="32" t="s">
        <x:v>473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</x:row>
    <x:row r="3" ht="23.100000381469727" customHeight="1">
      <x:c r="A3" s="19"/>
      <x:c r="B3" s="33" t="s">
        <x:v>410</x:v>
      </x:c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</x:row>
    <x:row r="4" ht="23.100000381469727" customHeight="1">
      <x:c r="A4" s="19"/>
      <x:c r="B4" s="34"/>
      <x:c r="C4" s="34"/>
      <x:c r="D4" s="34"/>
      <x:c r="E4" s="34"/>
      <x:c r="F4" s="34"/>
      <x:c r="G4" s="34"/>
      <x:c r="H4" s="34"/>
      <x:c r="I4" s="34"/>
      <x:c r="J4" s="34"/>
      <x:c r="K4" s="34"/>
      <x:c r="L4" s="34"/>
      <x:c r="M4" s="34"/>
      <x:c r="N4" s="34"/>
      <x:c r="O4" s="34"/>
      <x:c r="P4" s="34"/>
    </x:row>
    <x:row r="5" ht="23.100000381469727" customHeight="1">
      <x:c r="A5" s="19"/>
      <x:c r="B5" s="25"/>
      <x:c r="C5" s="25"/>
      <x:c r="D5" s="25"/>
      <x:c r="E5" s="25"/>
      <x:c r="F5" s="25"/>
      <x:c r="G5" s="25"/>
      <x:c r="H5" s="25"/>
      <x:c r="I5" s="25"/>
      <x:c r="J5" s="25"/>
      <x:c r="K5" s="25"/>
      <x:c r="L5" s="25"/>
      <x:c r="M5" s="25"/>
      <x:c r="N5" s="25"/>
      <x:c r="O5" s="25"/>
      <x:c r="P5" s="25"/>
    </x:row>
    <x:row r="6" ht="23.100000381469727" customHeight="1">
      <x:c r="A6" s="19"/>
      <x:c r="B6" s="35" t="s">
        <x:v>474</x:v>
      </x:c>
      <x:c r="C6" s="25"/>
      <x:c r="D6" s="25"/>
      <x:c r="E6" s="25"/>
      <x:c r="F6" s="25"/>
      <x:c r="G6" s="35" t="s">
        <x:v>475</x:v>
      </x:c>
      <x:c r="H6" s="25"/>
      <x:c r="I6" s="25"/>
      <x:c r="J6" s="25"/>
      <x:c r="K6" s="25"/>
      <x:c r="L6" s="25"/>
      <x:c r="M6" s="25"/>
      <x:c r="N6" s="25"/>
      <x:c r="O6" s="25"/>
      <x:c r="P6" s="25"/>
    </x:row>
    <x:row r="7" ht="23.100000381469727" customHeight="1">
      <x:c r="A7" s="19"/>
      <x:c r="B7" s="25"/>
      <x:c r="C7" s="25"/>
      <x:c r="D7" s="25"/>
      <x:c r="E7" s="25"/>
      <x:c r="F7" s="25"/>
      <x:c r="G7" s="25"/>
      <x:c r="H7" s="25"/>
      <x:c r="I7" s="25"/>
      <x:c r="J7" s="25"/>
      <x:c r="K7" s="25"/>
      <x:c r="L7" s="25"/>
      <x:c r="M7" s="25"/>
      <x:c r="N7" s="25"/>
      <x:c r="O7" s="25"/>
      <x:c r="P7" s="25"/>
    </x:row>
    <x:row r="8" ht="30" customHeight="1">
      <x:c r="A8" s="19"/>
      <x:c r="B8" s="36" t="s">
        <x:v>417</x:v>
      </x:c>
      <x:c r="C8" s="37" t="s">
        <x:v>418</x:v>
      </x:c>
      <x:c r="D8" s="37" t="s">
        <x:v>419</x:v>
      </x:c>
      <x:c r="E8" s="38" t="s">
        <x:v>476</x:v>
      </x:c>
      <x:c r="F8" s="25"/>
      <x:c r="G8" s="36" t="s">
        <x:v>41</x:v>
      </x:c>
      <x:c r="H8" s="37" t="s">
        <x:v>477</x:v>
      </x:c>
      <x:c r="I8" s="37" t="s">
        <x:v>478</x:v>
      </x:c>
      <x:c r="J8" s="37" t="s">
        <x:v>479</x:v>
      </x:c>
      <x:c r="K8" s="37" t="s">
        <x:v>480</x:v>
      </x:c>
      <x:c r="L8" s="38" t="s">
        <x:v>481</x:v>
      </x:c>
      <x:c r="M8" s="25"/>
      <x:c r="N8" s="25"/>
      <x:c r="O8" s="25"/>
      <x:c r="P8" s="25"/>
    </x:row>
    <x:row r="9" ht="23.100000381469727" customHeight="1">
      <x:c r="A9" s="19"/>
      <x:c r="B9" s="25" t="s">
        <x:v>482</x:v>
      </x:c>
      <x:c r="C9" s="40">
        <x:v>50</x:v>
      </x:c>
      <x:c r="D9" s="25" t="s">
        <x:v>433</x:v>
      </x:c>
      <x:c r="E9" s="25" t="s">
        <x:v>483</x:v>
      </x:c>
      <x:c r="F9" s="25"/>
      <x:c r="G9" s="53" t="s">
        <x:v>414</x:v>
      </x:c>
      <x:c r="H9" s="39">
        <x:v>60</x:v>
      </x:c>
      <x:c r="I9" s="40" t="n">
        <x:f>英雄升级调参!$H$9*英雄升级调参!$C$11</x:f>
        <x:v>600</x:v>
      </x:c>
      <x:c r="J9" s="45">
        <x:v>1</x:v>
      </x:c>
      <x:c r="K9" s="25" t="s">
        <x:v>484</x:v>
      </x:c>
      <x:c r="L9" s="40" t="n">
        <x:f>H9*I9</x:f>
        <x:v>36000</x:v>
      </x:c>
      <x:c r="M9" s="25"/>
      <x:c r="N9" s="25"/>
      <x:c r="O9" s="25"/>
      <x:c r="P9" s="25"/>
    </x:row>
    <x:row r="10" ht="23.100000381469727" customHeight="1">
      <x:c r="A10" s="19"/>
      <x:c r="B10" s="25" t="s">
        <x:v>485</x:v>
      </x:c>
      <x:c r="C10" s="40">
        <x:v>5</x:v>
      </x:c>
      <x:c r="D10" s="25" t="s">
        <x:v>486</x:v>
      </x:c>
      <x:c r="E10" s="25" t="s">
        <x:v>487</x:v>
      </x:c>
      <x:c r="F10" s="25"/>
      <x:c r="G10" s="54" t="s">
        <x:v>415</x:v>
      </x:c>
      <x:c r="H10" s="40">
        <x:f>英雄升级调参!$H$11-SUM(ROUND(英雄升级调参!$D$67*英雄升级调参!$J$10,0),ROUND(英雄升级调参!$D$68*英雄升级调参!$J$10,0),ROUND(英雄升级调参!$D$69*英雄升级调参!$J$10,0),ROUND(英雄升级调参!$D$70*英雄升级调参!$J$10,0)*3)</x:f>
        <x:v>195</x:v>
      </x:c>
      <x:c r="I10" s="40">
        <x:f>英雄升级调参!$I$11-SUM(ROUND(英雄升级调参!$D$67*英雄升级调参!$C$11*英雄升级调参!$J$10,0),ROUND(英雄升级调参!$D$68*英雄升级调参!$C$11*英雄升级调参!$J$10,0),ROUND(英雄升级调参!$D$69*英雄升级调参!$C$11*英雄升级调参!$J$10,0),ROUND(英雄升级调参!$D$70*英雄升级调参!$C$11*英雄升级调参!$J$10,0)*3)</x:f>
        <x:v>1950</x:v>
      </x:c>
      <x:c r="J10" s="45">
        <x:v>1.5</x:v>
      </x:c>
      <x:c r="K10" s="25" t="s">
        <x:v>488</x:v>
      </x:c>
      <x:c r="L10" s="40">
        <x:f>H10*I10</x:f>
        <x:v>380250</x:v>
      </x:c>
      <x:c r="M10" s="25"/>
      <x:c r="N10" s="25"/>
      <x:c r="O10" s="25"/>
      <x:c r="P10" s="25"/>
    </x:row>
    <x:row r="11" ht="23.100000381469727" customHeight="1">
      <x:c r="A11" s="19"/>
      <x:c r="B11" s="25" t="s">
        <x:v>489</x:v>
      </x:c>
      <x:c r="C11" s="45">
        <x:v>10</x:v>
      </x:c>
      <x:c r="D11" s="25" t="s">
        <x:v>490</x:v>
      </x:c>
      <x:c r="E11" s="25" t="s">
        <x:v>491</x:v>
      </x:c>
      <x:c r="F11" s="25"/>
      <x:c r="G11" s="55" t="s">
        <x:v>416</x:v>
      </x:c>
      <x:c r="H11" s="40">
        <x:f>英雄升级调参!$E$75</x:f>
        <x:v>357</x:v>
      </x:c>
      <x:c r="I11" s="40">
        <x:f>英雄升级调参!$F$75</x:f>
        <x:v>3570</x:v>
      </x:c>
      <x:c r="J11" s="45">
        <x:v>2.5</x:v>
      </x:c>
      <x:c r="K11" s="25" t="s">
        <x:v>488</x:v>
      </x:c>
      <x:c r="L11" s="40">
        <x:f>H11*I11</x:f>
        <x:v>1274490</x:v>
      </x:c>
      <x:c r="M11" s="25"/>
      <x:c r="N11" s="25"/>
      <x:c r="O11" s="25"/>
      <x:c r="P11" s="25"/>
    </x:row>
    <x:row r="12" ht="23.100000381469727" customHeight="1">
      <x:c r="A12" s="19"/>
      <x:c r="B12" s="25"/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  <x:c r="M12" s="25"/>
      <x:c r="N12" s="25"/>
      <x:c r="O12" s="25"/>
      <x:c r="P12" s="25"/>
    </x:row>
    <x:row r="13" ht="23.100000381469727" customHeight="1">
      <x:c r="A13" s="19"/>
      <x:c r="B13" s="25"/>
      <x:c r="C13" s="25"/>
      <x:c r="D13" s="25"/>
      <x:c r="E13" s="25"/>
      <x:c r="F13" s="25"/>
      <x:c r="G13" s="25" t="s">
        <x:v>492</x:v>
      </x:c>
      <x:c r="H13" s="25"/>
      <x:c r="I13" s="25"/>
      <x:c r="J13" s="25"/>
      <x:c r="K13" s="25"/>
      <x:c r="L13" s="25"/>
      <x:c r="M13" s="25"/>
      <x:c r="N13" s="25"/>
      <x:c r="O13" s="25"/>
      <x:c r="P13" s="25"/>
    </x:row>
    <x:row r="14" ht="23.100000381469727" customHeight="1">
      <x:c r="A14" s="19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</x:row>
    <x:row r="15" ht="23.100000381469727" customHeight="1">
      <x:c r="A15" s="19"/>
      <x:c r="B15" s="35" t="s">
        <x:v>493</x:v>
      </x:c>
      <x:c r="C15" s="25"/>
      <x:c r="D15" s="25"/>
      <x:c r="E15" s="25"/>
      <x:c r="F15" s="25"/>
      <x:c r="G15" s="25"/>
      <x:c r="H15" s="25"/>
      <x:c r="I15" s="25"/>
      <x:c r="J15" s="25"/>
      <x:c r="K15" s="35" t="s">
        <x:v>494</x:v>
      </x:c>
      <x:c r="L15" s="25"/>
      <x:c r="M15" s="25"/>
      <x:c r="N15" s="25"/>
      <x:c r="O15" s="25"/>
      <x:c r="P15" s="25"/>
    </x:row>
    <x:row r="16" ht="23.100000381469727" customHeight="1">
      <x:c r="A16" s="19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</x:row>
    <x:row r="17" ht="30" customHeight="1">
      <x:c r="A17" s="19"/>
      <x:c r="B17" s="36" t="s">
        <x:v>38</x:v>
      </x:c>
      <x:c r="C17" s="37" t="s">
        <x:v>39</x:v>
      </x:c>
      <x:c r="D17" s="37" t="s">
        <x:v>495</x:v>
      </x:c>
      <x:c r="E17" s="37" t="s">
        <x:v>65</x:v>
      </x:c>
      <x:c r="F17" s="37" t="s">
        <x:v>496</x:v>
      </x:c>
      <x:c r="G17" s="37" t="s">
        <x:v>497</x:v>
      </x:c>
      <x:c r="H17" s="37" t="s">
        <x:v>498</x:v>
      </x:c>
      <x:c r="I17" s="38" t="s">
        <x:v>499</x:v>
      </x:c>
      <x:c r="J17" s="68" t="s">
        <x:v>500</x:v>
      </x:c>
      <x:c r="K17" s="25" t="s">
        <x:v>501</x:v>
      </x:c>
      <x:c r="L17" s="25"/>
      <x:c r="M17" s="25" t="str">
        <x:f>IF(AND(E75=H70,H70=K66,F75=I70,I70=L66),"一致","不一致")</x:f>
        <x:v>一致</x:v>
      </x:c>
      <x:c r="N17" s="25"/>
      <x:c r="O17" s="25"/>
      <x:c r="P17" s="25"/>
    </x:row>
    <x:row r="18" ht="23.100000381469727" customHeight="1">
      <x:c r="A18" s="19"/>
      <x:c r="B18" s="48">
        <x:v>310000</x:v>
      </x:c>
      <x:c r="C18" s="25" t="s">
        <x:v>502</x:v>
      </x:c>
      <x:c r="D18" s="25" t="s">
        <x:v>503</x:v>
      </x:c>
      <x:c r="E18" s="46">
        <x:v>1.05</x:v>
      </x:c>
      <x:c r="F18" s="46">
        <x:v>1</x:v>
      </x:c>
      <x:c r="G18" s="47" t="n">
        <x:f t="shared" ref="G18:G27" si="0">F18/E18</x:f>
        <x:v>0.9523809523809523</x:v>
      </x:c>
      <x:c r="H18" s="47" t="n">
        <x:f>英雄升级调参!$E$18*英雄升级调参!$G$18</x:f>
        <x:v>1</x:v>
      </x:c>
      <x:c r="I18" s="25" t="s">
        <x:v>504</x:v>
      </x:c>
      <x:c r="J18" s="69" t="s">
        <x:v>18</x:v>
      </x:c>
      <x:c r="K18" s="25"/>
      <x:c r="L18" s="25"/>
      <x:c r="M18" s="25"/>
      <x:c r="N18" s="25"/>
      <x:c r="O18" s="25"/>
      <x:c r="P18" s="25"/>
    </x:row>
    <x:row r="19" ht="23.100000381469727" customHeight="1">
      <x:c r="A19" s="19"/>
      <x:c r="B19" s="48">
        <x:v>310001</x:v>
      </x:c>
      <x:c r="C19" s="25" t="s">
        <x:v>505</x:v>
      </x:c>
      <x:c r="D19" s="25" t="s">
        <x:v>506</x:v>
      </x:c>
      <x:c r="E19" s="46">
        <x:v>1.1000000000000001</x:v>
      </x:c>
      <x:c r="F19" s="46">
        <x:v>1</x:v>
      </x:c>
      <x:c r="G19" s="47">
        <x:f t="shared" si="0"/>
        <x:v>0.90909090909090906</x:v>
      </x:c>
      <x:c r="H19" s="47" t="n">
        <x:f>英雄升级调参!$E$19*英雄升级调参!$G$19</x:f>
        <x:v>1</x:v>
      </x:c>
      <x:c r="I19" s="25" t="s">
        <x:v>507</x:v>
      </x:c>
      <x:c r="J19" s="69" t="s">
        <x:v>18</x:v>
      </x:c>
      <x:c r="K19" s="25" t="s">
        <x:v>508</x:v>
      </x:c>
      <x:c r="L19" s="25"/>
      <x:c r="M19" s="31">
        <x:f>MAX(ABS(MAX(英雄养成!R69:R1568)),ABS(MIN(英雄养成!R69:R1568)))</x:f>
        <x:v>0.017857142857142905</x:v>
      </x:c>
      <x:c r="N19" s="25"/>
      <x:c r="O19" s="25"/>
      <x:c r="P19" s="25"/>
    </x:row>
    <x:row r="20" ht="23.100000381469727" customHeight="1">
      <x:c r="A20" s="19"/>
      <x:c r="B20" s="48">
        <x:v>310002</x:v>
      </x:c>
      <x:c r="C20" s="25" t="s">
        <x:v>509</x:v>
      </x:c>
      <x:c r="D20" s="25" t="s">
        <x:v>510</x:v>
      </x:c>
      <x:c r="E20" s="46">
        <x:v>0.85</x:v>
      </x:c>
      <x:c r="F20" s="46">
        <x:v>1</x:v>
      </x:c>
      <x:c r="G20" s="47">
        <x:f t="shared" si="0"/>
        <x:v>1.1764705882352942</x:v>
      </x:c>
      <x:c r="H20" s="47" t="n">
        <x:f>英雄升级调参!$E$20*英雄升级调参!$G$20</x:f>
        <x:v>1</x:v>
      </x:c>
      <x:c r="I20" s="25" t="s">
        <x:v>511</x:v>
      </x:c>
      <x:c r="J20" s="69" t="s">
        <x:v>18</x:v>
      </x:c>
      <x:c r="K20" s="25"/>
      <x:c r="L20" s="25"/>
      <x:c r="M20" s="25"/>
      <x:c r="N20" s="25"/>
      <x:c r="O20" s="25"/>
      <x:c r="P20" s="25"/>
    </x:row>
    <x:row r="21" ht="23.100000381469727" customHeight="1">
      <x:c r="A21" s="19"/>
      <x:c r="B21" s="48">
        <x:v>310003</x:v>
      </x:c>
      <x:c r="C21" s="25" t="s">
        <x:v>512</x:v>
      </x:c>
      <x:c r="D21" s="25" t="s">
        <x:v>503</x:v>
      </x:c>
      <x:c r="E21" s="46">
        <x:v>1.1000000000000001</x:v>
      </x:c>
      <x:c r="F21" s="46">
        <x:v>1</x:v>
      </x:c>
      <x:c r="G21" s="47">
        <x:f t="shared" si="0"/>
        <x:v>0.90909090909090906</x:v>
      </x:c>
      <x:c r="H21" s="47" t="n">
        <x:f>英雄升级调参!$E$21*英雄升级调参!$G$21</x:f>
        <x:v>1</x:v>
      </x:c>
      <x:c r="I21" s="25" t="s">
        <x:v>513</x:v>
      </x:c>
      <x:c r="J21" s="69" t="s">
        <x:v>22</x:v>
      </x:c>
      <x:c r="K21" s="25" t="s">
        <x:v>479</x:v>
      </x:c>
      <x:c r="L21" s="25"/>
      <x:c r="M21" s="25" t="str">
        <x:f>J9&amp;" / "&amp;J10&amp;" / "&amp;J11</x:f>
        <x:v>1 / 1.5 / 2.5</x:v>
      </x:c>
      <x:c r="N21" s="25"/>
      <x:c r="O21" s="25"/>
      <x:c r="P21" s="25"/>
    </x:row>
    <x:row r="22" ht="23.100000381469727" customHeight="1">
      <x:c r="A22" s="19"/>
      <x:c r="B22" s="48">
        <x:v>310004</x:v>
      </x:c>
      <x:c r="C22" s="25" t="s">
        <x:v>514</x:v>
      </x:c>
      <x:c r="D22" s="25" t="s">
        <x:v>510</x:v>
      </x:c>
      <x:c r="E22" s="46">
        <x:v>0.8</x:v>
      </x:c>
      <x:c r="F22" s="46">
        <x:v>1</x:v>
      </x:c>
      <x:c r="G22" s="47">
        <x:f t="shared" si="0"/>
        <x:v>1.25</x:v>
      </x:c>
      <x:c r="H22" s="47" t="n">
        <x:f>英雄升级调参!$E$22*英雄升级调参!$G$22</x:f>
        <x:v>1</x:v>
      </x:c>
      <x:c r="I22" s="25" t="s">
        <x:v>515</x:v>
      </x:c>
      <x:c r="J22" s="69" t="s">
        <x:v>22</x:v>
      </x:c>
      <x:c r="K22" s="25"/>
      <x:c r="L22" s="25"/>
      <x:c r="M22" s="25"/>
      <x:c r="N22" s="25"/>
      <x:c r="O22" s="25"/>
      <x:c r="P22" s="25"/>
    </x:row>
    <x:row r="23" ht="23.100000381469727" customHeight="1">
      <x:c r="A23" s="19"/>
      <x:c r="B23" s="48">
        <x:v>310005</x:v>
      </x:c>
      <x:c r="C23" s="25" t="s">
        <x:v>516</x:v>
      </x:c>
      <x:c r="D23" s="25" t="s">
        <x:v>506</x:v>
      </x:c>
      <x:c r="E23" s="46">
        <x:v>1.1499999999999999</x:v>
      </x:c>
      <x:c r="F23" s="46">
        <x:v>1</x:v>
      </x:c>
      <x:c r="G23" s="47">
        <x:f t="shared" si="0"/>
        <x:v>0.86956521739130443</x:v>
      </x:c>
      <x:c r="H23" s="47" t="n">
        <x:f>英雄升级调参!$E$23*英雄升级调参!$G$23</x:f>
        <x:v>1</x:v>
      </x:c>
      <x:c r="I23" s="25" t="s">
        <x:v>517</x:v>
      </x:c>
      <x:c r="J23" s="69" t="s">
        <x:v>25</x:v>
      </x:c>
      <x:c r="K23" s="25" t="s">
        <x:v>518</x:v>
      </x:c>
      <x:c r="L23" s="25"/>
      <x:c r="M23" s="25" t="n">
        <x:f>养成消耗调参!P197</x:f>
        <x:v>1000</x:v>
      </x:c>
      <x:c r="N23" s="25"/>
      <x:c r="O23" s="25"/>
      <x:c r="P23" s="25"/>
    </x:row>
    <x:row r="24" ht="23.100000381469727" customHeight="1">
      <x:c r="A24" s="19"/>
      <x:c r="B24" s="48">
        <x:v>310006</x:v>
      </x:c>
      <x:c r="C24" s="25" t="s">
        <x:v>519</x:v>
      </x:c>
      <x:c r="D24" s="25" t="s">
        <x:v>503</x:v>
      </x:c>
      <x:c r="E24" s="46">
        <x:v>1.2</x:v>
      </x:c>
      <x:c r="F24" s="46">
        <x:v>1</x:v>
      </x:c>
      <x:c r="G24" s="47">
        <x:f t="shared" si="0"/>
        <x:v>0.83333333333333337</x:v>
      </x:c>
      <x:c r="H24" s="47" t="n">
        <x:f>英雄升级调参!$E$24*英雄升级调参!$G$24</x:f>
        <x:v>1</x:v>
      </x:c>
      <x:c r="I24" s="25" t="s">
        <x:v>520</x:v>
      </x:c>
      <x:c r="J24" s="69" t="s">
        <x:v>25</x:v>
      </x:c>
      <x:c r="K24" s="25"/>
      <x:c r="L24" s="25"/>
      <x:c r="M24" s="25"/>
      <x:c r="N24" s="25"/>
      <x:c r="O24" s="25"/>
      <x:c r="P24" s="25"/>
    </x:row>
    <x:row r="25" ht="23.100000381469727" customHeight="1">
      <x:c r="A25" s="19"/>
      <x:c r="B25" s="48">
        <x:v>310008</x:v>
      </x:c>
      <x:c r="C25" s="25" t="s">
        <x:v>521</x:v>
      </x:c>
      <x:c r="D25" s="25" t="s">
        <x:v>503</x:v>
      </x:c>
      <x:c r="E25" s="46">
        <x:v>1.25</x:v>
      </x:c>
      <x:c r="F25" s="46">
        <x:v>1</x:v>
      </x:c>
      <x:c r="G25" s="47">
        <x:f t="shared" si="0"/>
        <x:v>0.8</x:v>
      </x:c>
      <x:c r="H25" s="47" t="n">
        <x:f>英雄升级调参!$E$25*英雄升级调参!$G$25</x:f>
        <x:v>1</x:v>
      </x:c>
      <x:c r="I25" s="25" t="s">
        <x:v>522</x:v>
      </x:c>
      <x:c r="J25" s="69" t="s">
        <x:v>25</x:v>
      </x:c>
      <x:c r="K25" s="25" t="s">
        <x:v>523</x:v>
      </x:c>
      <x:c r="L25" s="25"/>
      <x:c r="M25" s="25" t="s">
        <x:v>524</x:v>
      </x:c>
      <x:c r="N25" s="25"/>
      <x:c r="O25" s="25"/>
      <x:c r="P25" s="25"/>
    </x:row>
    <x:row r="26" ht="23.100000381469727" customHeight="1">
      <x:c r="A26" s="19"/>
      <x:c r="B26" s="48">
        <x:v>310009</x:v>
      </x:c>
      <x:c r="C26" s="25" t="s">
        <x:v>525</x:v>
      </x:c>
      <x:c r="D26" s="25" t="s">
        <x:v>506</x:v>
      </x:c>
      <x:c r="E26" s="46">
        <x:v>1</x:v>
      </x:c>
      <x:c r="F26" s="46">
        <x:v>1</x:v>
      </x:c>
      <x:c r="G26" s="47">
        <x:f t="shared" si="0"/>
        <x:v>1</x:v>
      </x:c>
      <x:c r="H26" s="47" t="n">
        <x:f>英雄升级调参!$E$26*英雄升级调参!$G$26</x:f>
        <x:v>1</x:v>
      </x:c>
      <x:c r="I26" s="25" t="s">
        <x:v>526</x:v>
      </x:c>
      <x:c r="J26" s="69" t="s">
        <x:v>22</x:v>
      </x:c>
      <x:c r="K26" s="25"/>
      <x:c r="L26" s="25"/>
      <x:c r="M26" s="25"/>
      <x:c r="N26" s="25"/>
      <x:c r="O26" s="25"/>
      <x:c r="P26" s="25"/>
    </x:row>
    <x:row r="27" ht="23.100000381469727" customHeight="1">
      <x:c r="A27" s="19"/>
      <x:c r="B27" s="48">
        <x:v>310011</x:v>
      </x:c>
      <x:c r="C27" s="25" t="s">
        <x:v>527</x:v>
      </x:c>
      <x:c r="D27" s="25" t="s">
        <x:v>510</x:v>
      </x:c>
      <x:c r="E27" s="46">
        <x:v>0.95</x:v>
      </x:c>
      <x:c r="F27" s="46">
        <x:v>1</x:v>
      </x:c>
      <x:c r="G27" s="47">
        <x:f t="shared" si="0"/>
        <x:v>1.0526315789473684</x:v>
      </x:c>
      <x:c r="H27" s="47" t="n">
        <x:f>英雄升级调参!$E$27*英雄升级调参!$G$27</x:f>
        <x:v>0.9999999999999999</x:v>
      </x:c>
      <x:c r="I27" s="25" t="s">
        <x:v>528</x:v>
      </x:c>
      <x:c r="J27" s="69" t="s">
        <x:v>22</x:v>
      </x:c>
      <x:c r="K27" s="25"/>
      <x:c r="L27" s="25"/>
      <x:c r="M27" s="25"/>
      <x:c r="N27" s="25"/>
      <x:c r="O27" s="25"/>
      <x:c r="P27" s="25"/>
    </x:row>
    <x:row r="28" ht="23.100000381469727" customHeight="1">
      <x:c r="A28" s="19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</x:row>
    <x:row r="29" ht="23.100000381469727" customHeight="1">
      <x:c r="A29" s="19"/>
      <x:c r="B29" s="66" t="s">
        <x:v>529</x:v>
      </x:c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</x:row>
    <x:row r="30" ht="23.100000381469727" customHeight="1">
      <x:c r="A30" s="19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</x:row>
    <x:row r="31" ht="23.100000381469727" customHeight="1">
      <x:c r="A31" s="19"/>
      <x:c r="B31" s="35" t="s">
        <x:v>530</x:v>
      </x:c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</x:row>
    <x:row r="32" ht="23.100000381469727" customHeight="1">
      <x:c r="A32" s="19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</x:row>
    <x:row r="33" ht="30" customHeight="1">
      <x:c r="A33" s="19"/>
      <x:c r="B33" s="36" t="s">
        <x:v>42</x:v>
      </x:c>
      <x:c r="C33" s="37" t="s">
        <x:v>531</x:v>
      </x:c>
      <x:c r="D33" s="37" t="s">
        <x:v>532</x:v>
      </x:c>
      <x:c r="E33" s="37" t="s">
        <x:v>533</x:v>
      </x:c>
      <x:c r="F33" s="37" t="s">
        <x:v>534</x:v>
      </x:c>
      <x:c r="G33" s="37" t="s">
        <x:v>535</x:v>
      </x:c>
      <x:c r="H33" s="37" t="s">
        <x:v>536</x:v>
      </x:c>
      <x:c r="I33" s="37" t="s">
        <x:v>537</x:v>
      </x:c>
      <x:c r="J33" s="37" t="s">
        <x:v>538</x:v>
      </x:c>
      <x:c r="K33" s="37" t="s">
        <x:v>539</x:v>
      </x:c>
      <x:c r="L33" s="38" t="s">
        <x:v>540</x:v>
      </x:c>
      <x:c r="M33" s="25"/>
      <x:c r="N33" s="25"/>
      <x:c r="O33" s="25"/>
      <x:c r="P33" s="25"/>
    </x:row>
    <x:row r="34" ht="23.100000381469727" customHeight="1">
      <x:c r="A34" s="19"/>
      <x:c r="B34" s="25">
        <x:v>1</x:v>
      </x:c>
      <x:c r="C34" s="25" t="n">
        <x:f>(英雄升级调参!$B$34-1)*英雄升级调参!$C$10+1</x:f>
        <x:v>1</x:v>
      </x:c>
      <x:c r="D34" s="25" t="n">
        <x:f>英雄升级调参!$B$34*英雄升级调参!$C$10</x:f>
        <x:v>5</x:v>
      </x:c>
      <x:c r="E34" s="39">
        <x:v>18</x:v>
      </x:c>
      <x:c r="F34" s="40">
        <x:f>英雄升级调参!$E$34*英雄升级调参!$C$11</x:f>
        <x:v>180</x:v>
      </x:c>
      <x:c r="G34" s="40">
        <x:f t="shared" ref="G34:G43" si="1">ROUND(E34*$J$9,0)</x:f>
        <x:v>18</x:v>
      </x:c>
      <x:c r="H34" s="40">
        <x:f t="shared" ref="H34:H43" si="2">ROUND(F34*$J$9,0)</x:f>
        <x:v>180</x:v>
      </x:c>
      <x:c r="I34" s="40">
        <x:f t="shared" ref="I34:I43" si="3">ROUND(E34*$J$10,0)</x:f>
        <x:v>27</x:v>
      </x:c>
      <x:c r="J34" s="40">
        <x:f t="shared" ref="J34:J43" si="4">ROUND(F34*$J$10,0)</x:f>
        <x:v>270</x:v>
      </x:c>
      <x:c r="K34" s="40">
        <x:f t="shared" ref="K34:K43" si="5">ROUND(E34*$J$11,0)</x:f>
        <x:v>45</x:v>
      </x:c>
      <x:c r="L34" s="40">
        <x:f t="shared" ref="L34:L43" si="6">ROUND(F34*$J$11,0)</x:f>
        <x:v>450</x:v>
      </x:c>
      <x:c r="M34" s="25"/>
      <x:c r="N34" s="25"/>
      <x:c r="O34" s="25"/>
      <x:c r="P34" s="25"/>
    </x:row>
    <x:row r="35" ht="23.100000381469727" customHeight="1">
      <x:c r="A35" s="19"/>
      <x:c r="B35" s="25">
        <x:v>2</x:v>
      </x:c>
      <x:c r="C35" s="25" t="n">
        <x:f>(英雄升级调参!$B$35-1)*英雄升级调参!$C$10+1</x:f>
        <x:v>6</x:v>
      </x:c>
      <x:c r="D35" s="25" t="n">
        <x:f>英雄升级调参!$B$35*英雄升级调参!$C$10</x:f>
        <x:v>10</x:v>
      </x:c>
      <x:c r="E35" s="39">
        <x:v>27</x:v>
      </x:c>
      <x:c r="F35" s="40">
        <x:f>英雄升级调参!$E$35*英雄升级调参!$C$11</x:f>
        <x:v>270</x:v>
      </x:c>
      <x:c r="G35" s="40">
        <x:f t="shared" si="1"/>
        <x:v>27</x:v>
      </x:c>
      <x:c r="H35" s="40">
        <x:f t="shared" si="2"/>
        <x:v>270</x:v>
      </x:c>
      <x:c r="I35" s="40">
        <x:f t="shared" si="3"/>
        <x:v>41</x:v>
      </x:c>
      <x:c r="J35" s="40">
        <x:f t="shared" si="4"/>
        <x:v>405</x:v>
      </x:c>
      <x:c r="K35" s="40">
        <x:f t="shared" si="5"/>
        <x:v>68</x:v>
      </x:c>
      <x:c r="L35" s="40">
        <x:f t="shared" si="6"/>
        <x:v>675</x:v>
      </x:c>
      <x:c r="M35" s="25"/>
      <x:c r="N35" s="25"/>
      <x:c r="O35" s="25"/>
      <x:c r="P35" s="25"/>
    </x:row>
    <x:row r="36" ht="23.100000381469727" customHeight="1">
      <x:c r="A36" s="19"/>
      <x:c r="B36" s="25">
        <x:v>3</x:v>
      </x:c>
      <x:c r="C36" s="25" t="n">
        <x:f>(英雄升级调参!$B$36-1)*英雄升级调参!$C$10+1</x:f>
        <x:v>11</x:v>
      </x:c>
      <x:c r="D36" s="25" t="n">
        <x:f>英雄升级调参!$B$36*英雄升级调参!$C$10</x:f>
        <x:v>15</x:v>
      </x:c>
      <x:c r="E36" s="39">
        <x:v>36</x:v>
      </x:c>
      <x:c r="F36" s="40">
        <x:f>英雄升级调参!$E$36*英雄升级调参!$C$11</x:f>
        <x:v>360</x:v>
      </x:c>
      <x:c r="G36" s="40">
        <x:f t="shared" si="1"/>
        <x:v>36</x:v>
      </x:c>
      <x:c r="H36" s="40">
        <x:f t="shared" si="2"/>
        <x:v>360</x:v>
      </x:c>
      <x:c r="I36" s="40">
        <x:f t="shared" si="3"/>
        <x:v>54</x:v>
      </x:c>
      <x:c r="J36" s="40">
        <x:f t="shared" si="4"/>
        <x:v>540</x:v>
      </x:c>
      <x:c r="K36" s="40">
        <x:f t="shared" si="5"/>
        <x:v>90</x:v>
      </x:c>
      <x:c r="L36" s="40">
        <x:f t="shared" si="6"/>
        <x:v>900</x:v>
      </x:c>
      <x:c r="M36" s="25"/>
      <x:c r="N36" s="25"/>
      <x:c r="O36" s="25"/>
      <x:c r="P36" s="25"/>
    </x:row>
    <x:row r="37" ht="23.100000381469727" customHeight="1">
      <x:c r="A37" s="19"/>
      <x:c r="B37" s="25">
        <x:v>4</x:v>
      </x:c>
      <x:c r="C37" s="25" t="n">
        <x:f>(英雄升级调参!$B$37-1)*英雄升级调参!$C$10+1</x:f>
        <x:v>16</x:v>
      </x:c>
      <x:c r="D37" s="25" t="n">
        <x:f>英雄升级调参!$B$37*英雄升级调参!$C$10</x:f>
        <x:v>20</x:v>
      </x:c>
      <x:c r="E37" s="39">
        <x:v>45</x:v>
      </x:c>
      <x:c r="F37" s="40">
        <x:f>英雄升级调参!$E$37*英雄升级调参!$C$11</x:f>
        <x:v>450</x:v>
      </x:c>
      <x:c r="G37" s="40">
        <x:f t="shared" si="1"/>
        <x:v>45</x:v>
      </x:c>
      <x:c r="H37" s="40">
        <x:f t="shared" si="2"/>
        <x:v>450</x:v>
      </x:c>
      <x:c r="I37" s="40">
        <x:f t="shared" si="3"/>
        <x:v>68</x:v>
      </x:c>
      <x:c r="J37" s="40">
        <x:f t="shared" si="4"/>
        <x:v>675</x:v>
      </x:c>
      <x:c r="K37" s="40">
        <x:f t="shared" si="5"/>
        <x:v>113</x:v>
      </x:c>
      <x:c r="L37" s="40">
        <x:f t="shared" si="6"/>
        <x:v>1125</x:v>
      </x:c>
      <x:c r="M37" s="25"/>
      <x:c r="N37" s="25"/>
      <x:c r="O37" s="25"/>
      <x:c r="P37" s="25"/>
    </x:row>
    <x:row r="38" ht="23.100000381469727" customHeight="1">
      <x:c r="A38" s="19"/>
      <x:c r="B38" s="25">
        <x:v>5</x:v>
      </x:c>
      <x:c r="C38" s="25" t="n">
        <x:f>(英雄升级调参!$B$38-1)*英雄升级调参!$C$10+1</x:f>
        <x:v>21</x:v>
      </x:c>
      <x:c r="D38" s="25" t="n">
        <x:f>英雄升级调参!$B$38*英雄升级调参!$C$10</x:f>
        <x:v>25</x:v>
      </x:c>
      <x:c r="E38" s="39">
        <x:v>54</x:v>
      </x:c>
      <x:c r="F38" s="40">
        <x:f>英雄升级调参!$E$38*英雄升级调参!$C$11</x:f>
        <x:v>540</x:v>
      </x:c>
      <x:c r="G38" s="40">
        <x:f t="shared" si="1"/>
        <x:v>54</x:v>
      </x:c>
      <x:c r="H38" s="40">
        <x:f t="shared" si="2"/>
        <x:v>540</x:v>
      </x:c>
      <x:c r="I38" s="40">
        <x:f t="shared" si="3"/>
        <x:v>81</x:v>
      </x:c>
      <x:c r="J38" s="40">
        <x:f t="shared" si="4"/>
        <x:v>810</x:v>
      </x:c>
      <x:c r="K38" s="40">
        <x:f t="shared" si="5"/>
        <x:v>135</x:v>
      </x:c>
      <x:c r="L38" s="40">
        <x:f t="shared" si="6"/>
        <x:v>1350</x:v>
      </x:c>
      <x:c r="M38" s="25"/>
      <x:c r="N38" s="25"/>
      <x:c r="O38" s="25"/>
      <x:c r="P38" s="25"/>
    </x:row>
    <x:row r="39" ht="23.100000381469727" customHeight="1">
      <x:c r="A39" s="19"/>
      <x:c r="B39" s="25">
        <x:v>6</x:v>
      </x:c>
      <x:c r="C39" s="25" t="n">
        <x:f>(英雄升级调参!$B$39-1)*英雄升级调参!$C$10+1</x:f>
        <x:v>26</x:v>
      </x:c>
      <x:c r="D39" s="25" t="n">
        <x:f>英雄升级调参!$B$39*英雄升级调参!$C$10</x:f>
        <x:v>30</x:v>
      </x:c>
      <x:c r="E39" s="39">
        <x:v>63</x:v>
      </x:c>
      <x:c r="F39" s="40">
        <x:f>英雄升级调参!$E$39*英雄升级调参!$C$11</x:f>
        <x:v>630</x:v>
      </x:c>
      <x:c r="G39" s="40">
        <x:f t="shared" si="1"/>
        <x:v>63</x:v>
      </x:c>
      <x:c r="H39" s="40">
        <x:f t="shared" si="2"/>
        <x:v>630</x:v>
      </x:c>
      <x:c r="I39" s="40">
        <x:f t="shared" si="3"/>
        <x:v>95</x:v>
      </x:c>
      <x:c r="J39" s="40">
        <x:f t="shared" si="4"/>
        <x:v>945</x:v>
      </x:c>
      <x:c r="K39" s="40">
        <x:f t="shared" si="5"/>
        <x:v>158</x:v>
      </x:c>
      <x:c r="L39" s="40">
        <x:f t="shared" si="6"/>
        <x:v>1575</x:v>
      </x:c>
      <x:c r="M39" s="25"/>
      <x:c r="N39" s="25"/>
      <x:c r="O39" s="25"/>
      <x:c r="P39" s="25"/>
    </x:row>
    <x:row r="40" ht="23.100000381469727" customHeight="1">
      <x:c r="A40" s="19"/>
      <x:c r="B40" s="25">
        <x:v>7</x:v>
      </x:c>
      <x:c r="C40" s="25" t="n">
        <x:f>(英雄升级调参!$B$40-1)*英雄升级调参!$C$10+1</x:f>
        <x:v>31</x:v>
      </x:c>
      <x:c r="D40" s="25" t="n">
        <x:f>英雄升级调参!$B$40*英雄升级调参!$C$10</x:f>
        <x:v>35</x:v>
      </x:c>
      <x:c r="E40" s="39">
        <x:v>72</x:v>
      </x:c>
      <x:c r="F40" s="40">
        <x:f>英雄升级调参!$E$40*英雄升级调参!$C$11</x:f>
        <x:v>720</x:v>
      </x:c>
      <x:c r="G40" s="40">
        <x:f t="shared" si="1"/>
        <x:v>72</x:v>
      </x:c>
      <x:c r="H40" s="40">
        <x:f t="shared" si="2"/>
        <x:v>720</x:v>
      </x:c>
      <x:c r="I40" s="40">
        <x:f t="shared" si="3"/>
        <x:v>108</x:v>
      </x:c>
      <x:c r="J40" s="40">
        <x:f t="shared" si="4"/>
        <x:v>1080</x:v>
      </x:c>
      <x:c r="K40" s="40">
        <x:f t="shared" si="5"/>
        <x:v>180</x:v>
      </x:c>
      <x:c r="L40" s="40">
        <x:f t="shared" si="6"/>
        <x:v>1800</x:v>
      </x:c>
      <x:c r="M40" s="25"/>
      <x:c r="N40" s="25"/>
      <x:c r="O40" s="25"/>
      <x:c r="P40" s="25"/>
    </x:row>
    <x:row r="41" ht="23.100000381469727" customHeight="1">
      <x:c r="A41" s="19"/>
      <x:c r="B41" s="25">
        <x:v>8</x:v>
      </x:c>
      <x:c r="C41" s="25" t="n">
        <x:f>(英雄升级调参!$B$41-1)*英雄升级调参!$C$10+1</x:f>
        <x:v>36</x:v>
      </x:c>
      <x:c r="D41" s="25" t="n">
        <x:f>英雄升级调参!$B$41*英雄升级调参!$C$10</x:f>
        <x:v>40</x:v>
      </x:c>
      <x:c r="E41" s="39">
        <x:v>81</x:v>
      </x:c>
      <x:c r="F41" s="40">
        <x:f>英雄升级调参!$E$41*英雄升级调参!$C$11</x:f>
        <x:v>810</x:v>
      </x:c>
      <x:c r="G41" s="40">
        <x:f t="shared" si="1"/>
        <x:v>81</x:v>
      </x:c>
      <x:c r="H41" s="40">
        <x:f t="shared" si="2"/>
        <x:v>810</x:v>
      </x:c>
      <x:c r="I41" s="40">
        <x:f t="shared" si="3"/>
        <x:v>122</x:v>
      </x:c>
      <x:c r="J41" s="40">
        <x:f t="shared" si="4"/>
        <x:v>1215</x:v>
      </x:c>
      <x:c r="K41" s="40">
        <x:f t="shared" si="5"/>
        <x:v>203</x:v>
      </x:c>
      <x:c r="L41" s="40">
        <x:f t="shared" si="6"/>
        <x:v>2025</x:v>
      </x:c>
      <x:c r="M41" s="25"/>
      <x:c r="N41" s="25"/>
      <x:c r="O41" s="25"/>
      <x:c r="P41" s="25"/>
    </x:row>
    <x:row r="42" ht="23.100000381469727" customHeight="1">
      <x:c r="A42" s="19"/>
      <x:c r="B42" s="25">
        <x:v>9</x:v>
      </x:c>
      <x:c r="C42" s="25" t="n">
        <x:f>(英雄升级调参!$B$42-1)*英雄升级调参!$C$10+1</x:f>
        <x:v>41</x:v>
      </x:c>
      <x:c r="D42" s="25" t="n">
        <x:f>英雄升级调参!$B$42*英雄升级调参!$C$10</x:f>
        <x:v>45</x:v>
      </x:c>
      <x:c r="E42" s="39">
        <x:v>90</x:v>
      </x:c>
      <x:c r="F42" s="40">
        <x:f>英雄升级调参!$E$42*英雄升级调参!$C$11</x:f>
        <x:v>900</x:v>
      </x:c>
      <x:c r="G42" s="40">
        <x:f t="shared" si="1"/>
        <x:v>90</x:v>
      </x:c>
      <x:c r="H42" s="40">
        <x:f t="shared" si="2"/>
        <x:v>900</x:v>
      </x:c>
      <x:c r="I42" s="40">
        <x:f t="shared" si="3"/>
        <x:v>135</x:v>
      </x:c>
      <x:c r="J42" s="40">
        <x:f t="shared" si="4"/>
        <x:v>1350</x:v>
      </x:c>
      <x:c r="K42" s="40">
        <x:f t="shared" si="5"/>
        <x:v>225</x:v>
      </x:c>
      <x:c r="L42" s="40">
        <x:f t="shared" si="6"/>
        <x:v>2250</x:v>
      </x:c>
      <x:c r="M42" s="25"/>
      <x:c r="N42" s="25"/>
      <x:c r="O42" s="25"/>
      <x:c r="P42" s="25"/>
    </x:row>
    <x:row r="43" ht="23.100000381469727" customHeight="1">
      <x:c r="A43" s="19"/>
      <x:c r="B43" s="25">
        <x:v>10</x:v>
      </x:c>
      <x:c r="C43" s="25" t="n">
        <x:f>(英雄升级调参!$B$43-1)*英雄升级调参!$C$10+1</x:f>
        <x:v>46</x:v>
      </x:c>
      <x:c r="D43" s="25" t="n">
        <x:f>英雄升级调参!$B$43*英雄升级调参!$C$10</x:f>
        <x:v>50</x:v>
      </x:c>
      <x:c r="E43" s="39">
        <x:v>99</x:v>
      </x:c>
      <x:c r="F43" s="40">
        <x:f>英雄升级调参!$E$43*英雄升级调参!$C$11</x:f>
        <x:v>990</x:v>
      </x:c>
      <x:c r="G43" s="40">
        <x:f t="shared" si="1"/>
        <x:v>99</x:v>
      </x:c>
      <x:c r="H43" s="40">
        <x:f t="shared" si="2"/>
        <x:v>990</x:v>
      </x:c>
      <x:c r="I43" s="40">
        <x:f t="shared" si="3"/>
        <x:v>149</x:v>
      </x:c>
      <x:c r="J43" s="40">
        <x:f t="shared" si="4"/>
        <x:v>1485</x:v>
      </x:c>
      <x:c r="K43" s="40">
        <x:f t="shared" si="5"/>
        <x:v>248</x:v>
      </x:c>
      <x:c r="L43" s="40">
        <x:f t="shared" si="6"/>
        <x:v>2475</x:v>
      </x:c>
      <x:c r="M43" s="25"/>
      <x:c r="N43" s="25"/>
      <x:c r="O43" s="25"/>
      <x:c r="P43" s="25"/>
    </x:row>
    <x:row r="44" ht="23.100000381469727" customHeight="1">
      <x:c r="A44" s="19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</x:row>
    <x:row r="45" ht="23.100000381469727" customHeight="1">
      <x:c r="A45" s="19"/>
      <x:c r="B45" s="25" t="inlineStr">
        <x:is>
          <x:t>普通升级增量整体乘3，保留各档比例。升到5、10、15等突破等级时，本步总增量为3次普通升级。先取整再累加。</x:t>
        </x:is>
      </x:c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</x:row>
    <x:row r="46" ht="23.100000381469727" customHeight="1">
      <x:c r="A46" s="19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</x:row>
    <x:row r="47" ht="23.100000381469727" customHeight="1">
      <x:c r="A47" s="19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</x:row>
    <x:row r="48" ht="23.100000381469727" customHeight="1">
      <x:c r="A48" s="19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</x:row>
    <x:row r="49" ht="23.100000381469727" customHeight="1">
      <x:c r="A49" s="19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</x:row>
    <x:row r="50" ht="23.100000381469727" customHeight="1">
      <x:c r="A50" s="19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</x:row>
    <x:row r="51" ht="23.100000381469727" customHeight="1">
      <x:c r="A51" s="19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</x:row>
    <x:row r="52" ht="23.100000381469727" customHeight="1">
      <x:c r="A52" s="19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</x:row>
    <x:row r="53" ht="23.100000381469727" customHeight="1">
      <x:c r="A53" s="19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</x:row>
    <x:row r="54" ht="23.100000381469727" customHeight="1">
      <x:c r="A54" s="19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</x:row>
    <x:row r="55" ht="23.100000381469727" customHeight="1">
      <x:c r="A55" s="19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</x:row>
    <x:row r="56" ht="23.100000381469727" customHeight="1">
      <x:c r="A56" s="19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</x:row>
    <x:row r="57" ht="23.100000381469727" customHeight="1">
      <x:c r="A57" s="19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</x:row>
    <x:row r="58" ht="23.100000381469727" customHeight="1">
      <x:c r="A58" s="19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</x:row>
    <x:row r="59" ht="23.100000381469727" customHeight="1">
      <x:c r="A59" s="19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</x:row>
    <x:row r="60" ht="23.100000381469727" customHeight="1">
      <x:c r="A60" s="19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</x:row>
    <x:row r="61" ht="23.100000381469727" customHeight="1">
      <x:c r="A61" s="19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</x:row>
    <x:row r="62" ht="23.100000381469727" customHeight="1">
      <x:c r="A62" s="19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</x:row>
    <x:row r="63" ht="23.100000381469727" customHeight="1">
      <x:c r="A63" s="19"/>
      <x:c r="B63" s="35" t="s">
        <x:v>542</x:v>
      </x:c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</x:row>
    <x:row r="64" ht="23.100000381469727" customHeight="1">
      <x:c r="A64" s="19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</x:row>
    <x:row r="65" ht="30" customHeight="1">
      <x:c r="A65" s="19"/>
      <x:c r="B65" s="36" t="s">
        <x:v>9</x:v>
      </x:c>
      <x:c r="C65" s="37" t="s">
        <x:v>42</x:v>
      </x:c>
      <x:c r="D65" s="37" t="s">
        <x:v>543</x:v>
      </x:c>
      <x:c r="E65" s="37" t="s">
        <x:v>544</x:v>
      </x:c>
      <x:c r="F65" s="37" t="s">
        <x:v>545</x:v>
      </x:c>
      <x:c r="G65" s="37" t="s">
        <x:v>546</x:v>
      </x:c>
      <x:c r="H65" s="37" t="s">
        <x:v>547</x:v>
      </x:c>
      <x:c r="I65" s="37" t="s">
        <x:v>548</x:v>
      </x:c>
      <x:c r="J65" s="37" t="s">
        <x:v>549</x:v>
      </x:c>
      <x:c r="K65" s="37" t="s">
        <x:v>550</x:v>
      </x:c>
      <x:c r="L65" s="37" t="s">
        <x:v>551</x:v>
      </x:c>
      <x:c r="M65" s="38" t="s">
        <x:v>552</x:v>
      </x:c>
      <x:c r="N65" s="25"/>
      <x:c r="O65" s="25"/>
      <x:c r="P65" s="25"/>
    </x:row>
    <x:row r="66" ht="23.100000381469727" customHeight="1">
      <x:c r="A66" s="19"/>
      <x:c r="B66" s="25">
        <x:v>1</x:v>
      </x:c>
      <x:c r="C66" s="25" t="n">
        <x:f>ROUNDUP(英雄升级调参!$B$66/英雄升级调参!$C$10,0)</x:f>
        <x:v>1</x:v>
      </x:c>
      <x:c r="D66" s="40" t="n">
        <x:f>IF(英雄升级调参!$B$66=1,0,INDEX(英雄升级调参!$E$34:$E$43,英雄升级调参!$C$66))</x:f>
        <x:v>0</x:v>
      </x:c>
      <x:c r="E66" s="40" t="n">
        <x:f>ROUND(英雄升级调参!$H$9,0)</x:f>
        <x:v>60</x:v>
      </x:c>
      <x:c r="F66" s="40" t="n">
        <x:f>ROUND(英雄升级调参!$I$9,0)</x:f>
        <x:v>600</x:v>
      </x:c>
      <x:c r="G66" s="40" t="n">
        <x:f>英雄升级调参!$E$66*英雄升级调参!$F$66</x:f>
        <x:v>36000</x:v>
      </x:c>
      <x:c r="H66" s="40">
        <x:f>ROUND(英雄升级调参!$H$10,0)</x:f>
        <x:v>195</x:v>
      </x:c>
      <x:c r="I66" s="40">
        <x:f>ROUND(英雄升级调参!$I$10,0)</x:f>
        <x:v>1950</x:v>
      </x:c>
      <x:c r="J66" s="40">
        <x:f>英雄升级调参!$H$66*英雄升级调参!$I$66</x:f>
        <x:v>380250</x:v>
      </x:c>
      <x:c r="K66" s="40">
        <x:f>ROUND(英雄升级调参!$H$11,0)</x:f>
        <x:v>357</x:v>
      </x:c>
      <x:c r="L66" s="40">
        <x:f>ROUND(英雄升级调参!$I$11,0)</x:f>
        <x:v>3570</x:v>
      </x:c>
      <x:c r="M66" s="40">
        <x:f>英雄升级调参!$K$66*英雄升级调参!$L$66</x:f>
        <x:v>1274490</x:v>
      </x:c>
      <x:c r="N66" s="25"/>
      <x:c r="O66" s="25"/>
      <x:c r="P66" s="25"/>
    </x:row>
    <x:row r="67" ht="23.100000381469727" customHeight="1">
      <x:c r="A67" s="19"/>
      <x:c r="B67" s="25">
        <x:v>2</x:v>
      </x:c>
      <x:c r="C67" s="25" t="n">
        <x:f>ROUNDUP(英雄升级调参!$B$67/英雄升级调参!$C$10,0)</x:f>
        <x:v>1</x:v>
      </x:c>
      <x:c r="D67" s="40">
        <x:f>IF(英雄升级调参!$B$67=1,0,INDEX(英雄升级调参!$E$34:$E$43,英雄升级调参!$C$67))</x:f>
        <x:v>18</x:v>
      </x:c>
      <x:c r="E67" s="40">
        <x:f>英雄升级调参!$E$66+ROUND(英雄升级调参!$D$67*英雄升级调参!$J$9,0)</x:f>
        <x:v>78</x:v>
      </x:c>
      <x:c r="F67" s="40">
        <x:f>英雄升级调参!$F$66+ROUND(英雄升级调参!$D$67*英雄升级调参!$C$11*英雄升级调参!$J$9,0)</x:f>
        <x:v>780</x:v>
      </x:c>
      <x:c r="G67" s="40">
        <x:f>英雄升级调参!$E$67*英雄升级调参!$F$67</x:f>
        <x:v>60840</x:v>
      </x:c>
      <x:c r="H67" s="40">
        <x:f>英雄升级调参!$H$66+ROUND(英雄升级调参!$D$67*英雄升级调参!$J$10,0)</x:f>
        <x:v>222</x:v>
      </x:c>
      <x:c r="I67" s="40">
        <x:f>英雄升级调参!$I$66+ROUND(英雄升级调参!$D$67*英雄升级调参!$C$11*英雄升级调参!$J$10,0)</x:f>
        <x:v>2220</x:v>
      </x:c>
      <x:c r="J67" s="40">
        <x:f>英雄升级调参!$H$67*英雄升级调参!$I$67</x:f>
        <x:v>492840</x:v>
      </x:c>
      <x:c r="K67" s="40">
        <x:f>英雄升级调参!$K$66+ROUND(英雄升级调参!$D$67*英雄升级调参!$J$11,0)</x:f>
        <x:v>402</x:v>
      </x:c>
      <x:c r="L67" s="40">
        <x:f>英雄升级调参!$L$66+ROUND(英雄升级调参!$D$67*英雄升级调参!$C$11*英雄升级调参!$J$11,0)</x:f>
        <x:v>4020</x:v>
      </x:c>
      <x:c r="M67" s="40">
        <x:f>英雄升级调参!$K$67*英雄升级调参!$L$67</x:f>
        <x:v>1616040</x:v>
      </x:c>
      <x:c r="N67" s="25"/>
      <x:c r="O67" s="25"/>
      <x:c r="P67" s="25"/>
    </x:row>
    <x:row r="68" ht="23.100000381469727" customHeight="1">
      <x:c r="A68" s="19"/>
      <x:c r="B68" s="25">
        <x:v>3</x:v>
      </x:c>
      <x:c r="C68" s="25" t="n">
        <x:f>ROUNDUP(英雄升级调参!$B$68/英雄升级调参!$C$10,0)</x:f>
        <x:v>1</x:v>
      </x:c>
      <x:c r="D68" s="40">
        <x:f>IF(英雄升级调参!$B$68=1,0,INDEX(英雄升级调参!$E$34:$E$43,英雄升级调参!$C$68))</x:f>
        <x:v>18</x:v>
      </x:c>
      <x:c r="E68" s="40">
        <x:f>英雄升级调参!$E$67+ROUND(英雄升级调参!$D$68*英雄升级调参!$J$9,0)</x:f>
        <x:v>96</x:v>
      </x:c>
      <x:c r="F68" s="40">
        <x:f>英雄升级调参!$F$67+ROUND(英雄升级调参!$D$68*英雄升级调参!$C$11*英雄升级调参!$J$9,0)</x:f>
        <x:v>960</x:v>
      </x:c>
      <x:c r="G68" s="40">
        <x:f>英雄升级调参!$E$68*英雄升级调参!$F$68</x:f>
        <x:v>92160</x:v>
      </x:c>
      <x:c r="H68" s="40">
        <x:f>英雄升级调参!$H$67+ROUND(英雄升级调参!$D$68*英雄升级调参!$J$10,0)</x:f>
        <x:v>249</x:v>
      </x:c>
      <x:c r="I68" s="40">
        <x:f>英雄升级调参!$I$67+ROUND(英雄升级调参!$D$68*英雄升级调参!$C$11*英雄升级调参!$J$10,0)</x:f>
        <x:v>2490</x:v>
      </x:c>
      <x:c r="J68" s="40">
        <x:f>英雄升级调参!$H$68*英雄升级调参!$I$68</x:f>
        <x:v>620010</x:v>
      </x:c>
      <x:c r="K68" s="40">
        <x:f>英雄升级调参!$K$67+ROUND(英雄升级调参!$D$68*英雄升级调参!$J$11,0)</x:f>
        <x:v>447</x:v>
      </x:c>
      <x:c r="L68" s="40">
        <x:f>英雄升级调参!$L$67+ROUND(英雄升级调参!$D$68*英雄升级调参!$C$11*英雄升级调参!$J$11,0)</x:f>
        <x:v>4470</x:v>
      </x:c>
      <x:c r="M68" s="40">
        <x:f>英雄升级调参!$K$68*英雄升级调参!$L$68</x:f>
        <x:v>1998090</x:v>
      </x:c>
      <x:c r="N68" s="25"/>
      <x:c r="O68" s="25"/>
      <x:c r="P68" s="25"/>
    </x:row>
    <x:row r="69" ht="23.100000381469727" customHeight="1">
      <x:c r="A69" s="19"/>
      <x:c r="B69" s="25">
        <x:v>4</x:v>
      </x:c>
      <x:c r="C69" s="25" t="n">
        <x:f>ROUNDUP(英雄升级调参!$B$69/英雄升级调参!$C$10,0)</x:f>
        <x:v>1</x:v>
      </x:c>
      <x:c r="D69" s="40">
        <x:f>IF(英雄升级调参!$B$69=1,0,INDEX(英雄升级调参!$E$34:$E$43,英雄升级调参!$C$69))</x:f>
        <x:v>18</x:v>
      </x:c>
      <x:c r="E69" s="40">
        <x:f>英雄升级调参!$E$68+ROUND(英雄升级调参!$D$69*英雄升级调参!$J$9,0)</x:f>
        <x:v>114</x:v>
      </x:c>
      <x:c r="F69" s="40">
        <x:f>英雄升级调参!$F$68+ROUND(英雄升级调参!$D$69*英雄升级调参!$C$11*英雄升级调参!$J$9,0)</x:f>
        <x:v>1140</x:v>
      </x:c>
      <x:c r="G69" s="40">
        <x:f>英雄升级调参!$E$69*英雄升级调参!$F$69</x:f>
        <x:v>129960</x:v>
      </x:c>
      <x:c r="H69" s="40">
        <x:f>英雄升级调参!$H$68+ROUND(英雄升级调参!$D$69*英雄升级调参!$J$10,0)</x:f>
        <x:v>276</x:v>
      </x:c>
      <x:c r="I69" s="40">
        <x:f>英雄升级调参!$I$68+ROUND(英雄升级调参!$D$69*英雄升级调参!$C$11*英雄升级调参!$J$10,0)</x:f>
        <x:v>2760</x:v>
      </x:c>
      <x:c r="J69" s="40">
        <x:f>英雄升级调参!$H$69*英雄升级调参!$I$69</x:f>
        <x:v>761760</x:v>
      </x:c>
      <x:c r="K69" s="40">
        <x:f>英雄升级调参!$K$68+ROUND(英雄升级调参!$D$69*英雄升级调参!$J$11,0)</x:f>
        <x:v>492</x:v>
      </x:c>
      <x:c r="L69" s="40">
        <x:f>英雄升级调参!$L$68+ROUND(英雄升级调参!$D$69*英雄升级调参!$C$11*英雄升级调参!$J$11,0)</x:f>
        <x:v>4920</x:v>
      </x:c>
      <x:c r="M69" s="40">
        <x:f>英雄升级调参!$K$69*英雄升级调参!$L$69</x:f>
        <x:v>2420640</x:v>
      </x:c>
      <x:c r="N69" s="25"/>
      <x:c r="O69" s="25"/>
      <x:c r="P69" s="25"/>
    </x:row>
    <x:row r="70" ht="23.100000381469727" customHeight="1">
      <x:c r="A70" s="19"/>
      <x:c r="B70" s="25">
        <x:v>5</x:v>
      </x:c>
      <x:c r="C70" s="25" t="n">
        <x:f>ROUNDUP(英雄升级调参!$B$70/英雄升级调参!$C$10,0)</x:f>
        <x:v>1</x:v>
      </x:c>
      <x:c r="D70" s="40">
        <x:f>IF(英雄升级调参!$B$70=1,0,INDEX(英雄升级调参!$E$34:$E$43,英雄升级调参!$C$70))</x:f>
        <x:v>18</x:v>
      </x:c>
      <x:c r="E70" s="40">
        <x:f>英雄升级调参!$E$69+ROUND(英雄升级调参!$D$70*英雄升级调参!$J$9,0)*3</x:f>
        <x:v>168</x:v>
      </x:c>
      <x:c r="F70" s="40">
        <x:f>英雄升级调参!$F$69+ROUND(英雄升级调参!$D$70*英雄升级调参!$C$11*英雄升级调参!$J$9,0)*3</x:f>
        <x:v>1680</x:v>
      </x:c>
      <x:c r="G70" s="40">
        <x:f>英雄升级调参!$E$70*英雄升级调参!$F$70</x:f>
        <x:v>282240</x:v>
      </x:c>
      <x:c r="H70" s="40">
        <x:f>英雄升级调参!$H$69+ROUND(英雄升级调参!$D$70*英雄升级调参!$J$10,0)*3</x:f>
        <x:v>357</x:v>
      </x:c>
      <x:c r="I70" s="40">
        <x:f>英雄升级调参!$I$69+ROUND(英雄升级调参!$D$70*英雄升级调参!$C$11*英雄升级调参!$J$10,0)*3</x:f>
        <x:v>3570</x:v>
      </x:c>
      <x:c r="J70" s="40">
        <x:f>英雄升级调参!$H$70*英雄升级调参!$I$70</x:f>
        <x:v>1274490</x:v>
      </x:c>
      <x:c r="K70" s="40">
        <x:f>英雄升级调参!$K$69+ROUND(英雄升级调参!$D$70*英雄升级调参!$J$11,0)*3</x:f>
        <x:v>627</x:v>
      </x:c>
      <x:c r="L70" s="40">
        <x:f>英雄升级调参!$L$69+ROUND(英雄升级调参!$D$70*英雄升级调参!$C$11*英雄升级调参!$J$11,0)*3</x:f>
        <x:v>6270</x:v>
      </x:c>
      <x:c r="M70" s="40">
        <x:f>英雄升级调参!$K$70*英雄升级调参!$L$70</x:f>
        <x:v>3931290</x:v>
      </x:c>
      <x:c r="N70" s="25"/>
      <x:c r="O70" s="25"/>
      <x:c r="P70" s="25"/>
    </x:row>
    <x:row r="71" ht="23.100000381469727" customHeight="1">
      <x:c r="A71" s="19"/>
      <x:c r="B71" s="25">
        <x:v>6</x:v>
      </x:c>
      <x:c r="C71" s="25" t="n">
        <x:f>ROUNDUP(英雄升级调参!$B$71/英雄升级调参!$C$10,0)</x:f>
        <x:v>2</x:v>
      </x:c>
      <x:c r="D71" s="40">
        <x:f>IF(英雄升级调参!$B$71=1,0,INDEX(英雄升级调参!$E$34:$E$43,英雄升级调参!$C$71))</x:f>
        <x:v>27</x:v>
      </x:c>
      <x:c r="E71" s="40">
        <x:f>英雄升级调参!$E$70+ROUND(英雄升级调参!$D$71*英雄升级调参!$J$9,0)</x:f>
        <x:v>195</x:v>
      </x:c>
      <x:c r="F71" s="40">
        <x:f>英雄升级调参!$F$70+ROUND(英雄升级调参!$D$71*英雄升级调参!$C$11*英雄升级调参!$J$9,0)</x:f>
        <x:v>1950</x:v>
      </x:c>
      <x:c r="G71" s="40">
        <x:f>英雄升级调参!$E$71*英雄升级调参!$F$71</x:f>
        <x:v>380250</x:v>
      </x:c>
      <x:c r="H71" s="40">
        <x:f>英雄升级调参!$H$70+ROUND(英雄升级调参!$D$71*英雄升级调参!$J$10,0)</x:f>
        <x:v>398</x:v>
      </x:c>
      <x:c r="I71" s="40">
        <x:f>英雄升级调参!$I$70+ROUND(英雄升级调参!$D$71*英雄升级调参!$C$11*英雄升级调参!$J$10,0)</x:f>
        <x:v>3975</x:v>
      </x:c>
      <x:c r="J71" s="40">
        <x:f>英雄升级调参!$H$71*英雄升级调参!$I$71</x:f>
        <x:v>1582050</x:v>
      </x:c>
      <x:c r="K71" s="40">
        <x:f>英雄升级调参!$K$70+ROUND(英雄升级调参!$D$71*英雄升级调参!$J$11,0)</x:f>
        <x:v>695</x:v>
      </x:c>
      <x:c r="L71" s="40">
        <x:f>英雄升级调参!$L$70+ROUND(英雄升级调参!$D$71*英雄升级调参!$C$11*英雄升级调参!$J$11,0)</x:f>
        <x:v>6945</x:v>
      </x:c>
      <x:c r="M71" s="40">
        <x:f>英雄升级调参!$K$71*英雄升级调参!$L$71</x:f>
        <x:v>4826775</x:v>
      </x:c>
      <x:c r="N71" s="25"/>
      <x:c r="O71" s="25"/>
      <x:c r="P71" s="25"/>
    </x:row>
    <x:row r="72" ht="23.100000381469727" customHeight="1">
      <x:c r="A72" s="19"/>
      <x:c r="B72" s="25">
        <x:v>7</x:v>
      </x:c>
      <x:c r="C72" s="25" t="n">
        <x:f>ROUNDUP(英雄升级调参!$B$72/英雄升级调参!$C$10,0)</x:f>
        <x:v>2</x:v>
      </x:c>
      <x:c r="D72" s="40">
        <x:f>IF(英雄升级调参!$B$72=1,0,INDEX(英雄升级调参!$E$34:$E$43,英雄升级调参!$C$72))</x:f>
        <x:v>27</x:v>
      </x:c>
      <x:c r="E72" s="40">
        <x:f>英雄升级调参!$E$71+ROUND(英雄升级调参!$D$72*英雄升级调参!$J$9,0)</x:f>
        <x:v>222</x:v>
      </x:c>
      <x:c r="F72" s="40">
        <x:f>英雄升级调参!$F$71+ROUND(英雄升级调参!$D$72*英雄升级调参!$C$11*英雄升级调参!$J$9,0)</x:f>
        <x:v>2220</x:v>
      </x:c>
      <x:c r="G72" s="40">
        <x:f>英雄升级调参!$E$72*英雄升级调参!$F$72</x:f>
        <x:v>492840</x:v>
      </x:c>
      <x:c r="H72" s="40">
        <x:f>英雄升级调参!$H$71+ROUND(英雄升级调参!$D$72*英雄升级调参!$J$10,0)</x:f>
        <x:v>439</x:v>
      </x:c>
      <x:c r="I72" s="40">
        <x:f>英雄升级调参!$I$71+ROUND(英雄升级调参!$D$72*英雄升级调参!$C$11*英雄升级调参!$J$10,0)</x:f>
        <x:v>4380</x:v>
      </x:c>
      <x:c r="J72" s="40">
        <x:f>英雄升级调参!$H$72*英雄升级调参!$I$72</x:f>
        <x:v>1922820</x:v>
      </x:c>
      <x:c r="K72" s="40">
        <x:f>英雄升级调参!$K$71+ROUND(英雄升级调参!$D$72*英雄升级调参!$J$11,0)</x:f>
        <x:v>763</x:v>
      </x:c>
      <x:c r="L72" s="40">
        <x:f>英雄升级调参!$L$71+ROUND(英雄升级调参!$D$72*英雄升级调参!$C$11*英雄升级调参!$J$11,0)</x:f>
        <x:v>7620</x:v>
      </x:c>
      <x:c r="M72" s="40">
        <x:f>英雄升级调参!$K$72*英雄升级调参!$L$72</x:f>
        <x:v>5814060</x:v>
      </x:c>
      <x:c r="N72" s="25"/>
      <x:c r="O72" s="25"/>
      <x:c r="P72" s="25"/>
    </x:row>
    <x:row r="73" ht="23.100000381469727" customHeight="1">
      <x:c r="A73" s="19"/>
      <x:c r="B73" s="25">
        <x:v>8</x:v>
      </x:c>
      <x:c r="C73" s="25" t="n">
        <x:f>ROUNDUP(英雄升级调参!$B$73/英雄升级调参!$C$10,0)</x:f>
        <x:v>2</x:v>
      </x:c>
      <x:c r="D73" s="40">
        <x:f>IF(英雄升级调参!$B$73=1,0,INDEX(英雄升级调参!$E$34:$E$43,英雄升级调参!$C$73))</x:f>
        <x:v>27</x:v>
      </x:c>
      <x:c r="E73" s="40">
        <x:f>英雄升级调参!$E$72+ROUND(英雄升级调参!$D$73*英雄升级调参!$J$9,0)</x:f>
        <x:v>249</x:v>
      </x:c>
      <x:c r="F73" s="40">
        <x:f>英雄升级调参!$F$72+ROUND(英雄升级调参!$D$73*英雄升级调参!$C$11*英雄升级调参!$J$9,0)</x:f>
        <x:v>2490</x:v>
      </x:c>
      <x:c r="G73" s="40">
        <x:f>英雄升级调参!$E$73*英雄升级调参!$F$73</x:f>
        <x:v>620010</x:v>
      </x:c>
      <x:c r="H73" s="40">
        <x:f>英雄升级调参!$H$72+ROUND(英雄升级调参!$D$73*英雄升级调参!$J$10,0)</x:f>
        <x:v>480</x:v>
      </x:c>
      <x:c r="I73" s="40">
        <x:f>英雄升级调参!$I$72+ROUND(英雄升级调参!$D$73*英雄升级调参!$C$11*英雄升级调参!$J$10,0)</x:f>
        <x:v>4785</x:v>
      </x:c>
      <x:c r="J73" s="40">
        <x:f>英雄升级调参!$H$73*英雄升级调参!$I$73</x:f>
        <x:v>2296800</x:v>
      </x:c>
      <x:c r="K73" s="40">
        <x:f>英雄升级调参!$K$72+ROUND(英雄升级调参!$D$73*英雄升级调参!$J$11,0)</x:f>
        <x:v>831</x:v>
      </x:c>
      <x:c r="L73" s="40">
        <x:f>英雄升级调参!$L$72+ROUND(英雄升级调参!$D$73*英雄升级调参!$C$11*英雄升级调参!$J$11,0)</x:f>
        <x:v>8295</x:v>
      </x:c>
      <x:c r="M73" s="40">
        <x:f>英雄升级调参!$K$73*英雄升级调参!$L$73</x:f>
        <x:v>6893145</x:v>
      </x:c>
      <x:c r="N73" s="25"/>
      <x:c r="O73" s="25"/>
      <x:c r="P73" s="25"/>
    </x:row>
    <x:row r="74" ht="23.100000381469727" customHeight="1">
      <x:c r="A74" s="19"/>
      <x:c r="B74" s="25">
        <x:v>9</x:v>
      </x:c>
      <x:c r="C74" s="25" t="n">
        <x:f>ROUNDUP(英雄升级调参!$B$74/英雄升级调参!$C$10,0)</x:f>
        <x:v>2</x:v>
      </x:c>
      <x:c r="D74" s="40">
        <x:f>IF(英雄升级调参!$B$74=1,0,INDEX(英雄升级调参!$E$34:$E$43,英雄升级调参!$C$74))</x:f>
        <x:v>27</x:v>
      </x:c>
      <x:c r="E74" s="40">
        <x:f>英雄升级调参!$E$73+ROUND(英雄升级调参!$D$74*英雄升级调参!$J$9,0)</x:f>
        <x:v>276</x:v>
      </x:c>
      <x:c r="F74" s="40">
        <x:f>英雄升级调参!$F$73+ROUND(英雄升级调参!$D$74*英雄升级调参!$C$11*英雄升级调参!$J$9,0)</x:f>
        <x:v>2760</x:v>
      </x:c>
      <x:c r="G74" s="40">
        <x:f>英雄升级调参!$E$74*英雄升级调参!$F$74</x:f>
        <x:v>761760</x:v>
      </x:c>
      <x:c r="H74" s="40">
        <x:f>英雄升级调参!$H$73+ROUND(英雄升级调参!$D$74*英雄升级调参!$J$10,0)</x:f>
        <x:v>521</x:v>
      </x:c>
      <x:c r="I74" s="40">
        <x:f>英雄升级调参!$I$73+ROUND(英雄升级调参!$D$74*英雄升级调参!$C$11*英雄升级调参!$J$10,0)</x:f>
        <x:v>5190</x:v>
      </x:c>
      <x:c r="J74" s="40">
        <x:f>英雄升级调参!$H$74*英雄升级调参!$I$74</x:f>
        <x:v>2703990</x:v>
      </x:c>
      <x:c r="K74" s="40">
        <x:f>英雄升级调参!$K$73+ROUND(英雄升级调参!$D$74*英雄升级调参!$J$11,0)</x:f>
        <x:v>899</x:v>
      </x:c>
      <x:c r="L74" s="40">
        <x:f>英雄升级调参!$L$73+ROUND(英雄升级调参!$D$74*英雄升级调参!$C$11*英雄升级调参!$J$11,0)</x:f>
        <x:v>8970</x:v>
      </x:c>
      <x:c r="M74" s="40">
        <x:f>英雄升级调参!$K$74*英雄升级调参!$L$74</x:f>
        <x:v>8064030</x:v>
      </x:c>
      <x:c r="N74" s="25"/>
      <x:c r="O74" s="25"/>
      <x:c r="P74" s="25"/>
    </x:row>
    <x:row r="75" ht="23.100000381469727" customHeight="1">
      <x:c r="A75" s="19"/>
      <x:c r="B75" s="25">
        <x:v>10</x:v>
      </x:c>
      <x:c r="C75" s="25" t="n">
        <x:f>ROUNDUP(英雄升级调参!$B$75/英雄升级调参!$C$10,0)</x:f>
        <x:v>2</x:v>
      </x:c>
      <x:c r="D75" s="40">
        <x:f>IF(英雄升级调参!$B$75=1,0,INDEX(英雄升级调参!$E$34:$E$43,英雄升级调参!$C$75))</x:f>
        <x:v>27</x:v>
      </x:c>
      <x:c r="E75" s="40">
        <x:f>英雄升级调参!$E$74+ROUND(英雄升级调参!$D$75*英雄升级调参!$J$9,0)*3</x:f>
        <x:v>357</x:v>
      </x:c>
      <x:c r="F75" s="40">
        <x:f>英雄升级调参!$F$74+ROUND(英雄升级调参!$D$75*英雄升级调参!$C$11*英雄升级调参!$J$9,0)*3</x:f>
        <x:v>3570</x:v>
      </x:c>
      <x:c r="G75" s="40">
        <x:f>英雄升级调参!$E$75*英雄升级调参!$F$75</x:f>
        <x:v>1274490</x:v>
      </x:c>
      <x:c r="H75" s="40">
        <x:f>英雄升级调参!$H$74+ROUND(英雄升级调参!$D$75*英雄升级调参!$J$10,0)*3</x:f>
        <x:v>644</x:v>
      </x:c>
      <x:c r="I75" s="40">
        <x:f>英雄升级调参!$I$74+ROUND(英雄升级调参!$D$75*英雄升级调参!$C$11*英雄升级调参!$J$10,0)*3</x:f>
        <x:v>6405</x:v>
      </x:c>
      <x:c r="J75" s="40">
        <x:f>英雄升级调参!$H$75*英雄升级调参!$I$75</x:f>
        <x:v>4124820</x:v>
      </x:c>
      <x:c r="K75" s="40">
        <x:f>英雄升级调参!$K$74+ROUND(英雄升级调参!$D$75*英雄升级调参!$J$11,0)*3</x:f>
        <x:v>1103</x:v>
      </x:c>
      <x:c r="L75" s="40">
        <x:f>英雄升级调参!$L$74+ROUND(英雄升级调参!$D$75*英雄升级调参!$C$11*英雄升级调参!$J$11,0)*3</x:f>
        <x:v>10995</x:v>
      </x:c>
      <x:c r="M75" s="40">
        <x:f>英雄升级调参!$K$75*英雄升级调参!$L$75</x:f>
        <x:v>12127485</x:v>
      </x:c>
      <x:c r="N75" s="25"/>
      <x:c r="O75" s="25"/>
      <x:c r="P75" s="25"/>
    </x:row>
    <x:row r="76" ht="23.100000381469727" customHeight="1">
      <x:c r="A76" s="19"/>
      <x:c r="B76" s="25">
        <x:v>11</x:v>
      </x:c>
      <x:c r="C76" s="25" t="n">
        <x:f>ROUNDUP(英雄升级调参!$B$76/英雄升级调参!$C$10,0)</x:f>
        <x:v>3</x:v>
      </x:c>
      <x:c r="D76" s="40">
        <x:f>IF(英雄升级调参!$B$76=1,0,INDEX(英雄升级调参!$E$34:$E$43,英雄升级调参!$C$76))</x:f>
        <x:v>36</x:v>
      </x:c>
      <x:c r="E76" s="40">
        <x:f>英雄升级调参!$E$75+ROUND(英雄升级调参!$D$76*英雄升级调参!$J$9,0)</x:f>
        <x:v>393</x:v>
      </x:c>
      <x:c r="F76" s="40">
        <x:f>英雄升级调参!$F$75+ROUND(英雄升级调参!$D$76*英雄升级调参!$C$11*英雄升级调参!$J$9,0)</x:f>
        <x:v>3930</x:v>
      </x:c>
      <x:c r="G76" s="40">
        <x:f>英雄升级调参!$E$76*英雄升级调参!$F$76</x:f>
        <x:v>1544490</x:v>
      </x:c>
      <x:c r="H76" s="40">
        <x:f>英雄升级调参!$H$75+ROUND(英雄升级调参!$D$76*英雄升级调参!$J$10,0)</x:f>
        <x:v>698</x:v>
      </x:c>
      <x:c r="I76" s="40">
        <x:f>英雄升级调参!$I$75+ROUND(英雄升级调参!$D$76*英雄升级调参!$C$11*英雄升级调参!$J$10,0)</x:f>
        <x:v>6945</x:v>
      </x:c>
      <x:c r="J76" s="40">
        <x:f>英雄升级调参!$H$76*英雄升级调参!$I$76</x:f>
        <x:v>4847610</x:v>
      </x:c>
      <x:c r="K76" s="40">
        <x:f>英雄升级调参!$K$75+ROUND(英雄升级调参!$D$76*英雄升级调参!$J$11,0)</x:f>
        <x:v>1193</x:v>
      </x:c>
      <x:c r="L76" s="40">
        <x:f>英雄升级调参!$L$75+ROUND(英雄升级调参!$D$76*英雄升级调参!$C$11*英雄升级调参!$J$11,0)</x:f>
        <x:v>11895</x:v>
      </x:c>
      <x:c r="M76" s="40">
        <x:f>英雄升级调参!$K$76*英雄升级调参!$L$76</x:f>
        <x:v>14190735</x:v>
      </x:c>
      <x:c r="N76" s="25"/>
      <x:c r="O76" s="25"/>
      <x:c r="P76" s="25"/>
    </x:row>
    <x:row r="77" ht="23.100000381469727" customHeight="1">
      <x:c r="A77" s="19"/>
      <x:c r="B77" s="25">
        <x:v>12</x:v>
      </x:c>
      <x:c r="C77" s="25" t="n">
        <x:f>ROUNDUP(英雄升级调参!$B$77/英雄升级调参!$C$10,0)</x:f>
        <x:v>3</x:v>
      </x:c>
      <x:c r="D77" s="40">
        <x:f>IF(英雄升级调参!$B$77=1,0,INDEX(英雄升级调参!$E$34:$E$43,英雄升级调参!$C$77))</x:f>
        <x:v>36</x:v>
      </x:c>
      <x:c r="E77" s="40">
        <x:f>英雄升级调参!$E$76+ROUND(英雄升级调参!$D$77*英雄升级调参!$J$9,0)</x:f>
        <x:v>429</x:v>
      </x:c>
      <x:c r="F77" s="40">
        <x:f>英雄升级调参!$F$76+ROUND(英雄升级调参!$D$77*英雄升级调参!$C$11*英雄升级调参!$J$9,0)</x:f>
        <x:v>4290</x:v>
      </x:c>
      <x:c r="G77" s="40">
        <x:f>英雄升级调参!$E$77*英雄升级调参!$F$77</x:f>
        <x:v>1840410</x:v>
      </x:c>
      <x:c r="H77" s="40">
        <x:f>英雄升级调参!$H$76+ROUND(英雄升级调参!$D$77*英雄升级调参!$J$10,0)</x:f>
        <x:v>752</x:v>
      </x:c>
      <x:c r="I77" s="40">
        <x:f>英雄升级调参!$I$76+ROUND(英雄升级调参!$D$77*英雄升级调参!$C$11*英雄升级调参!$J$10,0)</x:f>
        <x:v>7485</x:v>
      </x:c>
      <x:c r="J77" s="40">
        <x:f>英雄升级调参!$H$77*英雄升级调参!$I$77</x:f>
        <x:v>5628720</x:v>
      </x:c>
      <x:c r="K77" s="40">
        <x:f>英雄升级调参!$K$76+ROUND(英雄升级调参!$D$77*英雄升级调参!$J$11,0)</x:f>
        <x:v>1283</x:v>
      </x:c>
      <x:c r="L77" s="40">
        <x:f>英雄升级调参!$L$76+ROUND(英雄升级调参!$D$77*英雄升级调参!$C$11*英雄升级调参!$J$11,0)</x:f>
        <x:v>12795</x:v>
      </x:c>
      <x:c r="M77" s="40">
        <x:f>英雄升级调参!$K$77*英雄升级调参!$L$77</x:f>
        <x:v>16415985</x:v>
      </x:c>
      <x:c r="N77" s="25"/>
      <x:c r="O77" s="25"/>
      <x:c r="P77" s="25"/>
    </x:row>
    <x:row r="78" ht="23.100000381469727" customHeight="1">
      <x:c r="A78" s="19"/>
      <x:c r="B78" s="25">
        <x:v>13</x:v>
      </x:c>
      <x:c r="C78" s="25" t="n">
        <x:f>ROUNDUP(英雄升级调参!$B$78/英雄升级调参!$C$10,0)</x:f>
        <x:v>3</x:v>
      </x:c>
      <x:c r="D78" s="40">
        <x:f>IF(英雄升级调参!$B$78=1,0,INDEX(英雄升级调参!$E$34:$E$43,英雄升级调参!$C$78))</x:f>
        <x:v>36</x:v>
      </x:c>
      <x:c r="E78" s="40">
        <x:f>英雄升级调参!$E$77+ROUND(英雄升级调参!$D$78*英雄升级调参!$J$9,0)</x:f>
        <x:v>465</x:v>
      </x:c>
      <x:c r="F78" s="40">
        <x:f>英雄升级调参!$F$77+ROUND(英雄升级调参!$D$78*英雄升级调参!$C$11*英雄升级调参!$J$9,0)</x:f>
        <x:v>4650</x:v>
      </x:c>
      <x:c r="G78" s="40">
        <x:f>英雄升级调参!$E$78*英雄升级调参!$F$78</x:f>
        <x:v>2162250</x:v>
      </x:c>
      <x:c r="H78" s="40">
        <x:f>英雄升级调参!$H$77+ROUND(英雄升级调参!$D$78*英雄升级调参!$J$10,0)</x:f>
        <x:v>806</x:v>
      </x:c>
      <x:c r="I78" s="40">
        <x:f>英雄升级调参!$I$77+ROUND(英雄升级调参!$D$78*英雄升级调参!$C$11*英雄升级调参!$J$10,0)</x:f>
        <x:v>8025</x:v>
      </x:c>
      <x:c r="J78" s="40">
        <x:f>英雄升级调参!$H$78*英雄升级调参!$I$78</x:f>
        <x:v>6468150</x:v>
      </x:c>
      <x:c r="K78" s="40">
        <x:f>英雄升级调参!$K$77+ROUND(英雄升级调参!$D$78*英雄升级调参!$J$11,0)</x:f>
        <x:v>1373</x:v>
      </x:c>
      <x:c r="L78" s="40">
        <x:f>英雄升级调参!$L$77+ROUND(英雄升级调参!$D$78*英雄升级调参!$C$11*英雄升级调参!$J$11,0)</x:f>
        <x:v>13695</x:v>
      </x:c>
      <x:c r="M78" s="40">
        <x:f>英雄升级调参!$K$78*英雄升级调参!$L$78</x:f>
        <x:v>18803235</x:v>
      </x:c>
      <x:c r="N78" s="25"/>
      <x:c r="O78" s="25"/>
      <x:c r="P78" s="25"/>
    </x:row>
    <x:row r="79" ht="23.100000381469727" customHeight="1">
      <x:c r="A79" s="19"/>
      <x:c r="B79" s="25">
        <x:v>14</x:v>
      </x:c>
      <x:c r="C79" s="25" t="n">
        <x:f>ROUNDUP(英雄升级调参!$B$79/英雄升级调参!$C$10,0)</x:f>
        <x:v>3</x:v>
      </x:c>
      <x:c r="D79" s="40">
        <x:f>IF(英雄升级调参!$B$79=1,0,INDEX(英雄升级调参!$E$34:$E$43,英雄升级调参!$C$79))</x:f>
        <x:v>36</x:v>
      </x:c>
      <x:c r="E79" s="40">
        <x:f>英雄升级调参!$E$78+ROUND(英雄升级调参!$D$79*英雄升级调参!$J$9,0)</x:f>
        <x:v>501</x:v>
      </x:c>
      <x:c r="F79" s="40">
        <x:f>英雄升级调参!$F$78+ROUND(英雄升级调参!$D$79*英雄升级调参!$C$11*英雄升级调参!$J$9,0)</x:f>
        <x:v>5010</x:v>
      </x:c>
      <x:c r="G79" s="40">
        <x:f>英雄升级调参!$E$79*英雄升级调参!$F$79</x:f>
        <x:v>2510010</x:v>
      </x:c>
      <x:c r="H79" s="40">
        <x:f>英雄升级调参!$H$78+ROUND(英雄升级调参!$D$79*英雄升级调参!$J$10,0)</x:f>
        <x:v>860</x:v>
      </x:c>
      <x:c r="I79" s="40">
        <x:f>英雄升级调参!$I$78+ROUND(英雄升级调参!$D$79*英雄升级调参!$C$11*英雄升级调参!$J$10,0)</x:f>
        <x:v>8565</x:v>
      </x:c>
      <x:c r="J79" s="40">
        <x:f>英雄升级调参!$H$79*英雄升级调参!$I$79</x:f>
        <x:v>7365900</x:v>
      </x:c>
      <x:c r="K79" s="40">
        <x:f>英雄升级调参!$K$78+ROUND(英雄升级调参!$D$79*英雄升级调参!$J$11,0)</x:f>
        <x:v>1463</x:v>
      </x:c>
      <x:c r="L79" s="40">
        <x:f>英雄升级调参!$L$78+ROUND(英雄升级调参!$D$79*英雄升级调参!$C$11*英雄升级调参!$J$11,0)</x:f>
        <x:v>14595</x:v>
      </x:c>
      <x:c r="M79" s="40">
        <x:f>英雄升级调参!$K$79*英雄升级调参!$L$79</x:f>
        <x:v>21352485</x:v>
      </x:c>
      <x:c r="N79" s="25"/>
      <x:c r="O79" s="25"/>
      <x:c r="P79" s="25"/>
    </x:row>
    <x:row r="80" ht="23.100000381469727" customHeight="1">
      <x:c r="A80" s="19"/>
      <x:c r="B80" s="25">
        <x:v>15</x:v>
      </x:c>
      <x:c r="C80" s="25" t="n">
        <x:f>ROUNDUP(英雄升级调参!$B$80/英雄升级调参!$C$10,0)</x:f>
        <x:v>3</x:v>
      </x:c>
      <x:c r="D80" s="40">
        <x:f>IF(英雄升级调参!$B$80=1,0,INDEX(英雄升级调参!$E$34:$E$43,英雄升级调参!$C$80))</x:f>
        <x:v>36</x:v>
      </x:c>
      <x:c r="E80" s="40">
        <x:f>英雄升级调参!$E$79+ROUND(英雄升级调参!$D$80*英雄升级调参!$J$9,0)*3</x:f>
        <x:v>609</x:v>
      </x:c>
      <x:c r="F80" s="40">
        <x:f>英雄升级调参!$F$79+ROUND(英雄升级调参!$D$80*英雄升级调参!$C$11*英雄升级调参!$J$9,0)*3</x:f>
        <x:v>6090</x:v>
      </x:c>
      <x:c r="G80" s="40">
        <x:f>英雄升级调参!$E$80*英雄升级调参!$F$80</x:f>
        <x:v>3708810</x:v>
      </x:c>
      <x:c r="H80" s="40">
        <x:f>英雄升级调参!$H$79+ROUND(英雄升级调参!$D$80*英雄升级调参!$J$10,0)*3</x:f>
        <x:v>1022</x:v>
      </x:c>
      <x:c r="I80" s="40">
        <x:f>英雄升级调参!$I$79+ROUND(英雄升级调参!$D$80*英雄升级调参!$C$11*英雄升级调参!$J$10,0)*3</x:f>
        <x:v>10185</x:v>
      </x:c>
      <x:c r="J80" s="40">
        <x:f>英雄升级调参!$H$80*英雄升级调参!$I$80</x:f>
        <x:v>10409070</x:v>
      </x:c>
      <x:c r="K80" s="40">
        <x:f>英雄升级调参!$K$79+ROUND(英雄升级调参!$D$80*英雄升级调参!$J$11,0)*3</x:f>
        <x:v>1733</x:v>
      </x:c>
      <x:c r="L80" s="40">
        <x:f>英雄升级调参!$L$79+ROUND(英雄升级调参!$D$80*英雄升级调参!$C$11*英雄升级调参!$J$11,0)*3</x:f>
        <x:v>17295</x:v>
      </x:c>
      <x:c r="M80" s="40">
        <x:f>英雄升级调参!$K$80*英雄升级调参!$L$80</x:f>
        <x:v>29972235</x:v>
      </x:c>
      <x:c r="N80" s="25"/>
      <x:c r="O80" s="25"/>
      <x:c r="P80" s="25"/>
    </x:row>
    <x:row r="81" ht="23.100000381469727" customHeight="1">
      <x:c r="A81" s="19"/>
      <x:c r="B81" s="25">
        <x:v>16</x:v>
      </x:c>
      <x:c r="C81" s="25" t="n">
        <x:f>ROUNDUP(英雄升级调参!$B$81/英雄升级调参!$C$10,0)</x:f>
        <x:v>4</x:v>
      </x:c>
      <x:c r="D81" s="40">
        <x:f>IF(英雄升级调参!$B$81=1,0,INDEX(英雄升级调参!$E$34:$E$43,英雄升级调参!$C$81))</x:f>
        <x:v>45</x:v>
      </x:c>
      <x:c r="E81" s="40">
        <x:f>英雄升级调参!$E$80+ROUND(英雄升级调参!$D$81*英雄升级调参!$J$9,0)</x:f>
        <x:v>654</x:v>
      </x:c>
      <x:c r="F81" s="40">
        <x:f>英雄升级调参!$F$80+ROUND(英雄升级调参!$D$81*英雄升级调参!$C$11*英雄升级调参!$J$9,0)</x:f>
        <x:v>6540</x:v>
      </x:c>
      <x:c r="G81" s="40">
        <x:f>英雄升级调参!$E$81*英雄升级调参!$F$81</x:f>
        <x:v>4277160</x:v>
      </x:c>
      <x:c r="H81" s="40">
        <x:f>英雄升级调参!$H$80+ROUND(英雄升级调参!$D$81*英雄升级调参!$J$10,0)</x:f>
        <x:v>1090</x:v>
      </x:c>
      <x:c r="I81" s="40">
        <x:f>英雄升级调参!$I$80+ROUND(英雄升级调参!$D$81*英雄升级调参!$C$11*英雄升级调参!$J$10,0)</x:f>
        <x:v>10860</x:v>
      </x:c>
      <x:c r="J81" s="40">
        <x:f>英雄升级调参!$H$81*英雄升级调参!$I$81</x:f>
        <x:v>11837400</x:v>
      </x:c>
      <x:c r="K81" s="40">
        <x:f>英雄升级调参!$K$80+ROUND(英雄升级调参!$D$81*英雄升级调参!$J$11,0)</x:f>
        <x:v>1846</x:v>
      </x:c>
      <x:c r="L81" s="40">
        <x:f>英雄升级调参!$L$80+ROUND(英雄升级调参!$D$81*英雄升级调参!$C$11*英雄升级调参!$J$11,0)</x:f>
        <x:v>18420</x:v>
      </x:c>
      <x:c r="M81" s="40">
        <x:f>英雄升级调参!$K$81*英雄升级调参!$L$81</x:f>
        <x:v>34003320</x:v>
      </x:c>
      <x:c r="N81" s="25"/>
      <x:c r="O81" s="25"/>
      <x:c r="P81" s="25"/>
    </x:row>
    <x:row r="82" ht="23.100000381469727" customHeight="1">
      <x:c r="A82" s="19"/>
      <x:c r="B82" s="25">
        <x:v>17</x:v>
      </x:c>
      <x:c r="C82" s="25" t="n">
        <x:f>ROUNDUP(英雄升级调参!$B$82/英雄升级调参!$C$10,0)</x:f>
        <x:v>4</x:v>
      </x:c>
      <x:c r="D82" s="40">
        <x:f>IF(英雄升级调参!$B$82=1,0,INDEX(英雄升级调参!$E$34:$E$43,英雄升级调参!$C$82))</x:f>
        <x:v>45</x:v>
      </x:c>
      <x:c r="E82" s="40">
        <x:f>英雄升级调参!$E$81+ROUND(英雄升级调参!$D$82*英雄升级调参!$J$9,0)</x:f>
        <x:v>699</x:v>
      </x:c>
      <x:c r="F82" s="40">
        <x:f>英雄升级调参!$F$81+ROUND(英雄升级调参!$D$82*英雄升级调参!$C$11*英雄升级调参!$J$9,0)</x:f>
        <x:v>6990</x:v>
      </x:c>
      <x:c r="G82" s="40">
        <x:f>英雄升级调参!$E$82*英雄升级调参!$F$82</x:f>
        <x:v>4886010</x:v>
      </x:c>
      <x:c r="H82" s="40">
        <x:f>英雄升级调参!$H$81+ROUND(英雄升级调参!$D$82*英雄升级调参!$J$10,0)</x:f>
        <x:v>1158</x:v>
      </x:c>
      <x:c r="I82" s="40">
        <x:f>英雄升级调参!$I$81+ROUND(英雄升级调参!$D$82*英雄升级调参!$C$11*英雄升级调参!$J$10,0)</x:f>
        <x:v>11535</x:v>
      </x:c>
      <x:c r="J82" s="40">
        <x:f>英雄升级调参!$H$82*英雄升级调参!$I$82</x:f>
        <x:v>13357530</x:v>
      </x:c>
      <x:c r="K82" s="40">
        <x:f>英雄升级调参!$K$81+ROUND(英雄升级调参!$D$82*英雄升级调参!$J$11,0)</x:f>
        <x:v>1959</x:v>
      </x:c>
      <x:c r="L82" s="40">
        <x:f>英雄升级调参!$L$81+ROUND(英雄升级调参!$D$82*英雄升级调参!$C$11*英雄升级调参!$J$11,0)</x:f>
        <x:v>19545</x:v>
      </x:c>
      <x:c r="M82" s="40">
        <x:f>英雄升级调参!$K$82*英雄升级调参!$L$82</x:f>
        <x:v>38288655</x:v>
      </x:c>
      <x:c r="N82" s="25"/>
      <x:c r="O82" s="25"/>
      <x:c r="P82" s="25"/>
    </x:row>
    <x:row r="83" ht="23.100000381469727" customHeight="1">
      <x:c r="A83" s="19"/>
      <x:c r="B83" s="25">
        <x:v>18</x:v>
      </x:c>
      <x:c r="C83" s="25" t="n">
        <x:f>ROUNDUP(英雄升级调参!$B$83/英雄升级调参!$C$10,0)</x:f>
        <x:v>4</x:v>
      </x:c>
      <x:c r="D83" s="40">
        <x:f>IF(英雄升级调参!$B$83=1,0,INDEX(英雄升级调参!$E$34:$E$43,英雄升级调参!$C$83))</x:f>
        <x:v>45</x:v>
      </x:c>
      <x:c r="E83" s="40">
        <x:f>英雄升级调参!$E$82+ROUND(英雄升级调参!$D$83*英雄升级调参!$J$9,0)</x:f>
        <x:v>744</x:v>
      </x:c>
      <x:c r="F83" s="40">
        <x:f>英雄升级调参!$F$82+ROUND(英雄升级调参!$D$83*英雄升级调参!$C$11*英雄升级调参!$J$9,0)</x:f>
        <x:v>7440</x:v>
      </x:c>
      <x:c r="G83" s="40">
        <x:f>英雄升级调参!$E$83*英雄升级调参!$F$83</x:f>
        <x:v>5535360</x:v>
      </x:c>
      <x:c r="H83" s="40">
        <x:f>英雄升级调参!$H$82+ROUND(英雄升级调参!$D$83*英雄升级调参!$J$10,0)</x:f>
        <x:v>1226</x:v>
      </x:c>
      <x:c r="I83" s="40">
        <x:f>英雄升级调参!$I$82+ROUND(英雄升级调参!$D$83*英雄升级调参!$C$11*英雄升级调参!$J$10,0)</x:f>
        <x:v>12210</x:v>
      </x:c>
      <x:c r="J83" s="40">
        <x:f>英雄升级调参!$H$83*英雄升级调参!$I$83</x:f>
        <x:v>14969460</x:v>
      </x:c>
      <x:c r="K83" s="40">
        <x:f>英雄升级调参!$K$82+ROUND(英雄升级调参!$D$83*英雄升级调参!$J$11,0)</x:f>
        <x:v>2072</x:v>
      </x:c>
      <x:c r="L83" s="40">
        <x:f>英雄升级调参!$L$82+ROUND(英雄升级调参!$D$83*英雄升级调参!$C$11*英雄升级调参!$J$11,0)</x:f>
        <x:v>20670</x:v>
      </x:c>
      <x:c r="M83" s="40">
        <x:f>英雄升级调参!$K$83*英雄升级调参!$L$83</x:f>
        <x:v>42828240</x:v>
      </x:c>
      <x:c r="N83" s="25"/>
      <x:c r="O83" s="25"/>
      <x:c r="P83" s="25"/>
    </x:row>
    <x:row r="84" ht="23.100000381469727" customHeight="1">
      <x:c r="A84" s="19"/>
      <x:c r="B84" s="25">
        <x:v>19</x:v>
      </x:c>
      <x:c r="C84" s="25" t="n">
        <x:f>ROUNDUP(英雄升级调参!$B$84/英雄升级调参!$C$10,0)</x:f>
        <x:v>4</x:v>
      </x:c>
      <x:c r="D84" s="40">
        <x:f>IF(英雄升级调参!$B$84=1,0,INDEX(英雄升级调参!$E$34:$E$43,英雄升级调参!$C$84))</x:f>
        <x:v>45</x:v>
      </x:c>
      <x:c r="E84" s="40">
        <x:f>英雄升级调参!$E$83+ROUND(英雄升级调参!$D$84*英雄升级调参!$J$9,0)</x:f>
        <x:v>789</x:v>
      </x:c>
      <x:c r="F84" s="40">
        <x:f>英雄升级调参!$F$83+ROUND(英雄升级调参!$D$84*英雄升级调参!$C$11*英雄升级调参!$J$9,0)</x:f>
        <x:v>7890</x:v>
      </x:c>
      <x:c r="G84" s="40">
        <x:f>英雄升级调参!$E$84*英雄升级调参!$F$84</x:f>
        <x:v>6225210</x:v>
      </x:c>
      <x:c r="H84" s="40">
        <x:f>英雄升级调参!$H$83+ROUND(英雄升级调参!$D$84*英雄升级调参!$J$10,0)</x:f>
        <x:v>1294</x:v>
      </x:c>
      <x:c r="I84" s="40">
        <x:f>英雄升级调参!$I$83+ROUND(英雄升级调参!$D$84*英雄升级调参!$C$11*英雄升级调参!$J$10,0)</x:f>
        <x:v>12885</x:v>
      </x:c>
      <x:c r="J84" s="40">
        <x:f>英雄升级调参!$H$84*英雄升级调参!$I$84</x:f>
        <x:v>16673190</x:v>
      </x:c>
      <x:c r="K84" s="40">
        <x:f>英雄升级调参!$K$83+ROUND(英雄升级调参!$D$84*英雄升级调参!$J$11,0)</x:f>
        <x:v>2185</x:v>
      </x:c>
      <x:c r="L84" s="40">
        <x:f>英雄升级调参!$L$83+ROUND(英雄升级调参!$D$84*英雄升级调参!$C$11*英雄升级调参!$J$11,0)</x:f>
        <x:v>21795</x:v>
      </x:c>
      <x:c r="M84" s="40">
        <x:f>英雄升级调参!$K$84*英雄升级调参!$L$84</x:f>
        <x:v>47622075</x:v>
      </x:c>
      <x:c r="N84" s="25"/>
      <x:c r="O84" s="25"/>
      <x:c r="P84" s="25"/>
    </x:row>
    <x:row r="85" ht="23.100000381469727" customHeight="1">
      <x:c r="A85" s="19"/>
      <x:c r="B85" s="25">
        <x:v>20</x:v>
      </x:c>
      <x:c r="C85" s="25" t="n">
        <x:f>ROUNDUP(英雄升级调参!$B$85/英雄升级调参!$C$10,0)</x:f>
        <x:v>4</x:v>
      </x:c>
      <x:c r="D85" s="40">
        <x:f>IF(英雄升级调参!$B$85=1,0,INDEX(英雄升级调参!$E$34:$E$43,英雄升级调参!$C$85))</x:f>
        <x:v>45</x:v>
      </x:c>
      <x:c r="E85" s="40">
        <x:f>英雄升级调参!$E$84+ROUND(英雄升级调参!$D$85*英雄升级调参!$J$9,0)*3</x:f>
        <x:v>924</x:v>
      </x:c>
      <x:c r="F85" s="40">
        <x:f>英雄升级调参!$F$84+ROUND(英雄升级调参!$D$85*英雄升级调参!$C$11*英雄升级调参!$J$9,0)*3</x:f>
        <x:v>9240</x:v>
      </x:c>
      <x:c r="G85" s="40">
        <x:f>英雄升级调参!$E$85*英雄升级调参!$F$85</x:f>
        <x:v>8537760</x:v>
      </x:c>
      <x:c r="H85" s="40">
        <x:f>英雄升级调参!$H$84+ROUND(英雄升级调参!$D$85*英雄升级调参!$J$10,0)*3</x:f>
        <x:v>1498</x:v>
      </x:c>
      <x:c r="I85" s="40">
        <x:f>英雄升级调参!$I$84+ROUND(英雄升级调参!$D$85*英雄升级调参!$C$11*英雄升级调参!$J$10,0)*3</x:f>
        <x:v>14910</x:v>
      </x:c>
      <x:c r="J85" s="40">
        <x:f>英雄升级调参!$H$85*英雄升级调参!$I$85</x:f>
        <x:v>22335180</x:v>
      </x:c>
      <x:c r="K85" s="40">
        <x:f>英雄升级调参!$K$84+ROUND(英雄升级调参!$D$85*英雄升级调参!$J$11,0)*3</x:f>
        <x:v>2524</x:v>
      </x:c>
      <x:c r="L85" s="40">
        <x:f>英雄升级调参!$L$84+ROUND(英雄升级调参!$D$85*英雄升级调参!$C$11*英雄升级调参!$J$11,0)*3</x:f>
        <x:v>25170</x:v>
      </x:c>
      <x:c r="M85" s="40">
        <x:f>英雄升级调参!$K$85*英雄升级调参!$L$85</x:f>
        <x:v>63529080</x:v>
      </x:c>
      <x:c r="N85" s="25"/>
      <x:c r="O85" s="25"/>
      <x:c r="P85" s="25"/>
    </x:row>
    <x:row r="86" ht="23.100000381469727" customHeight="1">
      <x:c r="A86" s="19"/>
      <x:c r="B86" s="25">
        <x:v>21</x:v>
      </x:c>
      <x:c r="C86" s="25" t="n">
        <x:f>ROUNDUP(英雄升级调参!$B$86/英雄升级调参!$C$10,0)</x:f>
        <x:v>5</x:v>
      </x:c>
      <x:c r="D86" s="40">
        <x:f>IF(英雄升级调参!$B$86=1,0,INDEX(英雄升级调参!$E$34:$E$43,英雄升级调参!$C$86))</x:f>
        <x:v>54</x:v>
      </x:c>
      <x:c r="E86" s="40">
        <x:f>英雄升级调参!$E$85+ROUND(英雄升级调参!$D$86*英雄升级调参!$J$9,0)</x:f>
        <x:v>978</x:v>
      </x:c>
      <x:c r="F86" s="40">
        <x:f>英雄升级调参!$F$85+ROUND(英雄升级调参!$D$86*英雄升级调参!$C$11*英雄升级调参!$J$9,0)</x:f>
        <x:v>9780</x:v>
      </x:c>
      <x:c r="G86" s="40">
        <x:f>英雄升级调参!$E$86*英雄升级调参!$F$86</x:f>
        <x:v>9564840</x:v>
      </x:c>
      <x:c r="H86" s="40">
        <x:f>英雄升级调参!$H$85+ROUND(英雄升级调参!$D$86*英雄升级调参!$J$10,0)</x:f>
        <x:v>1579</x:v>
      </x:c>
      <x:c r="I86" s="40">
        <x:f>英雄升级调参!$I$85+ROUND(英雄升级调参!$D$86*英雄升级调参!$C$11*英雄升级调参!$J$10,0)</x:f>
        <x:v>15720</x:v>
      </x:c>
      <x:c r="J86" s="40">
        <x:f>英雄升级调参!$H$86*英雄升级调参!$I$86</x:f>
        <x:v>24821880</x:v>
      </x:c>
      <x:c r="K86" s="40">
        <x:f>英雄升级调参!$K$85+ROUND(英雄升级调参!$D$86*英雄升级调参!$J$11,0)</x:f>
        <x:v>2659</x:v>
      </x:c>
      <x:c r="L86" s="40">
        <x:f>英雄升级调参!$L$85+ROUND(英雄升级调参!$D$86*英雄升级调参!$C$11*英雄升级调参!$J$11,0)</x:f>
        <x:v>26520</x:v>
      </x:c>
      <x:c r="M86" s="40">
        <x:f>英雄升级调参!$K$86*英雄升级调参!$L$86</x:f>
        <x:v>70516680</x:v>
      </x:c>
      <x:c r="N86" s="25"/>
      <x:c r="O86" s="25"/>
      <x:c r="P86" s="25"/>
    </x:row>
    <x:row r="87" ht="23.100000381469727" customHeight="1">
      <x:c r="A87" s="19"/>
      <x:c r="B87" s="25">
        <x:v>22</x:v>
      </x:c>
      <x:c r="C87" s="25" t="n">
        <x:f>ROUNDUP(英雄升级调参!$B$87/英雄升级调参!$C$10,0)</x:f>
        <x:v>5</x:v>
      </x:c>
      <x:c r="D87" s="40">
        <x:f>IF(英雄升级调参!$B$87=1,0,INDEX(英雄升级调参!$E$34:$E$43,英雄升级调参!$C$87))</x:f>
        <x:v>54</x:v>
      </x:c>
      <x:c r="E87" s="40">
        <x:f>英雄升级调参!$E$86+ROUND(英雄升级调参!$D$87*英雄升级调参!$J$9,0)</x:f>
        <x:v>1032</x:v>
      </x:c>
      <x:c r="F87" s="40">
        <x:f>英雄升级调参!$F$86+ROUND(英雄升级调参!$D$87*英雄升级调参!$C$11*英雄升级调参!$J$9,0)</x:f>
        <x:v>10320</x:v>
      </x:c>
      <x:c r="G87" s="40">
        <x:f>英雄升级调参!$E$87*英雄升级调参!$F$87</x:f>
        <x:v>10650240</x:v>
      </x:c>
      <x:c r="H87" s="40">
        <x:f>英雄升级调参!$H$86+ROUND(英雄升级调参!$D$87*英雄升级调参!$J$10,0)</x:f>
        <x:v>1660</x:v>
      </x:c>
      <x:c r="I87" s="40">
        <x:f>英雄升级调参!$I$86+ROUND(英雄升级调参!$D$87*英雄升级调参!$C$11*英雄升级调参!$J$10,0)</x:f>
        <x:v>16530</x:v>
      </x:c>
      <x:c r="J87" s="40">
        <x:f>英雄升级调参!$H$87*英雄升级调参!$I$87</x:f>
        <x:v>27439800</x:v>
      </x:c>
      <x:c r="K87" s="40">
        <x:f>英雄升级调参!$K$86+ROUND(英雄升级调参!$D$87*英雄升级调参!$J$11,0)</x:f>
        <x:v>2794</x:v>
      </x:c>
      <x:c r="L87" s="40">
        <x:f>英雄升级调参!$L$86+ROUND(英雄升级调参!$D$87*英雄升级调参!$C$11*英雄升级调参!$J$11,0)</x:f>
        <x:v>27870</x:v>
      </x:c>
      <x:c r="M87" s="40">
        <x:f>英雄升级调参!$K$87*英雄升级调参!$L$87</x:f>
        <x:v>77868780</x:v>
      </x:c>
      <x:c r="N87" s="25"/>
      <x:c r="O87" s="25"/>
      <x:c r="P87" s="25"/>
    </x:row>
    <x:row r="88" ht="23.100000381469727" customHeight="1">
      <x:c r="A88" s="19"/>
      <x:c r="B88" s="25">
        <x:v>23</x:v>
      </x:c>
      <x:c r="C88" s="25" t="n">
        <x:f>ROUNDUP(英雄升级调参!$B$88/英雄升级调参!$C$10,0)</x:f>
        <x:v>5</x:v>
      </x:c>
      <x:c r="D88" s="40">
        <x:f>IF(英雄升级调参!$B$88=1,0,INDEX(英雄升级调参!$E$34:$E$43,英雄升级调参!$C$88))</x:f>
        <x:v>54</x:v>
      </x:c>
      <x:c r="E88" s="40">
        <x:f>英雄升级调参!$E$87+ROUND(英雄升级调参!$D$88*英雄升级调参!$J$9,0)</x:f>
        <x:v>1086</x:v>
      </x:c>
      <x:c r="F88" s="40">
        <x:f>英雄升级调参!$F$87+ROUND(英雄升级调参!$D$88*英雄升级调参!$C$11*英雄升级调参!$J$9,0)</x:f>
        <x:v>10860</x:v>
      </x:c>
      <x:c r="G88" s="40">
        <x:f>英雄升级调参!$E$88*英雄升级调参!$F$88</x:f>
        <x:v>11793960</x:v>
      </x:c>
      <x:c r="H88" s="40">
        <x:f>英雄升级调参!$H$87+ROUND(英雄升级调参!$D$88*英雄升级调参!$J$10,0)</x:f>
        <x:v>1741</x:v>
      </x:c>
      <x:c r="I88" s="40">
        <x:f>英雄升级调参!$I$87+ROUND(英雄升级调参!$D$88*英雄升级调参!$C$11*英雄升级调参!$J$10,0)</x:f>
        <x:v>17340</x:v>
      </x:c>
      <x:c r="J88" s="40">
        <x:f>英雄升级调参!$H$88*英雄升级调参!$I$88</x:f>
        <x:v>30188940</x:v>
      </x:c>
      <x:c r="K88" s="40">
        <x:f>英雄升级调参!$K$87+ROUND(英雄升级调参!$D$88*英雄升级调参!$J$11,0)</x:f>
        <x:v>2929</x:v>
      </x:c>
      <x:c r="L88" s="40">
        <x:f>英雄升级调参!$L$87+ROUND(英雄升级调参!$D$88*英雄升级调参!$C$11*英雄升级调参!$J$11,0)</x:f>
        <x:v>29220</x:v>
      </x:c>
      <x:c r="M88" s="40">
        <x:f>英雄升级调参!$K$88*英雄升级调参!$L$88</x:f>
        <x:v>85585380</x:v>
      </x:c>
      <x:c r="N88" s="25"/>
      <x:c r="O88" s="25"/>
      <x:c r="P88" s="25"/>
    </x:row>
    <x:row r="89" ht="23.100000381469727" customHeight="1">
      <x:c r="A89" s="19"/>
      <x:c r="B89" s="25">
        <x:v>24</x:v>
      </x:c>
      <x:c r="C89" s="25" t="n">
        <x:f>ROUNDUP(英雄升级调参!$B$89/英雄升级调参!$C$10,0)</x:f>
        <x:v>5</x:v>
      </x:c>
      <x:c r="D89" s="40">
        <x:f>IF(英雄升级调参!$B$89=1,0,INDEX(英雄升级调参!$E$34:$E$43,英雄升级调参!$C$89))</x:f>
        <x:v>54</x:v>
      </x:c>
      <x:c r="E89" s="40">
        <x:f>英雄升级调参!$E$88+ROUND(英雄升级调参!$D$89*英雄升级调参!$J$9,0)</x:f>
        <x:v>1140</x:v>
      </x:c>
      <x:c r="F89" s="40">
        <x:f>英雄升级调参!$F$88+ROUND(英雄升级调参!$D$89*英雄升级调参!$C$11*英雄升级调参!$J$9,0)</x:f>
        <x:v>11400</x:v>
      </x:c>
      <x:c r="G89" s="40">
        <x:f>英雄升级调参!$E$89*英雄升级调参!$F$89</x:f>
        <x:v>12996000</x:v>
      </x:c>
      <x:c r="H89" s="40">
        <x:f>英雄升级调参!$H$88+ROUND(英雄升级调参!$D$89*英雄升级调参!$J$10,0)</x:f>
        <x:v>1822</x:v>
      </x:c>
      <x:c r="I89" s="40">
        <x:f>英雄升级调参!$I$88+ROUND(英雄升级调参!$D$89*英雄升级调参!$C$11*英雄升级调参!$J$10,0)</x:f>
        <x:v>18150</x:v>
      </x:c>
      <x:c r="J89" s="40">
        <x:f>英雄升级调参!$H$89*英雄升级调参!$I$89</x:f>
        <x:v>33069300</x:v>
      </x:c>
      <x:c r="K89" s="40">
        <x:f>英雄升级调参!$K$88+ROUND(英雄升级调参!$D$89*英雄升级调参!$J$11,0)</x:f>
        <x:v>3064</x:v>
      </x:c>
      <x:c r="L89" s="40">
        <x:f>英雄升级调参!$L$88+ROUND(英雄升级调参!$D$89*英雄升级调参!$C$11*英雄升级调参!$J$11,0)</x:f>
        <x:v>30570</x:v>
      </x:c>
      <x:c r="M89" s="40">
        <x:f>英雄升级调参!$K$89*英雄升级调参!$L$89</x:f>
        <x:v>93666480</x:v>
      </x:c>
      <x:c r="N89" s="25"/>
      <x:c r="O89" s="25"/>
      <x:c r="P89" s="25"/>
    </x:row>
    <x:row r="90" ht="23.100000381469727" customHeight="1">
      <x:c r="A90" s="19"/>
      <x:c r="B90" s="25">
        <x:v>25</x:v>
      </x:c>
      <x:c r="C90" s="25" t="n">
        <x:f>ROUNDUP(英雄升级调参!$B$90/英雄升级调参!$C$10,0)</x:f>
        <x:v>5</x:v>
      </x:c>
      <x:c r="D90" s="40">
        <x:f>IF(英雄升级调参!$B$90=1,0,INDEX(英雄升级调参!$E$34:$E$43,英雄升级调参!$C$90))</x:f>
        <x:v>54</x:v>
      </x:c>
      <x:c r="E90" s="40">
        <x:f>英雄升级调参!$E$89+ROUND(英雄升级调参!$D$90*英雄升级调参!$J$9,0)*3</x:f>
        <x:v>1302</x:v>
      </x:c>
      <x:c r="F90" s="40">
        <x:f>英雄升级调参!$F$89+ROUND(英雄升级调参!$D$90*英雄升级调参!$C$11*英雄升级调参!$J$9,0)*3</x:f>
        <x:v>13020</x:v>
      </x:c>
      <x:c r="G90" s="40">
        <x:f>英雄升级调参!$E$90*英雄升级调参!$F$90</x:f>
        <x:v>16952040</x:v>
      </x:c>
      <x:c r="H90" s="40">
        <x:f>英雄升级调参!$H$89+ROUND(英雄升级调参!$D$90*英雄升级调参!$J$10,0)*3</x:f>
        <x:v>2065</x:v>
      </x:c>
      <x:c r="I90" s="40">
        <x:f>英雄升级调参!$I$89+ROUND(英雄升级调参!$D$90*英雄升级调参!$C$11*英雄升级调参!$J$10,0)*3</x:f>
        <x:v>20580</x:v>
      </x:c>
      <x:c r="J90" s="40">
        <x:f>英雄升级调参!$H$90*英雄升级调参!$I$90</x:f>
        <x:v>42497700</x:v>
      </x:c>
      <x:c r="K90" s="40">
        <x:f>英雄升级调参!$K$89+ROUND(英雄升级调参!$D$90*英雄升级调参!$J$11,0)*3</x:f>
        <x:v>3469</x:v>
      </x:c>
      <x:c r="L90" s="40">
        <x:f>英雄升级调参!$L$89+ROUND(英雄升级调参!$D$90*英雄升级调参!$C$11*英雄升级调参!$J$11,0)*3</x:f>
        <x:v>34620</x:v>
      </x:c>
      <x:c r="M90" s="40">
        <x:f>英雄升级调参!$K$90*英雄升级调参!$L$90</x:f>
        <x:v>120096780</x:v>
      </x:c>
      <x:c r="N90" s="25"/>
      <x:c r="O90" s="25"/>
      <x:c r="P90" s="25"/>
    </x:row>
    <x:row r="91" ht="23.100000381469727" customHeight="1">
      <x:c r="A91" s="19"/>
      <x:c r="B91" s="25">
        <x:v>26</x:v>
      </x:c>
      <x:c r="C91" s="25" t="n">
        <x:f>ROUNDUP(英雄升级调参!$B$91/英雄升级调参!$C$10,0)</x:f>
        <x:v>6</x:v>
      </x:c>
      <x:c r="D91" s="40">
        <x:f>IF(英雄升级调参!$B$91=1,0,INDEX(英雄升级调参!$E$34:$E$43,英雄升级调参!$C$91))</x:f>
        <x:v>63</x:v>
      </x:c>
      <x:c r="E91" s="40">
        <x:f>英雄升级调参!$E$90+ROUND(英雄升级调参!$D$91*英雄升级调参!$J$9,0)</x:f>
        <x:v>1365</x:v>
      </x:c>
      <x:c r="F91" s="40">
        <x:f>英雄升级调参!$F$90+ROUND(英雄升级调参!$D$91*英雄升级调参!$C$11*英雄升级调参!$J$9,0)</x:f>
        <x:v>13650</x:v>
      </x:c>
      <x:c r="G91" s="40">
        <x:f>英雄升级调参!$E$91*英雄升级调参!$F$91</x:f>
        <x:v>18632250</x:v>
      </x:c>
      <x:c r="H91" s="40">
        <x:f>英雄升级调参!$H$90+ROUND(英雄升级调参!$D$91*英雄升级调参!$J$10,0)</x:f>
        <x:v>2160</x:v>
      </x:c>
      <x:c r="I91" s="40">
        <x:f>英雄升级调参!$I$90+ROUND(英雄升级调参!$D$91*英雄升级调参!$C$11*英雄升级调参!$J$10,0)</x:f>
        <x:v>21525</x:v>
      </x:c>
      <x:c r="J91" s="40">
        <x:f>英雄升级调参!$H$91*英雄升级调参!$I$91</x:f>
        <x:v>46494000</x:v>
      </x:c>
      <x:c r="K91" s="40">
        <x:f>英雄升级调参!$K$90+ROUND(英雄升级调参!$D$91*英雄升级调参!$J$11,0)</x:f>
        <x:v>3627</x:v>
      </x:c>
      <x:c r="L91" s="40">
        <x:f>英雄升级调参!$L$90+ROUND(英雄升级调参!$D$91*英雄升级调参!$C$11*英雄升级调参!$J$11,0)</x:f>
        <x:v>36195</x:v>
      </x:c>
      <x:c r="M91" s="40">
        <x:f>英雄升级调参!$K$91*英雄升级调参!$L$91</x:f>
        <x:v>131279265</x:v>
      </x:c>
      <x:c r="N91" s="25"/>
      <x:c r="O91" s="25"/>
      <x:c r="P91" s="25"/>
    </x:row>
    <x:row r="92" ht="23.100000381469727" customHeight="1">
      <x:c r="A92" s="19"/>
      <x:c r="B92" s="25">
        <x:v>27</x:v>
      </x:c>
      <x:c r="C92" s="25" t="n">
        <x:f>ROUNDUP(英雄升级调参!$B$92/英雄升级调参!$C$10,0)</x:f>
        <x:v>6</x:v>
      </x:c>
      <x:c r="D92" s="40">
        <x:f>IF(英雄升级调参!$B$92=1,0,INDEX(英雄升级调参!$E$34:$E$43,英雄升级调参!$C$92))</x:f>
        <x:v>63</x:v>
      </x:c>
      <x:c r="E92" s="40">
        <x:f>英雄升级调参!$E$91+ROUND(英雄升级调参!$D$92*英雄升级调参!$J$9,0)</x:f>
        <x:v>1428</x:v>
      </x:c>
      <x:c r="F92" s="40">
        <x:f>英雄升级调参!$F$91+ROUND(英雄升级调参!$D$92*英雄升级调参!$C$11*英雄升级调参!$J$9,0)</x:f>
        <x:v>14280</x:v>
      </x:c>
      <x:c r="G92" s="40">
        <x:f>英雄升级调参!$E$92*英雄升级调参!$F$92</x:f>
        <x:v>20391840</x:v>
      </x:c>
      <x:c r="H92" s="40">
        <x:f>英雄升级调参!$H$91+ROUND(英雄升级调参!$D$92*英雄升级调参!$J$10,0)</x:f>
        <x:v>2255</x:v>
      </x:c>
      <x:c r="I92" s="40">
        <x:f>英雄升级调参!$I$91+ROUND(英雄升级调参!$D$92*英雄升级调参!$C$11*英雄升级调参!$J$10,0)</x:f>
        <x:v>22470</x:v>
      </x:c>
      <x:c r="J92" s="40">
        <x:f>英雄升级调参!$H$92*英雄升级调参!$I$92</x:f>
        <x:v>50669850</x:v>
      </x:c>
      <x:c r="K92" s="40">
        <x:f>英雄升级调参!$K$91+ROUND(英雄升级调参!$D$92*英雄升级调参!$J$11,0)</x:f>
        <x:v>3785</x:v>
      </x:c>
      <x:c r="L92" s="40">
        <x:f>英雄升级调参!$L$91+ROUND(英雄升级调参!$D$92*英雄升级调参!$C$11*英雄升级调参!$J$11,0)</x:f>
        <x:v>37770</x:v>
      </x:c>
      <x:c r="M92" s="40">
        <x:f>英雄升级调参!$K$92*英雄升级调参!$L$92</x:f>
        <x:v>142959450</x:v>
      </x:c>
      <x:c r="N92" s="25"/>
      <x:c r="O92" s="25"/>
      <x:c r="P92" s="25"/>
    </x:row>
    <x:row r="93" ht="23.100000381469727" customHeight="1">
      <x:c r="A93" s="19"/>
      <x:c r="B93" s="25">
        <x:v>28</x:v>
      </x:c>
      <x:c r="C93" s="25" t="n">
        <x:f>ROUNDUP(英雄升级调参!$B$93/英雄升级调参!$C$10,0)</x:f>
        <x:v>6</x:v>
      </x:c>
      <x:c r="D93" s="40">
        <x:f>IF(英雄升级调参!$B$93=1,0,INDEX(英雄升级调参!$E$34:$E$43,英雄升级调参!$C$93))</x:f>
        <x:v>63</x:v>
      </x:c>
      <x:c r="E93" s="40">
        <x:f>英雄升级调参!$E$92+ROUND(英雄升级调参!$D$93*英雄升级调参!$J$9,0)</x:f>
        <x:v>1491</x:v>
      </x:c>
      <x:c r="F93" s="40">
        <x:f>英雄升级调参!$F$92+ROUND(英雄升级调参!$D$93*英雄升级调参!$C$11*英雄升级调参!$J$9,0)</x:f>
        <x:v>14910</x:v>
      </x:c>
      <x:c r="G93" s="40">
        <x:f>英雄升级调参!$E$93*英雄升级调参!$F$93</x:f>
        <x:v>22230810</x:v>
      </x:c>
      <x:c r="H93" s="40">
        <x:f>英雄升级调参!$H$92+ROUND(英雄升级调参!$D$93*英雄升级调参!$J$10,0)</x:f>
        <x:v>2350</x:v>
      </x:c>
      <x:c r="I93" s="40">
        <x:f>英雄升级调参!$I$92+ROUND(英雄升级调参!$D$93*英雄升级调参!$C$11*英雄升级调参!$J$10,0)</x:f>
        <x:v>23415</x:v>
      </x:c>
      <x:c r="J93" s="40">
        <x:f>英雄升级调参!$H$93*英雄升级调参!$I$93</x:f>
        <x:v>55025250</x:v>
      </x:c>
      <x:c r="K93" s="40">
        <x:f>英雄升级调参!$K$92+ROUND(英雄升级调参!$D$93*英雄升级调参!$J$11,0)</x:f>
        <x:v>3943</x:v>
      </x:c>
      <x:c r="L93" s="40">
        <x:f>英雄升级调参!$L$92+ROUND(英雄升级调参!$D$93*英雄升级调参!$C$11*英雄升级调参!$J$11,0)</x:f>
        <x:v>39345</x:v>
      </x:c>
      <x:c r="M93" s="40">
        <x:f>英雄升级调参!$K$93*英雄升级调参!$L$93</x:f>
        <x:v>155137335</x:v>
      </x:c>
      <x:c r="N93" s="25"/>
      <x:c r="O93" s="25"/>
      <x:c r="P93" s="25"/>
    </x:row>
    <x:row r="94" ht="23.100000381469727" customHeight="1">
      <x:c r="A94" s="19"/>
      <x:c r="B94" s="25">
        <x:v>29</x:v>
      </x:c>
      <x:c r="C94" s="25" t="n">
        <x:f>ROUNDUP(英雄升级调参!$B$94/英雄升级调参!$C$10,0)</x:f>
        <x:v>6</x:v>
      </x:c>
      <x:c r="D94" s="40">
        <x:f>IF(英雄升级调参!$B$94=1,0,INDEX(英雄升级调参!$E$34:$E$43,英雄升级调参!$C$94))</x:f>
        <x:v>63</x:v>
      </x:c>
      <x:c r="E94" s="40">
        <x:f>英雄升级调参!$E$93+ROUND(英雄升级调参!$D$94*英雄升级调参!$J$9,0)</x:f>
        <x:v>1554</x:v>
      </x:c>
      <x:c r="F94" s="40">
        <x:f>英雄升级调参!$F$93+ROUND(英雄升级调参!$D$94*英雄升级调参!$C$11*英雄升级调参!$J$9,0)</x:f>
        <x:v>15540</x:v>
      </x:c>
      <x:c r="G94" s="40">
        <x:f>英雄升级调参!$E$94*英雄升级调参!$F$94</x:f>
        <x:v>24149160</x:v>
      </x:c>
      <x:c r="H94" s="40">
        <x:f>英雄升级调参!$H$93+ROUND(英雄升级调参!$D$94*英雄升级调参!$J$10,0)</x:f>
        <x:v>2445</x:v>
      </x:c>
      <x:c r="I94" s="40">
        <x:f>英雄升级调参!$I$93+ROUND(英雄升级调参!$D$94*英雄升级调参!$C$11*英雄升级调参!$J$10,0)</x:f>
        <x:v>24360</x:v>
      </x:c>
      <x:c r="J94" s="40">
        <x:f>英雄升级调参!$H$94*英雄升级调参!$I$94</x:f>
        <x:v>59560200</x:v>
      </x:c>
      <x:c r="K94" s="40">
        <x:f>英雄升级调参!$K$93+ROUND(英雄升级调参!$D$94*英雄升级调参!$J$11,0)</x:f>
        <x:v>4101</x:v>
      </x:c>
      <x:c r="L94" s="40">
        <x:f>英雄升级调参!$L$93+ROUND(英雄升级调参!$D$94*英雄升级调参!$C$11*英雄升级调参!$J$11,0)</x:f>
        <x:v>40920</x:v>
      </x:c>
      <x:c r="M94" s="40">
        <x:f>英雄升级调参!$K$94*英雄升级调参!$L$94</x:f>
        <x:v>167812920</x:v>
      </x:c>
      <x:c r="N94" s="25"/>
      <x:c r="O94" s="25"/>
      <x:c r="P94" s="25"/>
    </x:row>
    <x:row r="95" ht="23.100000381469727" customHeight="1">
      <x:c r="A95" s="19"/>
      <x:c r="B95" s="25">
        <x:v>30</x:v>
      </x:c>
      <x:c r="C95" s="25" t="n">
        <x:f>ROUNDUP(英雄升级调参!$B$95/英雄升级调参!$C$10,0)</x:f>
        <x:v>6</x:v>
      </x:c>
      <x:c r="D95" s="40">
        <x:f>IF(英雄升级调参!$B$95=1,0,INDEX(英雄升级调参!$E$34:$E$43,英雄升级调参!$C$95))</x:f>
        <x:v>63</x:v>
      </x:c>
      <x:c r="E95" s="40">
        <x:f>英雄升级调参!$E$94+ROUND(英雄升级调参!$D$95*英雄升级调参!$J$9,0)*3</x:f>
        <x:v>1743</x:v>
      </x:c>
      <x:c r="F95" s="40">
        <x:f>英雄升级调参!$F$94+ROUND(英雄升级调参!$D$95*英雄升级调参!$C$11*英雄升级调参!$J$9,0)*3</x:f>
        <x:v>17430</x:v>
      </x:c>
      <x:c r="G95" s="40">
        <x:f>英雄升级调参!$E$95*英雄升级调参!$F$95</x:f>
        <x:v>30380490</x:v>
      </x:c>
      <x:c r="H95" s="40">
        <x:f>英雄升级调参!$H$94+ROUND(英雄升级调参!$D$95*英雄升级调参!$J$10,0)*3</x:f>
        <x:v>2730</x:v>
      </x:c>
      <x:c r="I95" s="40">
        <x:f>英雄升级调参!$I$94+ROUND(英雄升级调参!$D$95*英雄升级调参!$C$11*英雄升级调参!$J$10,0)*3</x:f>
        <x:v>27195</x:v>
      </x:c>
      <x:c r="J95" s="40">
        <x:f>英雄升级调参!$H$95*英雄升级调参!$I$95</x:f>
        <x:v>74242350</x:v>
      </x:c>
      <x:c r="K95" s="40">
        <x:f>英雄升级调参!$K$94+ROUND(英雄升级调参!$D$95*英雄升级调参!$J$11,0)*3</x:f>
        <x:v>4575</x:v>
      </x:c>
      <x:c r="L95" s="40">
        <x:f>英雄升级调参!$L$94+ROUND(英雄升级调参!$D$95*英雄升级调参!$C$11*英雄升级调参!$J$11,0)*3</x:f>
        <x:v>45645</x:v>
      </x:c>
      <x:c r="M95" s="40">
        <x:f>英雄升级调参!$K$95*英雄升级调参!$L$95</x:f>
        <x:v>208825875</x:v>
      </x:c>
      <x:c r="N95" s="25"/>
      <x:c r="O95" s="25"/>
      <x:c r="P95" s="25"/>
    </x:row>
    <x:row r="96" ht="23.100000381469727" customHeight="1">
      <x:c r="A96" s="19"/>
      <x:c r="B96" s="25">
        <x:v>31</x:v>
      </x:c>
      <x:c r="C96" s="25" t="n">
        <x:f>ROUNDUP(英雄升级调参!$B$96/英雄升级调参!$C$10,0)</x:f>
        <x:v>7</x:v>
      </x:c>
      <x:c r="D96" s="40">
        <x:f>IF(英雄升级调参!$B$96=1,0,INDEX(英雄升级调参!$E$34:$E$43,英雄升级调参!$C$96))</x:f>
        <x:v>72</x:v>
      </x:c>
      <x:c r="E96" s="40">
        <x:f>英雄升级调参!$E$95+ROUND(英雄升级调参!$D$96*英雄升级调参!$J$9,0)</x:f>
        <x:v>1815</x:v>
      </x:c>
      <x:c r="F96" s="40">
        <x:f>英雄升级调参!$F$95+ROUND(英雄升级调参!$D$96*英雄升级调参!$C$11*英雄升级调参!$J$9,0)</x:f>
        <x:v>18150</x:v>
      </x:c>
      <x:c r="G96" s="40">
        <x:f>英雄升级调参!$E$96*英雄升级调参!$F$96</x:f>
        <x:v>32942250</x:v>
      </x:c>
      <x:c r="H96" s="40">
        <x:f>英雄升级调参!$H$95+ROUND(英雄升级调参!$D$96*英雄升级调参!$J$10,0)</x:f>
        <x:v>2838</x:v>
      </x:c>
      <x:c r="I96" s="40">
        <x:f>英雄升级调参!$I$95+ROUND(英雄升级调参!$D$96*英雄升级调参!$C$11*英雄升级调参!$J$10,0)</x:f>
        <x:v>28275</x:v>
      </x:c>
      <x:c r="J96" s="40">
        <x:f>英雄升级调参!$H$96*英雄升级调参!$I$96</x:f>
        <x:v>80244450</x:v>
      </x:c>
      <x:c r="K96" s="40">
        <x:f>英雄升级调参!$K$95+ROUND(英雄升级调参!$D$96*英雄升级调参!$J$11,0)</x:f>
        <x:v>4755</x:v>
      </x:c>
      <x:c r="L96" s="40">
        <x:f>英雄升级调参!$L$95+ROUND(英雄升级调参!$D$96*英雄升级调参!$C$11*英雄升级调参!$J$11,0)</x:f>
        <x:v>47445</x:v>
      </x:c>
      <x:c r="M96" s="40">
        <x:f>英雄升级调参!$K$96*英雄升级调参!$L$96</x:f>
        <x:v>225600975</x:v>
      </x:c>
      <x:c r="N96" s="25"/>
      <x:c r="O96" s="25"/>
      <x:c r="P96" s="25"/>
    </x:row>
    <x:row r="97" ht="23.100000381469727" customHeight="1">
      <x:c r="A97" s="19"/>
      <x:c r="B97" s="25">
        <x:v>32</x:v>
      </x:c>
      <x:c r="C97" s="25" t="n">
        <x:f>ROUNDUP(英雄升级调参!$B$97/英雄升级调参!$C$10,0)</x:f>
        <x:v>7</x:v>
      </x:c>
      <x:c r="D97" s="40">
        <x:f>IF(英雄升级调参!$B$97=1,0,INDEX(英雄升级调参!$E$34:$E$43,英雄升级调参!$C$97))</x:f>
        <x:v>72</x:v>
      </x:c>
      <x:c r="E97" s="40">
        <x:f>英雄升级调参!$E$96+ROUND(英雄升级调参!$D$97*英雄升级调参!$J$9,0)</x:f>
        <x:v>1887</x:v>
      </x:c>
      <x:c r="F97" s="40">
        <x:f>英雄升级调参!$F$96+ROUND(英雄升级调参!$D$97*英雄升级调参!$C$11*英雄升级调参!$J$9,0)</x:f>
        <x:v>18870</x:v>
      </x:c>
      <x:c r="G97" s="40">
        <x:f>英雄升级调参!$E$97*英雄升级调参!$F$97</x:f>
        <x:v>35607690</x:v>
      </x:c>
      <x:c r="H97" s="40">
        <x:f>英雄升级调参!$H$96+ROUND(英雄升级调参!$D$97*英雄升级调参!$J$10,0)</x:f>
        <x:v>2946</x:v>
      </x:c>
      <x:c r="I97" s="40">
        <x:f>英雄升级调参!$I$96+ROUND(英雄升级调参!$D$97*英雄升级调参!$C$11*英雄升级调参!$J$10,0)</x:f>
        <x:v>29355</x:v>
      </x:c>
      <x:c r="J97" s="40">
        <x:f>英雄升级调参!$H$97*英雄升级调参!$I$97</x:f>
        <x:v>86479830</x:v>
      </x:c>
      <x:c r="K97" s="40">
        <x:f>英雄升级调参!$K$96+ROUND(英雄升级调参!$D$97*英雄升级调参!$J$11,0)</x:f>
        <x:v>4935</x:v>
      </x:c>
      <x:c r="L97" s="40">
        <x:f>英雄升级调参!$L$96+ROUND(英雄升级调参!$D$97*英雄升级调参!$C$11*英雄升级调参!$J$11,0)</x:f>
        <x:v>49245</x:v>
      </x:c>
      <x:c r="M97" s="40">
        <x:f>英雄升级调参!$K$97*英雄升级调参!$L$97</x:f>
        <x:v>243024075</x:v>
      </x:c>
      <x:c r="N97" s="25"/>
      <x:c r="O97" s="25"/>
      <x:c r="P97" s="25"/>
    </x:row>
    <x:row r="98" ht="23.100000381469727" customHeight="1">
      <x:c r="A98" s="19"/>
      <x:c r="B98" s="25">
        <x:v>33</x:v>
      </x:c>
      <x:c r="C98" s="25" t="n">
        <x:f>ROUNDUP(英雄升级调参!$B$98/英雄升级调参!$C$10,0)</x:f>
        <x:v>7</x:v>
      </x:c>
      <x:c r="D98" s="40">
        <x:f>IF(英雄升级调参!$B$98=1,0,INDEX(英雄升级调参!$E$34:$E$43,英雄升级调参!$C$98))</x:f>
        <x:v>72</x:v>
      </x:c>
      <x:c r="E98" s="40">
        <x:f>英雄升级调参!$E$97+ROUND(英雄升级调参!$D$98*英雄升级调参!$J$9,0)</x:f>
        <x:v>1959</x:v>
      </x:c>
      <x:c r="F98" s="40">
        <x:f>英雄升级调参!$F$97+ROUND(英雄升级调参!$D$98*英雄升级调参!$C$11*英雄升级调参!$J$9,0)</x:f>
        <x:v>19590</x:v>
      </x:c>
      <x:c r="G98" s="40">
        <x:f>英雄升级调参!$E$98*英雄升级调参!$F$98</x:f>
        <x:v>38376810</x:v>
      </x:c>
      <x:c r="H98" s="40">
        <x:f>英雄升级调参!$H$97+ROUND(英雄升级调参!$D$98*英雄升级调参!$J$10,0)</x:f>
        <x:v>3054</x:v>
      </x:c>
      <x:c r="I98" s="40">
        <x:f>英雄升级调参!$I$97+ROUND(英雄升级调参!$D$98*英雄升级调参!$C$11*英雄升级调参!$J$10,0)</x:f>
        <x:v>30435</x:v>
      </x:c>
      <x:c r="J98" s="40">
        <x:f>英雄升级调参!$H$98*英雄升级调参!$I$98</x:f>
        <x:v>92948490</x:v>
      </x:c>
      <x:c r="K98" s="40">
        <x:f>英雄升级调参!$K$97+ROUND(英雄升级调参!$D$98*英雄升级调参!$J$11,0)</x:f>
        <x:v>5115</x:v>
      </x:c>
      <x:c r="L98" s="40">
        <x:f>英雄升级调参!$L$97+ROUND(英雄升级调参!$D$98*英雄升级调参!$C$11*英雄升级调参!$J$11,0)</x:f>
        <x:v>51045</x:v>
      </x:c>
      <x:c r="M98" s="40">
        <x:f>英雄升级调参!$K$98*英雄升级调参!$L$98</x:f>
        <x:v>261095175</x:v>
      </x:c>
      <x:c r="N98" s="25"/>
      <x:c r="O98" s="25"/>
      <x:c r="P98" s="25"/>
    </x:row>
    <x:row r="99" ht="23.100000381469727" customHeight="1">
      <x:c r="A99" s="19"/>
      <x:c r="B99" s="25">
        <x:v>34</x:v>
      </x:c>
      <x:c r="C99" s="25" t="n">
        <x:f>ROUNDUP(英雄升级调参!$B$99/英雄升级调参!$C$10,0)</x:f>
        <x:v>7</x:v>
      </x:c>
      <x:c r="D99" s="40">
        <x:f>IF(英雄升级调参!$B$99=1,0,INDEX(英雄升级调参!$E$34:$E$43,英雄升级调参!$C$99))</x:f>
        <x:v>72</x:v>
      </x:c>
      <x:c r="E99" s="40">
        <x:f>英雄升级调参!$E$98+ROUND(英雄升级调参!$D$99*英雄升级调参!$J$9,0)</x:f>
        <x:v>2031</x:v>
      </x:c>
      <x:c r="F99" s="40">
        <x:f>英雄升级调参!$F$98+ROUND(英雄升级调参!$D$99*英雄升级调参!$C$11*英雄升级调参!$J$9,0)</x:f>
        <x:v>20310</x:v>
      </x:c>
      <x:c r="G99" s="40">
        <x:f>英雄升级调参!$E$99*英雄升级调参!$F$99</x:f>
        <x:v>41249610</x:v>
      </x:c>
      <x:c r="H99" s="40">
        <x:f>英雄升级调参!$H$98+ROUND(英雄升级调参!$D$99*英雄升级调参!$J$10,0)</x:f>
        <x:v>3162</x:v>
      </x:c>
      <x:c r="I99" s="40">
        <x:f>英雄升级调参!$I$98+ROUND(英雄升级调参!$D$99*英雄升级调参!$C$11*英雄升级调参!$J$10,0)</x:f>
        <x:v>31515</x:v>
      </x:c>
      <x:c r="J99" s="40">
        <x:f>英雄升级调参!$H$99*英雄升级调参!$I$99</x:f>
        <x:v>99650430</x:v>
      </x:c>
      <x:c r="K99" s="40">
        <x:f>英雄升级调参!$K$98+ROUND(英雄升级调参!$D$99*英雄升级调参!$J$11,0)</x:f>
        <x:v>5295</x:v>
      </x:c>
      <x:c r="L99" s="40">
        <x:f>英雄升级调参!$L$98+ROUND(英雄升级调参!$D$99*英雄升级调参!$C$11*英雄升级调参!$J$11,0)</x:f>
        <x:v>52845</x:v>
      </x:c>
      <x:c r="M99" s="40">
        <x:f>英雄升级调参!$K$99*英雄升级调参!$L$99</x:f>
        <x:v>279814275</x:v>
      </x:c>
      <x:c r="N99" s="25"/>
      <x:c r="O99" s="25"/>
      <x:c r="P99" s="25"/>
    </x:row>
    <x:row r="100" ht="23.100000381469727" customHeight="1">
      <x:c r="A100" s="19"/>
      <x:c r="B100" s="25">
        <x:v>35</x:v>
      </x:c>
      <x:c r="C100" s="25" t="n">
        <x:f>ROUNDUP(英雄升级调参!$B$100/英雄升级调参!$C$10,0)</x:f>
        <x:v>7</x:v>
      </x:c>
      <x:c r="D100" s="40">
        <x:f>IF(英雄升级调参!$B$100=1,0,INDEX(英雄升级调参!$E$34:$E$43,英雄升级调参!$C$100))</x:f>
        <x:v>72</x:v>
      </x:c>
      <x:c r="E100" s="40">
        <x:f>英雄升级调参!$E$99+ROUND(英雄升级调参!$D$100*英雄升级调参!$J$9,0)*3</x:f>
        <x:v>2247</x:v>
      </x:c>
      <x:c r="F100" s="40">
        <x:f>英雄升级调参!$F$99+ROUND(英雄升级调参!$D$100*英雄升级调参!$C$11*英雄升级调参!$J$9,0)*3</x:f>
        <x:v>22470</x:v>
      </x:c>
      <x:c r="G100" s="40">
        <x:f>英雄升级调参!$E$100*英雄升级调参!$F$100</x:f>
        <x:v>50490090</x:v>
      </x:c>
      <x:c r="H100" s="40">
        <x:f>英雄升级调参!$H$99+ROUND(英雄升级调参!$D$100*英雄升级调参!$J$10,0)*3</x:f>
        <x:v>3486</x:v>
      </x:c>
      <x:c r="I100" s="40">
        <x:f>英雄升级调参!$I$99+ROUND(英雄升级调参!$D$100*英雄升级调参!$C$11*英雄升级调参!$J$10,0)*3</x:f>
        <x:v>34755</x:v>
      </x:c>
      <x:c r="J100" s="40">
        <x:f>英雄升级调参!$H$100*英雄升级调参!$I$100</x:f>
        <x:v>121155930</x:v>
      </x:c>
      <x:c r="K100" s="40">
        <x:f>英雄升级调参!$K$99+ROUND(英雄升级调参!$D$100*英雄升级调参!$J$11,0)*3</x:f>
        <x:v>5835</x:v>
      </x:c>
      <x:c r="L100" s="40">
        <x:f>英雄升级调参!$L$99+ROUND(英雄升级调参!$D$100*英雄升级调参!$C$11*英雄升级调参!$J$11,0)*3</x:f>
        <x:v>58245</x:v>
      </x:c>
      <x:c r="M100" s="40">
        <x:f>英雄升级调参!$K$100*英雄升级调参!$L$100</x:f>
        <x:v>339859575</x:v>
      </x:c>
      <x:c r="N100" s="25"/>
      <x:c r="O100" s="25"/>
      <x:c r="P100" s="25"/>
    </x:row>
    <x:row r="101" ht="23.100000381469727" customHeight="1">
      <x:c r="A101" s="19"/>
      <x:c r="B101" s="25">
        <x:v>36</x:v>
      </x:c>
      <x:c r="C101" s="25" t="n">
        <x:f>ROUNDUP(英雄升级调参!$B$101/英雄升级调参!$C$10,0)</x:f>
        <x:v>8</x:v>
      </x:c>
      <x:c r="D101" s="40">
        <x:f>IF(英雄升级调参!$B$101=1,0,INDEX(英雄升级调参!$E$34:$E$43,英雄升级调参!$C$101))</x:f>
        <x:v>81</x:v>
      </x:c>
      <x:c r="E101" s="40">
        <x:f>英雄升级调参!$E$100+ROUND(英雄升级调参!$D$101*英雄升级调参!$J$9,0)</x:f>
        <x:v>2328</x:v>
      </x:c>
      <x:c r="F101" s="40">
        <x:f>英雄升级调参!$F$100+ROUND(英雄升级调参!$D$101*英雄升级调参!$C$11*英雄升级调参!$J$9,0)</x:f>
        <x:v>23280</x:v>
      </x:c>
      <x:c r="G101" s="40">
        <x:f>英雄升级调参!$E$101*英雄升级调参!$F$101</x:f>
        <x:v>54195840</x:v>
      </x:c>
      <x:c r="H101" s="40">
        <x:f>英雄升级调参!$H$100+ROUND(英雄升级调参!$D$101*英雄升级调参!$J$10,0)</x:f>
        <x:v>3608</x:v>
      </x:c>
      <x:c r="I101" s="40">
        <x:f>英雄升级调参!$I$100+ROUND(英雄升级调参!$D$101*英雄升级调参!$C$11*英雄升级调参!$J$10,0)</x:f>
        <x:v>35970</x:v>
      </x:c>
      <x:c r="J101" s="40">
        <x:f>英雄升级调参!$H$101*英雄升级调参!$I$101</x:f>
        <x:v>129779760</x:v>
      </x:c>
      <x:c r="K101" s="40">
        <x:f>英雄升级调参!$K$100+ROUND(英雄升级调参!$D$101*英雄升级调参!$J$11,0)</x:f>
        <x:v>6038</x:v>
      </x:c>
      <x:c r="L101" s="40">
        <x:f>英雄升级调参!$L$100+ROUND(英雄升级调参!$D$101*英雄升级调参!$C$11*英雄升级调参!$J$11,0)</x:f>
        <x:v>60270</x:v>
      </x:c>
      <x:c r="M101" s="40">
        <x:f>英雄升级调参!$K$101*英雄升级调参!$L$101</x:f>
        <x:v>363910260</x:v>
      </x:c>
      <x:c r="N101" s="25"/>
      <x:c r="O101" s="25"/>
      <x:c r="P101" s="25"/>
    </x:row>
    <x:row r="102" ht="23.100000381469727" customHeight="1">
      <x:c r="A102" s="19"/>
      <x:c r="B102" s="25">
        <x:v>37</x:v>
      </x:c>
      <x:c r="C102" s="25" t="n">
        <x:f>ROUNDUP(英雄升级调参!$B$102/英雄升级调参!$C$10,0)</x:f>
        <x:v>8</x:v>
      </x:c>
      <x:c r="D102" s="40">
        <x:f>IF(英雄升级调参!$B$102=1,0,INDEX(英雄升级调参!$E$34:$E$43,英雄升级调参!$C$102))</x:f>
        <x:v>81</x:v>
      </x:c>
      <x:c r="E102" s="40">
        <x:f>英雄升级调参!$E$101+ROUND(英雄升级调参!$D$102*英雄升级调参!$J$9,0)</x:f>
        <x:v>2409</x:v>
      </x:c>
      <x:c r="F102" s="40">
        <x:f>英雄升级调参!$F$101+ROUND(英雄升级调参!$D$102*英雄升级调参!$C$11*英雄升级调参!$J$9,0)</x:f>
        <x:v>24090</x:v>
      </x:c>
      <x:c r="G102" s="40">
        <x:f>英雄升级调参!$E$102*英雄升级调参!$F$102</x:f>
        <x:v>58032810</x:v>
      </x:c>
      <x:c r="H102" s="40">
        <x:f>英雄升级调参!$H$101+ROUND(英雄升级调参!$D$102*英雄升级调参!$J$10,0)</x:f>
        <x:v>3730</x:v>
      </x:c>
      <x:c r="I102" s="40">
        <x:f>英雄升级调参!$I$101+ROUND(英雄升级调参!$D$102*英雄升级调参!$C$11*英雄升级调参!$J$10,0)</x:f>
        <x:v>37185</x:v>
      </x:c>
      <x:c r="J102" s="40">
        <x:f>英雄升级调参!$H$102*英雄升级调参!$I$102</x:f>
        <x:v>138700050</x:v>
      </x:c>
      <x:c r="K102" s="40">
        <x:f>英雄升级调参!$K$101+ROUND(英雄升级调参!$D$102*英雄升级调参!$J$11,0)</x:f>
        <x:v>6241</x:v>
      </x:c>
      <x:c r="L102" s="40">
        <x:f>英雄升级调参!$L$101+ROUND(英雄升级调参!$D$102*英雄升级调参!$C$11*英雄升级调参!$J$11,0)</x:f>
        <x:v>62295</x:v>
      </x:c>
      <x:c r="M102" s="40">
        <x:f>英雄升级调参!$K$102*英雄升级调参!$L$102</x:f>
        <x:v>388783095</x:v>
      </x:c>
      <x:c r="N102" s="25"/>
      <x:c r="O102" s="25"/>
      <x:c r="P102" s="25"/>
    </x:row>
    <x:row r="103" ht="23.100000381469727" customHeight="1">
      <x:c r="A103" s="19"/>
      <x:c r="B103" s="25">
        <x:v>38</x:v>
      </x:c>
      <x:c r="C103" s="25" t="n">
        <x:f>ROUNDUP(英雄升级调参!$B$103/英雄升级调参!$C$10,0)</x:f>
        <x:v>8</x:v>
      </x:c>
      <x:c r="D103" s="40">
        <x:f>IF(英雄升级调参!$B$103=1,0,INDEX(英雄升级调参!$E$34:$E$43,英雄升级调参!$C$103))</x:f>
        <x:v>81</x:v>
      </x:c>
      <x:c r="E103" s="40">
        <x:f>英雄升级调参!$E$102+ROUND(英雄升级调参!$D$103*英雄升级调参!$J$9,0)</x:f>
        <x:v>2490</x:v>
      </x:c>
      <x:c r="F103" s="40">
        <x:f>英雄升级调参!$F$102+ROUND(英雄升级调参!$D$103*英雄升级调参!$C$11*英雄升级调参!$J$9,0)</x:f>
        <x:v>24900</x:v>
      </x:c>
      <x:c r="G103" s="40">
        <x:f>英雄升级调参!$E$103*英雄升级调参!$F$103</x:f>
        <x:v>62001000</x:v>
      </x:c>
      <x:c r="H103" s="40">
        <x:f>英雄升级调参!$H$102+ROUND(英雄升级调参!$D$103*英雄升级调参!$J$10,0)</x:f>
        <x:v>3852</x:v>
      </x:c>
      <x:c r="I103" s="40">
        <x:f>英雄升级调参!$I$102+ROUND(英雄升级调参!$D$103*英雄升级调参!$C$11*英雄升级调参!$J$10,0)</x:f>
        <x:v>38400</x:v>
      </x:c>
      <x:c r="J103" s="40">
        <x:f>英雄升级调参!$H$103*英雄升级调参!$I$103</x:f>
        <x:v>147916800</x:v>
      </x:c>
      <x:c r="K103" s="40">
        <x:f>英雄升级调参!$K$102+ROUND(英雄升级调参!$D$103*英雄升级调参!$J$11,0)</x:f>
        <x:v>6444</x:v>
      </x:c>
      <x:c r="L103" s="40">
        <x:f>英雄升级调参!$L$102+ROUND(英雄升级调参!$D$103*英雄升级调参!$C$11*英雄升级调参!$J$11,0)</x:f>
        <x:v>64320</x:v>
      </x:c>
      <x:c r="M103" s="40">
        <x:f>英雄升级调参!$K$103*英雄升级调参!$L$103</x:f>
        <x:v>414478080</x:v>
      </x:c>
      <x:c r="N103" s="25"/>
      <x:c r="O103" s="25"/>
      <x:c r="P103" s="25"/>
    </x:row>
    <x:row r="104" ht="23.100000381469727" customHeight="1">
      <x:c r="A104" s="19"/>
      <x:c r="B104" s="25">
        <x:v>39</x:v>
      </x:c>
      <x:c r="C104" s="25" t="n">
        <x:f>ROUNDUP(英雄升级调参!$B$104/英雄升级调参!$C$10,0)</x:f>
        <x:v>8</x:v>
      </x:c>
      <x:c r="D104" s="40">
        <x:f>IF(英雄升级调参!$B$104=1,0,INDEX(英雄升级调参!$E$34:$E$43,英雄升级调参!$C$104))</x:f>
        <x:v>81</x:v>
      </x:c>
      <x:c r="E104" s="40">
        <x:f>英雄升级调参!$E$103+ROUND(英雄升级调参!$D$104*英雄升级调参!$J$9,0)</x:f>
        <x:v>2571</x:v>
      </x:c>
      <x:c r="F104" s="40">
        <x:f>英雄升级调参!$F$103+ROUND(英雄升级调参!$D$104*英雄升级调参!$C$11*英雄升级调参!$J$9,0)</x:f>
        <x:v>25710</x:v>
      </x:c>
      <x:c r="G104" s="40">
        <x:f>英雄升级调参!$E$104*英雄升级调参!$F$104</x:f>
        <x:v>66100410</x:v>
      </x:c>
      <x:c r="H104" s="40">
        <x:f>英雄升级调参!$H$103+ROUND(英雄升级调参!$D$104*英雄升级调参!$J$10,0)</x:f>
        <x:v>3974</x:v>
      </x:c>
      <x:c r="I104" s="40">
        <x:f>英雄升级调参!$I$103+ROUND(英雄升级调参!$D$104*英雄升级调参!$C$11*英雄升级调参!$J$10,0)</x:f>
        <x:v>39615</x:v>
      </x:c>
      <x:c r="J104" s="40">
        <x:f>英雄升级调参!$H$104*英雄升级调参!$I$104</x:f>
        <x:v>157430010</x:v>
      </x:c>
      <x:c r="K104" s="40">
        <x:f>英雄升级调参!$K$103+ROUND(英雄升级调参!$D$104*英雄升级调参!$J$11,0)</x:f>
        <x:v>6647</x:v>
      </x:c>
      <x:c r="L104" s="40">
        <x:f>英雄升级调参!$L$103+ROUND(英雄升级调参!$D$104*英雄升级调参!$C$11*英雄升级调参!$J$11,0)</x:f>
        <x:v>66345</x:v>
      </x:c>
      <x:c r="M104" s="40">
        <x:f>英雄升级调参!$K$104*英雄升级调参!$L$104</x:f>
        <x:v>440995215</x:v>
      </x:c>
      <x:c r="N104" s="25"/>
      <x:c r="O104" s="25"/>
      <x:c r="P104" s="25"/>
    </x:row>
    <x:row r="105" ht="23.100000381469727" customHeight="1">
      <x:c r="A105" s="19"/>
      <x:c r="B105" s="25">
        <x:v>40</x:v>
      </x:c>
      <x:c r="C105" s="25" t="n">
        <x:f>ROUNDUP(英雄升级调参!$B$105/英雄升级调参!$C$10,0)</x:f>
        <x:v>8</x:v>
      </x:c>
      <x:c r="D105" s="40">
        <x:f>IF(英雄升级调参!$B$105=1,0,INDEX(英雄升级调参!$E$34:$E$43,英雄升级调参!$C$105))</x:f>
        <x:v>81</x:v>
      </x:c>
      <x:c r="E105" s="40">
        <x:f>英雄升级调参!$E$104+ROUND(英雄升级调参!$D$105*英雄升级调参!$J$9,0)*3</x:f>
        <x:v>2814</x:v>
      </x:c>
      <x:c r="F105" s="40">
        <x:f>英雄升级调参!$F$104+ROUND(英雄升级调参!$D$105*英雄升级调参!$C$11*英雄升级调参!$J$9,0)*3</x:f>
        <x:v>28140</x:v>
      </x:c>
      <x:c r="G105" s="40">
        <x:f>英雄升级调参!$E$105*英雄升级调参!$F$105</x:f>
        <x:v>79185960</x:v>
      </x:c>
      <x:c r="H105" s="40">
        <x:f>英雄升级调参!$H$104+ROUND(英雄升级调参!$D$105*英雄升级调参!$J$10,0)*3</x:f>
        <x:v>4340</x:v>
      </x:c>
      <x:c r="I105" s="40">
        <x:f>英雄升级调参!$I$104+ROUND(英雄升级调参!$D$105*英雄升级调参!$C$11*英雄升级调参!$J$10,0)*3</x:f>
        <x:v>43260</x:v>
      </x:c>
      <x:c r="J105" s="40">
        <x:f>英雄升级调参!$H$105*英雄升级调参!$I$105</x:f>
        <x:v>187748400</x:v>
      </x:c>
      <x:c r="K105" s="40">
        <x:f>英雄升级调参!$K$104+ROUND(英雄升级调参!$D$105*英雄升级调参!$J$11,0)*3</x:f>
        <x:v>7256</x:v>
      </x:c>
      <x:c r="L105" s="40">
        <x:f>英雄升级调参!$L$104+ROUND(英雄升级调参!$D$105*英雄升级调参!$C$11*英雄升级调参!$J$11,0)*3</x:f>
        <x:v>72420</x:v>
      </x:c>
      <x:c r="M105" s="40">
        <x:f>英雄升级调参!$K$105*英雄升级调参!$L$105</x:f>
        <x:v>525479520</x:v>
      </x:c>
      <x:c r="N105" s="25"/>
      <x:c r="O105" s="25"/>
      <x:c r="P105" s="25"/>
    </x:row>
    <x:row r="106" ht="23.100000381469727" customHeight="1">
      <x:c r="A106" s="19"/>
      <x:c r="B106" s="25">
        <x:v>41</x:v>
      </x:c>
      <x:c r="C106" s="25" t="n">
        <x:f>ROUNDUP(英雄升级调参!$B$106/英雄升级调参!$C$10,0)</x:f>
        <x:v>9</x:v>
      </x:c>
      <x:c r="D106" s="40">
        <x:f>IF(英雄升级调参!$B$106=1,0,INDEX(英雄升级调参!$E$34:$E$43,英雄升级调参!$C$106))</x:f>
        <x:v>90</x:v>
      </x:c>
      <x:c r="E106" s="40">
        <x:f>英雄升级调参!$E$105+ROUND(英雄升级调参!$D$106*英雄升级调参!$J$9,0)</x:f>
        <x:v>2904</x:v>
      </x:c>
      <x:c r="F106" s="40">
        <x:f>英雄升级调参!$F$105+ROUND(英雄升级调参!$D$106*英雄升级调参!$C$11*英雄升级调参!$J$9,0)</x:f>
        <x:v>29040</x:v>
      </x:c>
      <x:c r="G106" s="40">
        <x:f>英雄升级调参!$E$106*英雄升级调参!$F$106</x:f>
        <x:v>84332160</x:v>
      </x:c>
      <x:c r="H106" s="40">
        <x:f>英雄升级调参!$H$105+ROUND(英雄升级调参!$D$106*英雄升级调参!$J$10,0)</x:f>
        <x:v>4475</x:v>
      </x:c>
      <x:c r="I106" s="40">
        <x:f>英雄升级调参!$I$105+ROUND(英雄升级调参!$D$106*英雄升级调参!$C$11*英雄升级调参!$J$10,0)</x:f>
        <x:v>44610</x:v>
      </x:c>
      <x:c r="J106" s="40">
        <x:f>英雄升级调参!$H$106*英雄升级调参!$I$106</x:f>
        <x:v>199629750</x:v>
      </x:c>
      <x:c r="K106" s="40">
        <x:f>英雄升级调参!$K$105+ROUND(英雄升级调参!$D$106*英雄升级调参!$J$11,0)</x:f>
        <x:v>7481</x:v>
      </x:c>
      <x:c r="L106" s="40">
        <x:f>英雄升级调参!$L$105+ROUND(英雄升级调参!$D$106*英雄升级调参!$C$11*英雄升级调参!$J$11,0)</x:f>
        <x:v>74670</x:v>
      </x:c>
      <x:c r="M106" s="40">
        <x:f>英雄升级调参!$K$106*英雄升级调参!$L$106</x:f>
        <x:v>558606270</x:v>
      </x:c>
      <x:c r="N106" s="25"/>
      <x:c r="O106" s="25"/>
      <x:c r="P106" s="25"/>
    </x:row>
    <x:row r="107" ht="23.100000381469727" customHeight="1">
      <x:c r="A107" s="19"/>
      <x:c r="B107" s="25">
        <x:v>42</x:v>
      </x:c>
      <x:c r="C107" s="25" t="n">
        <x:f>ROUNDUP(英雄升级调参!$B$107/英雄升级调参!$C$10,0)</x:f>
        <x:v>9</x:v>
      </x:c>
      <x:c r="D107" s="40">
        <x:f>IF(英雄升级调参!$B$107=1,0,INDEX(英雄升级调参!$E$34:$E$43,英雄升级调参!$C$107))</x:f>
        <x:v>90</x:v>
      </x:c>
      <x:c r="E107" s="40">
        <x:f>英雄升级调参!$E$106+ROUND(英雄升级调参!$D$107*英雄升级调参!$J$9,0)</x:f>
        <x:v>2994</x:v>
      </x:c>
      <x:c r="F107" s="40">
        <x:f>英雄升级调参!$F$106+ROUND(英雄升级调参!$D$107*英雄升级调参!$C$11*英雄升级调参!$J$9,0)</x:f>
        <x:v>29940</x:v>
      </x:c>
      <x:c r="G107" s="40">
        <x:f>英雄升级调参!$E$107*英雄升级调参!$F$107</x:f>
        <x:v>89640360</x:v>
      </x:c>
      <x:c r="H107" s="40">
        <x:f>英雄升级调参!$H$106+ROUND(英雄升级调参!$D$107*英雄升级调参!$J$10,0)</x:f>
        <x:v>4610</x:v>
      </x:c>
      <x:c r="I107" s="40">
        <x:f>英雄升级调参!$I$106+ROUND(英雄升级调参!$D$107*英雄升级调参!$C$11*英雄升级调参!$J$10,0)</x:f>
        <x:v>45960</x:v>
      </x:c>
      <x:c r="J107" s="40">
        <x:f>英雄升级调参!$H$107*英雄升级调参!$I$107</x:f>
        <x:v>211875600</x:v>
      </x:c>
      <x:c r="K107" s="40">
        <x:f>英雄升级调参!$K$106+ROUND(英雄升级调参!$D$107*英雄升级调参!$J$11,0)</x:f>
        <x:v>7706</x:v>
      </x:c>
      <x:c r="L107" s="40">
        <x:f>英雄升级调参!$L$106+ROUND(英雄升级调参!$D$107*英雄升级调参!$C$11*英雄升级调参!$J$11,0)</x:f>
        <x:v>76920</x:v>
      </x:c>
      <x:c r="M107" s="40">
        <x:f>英雄升级调参!$K$107*英雄升级调参!$L$107</x:f>
        <x:v>592745520</x:v>
      </x:c>
      <x:c r="N107" s="25"/>
      <x:c r="O107" s="25"/>
      <x:c r="P107" s="25"/>
    </x:row>
    <x:row r="108" ht="23.100000381469727" customHeight="1">
      <x:c r="A108" s="19"/>
      <x:c r="B108" s="25">
        <x:v>43</x:v>
      </x:c>
      <x:c r="C108" s="25" t="n">
        <x:f>ROUNDUP(英雄升级调参!$B$108/英雄升级调参!$C$10,0)</x:f>
        <x:v>9</x:v>
      </x:c>
      <x:c r="D108" s="40">
        <x:f>IF(英雄升级调参!$B$108=1,0,INDEX(英雄升级调参!$E$34:$E$43,英雄升级调参!$C$108))</x:f>
        <x:v>90</x:v>
      </x:c>
      <x:c r="E108" s="40">
        <x:f>英雄升级调参!$E$107+ROUND(英雄升级调参!$D$108*英雄升级调参!$J$9,0)</x:f>
        <x:v>3084</x:v>
      </x:c>
      <x:c r="F108" s="40">
        <x:f>英雄升级调参!$F$107+ROUND(英雄升级调参!$D$108*英雄升级调参!$C$11*英雄升级调参!$J$9,0)</x:f>
        <x:v>30840</x:v>
      </x:c>
      <x:c r="G108" s="40">
        <x:f>英雄升级调参!$E$108*英雄升级调参!$F$108</x:f>
        <x:v>95110560</x:v>
      </x:c>
      <x:c r="H108" s="40">
        <x:f>英雄升级调参!$H$107+ROUND(英雄升级调参!$D$108*英雄升级调参!$J$10,0)</x:f>
        <x:v>4745</x:v>
      </x:c>
      <x:c r="I108" s="40">
        <x:f>英雄升级调参!$I$107+ROUND(英雄升级调参!$D$108*英雄升级调参!$C$11*英雄升级调参!$J$10,0)</x:f>
        <x:v>47310</x:v>
      </x:c>
      <x:c r="J108" s="40">
        <x:f>英雄升级调参!$H$108*英雄升级调参!$I$108</x:f>
        <x:v>224485950</x:v>
      </x:c>
      <x:c r="K108" s="40">
        <x:f>英雄升级调参!$K$107+ROUND(英雄升级调参!$D$108*英雄升级调参!$J$11,0)</x:f>
        <x:v>7931</x:v>
      </x:c>
      <x:c r="L108" s="40">
        <x:f>英雄升级调参!$L$107+ROUND(英雄升级调参!$D$108*英雄升级调参!$C$11*英雄升级调参!$J$11,0)</x:f>
        <x:v>79170</x:v>
      </x:c>
      <x:c r="M108" s="40">
        <x:f>英雄升级调参!$K$108*英雄升级调参!$L$108</x:f>
        <x:v>627897270</x:v>
      </x:c>
      <x:c r="N108" s="25"/>
      <x:c r="O108" s="25"/>
      <x:c r="P108" s="25"/>
    </x:row>
    <x:row r="109" ht="23.100000381469727" customHeight="1">
      <x:c r="A109" s="19"/>
      <x:c r="B109" s="25">
        <x:v>44</x:v>
      </x:c>
      <x:c r="C109" s="25" t="n">
        <x:f>ROUNDUP(英雄升级调参!$B$109/英雄升级调参!$C$10,0)</x:f>
        <x:v>9</x:v>
      </x:c>
      <x:c r="D109" s="40">
        <x:f>IF(英雄升级调参!$B$109=1,0,INDEX(英雄升级调参!$E$34:$E$43,英雄升级调参!$C$109))</x:f>
        <x:v>90</x:v>
      </x:c>
      <x:c r="E109" s="40">
        <x:f>英雄升级调参!$E$108+ROUND(英雄升级调参!$D$109*英雄升级调参!$J$9,0)</x:f>
        <x:v>3174</x:v>
      </x:c>
      <x:c r="F109" s="40">
        <x:f>英雄升级调参!$F$108+ROUND(英雄升级调参!$D$109*英雄升级调参!$C$11*英雄升级调参!$J$9,0)</x:f>
        <x:v>31740</x:v>
      </x:c>
      <x:c r="G109" s="40">
        <x:f>英雄升级调参!$E$109*英雄升级调参!$F$109</x:f>
        <x:v>100742760</x:v>
      </x:c>
      <x:c r="H109" s="40">
        <x:f>英雄升级调参!$H$108+ROUND(英雄升级调参!$D$109*英雄升级调参!$J$10,0)</x:f>
        <x:v>4880</x:v>
      </x:c>
      <x:c r="I109" s="40">
        <x:f>英雄升级调参!$I$108+ROUND(英雄升级调参!$D$109*英雄升级调参!$C$11*英雄升级调参!$J$10,0)</x:f>
        <x:v>48660</x:v>
      </x:c>
      <x:c r="J109" s="40">
        <x:f>英雄升级调参!$H$109*英雄升级调参!$I$109</x:f>
        <x:v>237460800</x:v>
      </x:c>
      <x:c r="K109" s="40">
        <x:f>英雄升级调参!$K$108+ROUND(英雄升级调参!$D$109*英雄升级调参!$J$11,0)</x:f>
        <x:v>8156</x:v>
      </x:c>
      <x:c r="L109" s="40">
        <x:f>英雄升级调参!$L$108+ROUND(英雄升级调参!$D$109*英雄升级调参!$C$11*英雄升级调参!$J$11,0)</x:f>
        <x:v>81420</x:v>
      </x:c>
      <x:c r="M109" s="40">
        <x:f>英雄升级调参!$K$109*英雄升级调参!$L$109</x:f>
        <x:v>664061520</x:v>
      </x:c>
      <x:c r="N109" s="25"/>
      <x:c r="O109" s="25"/>
      <x:c r="P109" s="25"/>
    </x:row>
    <x:row r="110" ht="23.100000381469727" customHeight="1">
      <x:c r="A110" s="19"/>
      <x:c r="B110" s="25">
        <x:v>45</x:v>
      </x:c>
      <x:c r="C110" s="25" t="n">
        <x:f>ROUNDUP(英雄升级调参!$B$110/英雄升级调参!$C$10,0)</x:f>
        <x:v>9</x:v>
      </x:c>
      <x:c r="D110" s="40">
        <x:f>IF(英雄升级调参!$B$110=1,0,INDEX(英雄升级调参!$E$34:$E$43,英雄升级调参!$C$110))</x:f>
        <x:v>90</x:v>
      </x:c>
      <x:c r="E110" s="40">
        <x:f>英雄升级调参!$E$109+ROUND(英雄升级调参!$D$110*英雄升级调参!$J$9,0)*3</x:f>
        <x:v>3444</x:v>
      </x:c>
      <x:c r="F110" s="40">
        <x:f>英雄升级调参!$F$109+ROUND(英雄升级调参!$D$110*英雄升级调参!$C$11*英雄升级调参!$J$9,0)*3</x:f>
        <x:v>34440</x:v>
      </x:c>
      <x:c r="G110" s="40">
        <x:f>英雄升级调参!$E$110*英雄升级调参!$F$110</x:f>
        <x:v>118611360</x:v>
      </x:c>
      <x:c r="H110" s="40">
        <x:f>英雄升级调参!$H$109+ROUND(英雄升级调参!$D$110*英雄升级调参!$J$10,0)*3</x:f>
        <x:v>5285</x:v>
      </x:c>
      <x:c r="I110" s="40">
        <x:f>英雄升级调参!$I$109+ROUND(英雄升级调参!$D$110*英雄升级调参!$C$11*英雄升级调参!$J$10,0)*3</x:f>
        <x:v>52710</x:v>
      </x:c>
      <x:c r="J110" s="40">
        <x:f>英雄升级调参!$H$110*英雄升级调参!$I$110</x:f>
        <x:v>278572350</x:v>
      </x:c>
      <x:c r="K110" s="40">
        <x:f>英雄升级调参!$K$109+ROUND(英雄升级调参!$D$110*英雄升级调参!$J$11,0)*3</x:f>
        <x:v>8831</x:v>
      </x:c>
      <x:c r="L110" s="40">
        <x:f>英雄升级调参!$L$109+ROUND(英雄升级调参!$D$110*英雄升级调参!$C$11*英雄升级调参!$J$11,0)*3</x:f>
        <x:v>88170</x:v>
      </x:c>
      <x:c r="M110" s="40">
        <x:f>英雄升级调参!$K$110*英雄升级调参!$L$110</x:f>
        <x:v>778629270</x:v>
      </x:c>
      <x:c r="N110" s="25"/>
      <x:c r="O110" s="25"/>
      <x:c r="P110" s="25"/>
    </x:row>
    <x:row r="111" ht="23.100000381469727" customHeight="1">
      <x:c r="A111" s="19"/>
      <x:c r="B111" s="25">
        <x:v>46</x:v>
      </x:c>
      <x:c r="C111" s="25" t="n">
        <x:f>ROUNDUP(英雄升级调参!$B$111/英雄升级调参!$C$10,0)</x:f>
        <x:v>10</x:v>
      </x:c>
      <x:c r="D111" s="40">
        <x:f>IF(英雄升级调参!$B$111=1,0,INDEX(英雄升级调参!$E$34:$E$43,英雄升级调参!$C$111))</x:f>
        <x:v>99</x:v>
      </x:c>
      <x:c r="E111" s="40">
        <x:f>英雄升级调参!$E$110+ROUND(英雄升级调参!$D$111*英雄升级调参!$J$9,0)</x:f>
        <x:v>3543</x:v>
      </x:c>
      <x:c r="F111" s="40">
        <x:f>英雄升级调参!$F$110+ROUND(英雄升级调参!$D$111*英雄升级调参!$C$11*英雄升级调参!$J$9,0)</x:f>
        <x:v>35430</x:v>
      </x:c>
      <x:c r="G111" s="40">
        <x:f>英雄升级调参!$E$111*英雄升级调参!$F$111</x:f>
        <x:v>125528490</x:v>
      </x:c>
      <x:c r="H111" s="40">
        <x:f>英雄升级调参!$H$110+ROUND(英雄升级调参!$D$111*英雄升级调参!$J$10,0)</x:f>
        <x:v>5434</x:v>
      </x:c>
      <x:c r="I111" s="40">
        <x:f>英雄升级调参!$I$110+ROUND(英雄升级调参!$D$111*英雄升级调参!$C$11*英雄升级调参!$J$10,0)</x:f>
        <x:v>54195</x:v>
      </x:c>
      <x:c r="J111" s="40">
        <x:f>英雄升级调参!$H$111*英雄升级调参!$I$111</x:f>
        <x:v>294495630</x:v>
      </x:c>
      <x:c r="K111" s="40">
        <x:f>英雄升级调参!$K$110+ROUND(英雄升级调参!$D$111*英雄升级调参!$J$11,0)</x:f>
        <x:v>9079</x:v>
      </x:c>
      <x:c r="L111" s="40">
        <x:f>英雄升级调参!$L$110+ROUND(英雄升级调参!$D$111*英雄升级调参!$C$11*英雄升级调参!$J$11,0)</x:f>
        <x:v>90645</x:v>
      </x:c>
      <x:c r="M111" s="40">
        <x:f>英雄升级调参!$K$111*英雄升级调参!$L$111</x:f>
        <x:v>822965955</x:v>
      </x:c>
      <x:c r="N111" s="25"/>
      <x:c r="O111" s="25"/>
      <x:c r="P111" s="25"/>
    </x:row>
    <x:row r="112" ht="23.100000381469727" customHeight="1">
      <x:c r="A112" s="19"/>
      <x:c r="B112" s="25">
        <x:v>47</x:v>
      </x:c>
      <x:c r="C112" s="25" t="n">
        <x:f>ROUNDUP(英雄升级调参!$B$112/英雄升级调参!$C$10,0)</x:f>
        <x:v>10</x:v>
      </x:c>
      <x:c r="D112" s="40">
        <x:f>IF(英雄升级调参!$B$112=1,0,INDEX(英雄升级调参!$E$34:$E$43,英雄升级调参!$C$112))</x:f>
        <x:v>99</x:v>
      </x:c>
      <x:c r="E112" s="40">
        <x:f>英雄升级调参!$E$111+ROUND(英雄升级调参!$D$112*英雄升级调参!$J$9,0)</x:f>
        <x:v>3642</x:v>
      </x:c>
      <x:c r="F112" s="40">
        <x:f>英雄升级调参!$F$111+ROUND(英雄升级调参!$D$112*英雄升级调参!$C$11*英雄升级调参!$J$9,0)</x:f>
        <x:v>36420</x:v>
      </x:c>
      <x:c r="G112" s="40">
        <x:f>英雄升级调参!$E$112*英雄升级调参!$F$112</x:f>
        <x:v>132641640</x:v>
      </x:c>
      <x:c r="H112" s="40">
        <x:f>英雄升级调参!$H$111+ROUND(英雄升级调参!$D$112*英雄升级调参!$J$10,0)</x:f>
        <x:v>5583</x:v>
      </x:c>
      <x:c r="I112" s="40">
        <x:f>英雄升级调参!$I$111+ROUND(英雄升级调参!$D$112*英雄升级调参!$C$11*英雄升级调参!$J$10,0)</x:f>
        <x:v>55680</x:v>
      </x:c>
      <x:c r="J112" s="40">
        <x:f>英雄升级调参!$H$112*英雄升级调参!$I$112</x:f>
        <x:v>310861440</x:v>
      </x:c>
      <x:c r="K112" s="40">
        <x:f>英雄升级调参!$K$111+ROUND(英雄升级调参!$D$112*英雄升级调参!$J$11,0)</x:f>
        <x:v>9327</x:v>
      </x:c>
      <x:c r="L112" s="40">
        <x:f>英雄升级调参!$L$111+ROUND(英雄升级调参!$D$112*英雄升级调参!$C$11*英雄升级调参!$J$11,0)</x:f>
        <x:v>93120</x:v>
      </x:c>
      <x:c r="M112" s="40">
        <x:f>英雄升级调参!$K$112*英雄升级调参!$L$112</x:f>
        <x:v>868530240</x:v>
      </x:c>
      <x:c r="N112" s="25"/>
      <x:c r="O112" s="25"/>
      <x:c r="P112" s="25"/>
    </x:row>
    <x:row r="113" ht="23.100000381469727" customHeight="1">
      <x:c r="A113" s="19"/>
      <x:c r="B113" s="25">
        <x:v>48</x:v>
      </x:c>
      <x:c r="C113" s="25" t="n">
        <x:f>ROUNDUP(英雄升级调参!$B$113/英雄升级调参!$C$10,0)</x:f>
        <x:v>10</x:v>
      </x:c>
      <x:c r="D113" s="40">
        <x:f>IF(英雄升级调参!$B$113=1,0,INDEX(英雄升级调参!$E$34:$E$43,英雄升级调参!$C$113))</x:f>
        <x:v>99</x:v>
      </x:c>
      <x:c r="E113" s="40">
        <x:f>英雄升级调参!$E$112+ROUND(英雄升级调参!$D$113*英雄升级调参!$J$9,0)</x:f>
        <x:v>3741</x:v>
      </x:c>
      <x:c r="F113" s="40">
        <x:f>英雄升级调参!$F$112+ROUND(英雄升级调参!$D$113*英雄升级调参!$C$11*英雄升级调参!$J$9,0)</x:f>
        <x:v>37410</x:v>
      </x:c>
      <x:c r="G113" s="40">
        <x:f>英雄升级调参!$E$113*英雄升级调参!$F$113</x:f>
        <x:v>139950810</x:v>
      </x:c>
      <x:c r="H113" s="40">
        <x:f>英雄升级调参!$H$112+ROUND(英雄升级调参!$D$113*英雄升级调参!$J$10,0)</x:f>
        <x:v>5732</x:v>
      </x:c>
      <x:c r="I113" s="40">
        <x:f>英雄升级调参!$I$112+ROUND(英雄升级调参!$D$113*英雄升级调参!$C$11*英雄升级调参!$J$10,0)</x:f>
        <x:v>57165</x:v>
      </x:c>
      <x:c r="J113" s="40">
        <x:f>英雄升级调参!$H$113*英雄升级调参!$I$113</x:f>
        <x:v>327669780</x:v>
      </x:c>
      <x:c r="K113" s="40">
        <x:f>英雄升级调参!$K$112+ROUND(英雄升级调参!$D$113*英雄升级调参!$J$11,0)</x:f>
        <x:v>9575</x:v>
      </x:c>
      <x:c r="L113" s="40">
        <x:f>英雄升级调参!$L$112+ROUND(英雄升级调参!$D$113*英雄升级调参!$C$11*英雄升级调参!$J$11,0)</x:f>
        <x:v>95595</x:v>
      </x:c>
      <x:c r="M113" s="40">
        <x:f>英雄升级调参!$K$113*英雄升级调参!$L$113</x:f>
        <x:v>915322125</x:v>
      </x:c>
      <x:c r="N113" s="25"/>
      <x:c r="O113" s="25"/>
      <x:c r="P113" s="25"/>
    </x:row>
    <x:row r="114" ht="23.100000381469727" customHeight="1">
      <x:c r="A114" s="19"/>
      <x:c r="B114" s="25">
        <x:v>49</x:v>
      </x:c>
      <x:c r="C114" s="25" t="n">
        <x:f>ROUNDUP(英雄升级调参!$B$114/英雄升级调参!$C$10,0)</x:f>
        <x:v>10</x:v>
      </x:c>
      <x:c r="D114" s="40">
        <x:f>IF(英雄升级调参!$B$114=1,0,INDEX(英雄升级调参!$E$34:$E$43,英雄升级调参!$C$114))</x:f>
        <x:v>99</x:v>
      </x:c>
      <x:c r="E114" s="40">
        <x:f>英雄升级调参!$E$113+ROUND(英雄升级调参!$D$114*英雄升级调参!$J$9,0)</x:f>
        <x:v>3840</x:v>
      </x:c>
      <x:c r="F114" s="40">
        <x:f>英雄升级调参!$F$113+ROUND(英雄升级调参!$D$114*英雄升级调参!$C$11*英雄升级调参!$J$9,0)</x:f>
        <x:v>38400</x:v>
      </x:c>
      <x:c r="G114" s="40">
        <x:f>英雄升级调参!$E$114*英雄升级调参!$F$114</x:f>
        <x:v>147456000</x:v>
      </x:c>
      <x:c r="H114" s="40">
        <x:f>英雄升级调参!$H$113+ROUND(英雄升级调参!$D$114*英雄升级调参!$J$10,0)</x:f>
        <x:v>5881</x:v>
      </x:c>
      <x:c r="I114" s="40">
        <x:f>英雄升级调参!$I$113+ROUND(英雄升级调参!$D$114*英雄升级调参!$C$11*英雄升级调参!$J$10,0)</x:f>
        <x:v>58650</x:v>
      </x:c>
      <x:c r="J114" s="40">
        <x:f>英雄升级调参!$H$114*英雄升级调参!$I$114</x:f>
        <x:v>344920650</x:v>
      </x:c>
      <x:c r="K114" s="40">
        <x:f>英雄升级调参!$K$113+ROUND(英雄升级调参!$D$114*英雄升级调参!$J$11,0)</x:f>
        <x:v>9823</x:v>
      </x:c>
      <x:c r="L114" s="40">
        <x:f>英雄升级调参!$L$113+ROUND(英雄升级调参!$D$114*英雄升级调参!$C$11*英雄升级调参!$J$11,0)</x:f>
        <x:v>98070</x:v>
      </x:c>
      <x:c r="M114" s="40">
        <x:f>英雄升级调参!$K$114*英雄升级调参!$L$114</x:f>
        <x:v>963341610</x:v>
      </x:c>
      <x:c r="N114" s="25"/>
      <x:c r="O114" s="25"/>
      <x:c r="P114" s="25"/>
    </x:row>
    <x:row r="115" ht="23.100000381469727" customHeight="1">
      <x:c r="A115" s="19"/>
      <x:c r="B115" s="25">
        <x:v>50</x:v>
      </x:c>
      <x:c r="C115" s="25" t="n">
        <x:f>ROUNDUP(英雄升级调参!$B$115/英雄升级调参!$C$10,0)</x:f>
        <x:v>10</x:v>
      </x:c>
      <x:c r="D115" s="40">
        <x:f>IF(英雄升级调参!$B$115=1,0,INDEX(英雄升级调参!$E$34:$E$43,英雄升级调参!$C$115))</x:f>
        <x:v>99</x:v>
      </x:c>
      <x:c r="E115" s="40">
        <x:f>英雄升级调参!$E$114+ROUND(英雄升级调参!$D$115*英雄升级调参!$J$9,0)*3</x:f>
        <x:v>4137</x:v>
      </x:c>
      <x:c r="F115" s="40">
        <x:f>英雄升级调参!$F$114+ROUND(英雄升级调参!$D$115*英雄升级调参!$C$11*英雄升级调参!$J$9,0)*3</x:f>
        <x:v>41370</x:v>
      </x:c>
      <x:c r="G115" s="40">
        <x:f>英雄升级调参!$E$115*英雄升级调参!$F$115</x:f>
        <x:v>171147690</x:v>
      </x:c>
      <x:c r="H115" s="40">
        <x:f>英雄升级调参!$H$114+ROUND(英雄升级调参!$D$115*英雄升级调参!$J$10,0)*3</x:f>
        <x:v>6328</x:v>
      </x:c>
      <x:c r="I115" s="40">
        <x:f>英雄升级调参!$I$114+ROUND(英雄升级调参!$D$115*英雄升级调参!$C$11*英雄升级调参!$J$10,0)*3</x:f>
        <x:v>63105</x:v>
      </x:c>
      <x:c r="J115" s="40">
        <x:f>英雄升级调参!$H$115*英雄升级调参!$I$115</x:f>
        <x:v>399328440</x:v>
      </x:c>
      <x:c r="K115" s="40">
        <x:f>英雄升级调参!$K$114+ROUND(英雄升级调参!$D$115*英雄升级调参!$J$11,0)*3</x:f>
        <x:v>10567</x:v>
      </x:c>
      <x:c r="L115" s="40">
        <x:f>英雄升级调参!$L$114+ROUND(英雄升级调参!$D$115*英雄升级调参!$C$11*英雄升级调参!$J$11,0)*3</x:f>
        <x:v>105495</x:v>
      </x:c>
      <x:c r="M115" s="40">
        <x:f>英雄升级调参!$K$115*英雄升级调参!$L$115</x:f>
        <x:v>1114765665</x:v>
      </x:c>
      <x:c r="N115" s="25"/>
      <x:c r="O115" s="25"/>
      <x:c r="P115" s="25"/>
    </x:row>
  </x:sheetData>
  <x:dataValidations count="3">
    <x:dataValidation type="decimal" operator="greaterThanOrEqual" sqref="C11 E18:F27 J9:J11">
      <x:formula1>0.01</x:formula1>
    </x:dataValidation>
    <x:dataValidation type="whole" operator="greaterThanOrEqual" sqref="H9 E34:E43">
      <x:formula1>1</x:formula1>
    </x:dataValidation>
    <x:dataValidation type="list" sqref="J18:J27">
      <x:formula1>"蓝色,紫色,橙色"</x:formula1>
    </x:dataValidation>
  </x:dataValidations>
  <x:pageMargins left="0.7" right="0.7" top="0.75" bottom="0.75" header="0.3" footer="0.3"/>
  <x:drawing xmlns:r="http://schemas.openxmlformats.org/officeDocument/2006/relationships" r:id="R45cde6d768924d7b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customWidth="1"/>
    <x:col min="2" max="4" width="17" customWidth="1"/>
    <x:col min="5" max="5" width="36" customWidth="1"/>
    <x:col min="6" max="11" width="17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6.100000381469727" customHeight="1">
      <x:c r="A1" s="56"/>
      <x:c r="B1" s="56"/>
      <x:c r="C1" s="56"/>
      <x:c r="D1" s="56"/>
      <x:c r="E1" s="56"/>
      <x:c r="F1" s="56"/>
      <x:c r="G1" s="56"/>
      <x:c r="H1" s="56"/>
      <x:c r="I1" s="56"/>
      <x:c r="J1" s="56"/>
      <x:c r="K1" s="56"/>
    </x:row>
    <x:row r="2" ht="26.100000381469727" customHeight="1">
      <x:c r="A2" s="57" t="s">
        <x:v>553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</x:row>
    <x:row r="3" ht="26.100000381469727" customHeight="1">
      <x:c r="A3" s="56"/>
      <x:c r="B3" s="56"/>
      <x:c r="C3" s="56"/>
      <x:c r="D3" s="56"/>
      <x:c r="E3" s="56"/>
      <x:c r="F3" s="56"/>
      <x:c r="G3" s="56"/>
      <x:c r="H3" s="56"/>
      <x:c r="I3" s="56"/>
      <x:c r="J3" s="56"/>
      <x:c r="K3" s="56"/>
    </x:row>
    <x:row r="4" ht="26.100000381469727" customHeight="1">
      <x:c r="A4" s="56" t="inlineStr">
        <x:is>
          <x:t xml:space="preserve">黄色可调整。价值锚定与商品售价联动；当前商品按锚定原价出售。</x:t>
        </x:is>
      </x:c>
      <x:c r="B4" s="56"/>
      <x:c r="C4" s="56"/>
      <x:c r="D4" s="56"/>
      <x:c r="E4" s="56"/>
      <x:c r="F4" s="56"/>
      <x:c r="G4" s="56"/>
      <x:c r="H4" s="56"/>
      <x:c r="I4" s="56"/>
      <x:c r="J4" s="56"/>
      <x:c r="K4" s="56"/>
    </x:row>
    <x:row r="5" ht="33.95000076293945" customHeight="1">
      <x:c r="A5" s="58" t="s">
        <x:v>413</x:v>
      </x:c>
      <x:c r="B5" s="58" t="s">
        <x:v>554</x:v>
      </x:c>
      <x:c r="C5" s="58" t="s">
        <x:v>555</x:v>
      </x:c>
      <x:c r="D5" s="58" t="s">
        <x:v>556</x:v>
      </x:c>
      <x:c r="E5" s="58" t="s">
        <x:v>557</x:v>
      </x:c>
      <x:c r="F5" s="138" t="str">
        <x:v>货币</x:v>
      </x:c>
      <x:c r="G5" s="138" t="str">
        <x:v>数量</x:v>
      </x:c>
      <x:c r="H5" s="138" t="str">
        <x:v>价值（钻石）</x:v>
      </x:c>
      <x:c r="I5" s="138" t="str">
        <x:v>估值（人民币）</x:v>
      </x:c>
      <x:c r="J5" s="138" t="str">
        <x:v>估值（美元）</x:v>
      </x:c>
      <x:c r="K5" s="142"/>
    </x:row>
    <x:row r="6" ht="26.100000381469727" customHeight="1">
      <x:c r="A6" s="56" t="s">
        <x:v>558</x:v>
      </x:c>
      <x:c r="B6" s="59">
        <x:v>20</x:v>
      </x:c>
      <x:c r="C6" s="60">
        <x:v>1</x:v>
      </x:c>
      <x:c r="D6" s="60" t="n">
        <x:f t="shared" ref="D6:D14" si="0">C6*$B$6</x:f>
        <x:v>20</x:v>
      </x:c>
      <x:c r="E6" s="56" t="s">
        <x:v>559</x:v>
      </x:c>
      <x:c r="F6" s="142" t="str">
        <x:v>人民币</x:v>
      </x:c>
      <x:c r="G6" s="143" t="n">
        <x:v>1</x:v>
      </x:c>
      <x:c r="H6" s="144" t="n">
        <x:v>10</x:v>
      </x:c>
      <x:c r="I6" s="144" t="n">
        <x:f>G6</x:f>
        <x:v>1</x:v>
      </x:c>
      <x:c r="J6" s="145" t="n">
        <x:f>H6/H7</x:f>
        <x:v>0.16666666666666666</x:v>
      </x:c>
      <x:c r="K6" s="142"/>
    </x:row>
    <x:row r="7" ht="26.100000381469727" customHeight="1">
      <x:c r="A7" s="56" t="s">
        <x:v>303</x:v>
      </x:c>
      <x:c r="B7" s="56">
        <x:v>1</x:v>
      </x:c>
      <x:c r="C7" s="60">
        <x:v>1</x:v>
      </x:c>
      <x:c r="D7" s="60">
        <x:f t="shared" si="0"/>
        <x:v>20</x:v>
      </x:c>
      <x:c r="E7" s="56" t="s">
        <x:v>560</x:v>
      </x:c>
      <x:c r="F7" s="142" t="str">
        <x:v>美元</x:v>
      </x:c>
      <x:c r="G7" s="142" t="n">
        <x:v>1</x:v>
      </x:c>
      <x:c r="H7" s="144" t="n">
        <x:v>60</x:v>
      </x:c>
      <x:c r="I7" s="144" t="n">
        <x:f>H7/H6</x:f>
        <x:v>6</x:v>
      </x:c>
      <x:c r="J7" s="142" t="n">
        <x:v>1</x:v>
      </x:c>
      <x:c r="K7" s="142"/>
    </x:row>
    <x:row r="8" ht="26.100000381469727" customHeight="1">
      <x:c r="A8" s="56" t="s">
        <x:v>561</x:v>
      </x:c>
      <x:c r="B8" s="56">
        <x:v>1</x:v>
      </x:c>
      <x:c r="C8" s="61">
        <x:v>30</x:v>
      </x:c>
      <x:c r="D8" s="60">
        <x:f t="shared" si="0"/>
        <x:v>600</x:v>
      </x:c>
      <x:c r="E8" s="56" t="s">
        <x:v>559</x:v>
      </x:c>
      <x:c r="F8" s="146" t="str">
        <x:v>估值依据</x:v>
      </x:c>
      <x:c r="G8" s="146"/>
      <x:c r="H8" s="146"/>
      <x:c r="I8" s="146" t="str">
        <x:v>1 元 = 10 钻石</x:v>
      </x:c>
      <x:c r="J8" s="146" t="str">
        <x:v>1 美元 = 60 钻石</x:v>
      </x:c>
      <x:c r="K8" s="142"/>
    </x:row>
    <x:row r="9" ht="26.100000381469727" customHeight="1">
      <x:c r="A9" s="56" t="s">
        <x:v>562</x:v>
      </x:c>
      <x:c r="B9" s="56">
        <x:v>100</x:v>
      </x:c>
      <x:c r="C9" s="56">
        <x:v>50</x:v>
      </x:c>
      <x:c r="D9" s="60">
        <x:f t="shared" si="0"/>
        <x:v>1000</x:v>
      </x:c>
      <x:c r="E9" s="56" t="inlineStr">
        <x:is>
          <x:t xml:space="preserve">用户指定：100经验＝50钻石</x:t>
        </x:is>
      </x:c>
      <x:c r="F9" s="142"/>
      <x:c r="G9" s="142"/>
      <x:c r="H9" s="142"/>
      <x:c r="I9" s="142"/>
      <x:c r="J9" s="142"/>
      <x:c r="K9" s="142"/>
    </x:row>
    <x:row r="10" ht="26.100000381469727" customHeight="1">
      <x:c r="A10" s="56" t="s">
        <x:v>563</x:v>
      </x:c>
      <x:c r="B10" s="56">
        <x:v>100</x:v>
      </x:c>
      <x:c r="C10" s="60" t="n">
        <x:f>C9/B9*B10</x:f>
        <x:v>50</x:v>
      </x:c>
      <x:c r="D10" s="60">
        <x:f t="shared" si="0"/>
        <x:v>1000</x:v>
      </x:c>
      <x:c r="E10" s="56" t="s">
        <x:v>564</x:v>
      </x:c>
      <x:c r="F10" s="138" t="str">
        <x:v>月卡投放（30天，直接材料）</x:v>
      </x:c>
      <x:c r="G10" s="138"/>
      <x:c r="H10" s="138"/>
      <x:c r="I10" s="138"/>
      <x:c r="J10" s="138"/>
      <x:c r="K10" s="138"/>
    </x:row>
    <x:row r="11" ht="26.100000381469727" customHeight="1">
      <x:c r="A11" s="56" t="s">
        <x:v>565</x:v>
      </x:c>
      <x:c r="B11" s="56">
        <x:v>100</x:v>
      </x:c>
      <x:c r="C11" s="60" t="n">
        <x:f>C9/B9*B11</x:f>
        <x:v>50</x:v>
      </x:c>
      <x:c r="D11" s="60">
        <x:f t="shared" si="0"/>
        <x:v>1000</x:v>
      </x:c>
      <x:c r="E11" s="56" t="s">
        <x:v>564</x:v>
      </x:c>
      <x:c r="F11" s="147" t="str">
        <x:v>月卡</x:v>
      </x:c>
      <x:c r="G11" s="147" t="str">
        <x:v>售价（元）</x:v>
      </x:c>
      <x:c r="H11" s="147" t="str">
        <x:v>首购价值（钻）</x:v>
      </x:c>
      <x:c r="I11" s="147" t="str">
        <x:v>每日价值（钻）</x:v>
      </x:c>
      <x:c r="J11" s="147" t="str">
        <x:v>30天价值（钻）</x:v>
      </x:c>
      <x:c r="K11" s="147" t="str">
        <x:v>返利（倍）</x:v>
      </x:c>
    </x:row>
    <x:row r="12" ht="26.100000381469727" customHeight="1">
      <x:c r="A12" s="56" t="s">
        <x:v>566</x:v>
      </x:c>
      <x:c r="B12" s="56">
        <x:v>10</x:v>
      </x:c>
      <x:c r="C12" s="61" t="n">
        <x:f>$C$8</x:f>
        <x:v>30</x:v>
      </x:c>
      <x:c r="D12" s="60">
        <x:f t="shared" si="0"/>
        <x:v>600</x:v>
      </x:c>
      <x:c r="E12" s="56" t="s">
        <x:v>567</x:v>
      </x:c>
      <x:c r="F12" s="148" t="str">
        <x:v>小月卡</x:v>
      </x:c>
      <x:c r="G12" s="149" t="n">
        <x:v>30</x:v>
      </x:c>
      <x:c r="H12" s="149" t="n">
        <x:v>300</x:v>
      </x:c>
      <x:c r="I12" s="149" t="n">
        <x:f>120+2*$C$8</x:f>
        <x:v>180</x:v>
      </x:c>
      <x:c r="J12" s="149" t="n">
        <x:f>H12+I12*30</x:f>
        <x:v>5700</x:v>
      </x:c>
      <x:c r="K12" s="150" t="n">
        <x:f>J12/(G12*$H$6)</x:f>
        <x:v>19</x:v>
      </x:c>
    </x:row>
    <x:row r="13" ht="26.100000381469727" customHeight="1">
      <x:c r="A13" s="56" t="s">
        <x:v>568</x:v>
      </x:c>
      <x:c r="B13" s="56">
        <x:v>10</x:v>
      </x:c>
      <x:c r="C13" s="61" t="n">
        <x:f>$C$8*10</x:f>
        <x:v>300</x:v>
      </x:c>
      <x:c r="D13" s="60">
        <x:f t="shared" si="0"/>
        <x:v>6000</x:v>
      </x:c>
      <x:c r="E13" s="56" t="s">
        <x:v>569</x:v>
      </x:c>
      <x:c r="F13" s="148" t="str">
        <x:v>大月卡</x:v>
      </x:c>
      <x:c r="G13" s="149" t="n">
        <x:v>68</x:v>
      </x:c>
      <x:c r="H13" s="149" t="n">
        <x:v>500</x:v>
      </x:c>
      <x:c r="I13" s="149" t="n">
        <x:f>300+2*$C$15</x:f>
        <x:v>340</x:v>
      </x:c>
      <x:c r="J13" s="149" t="n">
        <x:f>H13+I13*30</x:f>
        <x:v>10700</x:v>
      </x:c>
      <x:c r="K13" s="150" t="n">
        <x:f>J13/(G13*$H$6)</x:f>
        <x:v>15.735294117647058</x:v>
      </x:c>
    </x:row>
    <x:row r="14" ht="26.100000381469727" customHeight="1">
      <x:c r="A14" s="56" t="s">
        <x:v>570</x:v>
      </x:c>
      <x:c r="B14" s="56">
        <x:v>10</x:v>
      </x:c>
      <x:c r="C14" s="61" t="n">
        <x:f>$C$8*50</x:f>
        <x:v>1500</x:v>
      </x:c>
      <x:c r="D14" s="60">
        <x:f t="shared" si="0"/>
        <x:v>30000</x:v>
      </x:c>
      <x:c r="E14" s="56" t="s">
        <x:v>571</x:v>
      </x:c>
      <x:c r="F14" s="148"/>
      <x:c r="G14" s="149"/>
      <x:c r="H14" s="149"/>
      <x:c r="I14" s="149"/>
      <x:c r="J14" s="149"/>
      <x:c r="K14" s="150"/>
    </x:row>
    <x:row r="15" ht="26.100000381469727" customHeight="1">
      <x:c r="A15" s="56" t="inlineStr">
        <x:is>
          <x:t xml:space="preserve">体力（车票）</x:t>
        </x:is>
      </x:c>
      <x:c r="B15" s="56">
        <x:v>1</x:v>
      </x:c>
      <x:c r="C15" s="61">
        <x:v>20</x:v>
      </x:c>
      <x:c r="D15" s="60" t="n">
        <x:f>C15*$B$6</x:f>
        <x:v>400</x:v>
      </x:c>
      <x:c r="E15" s="56" t="inlineStr">
        <x:is>
          <x:t xml:space="preserve">用户指定</x:t>
        </x:is>
      </x:c>
      <x:c r="F15" s="151" t="str">
        <x:v>竞品对标（30天，用户提供截图）</x:v>
      </x:c>
      <x:c r="G15" s="152"/>
      <x:c r="H15" s="152"/>
      <x:c r="I15" s="152"/>
      <x:c r="J15" s="152"/>
      <x:c r="K15" s="153"/>
    </x:row>
    <x:row r="16" ht="26.100000381469727" customHeight="1">
      <x:c r="A16" s="56" t="inlineStr">
        <x:is>
          <x:t xml:space="preserve">时尚币</x:t>
        </x:is>
      </x:c>
      <x:c r="B16" s="56">
        <x:v>3</x:v>
      </x:c>
      <x:c r="C16" s="61">
        <x:v>2</x:v>
      </x:c>
      <x:c r="D16" s="60" t="n">
        <x:f>C16*$B$6</x:f>
        <x:v>40</x:v>
      </x:c>
      <x:c r="E16" s="56" t="inlineStr">
        <x:is>
          <x:t xml:space="preserve">用户指定</x:t>
        </x:is>
      </x:c>
      <x:c r="F16" s="148" t="str">
        <x:v>竞品小月卡</x:v>
      </x:c>
      <x:c r="G16" s="149" t="n">
        <x:v>18</x:v>
      </x:c>
      <x:c r="H16" s="149" t="n">
        <x:v>0</x:v>
      </x:c>
      <x:c r="I16" s="149" t="n">
        <x:f>60+2*$C$8</x:f>
        <x:v>120</x:v>
      </x:c>
      <x:c r="J16" s="149" t="n">
        <x:f>H16+I16*30</x:f>
        <x:v>3600</x:v>
      </x:c>
      <x:c r="K16" s="150" t="n">
        <x:f>J16/(G16*$H$6)</x:f>
        <x:v>20</x:v>
      </x:c>
    </x:row>
    <x:row r="17" ht="26.100000381469727" customHeight="1">
      <x:c r="A17" s="56" t="s">
        <x:v>572</x:v>
      </x:c>
      <x:c r="B17" s="56"/>
      <x:c r="C17" s="56"/>
      <x:c r="D17" s="56"/>
      <x:c r="E17" s="56"/>
      <x:c r="F17" s="148" t="str">
        <x:v>竞品大月卡</x:v>
      </x:c>
      <x:c r="G17" s="149" t="n">
        <x:v>30</x:v>
      </x:c>
      <x:c r="H17" s="149" t="n">
        <x:v>0</x:v>
      </x:c>
      <x:c r="I17" s="149" t="n">
        <x:f>100+$C$15</x:f>
        <x:v>120</x:v>
      </x:c>
      <x:c r="J17" s="149" t="n">
        <x:f>H17+I17*30</x:f>
        <x:v>3600</x:v>
      </x:c>
      <x:c r="K17" s="150" t="n">
        <x:f>J17/(G17*$H$6)</x:f>
        <x:v>12</x:v>
      </x:c>
    </x:row>
    <x:row r="18" ht="26.100000381469727" customHeight="1">
      <x:c r="A18" s="56"/>
      <x:c r="B18" s="56"/>
      <x:c r="C18" s="56"/>
      <x:c r="D18" s="56"/>
      <x:c r="E18" s="56"/>
      <x:c r="F18" s="56"/>
      <x:c r="G18" s="56"/>
      <x:c r="H18" s="56"/>
      <x:c r="I18" s="56"/>
      <x:c r="J18" s="56"/>
      <x:c r="K18" s="56"/>
    </x:row>
    <x:row r="19" ht="33.95000076293945" customHeight="1">
      <x:c r="A19" s="58" t="s">
        <x:v>573</x:v>
      </x:c>
      <x:c r="B19" s="58" t="s">
        <x:v>574</x:v>
      </x:c>
      <x:c r="C19" s="58" t="s">
        <x:v>575</x:v>
      </x:c>
      <x:c r="D19" s="58" t="s">
        <x:v>576</x:v>
      </x:c>
      <x:c r="E19" s="58" t="s">
        <x:v>476</x:v>
      </x:c>
      <x:c r="F19" s="56"/>
      <x:c r="G19" s="56"/>
      <x:c r="H19" s="56"/>
      <x:c r="I19" s="56"/>
      <x:c r="J19" s="56"/>
      <x:c r="K19" s="56"/>
    </x:row>
    <x:row r="20" ht="26.100000381469727" customHeight="1">
      <x:c r="A20" s="56" t="s">
        <x:v>577</x:v>
      </x:c>
      <x:c r="B20" s="59">
        <x:v>5</x:v>
      </x:c>
      <x:c r="C20" s="59">
        <x:v>15</x:v>
      </x:c>
      <x:c r="D20" s="59">
        <x:v>30</x:v>
      </x:c>
      <x:c r="E20" s="56" t="s">
        <x:v>578</x:v>
      </x:c>
      <x:c r="F20" s="56"/>
      <x:c r="G20" s="56"/>
      <x:c r="H20" s="56"/>
      <x:c r="I20" s="56"/>
      <x:c r="J20" s="56"/>
      <x:c r="K20" s="56"/>
    </x:row>
    <x:row r="21" ht="45.95000076293945" customHeight="1">
      <x:c r="A21" s="56" t="s">
        <x:v>579</x:v>
      </x:c>
      <x:c r="B21" s="62" t="s">
        <x:v>580</x:v>
      </x:c>
      <x:c r="C21" s="62" t="s">
        <x:v>581</x:v>
      </x:c>
      <x:c r="D21" s="62" t="s">
        <x:v>582</x:v>
      </x:c>
      <x:c r="E21" s="56" t="s">
        <x:v>583</x:v>
      </x:c>
      <x:c r="F21" s="56"/>
      <x:c r="G21" s="56"/>
      <x:c r="H21" s="56"/>
      <x:c r="I21" s="56"/>
      <x:c r="J21" s="56"/>
      <x:c r="K21" s="56"/>
    </x:row>
    <x:row r="22" ht="26.100000381469727" customHeight="1">
      <x:c r="A22" s="56" t="s">
        <x:v>584</x:v>
      </x:c>
      <x:c r="B22" s="59">
        <x:v>1</x:v>
      </x:c>
      <x:c r="C22" s="59">
        <x:v>1</x:v>
      </x:c>
      <x:c r="D22" s="59">
        <x:v>1</x:v>
      </x:c>
      <x:c r="E22" s="56" t="s">
        <x:v>585</x:v>
      </x:c>
      <x:c r="F22" s="56"/>
      <x:c r="G22" s="56"/>
      <x:c r="H22" s="56"/>
      <x:c r="I22" s="56"/>
      <x:c r="J22" s="56"/>
      <x:c r="K22" s="56"/>
    </x:row>
    <x:row r="23" ht="26.100000381469727" customHeight="1">
      <x:c r="A23" s="56" t="s">
        <x:v>586</x:v>
      </x:c>
      <x:c r="B23" s="59">
        <x:v>1</x:v>
      </x:c>
      <x:c r="C23" s="59">
        <x:v>3</x:v>
      </x:c>
      <x:c r="D23" s="59">
        <x:v>6</x:v>
      </x:c>
      <x:c r="E23" s="56" t="s">
        <x:v>587</x:v>
      </x:c>
      <x:c r="F23" s="56"/>
      <x:c r="G23" s="56"/>
      <x:c r="H23" s="56"/>
      <x:c r="I23" s="56"/>
      <x:c r="J23" s="56"/>
      <x:c r="K23" s="56"/>
    </x:row>
    <x:row r="24" ht="26.100000381469727" customHeight="1">
      <x:c r="A24" s="56" t="s">
        <x:v>588</x:v>
      </x:c>
      <x:c r="B24" s="59">
        <x:v>0</x:v>
      </x:c>
      <x:c r="C24" s="59">
        <x:v>1</x:v>
      </x:c>
      <x:c r="D24" s="59">
        <x:v>2</x:v>
      </x:c>
      <x:c r="E24" s="56" t="s">
        <x:v>589</x:v>
      </x:c>
      <x:c r="F24" s="56"/>
      <x:c r="G24" s="56"/>
      <x:c r="H24" s="56"/>
      <x:c r="I24" s="56"/>
      <x:c r="J24" s="56"/>
      <x:c r="K24" s="56"/>
    </x:row>
    <x:row r="25" ht="26.100000381469727" customHeight="1">
      <x:c r="A25" s="56" t="s">
        <x:v>590</x:v>
      </x:c>
      <x:c r="B25" s="59">
        <x:v>3</x:v>
      </x:c>
      <x:c r="C25" s="59">
        <x:v>3</x:v>
      </x:c>
      <x:c r="D25" s="59">
        <x:v>3</x:v>
      </x:c>
      <x:c r="E25" s="56" t="s">
        <x:v>591</x:v>
      </x:c>
      <x:c r="F25" s="56"/>
      <x:c r="G25" s="56"/>
      <x:c r="H25" s="56"/>
      <x:c r="I25" s="56"/>
      <x:c r="J25" s="56"/>
      <x:c r="K25" s="56"/>
    </x:row>
    <x:row r="26" ht="26.100000381469727" customHeight="1">
      <x:c r="A26" s="56" t="s">
        <x:v>592</x:v>
      </x:c>
      <x:c r="B26" s="59">
        <x:v>0</x:v>
      </x:c>
      <x:c r="C26" s="59">
        <x:v>1</x:v>
      </x:c>
      <x:c r="D26" s="59">
        <x:v>2</x:v>
      </x:c>
      <x:c r="E26" s="56" t="s">
        <x:v>593</x:v>
      </x:c>
      <x:c r="F26" s="56"/>
      <x:c r="G26" s="56"/>
      <x:c r="H26" s="56"/>
      <x:c r="I26" s="56"/>
      <x:c r="J26" s="56"/>
      <x:c r="K26" s="56"/>
    </x:row>
    <x:row r="27" ht="26.100000381469727" customHeight="1">
      <x:c r="A27" s="56"/>
      <x:c r="B27" s="56"/>
      <x:c r="C27" s="56"/>
      <x:c r="D27" s="56"/>
      <x:c r="E27" s="56"/>
      <x:c r="F27" s="56"/>
      <x:c r="G27" s="56"/>
      <x:c r="H27" s="56"/>
      <x:c r="I27" s="56"/>
      <x:c r="J27" s="56"/>
      <x:c r="K27" s="56"/>
    </x:row>
    <x:row r="28" ht="33.95000076293945" customHeight="1">
      <x:c r="A28" s="58" t="s">
        <x:v>594</x:v>
      </x:c>
      <x:c r="B28" s="58" t="s">
        <x:v>574</x:v>
      </x:c>
      <x:c r="C28" s="58" t="s">
        <x:v>575</x:v>
      </x:c>
      <x:c r="D28" s="58" t="s">
        <x:v>576</x:v>
      </x:c>
      <x:c r="E28" s="58" t="s">
        <x:v>595</x:v>
      </x:c>
      <x:c r="F28" s="56"/>
      <x:c r="G28" s="56"/>
      <x:c r="H28" s="56"/>
      <x:c r="I28" s="56"/>
      <x:c r="J28" s="56"/>
      <x:c r="K28" s="56"/>
    </x:row>
    <x:row r="29" ht="26.100000381469727" customHeight="1">
      <x:c r="A29" s="56" t="s">
        <x:v>596</x:v>
      </x:c>
      <x:c r="B29" s="59">
        <x:v>1</x:v>
      </x:c>
      <x:c r="C29" s="59">
        <x:v>1</x:v>
      </x:c>
      <x:c r="D29" s="59">
        <x:v>1</x:v>
      </x:c>
      <x:c r="E29" s="56" t="s">
        <x:v>597</x:v>
      </x:c>
      <x:c r="F29" s="56"/>
      <x:c r="G29" s="56"/>
      <x:c r="H29" s="56"/>
      <x:c r="I29" s="56"/>
      <x:c r="J29" s="56"/>
      <x:c r="K29" s="56"/>
    </x:row>
    <x:row r="30" ht="26.100000381469727" customHeight="1">
      <x:c r="A30" s="56" t="s">
        <x:v>598</x:v>
      </x:c>
      <x:c r="B30" s="59">
        <x:v>1</x:v>
      </x:c>
      <x:c r="C30" s="59">
        <x:v>1</x:v>
      </x:c>
      <x:c r="D30" s="59">
        <x:v>1</x:v>
      </x:c>
      <x:c r="E30" s="56" t="s">
        <x:v>599</x:v>
      </x:c>
      <x:c r="F30" s="56"/>
      <x:c r="G30" s="56"/>
      <x:c r="H30" s="56"/>
      <x:c r="I30" s="56"/>
      <x:c r="J30" s="56"/>
      <x:c r="K30" s="56"/>
    </x:row>
    <x:row r="31" ht="26.100000381469727" customHeight="1">
      <x:c r="A31" s="56" t="s">
        <x:v>600</x:v>
      </x:c>
      <x:c r="B31" s="59">
        <x:v>0</x:v>
      </x:c>
      <x:c r="C31" s="59">
        <x:v>1</x:v>
      </x:c>
      <x:c r="D31" s="59">
        <x:v>1</x:v>
      </x:c>
      <x:c r="E31" s="56" t="s">
        <x:v>601</x:v>
      </x:c>
      <x:c r="F31" s="56"/>
      <x:c r="G31" s="56"/>
      <x:c r="H31" s="56"/>
      <x:c r="I31" s="56"/>
      <x:c r="J31" s="56"/>
      <x:c r="K31" s="56"/>
    </x:row>
    <x:row r="32" ht="26.100000381469727" customHeight="1">
      <x:c r="A32" s="56" t="s">
        <x:v>602</x:v>
      </x:c>
      <x:c r="B32" s="59">
        <x:v>0</x:v>
      </x:c>
      <x:c r="C32" s="59">
        <x:v>0</x:v>
      </x:c>
      <x:c r="D32" s="59">
        <x:v>1</x:v>
      </x:c>
      <x:c r="E32" s="56" t="s">
        <x:v>603</x:v>
      </x:c>
      <x:c r="F32" s="56"/>
      <x:c r="G32" s="56"/>
      <x:c r="H32" s="56"/>
      <x:c r="I32" s="56"/>
      <x:c r="J32" s="56"/>
      <x:c r="K32" s="56"/>
    </x:row>
    <x:row r="33" ht="26.100000381469727" customHeight="1">
      <x:c r="A33" s="56" t="s">
        <x:v>604</x:v>
      </x:c>
      <x:c r="B33" s="59">
        <x:v>0</x:v>
      </x:c>
      <x:c r="C33" s="59">
        <x:v>1</x:v>
      </x:c>
      <x:c r="D33" s="59">
        <x:v>1</x:v>
      </x:c>
      <x:c r="E33" s="56" t="s">
        <x:v>605</x:v>
      </x:c>
      <x:c r="F33" s="56"/>
      <x:c r="G33" s="56"/>
      <x:c r="H33" s="56"/>
      <x:c r="I33" s="56"/>
      <x:c r="J33" s="56"/>
      <x:c r="K33" s="56"/>
    </x:row>
    <x:row r="34" ht="26.100000381469727" customHeight="1">
      <x:c r="A34" s="56" t="s">
        <x:v>606</x:v>
      </x:c>
      <x:c r="B34" s="56" t="n">
        <x:f>SUM(B29:B33)</x:f>
        <x:v>2</x:v>
      </x:c>
      <x:c r="C34" s="56" t="n">
        <x:f>SUM(C29:C33)</x:f>
        <x:v>4</x:v>
      </x:c>
      <x:c r="D34" s="56" t="n">
        <x:f>SUM(D29:D33)</x:f>
        <x:v>5</x:v>
      </x:c>
      <x:c r="E34" s="56"/>
      <x:c r="F34" s="56"/>
      <x:c r="G34" s="56"/>
      <x:c r="H34" s="56"/>
      <x:c r="I34" s="56"/>
      <x:c r="J34" s="56"/>
      <x:c r="K34" s="56"/>
    </x:row>
    <x:row r="35" ht="26.100000381469727" customHeight="1">
      <x:c r="A35" s="56" t="s">
        <x:v>607</x:v>
      </x:c>
      <x:c r="B35" s="59">
        <x:v>1</x:v>
      </x:c>
      <x:c r="C35" s="59">
        <x:v>1</x:v>
      </x:c>
      <x:c r="D35" s="59">
        <x:v>1</x:v>
      </x:c>
      <x:c r="E35" s="56" t="s">
        <x:v>608</x:v>
      </x:c>
      <x:c r="F35" s="56"/>
      <x:c r="G35" s="56"/>
      <x:c r="H35" s="56"/>
      <x:c r="I35" s="56"/>
      <x:c r="J35" s="56"/>
      <x:c r="K35" s="56"/>
    </x:row>
    <x:row r="36" ht="26.100000381469727" customHeight="1">
      <x:c r="A36" s="56" t="s">
        <x:v>609</x:v>
      </x:c>
      <x:c r="B36" s="56" t="n">
        <x:f>SUMPRODUCT(B29:B33,每日任务投放!$G$7:$G$11)</x:f>
        <x:v>50</x:v>
      </x:c>
      <x:c r="C36" s="56" t="n">
        <x:f>SUMPRODUCT(C29:C33,每日任务投放!$G$7:$G$11)</x:f>
        <x:v>100</x:v>
      </x:c>
      <x:c r="D36" s="56" t="n">
        <x:f>SUMPRODUCT(D29:D33,每日任务投放!$G$7:$G$11)</x:f>
        <x:v>125</x:v>
      </x:c>
      <x:c r="E36" s="56"/>
      <x:c r="F36" s="56"/>
      <x:c r="G36" s="56"/>
      <x:c r="H36" s="56"/>
      <x:c r="I36" s="56"/>
      <x:c r="J36" s="56"/>
      <x:c r="K36" s="56"/>
    </x:row>
    <x:row r="37" ht="26.100000381469727" customHeight="1">
      <x:c r="A37" s="56"/>
      <x:c r="B37" s="56"/>
      <x:c r="C37" s="56"/>
      <x:c r="D37" s="56"/>
      <x:c r="E37" s="56"/>
      <x:c r="F37" s="56"/>
      <x:c r="G37" s="56"/>
      <x:c r="H37" s="56"/>
      <x:c r="I37" s="56"/>
      <x:c r="J37" s="56"/>
      <x:c r="K37" s="56"/>
    </x:row>
    <x:row r="38" ht="26.100000381469727" customHeight="1">
      <x:c r="A38" s="56" t="s">
        <x:v>610</x:v>
      </x:c>
      <x:c r="B38" s="56"/>
      <x:c r="C38" s="56"/>
      <x:c r="D38" s="56"/>
      <x:c r="E38" s="56"/>
      <x:c r="F38" s="56"/>
      <x:c r="G38" s="56"/>
      <x:c r="H38" s="56"/>
      <x:c r="I38" s="56"/>
      <x:c r="J38" s="56"/>
      <x:c r="K38" s="56"/>
    </x:row>
    <x:row r="39" ht="33.95000076293945" customHeight="1">
      <x:c r="A39" s="58" t="s">
        <x:v>413</x:v>
      </x:c>
      <x:c r="B39" s="58" t="s">
        <x:v>611</x:v>
      </x:c>
      <x:c r="C39" s="58" t="s">
        <x:v>612</x:v>
      </x:c>
      <x:c r="D39" s="58" t="s">
        <x:v>613</x:v>
      </x:c>
      <x:c r="E39" s="58" t="s">
        <x:v>614</x:v>
      </x:c>
      <x:c r="F39" s="56"/>
      <x:c r="G39" s="56"/>
      <x:c r="H39" s="56"/>
      <x:c r="I39" s="56"/>
      <x:c r="J39" s="56"/>
      <x:c r="K39" s="56"/>
    </x:row>
    <x:row r="40" ht="26.100000381469727" customHeight="1">
      <x:c r="A40" s="56" t="s">
        <x:v>558</x:v>
      </x:c>
      <x:c r="B40" s="56" t="n">
        <x:f>SUMIFS(关卡投放!$J$39:$J$93,关卡投放!$A$39:$A$93,"&gt;="&amp;$B$22,关卡投放!$A$39:$A$93,"&lt;"&amp;($B$22+$B$23))+$B$24*INDEX(关卡投放!$J$39:$J$93,$B$25)</x:f>
        <x:v>820</x:v>
      </x:c>
      <x:c r="C40" s="56" t="n">
        <x:f>$B$29*(IF(每日任务投放!$C$7=A40,每日任务投放!$D$7,0)+IF(每日任务投放!$E$7=A40,每日任务投放!$F$7,0))+$B$30*(IF(每日任务投放!$C$8=A40,每日任务投放!$D$8,0)+IF(每日任务投放!$E$8=A40,每日任务投放!$F$8,0))+$B$31*(IF(每日任务投放!$C$9=A40,每日任务投放!$D$9,0)+IF(每日任务投放!$E$9=A40,每日任务投放!$F$9,0))+$B$32*(IF(每日任务投放!$C$10=A40,每日任务投放!$D$10,0)+IF(每日任务投放!$E$10=A40,每日任务投放!$F$10,0))+$B$33*(IF(每日任务投放!$C$11=A40,每日任务投放!$D$11,0)+IF(每日任务投放!$E$11=A40,每日任务投放!$F$11,0))+SUMIFS(每日任务投放!$C$17:$C$20,每日任务投放!$B$17:$B$20,A40,每日任务投放!$A$17:$A$20,"&lt;="&amp;$B$36)</x:f>
        <x:v>320</x:v>
      </x:c>
      <x:c r="D40" s="56">
        <x:v>0</x:v>
      </x:c>
      <x:c r="E40" s="63" t="n">
        <x:f t="shared" ref="E40:E45" si="1">SUM(B40:D40)</x:f>
        <x:v>1140</x:v>
      </x:c>
      <x:c r="F40" s="56"/>
      <x:c r="G40" s="56"/>
      <x:c r="H40" s="56"/>
      <x:c r="I40" s="56"/>
      <x:c r="J40" s="56"/>
      <x:c r="K40" s="56"/>
    </x:row>
    <x:row r="41" ht="26.100000381469727" customHeight="1">
      <x:c r="A41" s="56" t="s">
        <x:v>303</x:v>
      </x:c>
      <x:c r="B41" s="56" t="n">
        <x:f>SUMIFS(关卡投放!$P$39:$P$93,关卡投放!$A$39:$A$93,"&gt;="&amp;$B$22,关卡投放!$A$39:$A$93,"&lt;"&amp;($B$22+$B$23))</x:f>
        <x:v>100</x:v>
      </x:c>
      <x:c r="C41" s="56" t="n">
        <x:f>$B$29*(IF(每日任务投放!$C$7=A41,每日任务投放!$D$7,0)+IF(每日任务投放!$E$7=A41,每日任务投放!$F$7,0))+$B$30*(IF(每日任务投放!$C$8=A41,每日任务投放!$D$8,0)+IF(每日任务投放!$E$8=A41,每日任务投放!$F$8,0))+$B$31*(IF(每日任务投放!$C$9=A41,每日任务投放!$D$9,0)+IF(每日任务投放!$E$9=A41,每日任务投放!$F$9,0))+$B$32*(IF(每日任务投放!$C$10=A41,每日任务投放!$D$10,0)+IF(每日任务投放!$E$10=A41,每日任务投放!$F$10,0))+$B$33*(IF(每日任务投放!$C$11=A41,每日任务投放!$D$11,0)+IF(每日任务投放!$E$11=A41,每日任务投放!$F$11,0))+SUMIFS(每日任务投放!$C$17:$C$20,每日任务投放!$B$17:$B$20,A41,每日任务投放!$A$17:$A$20,"&lt;="&amp;$B$36)</x:f>
        <x:v>30</x:v>
      </x:c>
      <x:c r="D41" s="67" t="n">
        <x:f>$B$35*商店投放!$C$30</x:f>
        <x:v>20</x:v>
      </x:c>
      <x:c r="E41" s="63">
        <x:f t="shared" si="1"/>
        <x:v>230</x:v>
      </x:c>
      <x:c r="F41" s="56"/>
      <x:c r="G41" s="56"/>
      <x:c r="H41" s="56"/>
      <x:c r="I41" s="56"/>
      <x:c r="J41" s="56"/>
      <x:c r="K41" s="56"/>
    </x:row>
    <x:row r="42" ht="26.100000381469727" customHeight="1">
      <x:c r="A42" s="56" t="s">
        <x:v>561</x:v>
      </x:c>
      <x:c r="B42" s="56" t="n">
        <x:f>SUMIFS(关卡投放!$O$39:$O$93,关卡投放!$A$39:$A$93,"&gt;="&amp;$B$22,关卡投放!$A$39:$A$93,"&lt;"&amp;($B$22+$B$23))</x:f>
        <x:v>10</x:v>
      </x:c>
      <x:c r="C42" s="56" t="n">
        <x:f>$B$29*(IF(每日任务投放!$C$7=A42,每日任务投放!$D$7,0)+IF(每日任务投放!$E$7=A42,每日任务投放!$F$7,0))+$B$30*(IF(每日任务投放!$C$8=A42,每日任务投放!$D$8,0)+IF(每日任务投放!$E$8=A42,每日任务投放!$F$8,0))+$B$31*(IF(每日任务投放!$C$9=A42,每日任务投放!$D$9,0)+IF(每日任务投放!$E$9=A42,每日任务投放!$F$9,0))+$B$32*(IF(每日任务投放!$C$10=A42,每日任务投放!$D$10,0)+IF(每日任务投放!$E$10=A42,每日任务投放!$F$10,0))+$B$33*(IF(每日任务投放!$C$11=A42,每日任务投放!$D$11,0)+IF(每日任务投放!$E$11=A42,每日任务投放!$F$11,0))+SUMIFS(每日任务投放!$C$17:$C$20,每日任务投放!$B$17:$B$20,A42,每日任务投放!$A$17:$A$20,"&lt;="&amp;$B$36)</x:f>
        <x:v>0</x:v>
      </x:c>
      <x:c r="D42" s="56">
        <x:v>0</x:v>
      </x:c>
      <x:c r="E42" s="63">
        <x:f t="shared" si="1"/>
        <x:v>10</x:v>
      </x:c>
      <x:c r="F42" s="56"/>
      <x:c r="G42" s="56"/>
      <x:c r="H42" s="56"/>
      <x:c r="I42" s="56"/>
      <x:c r="J42" s="56"/>
      <x:c r="K42" s="56"/>
    </x:row>
    <x:row r="43" ht="26.100000381469727" customHeight="1">
      <x:c r="A43" s="56" t="s">
        <x:v>562</x:v>
      </x:c>
      <x:c r="B43" s="56" t="n">
        <x:f>SUMIFS(关卡投放!$G$39:$G$93,关卡投放!$A$39:$A$93,"&gt;="&amp;$B$22,关卡投放!$A$39:$A$93,"&lt;"&amp;($B$22+$B$23))+$B$24*INDEX(关卡投放!$G$39:$G$93,$B$25)</x:f>
        <x:v>24</x:v>
      </x:c>
      <x:c r="C43" s="56" t="n">
        <x:f>$B$29*(IF(每日任务投放!$C$7=A43,每日任务投放!$D$7,0)+IF(每日任务投放!$E$7=A43,每日任务投放!$F$7,0))+$B$30*(IF(每日任务投放!$C$8=A43,每日任务投放!$D$8,0)+IF(每日任务投放!$E$8=A43,每日任务投放!$F$8,0))+$B$31*(IF(每日任务投放!$C$9=A43,每日任务投放!$D$9,0)+IF(每日任务投放!$E$9=A43,每日任务投放!$F$9,0))+$B$32*(IF(每日任务投放!$C$10=A43,每日任务投放!$D$10,0)+IF(每日任务投放!$E$10=A43,每日任务投放!$F$10,0))+$B$33*(IF(每日任务投放!$C$11=A43,每日任务投放!$D$11,0)+IF(每日任务投放!$E$11=A43,每日任务投放!$F$11,0))+SUMIFS(每日任务投放!$C$17:$C$20,每日任务投放!$B$17:$B$20,A43,每日任务投放!$A$17:$A$20,"&lt;="&amp;$B$36)</x:f>
        <x:v>40</x:v>
      </x:c>
      <x:c r="D43" s="56">
        <x:v>0</x:v>
      </x:c>
      <x:c r="E43" s="63">
        <x:f t="shared" si="1"/>
        <x:v>64</x:v>
      </x:c>
      <x:c r="F43" s="56"/>
      <x:c r="G43" s="56"/>
      <x:c r="H43" s="56"/>
      <x:c r="I43" s="56"/>
      <x:c r="J43" s="56"/>
      <x:c r="K43" s="56"/>
    </x:row>
    <x:row r="44" ht="26.100000381469727" customHeight="1">
      <x:c r="A44" s="56" t="s">
        <x:v>563</x:v>
      </x:c>
      <x:c r="B44" s="56" t="n">
        <x:f>SUMIFS(关卡投放!$H$39:$H$93,关卡投放!$A$39:$A$93,"&gt;="&amp;$B$22,关卡投放!$A$39:$A$93,"&lt;"&amp;($B$22+$B$23))+$B$24*INDEX(关卡投放!$H$39:$H$93,$B$25)</x:f>
        <x:v>24</x:v>
      </x:c>
      <x:c r="C44" s="56" t="n">
        <x:f>$B$29*(IF(每日任务投放!$C$7=A44,每日任务投放!$D$7,0)+IF(每日任务投放!$E$7=A44,每日任务投放!$F$7,0))+$B$30*(IF(每日任务投放!$C$8=A44,每日任务投放!$D$8,0)+IF(每日任务投放!$E$8=A44,每日任务投放!$F$8,0))+$B$31*(IF(每日任务投放!$C$9=A44,每日任务投放!$D$9,0)+IF(每日任务投放!$E$9=A44,每日任务投放!$F$9,0))+$B$32*(IF(每日任务投放!$C$10=A44,每日任务投放!$D$10,0)+IF(每日任务投放!$E$10=A44,每日任务投放!$F$10,0))+$B$33*(IF(每日任务投放!$C$11=A44,每日任务投放!$D$11,0)+IF(每日任务投放!$E$11=A44,每日任务投放!$F$11,0))+SUMIFS(每日任务投放!$C$17:$C$20,每日任务投放!$B$17:$B$20,A44,每日任务投放!$A$17:$A$20,"&lt;="&amp;$B$36)</x:f>
        <x:v>40</x:v>
      </x:c>
      <x:c r="D44" s="56">
        <x:v>0</x:v>
      </x:c>
      <x:c r="E44" s="63">
        <x:f t="shared" si="1"/>
        <x:v>64</x:v>
      </x:c>
      <x:c r="F44" s="56"/>
      <x:c r="G44" s="56"/>
      <x:c r="H44" s="56"/>
      <x:c r="I44" s="56"/>
      <x:c r="J44" s="56"/>
      <x:c r="K44" s="56"/>
    </x:row>
    <x:row r="45" ht="26.100000381469727" customHeight="1">
      <x:c r="A45" s="56" t="s">
        <x:v>565</x:v>
      </x:c>
      <x:c r="B45" s="56" t="n">
        <x:f>SUMIFS(关卡投放!$I$39:$I$93,关卡投放!$A$39:$A$93,"&gt;="&amp;$B$22,关卡投放!$A$39:$A$93,"&lt;"&amp;($B$22+$B$23))+$B$24*INDEX(关卡投放!$I$39:$I$93,$B$25)</x:f>
        <x:v>24</x:v>
      </x:c>
      <x:c r="C45" s="56" t="n">
        <x:f>$B$29*(IF(每日任务投放!$C$7=A45,每日任务投放!$D$7,0)+IF(每日任务投放!$E$7=A45,每日任务投放!$F$7,0))+$B$30*(IF(每日任务投放!$C$8=A45,每日任务投放!$D$8,0)+IF(每日任务投放!$E$8=A45,每日任务投放!$F$8,0))+$B$31*(IF(每日任务投放!$C$9=A45,每日任务投放!$D$9,0)+IF(每日任务投放!$E$9=A45,每日任务投放!$F$9,0))+$B$32*(IF(每日任务投放!$C$10=A45,每日任务投放!$D$10,0)+IF(每日任务投放!$E$10=A45,每日任务投放!$F$10,0))+$B$33*(IF(每日任务投放!$C$11=A45,每日任务投放!$D$11,0)+IF(每日任务投放!$E$11=A45,每日任务投放!$F$11,0))+SUMIFS(每日任务投放!$C$17:$C$20,每日任务投放!$B$17:$B$20,A45,每日任务投放!$A$17:$A$20,"&lt;="&amp;$B$36)</x:f>
        <x:v>0</x:v>
      </x:c>
      <x:c r="D45" s="56">
        <x:v>0</x:v>
      </x:c>
      <x:c r="E45" s="63">
        <x:f t="shared" si="1"/>
        <x:v>24</x:v>
      </x:c>
      <x:c r="F45" s="56"/>
      <x:c r="G45" s="56"/>
      <x:c r="H45" s="56"/>
      <x:c r="I45" s="56"/>
      <x:c r="J45" s="56"/>
      <x:c r="K45" s="56"/>
    </x:row>
    <x:row r="46" ht="26.100000381469727" customHeight="1">
      <x:c r="A46" s="56"/>
      <x:c r="B46" s="56"/>
      <x:c r="C46" s="56"/>
      <x:c r="D46" s="56"/>
      <x:c r="E46" s="56"/>
      <x:c r="F46" s="56"/>
      <x:c r="G46" s="56"/>
      <x:c r="H46" s="56"/>
      <x:c r="I46" s="56"/>
      <x:c r="J46" s="56"/>
      <x:c r="K46" s="56"/>
    </x:row>
    <x:row r="47" ht="26.100000381469727" customHeight="1">
      <x:c r="A47" s="56"/>
      <x:c r="B47" s="56"/>
      <x:c r="C47" s="56"/>
      <x:c r="D47" s="56"/>
      <x:c r="E47" s="56"/>
      <x:c r="F47" s="56"/>
      <x:c r="G47" s="56"/>
      <x:c r="H47" s="56"/>
      <x:c r="I47" s="56"/>
      <x:c r="J47" s="56"/>
      <x:c r="K47" s="56"/>
    </x:row>
    <x:row r="48" ht="26.100000381469727" customHeight="1">
      <x:c r="A48" s="56" t="s">
        <x:v>615</x:v>
      </x:c>
      <x:c r="B48" s="56"/>
      <x:c r="C48" s="56"/>
      <x:c r="D48" s="56"/>
      <x:c r="E48" s="56"/>
      <x:c r="F48" s="56"/>
      <x:c r="G48" s="56"/>
      <x:c r="H48" s="56"/>
      <x:c r="I48" s="56"/>
      <x:c r="J48" s="56"/>
      <x:c r="K48" s="56"/>
    </x:row>
    <x:row r="49" ht="33.95000076293945" customHeight="1">
      <x:c r="A49" s="58" t="s">
        <x:v>413</x:v>
      </x:c>
      <x:c r="B49" s="58" t="s">
        <x:v>611</x:v>
      </x:c>
      <x:c r="C49" s="58" t="s">
        <x:v>612</x:v>
      </x:c>
      <x:c r="D49" s="58" t="s">
        <x:v>613</x:v>
      </x:c>
      <x:c r="E49" s="58" t="s">
        <x:v>614</x:v>
      </x:c>
      <x:c r="F49" s="56"/>
      <x:c r="G49" s="56"/>
      <x:c r="H49" s="56"/>
      <x:c r="I49" s="56"/>
      <x:c r="J49" s="56"/>
      <x:c r="K49" s="56"/>
    </x:row>
    <x:row r="50" ht="26.100000381469727" customHeight="1">
      <x:c r="A50" s="56" t="s">
        <x:v>558</x:v>
      </x:c>
      <x:c r="B50" s="56" t="n">
        <x:f>SUMIFS(关卡投放!$J$39:$J$93,关卡投放!$A$39:$A$93,"&gt;="&amp;$C$22,关卡投放!$A$39:$A$93,"&lt;"&amp;($C$22+$C$23))+$C$24*INDEX(关卡投放!$J$39:$J$93,$C$25)</x:f>
        <x:v>4810</x:v>
      </x:c>
      <x:c r="C50" s="56" t="n">
        <x:f>$C$29*(IF(每日任务投放!$C$7=A50,每日任务投放!$D$7,0)+IF(每日任务投放!$E$7=A50,每日任务投放!$F$7,0))+$C$30*(IF(每日任务投放!$C$8=A50,每日任务投放!$D$8,0)+IF(每日任务投放!$E$8=A50,每日任务投放!$F$8,0))+$C$31*(IF(每日任务投放!$C$9=A50,每日任务投放!$D$9,0)+IF(每日任务投放!$E$9=A50,每日任务投放!$F$9,0))+$C$32*(IF(每日任务投放!$C$10=A50,每日任务投放!$D$10,0)+IF(每日任务投放!$E$10=A50,每日任务投放!$F$10,0))+$C$33*(IF(每日任务投放!$C$11=A50,每日任务投放!$D$11,0)+IF(每日任务投放!$E$11=A50,每日任务投放!$F$11,0))+SUMIFS(每日任务投放!$C$17:$C$20,每日任务投放!$B$17:$B$20,A50,每日任务投放!$A$17:$A$20,"&lt;="&amp;$C$36)</x:f>
        <x:v>640</x:v>
      </x:c>
      <x:c r="D50" s="56">
        <x:v>0</x:v>
      </x:c>
      <x:c r="E50" s="63" t="n">
        <x:f t="shared" ref="E50:E55" si="2">SUM(B50:D50)</x:f>
        <x:v>5450</x:v>
      </x:c>
      <x:c r="F50" s="56"/>
      <x:c r="G50" s="56"/>
      <x:c r="H50" s="56"/>
      <x:c r="I50" s="56"/>
      <x:c r="J50" s="56"/>
      <x:c r="K50" s="56"/>
    </x:row>
    <x:row r="51" ht="26.100000381469727" customHeight="1">
      <x:c r="A51" s="56" t="s">
        <x:v>303</x:v>
      </x:c>
      <x:c r="B51" s="56" t="n">
        <x:f>SUMIFS(关卡投放!$P$39:$P$93,关卡投放!$A$39:$A$93,"&gt;="&amp;$C$22,关卡投放!$A$39:$A$93,"&lt;"&amp;($C$22+$C$23))</x:f>
        <x:v>300</x:v>
      </x:c>
      <x:c r="C51" s="56" t="n">
        <x:f>$C$29*(IF(每日任务投放!$C$7=A51,每日任务投放!$D$7,0)+IF(每日任务投放!$E$7=A51,每日任务投放!$F$7,0))+$C$30*(IF(每日任务投放!$C$8=A51,每日任务投放!$D$8,0)+IF(每日任务投放!$E$8=A51,每日任务投放!$F$8,0))+$C$31*(IF(每日任务投放!$C$9=A51,每日任务投放!$D$9,0)+IF(每日任务投放!$E$9=A51,每日任务投放!$F$9,0))+$C$32*(IF(每日任务投放!$C$10=A51,每日任务投放!$D$10,0)+IF(每日任务投放!$E$10=A51,每日任务投放!$F$10,0))+$C$33*(IF(每日任务投放!$C$11=A51,每日任务投放!$D$11,0)+IF(每日任务投放!$E$11=A51,每日任务投放!$F$11,0))+SUMIFS(每日任务投放!$C$17:$C$20,每日任务投放!$B$17:$B$20,A51,每日任务投放!$A$17:$A$20,"&lt;="&amp;$C$36)</x:f>
        <x:v>60</x:v>
      </x:c>
      <x:c r="D51" s="67" t="n">
        <x:f>$C$35*商店投放!$C$30</x:f>
        <x:v>20</x:v>
      </x:c>
      <x:c r="E51" s="63">
        <x:f t="shared" si="2"/>
        <x:v>460</x:v>
      </x:c>
      <x:c r="F51" s="56"/>
      <x:c r="G51" s="56"/>
      <x:c r="H51" s="56"/>
      <x:c r="I51" s="56"/>
      <x:c r="J51" s="56"/>
      <x:c r="K51" s="56"/>
    </x:row>
    <x:row r="52" ht="26.100000381469727" customHeight="1">
      <x:c r="A52" s="56" t="s">
        <x:v>561</x:v>
      </x:c>
      <x:c r="B52" s="56" t="n">
        <x:f>SUMIFS(关卡投放!$O$39:$O$93,关卡投放!$A$39:$A$93,"&gt;="&amp;$C$22,关卡投放!$A$39:$A$93,"&lt;"&amp;($C$22+$C$23))</x:f>
        <x:v>10</x:v>
      </x:c>
      <x:c r="C52" s="56" t="n">
        <x:f>$C$29*(IF(每日任务投放!$C$7=A52,每日任务投放!$D$7,0)+IF(每日任务投放!$E$7=A52,每日任务投放!$F$7,0))+$C$30*(IF(每日任务投放!$C$8=A52,每日任务投放!$D$8,0)+IF(每日任务投放!$E$8=A52,每日任务投放!$F$8,0))+$C$31*(IF(每日任务投放!$C$9=A52,每日任务投放!$D$9,0)+IF(每日任务投放!$E$9=A52,每日任务投放!$F$9,0))+$C$32*(IF(每日任务投放!$C$10=A52,每日任务投放!$D$10,0)+IF(每日任务投放!$E$10=A52,每日任务投放!$F$10,0))+$C$33*(IF(每日任务投放!$C$11=A52,每日任务投放!$D$11,0)+IF(每日任务投放!$E$11=A52,每日任务投放!$F$11,0))+SUMIFS(每日任务投放!$C$17:$C$20,每日任务投放!$B$17:$B$20,A52,每日任务投放!$A$17:$A$20,"&lt;="&amp;$C$36)</x:f>
        <x:v>10</x:v>
      </x:c>
      <x:c r="D52" s="56">
        <x:v>0</x:v>
      </x:c>
      <x:c r="E52" s="63">
        <x:f t="shared" si="2"/>
        <x:v>20</x:v>
      </x:c>
      <x:c r="F52" s="56"/>
      <x:c r="G52" s="56"/>
      <x:c r="H52" s="56"/>
      <x:c r="I52" s="56"/>
      <x:c r="J52" s="56"/>
      <x:c r="K52" s="56"/>
    </x:row>
    <x:row r="53" ht="26.100000381469727" customHeight="1">
      <x:c r="A53" s="56" t="s">
        <x:v>562</x:v>
      </x:c>
      <x:c r="B53" s="56" t="n">
        <x:f>SUMIFS(关卡投放!$G$39:$G$93,关卡投放!$A$39:$A$93,"&gt;="&amp;$C$22,关卡投放!$A$39:$A$93,"&lt;"&amp;($C$22+$C$23))+$C$24*INDEX(关卡投放!$G$39:$G$93,$C$25)</x:f>
        <x:v>143</x:v>
      </x:c>
      <x:c r="C53" s="56" t="n">
        <x:f>$C$29*(IF(每日任务投放!$C$7=A53,每日任务投放!$D$7,0)+IF(每日任务投放!$E$7=A53,每日任务投放!$F$7,0))+$C$30*(IF(每日任务投放!$C$8=A53,每日任务投放!$D$8,0)+IF(每日任务投放!$E$8=A53,每日任务投放!$F$8,0))+$C$31*(IF(每日任务投放!$C$9=A53,每日任务投放!$D$9,0)+IF(每日任务投放!$E$9=A53,每日任务投放!$F$9,0))+$C$32*(IF(每日任务投放!$C$10=A53,每日任务投放!$D$10,0)+IF(每日任务投放!$E$10=A53,每日任务投放!$F$10,0))+$C$33*(IF(每日任务投放!$C$11=A53,每日任务投放!$D$11,0)+IF(每日任务投放!$E$11=A53,每日任务投放!$F$11,0))+SUMIFS(每日任务投放!$C$17:$C$20,每日任务投放!$B$17:$B$20,A53,每日任务投放!$A$17:$A$20,"&lt;="&amp;$C$36)</x:f>
        <x:v>40</x:v>
      </x:c>
      <x:c r="D53" s="56">
        <x:v>0</x:v>
      </x:c>
      <x:c r="E53" s="63">
        <x:f t="shared" si="2"/>
        <x:v>183</x:v>
      </x:c>
      <x:c r="F53" s="56"/>
      <x:c r="G53" s="56"/>
      <x:c r="H53" s="56"/>
      <x:c r="I53" s="56"/>
      <x:c r="J53" s="56"/>
      <x:c r="K53" s="56"/>
    </x:row>
    <x:row r="54" ht="26.100000381469727" customHeight="1">
      <x:c r="A54" s="56" t="s">
        <x:v>563</x:v>
      </x:c>
      <x:c r="B54" s="56" t="n">
        <x:f>SUMIFS(关卡投放!$H$39:$H$93,关卡投放!$A$39:$A$93,"&gt;="&amp;$C$22,关卡投放!$A$39:$A$93,"&lt;"&amp;($C$22+$C$23))+$C$24*INDEX(关卡投放!$H$39:$H$93,$C$25)</x:f>
        <x:v>143</x:v>
      </x:c>
      <x:c r="C54" s="56" t="n">
        <x:f>$C$29*(IF(每日任务投放!$C$7=A54,每日任务投放!$D$7,0)+IF(每日任务投放!$E$7=A54,每日任务投放!$F$7,0))+$C$30*(IF(每日任务投放!$C$8=A54,每日任务投放!$D$8,0)+IF(每日任务投放!$E$8=A54,每日任务投放!$F$8,0))+$C$31*(IF(每日任务投放!$C$9=A54,每日任务投放!$D$9,0)+IF(每日任务投放!$E$9=A54,每日任务投放!$F$9,0))+$C$32*(IF(每日任务投放!$C$10=A54,每日任务投放!$D$10,0)+IF(每日任务投放!$E$10=A54,每日任务投放!$F$10,0))+$C$33*(IF(每日任务投放!$C$11=A54,每日任务投放!$D$11,0)+IF(每日任务投放!$E$11=A54,每日任务投放!$F$11,0))+SUMIFS(每日任务投放!$C$17:$C$20,每日任务投放!$B$17:$B$20,A54,每日任务投放!$A$17:$A$20,"&lt;="&amp;$C$36)</x:f>
        <x:v>80</x:v>
      </x:c>
      <x:c r="D54" s="56">
        <x:v>0</x:v>
      </x:c>
      <x:c r="E54" s="63">
        <x:f t="shared" si="2"/>
        <x:v>223</x:v>
      </x:c>
      <x:c r="F54" s="56"/>
      <x:c r="G54" s="56"/>
      <x:c r="H54" s="56"/>
      <x:c r="I54" s="56"/>
      <x:c r="J54" s="56"/>
      <x:c r="K54" s="56"/>
    </x:row>
    <x:row r="55" ht="26.100000381469727" customHeight="1">
      <x:c r="A55" s="56" t="s">
        <x:v>565</x:v>
      </x:c>
      <x:c r="B55" s="56" t="n">
        <x:f>SUMIFS(关卡投放!$I$39:$I$93,关卡投放!$A$39:$A$93,"&gt;="&amp;$C$22,关卡投放!$A$39:$A$93,"&lt;"&amp;($C$22+$C$23))+$C$24*INDEX(关卡投放!$I$39:$I$93,$C$25)</x:f>
        <x:v>143</x:v>
      </x:c>
      <x:c r="C55" s="56" t="n">
        <x:f>$C$29*(IF(每日任务投放!$C$7=A55,每日任务投放!$D$7,0)+IF(每日任务投放!$E$7=A55,每日任务投放!$F$7,0))+$C$30*(IF(每日任务投放!$C$8=A55,每日任务投放!$D$8,0)+IF(每日任务投放!$E$8=A55,每日任务投放!$F$8,0))+$C$31*(IF(每日任务投放!$C$9=A55,每日任务投放!$D$9,0)+IF(每日任务投放!$E$9=A55,每日任务投放!$F$9,0))+$C$32*(IF(每日任务投放!$C$10=A55,每日任务投放!$D$10,0)+IF(每日任务投放!$E$10=A55,每日任务投放!$F$10,0))+$C$33*(IF(每日任务投放!$C$11=A55,每日任务投放!$D$11,0)+IF(每日任务投放!$E$11=A55,每日任务投放!$F$11,0))+SUMIFS(每日任务投放!$C$17:$C$20,每日任务投放!$B$17:$B$20,A55,每日任务投放!$A$17:$A$20,"&lt;="&amp;$C$36)</x:f>
        <x:v>80</x:v>
      </x:c>
      <x:c r="D55" s="56">
        <x:v>0</x:v>
      </x:c>
      <x:c r="E55" s="63">
        <x:f t="shared" si="2"/>
        <x:v>223</x:v>
      </x:c>
      <x:c r="F55" s="56"/>
      <x:c r="G55" s="56"/>
      <x:c r="H55" s="56"/>
      <x:c r="I55" s="56"/>
      <x:c r="J55" s="56"/>
      <x:c r="K55" s="56"/>
    </x:row>
    <x:row r="56" ht="26.100000381469727" customHeight="1">
      <x:c r="A56" s="56"/>
      <x:c r="B56" s="56"/>
      <x:c r="C56" s="56"/>
      <x:c r="D56" s="56"/>
      <x:c r="E56" s="56"/>
      <x:c r="F56" s="56"/>
      <x:c r="G56" s="56"/>
      <x:c r="H56" s="56"/>
      <x:c r="I56" s="56"/>
      <x:c r="J56" s="56"/>
      <x:c r="K56" s="56"/>
    </x:row>
    <x:row r="57" ht="26.100000381469727" customHeight="1">
      <x:c r="A57" s="56"/>
      <x:c r="B57" s="56"/>
      <x:c r="C57" s="56"/>
      <x:c r="D57" s="56"/>
      <x:c r="E57" s="56"/>
      <x:c r="F57" s="56"/>
      <x:c r="G57" s="56"/>
      <x:c r="H57" s="56"/>
      <x:c r="I57" s="56"/>
      <x:c r="J57" s="56"/>
      <x:c r="K57" s="56"/>
    </x:row>
    <x:row r="58" ht="26.100000381469727" customHeight="1">
      <x:c r="A58" s="56" t="s">
        <x:v>616</x:v>
      </x:c>
      <x:c r="B58" s="56"/>
      <x:c r="C58" s="56"/>
      <x:c r="D58" s="56"/>
      <x:c r="E58" s="56"/>
      <x:c r="F58" s="56"/>
      <x:c r="G58" s="56"/>
      <x:c r="H58" s="56"/>
      <x:c r="I58" s="56"/>
      <x:c r="J58" s="56"/>
      <x:c r="K58" s="56"/>
    </x:row>
    <x:row r="59" ht="33.95000076293945" customHeight="1">
      <x:c r="A59" s="58" t="s">
        <x:v>413</x:v>
      </x:c>
      <x:c r="B59" s="58" t="s">
        <x:v>611</x:v>
      </x:c>
      <x:c r="C59" s="58" t="s">
        <x:v>612</x:v>
      </x:c>
      <x:c r="D59" s="58" t="s">
        <x:v>613</x:v>
      </x:c>
      <x:c r="E59" s="58" t="s">
        <x:v>614</x:v>
      </x:c>
      <x:c r="F59" s="56"/>
      <x:c r="G59" s="56"/>
      <x:c r="H59" s="56"/>
      <x:c r="I59" s="56"/>
      <x:c r="J59" s="56"/>
      <x:c r="K59" s="56"/>
    </x:row>
    <x:row r="60" ht="26.100000381469727" customHeight="1">
      <x:c r="A60" s="56" t="s">
        <x:v>558</x:v>
      </x:c>
      <x:c r="B60" s="56" t="n">
        <x:f>SUMIFS(关卡投放!$J$39:$J$93,关卡投放!$A$39:$A$93,"&gt;="&amp;$D$22,关卡投放!$A$39:$A$93,"&lt;"&amp;($D$22+$D$23))+$D$24*INDEX(关卡投放!$J$39:$J$93,$D$25)</x:f>
        <x:v>11690</x:v>
      </x:c>
      <x:c r="C60" s="56" t="n">
        <x:f>$D$29*(IF(每日任务投放!$C$7=A60,每日任务投放!$D$7,0)+IF(每日任务投放!$E$7=A60,每日任务投放!$F$7,0))+$D$30*(IF(每日任务投放!$C$8=A60,每日任务投放!$D$8,0)+IF(每日任务投放!$E$8=A60,每日任务投放!$F$8,0))+$D$31*(IF(每日任务投放!$C$9=A60,每日任务投放!$D$9,0)+IF(每日任务投放!$E$9=A60,每日任务投放!$F$9,0))+$D$32*(IF(每日任务投放!$C$10=A60,每日任务投放!$D$10,0)+IF(每日任务投放!$E$10=A60,每日任务投放!$F$10,0))+$D$33*(IF(每日任务投放!$C$11=A60,每日任务投放!$D$11,0)+IF(每日任务投放!$E$11=A60,每日任务投放!$F$11,0))+SUMIFS(每日任务投放!$C$17:$C$20,每日任务投放!$B$17:$B$20,A60,每日任务投放!$A$17:$A$20,"&lt;="&amp;$D$36)</x:f>
        <x:v>800</x:v>
      </x:c>
      <x:c r="D60" s="56">
        <x:v>0</x:v>
      </x:c>
      <x:c r="E60" s="63" t="n">
        <x:f t="shared" ref="E60:E65" si="3">SUM(B60:D60)</x:f>
        <x:v>12490</x:v>
      </x:c>
      <x:c r="F60" s="56"/>
      <x:c r="G60" s="56"/>
      <x:c r="H60" s="56"/>
      <x:c r="I60" s="56"/>
      <x:c r="J60" s="56"/>
      <x:c r="K60" s="56"/>
    </x:row>
    <x:row r="61" ht="26.100000381469727" customHeight="1">
      <x:c r="A61" s="56" t="s">
        <x:v>303</x:v>
      </x:c>
      <x:c r="B61" s="56" t="n">
        <x:f>SUMIFS(关卡投放!$P$39:$P$93,关卡投放!$A$39:$A$93,"&gt;="&amp;$D$22,关卡投放!$A$39:$A$93,"&lt;"&amp;($D$22+$D$23))</x:f>
        <x:v>600</x:v>
      </x:c>
      <x:c r="C61" s="56" t="n">
        <x:f>$D$29*(IF(每日任务投放!$C$7=A61,每日任务投放!$D$7,0)+IF(每日任务投放!$E$7=A61,每日任务投放!$F$7,0))+$D$30*(IF(每日任务投放!$C$8=A61,每日任务投放!$D$8,0)+IF(每日任务投放!$E$8=A61,每日任务投放!$F$8,0))+$D$31*(IF(每日任务投放!$C$9=A61,每日任务投放!$D$9,0)+IF(每日任务投放!$E$9=A61,每日任务投放!$F$9,0))+$D$32*(IF(每日任务投放!$C$10=A61,每日任务投放!$D$10,0)+IF(每日任务投放!$E$10=A61,每日任务投放!$F$10,0))+$D$33*(IF(每日任务投放!$C$11=A61,每日任务投放!$D$11,0)+IF(每日任务投放!$E$11=A61,每日任务投放!$F$11,0))+SUMIFS(每日任务投放!$C$17:$C$20,每日任务投放!$B$17:$B$20,A61,每日任务投放!$A$17:$A$20,"&lt;="&amp;$D$36)</x:f>
        <x:v>60</x:v>
      </x:c>
      <x:c r="D61" s="67" t="n">
        <x:f>$D$35*商店投放!$C$30</x:f>
        <x:v>20</x:v>
      </x:c>
      <x:c r="E61" s="63">
        <x:f t="shared" si="3"/>
        <x:v>760</x:v>
      </x:c>
      <x:c r="F61" s="56"/>
      <x:c r="G61" s="56"/>
      <x:c r="H61" s="56"/>
      <x:c r="I61" s="56"/>
      <x:c r="J61" s="56"/>
      <x:c r="K61" s="56"/>
    </x:row>
    <x:row r="62" ht="26.100000381469727" customHeight="1">
      <x:c r="A62" s="56" t="s">
        <x:v>561</x:v>
      </x:c>
      <x:c r="B62" s="56" t="n">
        <x:f>SUMIFS(关卡投放!$O$39:$O$93,关卡投放!$A$39:$A$93,"&gt;="&amp;$D$22,关卡投放!$A$39:$A$93,"&lt;"&amp;($D$22+$D$23))</x:f>
        <x:v>20</x:v>
      </x:c>
      <x:c r="C62" s="56" t="n">
        <x:f>$D$29*(IF(每日任务投放!$C$7=A62,每日任务投放!$D$7,0)+IF(每日任务投放!$E$7=A62,每日任务投放!$F$7,0))+$D$30*(IF(每日任务投放!$C$8=A62,每日任务投放!$D$8,0)+IF(每日任务投放!$E$8=A62,每日任务投放!$F$8,0))+$D$31*(IF(每日任务投放!$C$9=A62,每日任务投放!$D$9,0)+IF(每日任务投放!$E$9=A62,每日任务投放!$F$9,0))+$D$32*(IF(每日任务投放!$C$10=A62,每日任务投放!$D$10,0)+IF(每日任务投放!$E$10=A62,每日任务投放!$F$10,0))+$D$33*(IF(每日任务投放!$C$11=A62,每日任务投放!$D$11,0)+IF(每日任务投放!$E$11=A62,每日任务投放!$F$11,0))+SUMIFS(每日任务投放!$C$17:$C$20,每日任务投放!$B$17:$B$20,A62,每日任务投放!$A$17:$A$20,"&lt;="&amp;$D$36)</x:f>
        <x:v>10</x:v>
      </x:c>
      <x:c r="D62" s="56">
        <x:v>0</x:v>
      </x:c>
      <x:c r="E62" s="63">
        <x:f t="shared" si="3"/>
        <x:v>30</x:v>
      </x:c>
      <x:c r="F62" s="56"/>
      <x:c r="G62" s="56"/>
      <x:c r="H62" s="56"/>
      <x:c r="I62" s="56"/>
      <x:c r="J62" s="56"/>
      <x:c r="K62" s="56"/>
    </x:row>
    <x:row r="63" ht="26.100000381469727" customHeight="1">
      <x:c r="A63" s="56" t="s">
        <x:v>562</x:v>
      </x:c>
      <x:c r="B63" s="56" t="n">
        <x:f>SUMIFS(关卡投放!$G$39:$G$93,关卡投放!$A$39:$A$93,"&gt;="&amp;$D$22,关卡投放!$A$39:$A$93,"&lt;"&amp;($D$22+$D$23))+$D$24*INDEX(关卡投放!$G$39:$G$93,$D$25)</x:f>
        <x:v>348</x:v>
      </x:c>
      <x:c r="C63" s="56" t="n">
        <x:f>$D$29*(IF(每日任务投放!$C$7=A63,每日任务投放!$D$7,0)+IF(每日任务投放!$E$7=A63,每日任务投放!$F$7,0))+$D$30*(IF(每日任务投放!$C$8=A63,每日任务投放!$D$8,0)+IF(每日任务投放!$E$8=A63,每日任务投放!$F$8,0))+$D$31*(IF(每日任务投放!$C$9=A63,每日任务投放!$D$9,0)+IF(每日任务投放!$E$9=A63,每日任务投放!$F$9,0))+$D$32*(IF(每日任务投放!$C$10=A63,每日任务投放!$D$10,0)+IF(每日任务投放!$E$10=A63,每日任务投放!$F$10,0))+$D$33*(IF(每日任务投放!$C$11=A63,每日任务投放!$D$11,0)+IF(每日任务投放!$E$11=A63,每日任务投放!$F$11,0))+SUMIFS(每日任务投放!$C$17:$C$20,每日任务投放!$B$17:$B$20,A63,每日任务投放!$A$17:$A$20,"&lt;="&amp;$D$36)</x:f>
        <x:v>80</x:v>
      </x:c>
      <x:c r="D63" s="56">
        <x:v>0</x:v>
      </x:c>
      <x:c r="E63" s="63">
        <x:f t="shared" si="3"/>
        <x:v>428</x:v>
      </x:c>
      <x:c r="F63" s="56"/>
      <x:c r="G63" s="56"/>
      <x:c r="H63" s="56"/>
      <x:c r="I63" s="56"/>
      <x:c r="J63" s="56"/>
      <x:c r="K63" s="56"/>
    </x:row>
    <x:row r="64" ht="26.100000381469727" customHeight="1">
      <x:c r="A64" s="56" t="s">
        <x:v>563</x:v>
      </x:c>
      <x:c r="B64" s="56" t="n">
        <x:f>SUMIFS(关卡投放!$H$39:$H$93,关卡投放!$A$39:$A$93,"&gt;="&amp;$D$22,关卡投放!$A$39:$A$93,"&lt;"&amp;($D$22+$D$23))+$D$24*INDEX(关卡投放!$H$39:$H$93,$D$25)</x:f>
        <x:v>348</x:v>
      </x:c>
      <x:c r="C64" s="56" t="n">
        <x:f>$D$29*(IF(每日任务投放!$C$7=A64,每日任务投放!$D$7,0)+IF(每日任务投放!$E$7=A64,每日任务投放!$F$7,0))+$D$30*(IF(每日任务投放!$C$8=A64,每日任务投放!$D$8,0)+IF(每日任务投放!$E$8=A64,每日任务投放!$F$8,0))+$D$31*(IF(每日任务投放!$C$9=A64,每日任务投放!$D$9,0)+IF(每日任务投放!$E$9=A64,每日任务投放!$F$9,0))+$D$32*(IF(每日任务投放!$C$10=A64,每日任务投放!$D$10,0)+IF(每日任务投放!$E$10=A64,每日任务投放!$F$10,0))+$D$33*(IF(每日任务投放!$C$11=A64,每日任务投放!$D$11,0)+IF(每日任务投放!$E$11=A64,每日任务投放!$F$11,0))+SUMIFS(每日任务投放!$C$17:$C$20,每日任务投放!$B$17:$B$20,A64,每日任务投放!$A$17:$A$20,"&lt;="&amp;$D$36)</x:f>
        <x:v>80</x:v>
      </x:c>
      <x:c r="D64" s="56">
        <x:v>0</x:v>
      </x:c>
      <x:c r="E64" s="63">
        <x:f t="shared" si="3"/>
        <x:v>428</x:v>
      </x:c>
      <x:c r="F64" s="56"/>
      <x:c r="G64" s="56"/>
      <x:c r="H64" s="56"/>
      <x:c r="I64" s="56"/>
      <x:c r="J64" s="56"/>
      <x:c r="K64" s="56"/>
    </x:row>
    <x:row r="65" ht="26.100000381469727" customHeight="1">
      <x:c r="A65" s="56" t="s">
        <x:v>565</x:v>
      </x:c>
      <x:c r="B65" s="56" t="n">
        <x:f>SUMIFS(关卡投放!$I$39:$I$93,关卡投放!$A$39:$A$93,"&gt;="&amp;$D$22,关卡投放!$A$39:$A$93,"&lt;"&amp;($D$22+$D$23))+$D$24*INDEX(关卡投放!$I$39:$I$93,$D$25)</x:f>
        <x:v>348</x:v>
      </x:c>
      <x:c r="C65" s="56" t="n">
        <x:f>$D$29*(IF(每日任务投放!$C$7=A65,每日任务投放!$D$7,0)+IF(每日任务投放!$E$7=A65,每日任务投放!$F$7,0))+$D$30*(IF(每日任务投放!$C$8=A65,每日任务投放!$D$8,0)+IF(每日任务投放!$E$8=A65,每日任务投放!$F$8,0))+$D$31*(IF(每日任务投放!$C$9=A65,每日任务投放!$D$9,0)+IF(每日任务投放!$E$9=A65,每日任务投放!$F$9,0))+$D$32*(IF(每日任务投放!$C$10=A65,每日任务投放!$D$10,0)+IF(每日任务投放!$E$10=A65,每日任务投放!$F$10,0))+$D$33*(IF(每日任务投放!$C$11=A65,每日任务投放!$D$11,0)+IF(每日任务投放!$E$11=A65,每日任务投放!$F$11,0))+SUMIFS(每日任务投放!$C$17:$C$20,每日任务投放!$B$17:$B$20,A65,每日任务投放!$A$17:$A$20,"&lt;="&amp;$D$36)</x:f>
        <x:v>80</x:v>
      </x:c>
      <x:c r="D65" s="56">
        <x:v>0</x:v>
      </x:c>
      <x:c r="E65" s="63">
        <x:f t="shared" si="3"/>
        <x:v>428</x:v>
      </x:c>
      <x:c r="F65" s="56"/>
      <x:c r="G65" s="56"/>
      <x:c r="H65" s="56"/>
      <x:c r="I65" s="56"/>
      <x:c r="J65" s="56"/>
      <x:c r="K65" s="56"/>
    </x:row>
    <x:row r="66" ht="26.100000381469727" customHeight="1">
      <x:c r="A66" s="56"/>
      <x:c r="B66" s="56"/>
      <x:c r="C66" s="56"/>
      <x:c r="D66" s="56"/>
      <x:c r="E66" s="56"/>
      <x:c r="F66" s="56"/>
      <x:c r="G66" s="56"/>
      <x:c r="H66" s="56"/>
      <x:c r="I66" s="56"/>
      <x:c r="J66" s="56"/>
      <x:c r="K66" s="56"/>
    </x:row>
    <x:row r="67" ht="26.100000381469727" customHeight="1">
      <x:c r="A67" s="56" t="s">
        <x:v>617</x:v>
      </x:c>
      <x:c r="B67" s="56"/>
      <x:c r="C67" s="56"/>
      <x:c r="D67" s="56"/>
      <x:c r="E67" s="56"/>
      <x:c r="F67" s="56"/>
      <x:c r="G67" s="56"/>
      <x:c r="H67" s="56"/>
      <x:c r="I67" s="56"/>
      <x:c r="J67" s="56"/>
      <x:c r="K67" s="56"/>
    </x:row>
    <x:row r="68" ht="26.100000381469727" customHeight="1">
      <x:c r="A68" s="56" t="s">
        <x:v>618</x:v>
      </x:c>
      <x:c r="B68" s="56"/>
      <x:c r="C68" s="56"/>
      <x:c r="D68" s="56"/>
      <x:c r="E68" s="56"/>
      <x:c r="F68" s="56"/>
      <x:c r="G68" s="56"/>
      <x:c r="H68" s="56"/>
      <x:c r="I68" s="56"/>
      <x:c r="J68" s="56"/>
      <x:c r="K68" s="56"/>
    </x:row>
    <x:row r="69" ht="26.100000381469727" customHeight="1">
      <x:c r="A69" s="56"/>
      <x:c r="B69" s="56"/>
      <x:c r="C69" s="56"/>
      <x:c r="D69" s="56"/>
      <x:c r="E69" s="56"/>
      <x:c r="F69" s="56"/>
      <x:c r="G69" s="56"/>
      <x:c r="H69" s="56"/>
      <x:c r="I69" s="56"/>
      <x:c r="J69" s="56"/>
      <x:c r="K69" s="56"/>
    </x:row>
    <x:row r="70" ht="26.100000381469727" customHeight="1">
      <x:c r="A70" s="56"/>
      <x:c r="B70" s="56"/>
      <x:c r="C70" s="56"/>
      <x:c r="D70" s="56"/>
      <x:c r="E70" s="56"/>
      <x:c r="F70" s="56"/>
      <x:c r="G70" s="56"/>
      <x:c r="H70" s="56"/>
      <x:c r="I70" s="56"/>
      <x:c r="J70" s="56"/>
      <x:c r="K70" s="56"/>
    </x:row>
    <x:row r="71" ht="26.100000381469727" customHeight="1">
      <x:c r="A71" s="56"/>
      <x:c r="B71" s="56"/>
      <x:c r="C71" s="56"/>
      <x:c r="D71" s="56"/>
      <x:c r="E71" s="56"/>
      <x:c r="F71" s="56"/>
      <x:c r="G71" s="56"/>
      <x:c r="H71" s="56"/>
      <x:c r="I71" s="56"/>
      <x:c r="J71" s="56"/>
      <x:c r="K71" s="56"/>
    </x:row>
    <x:row r="72" ht="26.100000381469727" customHeight="1">
      <x:c r="A72" s="56"/>
      <x:c r="B72" s="56"/>
      <x:c r="C72" s="56"/>
      <x:c r="D72" s="56"/>
      <x:c r="E72" s="56"/>
      <x:c r="F72" s="56"/>
      <x:c r="G72" s="56"/>
      <x:c r="H72" s="56"/>
      <x:c r="I72" s="56"/>
      <x:c r="J72" s="56"/>
      <x:c r="K72" s="56"/>
    </x:row>
    <x:row r="73" ht="26.100000381469727" customHeight="1">
      <x:c r="A73" s="56"/>
      <x:c r="B73" s="56"/>
      <x:c r="C73" s="56"/>
      <x:c r="D73" s="56"/>
      <x:c r="E73" s="56"/>
      <x:c r="F73" s="56"/>
      <x:c r="G73" s="56"/>
      <x:c r="H73" s="56"/>
      <x:c r="I73" s="56"/>
      <x:c r="J73" s="56"/>
      <x:c r="K73" s="56"/>
    </x:row>
    <x:row r="74" ht="26.100000381469727" customHeight="1">
      <x:c r="A74" s="56"/>
      <x:c r="B74" s="56"/>
      <x:c r="C74" s="56"/>
      <x:c r="D74" s="56"/>
      <x:c r="E74" s="56"/>
      <x:c r="F74" s="56"/>
      <x:c r="G74" s="56"/>
      <x:c r="H74" s="56"/>
      <x:c r="I74" s="56"/>
      <x:c r="J74" s="56"/>
      <x:c r="K74" s="56"/>
    </x:row>
    <x:row r="75" ht="26.100000381469727" customHeight="1">
      <x:c r="A75" s="56"/>
      <x:c r="B75" s="56"/>
      <x:c r="C75" s="56"/>
      <x:c r="D75" s="56"/>
      <x:c r="E75" s="56"/>
      <x:c r="F75" s="56"/>
      <x:c r="G75" s="56"/>
      <x:c r="H75" s="56"/>
      <x:c r="I75" s="56"/>
      <x:c r="J75" s="56"/>
      <x:c r="K75" s="56"/>
    </x:row>
    <x:row r="76" ht="26.100000381469727" customHeight="1">
      <x:c r="A76" s="56"/>
      <x:c r="B76" s="56"/>
      <x:c r="C76" s="56"/>
      <x:c r="D76" s="56"/>
      <x:c r="E76" s="56"/>
      <x:c r="F76" s="56"/>
      <x:c r="G76" s="56"/>
      <x:c r="H76" s="56"/>
      <x:c r="I76" s="56"/>
      <x:c r="J76" s="56"/>
      <x:c r="K76" s="56"/>
    </x:row>
    <x:row r="77" ht="26.100000381469727" customHeight="1">
      <x:c r="A77" s="56"/>
      <x:c r="B77" s="56"/>
      <x:c r="C77" s="56"/>
      <x:c r="D77" s="56"/>
      <x:c r="E77" s="56"/>
      <x:c r="F77" s="56"/>
      <x:c r="G77" s="56"/>
      <x:c r="H77" s="56"/>
      <x:c r="I77" s="56"/>
      <x:c r="J77" s="56"/>
      <x:c r="K77" s="56"/>
    </x:row>
    <x:row r="78" ht="26.100000381469727" customHeight="1">
      <x:c r="A78" s="56"/>
      <x:c r="B78" s="56"/>
      <x:c r="C78" s="56"/>
      <x:c r="D78" s="56"/>
      <x:c r="E78" s="56"/>
      <x:c r="F78" s="56"/>
      <x:c r="G78" s="56"/>
      <x:c r="H78" s="56"/>
      <x:c r="I78" s="56"/>
      <x:c r="J78" s="56"/>
      <x:c r="K78" s="56"/>
    </x:row>
    <x:row r="79" ht="26.100000381469727" customHeight="1">
      <x:c r="A79" s="56"/>
      <x:c r="B79" s="56"/>
      <x:c r="C79" s="56"/>
      <x:c r="D79" s="56"/>
      <x:c r="E79" s="56"/>
      <x:c r="F79" s="56"/>
      <x:c r="G79" s="56"/>
      <x:c r="H79" s="56"/>
      <x:c r="I79" s="56"/>
      <x:c r="J79" s="56"/>
      <x:c r="K79" s="56"/>
    </x:row>
    <x:row r="80" ht="26.100000381469727" customHeight="1">
      <x:c r="A80" s="56"/>
      <x:c r="B80" s="56"/>
      <x:c r="C80" s="56"/>
      <x:c r="D80" s="56"/>
      <x:c r="E80" s="56"/>
      <x:c r="F80" s="56"/>
      <x:c r="G80" s="56"/>
      <x:c r="H80" s="56"/>
      <x:c r="I80" s="56"/>
      <x:c r="J80" s="56"/>
      <x:c r="K80" s="56"/>
    </x:row>
    <x:row r="81" ht="26.100000381469727" customHeight="1">
      <x:c r="A81" s="56"/>
      <x:c r="B81" s="56"/>
      <x:c r="C81" s="56"/>
      <x:c r="D81" s="56"/>
      <x:c r="E81" s="56"/>
      <x:c r="F81" s="56"/>
      <x:c r="G81" s="56"/>
      <x:c r="H81" s="56"/>
      <x:c r="I81" s="56"/>
      <x:c r="J81" s="56"/>
      <x:c r="K81" s="56"/>
    </x:row>
    <x:row r="82" ht="26.100000381469727" customHeight="1">
      <x:c r="A82" s="56"/>
      <x:c r="B82" s="56"/>
      <x:c r="C82" s="56"/>
      <x:c r="D82" s="56"/>
      <x:c r="E82" s="56"/>
      <x:c r="F82" s="56"/>
      <x:c r="G82" s="56"/>
      <x:c r="H82" s="56"/>
      <x:c r="I82" s="56"/>
      <x:c r="J82" s="56"/>
      <x:c r="K82" s="56"/>
    </x:row>
    <x:row r="83" ht="26.100000381469727" customHeight="1">
      <x:c r="A83" s="56"/>
      <x:c r="B83" s="56"/>
      <x:c r="C83" s="56"/>
      <x:c r="D83" s="56"/>
      <x:c r="E83" s="56"/>
      <x:c r="F83" s="56"/>
      <x:c r="G83" s="56"/>
      <x:c r="H83" s="56"/>
      <x:c r="I83" s="56"/>
      <x:c r="J83" s="56"/>
      <x:c r="K83" s="56"/>
    </x:row>
    <x:row r="84" ht="26.100000381469727" customHeight="1">
      <x:c r="A84" s="56"/>
      <x:c r="B84" s="56"/>
      <x:c r="C84" s="56"/>
      <x:c r="D84" s="56"/>
      <x:c r="E84" s="56"/>
      <x:c r="F84" s="56"/>
      <x:c r="G84" s="56"/>
      <x:c r="H84" s="56"/>
      <x:c r="I84" s="56"/>
      <x:c r="J84" s="56"/>
      <x:c r="K84" s="56"/>
    </x:row>
    <x:row r="85" ht="26.100000381469727" customHeight="1">
      <x:c r="A85" s="56"/>
      <x:c r="B85" s="56"/>
      <x:c r="C85" s="56"/>
      <x:c r="D85" s="56"/>
      <x:c r="E85" s="56"/>
      <x:c r="F85" s="56"/>
      <x:c r="G85" s="56"/>
      <x:c r="H85" s="56"/>
      <x:c r="I85" s="56"/>
      <x:c r="J85" s="56"/>
      <x:c r="K85" s="56"/>
    </x:row>
    <x:row r="86" ht="26.100000381469727" customHeight="1">
      <x:c r="A86" s="56"/>
      <x:c r="B86" s="56"/>
      <x:c r="C86" s="56"/>
      <x:c r="D86" s="56"/>
      <x:c r="E86" s="56"/>
      <x:c r="F86" s="56"/>
      <x:c r="G86" s="56"/>
      <x:c r="H86" s="56"/>
      <x:c r="I86" s="56"/>
      <x:c r="J86" s="56"/>
      <x:c r="K86" s="56"/>
    </x:row>
    <x:row r="87" ht="26.100000381469727" customHeight="1">
      <x:c r="A87" s="56"/>
      <x:c r="B87" s="56"/>
      <x:c r="C87" s="56"/>
      <x:c r="D87" s="56"/>
      <x:c r="E87" s="56"/>
      <x:c r="F87" s="56"/>
      <x:c r="G87" s="56"/>
      <x:c r="H87" s="56"/>
      <x:c r="I87" s="56"/>
      <x:c r="J87" s="56"/>
      <x:c r="K87" s="56"/>
    </x:row>
    <x:row r="88" ht="26.100000381469727" customHeight="1">
      <x:c r="A88" s="56"/>
      <x:c r="B88" s="56"/>
      <x:c r="C88" s="56"/>
      <x:c r="D88" s="56"/>
      <x:c r="E88" s="56"/>
      <x:c r="F88" s="56"/>
      <x:c r="G88" s="56"/>
      <x:c r="H88" s="56"/>
      <x:c r="I88" s="56"/>
      <x:c r="J88" s="56"/>
      <x:c r="K88" s="56"/>
    </x:row>
    <x:row r="89" ht="26.100000381469727" customHeight="1">
      <x:c r="A89" s="56"/>
      <x:c r="B89" s="56"/>
      <x:c r="C89" s="56"/>
      <x:c r="D89" s="56"/>
      <x:c r="E89" s="56"/>
      <x:c r="F89" s="56"/>
      <x:c r="G89" s="56"/>
      <x:c r="H89" s="56"/>
      <x:c r="I89" s="56"/>
      <x:c r="J89" s="56"/>
      <x:c r="K89" s="56"/>
    </x:row>
    <x:row r="90" ht="26.100000381469727" customHeight="1">
      <x:c r="A90" s="56"/>
      <x:c r="B90" s="56"/>
      <x:c r="C90" s="56"/>
      <x:c r="D90" s="56"/>
      <x:c r="E90" s="56"/>
      <x:c r="F90" s="56"/>
      <x:c r="G90" s="56"/>
      <x:c r="H90" s="56"/>
      <x:c r="I90" s="56"/>
      <x:c r="J90" s="56"/>
      <x:c r="K90" s="56"/>
    </x:row>
    <x:row r="91" ht="26.100000381469727" customHeight="1">
      <x:c r="A91" s="56"/>
      <x:c r="B91" s="56"/>
      <x:c r="C91" s="56"/>
      <x:c r="D91" s="56"/>
      <x:c r="E91" s="56"/>
      <x:c r="F91" s="56"/>
      <x:c r="G91" s="56"/>
      <x:c r="H91" s="56"/>
      <x:c r="I91" s="56"/>
      <x:c r="J91" s="56"/>
      <x:c r="K91" s="56"/>
    </x:row>
    <x:row r="92" ht="26.100000381469727" customHeight="1">
      <x:c r="A92" s="56"/>
      <x:c r="B92" s="56"/>
      <x:c r="C92" s="56"/>
      <x:c r="D92" s="56"/>
      <x:c r="E92" s="56"/>
      <x:c r="F92" s="56"/>
      <x:c r="G92" s="56"/>
      <x:c r="H92" s="56"/>
      <x:c r="I92" s="56"/>
      <x:c r="J92" s="56"/>
      <x:c r="K92" s="56"/>
    </x:row>
    <x:row r="93" ht="26.100000381469727" customHeight="1">
      <x:c r="A93" s="56"/>
      <x:c r="B93" s="56"/>
      <x:c r="C93" s="56"/>
      <x:c r="D93" s="56"/>
      <x:c r="E93" s="56"/>
      <x:c r="F93" s="56"/>
      <x:c r="G93" s="56"/>
      <x:c r="H93" s="56"/>
      <x:c r="I93" s="56"/>
      <x:c r="J93" s="56"/>
      <x:c r="K93" s="56"/>
    </x:row>
    <x:row r="94" ht="26.100000381469727" customHeight="1">
      <x:c r="A94" s="56"/>
      <x:c r="B94" s="56"/>
      <x:c r="C94" s="56"/>
      <x:c r="D94" s="56"/>
      <x:c r="E94" s="56"/>
      <x:c r="F94" s="56"/>
      <x:c r="G94" s="56"/>
      <x:c r="H94" s="56"/>
      <x:c r="I94" s="56"/>
      <x:c r="J94" s="56"/>
      <x:c r="K94" s="56"/>
    </x:row>
    <x:row r="95" ht="26.100000381469727" customHeight="1">
      <x:c r="A95" s="56"/>
      <x:c r="B95" s="56"/>
      <x:c r="C95" s="56"/>
      <x:c r="D95" s="56"/>
      <x:c r="E95" s="56"/>
      <x:c r="F95" s="56"/>
      <x:c r="G95" s="56"/>
      <x:c r="H95" s="56"/>
      <x:c r="I95" s="56"/>
      <x:c r="J95" s="56"/>
      <x:c r="K95" s="56"/>
    </x:row>
  </x:sheetData>
  <x:dataValidations count="1">
    <x:dataValidation type="whole" sqref="B29:D33 B35:D35">
      <x:formula1>0</x:formula1>
      <x:formula2>1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customWidth="1"/>
    <x:col min="2" max="2" width="28" customWidth="1"/>
    <x:col min="3" max="3" width="20" customWidth="1"/>
    <x:col min="4" max="4" width="17" customWidth="1"/>
    <x:col min="5" max="5" width="20" customWidth="1"/>
    <x:col min="6" max="11" width="17" customWidth="1"/>
  </x:cols>
  <x:sheetData>
    <x:row r="1" ht="26.100000381469727" customHeight="1">
      <x:c r="A1" s="56"/>
      <x:c r="B1" s="56"/>
      <x:c r="C1" s="56"/>
      <x:c r="D1" s="56"/>
      <x:c r="E1" s="56"/>
      <x:c r="F1" s="56"/>
      <x:c r="G1" s="56"/>
      <x:c r="H1" s="56"/>
      <x:c r="I1" s="56"/>
      <x:c r="J1" s="56"/>
      <x:c r="K1" s="56"/>
    </x:row>
    <x:row r="2" ht="26.100000381469727" customHeight="1">
      <x:c r="A2" s="57" t="s">
        <x:v>619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</x:row>
    <x:row r="3" ht="26.100000381469727" customHeight="1">
      <x:c r="A3" s="56"/>
      <x:c r="B3" s="56"/>
      <x:c r="C3" s="56"/>
      <x:c r="D3" s="56"/>
      <x:c r="E3" s="56"/>
      <x:c r="F3" s="56"/>
      <x:c r="G3" s="56"/>
      <x:c r="H3" s="56"/>
      <x:c r="I3" s="56"/>
      <x:c r="J3" s="56"/>
      <x:c r="K3" s="56"/>
    </x:row>
    <x:row r="4" ht="26.100000381469727" customHeight="1">
      <x:c r="A4" s="56" t="s">
        <x:v>620</x:v>
      </x:c>
      <x:c r="B4" s="56"/>
      <x:c r="C4" s="56"/>
      <x:c r="D4" s="56"/>
      <x:c r="E4" s="56"/>
      <x:c r="F4" s="56"/>
      <x:c r="G4" s="56"/>
      <x:c r="H4" s="56"/>
      <x:c r="I4" s="56"/>
      <x:c r="J4" s="56"/>
      <x:c r="K4" s="56"/>
    </x:row>
    <x:row r="5" ht="26.100000381469727" customHeight="1">
      <x:c r="A5" s="56"/>
      <x:c r="B5" s="56"/>
      <x:c r="C5" s="56"/>
      <x:c r="D5" s="56"/>
      <x:c r="E5" s="56"/>
      <x:c r="F5" s="56"/>
      <x:c r="G5" s="56"/>
      <x:c r="H5" s="56"/>
      <x:c r="I5" s="56"/>
      <x:c r="J5" s="56"/>
      <x:c r="K5" s="56"/>
    </x:row>
    <x:row r="6" ht="33.95000076293945" customHeight="1">
      <x:c r="A6" s="58" t="s">
        <x:v>621</x:v>
      </x:c>
      <x:c r="B6" s="58" t="s">
        <x:v>622</x:v>
      </x:c>
      <x:c r="C6" s="58" t="s">
        <x:v>623</x:v>
      </x:c>
      <x:c r="D6" s="58" t="s">
        <x:v>624</x:v>
      </x:c>
      <x:c r="E6" s="58" t="s">
        <x:v>625</x:v>
      </x:c>
      <x:c r="F6" s="58" t="s">
        <x:v>626</x:v>
      </x:c>
      <x:c r="G6" s="58" t="s">
        <x:v>627</x:v>
      </x:c>
      <x:c r="H6" s="56"/>
      <x:c r="I6" s="56"/>
      <x:c r="J6" s="56"/>
      <x:c r="K6" s="56"/>
    </x:row>
    <x:row r="7" ht="26.100000381469727" customHeight="1">
      <x:c r="A7" s="56">
        <x:v>10001</x:v>
      </x:c>
      <x:c r="B7" s="56" t="s">
        <x:v>596</x:v>
      </x:c>
      <x:c r="C7" s="59" t="s">
        <x:v>558</x:v>
      </x:c>
      <x:c r="D7" s="59">
        <x:v>160</x:v>
      </x:c>
      <x:c r="E7" s="59" t="s">
        <x:v>562</x:v>
      </x:c>
      <x:c r="F7" s="59">
        <x:v>40</x:v>
      </x:c>
      <x:c r="G7" s="59">
        <x:v>25</x:v>
      </x:c>
      <x:c r="H7" s="56"/>
      <x:c r="I7" s="56"/>
      <x:c r="J7" s="56"/>
      <x:c r="K7" s="56"/>
    </x:row>
    <x:row r="8" ht="26.100000381469727" customHeight="1">
      <x:c r="A8" s="56">
        <x:v>10002</x:v>
      </x:c>
      <x:c r="B8" s="56" t="s">
        <x:v>598</x:v>
      </x:c>
      <x:c r="C8" s="59" t="s">
        <x:v>558</x:v>
      </x:c>
      <x:c r="D8" s="59">
        <x:v>160</x:v>
      </x:c>
      <x:c r="E8" s="59" t="s">
        <x:v>563</x:v>
      </x:c>
      <x:c r="F8" s="59">
        <x:v>40</x:v>
      </x:c>
      <x:c r="G8" s="59">
        <x:v>25</x:v>
      </x:c>
      <x:c r="H8" s="56"/>
      <x:c r="I8" s="56"/>
      <x:c r="J8" s="56"/>
      <x:c r="K8" s="56"/>
    </x:row>
    <x:row r="9" ht="26.100000381469727" customHeight="1">
      <x:c r="A9" s="56">
        <x:v>10003</x:v>
      </x:c>
      <x:c r="B9" s="56" t="s">
        <x:v>600</x:v>
      </x:c>
      <x:c r="C9" s="59" t="s">
        <x:v>558</x:v>
      </x:c>
      <x:c r="D9" s="59">
        <x:v>160</x:v>
      </x:c>
      <x:c r="E9" s="59" t="s">
        <x:v>565</x:v>
      </x:c>
      <x:c r="F9" s="59">
        <x:v>80</x:v>
      </x:c>
      <x:c r="G9" s="59">
        <x:v>25</x:v>
      </x:c>
      <x:c r="H9" s="56"/>
      <x:c r="I9" s="56"/>
      <x:c r="J9" s="56"/>
      <x:c r="K9" s="56"/>
    </x:row>
    <x:row r="10" ht="26.100000381469727" customHeight="1">
      <x:c r="A10" s="56">
        <x:v>10004</x:v>
      </x:c>
      <x:c r="B10" s="56" t="s">
        <x:v>602</x:v>
      </x:c>
      <x:c r="C10" s="59" t="s">
        <x:v>558</x:v>
      </x:c>
      <x:c r="D10" s="59">
        <x:v>160</x:v>
      </x:c>
      <x:c r="E10" s="59" t="s">
        <x:v>562</x:v>
      </x:c>
      <x:c r="F10" s="59">
        <x:v>40</x:v>
      </x:c>
      <x:c r="G10" s="59">
        <x:v>25</x:v>
      </x:c>
      <x:c r="H10" s="56"/>
      <x:c r="I10" s="56"/>
      <x:c r="J10" s="56"/>
      <x:c r="K10" s="56"/>
    </x:row>
    <x:row r="11" ht="26.100000381469727" customHeight="1">
      <x:c r="A11" s="56">
        <x:v>10005</x:v>
      </x:c>
      <x:c r="B11" s="56" t="s">
        <x:v>604</x:v>
      </x:c>
      <x:c r="C11" s="59" t="s">
        <x:v>558</x:v>
      </x:c>
      <x:c r="D11" s="59">
        <x:v>160</x:v>
      </x:c>
      <x:c r="E11" s="59" t="s">
        <x:v>563</x:v>
      </x:c>
      <x:c r="F11" s="59">
        <x:v>40</x:v>
      </x:c>
      <x:c r="G11" s="59">
        <x:v>25</x:v>
      </x:c>
      <x:c r="H11" s="56"/>
      <x:c r="I11" s="56"/>
      <x:c r="J11" s="56"/>
      <x:c r="K11" s="56"/>
    </x:row>
    <x:row r="12" ht="26.100000381469727" customHeight="1">
      <x:c r="A12" s="56"/>
      <x:c r="B12" s="56"/>
      <x:c r="C12" s="56"/>
      <x:c r="D12" s="56"/>
      <x:c r="E12" s="56"/>
      <x:c r="F12" s="56"/>
      <x:c r="G12" s="56"/>
      <x:c r="H12" s="56"/>
      <x:c r="I12" s="56"/>
      <x:c r="J12" s="56"/>
      <x:c r="K12" s="56"/>
    </x:row>
    <x:row r="13" ht="26.100000381469727" customHeight="1">
      <x:c r="A13" s="56"/>
      <x:c r="B13" s="56"/>
      <x:c r="C13" s="56"/>
      <x:c r="D13" s="56"/>
      <x:c r="E13" s="56"/>
      <x:c r="F13" s="56"/>
      <x:c r="G13" s="56"/>
      <x:c r="H13" s="56"/>
      <x:c r="I13" s="56"/>
      <x:c r="J13" s="56"/>
      <x:c r="K13" s="56"/>
    </x:row>
    <x:row r="14" ht="26.100000381469727" customHeight="1">
      <x:c r="A14" s="56" t="s">
        <x:v>628</x:v>
      </x:c>
      <x:c r="B14" s="56"/>
      <x:c r="C14" s="56"/>
      <x:c r="D14" s="56"/>
      <x:c r="E14" s="56"/>
      <x:c r="F14" s="56"/>
      <x:c r="G14" s="56"/>
      <x:c r="H14" s="56"/>
      <x:c r="I14" s="56"/>
      <x:c r="J14" s="56"/>
      <x:c r="K14" s="56"/>
    </x:row>
    <x:row r="15" ht="26.100000381469727" customHeight="1">
      <x:c r="A15" s="56"/>
      <x:c r="B15" s="56"/>
      <x:c r="C15" s="56"/>
      <x:c r="D15" s="56"/>
      <x:c r="E15" s="56"/>
      <x:c r="F15" s="56"/>
      <x:c r="G15" s="56"/>
      <x:c r="H15" s="56"/>
      <x:c r="I15" s="56"/>
      <x:c r="J15" s="56"/>
      <x:c r="K15" s="56"/>
    </x:row>
    <x:row r="16" ht="33.95000076293945" customHeight="1">
      <x:c r="A16" s="58" t="s">
        <x:v>629</x:v>
      </x:c>
      <x:c r="B16" s="58" t="s">
        <x:v>630</x:v>
      </x:c>
      <x:c r="C16" s="58" t="s">
        <x:v>554</x:v>
      </x:c>
      <x:c r="D16" s="56"/>
      <x:c r="E16" s="56"/>
      <x:c r="F16" s="56"/>
      <x:c r="G16" s="56"/>
      <x:c r="H16" s="56"/>
      <x:c r="I16" s="56"/>
      <x:c r="J16" s="56"/>
      <x:c r="K16" s="56"/>
    </x:row>
    <x:row r="17" ht="26.100000381469727" customHeight="1">
      <x:c r="A17" s="59">
        <x:v>25</x:v>
      </x:c>
      <x:c r="B17" s="59" t="s">
        <x:v>303</x:v>
      </x:c>
      <x:c r="C17" s="59">
        <x:v>10</x:v>
      </x:c>
      <x:c r="D17" s="56"/>
      <x:c r="E17" s="56"/>
      <x:c r="F17" s="56"/>
      <x:c r="G17" s="56"/>
      <x:c r="H17" s="56"/>
      <x:c r="I17" s="56"/>
      <x:c r="J17" s="56"/>
      <x:c r="K17" s="56"/>
    </x:row>
    <x:row r="18" ht="26.100000381469727" customHeight="1">
      <x:c r="A18" s="59">
        <x:v>50</x:v>
      </x:c>
      <x:c r="B18" s="59" t="s">
        <x:v>303</x:v>
      </x:c>
      <x:c r="C18" s="59">
        <x:v>20</x:v>
      </x:c>
      <x:c r="D18" s="56"/>
      <x:c r="E18" s="56"/>
      <x:c r="F18" s="56"/>
      <x:c r="G18" s="56"/>
      <x:c r="H18" s="56"/>
      <x:c r="I18" s="56"/>
      <x:c r="J18" s="56"/>
      <x:c r="K18" s="56"/>
    </x:row>
    <x:row r="19" ht="26.100000381469727" customHeight="1">
      <x:c r="A19" s="59">
        <x:v>75</x:v>
      </x:c>
      <x:c r="B19" s="59" t="s">
        <x:v>303</x:v>
      </x:c>
      <x:c r="C19" s="59">
        <x:v>30</x:v>
      </x:c>
      <x:c r="D19" s="56"/>
      <x:c r="E19" s="56"/>
      <x:c r="F19" s="56"/>
      <x:c r="G19" s="56"/>
      <x:c r="H19" s="56"/>
      <x:c r="I19" s="56"/>
      <x:c r="J19" s="56"/>
      <x:c r="K19" s="56"/>
    </x:row>
    <x:row r="20" ht="26.100000381469727" customHeight="1">
      <x:c r="A20" s="59">
        <x:v>100</x:v>
      </x:c>
      <x:c r="B20" s="59" t="s">
        <x:v>561</x:v>
      </x:c>
      <x:c r="C20" s="59">
        <x:v>10</x:v>
      </x:c>
      <x:c r="D20" s="56"/>
      <x:c r="E20" s="56"/>
      <x:c r="F20" s="56"/>
      <x:c r="G20" s="56"/>
      <x:c r="H20" s="56"/>
      <x:c r="I20" s="56"/>
      <x:c r="J20" s="56"/>
      <x:c r="K20" s="56"/>
    </x:row>
    <x:row r="21" ht="26.100000381469727" customHeight="1">
      <x:c r="A21" s="56"/>
      <x:c r="B21" s="56"/>
      <x:c r="C21" s="56"/>
      <x:c r="D21" s="56"/>
      <x:c r="E21" s="56"/>
      <x:c r="F21" s="56"/>
      <x:c r="G21" s="56"/>
      <x:c r="H21" s="56"/>
      <x:c r="I21" s="56"/>
      <x:c r="J21" s="56"/>
      <x:c r="K21" s="56"/>
    </x:row>
    <x:row r="22" ht="26.100000381469727" customHeight="1">
      <x:c r="A22" s="56"/>
      <x:c r="B22" s="56"/>
      <x:c r="C22" s="56"/>
      <x:c r="D22" s="56"/>
      <x:c r="E22" s="56"/>
      <x:c r="F22" s="56"/>
      <x:c r="G22" s="56"/>
      <x:c r="H22" s="56"/>
      <x:c r="I22" s="56"/>
      <x:c r="J22" s="56"/>
      <x:c r="K22" s="56"/>
    </x:row>
    <x:row r="23" ht="26.100000381469727" customHeight="1">
      <x:c r="A23" s="56" t="s">
        <x:v>631</x:v>
      </x:c>
      <x:c r="B23" s="56"/>
      <x:c r="C23" s="56"/>
      <x:c r="D23" s="56"/>
      <x:c r="E23" s="56"/>
      <x:c r="F23" s="56"/>
      <x:c r="G23" s="56"/>
      <x:c r="H23" s="56"/>
      <x:c r="I23" s="56"/>
      <x:c r="J23" s="56"/>
      <x:c r="K23" s="56"/>
    </x:row>
    <x:row r="24" ht="26.100000381469727" customHeight="1">
      <x:c r="A24" s="56" t="s">
        <x:v>632</x:v>
      </x:c>
      <x:c r="B24" s="56"/>
      <x:c r="C24" s="56"/>
      <x:c r="D24" s="56"/>
      <x:c r="E24" s="56"/>
      <x:c r="F24" s="56"/>
      <x:c r="G24" s="56"/>
      <x:c r="H24" s="56"/>
      <x:c r="I24" s="56"/>
      <x:c r="J24" s="56"/>
      <x:c r="K24" s="56"/>
    </x:row>
    <x:row r="25" ht="26.100000381469727" customHeight="1">
      <x:c r="A25" s="56" t="s">
        <x:v>633</x:v>
      </x:c>
      <x:c r="B25" s="56"/>
      <x:c r="C25" s="56"/>
      <x:c r="D25" s="56"/>
      <x:c r="E25" s="56"/>
      <x:c r="F25" s="56"/>
      <x:c r="G25" s="56"/>
      <x:c r="H25" s="56"/>
      <x:c r="I25" s="56"/>
      <x:c r="J25" s="56"/>
      <x:c r="K25" s="56"/>
    </x:row>
    <x:row r="26" ht="26.100000381469727" customHeight="1">
      <x:c r="A26" s="56" t="s">
        <x:v>634</x:v>
      </x:c>
      <x:c r="B26" s="56"/>
      <x:c r="C26" s="56"/>
      <x:c r="D26" s="56"/>
      <x:c r="E26" s="56"/>
      <x:c r="F26" s="56"/>
      <x:c r="G26" s="56"/>
      <x:c r="H26" s="56"/>
      <x:c r="I26" s="56"/>
      <x:c r="J26" s="56"/>
      <x:c r="K26" s="56"/>
    </x:row>
    <x:row r="27" ht="26.100000381469727" customHeight="1">
      <x:c r="A27" s="56"/>
      <x:c r="B27" s="56"/>
      <x:c r="C27" s="56"/>
      <x:c r="D27" s="56"/>
      <x:c r="E27" s="56"/>
      <x:c r="F27" s="56"/>
      <x:c r="G27" s="56"/>
      <x:c r="H27" s="56"/>
      <x:c r="I27" s="56"/>
      <x:c r="J27" s="56"/>
      <x:c r="K27" s="56"/>
    </x:row>
    <x:row r="28" ht="26.100000381469727" customHeight="1">
      <x:c r="A28" s="56"/>
      <x:c r="B28" s="56"/>
      <x:c r="C28" s="56"/>
      <x:c r="D28" s="56"/>
      <x:c r="E28" s="56"/>
      <x:c r="F28" s="56"/>
      <x:c r="G28" s="56"/>
      <x:c r="H28" s="56"/>
      <x:c r="I28" s="56"/>
      <x:c r="J28" s="56"/>
      <x:c r="K28" s="56"/>
    </x:row>
    <x:row r="29" ht="26.100000381469727" customHeight="1">
      <x:c r="A29" s="56"/>
      <x:c r="B29" s="56"/>
      <x:c r="C29" s="56"/>
      <x:c r="D29" s="56"/>
      <x:c r="E29" s="56"/>
      <x:c r="F29" s="56"/>
      <x:c r="G29" s="56"/>
      <x:c r="H29" s="56"/>
      <x:c r="I29" s="56"/>
      <x:c r="J29" s="56"/>
      <x:c r="K29" s="56"/>
    </x:row>
    <x:row r="30" ht="26.100000381469727" customHeight="1">
      <x:c r="A30" s="56"/>
      <x:c r="B30" s="56"/>
      <x:c r="C30" s="56"/>
      <x:c r="D30" s="56"/>
      <x:c r="E30" s="56"/>
      <x:c r="F30" s="56"/>
      <x:c r="G30" s="56"/>
      <x:c r="H30" s="56"/>
      <x:c r="I30" s="56"/>
      <x:c r="J30" s="56"/>
      <x:c r="K30" s="56"/>
    </x:row>
    <x:row r="31" ht="26.100000381469727" customHeight="1">
      <x:c r="A31" s="56"/>
      <x:c r="B31" s="56"/>
      <x:c r="C31" s="56"/>
      <x:c r="D31" s="56"/>
      <x:c r="E31" s="56"/>
      <x:c r="F31" s="56"/>
      <x:c r="G31" s="56"/>
      <x:c r="H31" s="56"/>
      <x:c r="I31" s="56"/>
      <x:c r="J31" s="56"/>
      <x:c r="K31" s="56"/>
    </x:row>
    <x:row r="32" ht="26.100000381469727" customHeight="1">
      <x:c r="A32" s="56"/>
      <x:c r="B32" s="56"/>
      <x:c r="C32" s="56"/>
      <x:c r="D32" s="56"/>
      <x:c r="E32" s="56"/>
      <x:c r="F32" s="56"/>
      <x:c r="G32" s="56"/>
      <x:c r="H32" s="56"/>
      <x:c r="I32" s="56"/>
      <x:c r="J32" s="56"/>
      <x:c r="K32" s="56"/>
    </x:row>
    <x:row r="33" ht="26.100000381469727" customHeight="1">
      <x:c r="A33" s="56"/>
      <x:c r="B33" s="56"/>
      <x:c r="C33" s="56"/>
      <x:c r="D33" s="56"/>
      <x:c r="E33" s="56"/>
      <x:c r="F33" s="56"/>
      <x:c r="G33" s="56"/>
      <x:c r="H33" s="56"/>
      <x:c r="I33" s="56"/>
      <x:c r="J33" s="56"/>
      <x:c r="K33" s="56"/>
    </x:row>
    <x:row r="34" ht="26.100000381469727" customHeight="1">
      <x:c r="A34" s="56"/>
      <x:c r="B34" s="56"/>
      <x:c r="C34" s="56"/>
      <x:c r="D34" s="56"/>
      <x:c r="E34" s="56"/>
      <x:c r="F34" s="56"/>
      <x:c r="G34" s="56"/>
      <x:c r="H34" s="56"/>
      <x:c r="I34" s="56"/>
      <x:c r="J34" s="56"/>
      <x:c r="K34" s="56"/>
    </x:row>
    <x:row r="35" ht="26.100000381469727" customHeight="1">
      <x:c r="A35" s="56"/>
      <x:c r="B35" s="56"/>
      <x:c r="C35" s="56"/>
      <x:c r="D35" s="56"/>
      <x:c r="E35" s="56"/>
      <x:c r="F35" s="56"/>
      <x:c r="G35" s="56"/>
      <x:c r="H35" s="56"/>
      <x:c r="I35" s="56"/>
      <x:c r="J35" s="56"/>
      <x:c r="K35" s="56"/>
    </x:row>
    <x:row r="36" ht="26.100000381469727" customHeight="1">
      <x:c r="A36" s="56"/>
      <x:c r="B36" s="56"/>
      <x:c r="C36" s="56"/>
      <x:c r="D36" s="56"/>
      <x:c r="E36" s="56"/>
      <x:c r="F36" s="56"/>
      <x:c r="G36" s="56"/>
      <x:c r="H36" s="56"/>
      <x:c r="I36" s="56"/>
      <x:c r="J36" s="56"/>
      <x:c r="K36" s="56"/>
    </x:row>
    <x:row r="37" ht="26.100000381469727" customHeight="1">
      <x:c r="A37" s="56"/>
      <x:c r="B37" s="56"/>
      <x:c r="C37" s="56"/>
      <x:c r="D37" s="56"/>
      <x:c r="E37" s="56"/>
      <x:c r="F37" s="56"/>
      <x:c r="G37" s="56"/>
      <x:c r="H37" s="56"/>
      <x:c r="I37" s="56"/>
      <x:c r="J37" s="56"/>
      <x:c r="K37" s="56"/>
    </x:row>
    <x:row r="38" ht="26.100000381469727" customHeight="1">
      <x:c r="A38" s="56"/>
      <x:c r="B38" s="56"/>
      <x:c r="C38" s="56"/>
      <x:c r="D38" s="56"/>
      <x:c r="E38" s="56"/>
      <x:c r="F38" s="56"/>
      <x:c r="G38" s="56"/>
      <x:c r="H38" s="56"/>
      <x:c r="I38" s="56"/>
      <x:c r="J38" s="56"/>
      <x:c r="K38" s="56"/>
    </x:row>
    <x:row r="39" ht="26.100000381469727" customHeight="1">
      <x:c r="A39" s="56"/>
      <x:c r="B39" s="56"/>
      <x:c r="C39" s="56"/>
      <x:c r="D39" s="56"/>
      <x:c r="E39" s="56"/>
      <x:c r="F39" s="56"/>
      <x:c r="G39" s="56"/>
      <x:c r="H39" s="56"/>
      <x:c r="I39" s="56"/>
      <x:c r="J39" s="56"/>
      <x:c r="K39" s="56"/>
    </x:row>
    <x:row r="40" ht="26.100000381469727" customHeight="1">
      <x:c r="A40" s="56"/>
      <x:c r="B40" s="56"/>
      <x:c r="C40" s="56"/>
      <x:c r="D40" s="56"/>
      <x:c r="E40" s="56"/>
      <x:c r="F40" s="56"/>
      <x:c r="G40" s="56"/>
      <x:c r="H40" s="56"/>
      <x:c r="I40" s="56"/>
      <x:c r="J40" s="56"/>
      <x:c r="K40" s="56"/>
    </x:row>
    <x:row r="41" ht="26.100000381469727" customHeight="1">
      <x:c r="A41" s="56"/>
      <x:c r="B41" s="56"/>
      <x:c r="C41" s="56"/>
      <x:c r="D41" s="56"/>
      <x:c r="E41" s="56"/>
      <x:c r="F41" s="56"/>
      <x:c r="G41" s="56"/>
      <x:c r="H41" s="56"/>
      <x:c r="I41" s="56"/>
      <x:c r="J41" s="56"/>
      <x:c r="K41" s="56"/>
    </x:row>
    <x:row r="42" ht="26.100000381469727" customHeight="1">
      <x:c r="A42" s="56"/>
      <x:c r="B42" s="56"/>
      <x:c r="C42" s="56"/>
      <x:c r="D42" s="56"/>
      <x:c r="E42" s="56"/>
      <x:c r="F42" s="56"/>
      <x:c r="G42" s="56"/>
      <x:c r="H42" s="56"/>
      <x:c r="I42" s="56"/>
      <x:c r="J42" s="56"/>
      <x:c r="K42" s="56"/>
    </x:row>
    <x:row r="43" ht="26.100000381469727" customHeight="1">
      <x:c r="A43" s="56"/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</x:row>
    <x:row r="44" ht="26.100000381469727" customHeight="1">
      <x:c r="A44" s="56"/>
      <x:c r="B44" s="56"/>
      <x:c r="C44" s="56"/>
      <x:c r="D44" s="56"/>
      <x:c r="E44" s="56"/>
      <x:c r="F44" s="56"/>
      <x:c r="G44" s="56"/>
      <x:c r="H44" s="56"/>
      <x:c r="I44" s="56"/>
      <x:c r="J44" s="56"/>
      <x:c r="K44" s="56"/>
    </x:row>
    <x:row r="45" ht="26.100000381469727" customHeight="1">
      <x:c r="A45" s="56"/>
      <x:c r="B45" s="56"/>
      <x:c r="C45" s="56"/>
      <x:c r="D45" s="56"/>
      <x:c r="E45" s="56"/>
      <x:c r="F45" s="56"/>
      <x:c r="G45" s="56"/>
      <x:c r="H45" s="56"/>
      <x:c r="I45" s="56"/>
      <x:c r="J45" s="56"/>
      <x:c r="K45" s="56"/>
    </x:row>
    <x:row r="46" ht="26.100000381469727" customHeight="1">
      <x:c r="A46" s="56"/>
      <x:c r="B46" s="56"/>
      <x:c r="C46" s="56"/>
      <x:c r="D46" s="56"/>
      <x:c r="E46" s="56"/>
      <x:c r="F46" s="56"/>
      <x:c r="G46" s="56"/>
      <x:c r="H46" s="56"/>
      <x:c r="I46" s="56"/>
      <x:c r="J46" s="56"/>
      <x:c r="K46" s="56"/>
    </x:row>
    <x:row r="47" ht="26.100000381469727" customHeight="1">
      <x:c r="A47" s="56"/>
      <x:c r="B47" s="56"/>
      <x:c r="C47" s="56"/>
      <x:c r="D47" s="56"/>
      <x:c r="E47" s="56"/>
      <x:c r="F47" s="56"/>
      <x:c r="G47" s="56"/>
      <x:c r="H47" s="56"/>
      <x:c r="I47" s="56"/>
      <x:c r="J47" s="56"/>
      <x:c r="K47" s="56"/>
    </x:row>
    <x:row r="48" ht="26.100000381469727" customHeight="1">
      <x:c r="A48" s="56"/>
      <x:c r="B48" s="56"/>
      <x:c r="C48" s="56"/>
      <x:c r="D48" s="56"/>
      <x:c r="E48" s="56"/>
      <x:c r="F48" s="56"/>
      <x:c r="G48" s="56"/>
      <x:c r="H48" s="56"/>
      <x:c r="I48" s="56"/>
      <x:c r="J48" s="56"/>
      <x:c r="K48" s="56"/>
    </x:row>
    <x:row r="49" ht="26.100000381469727" customHeight="1">
      <x:c r="A49" s="56"/>
      <x:c r="B49" s="56"/>
      <x:c r="C49" s="56"/>
      <x:c r="D49" s="56"/>
      <x:c r="E49" s="56"/>
      <x:c r="F49" s="56"/>
      <x:c r="G49" s="56"/>
      <x:c r="H49" s="56"/>
      <x:c r="I49" s="56"/>
      <x:c r="J49" s="56"/>
      <x:c r="K49" s="56"/>
    </x:row>
    <x:row r="50" ht="26.100000381469727" customHeight="1">
      <x:c r="A50" s="56"/>
      <x:c r="B50" s="56"/>
      <x:c r="C50" s="56"/>
      <x:c r="D50" s="56"/>
      <x:c r="E50" s="56"/>
      <x:c r="F50" s="56"/>
      <x:c r="G50" s="56"/>
      <x:c r="H50" s="56"/>
      <x:c r="I50" s="56"/>
      <x:c r="J50" s="56"/>
      <x:c r="K50" s="56"/>
    </x:row>
    <x:row r="51" ht="26.100000381469727" customHeight="1">
      <x:c r="A51" s="56"/>
      <x:c r="B51" s="56"/>
      <x:c r="C51" s="56"/>
      <x:c r="D51" s="56"/>
      <x:c r="E51" s="56"/>
      <x:c r="F51" s="56"/>
      <x:c r="G51" s="56"/>
      <x:c r="H51" s="56"/>
      <x:c r="I51" s="56"/>
      <x:c r="J51" s="56"/>
      <x:c r="K51" s="56"/>
    </x:row>
    <x:row r="52" ht="26.100000381469727" customHeight="1">
      <x:c r="A52" s="56"/>
      <x:c r="B52" s="56"/>
      <x:c r="C52" s="56"/>
      <x:c r="D52" s="56"/>
      <x:c r="E52" s="56"/>
      <x:c r="F52" s="56"/>
      <x:c r="G52" s="56"/>
      <x:c r="H52" s="56"/>
      <x:c r="I52" s="56"/>
      <x:c r="J52" s="56"/>
      <x:c r="K52" s="56"/>
    </x:row>
    <x:row r="53" ht="26.100000381469727" customHeight="1">
      <x:c r="A53" s="56"/>
      <x:c r="B53" s="56"/>
      <x:c r="C53" s="56"/>
      <x:c r="D53" s="56"/>
      <x:c r="E53" s="56"/>
      <x:c r="F53" s="56"/>
      <x:c r="G53" s="56"/>
      <x:c r="H53" s="56"/>
      <x:c r="I53" s="56"/>
      <x:c r="J53" s="56"/>
      <x:c r="K53" s="56"/>
    </x:row>
    <x:row r="54" ht="26.100000381469727" customHeight="1">
      <x:c r="A54" s="56"/>
      <x:c r="B54" s="56"/>
      <x:c r="C54" s="56"/>
      <x:c r="D54" s="56"/>
      <x:c r="E54" s="56"/>
      <x:c r="F54" s="56"/>
      <x:c r="G54" s="56"/>
      <x:c r="H54" s="56"/>
      <x:c r="I54" s="56"/>
      <x:c r="J54" s="56"/>
      <x:c r="K54" s="56"/>
    </x:row>
    <x:row r="55" ht="26.100000381469727" customHeight="1">
      <x:c r="A55" s="56"/>
      <x:c r="B55" s="56"/>
      <x:c r="C55" s="56"/>
      <x:c r="D55" s="56"/>
      <x:c r="E55" s="56"/>
      <x:c r="F55" s="56"/>
      <x:c r="G55" s="56"/>
      <x:c r="H55" s="56"/>
      <x:c r="I55" s="56"/>
      <x:c r="J55" s="56"/>
      <x:c r="K55" s="56"/>
    </x:row>
    <x:row r="56" ht="26.100000381469727" customHeight="1">
      <x:c r="A56" s="56"/>
      <x:c r="B56" s="56"/>
      <x:c r="C56" s="56"/>
      <x:c r="D56" s="56"/>
      <x:c r="E56" s="56"/>
      <x:c r="F56" s="56"/>
      <x:c r="G56" s="56"/>
      <x:c r="H56" s="56"/>
      <x:c r="I56" s="56"/>
      <x:c r="J56" s="56"/>
      <x:c r="K56" s="56"/>
    </x:row>
    <x:row r="57" ht="26.100000381469727" customHeight="1">
      <x:c r="A57" s="56"/>
      <x:c r="B57" s="56"/>
      <x:c r="C57" s="56"/>
      <x:c r="D57" s="56"/>
      <x:c r="E57" s="56"/>
      <x:c r="F57" s="56"/>
      <x:c r="G57" s="56"/>
      <x:c r="H57" s="56"/>
      <x:c r="I57" s="56"/>
      <x:c r="J57" s="56"/>
      <x:c r="K57" s="56"/>
    </x:row>
    <x:row r="58" ht="26.100000381469727" customHeight="1">
      <x:c r="A58" s="56"/>
      <x:c r="B58" s="56"/>
      <x:c r="C58" s="56"/>
      <x:c r="D58" s="56"/>
      <x:c r="E58" s="56"/>
      <x:c r="F58" s="56"/>
      <x:c r="G58" s="56"/>
      <x:c r="H58" s="56"/>
      <x:c r="I58" s="56"/>
      <x:c r="J58" s="56"/>
      <x:c r="K58" s="56"/>
    </x:row>
    <x:row r="59" ht="26.100000381469727" customHeight="1">
      <x:c r="A59" s="56"/>
      <x:c r="B59" s="56"/>
      <x:c r="C59" s="56"/>
      <x:c r="D59" s="56"/>
      <x:c r="E59" s="56"/>
      <x:c r="F59" s="56"/>
      <x:c r="G59" s="56"/>
      <x:c r="H59" s="56"/>
      <x:c r="I59" s="56"/>
      <x:c r="J59" s="56"/>
      <x:c r="K59" s="56"/>
    </x:row>
    <x:row r="60" ht="26.100000381469727" customHeight="1">
      <x:c r="A60" s="56"/>
      <x:c r="B60" s="56"/>
      <x:c r="C60" s="56"/>
      <x:c r="D60" s="56"/>
      <x:c r="E60" s="56"/>
      <x:c r="F60" s="56"/>
      <x:c r="G60" s="56"/>
      <x:c r="H60" s="56"/>
      <x:c r="I60" s="56"/>
      <x:c r="J60" s="56"/>
      <x:c r="K60" s="56"/>
    </x:row>
    <x:row r="61" ht="26.100000381469727" customHeight="1">
      <x:c r="A61" s="56"/>
      <x:c r="B61" s="56"/>
      <x:c r="C61" s="56"/>
      <x:c r="D61" s="56"/>
      <x:c r="E61" s="56"/>
      <x:c r="F61" s="56"/>
      <x:c r="G61" s="56"/>
      <x:c r="H61" s="56"/>
      <x:c r="I61" s="56"/>
      <x:c r="J61" s="56"/>
      <x:c r="K61" s="56"/>
    </x:row>
    <x:row r="62" ht="26.100000381469727" customHeight="1">
      <x:c r="A62" s="56"/>
      <x:c r="B62" s="56"/>
      <x:c r="C62" s="56"/>
      <x:c r="D62" s="56"/>
      <x:c r="E62" s="56"/>
      <x:c r="F62" s="56"/>
      <x:c r="G62" s="56"/>
      <x:c r="H62" s="56"/>
      <x:c r="I62" s="56"/>
      <x:c r="J62" s="56"/>
      <x:c r="K62" s="56"/>
    </x:row>
    <x:row r="63" ht="26.100000381469727" customHeight="1">
      <x:c r="A63" s="56"/>
      <x:c r="B63" s="56"/>
      <x:c r="C63" s="56"/>
      <x:c r="D63" s="56"/>
      <x:c r="E63" s="56"/>
      <x:c r="F63" s="56"/>
      <x:c r="G63" s="56"/>
      <x:c r="H63" s="56"/>
      <x:c r="I63" s="56"/>
      <x:c r="J63" s="56"/>
      <x:c r="K63" s="56"/>
    </x:row>
    <x:row r="64" ht="26.100000381469727" customHeight="1">
      <x:c r="A64" s="56"/>
      <x:c r="B64" s="56"/>
      <x:c r="C64" s="56"/>
      <x:c r="D64" s="56"/>
      <x:c r="E64" s="56"/>
      <x:c r="F64" s="56"/>
      <x:c r="G64" s="56"/>
      <x:c r="H64" s="56"/>
      <x:c r="I64" s="56"/>
      <x:c r="J64" s="56"/>
      <x:c r="K64" s="56"/>
    </x:row>
    <x:row r="65" ht="26.100000381469727" customHeight="1">
      <x:c r="A65" s="56"/>
      <x:c r="B65" s="56"/>
      <x:c r="C65" s="56"/>
      <x:c r="D65" s="56"/>
      <x:c r="E65" s="56"/>
      <x:c r="F65" s="56"/>
      <x:c r="G65" s="56"/>
      <x:c r="H65" s="56"/>
      <x:c r="I65" s="56"/>
      <x:c r="J65" s="56"/>
      <x:c r="K65" s="56"/>
    </x:row>
    <x:row r="66" ht="26.100000381469727" customHeight="1">
      <x:c r="A66" s="56"/>
      <x:c r="B66" s="56"/>
      <x:c r="C66" s="56"/>
      <x:c r="D66" s="56"/>
      <x:c r="E66" s="56"/>
      <x:c r="F66" s="56"/>
      <x:c r="G66" s="56"/>
      <x:c r="H66" s="56"/>
      <x:c r="I66" s="56"/>
      <x:c r="J66" s="56"/>
      <x:c r="K66" s="56"/>
    </x:row>
    <x:row r="67" ht="26.100000381469727" customHeight="1">
      <x:c r="A67" s="56"/>
      <x:c r="B67" s="56"/>
      <x:c r="C67" s="56"/>
      <x:c r="D67" s="56"/>
      <x:c r="E67" s="56"/>
      <x:c r="F67" s="56"/>
      <x:c r="G67" s="56"/>
      <x:c r="H67" s="56"/>
      <x:c r="I67" s="56"/>
      <x:c r="J67" s="56"/>
      <x:c r="K67" s="56"/>
    </x:row>
    <x:row r="68" ht="26.100000381469727" customHeight="1">
      <x:c r="A68" s="56"/>
      <x:c r="B68" s="56"/>
      <x:c r="C68" s="56"/>
      <x:c r="D68" s="56"/>
      <x:c r="E68" s="56"/>
      <x:c r="F68" s="56"/>
      <x:c r="G68" s="56"/>
      <x:c r="H68" s="56"/>
      <x:c r="I68" s="56"/>
      <x:c r="J68" s="56"/>
      <x:c r="K68" s="56"/>
    </x:row>
    <x:row r="69" ht="26.100000381469727" customHeight="1">
      <x:c r="A69" s="56"/>
      <x:c r="B69" s="56"/>
      <x:c r="C69" s="56"/>
      <x:c r="D69" s="56"/>
      <x:c r="E69" s="56"/>
      <x:c r="F69" s="56"/>
      <x:c r="G69" s="56"/>
      <x:c r="H69" s="56"/>
      <x:c r="I69" s="56"/>
      <x:c r="J69" s="56"/>
      <x:c r="K69" s="56"/>
    </x:row>
    <x:row r="70" ht="26.100000381469727" customHeight="1">
      <x:c r="A70" s="56"/>
      <x:c r="B70" s="56"/>
      <x:c r="C70" s="56"/>
      <x:c r="D70" s="56"/>
      <x:c r="E70" s="56"/>
      <x:c r="F70" s="56"/>
      <x:c r="G70" s="56"/>
      <x:c r="H70" s="56"/>
      <x:c r="I70" s="56"/>
      <x:c r="J70" s="56"/>
      <x:c r="K70" s="56"/>
    </x:row>
    <x:row r="71" ht="26.100000381469727" customHeight="1">
      <x:c r="A71" s="56"/>
      <x:c r="B71" s="56"/>
      <x:c r="C71" s="56"/>
      <x:c r="D71" s="56"/>
      <x:c r="E71" s="56"/>
      <x:c r="F71" s="56"/>
      <x:c r="G71" s="56"/>
      <x:c r="H71" s="56"/>
      <x:c r="I71" s="56"/>
      <x:c r="J71" s="56"/>
      <x:c r="K71" s="56"/>
    </x:row>
    <x:row r="72" ht="26.100000381469727" customHeight="1">
      <x:c r="A72" s="56"/>
      <x:c r="B72" s="56"/>
      <x:c r="C72" s="56"/>
      <x:c r="D72" s="56"/>
      <x:c r="E72" s="56"/>
      <x:c r="F72" s="56"/>
      <x:c r="G72" s="56"/>
      <x:c r="H72" s="56"/>
      <x:c r="I72" s="56"/>
      <x:c r="J72" s="56"/>
      <x:c r="K72" s="56"/>
    </x:row>
    <x:row r="73" ht="26.100000381469727" customHeight="1">
      <x:c r="A73" s="56"/>
      <x:c r="B73" s="56"/>
      <x:c r="C73" s="56"/>
      <x:c r="D73" s="56"/>
      <x:c r="E73" s="56"/>
      <x:c r="F73" s="56"/>
      <x:c r="G73" s="56"/>
      <x:c r="H73" s="56"/>
      <x:c r="I73" s="56"/>
      <x:c r="J73" s="56"/>
      <x:c r="K73" s="56"/>
    </x:row>
    <x:row r="74" ht="26.100000381469727" customHeight="1">
      <x:c r="A74" s="56"/>
      <x:c r="B74" s="56"/>
      <x:c r="C74" s="56"/>
      <x:c r="D74" s="56"/>
      <x:c r="E74" s="56"/>
      <x:c r="F74" s="56"/>
      <x:c r="G74" s="56"/>
      <x:c r="H74" s="56"/>
      <x:c r="I74" s="56"/>
      <x:c r="J74" s="56"/>
      <x:c r="K74" s="56"/>
    </x:row>
    <x:row r="75" ht="26.100000381469727" customHeight="1">
      <x:c r="A75" s="56"/>
      <x:c r="B75" s="56"/>
      <x:c r="C75" s="56"/>
      <x:c r="D75" s="56"/>
      <x:c r="E75" s="56"/>
      <x:c r="F75" s="56"/>
      <x:c r="G75" s="56"/>
      <x:c r="H75" s="56"/>
      <x:c r="I75" s="56"/>
      <x:c r="J75" s="56"/>
      <x:c r="K75" s="56"/>
    </x:row>
    <x:row r="76" ht="26.100000381469727" customHeight="1">
      <x:c r="A76" s="56"/>
      <x:c r="B76" s="56"/>
      <x:c r="C76" s="56"/>
      <x:c r="D76" s="56"/>
      <x:c r="E76" s="56"/>
      <x:c r="F76" s="56"/>
      <x:c r="G76" s="56"/>
      <x:c r="H76" s="56"/>
      <x:c r="I76" s="56"/>
      <x:c r="J76" s="56"/>
      <x:c r="K76" s="56"/>
    </x:row>
    <x:row r="77" ht="26.100000381469727" customHeight="1">
      <x:c r="A77" s="56"/>
      <x:c r="B77" s="56"/>
      <x:c r="C77" s="56"/>
      <x:c r="D77" s="56"/>
      <x:c r="E77" s="56"/>
      <x:c r="F77" s="56"/>
      <x:c r="G77" s="56"/>
      <x:c r="H77" s="56"/>
      <x:c r="I77" s="56"/>
      <x:c r="J77" s="56"/>
      <x:c r="K77" s="56"/>
    </x:row>
    <x:row r="78" ht="26.100000381469727" customHeight="1">
      <x:c r="A78" s="56"/>
      <x:c r="B78" s="56"/>
      <x:c r="C78" s="56"/>
      <x:c r="D78" s="56"/>
      <x:c r="E78" s="56"/>
      <x:c r="F78" s="56"/>
      <x:c r="G78" s="56"/>
      <x:c r="H78" s="56"/>
      <x:c r="I78" s="56"/>
      <x:c r="J78" s="56"/>
      <x:c r="K78" s="56"/>
    </x:row>
    <x:row r="79" ht="26.100000381469727" customHeight="1">
      <x:c r="A79" s="56"/>
      <x:c r="B79" s="56"/>
      <x:c r="C79" s="56"/>
      <x:c r="D79" s="56"/>
      <x:c r="E79" s="56"/>
      <x:c r="F79" s="56"/>
      <x:c r="G79" s="56"/>
      <x:c r="H79" s="56"/>
      <x:c r="I79" s="56"/>
      <x:c r="J79" s="56"/>
      <x:c r="K79" s="56"/>
    </x:row>
    <x:row r="80" ht="26.100000381469727" customHeight="1">
      <x:c r="A80" s="56"/>
      <x:c r="B80" s="56"/>
      <x:c r="C80" s="56"/>
      <x:c r="D80" s="56"/>
      <x:c r="E80" s="56"/>
      <x:c r="F80" s="56"/>
      <x:c r="G80" s="56"/>
      <x:c r="H80" s="56"/>
      <x:c r="I80" s="56"/>
      <x:c r="J80" s="56"/>
      <x:c r="K80" s="56"/>
    </x:row>
    <x:row r="81" ht="26.100000381469727" customHeight="1">
      <x:c r="A81" s="56"/>
      <x:c r="B81" s="56"/>
      <x:c r="C81" s="56"/>
      <x:c r="D81" s="56"/>
      <x:c r="E81" s="56"/>
      <x:c r="F81" s="56"/>
      <x:c r="G81" s="56"/>
      <x:c r="H81" s="56"/>
      <x:c r="I81" s="56"/>
      <x:c r="J81" s="56"/>
      <x:c r="K81" s="56"/>
    </x:row>
    <x:row r="82" ht="26.100000381469727" customHeight="1">
      <x:c r="A82" s="56"/>
      <x:c r="B82" s="56"/>
      <x:c r="C82" s="56"/>
      <x:c r="D82" s="56"/>
      <x:c r="E82" s="56"/>
      <x:c r="F82" s="56"/>
      <x:c r="G82" s="56"/>
      <x:c r="H82" s="56"/>
      <x:c r="I82" s="56"/>
      <x:c r="J82" s="56"/>
      <x:c r="K82" s="56"/>
    </x:row>
    <x:row r="83" ht="26.100000381469727" customHeight="1">
      <x:c r="A83" s="56"/>
      <x:c r="B83" s="56"/>
      <x:c r="C83" s="56"/>
      <x:c r="D83" s="56"/>
      <x:c r="E83" s="56"/>
      <x:c r="F83" s="56"/>
      <x:c r="G83" s="56"/>
      <x:c r="H83" s="56"/>
      <x:c r="I83" s="56"/>
      <x:c r="J83" s="56"/>
      <x:c r="K83" s="56"/>
    </x:row>
    <x:row r="84" ht="26.100000381469727" customHeight="1">
      <x:c r="A84" s="56"/>
      <x:c r="B84" s="56"/>
      <x:c r="C84" s="56"/>
      <x:c r="D84" s="56"/>
      <x:c r="E84" s="56"/>
      <x:c r="F84" s="56"/>
      <x:c r="G84" s="56"/>
      <x:c r="H84" s="56"/>
      <x:c r="I84" s="56"/>
      <x:c r="J84" s="56"/>
      <x:c r="K84" s="56"/>
    </x:row>
    <x:row r="85" ht="26.100000381469727" customHeight="1">
      <x:c r="A85" s="56"/>
      <x:c r="B85" s="56"/>
      <x:c r="C85" s="56"/>
      <x:c r="D85" s="56"/>
      <x:c r="E85" s="56"/>
      <x:c r="F85" s="56"/>
      <x:c r="G85" s="56"/>
      <x:c r="H85" s="56"/>
      <x:c r="I85" s="56"/>
      <x:c r="J85" s="56"/>
      <x:c r="K85" s="56"/>
    </x:row>
    <x:row r="86" ht="26.100000381469727" customHeight="1">
      <x:c r="A86" s="56"/>
      <x:c r="B86" s="56"/>
      <x:c r="C86" s="56"/>
      <x:c r="D86" s="56"/>
      <x:c r="E86" s="56"/>
      <x:c r="F86" s="56"/>
      <x:c r="G86" s="56"/>
      <x:c r="H86" s="56"/>
      <x:c r="I86" s="56"/>
      <x:c r="J86" s="56"/>
      <x:c r="K86" s="56"/>
    </x:row>
    <x:row r="87" ht="26.100000381469727" customHeight="1">
      <x:c r="A87" s="56"/>
      <x:c r="B87" s="56"/>
      <x:c r="C87" s="56"/>
      <x:c r="D87" s="56"/>
      <x:c r="E87" s="56"/>
      <x:c r="F87" s="56"/>
      <x:c r="G87" s="56"/>
      <x:c r="H87" s="56"/>
      <x:c r="I87" s="56"/>
      <x:c r="J87" s="56"/>
      <x:c r="K87" s="56"/>
    </x:row>
    <x:row r="88" ht="26.100000381469727" customHeight="1">
      <x:c r="A88" s="56"/>
      <x:c r="B88" s="56"/>
      <x:c r="C88" s="56"/>
      <x:c r="D88" s="56"/>
      <x:c r="E88" s="56"/>
      <x:c r="F88" s="56"/>
      <x:c r="G88" s="56"/>
      <x:c r="H88" s="56"/>
      <x:c r="I88" s="56"/>
      <x:c r="J88" s="56"/>
      <x:c r="K88" s="56"/>
    </x:row>
    <x:row r="89" ht="26.100000381469727" customHeight="1">
      <x:c r="A89" s="56"/>
      <x:c r="B89" s="56"/>
      <x:c r="C89" s="56"/>
      <x:c r="D89" s="56"/>
      <x:c r="E89" s="56"/>
      <x:c r="F89" s="56"/>
      <x:c r="G89" s="56"/>
      <x:c r="H89" s="56"/>
      <x:c r="I89" s="56"/>
      <x:c r="J89" s="56"/>
      <x:c r="K89" s="56"/>
    </x:row>
    <x:row r="90" ht="26.100000381469727" customHeight="1">
      <x:c r="A90" s="56"/>
      <x:c r="B90" s="56"/>
      <x:c r="C90" s="56"/>
      <x:c r="D90" s="56"/>
      <x:c r="E90" s="56"/>
      <x:c r="F90" s="56"/>
      <x:c r="G90" s="56"/>
      <x:c r="H90" s="56"/>
      <x:c r="I90" s="56"/>
      <x:c r="J90" s="56"/>
      <x:c r="K90" s="56"/>
    </x:row>
    <x:row r="91" ht="26.100000381469727" customHeight="1">
      <x:c r="A91" s="56"/>
      <x:c r="B91" s="56"/>
      <x:c r="C91" s="56"/>
      <x:c r="D91" s="56"/>
      <x:c r="E91" s="56"/>
      <x:c r="F91" s="56"/>
      <x:c r="G91" s="56"/>
      <x:c r="H91" s="56"/>
      <x:c r="I91" s="56"/>
      <x:c r="J91" s="56"/>
      <x:c r="K91" s="56"/>
    </x:row>
    <x:row r="92" ht="26.100000381469727" customHeight="1">
      <x:c r="A92" s="56"/>
      <x:c r="B92" s="56"/>
      <x:c r="C92" s="56"/>
      <x:c r="D92" s="56"/>
      <x:c r="E92" s="56"/>
      <x:c r="F92" s="56"/>
      <x:c r="G92" s="56"/>
      <x:c r="H92" s="56"/>
      <x:c r="I92" s="56"/>
      <x:c r="J92" s="56"/>
      <x:c r="K92" s="56"/>
    </x:row>
    <x:row r="93" ht="26.100000381469727" customHeight="1">
      <x:c r="A93" s="56"/>
      <x:c r="B93" s="56"/>
      <x:c r="C93" s="56"/>
      <x:c r="D93" s="56"/>
      <x:c r="E93" s="56"/>
      <x:c r="F93" s="56"/>
      <x:c r="G93" s="56"/>
      <x:c r="H93" s="56"/>
      <x:c r="I93" s="56"/>
      <x:c r="J93" s="56"/>
      <x:c r="K93" s="56"/>
    </x:row>
    <x:row r="94" ht="26.100000381469727" customHeight="1">
      <x:c r="A94" s="56"/>
      <x:c r="B94" s="56"/>
      <x:c r="C94" s="56"/>
      <x:c r="D94" s="56"/>
      <x:c r="E94" s="56"/>
      <x:c r="F94" s="56"/>
      <x:c r="G94" s="56"/>
      <x:c r="H94" s="56"/>
      <x:c r="I94" s="56"/>
      <x:c r="J94" s="56"/>
      <x:c r="K94" s="56"/>
    </x:row>
    <x:row r="95" ht="26.100000381469727" customHeight="1">
      <x:c r="A95" s="56"/>
      <x:c r="B95" s="56"/>
      <x:c r="C95" s="56"/>
      <x:c r="D95" s="56"/>
      <x:c r="E95" s="56"/>
      <x:c r="F95" s="56"/>
      <x:c r="G95" s="56"/>
      <x:c r="H95" s="56"/>
      <x:c r="I95" s="56"/>
      <x:c r="J95" s="56"/>
      <x:c r="K95" s="56"/>
    </x:row>
  </x:sheetData>
  <x:dataValidations count="1">
    <x:dataValidation type="list" sqref="C7:C11 B17:B20 E7:E11">
      <x:formula1>"金币,钻石,抽卡币,勇气经验,机敏经验,坚毅经验"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customWidth="1"/>
    <x:col min="2" max="2" width="25" customWidth="1"/>
    <x:col min="3" max="8" width="18" customWidth="1"/>
    <x:col min="9" max="11" width="17" customWidth="1"/>
  </x:cols>
  <x:sheetData>
    <x:row r="1" ht="26.100000381469727" customHeight="1">
      <x:c r="A1" s="71"/>
      <x:c r="B1" s="71"/>
      <x:c r="C1" s="71"/>
      <x:c r="D1" s="71"/>
      <x:c r="E1" s="71"/>
      <x:c r="F1" s="71"/>
      <x:c r="G1" s="71"/>
      <x:c r="H1" s="71"/>
      <x:c r="I1" s="67"/>
      <x:c r="J1" s="67"/>
      <x:c r="K1" s="67"/>
    </x:row>
    <x:row r="2" ht="26.100000381469727" customHeight="1">
      <x:c r="A2" s="72" t="s">
        <x:v>635</x:v>
      </x:c>
      <x:c r="B2" s="71"/>
      <x:c r="C2" s="71"/>
      <x:c r="D2" s="71"/>
      <x:c r="E2" s="71"/>
      <x:c r="F2" s="71"/>
      <x:c r="G2" s="71"/>
      <x:c r="H2" s="71"/>
      <x:c r="I2" s="67"/>
      <x:c r="J2" s="67"/>
      <x:c r="K2" s="67"/>
    </x:row>
    <x:row r="3" ht="26.100000381469727" customHeight="1">
      <x:c r="A3" s="71"/>
      <x:c r="B3" s="71"/>
      <x:c r="C3" s="71"/>
      <x:c r="D3" s="71"/>
      <x:c r="E3" s="71"/>
      <x:c r="F3" s="71"/>
      <x:c r="G3" s="71"/>
      <x:c r="H3" s="71"/>
      <x:c r="I3" s="67"/>
      <x:c r="J3" s="67"/>
      <x:c r="K3" s="67"/>
    </x:row>
    <x:row r="4" ht="26.100000381469727" customHeight="1">
      <x:c r="A4" s="71" t="str">
        <x:v>上表用于价值锚定；下表为已同步正式配置的商品清单，黄色格可调整。</x:v>
      </x:c>
      <x:c r="B4" s="71"/>
      <x:c r="C4" s="71"/>
      <x:c r="D4" s="71"/>
      <x:c r="E4" s="71"/>
      <x:c r="F4" s="71"/>
      <x:c r="G4" s="71"/>
      <x:c r="H4" s="71"/>
      <x:c r="I4" s="67"/>
      <x:c r="J4" s="67"/>
      <x:c r="K4" s="67"/>
    </x:row>
    <x:row r="5" ht="26.100000381469727" customHeight="1">
      <x:c r="A5" s="71"/>
      <x:c r="B5" s="71"/>
      <x:c r="C5" s="71"/>
      <x:c r="D5" s="71"/>
      <x:c r="E5" s="71"/>
      <x:c r="F5" s="71"/>
      <x:c r="G5" s="71"/>
      <x:c r="H5" s="71"/>
      <x:c r="I5" s="67"/>
      <x:c r="J5" s="67"/>
      <x:c r="K5" s="67"/>
    </x:row>
    <x:row r="6" ht="38.099998474121094" customHeight="1">
      <x:c r="A6" s="74" t="s">
        <x:v>636</x:v>
      </x:c>
      <x:c r="B6" s="74" t="s">
        <x:v>637</x:v>
      </x:c>
      <x:c r="C6" s="74" t="s">
        <x:v>554</x:v>
      </x:c>
      <x:c r="D6" s="74" t="s">
        <x:v>638</x:v>
      </x:c>
      <x:c r="E6" s="74" t="s">
        <x:v>639</x:v>
      </x:c>
      <x:c r="F6" s="74" t="s">
        <x:v>640</x:v>
      </x:c>
      <x:c r="G6" s="74" t="s">
        <x:v>500</x:v>
      </x:c>
      <x:c r="H6" s="71"/>
      <x:c r="I6" s="67"/>
      <x:c r="J6" s="67"/>
      <x:c r="K6" s="67"/>
    </x:row>
    <x:row r="7" ht="27" customHeight="1">
      <x:c r="A7" s="71">
        <x:v>210002</x:v>
      </x:c>
      <x:c r="B7" s="71" t="s">
        <x:v>641</x:v>
      </x:c>
      <x:c r="C7" s="73" t="n">
        <x:v>20</x:v>
      </x:c>
      <x:c r="D7" s="73" t="s">
        <x:v>642</x:v>
      </x:c>
      <x:c r="E7" s="73">
        <x:v>0</x:v>
      </x:c>
      <x:c r="F7" s="73">
        <x:v>0</x:v>
      </x:c>
      <x:c r="G7" s="71"/>
      <x:c r="H7" s="71"/>
      <x:c r="I7" s="67"/>
      <x:c r="J7" s="67"/>
      <x:c r="K7" s="67"/>
    </x:row>
    <x:row r="8" ht="27" customHeight="1">
      <x:c r="A8" s="71">
        <x:v>310000</x:v>
      </x:c>
      <x:c r="B8" s="71" t="s">
        <x:v>643</x:v>
      </x:c>
      <x:c r="C8" s="73">
        <x:v>5</x:v>
      </x:c>
      <x:c r="D8" s="73" t="s">
        <x:v>303</x:v>
      </x:c>
      <x:c r="E8" s="73" t="n">
        <x:f>ROUND(IF(G8="蓝色",系统投放汇总!$C$12/系统投放汇总!$B$12,IF(G8="紫色",系统投放汇总!$C$13/系统投放汇总!$B$13,系统投放汇总!$C$14/系统投放汇总!$B$14))*C8,0)</x:f>
        <x:v>15</x:v>
      </x:c>
      <x:c r="F8" s="73" t="n">
        <x:f>E8*系统投放汇总!$B$6</x:f>
        <x:v>300</x:v>
      </x:c>
      <x:c r="G8" s="71" t="str">
        <x:f>VLOOKUP(A8,英雄升级调参!$B$18:$J$27,9,FALSE)</x:f>
        <x:v>蓝色</x:v>
      </x:c>
      <x:c r="H8" s="71"/>
      <x:c r="I8" s="67"/>
      <x:c r="J8" s="67"/>
      <x:c r="K8" s="67"/>
    </x:row>
    <x:row r="9" ht="27" customHeight="1">
      <x:c r="A9" s="71">
        <x:v>310001</x:v>
      </x:c>
      <x:c r="B9" s="71" t="s">
        <x:v>644</x:v>
      </x:c>
      <x:c r="C9" s="73">
        <x:v>5</x:v>
      </x:c>
      <x:c r="D9" s="73" t="s">
        <x:v>303</x:v>
      </x:c>
      <x:c r="E9" s="73" t="n">
        <x:f>ROUND(IF(G9="蓝色",系统投放汇总!$C$12/系统投放汇总!$B$12,IF(G9="紫色",系统投放汇总!$C$13/系统投放汇总!$B$13,系统投放汇总!$C$14/系统投放汇总!$B$14))*C9,0)</x:f>
        <x:v>15</x:v>
      </x:c>
      <x:c r="F9" s="73" t="n">
        <x:f>E9*系统投放汇总!$B$6</x:f>
        <x:v>300</x:v>
      </x:c>
      <x:c r="G9" s="71" t="str">
        <x:f>VLOOKUP(A9,英雄升级调参!$B$18:$J$27,9,FALSE)</x:f>
        <x:v>蓝色</x:v>
      </x:c>
      <x:c r="H9" s="71"/>
      <x:c r="I9" s="67"/>
      <x:c r="J9" s="67"/>
      <x:c r="K9" s="67"/>
    </x:row>
    <x:row r="10" ht="27" customHeight="1">
      <x:c r="A10" s="71">
        <x:v>310002</x:v>
      </x:c>
      <x:c r="B10" s="71" t="s">
        <x:v>645</x:v>
      </x:c>
      <x:c r="C10" s="73">
        <x:v>5</x:v>
      </x:c>
      <x:c r="D10" s="73" t="s">
        <x:v>303</x:v>
      </x:c>
      <x:c r="E10" s="73" t="n">
        <x:f>ROUND(IF(G10="蓝色",系统投放汇总!$C$12/系统投放汇总!$B$12,IF(G10="紫色",系统投放汇总!$C$13/系统投放汇总!$B$13,系统投放汇总!$C$14/系统投放汇总!$B$14))*C10,0)</x:f>
        <x:v>15</x:v>
      </x:c>
      <x:c r="F10" s="73" t="n">
        <x:f>E10*系统投放汇总!$B$6</x:f>
        <x:v>300</x:v>
      </x:c>
      <x:c r="G10" s="71" t="str">
        <x:f>VLOOKUP(A10,英雄升级调参!$B$18:$J$27,9,FALSE)</x:f>
        <x:v>蓝色</x:v>
      </x:c>
      <x:c r="H10" s="71"/>
      <x:c r="I10" s="67"/>
      <x:c r="J10" s="67"/>
      <x:c r="K10" s="67"/>
    </x:row>
    <x:row r="11" ht="27" customHeight="1">
      <x:c r="A11" s="71">
        <x:v>310003</x:v>
      </x:c>
      <x:c r="B11" s="71" t="s">
        <x:v>646</x:v>
      </x:c>
      <x:c r="C11" s="73">
        <x:v>5</x:v>
      </x:c>
      <x:c r="D11" s="73" t="s">
        <x:v>303</x:v>
      </x:c>
      <x:c r="E11" s="73" t="n">
        <x:f>ROUND(IF(G11="蓝色",系统投放汇总!$C$12/系统投放汇总!$B$12,IF(G11="紫色",系统投放汇总!$C$13/系统投放汇总!$B$13,系统投放汇总!$C$14/系统投放汇总!$B$14))*C11,0)</x:f>
        <x:v>150</x:v>
      </x:c>
      <x:c r="F11" s="73" t="n">
        <x:f>E11*系统投放汇总!$B$6</x:f>
        <x:v>3000</x:v>
      </x:c>
      <x:c r="G11" s="71" t="str">
        <x:f>VLOOKUP(A11,英雄升级调参!$B$18:$J$27,9,FALSE)</x:f>
        <x:v>紫色</x:v>
      </x:c>
      <x:c r="H11" s="71"/>
      <x:c r="I11" s="67"/>
      <x:c r="J11" s="67"/>
      <x:c r="K11" s="67"/>
    </x:row>
    <x:row r="12" ht="27" customHeight="1">
      <x:c r="A12" s="71">
        <x:v>310004</x:v>
      </x:c>
      <x:c r="B12" s="71" t="s">
        <x:v>647</x:v>
      </x:c>
      <x:c r="C12" s="73">
        <x:v>5</x:v>
      </x:c>
      <x:c r="D12" s="73" t="s">
        <x:v>303</x:v>
      </x:c>
      <x:c r="E12" s="73" t="n">
        <x:f>ROUND(IF(G12="蓝色",系统投放汇总!$C$12/系统投放汇总!$B$12,IF(G12="紫色",系统投放汇总!$C$13/系统投放汇总!$B$13,系统投放汇总!$C$14/系统投放汇总!$B$14))*C12,0)</x:f>
        <x:v>150</x:v>
      </x:c>
      <x:c r="F12" s="73" t="n">
        <x:f>E12*系统投放汇总!$B$6</x:f>
        <x:v>3000</x:v>
      </x:c>
      <x:c r="G12" s="71" t="str">
        <x:f>VLOOKUP(A12,英雄升级调参!$B$18:$J$27,9,FALSE)</x:f>
        <x:v>紫色</x:v>
      </x:c>
      <x:c r="H12" s="71"/>
      <x:c r="I12" s="67"/>
      <x:c r="J12" s="67"/>
      <x:c r="K12" s="67"/>
    </x:row>
    <x:row r="13" ht="27" customHeight="1">
      <x:c r="A13" s="71">
        <x:v>310005</x:v>
      </x:c>
      <x:c r="B13" s="71" t="s">
        <x:v>648</x:v>
      </x:c>
      <x:c r="C13" s="73">
        <x:v>5</x:v>
      </x:c>
      <x:c r="D13" s="73" t="s">
        <x:v>303</x:v>
      </x:c>
      <x:c r="E13" s="73" t="n">
        <x:f>ROUND(IF(G13="蓝色",系统投放汇总!$C$12/系统投放汇总!$B$12,IF(G13="紫色",系统投放汇总!$C$13/系统投放汇总!$B$13,系统投放汇总!$C$14/系统投放汇总!$B$14))*C13,0)</x:f>
        <x:v>750</x:v>
      </x:c>
      <x:c r="F13" s="73" t="n">
        <x:f>E13*系统投放汇总!$B$6</x:f>
        <x:v>15000</x:v>
      </x:c>
      <x:c r="G13" s="71" t="str">
        <x:f>VLOOKUP(A13,英雄升级调参!$B$18:$J$27,9,FALSE)</x:f>
        <x:v>橙色</x:v>
      </x:c>
      <x:c r="H13" s="71"/>
      <x:c r="I13" s="67"/>
      <x:c r="J13" s="67"/>
      <x:c r="K13" s="67"/>
    </x:row>
    <x:row r="14" ht="27" customHeight="1">
      <x:c r="A14" s="71">
        <x:v>310006</x:v>
      </x:c>
      <x:c r="B14" s="71" t="s">
        <x:v>649</x:v>
      </x:c>
      <x:c r="C14" s="73">
        <x:v>5</x:v>
      </x:c>
      <x:c r="D14" s="73" t="s">
        <x:v>303</x:v>
      </x:c>
      <x:c r="E14" s="73" t="n">
        <x:f>ROUND(IF(G14="蓝色",系统投放汇总!$C$12/系统投放汇总!$B$12,IF(G14="紫色",系统投放汇总!$C$13/系统投放汇总!$B$13,系统投放汇总!$C$14/系统投放汇总!$B$14))*C14,0)</x:f>
        <x:v>750</x:v>
      </x:c>
      <x:c r="F14" s="73" t="n">
        <x:f>E14*系统投放汇总!$B$6</x:f>
        <x:v>15000</x:v>
      </x:c>
      <x:c r="G14" s="71" t="str">
        <x:f>VLOOKUP(A14,英雄升级调参!$B$18:$J$27,9,FALSE)</x:f>
        <x:v>橙色</x:v>
      </x:c>
      <x:c r="H14" s="71"/>
      <x:c r="I14" s="67"/>
      <x:c r="J14" s="67"/>
      <x:c r="K14" s="67"/>
    </x:row>
    <x:row r="15" ht="27" customHeight="1">
      <x:c r="A15" s="71">
        <x:v>310008</x:v>
      </x:c>
      <x:c r="B15" s="71" t="s">
        <x:v>650</x:v>
      </x:c>
      <x:c r="C15" s="73">
        <x:v>5</x:v>
      </x:c>
      <x:c r="D15" s="73" t="s">
        <x:v>303</x:v>
      </x:c>
      <x:c r="E15" s="73" t="n">
        <x:f>ROUND(IF(G15="蓝色",系统投放汇总!$C$12/系统投放汇总!$B$12,IF(G15="紫色",系统投放汇总!$C$13/系统投放汇总!$B$13,系统投放汇总!$C$14/系统投放汇总!$B$14))*C15,0)</x:f>
        <x:v>750</x:v>
      </x:c>
      <x:c r="F15" s="73" t="n">
        <x:f>E15*系统投放汇总!$B$6</x:f>
        <x:v>15000</x:v>
      </x:c>
      <x:c r="G15" s="71" t="str">
        <x:f>VLOOKUP(A15,英雄升级调参!$B$18:$J$27,9,FALSE)</x:f>
        <x:v>橙色</x:v>
      </x:c>
      <x:c r="H15" s="71"/>
      <x:c r="I15" s="67"/>
      <x:c r="J15" s="67"/>
      <x:c r="K15" s="67"/>
    </x:row>
    <x:row r="16" ht="27" customHeight="1">
      <x:c r="A16" s="71">
        <x:v>310009</x:v>
      </x:c>
      <x:c r="B16" s="71" t="s">
        <x:v>651</x:v>
      </x:c>
      <x:c r="C16" s="73">
        <x:v>5</x:v>
      </x:c>
      <x:c r="D16" s="73" t="s">
        <x:v>303</x:v>
      </x:c>
      <x:c r="E16" s="73" t="n">
        <x:f>ROUND(IF(G16="蓝色",系统投放汇总!$C$12/系统投放汇总!$B$12,IF(G16="紫色",系统投放汇总!$C$13/系统投放汇总!$B$13,系统投放汇总!$C$14/系统投放汇总!$B$14))*C16,0)</x:f>
        <x:v>150</x:v>
      </x:c>
      <x:c r="F16" s="73" t="n">
        <x:f>E16*系统投放汇总!$B$6</x:f>
        <x:v>3000</x:v>
      </x:c>
      <x:c r="G16" s="71" t="str">
        <x:f>VLOOKUP(A16,英雄升级调参!$B$18:$J$27,9,FALSE)</x:f>
        <x:v>紫色</x:v>
      </x:c>
      <x:c r="H16" s="71"/>
      <x:c r="I16" s="67"/>
      <x:c r="J16" s="67"/>
      <x:c r="K16" s="67"/>
    </x:row>
    <x:row r="17" ht="27" customHeight="1">
      <x:c r="A17" s="71">
        <x:v>110001</x:v>
      </x:c>
      <x:c r="B17" s="71" t="s">
        <x:v>652</x:v>
      </x:c>
      <x:c r="C17" s="73">
        <x:v>100</x:v>
      </x:c>
      <x:c r="D17" s="73" t="s">
        <x:v>558</x:v>
      </x:c>
      <x:c r="E17" s="73" t="n">
        <x:f>ROUND(系统投放汇总!$C$9/系统投放汇总!$B$9*C17,0)</x:f>
        <x:v>50</x:v>
      </x:c>
      <x:c r="F17" s="73" t="n">
        <x:f>E17*系统投放汇总!$B$6</x:f>
        <x:v>1000</x:v>
      </x:c>
      <x:c r="G17" s="71"/>
      <x:c r="H17" s="71"/>
      <x:c r="I17" s="67"/>
      <x:c r="J17" s="67"/>
      <x:c r="K17" s="67"/>
    </x:row>
    <x:row r="18" ht="27" customHeight="1">
      <x:c r="A18" s="71">
        <x:v>110002</x:v>
      </x:c>
      <x:c r="B18" s="71" t="s">
        <x:v>653</x:v>
      </x:c>
      <x:c r="C18" s="73">
        <x:v>100</x:v>
      </x:c>
      <x:c r="D18" s="73" t="s">
        <x:v>558</x:v>
      </x:c>
      <x:c r="E18" s="73" t="n">
        <x:f>ROUND(系统投放汇总!$C$10/系统投放汇总!$B$10*C18,0)</x:f>
        <x:v>50</x:v>
      </x:c>
      <x:c r="F18" s="73" t="n">
        <x:f>E18*系统投放汇总!$B$6</x:f>
        <x:v>1000</x:v>
      </x:c>
      <x:c r="G18" s="71"/>
      <x:c r="H18" s="71"/>
      <x:c r="I18" s="67"/>
      <x:c r="J18" s="67"/>
      <x:c r="K18" s="67"/>
    </x:row>
    <x:row r="19" ht="27" customHeight="1">
      <x:c r="A19" s="71">
        <x:v>110003</x:v>
      </x:c>
      <x:c r="B19" s="71" t="s">
        <x:v>654</x:v>
      </x:c>
      <x:c r="C19" s="73">
        <x:v>100</x:v>
      </x:c>
      <x:c r="D19" s="73" t="s">
        <x:v>558</x:v>
      </x:c>
      <x:c r="E19" s="73" t="n">
        <x:f>ROUND(系统投放汇总!$C$11/系统投放汇总!$B$11*C19,0)</x:f>
        <x:v>50</x:v>
      </x:c>
      <x:c r="F19" s="73" t="n">
        <x:f>E19*系统投放汇总!$B$6</x:f>
        <x:v>1000</x:v>
      </x:c>
      <x:c r="G19" s="71"/>
      <x:c r="H19" s="71"/>
      <x:c r="I19" s="67"/>
      <x:c r="J19" s="67"/>
      <x:c r="K19" s="67"/>
    </x:row>
    <x:row r="20" ht="27" customHeight="1">
      <x:c r="A20" s="71">
        <x:v>310011</x:v>
      </x:c>
      <x:c r="B20" s="71" t="s">
        <x:v>655</x:v>
      </x:c>
      <x:c r="C20" s="71">
        <x:v>5</x:v>
      </x:c>
      <x:c r="D20" s="71" t="s">
        <x:v>303</x:v>
      </x:c>
      <x:c r="E20" s="71" t="n">
        <x:f>ROUND(IF(G20="蓝色",系统投放汇总!$C$12/系统投放汇总!$B$12,IF(G20="紫色",系统投放汇总!$C$13/系统投放汇总!$B$13,系统投放汇总!$C$14/系统投放汇总!$B$14))*C20,0)</x:f>
        <x:v>150</x:v>
      </x:c>
      <x:c r="F20" s="71" t="n">
        <x:f>E20*系统投放汇总!$B$6</x:f>
        <x:v>3000</x:v>
      </x:c>
      <x:c r="G20" s="71" t="str">
        <x:f>VLOOKUP(A20,英雄升级调参!$B$18:$J$27,9,FALSE)</x:f>
        <x:v>紫色</x:v>
      </x:c>
      <x:c r="H20" s="71"/>
      <x:c r="I20" s="67"/>
      <x:c r="J20" s="67"/>
      <x:c r="K20" s="67"/>
    </x:row>
    <x:row r="21" ht="27" customHeight="1">
      <x:c r="A21" s="71">
        <x:v>210009</x:v>
      </x:c>
      <x:c r="B21" s="71" t="inlineStr">
        <x:is>
          <x:t xml:space="preserve">体力（车票）</x:t>
        </x:is>
      </x:c>
      <x:c r="C21" s="73">
        <x:v>5</x:v>
      </x:c>
      <x:c r="D21" s="73" t="inlineStr">
        <x:is>
          <x:t xml:space="preserve">钻石</x:t>
        </x:is>
      </x:c>
      <x:c r="E21" s="73" t="n">
        <x:f>ROUND('系统投放汇总'!$C$15/'系统投放汇总'!$B$15*C21,0)</x:f>
        <x:v>100</x:v>
      </x:c>
      <x:c r="F21" s="73" t="n">
        <x:f>E21*'系统投放汇总'!$B$6</x:f>
        <x:v>2000</x:v>
      </x:c>
      <x:c r="G21" s="71"/>
      <x:c r="H21" s="71"/>
      <x:c r="I21" s="67"/>
      <x:c r="J21" s="67"/>
      <x:c r="K21" s="67"/>
    </x:row>
    <x:row r="22" ht="27" customHeight="1">
      <x:c r="A22" s="71">
        <x:v>210010</x:v>
      </x:c>
      <x:c r="B22" s="71" t="inlineStr">
        <x:is>
          <x:t xml:space="preserve">时尚币</x:t>
        </x:is>
      </x:c>
      <x:c r="C22" s="73">
        <x:v>150</x:v>
      </x:c>
      <x:c r="D22" s="73" t="inlineStr">
        <x:is>
          <x:t xml:space="preserve">钻石</x:t>
        </x:is>
      </x:c>
      <x:c r="E22" s="73" t="n">
        <x:f>ROUND('系统投放汇总'!$C$16/'系统投放汇总'!$B$16*C22,0)</x:f>
        <x:v>100</x:v>
      </x:c>
      <x:c r="F22" s="73" t="n">
        <x:f>E22*'系统投放汇总'!$B$6</x:f>
        <x:v>2000</x:v>
      </x:c>
      <x:c r="G22" s="71"/>
      <x:c r="H22" s="71"/>
      <x:c r="I22" s="67"/>
      <x:c r="J22" s="67"/>
      <x:c r="K22" s="67"/>
    </x:row>
    <x:row r="23" ht="27" customHeight="1">
      <x:c r="A23" s="71" t="n">
        <x:v>210001</x:v>
      </x:c>
      <x:c r="B23" s="71" t="str">
        <x:v>金币</x:v>
      </x:c>
      <x:c r="C23" s="73" t="n">
        <x:v>1200</x:v>
      </x:c>
      <x:c r="D23" s="73" t="str">
        <x:v>钻石</x:v>
      </x:c>
      <x:c r="E23" s="73" t="n">
        <x:f>ROUND(C23/'系统投放汇总'!$B$6,0)</x:f>
        <x:v>60</x:v>
      </x:c>
      <x:c r="F23" s="73" t="n">
        <x:f>C23</x:f>
        <x:v>1200</x:v>
      </x:c>
      <x:c r="G23" s="71"/>
      <x:c r="H23" s="71"/>
      <x:c r="I23" s="67"/>
      <x:c r="J23" s="67"/>
      <x:c r="K23" s="67"/>
    </x:row>
    <x:row r="24" ht="27" customHeight="1">
      <x:c r="A24" s="71" t="inlineStr">
        <x:is>
          <x:t xml:space="preserve">溢价＝售价折钻石÷基准价值−1；当前付费商品按锚定原价出售，溢价为0%。</x:t>
        </x:is>
      </x:c>
      <x:c r="B24" s="71"/>
      <x:c r="C24" s="71"/>
      <x:c r="D24" s="71"/>
      <x:c r="E24" s="71"/>
      <x:c r="F24" s="71"/>
      <x:c r="G24" s="71"/>
      <x:c r="H24" s="71"/>
      <x:c r="I24" s="67"/>
      <x:c r="J24" s="67"/>
      <x:c r="K24" s="67"/>
    </x:row>
    <x:row r="25" ht="27" customHeight="1">
      <x:c r="A25" s="71" t="str">
        <x:v>品质来源：最新截图；角色名称/ID 对应“英雄升级调参”。上方价格随当前品质更新。</x:v>
      </x:c>
      <x:c r="B25" s="71"/>
      <x:c r="C25" s="71"/>
      <x:c r="D25" s="71"/>
      <x:c r="E25" s="71"/>
      <x:c r="F25" s="71"/>
      <x:c r="G25" s="71"/>
      <x:c r="H25" s="71"/>
      <x:c r="I25" s="67"/>
      <x:c r="J25" s="67"/>
      <x:c r="K25" s="67"/>
    </x:row>
    <x:row r="26" ht="27" customHeight="1">
      <x:c r="A26" s="70" t="s">
        <x:v>656</x:v>
      </x:c>
      <x:c r="B26" s="71"/>
      <x:c r="C26" s="71"/>
      <x:c r="D26" s="71"/>
      <x:c r="E26" s="71"/>
      <x:c r="F26" s="71"/>
      <x:c r="G26" s="71"/>
      <x:c r="H26" s="71"/>
      <x:c r="I26" s="67"/>
      <x:c r="J26" s="67"/>
      <x:c r="K26" s="67"/>
    </x:row>
    <x:row r="27" ht="27" customHeight="1">
      <x:c r="A27" s="71" t="inlineStr">
        <x:is>
          <x:t xml:space="preserve">数量和货币可调整；售价默认按基准价值换算，可覆盖公式单独定价，溢价自动更新。</x:t>
        </x:is>
      </x:c>
      <x:c r="B27" s="71"/>
      <x:c r="C27" s="71"/>
      <x:c r="D27" s="71"/>
      <x:c r="E27" s="71"/>
      <x:c r="F27" s="71"/>
      <x:c r="G27" s="71"/>
      <x:c r="H27" s="71"/>
      <x:c r="I27" s="67"/>
      <x:c r="J27" s="67"/>
      <x:c r="K27" s="67"/>
    </x:row>
    <x:row r="28" ht="27" customHeight="1">
      <x:c r="A28" s="71"/>
      <x:c r="B28" s="71"/>
      <x:c r="C28" s="71"/>
      <x:c r="D28" s="71"/>
      <x:c r="E28" s="71"/>
      <x:c r="F28" s="71"/>
      <x:c r="G28" s="71"/>
      <x:c r="H28" s="71"/>
      <x:c r="I28" s="67"/>
      <x:c r="J28" s="67"/>
      <x:c r="K28" s="67"/>
    </x:row>
    <x:row r="29" ht="38.099998474121094" customHeight="1">
      <x:c r="A29" s="74" t="s">
        <x:v>657</x:v>
      </x:c>
      <x:c r="B29" s="74" t="s">
        <x:v>658</x:v>
      </x:c>
      <x:c r="C29" s="74" t="s">
        <x:v>659</x:v>
      </x:c>
      <x:c r="D29" s="74" t="s">
        <x:v>638</x:v>
      </x:c>
      <x:c r="E29" s="74" t="s">
        <x:v>660</x:v>
      </x:c>
      <x:c r="F29" s="74" t="s">
        <x:v>661</x:v>
      </x:c>
      <x:c r="G29" s="74" t="s">
        <x:v>662</x:v>
      </x:c>
      <x:c r="H29" s="74" t="s">
        <x:v>663</x:v>
      </x:c>
      <x:c r="I29" s="74" t="str">
        <x:v>投放组</x:v>
      </x:c>
      <x:c r="J29" s="74" t="str">
        <x:v>槽位编号</x:v>
      </x:c>
      <x:c r="K29" s="67"/>
    </x:row>
    <x:row r="30" ht="27" customHeight="1">
      <x:c r="A30" s="75" t="inlineStr">
        <x:is>
          <x:t xml:space="preserve">免费钻石</x:t>
        </x:is>
      </x:c>
      <x:c r="B30" s="75" t="inlineStr">
        <x:is>
          <x:t xml:space="preserve">免费钻石</x:t>
        </x:is>
      </x:c>
      <x:c r="C30" s="75" t="n">
        <x:v>20</x:v>
      </x:c>
      <x:c r="D30" s="75" t="inlineStr">
        <x:is>
          <x:t xml:space="preserve">免费</x:t>
        </x:is>
      </x:c>
      <x:c r="E30" s="75">
        <x:v>0</x:v>
      </x:c>
      <x:c r="F30" s="76" t="n">
        <x:f>IF(B30="免费钻石",C30,C30*VLOOKUP(B30,$B$7:$G$23,4,FALSE)/VLOOKUP(B30,$B$7:$G$23,2,FALSE))</x:f>
        <x:v>20</x:v>
      </x:c>
      <x:c r="G30" s="76" t="n">
        <x:f>IF(D30="金币",E30/'系统投放汇总'!$B$6,IF(D30="钻石",E30,0))</x:f>
        <x:v>0</x:v>
      </x:c>
      <x:c r="H30" s="77" t="n">
        <x:f>IF(F30=0,"无基准",G30/F30-1)</x:f>
        <x:v>-1</x:v>
      </x:c>
      <x:c r="I30" s="75" t="str">
        <x:v>每日赠礼</x:v>
      </x:c>
      <x:c r="J30" s="67"/>
      <x:c r="K30" s="67"/>
    </x:row>
    <x:row r="31" ht="27" customHeight="1">
      <x:c r="A31" s="75" t="inlineStr">
        <x:is>
          <x:t xml:space="preserve">勇气经验球小 金币买</x:t>
        </x:is>
      </x:c>
      <x:c r="B31" s="75" t="inlineStr">
        <x:is>
          <x:t xml:space="preserve">勇气经验球</x:t>
        </x:is>
      </x:c>
      <x:c r="C31" s="75">
        <x:v>50</x:v>
      </x:c>
      <x:c r="D31" s="75" t="inlineStr">
        <x:is>
          <x:t xml:space="preserve">金币</x:t>
        </x:is>
      </x:c>
      <x:c r="E31" s="75" t="n">
        <x:f>ROUND(IF(D31="金币",F31*'系统投放汇总'!$B$6,IF(D31="钻石",F31,0)),0)</x:f>
        <x:v>500</x:v>
      </x:c>
      <x:c r="F31" s="76" t="n">
        <x:f>IF(B31="免费钻石",C31,C31*VLOOKUP(B31,$B$7:$G$23,4,FALSE)/VLOOKUP(B31,$B$7:$G$23,2,FALSE))</x:f>
        <x:v>25</x:v>
      </x:c>
      <x:c r="G31" s="76" t="n">
        <x:f>IF(D31="金币",E31/'系统投放汇总'!$B$6,IF(D31="钻石",E31,0))</x:f>
        <x:v>25</x:v>
      </x:c>
      <x:c r="H31" s="77" t="n">
        <x:f>IF(F31=0,"无基准",G31/F31-1)</x:f>
        <x:v>0</x:v>
      </x:c>
      <x:c r="I31" s="75" t="str">
        <x:v>A</x:v>
      </x:c>
      <x:c r="J31" s="75" t="str">
        <x:v>1、4、7</x:v>
      </x:c>
      <x:c r="K31" s="67"/>
    </x:row>
    <x:row r="32" ht="27" customHeight="1">
      <x:c r="A32" s="75" t="inlineStr">
        <x:is>
          <x:t xml:space="preserve">勇气经验球中 金币买</x:t>
        </x:is>
      </x:c>
      <x:c r="B32" s="75" t="inlineStr">
        <x:is>
          <x:t xml:space="preserve">勇气经验球</x:t>
        </x:is>
      </x:c>
      <x:c r="C32" s="75">
        <x:v>100</x:v>
      </x:c>
      <x:c r="D32" s="75" t="inlineStr">
        <x:is>
          <x:t xml:space="preserve">金币</x:t>
        </x:is>
      </x:c>
      <x:c r="E32" s="75" t="n">
        <x:f>ROUND(IF(D32="金币",F32*'系统投放汇总'!$B$6,IF(D32="钻石",F32,0)),0)</x:f>
        <x:v>1000</x:v>
      </x:c>
      <x:c r="F32" s="76" t="n">
        <x:f>IF(B32="免费钻石",C32,C32*VLOOKUP(B32,$B$7:$G$23,4,FALSE)/VLOOKUP(B32,$B$7:$G$23,2,FALSE))</x:f>
        <x:v>50</x:v>
      </x:c>
      <x:c r="G32" s="76" t="n">
        <x:f>IF(D32="金币",E32/'系统投放汇总'!$B$6,IF(D32="钻石",E32,0))</x:f>
        <x:v>50</x:v>
      </x:c>
      <x:c r="H32" s="77" t="n">
        <x:f>IF(F32=0,"无基准",G32/F32-1)</x:f>
        <x:v>0</x:v>
      </x:c>
      <x:c r="I32" s="75" t="str">
        <x:v>A</x:v>
      </x:c>
      <x:c r="J32" s="75" t="str">
        <x:v>1、4、7</x:v>
      </x:c>
      <x:c r="K32" s="67"/>
    </x:row>
    <x:row r="33" ht="27" customHeight="1">
      <x:c r="A33" s="75" t="inlineStr">
        <x:is>
          <x:t xml:space="preserve">勇气经验球中 钻石买</x:t>
        </x:is>
      </x:c>
      <x:c r="B33" s="75" t="inlineStr">
        <x:is>
          <x:t xml:space="preserve">勇气经验球</x:t>
        </x:is>
      </x:c>
      <x:c r="C33" s="75">
        <x:v>100</x:v>
      </x:c>
      <x:c r="D33" s="75" t="inlineStr">
        <x:is>
          <x:t xml:space="preserve">钻石</x:t>
        </x:is>
      </x:c>
      <x:c r="E33" s="75" t="n">
        <x:f>ROUND(IF(D33="金币",F33*'系统投放汇总'!$B$6,IF(D33="钻石",F33,0)),0)</x:f>
        <x:v>50</x:v>
      </x:c>
      <x:c r="F33" s="76" t="n">
        <x:f>IF(B33="免费钻石",C33,C33*VLOOKUP(B33,$B$7:$G$23,4,FALSE)/VLOOKUP(B33,$B$7:$G$23,2,FALSE))</x:f>
        <x:v>50</x:v>
      </x:c>
      <x:c r="G33" s="76" t="n">
        <x:f>IF(D33="金币",E33/'系统投放汇总'!$B$6,IF(D33="钻石",E33,0))</x:f>
        <x:v>50</x:v>
      </x:c>
      <x:c r="H33" s="77" t="n">
        <x:f>IF(F33=0,"无基准",G33/F33-1)</x:f>
        <x:v>0</x:v>
      </x:c>
      <x:c r="I33" s="75" t="str">
        <x:v>A</x:v>
      </x:c>
      <x:c r="J33" s="75" t="str">
        <x:v>1、4、7</x:v>
      </x:c>
      <x:c r="K33" s="67"/>
    </x:row>
    <x:row r="34" ht="27" customHeight="1">
      <x:c r="A34" s="75" t="inlineStr">
        <x:is>
          <x:t xml:space="preserve">勇气经验球大 钻石买</x:t>
        </x:is>
      </x:c>
      <x:c r="B34" s="75" t="inlineStr">
        <x:is>
          <x:t xml:space="preserve">勇气经验球</x:t>
        </x:is>
      </x:c>
      <x:c r="C34" s="75">
        <x:v>200</x:v>
      </x:c>
      <x:c r="D34" s="75" t="inlineStr">
        <x:is>
          <x:t xml:space="preserve">钻石</x:t>
        </x:is>
      </x:c>
      <x:c r="E34" s="75" t="n">
        <x:f>ROUND(IF(D34="金币",F34*'系统投放汇总'!$B$6,IF(D34="钻石",F34,0)),0)</x:f>
        <x:v>100</x:v>
      </x:c>
      <x:c r="F34" s="76" t="n">
        <x:f>IF(B34="免费钻石",C34,C34*VLOOKUP(B34,$B$7:$G$23,4,FALSE)/VLOOKUP(B34,$B$7:$G$23,2,FALSE))</x:f>
        <x:v>100</x:v>
      </x:c>
      <x:c r="G34" s="76" t="n">
        <x:f>IF(D34="金币",E34/'系统投放汇总'!$B$6,IF(D34="钻石",E34,0))</x:f>
        <x:v>100</x:v>
      </x:c>
      <x:c r="H34" s="77" t="n">
        <x:f>IF(F34=0,"无基准",G34/F34-1)</x:f>
        <x:v>0</x:v>
      </x:c>
      <x:c r="I34" s="75" t="str">
        <x:v>A</x:v>
      </x:c>
      <x:c r="J34" s="75" t="str">
        <x:v>1、4、7</x:v>
      </x:c>
      <x:c r="K34" s="67"/>
    </x:row>
    <x:row r="35" ht="27" customHeight="1">
      <x:c r="A35" s="75" t="inlineStr">
        <x:is>
          <x:t xml:space="preserve">机敏经验球小 金币买</x:t>
        </x:is>
      </x:c>
      <x:c r="B35" s="75" t="inlineStr">
        <x:is>
          <x:t xml:space="preserve">机敏经验球</x:t>
        </x:is>
      </x:c>
      <x:c r="C35" s="75">
        <x:v>50</x:v>
      </x:c>
      <x:c r="D35" s="75" t="inlineStr">
        <x:is>
          <x:t xml:space="preserve">金币</x:t>
        </x:is>
      </x:c>
      <x:c r="E35" s="75" t="n">
        <x:f>ROUND(IF(D35="金币",F35*'系统投放汇总'!$B$6,IF(D35="钻石",F35,0)),0)</x:f>
        <x:v>500</x:v>
      </x:c>
      <x:c r="F35" s="76" t="n">
        <x:f>IF(B35="免费钻石",C35,C35*VLOOKUP(B35,$B$7:$G$23,4,FALSE)/VLOOKUP(B35,$B$7:$G$23,2,FALSE))</x:f>
        <x:v>25</x:v>
      </x:c>
      <x:c r="G35" s="76" t="n">
        <x:f>IF(D35="金币",E35/'系统投放汇总'!$B$6,IF(D35="钻石",E35,0))</x:f>
        <x:v>25</x:v>
      </x:c>
      <x:c r="H35" s="77" t="n">
        <x:f>IF(F35=0,"无基准",G35/F35-1)</x:f>
        <x:v>0</x:v>
      </x:c>
      <x:c r="I35" s="75" t="str">
        <x:v>A</x:v>
      </x:c>
      <x:c r="J35" s="75" t="str">
        <x:v>1、4、7</x:v>
      </x:c>
      <x:c r="K35" s="67"/>
    </x:row>
    <x:row r="36" ht="27" customHeight="1">
      <x:c r="A36" s="75" t="inlineStr">
        <x:is>
          <x:t xml:space="preserve">机敏经验球中 金币买</x:t>
        </x:is>
      </x:c>
      <x:c r="B36" s="75" t="inlineStr">
        <x:is>
          <x:t xml:space="preserve">机敏经验球</x:t>
        </x:is>
      </x:c>
      <x:c r="C36" s="75">
        <x:v>100</x:v>
      </x:c>
      <x:c r="D36" s="75" t="inlineStr">
        <x:is>
          <x:t xml:space="preserve">金币</x:t>
        </x:is>
      </x:c>
      <x:c r="E36" s="75" t="n">
        <x:f>ROUND(IF(D36="金币",F36*'系统投放汇总'!$B$6,IF(D36="钻石",F36,0)),0)</x:f>
        <x:v>1000</x:v>
      </x:c>
      <x:c r="F36" s="76" t="n">
        <x:f>IF(B36="免费钻石",C36,C36*VLOOKUP(B36,$B$7:$G$23,4,FALSE)/VLOOKUP(B36,$B$7:$G$23,2,FALSE))</x:f>
        <x:v>50</x:v>
      </x:c>
      <x:c r="G36" s="76" t="n">
        <x:f>IF(D36="金币",E36/'系统投放汇总'!$B$6,IF(D36="钻石",E36,0))</x:f>
        <x:v>50</x:v>
      </x:c>
      <x:c r="H36" s="77" t="n">
        <x:f>IF(F36=0,"无基准",G36/F36-1)</x:f>
        <x:v>0</x:v>
      </x:c>
      <x:c r="I36" s="75" t="str">
        <x:v>A</x:v>
      </x:c>
      <x:c r="J36" s="75" t="str">
        <x:v>1、4、7</x:v>
      </x:c>
      <x:c r="K36" s="67"/>
    </x:row>
    <x:row r="37" ht="27" customHeight="1">
      <x:c r="A37" s="75" t="inlineStr">
        <x:is>
          <x:t xml:space="preserve">机敏经验球中 钻石买</x:t>
        </x:is>
      </x:c>
      <x:c r="B37" s="75" t="inlineStr">
        <x:is>
          <x:t xml:space="preserve">机敏经验球</x:t>
        </x:is>
      </x:c>
      <x:c r="C37" s="75">
        <x:v>100</x:v>
      </x:c>
      <x:c r="D37" s="75" t="inlineStr">
        <x:is>
          <x:t xml:space="preserve">钻石</x:t>
        </x:is>
      </x:c>
      <x:c r="E37" s="75" t="n">
        <x:f>ROUND(IF(D37="金币",F37*'系统投放汇总'!$B$6,IF(D37="钻石",F37,0)),0)</x:f>
        <x:v>50</x:v>
      </x:c>
      <x:c r="F37" s="76" t="n">
        <x:f>IF(B37="免费钻石",C37,C37*VLOOKUP(B37,$B$7:$G$23,4,FALSE)/VLOOKUP(B37,$B$7:$G$23,2,FALSE))</x:f>
        <x:v>50</x:v>
      </x:c>
      <x:c r="G37" s="76" t="n">
        <x:f>IF(D37="金币",E37/'系统投放汇总'!$B$6,IF(D37="钻石",E37,0))</x:f>
        <x:v>50</x:v>
      </x:c>
      <x:c r="H37" s="77" t="n">
        <x:f>IF(F37=0,"无基准",G37/F37-1)</x:f>
        <x:v>0</x:v>
      </x:c>
      <x:c r="I37" s="75" t="str">
        <x:v>A</x:v>
      </x:c>
      <x:c r="J37" s="75" t="str">
        <x:v>1、4、7</x:v>
      </x:c>
      <x:c r="K37" s="67"/>
    </x:row>
    <x:row r="38" ht="27" customHeight="1">
      <x:c r="A38" s="75" t="inlineStr">
        <x:is>
          <x:t xml:space="preserve">机敏经验球大 钻石买</x:t>
        </x:is>
      </x:c>
      <x:c r="B38" s="75" t="inlineStr">
        <x:is>
          <x:t xml:space="preserve">机敏经验球</x:t>
        </x:is>
      </x:c>
      <x:c r="C38" s="75">
        <x:v>200</x:v>
      </x:c>
      <x:c r="D38" s="75" t="inlineStr">
        <x:is>
          <x:t xml:space="preserve">钻石</x:t>
        </x:is>
      </x:c>
      <x:c r="E38" s="75" t="n">
        <x:f>ROUND(IF(D38="金币",F38*'系统投放汇总'!$B$6,IF(D38="钻石",F38,0)),0)</x:f>
        <x:v>100</x:v>
      </x:c>
      <x:c r="F38" s="76" t="n">
        <x:f>IF(B38="免费钻石",C38,C38*VLOOKUP(B38,$B$7:$G$23,4,FALSE)/VLOOKUP(B38,$B$7:$G$23,2,FALSE))</x:f>
        <x:v>100</x:v>
      </x:c>
      <x:c r="G38" s="76" t="n">
        <x:f>IF(D38="金币",E38/'系统投放汇总'!$B$6,IF(D38="钻石",E38,0))</x:f>
        <x:v>100</x:v>
      </x:c>
      <x:c r="H38" s="77" t="n">
        <x:f>IF(F38=0,"无基准",G38/F38-1)</x:f>
        <x:v>0</x:v>
      </x:c>
      <x:c r="I38" s="75" t="str">
        <x:v>A</x:v>
      </x:c>
      <x:c r="J38" s="75" t="str">
        <x:v>1、4、7</x:v>
      </x:c>
      <x:c r="K38" s="67"/>
    </x:row>
    <x:row r="39" ht="27" customHeight="1">
      <x:c r="A39" s="75" t="inlineStr">
        <x:is>
          <x:t xml:space="preserve">坚毅经验球小 金币买</x:t>
        </x:is>
      </x:c>
      <x:c r="B39" s="75" t="inlineStr">
        <x:is>
          <x:t xml:space="preserve">坚毅经验球</x:t>
        </x:is>
      </x:c>
      <x:c r="C39" s="75">
        <x:v>50</x:v>
      </x:c>
      <x:c r="D39" s="75" t="inlineStr">
        <x:is>
          <x:t xml:space="preserve">金币</x:t>
        </x:is>
      </x:c>
      <x:c r="E39" s="75" t="n">
        <x:f>ROUND(IF(D39="金币",F39*'系统投放汇总'!$B$6,IF(D39="钻石",F39,0)),0)</x:f>
        <x:v>500</x:v>
      </x:c>
      <x:c r="F39" s="76" t="n">
        <x:f>IF(B39="免费钻石",C39,C39*VLOOKUP(B39,$B$7:$G$23,4,FALSE)/VLOOKUP(B39,$B$7:$G$23,2,FALSE))</x:f>
        <x:v>25</x:v>
      </x:c>
      <x:c r="G39" s="76" t="n">
        <x:f>IF(D39="金币",E39/'系统投放汇总'!$B$6,IF(D39="钻石",E39,0))</x:f>
        <x:v>25</x:v>
      </x:c>
      <x:c r="H39" s="77" t="n">
        <x:f>IF(F39=0,"无基准",G39/F39-1)</x:f>
        <x:v>0</x:v>
      </x:c>
      <x:c r="I39" s="75" t="str">
        <x:v>B</x:v>
      </x:c>
      <x:c r="J39" s="75" t="str">
        <x:v>2、5、8</x:v>
      </x:c>
      <x:c r="K39" s="67"/>
    </x:row>
    <x:row r="40" ht="27" customHeight="1">
      <x:c r="A40" s="75" t="inlineStr">
        <x:is>
          <x:t xml:space="preserve">坚毅经验球中 金币买</x:t>
        </x:is>
      </x:c>
      <x:c r="B40" s="75" t="inlineStr">
        <x:is>
          <x:t xml:space="preserve">坚毅经验球</x:t>
        </x:is>
      </x:c>
      <x:c r="C40" s="75">
        <x:v>100</x:v>
      </x:c>
      <x:c r="D40" s="75" t="inlineStr">
        <x:is>
          <x:t xml:space="preserve">金币</x:t>
        </x:is>
      </x:c>
      <x:c r="E40" s="75" t="n">
        <x:f>ROUND(IF(D40="金币",F40*'系统投放汇总'!$B$6,IF(D40="钻石",F40,0)),0)</x:f>
        <x:v>1000</x:v>
      </x:c>
      <x:c r="F40" s="76" t="n">
        <x:f>IF(B40="免费钻石",C40,C40*VLOOKUP(B40,$B$7:$G$23,4,FALSE)/VLOOKUP(B40,$B$7:$G$23,2,FALSE))</x:f>
        <x:v>50</x:v>
      </x:c>
      <x:c r="G40" s="76" t="n">
        <x:f>IF(D40="金币",E40/'系统投放汇总'!$B$6,IF(D40="钻石",E40,0))</x:f>
        <x:v>50</x:v>
      </x:c>
      <x:c r="H40" s="77" t="n">
        <x:f>IF(F40=0,"无基准",G40/F40-1)</x:f>
        <x:v>0</x:v>
      </x:c>
      <x:c r="I40" s="75" t="str">
        <x:v>B</x:v>
      </x:c>
      <x:c r="J40" s="75" t="str">
        <x:v>2、5、8</x:v>
      </x:c>
      <x:c r="K40" s="67"/>
    </x:row>
    <x:row r="41" ht="27" customHeight="1">
      <x:c r="A41" s="75" t="inlineStr">
        <x:is>
          <x:t xml:space="preserve">坚毅经验球中 钻石买</x:t>
        </x:is>
      </x:c>
      <x:c r="B41" s="75" t="inlineStr">
        <x:is>
          <x:t xml:space="preserve">坚毅经验球</x:t>
        </x:is>
      </x:c>
      <x:c r="C41" s="75">
        <x:v>100</x:v>
      </x:c>
      <x:c r="D41" s="75" t="inlineStr">
        <x:is>
          <x:t xml:space="preserve">钻石</x:t>
        </x:is>
      </x:c>
      <x:c r="E41" s="75" t="n">
        <x:f>ROUND(IF(D41="金币",F41*'系统投放汇总'!$B$6,IF(D41="钻石",F41,0)),0)</x:f>
        <x:v>50</x:v>
      </x:c>
      <x:c r="F41" s="76" t="n">
        <x:f>IF(B41="免费钻石",C41,C41*VLOOKUP(B41,$B$7:$G$23,4,FALSE)/VLOOKUP(B41,$B$7:$G$23,2,FALSE))</x:f>
        <x:v>50</x:v>
      </x:c>
      <x:c r="G41" s="76" t="n">
        <x:f>IF(D41="金币",E41/'系统投放汇总'!$B$6,IF(D41="钻石",E41,0))</x:f>
        <x:v>50</x:v>
      </x:c>
      <x:c r="H41" s="77" t="n">
        <x:f>IF(F41=0,"无基准",G41/F41-1)</x:f>
        <x:v>0</x:v>
      </x:c>
      <x:c r="I41" s="75" t="str">
        <x:v>B</x:v>
      </x:c>
      <x:c r="J41" s="75" t="str">
        <x:v>2、5、8</x:v>
      </x:c>
      <x:c r="K41" s="67"/>
    </x:row>
    <x:row r="42" ht="27" customHeight="1">
      <x:c r="A42" s="75" t="inlineStr">
        <x:is>
          <x:t xml:space="preserve">坚毅经验球大 钻石买</x:t>
        </x:is>
      </x:c>
      <x:c r="B42" s="75" t="inlineStr">
        <x:is>
          <x:t xml:space="preserve">坚毅经验球</x:t>
        </x:is>
      </x:c>
      <x:c r="C42" s="75">
        <x:v>200</x:v>
      </x:c>
      <x:c r="D42" s="75" t="inlineStr">
        <x:is>
          <x:t xml:space="preserve">钻石</x:t>
        </x:is>
      </x:c>
      <x:c r="E42" s="75" t="n">
        <x:f>ROUND(IF(D42="金币",F42*'系统投放汇总'!$B$6,IF(D42="钻石",F42,0)),0)</x:f>
        <x:v>100</x:v>
      </x:c>
      <x:c r="F42" s="76" t="n">
        <x:f>IF(B42="免费钻石",C42,C42*VLOOKUP(B42,$B$7:$G$23,4,FALSE)/VLOOKUP(B42,$B$7:$G$23,2,FALSE))</x:f>
        <x:v>100</x:v>
      </x:c>
      <x:c r="G42" s="76" t="n">
        <x:f>IF(D42="金币",E42/'系统投放汇总'!$B$6,IF(D42="钻石",E42,0))</x:f>
        <x:v>100</x:v>
      </x:c>
      <x:c r="H42" s="77" t="n">
        <x:f>IF(F42=0,"无基准",G42/F42-1)</x:f>
        <x:v>0</x:v>
      </x:c>
      <x:c r="I42" s="75" t="str">
        <x:v>B</x:v>
      </x:c>
      <x:c r="J42" s="75" t="str">
        <x:v>2、5、8</x:v>
      </x:c>
      <x:c r="K42" s="67"/>
    </x:row>
    <x:row r="43" ht="27" customHeight="1">
      <x:c r="A43" s="75" t="inlineStr">
        <x:is>
          <x:t xml:space="preserve">特歪兔碎片 金币买</x:t>
        </x:is>
      </x:c>
      <x:c r="B43" s="75" t="inlineStr">
        <x:is>
          <x:t xml:space="preserve">特歪兔碎片</x:t>
        </x:is>
      </x:c>
      <x:c r="C43" s="75">
        <x:v>5</x:v>
      </x:c>
      <x:c r="D43" s="75" t="inlineStr">
        <x:is>
          <x:t xml:space="preserve">金币</x:t>
        </x:is>
      </x:c>
      <x:c r="E43" s="75" t="n">
        <x:f>ROUND(IF(D43="金币",F43*'系统投放汇总'!$B$6,IF(D43="钻石",F43,0)),0)</x:f>
        <x:v>300</x:v>
      </x:c>
      <x:c r="F43" s="76" t="n">
        <x:f>IF(B43="免费钻石",C43,C43*VLOOKUP(B43,$B$7:$G$23,4,FALSE)/VLOOKUP(B43,$B$7:$G$23,2,FALSE))</x:f>
        <x:v>15</x:v>
      </x:c>
      <x:c r="G43" s="76" t="n">
        <x:f>IF(D43="金币",E43/'系统投放汇总'!$B$6,IF(D43="钻石",E43,0))</x:f>
        <x:v>15</x:v>
      </x:c>
      <x:c r="H43" s="77" t="n">
        <x:f>IF(F43=0,"无基准",G43/F43-1)</x:f>
        <x:v>0</x:v>
      </x:c>
      <x:c r="I43" s="75" t="str">
        <x:v>A</x:v>
      </x:c>
      <x:c r="J43" s="75" t="str">
        <x:v>1、4、7</x:v>
      </x:c>
      <x:c r="K43" s="67"/>
    </x:row>
    <x:row r="44" ht="27" customHeight="1">
      <x:c r="A44" s="75" t="inlineStr">
        <x:is>
          <x:t xml:space="preserve">特歪兔碎片 钻石买</x:t>
        </x:is>
      </x:c>
      <x:c r="B44" s="75" t="inlineStr">
        <x:is>
          <x:t xml:space="preserve">特歪兔碎片</x:t>
        </x:is>
      </x:c>
      <x:c r="C44" s="75">
        <x:v>5</x:v>
      </x:c>
      <x:c r="D44" s="75" t="inlineStr">
        <x:is>
          <x:t xml:space="preserve">钻石</x:t>
        </x:is>
      </x:c>
      <x:c r="E44" s="75" t="n">
        <x:f>ROUND(IF(D44="金币",F44*'系统投放汇总'!$B$6,IF(D44="钻石",F44,0)),0)</x:f>
        <x:v>15</x:v>
      </x:c>
      <x:c r="F44" s="76" t="n">
        <x:f>IF(B44="免费钻石",C44,C44*VLOOKUP(B44,$B$7:$G$23,4,FALSE)/VLOOKUP(B44,$B$7:$G$23,2,FALSE))</x:f>
        <x:v>15</x:v>
      </x:c>
      <x:c r="G44" s="76" t="n">
        <x:f>IF(D44="金币",E44/'系统投放汇总'!$B$6,IF(D44="钻石",E44,0))</x:f>
        <x:v>15</x:v>
      </x:c>
      <x:c r="H44" s="77" t="n">
        <x:f>IF(F44=0,"无基准",G44/F44-1)</x:f>
        <x:v>0</x:v>
      </x:c>
      <x:c r="I44" s="75" t="str">
        <x:v>A</x:v>
      </x:c>
      <x:c r="J44" s="75" t="str">
        <x:v>1、4、7</x:v>
      </x:c>
      <x:c r="K44" s="67"/>
    </x:row>
    <x:row r="45" ht="27" customHeight="1">
      <x:c r="A45" s="75" t="inlineStr">
        <x:is>
          <x:t xml:space="preserve">墨伊喵碎片 金币买</x:t>
        </x:is>
      </x:c>
      <x:c r="B45" s="75" t="inlineStr">
        <x:is>
          <x:t xml:space="preserve">墨伊喵碎片</x:t>
        </x:is>
      </x:c>
      <x:c r="C45" s="75">
        <x:v>5</x:v>
      </x:c>
      <x:c r="D45" s="75" t="inlineStr">
        <x:is>
          <x:t xml:space="preserve">金币</x:t>
        </x:is>
      </x:c>
      <x:c r="E45" s="75" t="n">
        <x:f>ROUND(IF(D45="金币",F45*'系统投放汇总'!$B$6,IF(D45="钻石",F45,0)),0)</x:f>
        <x:v>300</x:v>
      </x:c>
      <x:c r="F45" s="76" t="n">
        <x:f>IF(B45="免费钻石",C45,C45*VLOOKUP(B45,$B$7:$G$23,4,FALSE)/VLOOKUP(B45,$B$7:$G$23,2,FALSE))</x:f>
        <x:v>15</x:v>
      </x:c>
      <x:c r="G45" s="76" t="n">
        <x:f>IF(D45="金币",E45/'系统投放汇总'!$B$6,IF(D45="钻石",E45,0))</x:f>
        <x:v>15</x:v>
      </x:c>
      <x:c r="H45" s="77" t="n">
        <x:f>IF(F45=0,"无基准",G45/F45-1)</x:f>
        <x:v>0</x:v>
      </x:c>
      <x:c r="I45" s="75" t="str">
        <x:v>B</x:v>
      </x:c>
      <x:c r="J45" s="75" t="str">
        <x:v>2、5、8</x:v>
      </x:c>
      <x:c r="K45" s="67"/>
    </x:row>
    <x:row r="46" ht="27" customHeight="1">
      <x:c r="A46" s="75" t="inlineStr">
        <x:is>
          <x:t xml:space="preserve">墨伊喵碎片 钻石买</x:t>
        </x:is>
      </x:c>
      <x:c r="B46" s="75" t="inlineStr">
        <x:is>
          <x:t xml:space="preserve">墨伊喵碎片</x:t>
        </x:is>
      </x:c>
      <x:c r="C46" s="75">
        <x:v>5</x:v>
      </x:c>
      <x:c r="D46" s="75" t="inlineStr">
        <x:is>
          <x:t xml:space="preserve">钻石</x:t>
        </x:is>
      </x:c>
      <x:c r="E46" s="75" t="n">
        <x:f>ROUND(IF(D46="金币",F46*'系统投放汇总'!$B$6,IF(D46="钻石",F46,0)),0)</x:f>
        <x:v>15</x:v>
      </x:c>
      <x:c r="F46" s="76" t="n">
        <x:f>IF(B46="免费钻石",C46,C46*VLOOKUP(B46,$B$7:$G$23,4,FALSE)/VLOOKUP(B46,$B$7:$G$23,2,FALSE))</x:f>
        <x:v>15</x:v>
      </x:c>
      <x:c r="G46" s="76" t="n">
        <x:f>IF(D46="金币",E46/'系统投放汇总'!$B$6,IF(D46="钻石",E46,0))</x:f>
        <x:v>15</x:v>
      </x:c>
      <x:c r="H46" s="77" t="n">
        <x:f>IF(F46=0,"无基准",G46/F46-1)</x:f>
        <x:v>0</x:v>
      </x:c>
      <x:c r="I46" s="75" t="str">
        <x:v>B</x:v>
      </x:c>
      <x:c r="J46" s="75" t="str">
        <x:v>2、5、8</x:v>
      </x:c>
      <x:c r="K46" s="67"/>
    </x:row>
    <x:row r="47" ht="27" customHeight="1">
      <x:c r="A47" s="75" t="inlineStr">
        <x:is>
          <x:t xml:space="preserve">贝尔熊碎片 金币买</x:t>
        </x:is>
      </x:c>
      <x:c r="B47" s="75" t="inlineStr">
        <x:is>
          <x:t xml:space="preserve">贝尔熊碎片</x:t>
        </x:is>
      </x:c>
      <x:c r="C47" s="75">
        <x:v>5</x:v>
      </x:c>
      <x:c r="D47" s="75" t="inlineStr">
        <x:is>
          <x:t xml:space="preserve">金币</x:t>
        </x:is>
      </x:c>
      <x:c r="E47" s="75" t="n">
        <x:f>ROUND(IF(D47="金币",F47*'系统投放汇总'!$B$6,IF(D47="钻石",F47,0)),0)</x:f>
        <x:v>300</x:v>
      </x:c>
      <x:c r="F47" s="76" t="n">
        <x:f>IF(B47="免费钻石",C47,C47*VLOOKUP(B47,$B$7:$G$23,4,FALSE)/VLOOKUP(B47,$B$7:$G$23,2,FALSE))</x:f>
        <x:v>15</x:v>
      </x:c>
      <x:c r="G47" s="76" t="n">
        <x:f>IF(D47="金币",E47/'系统投放汇总'!$B$6,IF(D47="钻石",E47,0))</x:f>
        <x:v>15</x:v>
      </x:c>
      <x:c r="H47" s="77" t="n">
        <x:f>IF(F47=0,"无基准",G47/F47-1)</x:f>
        <x:v>0</x:v>
      </x:c>
      <x:c r="I47" s="75" t="str">
        <x:v>B</x:v>
      </x:c>
      <x:c r="J47" s="75" t="str">
        <x:v>2、5、8</x:v>
      </x:c>
      <x:c r="K47" s="67"/>
    </x:row>
    <x:row r="48" ht="27" customHeight="1">
      <x:c r="A48" s="75" t="inlineStr">
        <x:is>
          <x:t xml:space="preserve">贝尔熊碎片 钻石买</x:t>
        </x:is>
      </x:c>
      <x:c r="B48" s="75" t="inlineStr">
        <x:is>
          <x:t xml:space="preserve">贝尔熊碎片</x:t>
        </x:is>
      </x:c>
      <x:c r="C48" s="75">
        <x:v>5</x:v>
      </x:c>
      <x:c r="D48" s="75" t="inlineStr">
        <x:is>
          <x:t xml:space="preserve">钻石</x:t>
        </x:is>
      </x:c>
      <x:c r="E48" s="75" t="n">
        <x:f>ROUND(IF(D48="金币",F48*'系统投放汇总'!$B$6,IF(D48="钻石",F48,0)),0)</x:f>
        <x:v>15</x:v>
      </x:c>
      <x:c r="F48" s="76" t="n">
        <x:f>IF(B48="免费钻石",C48,C48*VLOOKUP(B48,$B$7:$G$23,4,FALSE)/VLOOKUP(B48,$B$7:$G$23,2,FALSE))</x:f>
        <x:v>15</x:v>
      </x:c>
      <x:c r="G48" s="76" t="n">
        <x:f>IF(D48="金币",E48/'系统投放汇总'!$B$6,IF(D48="钻石",E48,0))</x:f>
        <x:v>15</x:v>
      </x:c>
      <x:c r="H48" s="77" t="n">
        <x:f>IF(F48=0,"无基准",G48/F48-1)</x:f>
        <x:v>0</x:v>
      </x:c>
      <x:c r="I48" s="75" t="str">
        <x:v>B</x:v>
      </x:c>
      <x:c r="J48" s="75" t="str">
        <x:v>2、5、8</x:v>
      </x:c>
      <x:c r="K48" s="67"/>
    </x:row>
    <x:row r="49" ht="27" customHeight="1">
      <x:c r="A49" s="75" t="inlineStr">
        <x:is>
          <x:t xml:space="preserve">鲀小泡碎片 钻石买</x:t>
        </x:is>
      </x:c>
      <x:c r="B49" s="75" t="inlineStr">
        <x:is>
          <x:t xml:space="preserve">鲀小泡碎片</x:t>
        </x:is>
      </x:c>
      <x:c r="C49" s="75">
        <x:v>5</x:v>
      </x:c>
      <x:c r="D49" s="75" t="inlineStr">
        <x:is>
          <x:t xml:space="preserve">钻石</x:t>
        </x:is>
      </x:c>
      <x:c r="E49" s="75" t="n">
        <x:f>ROUND(IF(D49="金币",F49*'系统投放汇总'!$B$6,IF(D49="钻石",F49,0)),0)</x:f>
        <x:v>150</x:v>
      </x:c>
      <x:c r="F49" s="76" t="n">
        <x:f>IF(B49="免费钻石",C49,C49*VLOOKUP(B49,$B$7:$G$23,4,FALSE)/VLOOKUP(B49,$B$7:$G$23,2,FALSE))</x:f>
        <x:v>150</x:v>
      </x:c>
      <x:c r="G49" s="76" t="n">
        <x:f>IF(D49="金币",E49/'系统投放汇总'!$B$6,IF(D49="钻石",E49,0))</x:f>
        <x:v>150</x:v>
      </x:c>
      <x:c r="H49" s="77" t="n">
        <x:f>IF(F49=0,"无基准",G49/F49-1)</x:f>
        <x:v>0</x:v>
      </x:c>
      <x:c r="I49" s="75" t="str">
        <x:v>A</x:v>
      </x:c>
      <x:c r="J49" s="75" t="str">
        <x:v>1、4、7</x:v>
      </x:c>
      <x:c r="K49" s="67"/>
    </x:row>
    <x:row r="50" ht="27" customHeight="1">
      <x:c r="A50" s="75" t="inlineStr">
        <x:is>
          <x:t xml:space="preserve">龟尼克碎片 钻石买</x:t>
        </x:is>
      </x:c>
      <x:c r="B50" s="75" t="inlineStr">
        <x:is>
          <x:t xml:space="preserve">龟尼克碎片</x:t>
        </x:is>
      </x:c>
      <x:c r="C50" s="75">
        <x:v>5</x:v>
      </x:c>
      <x:c r="D50" s="75" t="inlineStr">
        <x:is>
          <x:t xml:space="preserve">钻石</x:t>
        </x:is>
      </x:c>
      <x:c r="E50" s="75" t="n">
        <x:f>ROUND(IF(D50="金币",F50*'系统投放汇总'!$B$6,IF(D50="钻石",F50,0)),0)</x:f>
        <x:v>150</x:v>
      </x:c>
      <x:c r="F50" s="76" t="n">
        <x:f>IF(B50="免费钻石",C50,C50*VLOOKUP(B50,$B$7:$G$23,4,FALSE)/VLOOKUP(B50,$B$7:$G$23,2,FALSE))</x:f>
        <x:v>150</x:v>
      </x:c>
      <x:c r="G50" s="76" t="n">
        <x:f>IF(D50="金币",E50/'系统投放汇总'!$B$6,IF(D50="钻石",E50,0))</x:f>
        <x:v>150</x:v>
      </x:c>
      <x:c r="H50" s="77" t="n">
        <x:f>IF(F50=0,"无基准",G50/F50-1)</x:f>
        <x:v>0</x:v>
      </x:c>
      <x:c r="I50" s="75" t="str">
        <x:v>B</x:v>
      </x:c>
      <x:c r="J50" s="75" t="str">
        <x:v>2、5、8</x:v>
      </x:c>
      <x:c r="K50" s="67"/>
    </x:row>
    <x:row r="51" ht="27" customHeight="1">
      <x:c r="A51" s="75" t="inlineStr">
        <x:is>
          <x:t xml:space="preserve">焦焦鸮碎片 钻石买</x:t>
        </x:is>
      </x:c>
      <x:c r="B51" s="75" t="inlineStr">
        <x:is>
          <x:t xml:space="preserve">焦焦鸮碎片</x:t>
        </x:is>
      </x:c>
      <x:c r="C51" s="75">
        <x:v>5</x:v>
      </x:c>
      <x:c r="D51" s="75" t="inlineStr">
        <x:is>
          <x:t xml:space="preserve">钻石</x:t>
        </x:is>
      </x:c>
      <x:c r="E51" s="75" t="n">
        <x:f>ROUND(IF(D51="金币",F51*'系统投放汇总'!$B$6,IF(D51="钻石",F51,0)),0)</x:f>
        <x:v>750</x:v>
      </x:c>
      <x:c r="F51" s="76" t="n">
        <x:f>IF(B51="免费钻石",C51,C51*VLOOKUP(B51,$B$7:$G$23,4,FALSE)/VLOOKUP(B51,$B$7:$G$23,2,FALSE))</x:f>
        <x:v>750</x:v>
      </x:c>
      <x:c r="G51" s="76" t="n">
        <x:f>IF(D51="金币",E51/'系统投放汇总'!$B$6,IF(D51="钻石",E51,0))</x:f>
        <x:v>750</x:v>
      </x:c>
      <x:c r="H51" s="77" t="n">
        <x:f>IF(F51=0,"无基准",G51/F51-1)</x:f>
        <x:v>0</x:v>
      </x:c>
      <x:c r="I51" s="75" t="str">
        <x:v>B</x:v>
      </x:c>
      <x:c r="J51" s="75" t="str">
        <x:v>2、5、8</x:v>
      </x:c>
      <x:c r="K51" s="67"/>
    </x:row>
    <x:row r="52" ht="27" customHeight="1">
      <x:c r="A52" s="75" t="inlineStr">
        <x:is>
          <x:t xml:space="preserve">玛莫莉莉狮碎片 钻石买</x:t>
        </x:is>
      </x:c>
      <x:c r="B52" s="75" t="inlineStr">
        <x:is>
          <x:t xml:space="preserve">玛莫莉莉狮碎片</x:t>
        </x:is>
      </x:c>
      <x:c r="C52" s="75">
        <x:v>5</x:v>
      </x:c>
      <x:c r="D52" s="75" t="inlineStr">
        <x:is>
          <x:t xml:space="preserve">钻石</x:t>
        </x:is>
      </x:c>
      <x:c r="E52" s="75" t="n">
        <x:f>ROUND(IF(D52="金币",F52*'系统投放汇总'!$B$6,IF(D52="钻石",F52,0)),0)</x:f>
        <x:v>750</x:v>
      </x:c>
      <x:c r="F52" s="76" t="n">
        <x:f>IF(B52="免费钻石",C52,C52*VLOOKUP(B52,$B$7:$G$23,4,FALSE)/VLOOKUP(B52,$B$7:$G$23,2,FALSE))</x:f>
        <x:v>750</x:v>
      </x:c>
      <x:c r="G52" s="76" t="n">
        <x:f>IF(D52="金币",E52/'系统投放汇总'!$B$6,IF(D52="钻石",E52,0))</x:f>
        <x:v>750</x:v>
      </x:c>
      <x:c r="H52" s="77" t="n">
        <x:f>IF(F52=0,"无基准",G52/F52-1)</x:f>
        <x:v>0</x:v>
      </x:c>
      <x:c r="I52" s="75" t="str">
        <x:v>A</x:v>
      </x:c>
      <x:c r="J52" s="75" t="str">
        <x:v>1、4、7</x:v>
      </x:c>
      <x:c r="K52" s="67"/>
    </x:row>
    <x:row r="53" ht="27" customHeight="1">
      <x:c r="A53" s="75" t="inlineStr">
        <x:is>
          <x:t xml:space="preserve">魔魔龙碎片 钻石买</x:t>
        </x:is>
      </x:c>
      <x:c r="B53" s="75" t="inlineStr">
        <x:is>
          <x:t xml:space="preserve">魔魔龙碎片</x:t>
        </x:is>
      </x:c>
      <x:c r="C53" s="75">
        <x:v>5</x:v>
      </x:c>
      <x:c r="D53" s="75" t="inlineStr">
        <x:is>
          <x:t xml:space="preserve">钻石</x:t>
        </x:is>
      </x:c>
      <x:c r="E53" s="75" t="n">
        <x:f>ROUND(IF(D53="金币",F53*'系统投放汇总'!$B$6,IF(D53="钻石",F53,0)),0)</x:f>
        <x:v>750</x:v>
      </x:c>
      <x:c r="F53" s="76" t="n">
        <x:f>IF(B53="免费钻石",C53,C53*VLOOKUP(B53,$B$7:$G$23,4,FALSE)/VLOOKUP(B53,$B$7:$G$23,2,FALSE))</x:f>
        <x:v>750</x:v>
      </x:c>
      <x:c r="G53" s="76" t="n">
        <x:f>IF(D53="金币",E53/'系统投放汇总'!$B$6,IF(D53="钻石",E53,0))</x:f>
        <x:v>750</x:v>
      </x:c>
      <x:c r="H53" s="77" t="n">
        <x:f>IF(F53=0,"无基准",G53/F53-1)</x:f>
        <x:v>0</x:v>
      </x:c>
      <x:c r="I53" s="75" t="str">
        <x:v>B</x:v>
      </x:c>
      <x:c r="J53" s="75" t="str">
        <x:v>2、5、8</x:v>
      </x:c>
      <x:c r="K53" s="67"/>
    </x:row>
    <x:row r="54" ht="27" customHeight="1">
      <x:c r="A54" s="75" t="inlineStr">
        <x:is>
          <x:t xml:space="preserve">海希碎片 钻石买</x:t>
        </x:is>
      </x:c>
      <x:c r="B54" s="75" t="inlineStr">
        <x:is>
          <x:t xml:space="preserve">海希碎片</x:t>
        </x:is>
      </x:c>
      <x:c r="C54" s="75">
        <x:v>5</x:v>
      </x:c>
      <x:c r="D54" s="75" t="inlineStr">
        <x:is>
          <x:t xml:space="preserve">钻石</x:t>
        </x:is>
      </x:c>
      <x:c r="E54" s="75" t="n">
        <x:f>ROUND(IF(D54="金币",F54*'系统投放汇总'!$B$6,IF(D54="钻石",F54,0)),0)</x:f>
        <x:v>150</x:v>
      </x:c>
      <x:c r="F54" s="76" t="n">
        <x:f>IF(B54="免费钻石",C54,C54*VLOOKUP(B54,$B$7:$G$23,4,FALSE)/VLOOKUP(B54,$B$7:$G$23,2,FALSE))</x:f>
        <x:v>150</x:v>
      </x:c>
      <x:c r="G54" s="76" t="n">
        <x:f>IF(D54="金币",E54/'系统投放汇总'!$B$6,IF(D54="钻石",E54,0))</x:f>
        <x:v>150</x:v>
      </x:c>
      <x:c r="H54" s="77" t="n">
        <x:f>IF(F54=0,"无基准",G54/F54-1)</x:f>
        <x:v>0</x:v>
      </x:c>
      <x:c r="I54" s="75" t="str">
        <x:v>B</x:v>
      </x:c>
      <x:c r="J54" s="75" t="str">
        <x:v>2、5、8</x:v>
      </x:c>
      <x:c r="K54" s="67"/>
    </x:row>
    <x:row r="55" ht="27" customHeight="1">
      <x:c r="A55" s="75" t="inlineStr">
        <x:is>
          <x:t xml:space="preserve">鳄不恶碎片 钻石买</x:t>
        </x:is>
      </x:c>
      <x:c r="B55" s="75" t="inlineStr">
        <x:is>
          <x:t xml:space="preserve">鳄不恶碎片</x:t>
        </x:is>
      </x:c>
      <x:c r="C55" s="75">
        <x:v>5</x:v>
      </x:c>
      <x:c r="D55" s="75" t="inlineStr">
        <x:is>
          <x:t xml:space="preserve">钻石</x:t>
        </x:is>
      </x:c>
      <x:c r="E55" s="75" t="n">
        <x:f>ROUND(IF(D55="金币",F55*'系统投放汇总'!$B$6,IF(D55="钻石",F55,0)),0)</x:f>
        <x:v>150</x:v>
      </x:c>
      <x:c r="F55" s="76" t="n">
        <x:f>IF(B55="免费钻石",C55,C55*VLOOKUP(B55,$B$7:$G$23,4,FALSE)/VLOOKUP(B55,$B$7:$G$23,2,FALSE))</x:f>
        <x:v>150</x:v>
      </x:c>
      <x:c r="G55" s="76" t="n">
        <x:f>IF(D55="金币",E55/'系统投放汇总'!$B$6,IF(D55="钻石",E55,0))</x:f>
        <x:v>150</x:v>
      </x:c>
      <x:c r="H55" s="77" t="n">
        <x:f>IF(F55=0,"无基准",G55/F55-1)</x:f>
        <x:v>0</x:v>
      </x:c>
      <x:c r="I55" s="75" t="str">
        <x:v>B</x:v>
      </x:c>
      <x:c r="J55" s="75" t="str">
        <x:v>2、5、8</x:v>
      </x:c>
      <x:c r="K55" s="67"/>
    </x:row>
    <x:row r="56" ht="27" customHeight="1">
      <x:c r="A56" s="75" t="inlineStr">
        <x:is>
          <x:t xml:space="preserve">体力（车票） 钻石买</x:t>
        </x:is>
      </x:c>
      <x:c r="B56" s="75" t="inlineStr">
        <x:is>
          <x:t xml:space="preserve">体力（车票）</x:t>
        </x:is>
      </x:c>
      <x:c r="C56" s="75">
        <x:v>5</x:v>
      </x:c>
      <x:c r="D56" s="75" t="inlineStr">
        <x:is>
          <x:t xml:space="preserve">钻石</x:t>
        </x:is>
      </x:c>
      <x:c r="E56" s="75" t="n">
        <x:f>ROUND(IF(D56="金币",F56*'系统投放汇总'!$B$6,IF(D56="钻石",F56,0)),0)</x:f>
        <x:v>100</x:v>
      </x:c>
      <x:c r="F56" s="76" t="n">
        <x:f>IF(B56="免费钻石",C56,C56*VLOOKUP(B56,$B$7:$G$23,4,FALSE)/VLOOKUP(B56,$B$7:$G$23,2,FALSE))</x:f>
        <x:v>100</x:v>
      </x:c>
      <x:c r="G56" s="76" t="n">
        <x:f>IF(D56="金币",E56/'系统投放汇总'!$B$6,IF(D56="钻石",E56,0))</x:f>
        <x:v>100</x:v>
      </x:c>
      <x:c r="H56" s="77" t="n">
        <x:f>IF(F56=0,"无基准",G56/F56-1)</x:f>
        <x:v>0</x:v>
      </x:c>
      <x:c r="I56" s="75" t="str">
        <x:v>C</x:v>
      </x:c>
      <x:c r="J56" s="75" t="str">
        <x:v>3、6</x:v>
      </x:c>
      <x:c r="K56" s="67"/>
    </x:row>
    <x:row r="57" ht="27" customHeight="1">
      <x:c r="A57" s="75" t="inlineStr">
        <x:is>
          <x:t xml:space="preserve">时尚币 钻石买</x:t>
        </x:is>
      </x:c>
      <x:c r="B57" s="75" t="inlineStr">
        <x:is>
          <x:t xml:space="preserve">时尚币</x:t>
        </x:is>
      </x:c>
      <x:c r="C57" s="75">
        <x:v>150</x:v>
      </x:c>
      <x:c r="D57" s="75" t="inlineStr">
        <x:is>
          <x:t xml:space="preserve">钻石</x:t>
        </x:is>
      </x:c>
      <x:c r="E57" s="75" t="n">
        <x:f>ROUND(IF(D57="金币",F57*'系统投放汇总'!$B$6,IF(D57="钻石",F57,0)),0)</x:f>
        <x:v>100</x:v>
      </x:c>
      <x:c r="F57" s="76" t="n">
        <x:f>IF(B57="免费钻石",C57,C57*VLOOKUP(B57,$B$7:$G$23,4,FALSE)/VLOOKUP(B57,$B$7:$G$23,2,FALSE))</x:f>
        <x:v>100</x:v>
      </x:c>
      <x:c r="G57" s="76" t="n">
        <x:f>IF(D57="金币",E57/'系统投放汇总'!$B$6,IF(D57="钻石",E57,0))</x:f>
        <x:v>100</x:v>
      </x:c>
      <x:c r="H57" s="77" t="n">
        <x:f>IF(F57=0,"无基准",G57/F57-1)</x:f>
        <x:v>0</x:v>
      </x:c>
      <x:c r="I57" s="75" t="str">
        <x:v>C</x:v>
      </x:c>
      <x:c r="J57" s="75" t="str">
        <x:v>3、6</x:v>
      </x:c>
      <x:c r="K57" s="67"/>
    </x:row>
    <x:row r="58" ht="26.100000381469727" customHeight="1">
      <x:c r="A58" s="75" t="str">
        <x:v>金币 钻石买</x:v>
      </x:c>
      <x:c r="B58" s="75" t="str">
        <x:v>金币</x:v>
      </x:c>
      <x:c r="C58" s="75" t="n">
        <x:v>1200</x:v>
      </x:c>
      <x:c r="D58" s="75" t="str">
        <x:v>钻石</x:v>
      </x:c>
      <x:c r="E58" s="75" t="n">
        <x:v>60</x:v>
      </x:c>
      <x:c r="F58" s="76" t="n">
        <x:f>C58*VLOOKUP(B58,$B$7:$G$23,4,FALSE)/VLOOKUP(B58,$B$7:$G$23,2,FALSE)</x:f>
        <x:v>60</x:v>
      </x:c>
      <x:c r="G58" s="76" t="n">
        <x:f>IF(D58="金币",E58/'系统投放汇总'!$B$6,IF(D58="钻石",E58,0))</x:f>
        <x:v>60</x:v>
      </x:c>
      <x:c r="H58" s="77" t="n">
        <x:f>IF(F58=0,"无基准",G58/F58-1)</x:f>
        <x:v>0</x:v>
      </x:c>
      <x:c r="I58" s="75" t="str">
        <x:v>C</x:v>
      </x:c>
      <x:c r="J58" s="75" t="str">
        <x:v>3、6</x:v>
      </x:c>
      <x:c r="K58" s="67"/>
    </x:row>
    <x:row r="59" ht="26.100000381469727" customHeight="1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</x:row>
    <x:row r="60" ht="26.100000381469727" customHeight="1">
      <x:c r="A60" s="71" t="inlineStr">
        <x:is>
          <x:t xml:space="preserve">配置字段：商品刷新表 QuantityOfGoods / CurrencyType / ProductPrices。</x:t>
        </x:is>
      </x:c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</x:row>
    <x:row r="61" ht="26.100000381469727" customHeight="1">
      <x:c r="A61" s="71" t="str">
        <x:v>每日赠礼：免费20钻×1次；广告50钻×2次，合计最多120钻。正式商品配置已同步。</x:v>
      </x:c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</x:row>
    <x:row r="62" ht="26.100000381469727" customHeight="1">
      <x:c r="A62" s="71" t="str">
        <x:v>槽位顺序：ABCABCAB；A、B为经验和角色碎片，C为体力、时尚币、金币。</x:v>
      </x:c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</x:row>
    <x:row r="63" ht="26.100000381469727" customHeight="1">
      <x:c r="A63" s="71" t="str">
        <x:v>组内等权随机；同一道具不同规格归同组。相邻组不重复，非相邻槽位允许重复。</x:v>
      </x:c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</x:row>
    <x:row r="64" ht="26.100000381469727" customHeight="1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</x:row>
    <x:row r="65" ht="26.100000381469727" customHeight="1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</x:row>
    <x:row r="66" ht="26.100000381469727" customHeight="1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</x:row>
    <x:row r="67" ht="26.100000381469727" customHeight="1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</x:row>
    <x:row r="68" ht="26.100000381469727" customHeight="1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</x:row>
    <x:row r="69" ht="26.100000381469727" customHeight="1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</x:row>
    <x:row r="70" ht="26.100000381469727" customHeight="1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</x:row>
    <x:row r="71" ht="26.100000381469727" customHeight="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</x:row>
    <x:row r="72" ht="26.100000381469727" customHeight="1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</x:row>
    <x:row r="73" ht="26.100000381469727" customHeight="1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</x:row>
    <x:row r="74" ht="26.100000381469727" customHeight="1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</x:row>
    <x:row r="75" ht="26.100000381469727" customHeight="1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</x:row>
    <x:row r="76" ht="26.100000381469727" customHeight="1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</x:row>
    <x:row r="77" ht="26.100000381469727" customHeight="1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</x:row>
    <x:row r="78" ht="26.100000381469727" customHeight="1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</x:row>
    <x:row r="79" ht="26.100000381469727" customHeight="1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</x:row>
    <x:row r="80" ht="26.100000381469727" customHeight="1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</x:row>
    <x:row r="81" ht="26.100000381469727" customHeight="1">
      <x:c r="A81" s="67"/>
      <x:c r="B81" s="67"/>
      <x:c r="C81" s="67"/>
      <x:c r="D81" s="67"/>
      <x:c r="E81" s="67"/>
      <x:c r="F81" s="67"/>
      <x:c r="G81" s="67"/>
      <x:c r="H81" s="67"/>
      <x:c r="I81" s="67"/>
      <x:c r="J81" s="67"/>
      <x:c r="K81" s="67"/>
    </x:row>
    <x:row r="82" ht="26.100000381469727" customHeight="1">
      <x:c r="A82" s="67"/>
      <x:c r="B82" s="67"/>
      <x:c r="C82" s="67"/>
      <x:c r="D82" s="67"/>
      <x:c r="E82" s="67"/>
      <x:c r="F82" s="67"/>
      <x:c r="G82" s="67"/>
      <x:c r="H82" s="67"/>
      <x:c r="I82" s="67"/>
      <x:c r="J82" s="67"/>
      <x:c r="K82" s="67"/>
    </x:row>
    <x:row r="83" ht="26.100000381469727" customHeight="1">
      <x:c r="A83" s="67"/>
      <x:c r="B83" s="67"/>
      <x:c r="C83" s="67"/>
      <x:c r="D83" s="67"/>
      <x:c r="E83" s="67"/>
      <x:c r="F83" s="67"/>
      <x:c r="G83" s="67"/>
      <x:c r="H83" s="67"/>
      <x:c r="I83" s="67"/>
      <x:c r="J83" s="67"/>
      <x:c r="K83" s="67"/>
    </x:row>
    <x:row r="84" ht="26.100000381469727" customHeight="1">
      <x:c r="A84" s="67"/>
      <x:c r="B84" s="67"/>
      <x:c r="C84" s="67"/>
      <x:c r="D84" s="67"/>
      <x:c r="E84" s="67"/>
      <x:c r="F84" s="67"/>
      <x:c r="G84" s="67"/>
      <x:c r="H84" s="67"/>
      <x:c r="I84" s="67"/>
      <x:c r="J84" s="67"/>
      <x:c r="K84" s="67"/>
    </x:row>
    <x:row r="85" ht="26.100000381469727" customHeight="1">
      <x:c r="A85" s="67"/>
      <x:c r="B85" s="67"/>
      <x:c r="C85" s="67"/>
      <x:c r="D85" s="67"/>
      <x:c r="E85" s="67"/>
      <x:c r="F85" s="67"/>
      <x:c r="G85" s="67"/>
      <x:c r="H85" s="67"/>
      <x:c r="I85" s="67"/>
      <x:c r="J85" s="67"/>
      <x:c r="K85" s="67"/>
    </x:row>
    <x:row r="86" ht="26.100000381469727" customHeight="1">
      <x:c r="A86" s="67"/>
      <x:c r="B86" s="67"/>
      <x:c r="C86" s="67"/>
      <x:c r="D86" s="67"/>
      <x:c r="E86" s="67"/>
      <x:c r="F86" s="67"/>
      <x:c r="G86" s="67"/>
      <x:c r="H86" s="67"/>
      <x:c r="I86" s="67"/>
      <x:c r="J86" s="67"/>
      <x:c r="K86" s="67"/>
    </x:row>
    <x:row r="87" ht="26.100000381469727" customHeight="1">
      <x:c r="A87" s="67"/>
      <x:c r="B87" s="67"/>
      <x:c r="C87" s="67"/>
      <x:c r="D87" s="67"/>
      <x:c r="E87" s="67"/>
      <x:c r="F87" s="67"/>
      <x:c r="G87" s="67"/>
      <x:c r="H87" s="67"/>
      <x:c r="I87" s="67"/>
      <x:c r="J87" s="67"/>
      <x:c r="K87" s="67"/>
    </x:row>
    <x:row r="88" ht="26.100000381469727" customHeight="1">
      <x:c r="A88" s="67"/>
      <x:c r="B88" s="67"/>
      <x:c r="C88" s="67"/>
      <x:c r="D88" s="67"/>
      <x:c r="E88" s="67"/>
      <x:c r="F88" s="67"/>
      <x:c r="G88" s="67"/>
      <x:c r="H88" s="67"/>
      <x:c r="I88" s="67"/>
      <x:c r="J88" s="67"/>
      <x:c r="K88" s="67"/>
    </x:row>
    <x:row r="89" ht="26.100000381469727" customHeight="1">
      <x:c r="A89" s="67"/>
      <x:c r="B89" s="67"/>
      <x:c r="C89" s="67"/>
      <x:c r="D89" s="67"/>
      <x:c r="E89" s="67"/>
      <x:c r="F89" s="67"/>
      <x:c r="G89" s="67"/>
      <x:c r="H89" s="67"/>
      <x:c r="I89" s="67"/>
      <x:c r="J89" s="67"/>
      <x:c r="K89" s="67"/>
    </x:row>
    <x:row r="90" ht="26.100000381469727" customHeight="1">
      <x:c r="A90" s="67"/>
      <x:c r="B90" s="67"/>
      <x:c r="C90" s="67"/>
      <x:c r="D90" s="67"/>
      <x:c r="E90" s="67"/>
      <x:c r="F90" s="67"/>
      <x:c r="G90" s="67"/>
      <x:c r="H90" s="67"/>
      <x:c r="I90" s="67"/>
      <x:c r="J90" s="67"/>
      <x:c r="K90" s="67"/>
    </x:row>
    <x:row r="91" ht="26.100000381469727" customHeight="1">
      <x:c r="A91" s="67"/>
      <x:c r="B91" s="67"/>
      <x:c r="C91" s="67"/>
      <x:c r="D91" s="67"/>
      <x:c r="E91" s="67"/>
      <x:c r="F91" s="67"/>
      <x:c r="G91" s="67"/>
      <x:c r="H91" s="67"/>
      <x:c r="I91" s="67"/>
      <x:c r="J91" s="67"/>
      <x:c r="K91" s="67"/>
    </x:row>
    <x:row r="92" ht="26.100000381469727" customHeight="1">
      <x:c r="A92" s="67"/>
      <x:c r="B92" s="67"/>
      <x:c r="C92" s="67"/>
      <x:c r="D92" s="67"/>
      <x:c r="E92" s="67"/>
      <x:c r="F92" s="67"/>
      <x:c r="G92" s="67"/>
      <x:c r="H92" s="67"/>
      <x:c r="I92" s="67"/>
      <x:c r="J92" s="67"/>
      <x:c r="K92" s="67"/>
    </x:row>
    <x:row r="93" ht="26.100000381469727" customHeight="1">
      <x:c r="A93" s="67"/>
      <x:c r="B93" s="67"/>
      <x:c r="C93" s="67"/>
      <x:c r="D93" s="67"/>
      <x:c r="E93" s="67"/>
      <x:c r="F93" s="67"/>
      <x:c r="G93" s="67"/>
      <x:c r="H93" s="67"/>
      <x:c r="I93" s="67"/>
      <x:c r="J93" s="67"/>
      <x:c r="K93" s="67"/>
    </x:row>
    <x:row r="94" ht="26.100000381469727" customHeight="1">
      <x:c r="A94" s="67"/>
      <x:c r="B94" s="67"/>
      <x:c r="C94" s="67"/>
      <x:c r="D94" s="67"/>
      <x:c r="E94" s="67"/>
      <x:c r="F94" s="67"/>
      <x:c r="G94" s="67"/>
      <x:c r="H94" s="67"/>
      <x:c r="I94" s="67"/>
      <x:c r="J94" s="67"/>
      <x:c r="K94" s="67"/>
    </x:row>
    <x:row r="95" ht="26.100000381469727" customHeight="1">
      <x:c r="A95" s="67"/>
      <x:c r="B95" s="67"/>
      <x:c r="C95" s="67"/>
      <x:c r="D95" s="67"/>
      <x:c r="E95" s="67"/>
      <x:c r="F95" s="67"/>
      <x:c r="G95" s="67"/>
      <x:c r="H95" s="67"/>
      <x:c r="I95" s="67"/>
      <x:c r="J95" s="67"/>
      <x:c r="K95" s="67"/>
    </x:row>
  </x:sheetData>
  <x:dataValidations count="5">
    <x:dataValidation type="list" sqref="D8:D19">
      <x:formula1>"钻石,金币"</x:formula1>
    </x:dataValidation>
    <x:dataValidation type="list" sqref="B30:B58">
      <x:formula1>'商店投放'!$B$7:$B$23</x:formula1>
    </x:dataValidation>
    <x:dataValidation type="list" sqref="D30:D58">
      <x:formula1>"金币,钻石,免费"</x:formula1>
    </x:dataValidation>
    <x:dataValidation type="whole" sqref="C30:C58">
      <x:formula1>1</x:formula1>
      <x:formula2>999999</x:formula2>
    </x:dataValidation>
    <x:dataValidation type="whole" sqref="E30:E58">
      <x:formula1>0</x:formula1>
      <x:formula2>99999999</x:formula2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30496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customWidth="1"/>
    <x:col min="2" max="7" width="18" customWidth="1"/>
    <x:col min="8" max="8" width="25" customWidth="1"/>
    <x:col min="9" max="9" width="23" customWidth="1"/>
  </x:cols>
  <x:sheetData>
    <x:row r="1" ht="12" customHeight="1">
      <x:c r="A1" s="84"/>
      <x:c r="B1" s="84"/>
      <x:c r="C1" s="84"/>
      <x:c r="D1" s="84"/>
      <x:c r="E1" s="84"/>
      <x:c r="F1" s="84"/>
      <x:c r="G1" s="84"/>
      <x:c r="H1" s="84"/>
      <x:c r="I1" s="84"/>
    </x:row>
    <x:row r="2" ht="36" customHeight="1">
      <x:c r="A2" s="85" t="s">
        <x:v>664</x:v>
      </x:c>
      <x:c r="B2" s="85"/>
      <x:c r="C2" s="85"/>
      <x:c r="D2" s="85"/>
      <x:c r="E2" s="85"/>
      <x:c r="F2" s="85"/>
      <x:c r="G2" s="85"/>
      <x:c r="H2" s="85"/>
      <x:c r="I2" s="85"/>
    </x:row>
    <x:row r="3" ht="24" customHeight="1">
      <x:c r="A3" s="118" t="s">
        <x:v>665</x:v>
      </x:c>
      <x:c r="B3" s="118"/>
      <x:c r="C3" s="118"/>
      <x:c r="D3" s="118"/>
      <x:c r="E3" s="118"/>
      <x:c r="F3" s="118"/>
      <x:c r="G3" s="118"/>
      <x:c r="H3" s="118"/>
      <x:c r="I3" s="118"/>
    </x:row>
    <x:row r="4" ht="24" customHeight="1">
      <x:c r="A4" s="118" t="s">
        <x:v>666</x:v>
      </x:c>
      <x:c r="B4" s="118"/>
      <x:c r="C4" s="118"/>
      <x:c r="D4" s="118"/>
      <x:c r="E4" s="118"/>
      <x:c r="F4" s="118"/>
      <x:c r="G4" s="118"/>
      <x:c r="H4" s="118"/>
      <x:c r="I4" s="118"/>
    </x:row>
    <x:row r="5" ht="30" customHeight="1">
      <x:c r="A5" s="87" t="s">
        <x:v>413</x:v>
      </x:c>
      <x:c r="B5" s="87" t="s">
        <x:v>667</x:v>
      </x:c>
      <x:c r="C5" s="87" t="s">
        <x:v>668</x:v>
      </x:c>
      <x:c r="D5" s="87" t="s">
        <x:v>669</x:v>
      </x:c>
      <x:c r="E5" s="87" t="s">
        <x:v>670</x:v>
      </x:c>
      <x:c r="F5" s="87" t="str">
        <x:f>$B$29&amp;"抽数量"</x:f>
        <x:v>50抽数量</x:v>
      </x:c>
      <x:c r="G5" s="84"/>
      <x:c r="H5" s="88" t="s">
        <x:v>671</x:v>
      </x:c>
      <x:c r="I5" s="88" t="s">
        <x:v>672</x:v>
      </x:c>
    </x:row>
    <x:row r="6" ht="24" customHeight="1">
      <x:c r="A6" s="89" t="s">
        <x:v>673</x:v>
      </x:c>
      <x:c r="B6" s="93" t="n">
        <x:f>F37</x:f>
        <x:v>0.3795916746460676</x:v>
      </x:c>
      <x:c r="C6" s="89" t="n">
        <x:f t="shared" ref="C6:C12" si="0">B6*$B$27</x:f>
        <x:v>3.7959167464606756</x:v>
      </x:c>
      <x:c r="D6" s="89" t="n">
        <x:f>C6*$B$30</x:f>
        <x:v>37.95916746460676</x:v>
      </x:c>
      <x:c r="E6" s="89" t="n">
        <x:f>D6*$I$28/$H$28</x:f>
        <x:v>113.87750239382028</x:v>
      </x:c>
      <x:c r="F6" s="89" t="n">
        <x:f t="shared" ref="F6:F12" si="1">D6*$B$29/$B$27</x:f>
        <x:v>189.7958373230338</x:v>
      </x:c>
      <x:c r="G6" s="84"/>
      <x:c r="H6" s="89" t="s">
        <x:v>674</x:v>
      </x:c>
      <x:c r="I6" s="89" t="n">
        <x:f>B26*B27</x:f>
        <x:v>300</x:v>
      </x:c>
    </x:row>
    <x:row r="7" ht="24" customHeight="1">
      <x:c r="A7" s="90" t="s">
        <x:v>675</x:v>
      </x:c>
      <x:c r="B7" s="94" t="n">
        <x:f>F38</x:f>
        <x:v>0.09995384827817996</x:v>
      </x:c>
      <x:c r="C7" s="90">
        <x:f t="shared" si="0"/>
        <x:v>0.99953848278179969</x:v>
      </x:c>
      <x:c r="D7" s="90" t="n">
        <x:f>C7*$B$30</x:f>
        <x:v>9.995384827817997</x:v>
      </x:c>
      <x:c r="E7" s="90" t="n">
        <x:f>D7*$I$29/$H$29</x:f>
        <x:v>299.8615448345399</x:v>
      </x:c>
      <x:c r="F7" s="90">
        <x:f t="shared" si="1"/>
        <x:v>49.976924139089981</x:v>
      </x:c>
      <x:c r="G7" s="84"/>
      <x:c r="H7" s="90" t="s">
        <x:v>676</x:v>
      </x:c>
      <x:c r="I7" s="90" t="n">
        <x:f>E13</x:f>
        <x:v>761.3306970359329</x:v>
      </x:c>
    </x:row>
    <x:row r="8" ht="24" customHeight="1">
      <x:c r="A8" s="89" t="s">
        <x:v>677</x:v>
      </x:c>
      <x:c r="B8" s="93" t="n">
        <x:f>F39</x:f>
        <x:v>0.0203946665956152</x:v>
      </x:c>
      <x:c r="C8" s="89">
        <x:f t="shared" si="0"/>
        <x:v>0.20394666595615199</x:v>
      </x:c>
      <x:c r="D8" s="89" t="n">
        <x:f>C8*$B$30</x:f>
        <x:v>2.03946665956152</x:v>
      </x:c>
      <x:c r="E8" s="89" t="n">
        <x:f>D8*$I$30/$H$30</x:f>
        <x:v>305.919998934228</x:v>
      </x:c>
      <x:c r="F8" s="89">
        <x:f t="shared" si="1"/>
        <x:v>10.197333297807599</x:v>
      </x:c>
      <x:c r="G8" s="84"/>
      <x:c r="H8" s="89" t="s">
        <x:v>678</x:v>
      </x:c>
      <x:c r="I8" s="96" t="n">
        <x:f>I7/I6</x:f>
        <x:v>2.537768990119776</x:v>
      </x:c>
    </x:row>
    <x:row r="9" ht="24" customHeight="1">
      <x:c r="A9" s="90" t="s">
        <x:v>558</x:v>
      </x:c>
      <x:c r="B9" s="94" t="n">
        <x:f>SUM(F51:F53)</x:f>
        <x:v>0.1666866034933791</x:v>
      </x:c>
      <x:c r="C9" s="90">
        <x:f t="shared" si="0"/>
        <x:v>1.6668660349337912</x:v>
      </x:c>
      <x:c r="D9" s="90" t="n">
        <x:f>SUM(H51:H53)</x:f>
        <x:v>333.3732069867582</x:v>
      </x:c>
      <x:c r="E9" s="90" t="n">
        <x:f>SUM(I51:I53)</x:f>
        <x:v>16.66866034933791</x:v>
      </x:c>
      <x:c r="F9" s="90">
        <x:f t="shared" si="1"/>
        <x:v>1666.8660349337908</x:v>
      </x:c>
      <x:c r="G9" s="84"/>
      <x:c r="H9" s="90" t="s">
        <x:v>679</x:v>
      </x:c>
      <x:c r="I9" s="97" t="n">
        <x:f>I7/B31-1</x:f>
        <x:v>0.2688844950598881</x:v>
      </x:c>
    </x:row>
    <x:row r="10" ht="24" customHeight="1">
      <x:c r="A10" s="89" t="s">
        <x:v>562</x:v>
      </x:c>
      <x:c r="B10" s="93" t="n">
        <x:f>SUM(F54:F55)</x:f>
        <x:v>0.1111244023289194</x:v>
      </x:c>
      <x:c r="C10" s="89">
        <x:f t="shared" si="0"/>
        <x:v>1.111244023289194</x:v>
      </x:c>
      <x:c r="D10" s="89" t="n">
        <x:f>SUM(H54:H55)</x:f>
        <x:v>16.66866034933791</x:v>
      </x:c>
      <x:c r="E10" s="89" t="n">
        <x:f>SUM(I54:I55)</x:f>
        <x:v>8.334330174668954</x:v>
      </x:c>
      <x:c r="F10" s="89">
        <x:f t="shared" si="1"/>
        <x:v>83.343301746689548</x:v>
      </x:c>
      <x:c r="G10" s="84"/>
      <x:c r="H10" s="89" t="s">
        <x:v>680</x:v>
      </x:c>
      <x:c r="I10" s="89" t="n">
        <x:f>1/B7</x:f>
        <x:v>10.004617303146908</x:v>
      </x:c>
    </x:row>
    <x:row r="11" ht="24" customHeight="1">
      <x:c r="A11" s="90" t="s">
        <x:v>563</x:v>
      </x:c>
      <x:c r="B11" s="94" t="n">
        <x:f>SUM(F56:F57)</x:f>
        <x:v>0.1111244023289194</x:v>
      </x:c>
      <x:c r="C11" s="90">
        <x:f t="shared" si="0"/>
        <x:v>1.111244023289194</x:v>
      </x:c>
      <x:c r="D11" s="90" t="n">
        <x:f>SUM(H56:H57)</x:f>
        <x:v>16.66866034933791</x:v>
      </x:c>
      <x:c r="E11" s="90" t="n">
        <x:f>SUM(I56:I57)</x:f>
        <x:v>8.334330174668954</x:v>
      </x:c>
      <x:c r="F11" s="90">
        <x:f t="shared" si="1"/>
        <x:v>83.343301746689548</x:v>
      </x:c>
      <x:c r="G11" s="84"/>
      <x:c r="H11" s="90" t="s">
        <x:v>681</x:v>
      </x:c>
      <x:c r="I11" s="90" t="n">
        <x:f>1/B8</x:f>
        <x:v>49.032426949063115</x:v>
      </x:c>
    </x:row>
    <x:row r="12" ht="24" customHeight="1">
      <x:c r="A12" s="89" t="s">
        <x:v>565</x:v>
      </x:c>
      <x:c r="B12" s="93" t="n">
        <x:f>SUM(F58:F59)</x:f>
        <x:v>0.1111244023289194</x:v>
      </x:c>
      <x:c r="C12" s="89">
        <x:f t="shared" si="0"/>
        <x:v>1.111244023289194</x:v>
      </x:c>
      <x:c r="D12" s="89" t="n">
        <x:f>SUM(H58:H59)</x:f>
        <x:v>16.66866034933791</x:v>
      </x:c>
      <x:c r="E12" s="89" t="n">
        <x:f>SUM(I58:I59)</x:f>
        <x:v>8.334330174668954</x:v>
      </x:c>
      <x:c r="F12" s="89">
        <x:f t="shared" si="1"/>
        <x:v>83.343301746689548</x:v>
      </x:c>
      <x:c r="G12" s="84"/>
      <x:c r="H12" s="89" t="s">
        <x:v>682</x:v>
      </x:c>
      <x:c r="I12" s="89" t="n">
        <x:f>SUM(C6:C8)</x:f>
        <x:v>4.999401895198627</x:v>
      </x:c>
    </x:row>
    <x:row r="13" ht="24" customHeight="1">
      <x:c r="A13" s="92" t="s">
        <x:v>683</x:v>
      </x:c>
      <x:c r="B13" s="95" t="n">
        <x:f>SUM(B6:B12)</x:f>
        <x:v>1</x:v>
      </x:c>
      <x:c r="C13" s="92" t="n">
        <x:f>SUM(C6:C12)</x:f>
        <x:v>10</x:v>
      </x:c>
      <x:c r="D13" s="92"/>
      <x:c r="E13" s="92" t="n">
        <x:f>SUM(E6:E12)</x:f>
        <x:v>761.3306970359329</x:v>
      </x:c>
      <x:c r="F13" s="92"/>
      <x:c r="G13" s="84"/>
      <x:c r="H13" s="90" t="s">
        <x:v>684</x:v>
      </x:c>
      <x:c r="I13" s="90" t="n">
        <x:f>SUM(C9:C12)</x:f>
        <x:v>5.000598104801373</x:v>
      </x:c>
    </x:row>
    <x:row r="14" ht="24" customHeight="1">
      <x:c r="A14" s="84"/>
      <x:c r="B14" s="84"/>
      <x:c r="C14" s="84"/>
      <x:c r="D14" s="84"/>
      <x:c r="E14" s="84"/>
      <x:c r="F14" s="84"/>
      <x:c r="G14" s="84"/>
      <x:c r="H14" s="84"/>
      <x:c r="I14" s="84"/>
    </x:row>
    <x:row r="15" ht="24" customHeight="1">
      <x:c r="A15" s="118" t="s">
        <x:v>685</x:v>
      </x:c>
      <x:c r="B15" s="118"/>
      <x:c r="C15" s="118"/>
      <x:c r="D15" s="118"/>
      <x:c r="E15" s="118"/>
      <x:c r="F15" s="118"/>
      <x:c r="G15" s="118"/>
      <x:c r="H15" s="118"/>
      <x:c r="I15" s="118"/>
    </x:row>
    <x:row r="16" ht="24" customHeight="1">
      <x:c r="A16" s="84"/>
      <x:c r="B16" s="84"/>
      <x:c r="C16" s="84"/>
      <x:c r="D16" s="84"/>
      <x:c r="E16" s="84"/>
      <x:c r="F16" s="84"/>
      <x:c r="G16" s="84"/>
      <x:c r="H16" s="84"/>
      <x:c r="I16" s="84"/>
    </x:row>
    <x:row r="17" ht="27.950000762939453" customHeight="1">
      <x:c r="A17" s="86" t="s">
        <x:v>686</x:v>
      </x:c>
      <x:c r="B17" s="86"/>
      <x:c r="C17" s="86"/>
      <x:c r="D17" s="86"/>
      <x:c r="E17" s="86"/>
      <x:c r="F17" s="86"/>
      <x:c r="G17" s="86"/>
      <x:c r="H17" s="86"/>
      <x:c r="I17" s="86"/>
    </x:row>
    <x:row r="18" ht="24" customHeight="1">
      <x:c r="A18" s="118" t="s">
        <x:v>687</x:v>
      </x:c>
      <x:c r="B18" s="118"/>
      <x:c r="C18" s="118"/>
      <x:c r="D18" s="118"/>
      <x:c r="E18" s="118"/>
      <x:c r="F18" s="118"/>
      <x:c r="G18" s="118"/>
      <x:c r="H18" s="118"/>
      <x:c r="I18" s="118"/>
    </x:row>
    <x:row r="19" ht="24" customHeight="1">
      <x:c r="A19" s="118" t="s">
        <x:v>688</x:v>
      </x:c>
      <x:c r="B19" s="118"/>
      <x:c r="C19" s="118"/>
      <x:c r="D19" s="118"/>
      <x:c r="E19" s="118"/>
      <x:c r="F19" s="118"/>
      <x:c r="G19" s="118"/>
      <x:c r="H19" s="118"/>
      <x:c r="I19" s="118"/>
    </x:row>
    <x:row r="20" ht="24" customHeight="1">
      <x:c r="A20" s="118" t="s">
        <x:v>689</x:v>
      </x:c>
      <x:c r="B20" s="118"/>
      <x:c r="C20" s="118"/>
      <x:c r="D20" s="118"/>
      <x:c r="E20" s="118"/>
      <x:c r="F20" s="118"/>
      <x:c r="G20" s="118"/>
      <x:c r="H20" s="118"/>
      <x:c r="I20" s="118"/>
    </x:row>
    <x:row r="21" ht="24" customHeight="1">
      <x:c r="A21" s="118" t="s">
        <x:v>690</x:v>
      </x:c>
      <x:c r="B21" s="118"/>
      <x:c r="C21" s="118"/>
      <x:c r="D21" s="118"/>
      <x:c r="E21" s="118"/>
      <x:c r="F21" s="118"/>
      <x:c r="G21" s="118"/>
      <x:c r="H21" s="118"/>
      <x:c r="I21" s="118"/>
    </x:row>
    <x:row r="22" ht="24" customHeight="1">
      <x:c r="A22" s="84"/>
      <x:c r="B22" s="84"/>
      <x:c r="C22" s="84"/>
      <x:c r="D22" s="84"/>
      <x:c r="E22" s="84"/>
      <x:c r="F22" s="84"/>
      <x:c r="G22" s="84"/>
      <x:c r="H22" s="84"/>
      <x:c r="I22" s="84"/>
    </x:row>
    <x:row r="23" ht="24" customHeight="1">
      <x:c r="A23" s="84"/>
      <x:c r="B23" s="84"/>
      <x:c r="C23" s="84"/>
      <x:c r="D23" s="84"/>
      <x:c r="E23" s="84"/>
      <x:c r="F23" s="84"/>
      <x:c r="G23" s="84"/>
      <x:c r="H23" s="84"/>
      <x:c r="I23" s="84"/>
    </x:row>
    <x:row r="24" ht="27.950000762939453" customHeight="1">
      <x:c r="A24" s="86" t="s">
        <x:v>691</x:v>
      </x:c>
      <x:c r="B24" s="86"/>
      <x:c r="C24" s="86"/>
      <x:c r="D24" s="86"/>
      <x:c r="E24" s="86"/>
      <x:c r="F24" s="86"/>
      <x:c r="G24" s="86"/>
      <x:c r="H24" s="86"/>
      <x:c r="I24" s="86"/>
    </x:row>
    <x:row r="25" ht="30" customHeight="1">
      <x:c r="A25" s="87" t="s">
        <x:v>417</x:v>
      </x:c>
      <x:c r="B25" s="87" t="s">
        <x:v>418</x:v>
      </x:c>
      <x:c r="C25" s="119" t="s">
        <x:v>692</x:v>
      </x:c>
      <x:c r="D25" s="120"/>
      <x:c r="E25" s="120"/>
      <x:c r="F25" s="84"/>
      <x:c r="G25" s="88" t="s">
        <x:v>693</x:v>
      </x:c>
      <x:c r="H25" s="88" t="s">
        <x:v>694</x:v>
      </x:c>
      <x:c r="I25" s="88" t="s">
        <x:v>695</x:v>
      </x:c>
    </x:row>
    <x:row r="26" ht="24" customHeight="1">
      <x:c r="A26" s="84" t="s">
        <x:v>696</x:v>
      </x:c>
      <x:c r="B26" s="98" t="n">
        <x:f>系统投放汇总!C8/系统投放汇总!B8</x:f>
        <x:v>30</x:v>
      </x:c>
      <x:c r="C26" s="120" t="s">
        <x:v>697</x:v>
      </x:c>
      <x:c r="D26" s="120"/>
      <x:c r="E26" s="120"/>
      <x:c r="F26" s="84"/>
      <x:c r="G26" s="84" t="s">
        <x:v>558</x:v>
      </x:c>
      <x:c r="H26" s="84" t="n">
        <x:f>系统投放汇总!B6</x:f>
        <x:v>20</x:v>
      </x:c>
      <x:c r="I26" s="84" t="n">
        <x:f>系统投放汇总!C6</x:f>
        <x:v>1</x:v>
      </x:c>
    </x:row>
    <x:row r="27" ht="24" customHeight="1">
      <x:c r="A27" s="84" t="s">
        <x:v>318</x:v>
      </x:c>
      <x:c r="B27" s="99">
        <x:v>10</x:v>
      </x:c>
      <x:c r="C27" s="120" t="s">
        <x:v>698</x:v>
      </x:c>
      <x:c r="D27" s="120"/>
      <x:c r="E27" s="120"/>
      <x:c r="F27" s="84"/>
      <x:c r="G27" s="84" t="s">
        <x:v>699</x:v>
      </x:c>
      <x:c r="H27" s="84" t="n">
        <x:f>系统投放汇总!B9</x:f>
        <x:v>100</x:v>
      </x:c>
      <x:c r="I27" s="84" t="n">
        <x:f>系统投放汇总!C9</x:f>
        <x:v>50</x:v>
      </x:c>
    </x:row>
    <x:row r="28" ht="24" customHeight="1">
      <x:c r="A28" s="84" t="s">
        <x:v>700</x:v>
      </x:c>
      <x:c r="B28" s="99">
        <x:v>10</x:v>
      </x:c>
      <x:c r="C28" s="120" t="s">
        <x:v>701</x:v>
      </x:c>
      <x:c r="D28" s="120"/>
      <x:c r="E28" s="120"/>
      <x:c r="F28" s="84"/>
      <x:c r="G28" s="84" t="s">
        <x:v>673</x:v>
      </x:c>
      <x:c r="H28" s="84" t="n">
        <x:f>系统投放汇总!B12</x:f>
        <x:v>10</x:v>
      </x:c>
      <x:c r="I28" s="84" t="n">
        <x:f>系统投放汇总!C12</x:f>
        <x:v>30</x:v>
      </x:c>
    </x:row>
    <x:row r="29" ht="24" customHeight="1">
      <x:c r="A29" s="84" t="s">
        <x:v>702</x:v>
      </x:c>
      <x:c r="B29" s="99">
        <x:v>50</x:v>
      </x:c>
      <x:c r="C29" s="120" t="s">
        <x:v>703</x:v>
      </x:c>
      <x:c r="D29" s="120"/>
      <x:c r="E29" s="120"/>
      <x:c r="F29" s="84"/>
      <x:c r="G29" s="84" t="s">
        <x:v>675</x:v>
      </x:c>
      <x:c r="H29" s="84" t="n">
        <x:f>系统投放汇总!B13</x:f>
        <x:v>10</x:v>
      </x:c>
      <x:c r="I29" s="84" t="n">
        <x:f>系统投放汇总!C13</x:f>
        <x:v>300</x:v>
      </x:c>
    </x:row>
    <x:row r="30" ht="24" customHeight="1">
      <x:c r="A30" s="84" t="s">
        <x:v>704</x:v>
      </x:c>
      <x:c r="B30" s="99">
        <x:v>10</x:v>
      </x:c>
      <x:c r="C30" s="120" t="s">
        <x:v>705</x:v>
      </x:c>
      <x:c r="D30" s="120"/>
      <x:c r="E30" s="120"/>
      <x:c r="F30" s="84"/>
      <x:c r="G30" s="84" t="s">
        <x:v>677</x:v>
      </x:c>
      <x:c r="H30" s="84" t="n">
        <x:f>系统投放汇总!B14</x:f>
        <x:v>10</x:v>
      </x:c>
      <x:c r="I30" s="84" t="n">
        <x:f>系统投放汇总!C14</x:f>
        <x:v>1500</x:v>
      </x:c>
    </x:row>
    <x:row r="31" ht="24" customHeight="1">
      <x:c r="A31" s="84" t="s">
        <x:v>706</x:v>
      </x:c>
      <x:c r="B31" s="99">
        <x:v>600</x:v>
      </x:c>
      <x:c r="C31" s="120" t="s">
        <x:v>707</x:v>
      </x:c>
      <x:c r="D31" s="120"/>
      <x:c r="E31" s="120"/>
      <x:c r="F31" s="84"/>
      <x:c r="G31" s="84" t="s">
        <x:v>561</x:v>
      </x:c>
      <x:c r="H31" s="84" t="n">
        <x:f>系统投放汇总!B8</x:f>
        <x:v>1</x:v>
      </x:c>
      <x:c r="I31" s="84" t="n">
        <x:f>系统投放汇总!C8</x:f>
        <x:v>30</x:v>
      </x:c>
    </x:row>
    <x:row r="32" ht="24" customHeight="1">
      <x:c r="A32" s="84" t="s">
        <x:v>708</x:v>
      </x:c>
      <x:c r="B32" s="100">
        <x:v>0.5</x:v>
      </x:c>
      <x:c r="C32" s="120" t="s">
        <x:v>709</x:v>
      </x:c>
      <x:c r="D32" s="120"/>
      <x:c r="E32" s="120"/>
      <x:c r="F32" s="84"/>
      <x:c r="G32" s="84"/>
      <x:c r="H32" s="84"/>
      <x:c r="I32" s="84"/>
    </x:row>
    <x:row r="33" ht="24" customHeight="1">
      <x:c r="A33" s="118" t="inlineStr">
        <x:is>
          <x:t xml:space="preserve">价值来源：系统投放汇总 B6:C16；经验按100个＝50钻更新，抽卡概率与奖励数量不变。</x:t>
        </x:is>
      </x:c>
      <x:c r="B33" s="118"/>
      <x:c r="C33" s="118"/>
      <x:c r="D33" s="118"/>
      <x:c r="E33" s="118"/>
      <x:c r="F33" s="118"/>
      <x:c r="G33" s="118"/>
      <x:c r="H33" s="118"/>
      <x:c r="I33" s="118"/>
    </x:row>
    <x:row r="34" ht="24" customHeight="1">
      <x:c r="A34" s="84"/>
      <x:c r="B34" s="84"/>
      <x:c r="C34" s="84"/>
      <x:c r="D34" s="84"/>
      <x:c r="E34" s="84"/>
      <x:c r="F34" s="84"/>
      <x:c r="G34" s="84"/>
      <x:c r="H34" s="84"/>
      <x:c r="I34" s="84"/>
    </x:row>
    <x:row r="35" ht="27.950000762939453" customHeight="1">
      <x:c r="A35" s="86" t="s">
        <x:v>710</x:v>
      </x:c>
      <x:c r="B35" s="86"/>
      <x:c r="C35" s="86"/>
      <x:c r="D35" s="86"/>
      <x:c r="E35" s="86"/>
      <x:c r="F35" s="86"/>
      <x:c r="G35" s="86"/>
      <x:c r="H35" s="86"/>
      <x:c r="I35" s="86"/>
    </x:row>
    <x:row r="36" ht="30" customHeight="1">
      <x:c r="A36" s="87" t="s">
        <x:v>711</x:v>
      </x:c>
      <x:c r="B36" s="87" t="s">
        <x:v>712</x:v>
      </x:c>
      <x:c r="C36" s="87" t="s">
        <x:v>713</x:v>
      </x:c>
      <x:c r="D36" s="87" t="s">
        <x:v>714</x:v>
      </x:c>
      <x:c r="E36" s="87" t="s">
        <x:v>715</x:v>
      </x:c>
      <x:c r="F36" s="87" t="s">
        <x:v>667</x:v>
      </x:c>
      <x:c r="G36" s="87" t="s">
        <x:v>668</x:v>
      </x:c>
      <x:c r="H36" s="87" t="s">
        <x:v>716</x:v>
      </x:c>
      <x:c r="I36" s="87" t="s">
        <x:v>670</x:v>
      </x:c>
    </x:row>
    <x:row r="37" ht="24" customHeight="1">
      <x:c r="A37" s="84" t="s">
        <x:v>717</x:v>
      </x:c>
      <x:c r="B37" s="99">
        <x:v>4216</x:v>
      </x:c>
      <x:c r="C37" s="101" t="n">
        <x:f>B37/SUM($B$37:$B$40)</x:f>
        <x:v>0.4216</x:v>
      </x:c>
      <x:c r="D37" s="101" t="n">
        <x:f>0</x:f>
        <x:v>0</x:v>
      </x:c>
      <x:c r="E37" s="101" t="n">
        <x:f>0</x:f>
        <x:v>0</x:v>
      </x:c>
      <x:c r="F37" s="101" t="n">
        <x:f>SUMPRODUCT($C$93:$C$142,$D$93:$D$142)/$C$144</x:f>
        <x:v>0.3795916746460676</x:v>
      </x:c>
      <x:c r="G37" s="84" t="n">
        <x:f>F37*$B$27</x:f>
        <x:v>3.7959167464606756</x:v>
      </x:c>
      <x:c r="H37" s="84" t="n">
        <x:f>$B$30</x:f>
        <x:v>10</x:v>
      </x:c>
      <x:c r="I37" s="84" t="n">
        <x:f>E6</x:f>
        <x:v>113.87750239382028</x:v>
      </x:c>
    </x:row>
    <x:row r="38" ht="24" customHeight="1">
      <x:c r="A38" s="84" t="s">
        <x:v>718</x:v>
      </x:c>
      <x:c r="B38" s="99">
        <x:v>222</x:v>
      </x:c>
      <x:c r="C38" s="101" t="n">
        <x:f>B38/SUM($B$37:$B$40)</x:f>
        <x:v>0.0222</x:v>
      </x:c>
      <x:c r="D38" s="101" t="n">
        <x:f>1-$C$39</x:f>
        <x:v>0.9992</x:v>
      </x:c>
      <x:c r="E38" s="101" t="n">
        <x:f>0</x:f>
        <x:v>0</x:v>
      </x:c>
      <x:c r="F38" s="101" t="n">
        <x:f>SUMPRODUCT($C$93:$C$142,$E$93:$E$142)/$C$144</x:f>
        <x:v>0.09995384827817996</x:v>
      </x:c>
      <x:c r="G38" s="84" t="n">
        <x:f>F38*$B$27</x:f>
        <x:v>0.9995384827817997</x:v>
      </x:c>
      <x:c r="H38" s="84" t="n">
        <x:f>$B$30</x:f>
        <x:v>10</x:v>
      </x:c>
      <x:c r="I38" s="84" t="n">
        <x:f>E7</x:f>
        <x:v>299.8615448345399</x:v>
      </x:c>
    </x:row>
    <x:row r="39" ht="24" customHeight="1">
      <x:c r="A39" s="84" t="s">
        <x:v>719</x:v>
      </x:c>
      <x:c r="B39" s="99">
        <x:v>8</x:v>
      </x:c>
      <x:c r="C39" s="101" t="n">
        <x:f>B39/SUM($B$37:$B$40)</x:f>
        <x:v>0.0008</x:v>
      </x:c>
      <x:c r="D39" s="101" t="n">
        <x:f>$C$39</x:f>
        <x:v>0.0008</x:v>
      </x:c>
      <x:c r="E39" s="101" t="n">
        <x:f>1</x:f>
        <x:v>1</x:v>
      </x:c>
      <x:c r="F39" s="101" t="n">
        <x:f>SUMPRODUCT($C$93:$C$142,$F$93:$F$142)/$C$144</x:f>
        <x:v>0.0203946665956152</x:v>
      </x:c>
      <x:c r="G39" s="84" t="n">
        <x:f>F39*$B$27</x:f>
        <x:v>0.203946665956152</x:v>
      </x:c>
      <x:c r="H39" s="84" t="n">
        <x:f>$B$30</x:f>
        <x:v>10</x:v>
      </x:c>
      <x:c r="I39" s="84" t="n">
        <x:f>E8</x:f>
        <x:v>305.919998934228</x:v>
      </x:c>
    </x:row>
    <x:row r="40" ht="24" customHeight="1">
      <x:c r="A40" s="84" t="s">
        <x:v>720</x:v>
      </x:c>
      <x:c r="B40" s="99">
        <x:v>5554</x:v>
      </x:c>
      <x:c r="C40" s="101" t="n">
        <x:f>B40/SUM($B$37:$B$40)</x:f>
        <x:v>0.5554</x:v>
      </x:c>
      <x:c r="D40" s="101" t="n">
        <x:f>0</x:f>
        <x:v>0</x:v>
      </x:c>
      <x:c r="E40" s="101" t="n">
        <x:f>0</x:f>
        <x:v>0</x:v>
      </x:c>
      <x:c r="F40" s="101" t="n">
        <x:f>SUMPRODUCT($C$93:$C$142,$G$93:$G$142)/$C$144</x:f>
        <x:v>0.5000598104801374</x:v>
      </x:c>
      <x:c r="G40" s="84" t="n">
        <x:f>F40*$B$27</x:f>
        <x:v>5.000598104801374</x:v>
      </x:c>
      <x:c r="H40" s="84" t="s">
        <x:v>721</x:v>
      </x:c>
      <x:c r="I40" s="84" t="n">
        <x:f>SUM(E9:E12)</x:f>
        <x:v>41.671650873344774</x:v>
      </x:c>
    </x:row>
    <x:row r="41" ht="24" customHeight="1">
      <x:c r="A41" s="91" t="s">
        <x:v>683</x:v>
      </x:c>
      <x:c r="B41" s="102" t="n">
        <x:f t="shared" ref="B41:G41" si="2">SUM(B37:B40)</x:f>
        <x:v>10000</x:v>
      </x:c>
      <x:c r="C41" s="103">
        <x:f t="shared" si="2"/>
        <x:v>1</x:v>
      </x:c>
      <x:c r="D41" s="103">
        <x:f t="shared" si="2"/>
        <x:v>1</x:v>
      </x:c>
      <x:c r="E41" s="103">
        <x:f t="shared" si="2"/>
        <x:v>1</x:v>
      </x:c>
      <x:c r="F41" s="103">
        <x:f t="shared" si="2"/>
        <x:v>1</x:v>
      </x:c>
      <x:c r="G41" s="91">
        <x:f t="shared" si="2"/>
        <x:v>10</x:v>
      </x:c>
      <x:c r="H41" s="91"/>
      <x:c r="I41" s="91" t="n">
        <x:f>SUM(I37:I40)</x:f>
        <x:v>761.330697035933</x:v>
      </x:c>
    </x:row>
    <x:row r="42" ht="24" customHeight="1">
      <x:c r="A42" s="84"/>
      <x:c r="B42" s="84"/>
      <x:c r="C42" s="84"/>
      <x:c r="D42" s="84"/>
      <x:c r="E42" s="84"/>
      <x:c r="F42" s="84"/>
      <x:c r="G42" s="84"/>
      <x:c r="H42" s="84"/>
      <x:c r="I42" s="84"/>
    </x:row>
    <x:row r="43" ht="24" customHeight="1">
      <x:c r="A43" s="118" t="s">
        <x:v>722</x:v>
      </x:c>
      <x:c r="B43" s="118"/>
      <x:c r="C43" s="118"/>
      <x:c r="D43" s="118"/>
      <x:c r="E43" s="118"/>
      <x:c r="F43" s="118"/>
      <x:c r="G43" s="118"/>
      <x:c r="H43" s="118"/>
      <x:c r="I43" s="118"/>
    </x:row>
    <x:row r="44" ht="24" customHeight="1">
      <x:c r="A44" s="118" t="s">
        <x:v>723</x:v>
      </x:c>
      <x:c r="B44" s="118"/>
      <x:c r="C44" s="118"/>
      <x:c r="D44" s="118"/>
      <x:c r="E44" s="118"/>
      <x:c r="F44" s="118"/>
      <x:c r="G44" s="118"/>
      <x:c r="H44" s="118"/>
      <x:c r="I44" s="118"/>
    </x:row>
    <x:row r="45" ht="24" customHeight="1">
      <x:c r="A45" s="84"/>
      <x:c r="B45" s="84"/>
      <x:c r="C45" s="84"/>
      <x:c r="D45" s="84"/>
      <x:c r="E45" s="84"/>
      <x:c r="F45" s="84"/>
      <x:c r="G45" s="84"/>
      <x:c r="H45" s="84"/>
      <x:c r="I45" s="84"/>
    </x:row>
    <x:row r="46" ht="24" customHeight="1">
      <x:c r="A46" s="84"/>
      <x:c r="B46" s="84"/>
      <x:c r="C46" s="84"/>
      <x:c r="D46" s="84"/>
      <x:c r="E46" s="84"/>
      <x:c r="F46" s="84"/>
      <x:c r="G46" s="84"/>
      <x:c r="H46" s="84"/>
      <x:c r="I46" s="84"/>
    </x:row>
    <x:row r="47" ht="24" customHeight="1">
      <x:c r="A47" s="84"/>
      <x:c r="B47" s="84"/>
      <x:c r="C47" s="84"/>
      <x:c r="D47" s="84"/>
      <x:c r="E47" s="84"/>
      <x:c r="F47" s="84"/>
      <x:c r="G47" s="84"/>
      <x:c r="H47" s="84"/>
      <x:c r="I47" s="84"/>
    </x:row>
    <x:row r="48" ht="27.950000762939453" customHeight="1">
      <x:c r="A48" s="86" t="s">
        <x:v>724</x:v>
      </x:c>
      <x:c r="B48" s="86"/>
      <x:c r="C48" s="86"/>
      <x:c r="D48" s="86"/>
      <x:c r="E48" s="86"/>
      <x:c r="F48" s="86"/>
      <x:c r="G48" s="86"/>
      <x:c r="H48" s="86"/>
      <x:c r="I48" s="86"/>
    </x:row>
    <x:row r="49" ht="24" customHeight="1">
      <x:c r="A49" s="118" t="s">
        <x:v>725</x:v>
      </x:c>
      <x:c r="B49" s="118"/>
      <x:c r="C49" s="118"/>
      <x:c r="D49" s="118"/>
      <x:c r="E49" s="118"/>
      <x:c r="F49" s="118"/>
      <x:c r="G49" s="118"/>
      <x:c r="H49" s="118"/>
      <x:c r="I49" s="118"/>
    </x:row>
    <x:row r="50" ht="30" customHeight="1">
      <x:c r="A50" s="87" t="s">
        <x:v>413</x:v>
      </x:c>
      <x:c r="B50" s="87" t="s">
        <x:v>726</x:v>
      </x:c>
      <x:c r="C50" s="87" t="s">
        <x:v>727</x:v>
      </x:c>
      <x:c r="D50" s="87" t="s">
        <x:v>728</x:v>
      </x:c>
      <x:c r="E50" s="87" t="s">
        <x:v>729</x:v>
      </x:c>
      <x:c r="F50" s="87" t="s">
        <x:v>730</x:v>
      </x:c>
      <x:c r="G50" s="87" t="s">
        <x:v>668</x:v>
      </x:c>
      <x:c r="H50" s="87" t="s">
        <x:v>669</x:v>
      </x:c>
      <x:c r="I50" s="87" t="s">
        <x:v>670</x:v>
      </x:c>
    </x:row>
    <x:row r="51" ht="24" customHeight="1">
      <x:c r="A51" s="89" t="s">
        <x:v>558</x:v>
      </x:c>
      <x:c r="B51" s="104">
        <x:v>210001</x:v>
      </x:c>
      <x:c r="C51" s="99">
        <x:v>100</x:v>
      </x:c>
      <x:c r="D51" s="89" t="n">
        <x:f>C51*系统投放汇总!$C$6/系统投放汇总!$B$6</x:f>
        <x:v>5</x:v>
      </x:c>
      <x:c r="E51" s="93" t="n">
        <x:f t="shared" ref="E51:E59" si="3">1/COUNTA($B$51:$B$59)</x:f>
        <x:v>0.1111111111111111</x:v>
      </x:c>
      <x:c r="F51" s="93" t="n">
        <x:f t="shared" ref="F51:F59" si="4">E51*$F$40</x:f>
        <x:v>0.0555622011644597</x:v>
      </x:c>
      <x:c r="G51" s="89" t="n">
        <x:f t="shared" ref="G51:G59" si="5">F51*$B$27</x:f>
        <x:v>0.555622011644597</x:v>
      </x:c>
      <x:c r="H51" s="89" t="n">
        <x:f t="shared" ref="H51:H59" si="6">G51*C51</x:f>
        <x:v>55.5622011644597</x:v>
      </x:c>
      <x:c r="I51" s="89" t="n">
        <x:f t="shared" ref="I51:I59" si="7">G51*D51</x:f>
        <x:v>2.778110058222985</x:v>
      </x:c>
    </x:row>
    <x:row r="52" ht="24" customHeight="1">
      <x:c r="A52" s="90" t="s">
        <x:v>558</x:v>
      </x:c>
      <x:c r="B52" s="105">
        <x:v>210001</x:v>
      </x:c>
      <x:c r="C52" s="99">
        <x:v>200</x:v>
      </x:c>
      <x:c r="D52" s="90" t="n">
        <x:f>C52*系统投放汇总!$C$6/系统投放汇总!$B$6</x:f>
        <x:v>10</x:v>
      </x:c>
      <x:c r="E52" s="94">
        <x:f t="shared" si="3"/>
        <x:v>0.1111111111111111</x:v>
      </x:c>
      <x:c r="F52" s="94">
        <x:f t="shared" si="4"/>
        <x:v>5.5562201164459701E-2</x:v>
      </x:c>
      <x:c r="G52" s="90">
        <x:f t="shared" si="5"/>
        <x:v>0.55562201164459701</x:v>
      </x:c>
      <x:c r="H52" s="90">
        <x:f t="shared" si="6"/>
        <x:v>111.1244023289194</x:v>
      </x:c>
      <x:c r="I52" s="90">
        <x:f t="shared" si="7"/>
        <x:v>5.5562201164459699</x:v>
      </x:c>
    </x:row>
    <x:row r="53" ht="24" customHeight="1">
      <x:c r="A53" s="89" t="s">
        <x:v>558</x:v>
      </x:c>
      <x:c r="B53" s="104">
        <x:v>210001</x:v>
      </x:c>
      <x:c r="C53" s="99">
        <x:v>300</x:v>
      </x:c>
      <x:c r="D53" s="89" t="n">
        <x:f>C53*系统投放汇总!$C$6/系统投放汇总!$B$6</x:f>
        <x:v>15</x:v>
      </x:c>
      <x:c r="E53" s="93">
        <x:f t="shared" si="3"/>
        <x:v>0.1111111111111111</x:v>
      </x:c>
      <x:c r="F53" s="93">
        <x:f t="shared" si="4"/>
        <x:v>5.5562201164459701E-2</x:v>
      </x:c>
      <x:c r="G53" s="89">
        <x:f t="shared" si="5"/>
        <x:v>0.55562201164459701</x:v>
      </x:c>
      <x:c r="H53" s="89">
        <x:f t="shared" si="6"/>
        <x:v>166.6866034933791</x:v>
      </x:c>
      <x:c r="I53" s="89">
        <x:f t="shared" si="7"/>
        <x:v>8.3343301746689544</x:v>
      </x:c>
    </x:row>
    <x:row r="54" ht="24" customHeight="1">
      <x:c r="A54" s="90" t="s">
        <x:v>562</x:v>
      </x:c>
      <x:c r="B54" s="105">
        <x:v>110001</x:v>
      </x:c>
      <x:c r="C54" s="99">
        <x:v>10</x:v>
      </x:c>
      <x:c r="D54" s="90" t="n">
        <x:f>C54*系统投放汇总!$C$9/系统投放汇总!$B$9</x:f>
        <x:v>5</x:v>
      </x:c>
      <x:c r="E54" s="94">
        <x:f t="shared" si="3"/>
        <x:v>0.1111111111111111</x:v>
      </x:c>
      <x:c r="F54" s="94">
        <x:f t="shared" si="4"/>
        <x:v>5.5562201164459701E-2</x:v>
      </x:c>
      <x:c r="G54" s="90">
        <x:f t="shared" si="5"/>
        <x:v>0.55562201164459701</x:v>
      </x:c>
      <x:c r="H54" s="90">
        <x:f t="shared" si="6"/>
        <x:v>5.5562201164459699</x:v>
      </x:c>
      <x:c r="I54" s="90">
        <x:f t="shared" si="7"/>
        <x:v>2.778110058222985</x:v>
      </x:c>
    </x:row>
    <x:row r="55" ht="24" customHeight="1">
      <x:c r="A55" s="89" t="s">
        <x:v>562</x:v>
      </x:c>
      <x:c r="B55" s="104">
        <x:v>110001</x:v>
      </x:c>
      <x:c r="C55" s="99">
        <x:v>20</x:v>
      </x:c>
      <x:c r="D55" s="89" t="n">
        <x:f>C55*系统投放汇总!$C$9/系统投放汇总!$B$9</x:f>
        <x:v>10</x:v>
      </x:c>
      <x:c r="E55" s="93">
        <x:f t="shared" si="3"/>
        <x:v>0.1111111111111111</x:v>
      </x:c>
      <x:c r="F55" s="93">
        <x:f t="shared" si="4"/>
        <x:v>5.5562201164459701E-2</x:v>
      </x:c>
      <x:c r="G55" s="89">
        <x:f t="shared" si="5"/>
        <x:v>0.55562201164459701</x:v>
      </x:c>
      <x:c r="H55" s="89">
        <x:f t="shared" si="6"/>
        <x:v>11.11244023289194</x:v>
      </x:c>
      <x:c r="I55" s="89">
        <x:f t="shared" si="7"/>
        <x:v>5.55622011644597</x:v>
      </x:c>
    </x:row>
    <x:row r="56" ht="24" customHeight="1">
      <x:c r="A56" s="90" t="s">
        <x:v>563</x:v>
      </x:c>
      <x:c r="B56" s="105">
        <x:v>110002</x:v>
      </x:c>
      <x:c r="C56" s="99">
        <x:v>10</x:v>
      </x:c>
      <x:c r="D56" s="90" t="n">
        <x:f>C56*系统投放汇总!$C$10/系统投放汇总!$B$10</x:f>
        <x:v>5</x:v>
      </x:c>
      <x:c r="E56" s="94">
        <x:f t="shared" si="3"/>
        <x:v>0.1111111111111111</x:v>
      </x:c>
      <x:c r="F56" s="94">
        <x:f t="shared" si="4"/>
        <x:v>5.5562201164459701E-2</x:v>
      </x:c>
      <x:c r="G56" s="90">
        <x:f t="shared" si="5"/>
        <x:v>0.55562201164459701</x:v>
      </x:c>
      <x:c r="H56" s="90">
        <x:f t="shared" si="6"/>
        <x:v>5.5562201164459699</x:v>
      </x:c>
      <x:c r="I56" s="90">
        <x:f t="shared" si="7"/>
        <x:v>2.778110058222985</x:v>
      </x:c>
    </x:row>
    <x:row r="57" ht="24" customHeight="1">
      <x:c r="A57" s="89" t="s">
        <x:v>563</x:v>
      </x:c>
      <x:c r="B57" s="104">
        <x:v>110002</x:v>
      </x:c>
      <x:c r="C57" s="99">
        <x:v>20</x:v>
      </x:c>
      <x:c r="D57" s="89" t="n">
        <x:f>C57*系统投放汇总!$C$10/系统投放汇总!$B$10</x:f>
        <x:v>10</x:v>
      </x:c>
      <x:c r="E57" s="93">
        <x:f t="shared" si="3"/>
        <x:v>0.1111111111111111</x:v>
      </x:c>
      <x:c r="F57" s="93">
        <x:f t="shared" si="4"/>
        <x:v>5.5562201164459701E-2</x:v>
      </x:c>
      <x:c r="G57" s="89">
        <x:f t="shared" si="5"/>
        <x:v>0.55562201164459701</x:v>
      </x:c>
      <x:c r="H57" s="89">
        <x:f t="shared" si="6"/>
        <x:v>11.11244023289194</x:v>
      </x:c>
      <x:c r="I57" s="89">
        <x:f t="shared" si="7"/>
        <x:v>5.55622011644597</x:v>
      </x:c>
    </x:row>
    <x:row r="58" ht="24" customHeight="1">
      <x:c r="A58" s="90" t="s">
        <x:v>565</x:v>
      </x:c>
      <x:c r="B58" s="105">
        <x:v>110003</x:v>
      </x:c>
      <x:c r="C58" s="99">
        <x:v>10</x:v>
      </x:c>
      <x:c r="D58" s="90" t="n">
        <x:f>C58*系统投放汇总!$C$11/系统投放汇总!$B$11</x:f>
        <x:v>5</x:v>
      </x:c>
      <x:c r="E58" s="94">
        <x:f t="shared" si="3"/>
        <x:v>0.1111111111111111</x:v>
      </x:c>
      <x:c r="F58" s="94">
        <x:f t="shared" si="4"/>
        <x:v>5.5562201164459701E-2</x:v>
      </x:c>
      <x:c r="G58" s="90">
        <x:f t="shared" si="5"/>
        <x:v>0.55562201164459701</x:v>
      </x:c>
      <x:c r="H58" s="90">
        <x:f t="shared" si="6"/>
        <x:v>5.5562201164459699</x:v>
      </x:c>
      <x:c r="I58" s="90">
        <x:f t="shared" si="7"/>
        <x:v>2.778110058222985</x:v>
      </x:c>
    </x:row>
    <x:row r="59" ht="24" customHeight="1">
      <x:c r="A59" s="89" t="s">
        <x:v>565</x:v>
      </x:c>
      <x:c r="B59" s="104">
        <x:v>110003</x:v>
      </x:c>
      <x:c r="C59" s="99">
        <x:v>20</x:v>
      </x:c>
      <x:c r="D59" s="89" t="n">
        <x:f>C59*系统投放汇总!$C$11/系统投放汇总!$B$11</x:f>
        <x:v>10</x:v>
      </x:c>
      <x:c r="E59" s="93">
        <x:f t="shared" si="3"/>
        <x:v>0.1111111111111111</x:v>
      </x:c>
      <x:c r="F59" s="93">
        <x:f t="shared" si="4"/>
        <x:v>5.5562201164459701E-2</x:v>
      </x:c>
      <x:c r="G59" s="89">
        <x:f t="shared" si="5"/>
        <x:v>0.55562201164459701</x:v>
      </x:c>
      <x:c r="H59" s="89">
        <x:f t="shared" si="6"/>
        <x:v>11.11244023289194</x:v>
      </x:c>
      <x:c r="I59" s="89">
        <x:f t="shared" si="7"/>
        <x:v>5.55622011644597</x:v>
      </x:c>
    </x:row>
    <x:row r="60" ht="24" customHeight="1">
      <x:c r="A60" s="91" t="s">
        <x:v>731</x:v>
      </x:c>
      <x:c r="B60" s="91"/>
      <x:c r="C60" s="91"/>
      <x:c r="D60" s="91"/>
      <x:c r="E60" s="103" t="n">
        <x:f>SUM(E51:E59)</x:f>
        <x:v>1.0000000000000002</x:v>
      </x:c>
      <x:c r="F60" s="103" t="n">
        <x:f>SUM(F51:F59)</x:f>
        <x:v>0.5000598104801373</x:v>
      </x:c>
      <x:c r="G60" s="91" t="n">
        <x:f>SUM(G51:G59)</x:f>
        <x:v>5.000598104801373</x:v>
      </x:c>
      <x:c r="H60" s="91"/>
      <x:c r="I60" s="91" t="n">
        <x:f>SUM(I51:I59)</x:f>
        <x:v>41.671650873344774</x:v>
      </x:c>
    </x:row>
    <x:row r="61" ht="24" customHeight="1">
      <x:c r="A61" s="84"/>
      <x:c r="B61" s="84"/>
      <x:c r="C61" s="84"/>
      <x:c r="D61" s="84"/>
      <x:c r="E61" s="84"/>
      <x:c r="F61" s="84"/>
      <x:c r="G61" s="84"/>
      <x:c r="H61" s="84"/>
      <x:c r="I61" s="84"/>
    </x:row>
    <x:row r="62" ht="24" customHeight="1">
      <x:c r="A62" s="84"/>
      <x:c r="B62" s="84"/>
      <x:c r="C62" s="84"/>
      <x:c r="D62" s="84"/>
      <x:c r="E62" s="84"/>
      <x:c r="F62" s="84"/>
      <x:c r="G62" s="84"/>
      <x:c r="H62" s="84"/>
      <x:c r="I62" s="84"/>
    </x:row>
    <x:row r="63" ht="24" customHeight="1">
      <x:c r="A63" s="84"/>
      <x:c r="B63" s="84"/>
      <x:c r="C63" s="84"/>
      <x:c r="D63" s="84"/>
      <x:c r="E63" s="84"/>
      <x:c r="F63" s="84"/>
      <x:c r="G63" s="84"/>
      <x:c r="H63" s="84"/>
      <x:c r="I63" s="84"/>
    </x:row>
    <x:row r="64" ht="27.950000762939453" customHeight="1">
      <x:c r="A64" s="86" t="s">
        <x:v>732</x:v>
      </x:c>
      <x:c r="B64" s="86"/>
      <x:c r="C64" s="86"/>
      <x:c r="D64" s="86"/>
      <x:c r="E64" s="86"/>
      <x:c r="F64" s="86"/>
      <x:c r="G64" s="86"/>
      <x:c r="H64" s="86"/>
      <x:c r="I64" s="86"/>
    </x:row>
    <x:row r="65" ht="30" customHeight="1">
      <x:c r="A65" s="87" t="s">
        <x:v>39</x:v>
      </x:c>
      <x:c r="B65" s="87" t="s">
        <x:v>38</x:v>
      </x:c>
      <x:c r="C65" s="87" t="s">
        <x:v>41</x:v>
      </x:c>
      <x:c r="D65" s="87" t="s">
        <x:v>733</x:v>
      </x:c>
      <x:c r="E65" s="87" t="s">
        <x:v>734</x:v>
      </x:c>
      <x:c r="F65" s="87" t="s">
        <x:v>735</x:v>
      </x:c>
      <x:c r="G65" s="87" t="s">
        <x:v>730</x:v>
      </x:c>
      <x:c r="H65" s="87" t="s">
        <x:v>736</x:v>
      </x:c>
      <x:c r="I65" s="87" t="s">
        <x:v>737</x:v>
      </x:c>
    </x:row>
    <x:row r="66" ht="24" customHeight="1">
      <x:c r="A66" s="89" t="str">
        <x:f>英雄升级调参!C18</x:f>
        <x:v>特歪兔</x:v>
      </x:c>
      <x:c r="B66" s="104" t="n">
        <x:f>英雄升级调参!B18</x:f>
        <x:v>310000</x:v>
      </x:c>
      <x:c r="C66" s="89" t="str">
        <x:f>英雄升级调参!J18</x:f>
        <x:v>蓝色</x:v>
      </x:c>
      <x:c r="D66" s="104">
        <x:v>340000</x:v>
      </x:c>
      <x:c r="E66" s="104" t="n">
        <x:f t="shared" ref="E66:E75" si="8">$B$30</x:f>
        <x:v>10</x:v>
      </x:c>
      <x:c r="F66" s="93" t="n">
        <x:f t="shared" ref="F66:F75" si="9">1/COUNTIFS($C$66:$C$75,C66)</x:f>
        <x:v>0.3333333333333333</x:v>
      </x:c>
      <x:c r="G66" s="93" t="n">
        <x:f t="shared" ref="G66:G75" si="10">F66*IF(C66="蓝色",$F$37,IF(C66="紫色",$F$38,IF(C66="橙色",$F$39,NA())))</x:f>
        <x:v>0.12653055821535586</x:v>
      </x:c>
      <x:c r="H66" s="89" t="n">
        <x:f t="shared" ref="H66:H75" si="11">G66*$B$27*E66</x:f>
        <x:v>12.653055821535586</x:v>
      </x:c>
      <x:c r="I66" s="89" t="n">
        <x:f t="shared" ref="I66:I75" si="12">E66*IF(C66="蓝色",$I$28/$H$28,IF(C66="紫色",$I$29/$H$29,$I$30/$H$30))</x:f>
        <x:v>30</x:v>
      </x:c>
    </x:row>
    <x:row r="67" ht="24" customHeight="1">
      <x:c r="A67" s="90" t="str">
        <x:f>英雄升级调参!C19</x:f>
        <x:v>墨伊喵</x:v>
      </x:c>
      <x:c r="B67" s="105" t="n">
        <x:f>英雄升级调参!B19</x:f>
        <x:v>310001</x:v>
      </x:c>
      <x:c r="C67" s="90" t="str">
        <x:f>英雄升级调参!J19</x:f>
        <x:v>蓝色</x:v>
      </x:c>
      <x:c r="D67" s="105">
        <x:v>340001</x:v>
      </x:c>
      <x:c r="E67" s="105">
        <x:f t="shared" si="8"/>
        <x:v>10</x:v>
      </x:c>
      <x:c r="F67" s="94">
        <x:f t="shared" si="9"/>
        <x:v>0.33333333333333331</x:v>
      </x:c>
      <x:c r="G67" s="94">
        <x:f t="shared" si="10"/>
        <x:v>0.12653055821535586</x:v>
      </x:c>
      <x:c r="H67" s="90">
        <x:f t="shared" si="11"/>
        <x:v>12.653055821535586</x:v>
      </x:c>
      <x:c r="I67" s="90">
        <x:f t="shared" si="12"/>
        <x:v>30</x:v>
      </x:c>
    </x:row>
    <x:row r="68" ht="24" customHeight="1">
      <x:c r="A68" s="89" t="str">
        <x:f>英雄升级调参!C20</x:f>
        <x:v>贝尔熊</x:v>
      </x:c>
      <x:c r="B68" s="104" t="n">
        <x:f>英雄升级调参!B20</x:f>
        <x:v>310002</x:v>
      </x:c>
      <x:c r="C68" s="89" t="str">
        <x:f>英雄升级调参!J20</x:f>
        <x:v>蓝色</x:v>
      </x:c>
      <x:c r="D68" s="104">
        <x:v>340002</x:v>
      </x:c>
      <x:c r="E68" s="104">
        <x:f t="shared" si="8"/>
        <x:v>10</x:v>
      </x:c>
      <x:c r="F68" s="93">
        <x:f t="shared" si="9"/>
        <x:v>0.33333333333333331</x:v>
      </x:c>
      <x:c r="G68" s="93">
        <x:f t="shared" si="10"/>
        <x:v>0.12653055821535586</x:v>
      </x:c>
      <x:c r="H68" s="89">
        <x:f t="shared" si="11"/>
        <x:v>12.653055821535586</x:v>
      </x:c>
      <x:c r="I68" s="89">
        <x:f t="shared" si="12"/>
        <x:v>30</x:v>
      </x:c>
    </x:row>
    <x:row r="69" ht="24" customHeight="1">
      <x:c r="A69" s="90" t="str">
        <x:f>英雄升级调参!C21</x:f>
        <x:v>鲀小泡</x:v>
      </x:c>
      <x:c r="B69" s="105" t="n">
        <x:f>英雄升级调参!B21</x:f>
        <x:v>310003</x:v>
      </x:c>
      <x:c r="C69" s="90" t="str">
        <x:f>英雄升级调参!J21</x:f>
        <x:v>紫色</x:v>
      </x:c>
      <x:c r="D69" s="105">
        <x:v>340003</x:v>
      </x:c>
      <x:c r="E69" s="105">
        <x:f t="shared" si="8"/>
        <x:v>10</x:v>
      </x:c>
      <x:c r="F69" s="94">
        <x:f t="shared" si="9"/>
        <x:v>0.25</x:v>
      </x:c>
      <x:c r="G69" s="94">
        <x:f t="shared" si="10"/>
        <x:v>2.4988462069544991E-2</x:v>
      </x:c>
      <x:c r="H69" s="90">
        <x:f t="shared" si="11"/>
        <x:v>2.4988462069544992</x:v>
      </x:c>
      <x:c r="I69" s="90">
        <x:f t="shared" si="12"/>
        <x:v>300</x:v>
      </x:c>
    </x:row>
    <x:row r="70" ht="24" customHeight="1">
      <x:c r="A70" s="89" t="str">
        <x:f>英雄升级调参!C22</x:f>
        <x:v>龟尼克</x:v>
      </x:c>
      <x:c r="B70" s="104" t="n">
        <x:f>英雄升级调参!B22</x:f>
        <x:v>310004</x:v>
      </x:c>
      <x:c r="C70" s="89" t="str">
        <x:f>英雄升级调参!J22</x:f>
        <x:v>紫色</x:v>
      </x:c>
      <x:c r="D70" s="104">
        <x:v>340004</x:v>
      </x:c>
      <x:c r="E70" s="104">
        <x:f t="shared" si="8"/>
        <x:v>10</x:v>
      </x:c>
      <x:c r="F70" s="93">
        <x:f t="shared" si="9"/>
        <x:v>0.25</x:v>
      </x:c>
      <x:c r="G70" s="93">
        <x:f t="shared" si="10"/>
        <x:v>2.4988462069544991E-2</x:v>
      </x:c>
      <x:c r="H70" s="89">
        <x:f t="shared" si="11"/>
        <x:v>2.4988462069544992</x:v>
      </x:c>
      <x:c r="I70" s="89">
        <x:f t="shared" si="12"/>
        <x:v>300</x:v>
      </x:c>
    </x:row>
    <x:row r="71" ht="24" customHeight="1">
      <x:c r="A71" s="90" t="str">
        <x:f>英雄升级调参!C23</x:f>
        <x:v>焦焦鸮</x:v>
      </x:c>
      <x:c r="B71" s="105" t="n">
        <x:f>英雄升级调参!B23</x:f>
        <x:v>310005</x:v>
      </x:c>
      <x:c r="C71" s="90" t="str">
        <x:f>英雄升级调参!J23</x:f>
        <x:v>橙色</x:v>
      </x:c>
      <x:c r="D71" s="105">
        <x:v>340005</x:v>
      </x:c>
      <x:c r="E71" s="105">
        <x:f t="shared" si="8"/>
        <x:v>10</x:v>
      </x:c>
      <x:c r="F71" s="94">
        <x:f t="shared" si="9"/>
        <x:v>0.33333333333333331</x:v>
      </x:c>
      <x:c r="G71" s="94">
        <x:f t="shared" si="10"/>
        <x:v>6.7982221985383989E-3</x:v>
      </x:c>
      <x:c r="H71" s="90">
        <x:f t="shared" si="11"/>
        <x:v>0.67982221985383995</x:v>
      </x:c>
      <x:c r="I71" s="90">
        <x:f t="shared" si="12"/>
        <x:v>1500</x:v>
      </x:c>
    </x:row>
    <x:row r="72" ht="24" customHeight="1">
      <x:c r="A72" s="89" t="str">
        <x:f>英雄升级调参!C24</x:f>
        <x:v>玛莫莉莉狮</x:v>
      </x:c>
      <x:c r="B72" s="104" t="n">
        <x:f>英雄升级调参!B24</x:f>
        <x:v>310006</x:v>
      </x:c>
      <x:c r="C72" s="89" t="str">
        <x:f>英雄升级调参!J24</x:f>
        <x:v>橙色</x:v>
      </x:c>
      <x:c r="D72" s="104">
        <x:v>340006</x:v>
      </x:c>
      <x:c r="E72" s="104">
        <x:f t="shared" si="8"/>
        <x:v>10</x:v>
      </x:c>
      <x:c r="F72" s="93">
        <x:f t="shared" si="9"/>
        <x:v>0.33333333333333331</x:v>
      </x:c>
      <x:c r="G72" s="93">
        <x:f t="shared" si="10"/>
        <x:v>6.7982221985383989E-3</x:v>
      </x:c>
      <x:c r="H72" s="89">
        <x:f t="shared" si="11"/>
        <x:v>0.67982221985383995</x:v>
      </x:c>
      <x:c r="I72" s="89">
        <x:f t="shared" si="12"/>
        <x:v>1500</x:v>
      </x:c>
    </x:row>
    <x:row r="73" ht="24" customHeight="1">
      <x:c r="A73" s="90" t="str">
        <x:f>英雄升级调参!C25</x:f>
        <x:v>魔魔龙</x:v>
      </x:c>
      <x:c r="B73" s="105" t="n">
        <x:f>英雄升级调参!B25</x:f>
        <x:v>310008</x:v>
      </x:c>
      <x:c r="C73" s="90" t="str">
        <x:f>英雄升级调参!J25</x:f>
        <x:v>橙色</x:v>
      </x:c>
      <x:c r="D73" s="105">
        <x:v>340008</x:v>
      </x:c>
      <x:c r="E73" s="105">
        <x:f t="shared" si="8"/>
        <x:v>10</x:v>
      </x:c>
      <x:c r="F73" s="94">
        <x:f t="shared" si="9"/>
        <x:v>0.33333333333333331</x:v>
      </x:c>
      <x:c r="G73" s="94">
        <x:f t="shared" si="10"/>
        <x:v>6.7982221985383989E-3</x:v>
      </x:c>
      <x:c r="H73" s="90">
        <x:f t="shared" si="11"/>
        <x:v>0.67982221985383995</x:v>
      </x:c>
      <x:c r="I73" s="90">
        <x:f t="shared" si="12"/>
        <x:v>1500</x:v>
      </x:c>
    </x:row>
    <x:row r="74" ht="24" customHeight="1">
      <x:c r="A74" s="89" t="str">
        <x:f>英雄升级调参!C26</x:f>
        <x:v>海希</x:v>
      </x:c>
      <x:c r="B74" s="104" t="n">
        <x:f>英雄升级调参!B26</x:f>
        <x:v>310009</x:v>
      </x:c>
      <x:c r="C74" s="89" t="str">
        <x:f>英雄升级调参!J26</x:f>
        <x:v>紫色</x:v>
      </x:c>
      <x:c r="D74" s="104">
        <x:v>340009</x:v>
      </x:c>
      <x:c r="E74" s="104">
        <x:f t="shared" si="8"/>
        <x:v>10</x:v>
      </x:c>
      <x:c r="F74" s="93">
        <x:f t="shared" si="9"/>
        <x:v>0.25</x:v>
      </x:c>
      <x:c r="G74" s="93">
        <x:f t="shared" si="10"/>
        <x:v>2.4988462069544991E-2</x:v>
      </x:c>
      <x:c r="H74" s="89">
        <x:f t="shared" si="11"/>
        <x:v>2.4988462069544992</x:v>
      </x:c>
      <x:c r="I74" s="89">
        <x:f t="shared" si="12"/>
        <x:v>300</x:v>
      </x:c>
    </x:row>
    <x:row r="75" ht="24" customHeight="1">
      <x:c r="A75" s="90" t="str">
        <x:f>英雄升级调参!C27</x:f>
        <x:v>鳄不恶</x:v>
      </x:c>
      <x:c r="B75" s="105" t="n">
        <x:f>英雄升级调参!B27</x:f>
        <x:v>310011</x:v>
      </x:c>
      <x:c r="C75" s="90" t="str">
        <x:f>英雄升级调参!J27</x:f>
        <x:v>紫色</x:v>
      </x:c>
      <x:c r="D75" s="105">
        <x:v>340011</x:v>
      </x:c>
      <x:c r="E75" s="105">
        <x:f t="shared" si="8"/>
        <x:v>10</x:v>
      </x:c>
      <x:c r="F75" s="94">
        <x:f t="shared" si="9"/>
        <x:v>0.25</x:v>
      </x:c>
      <x:c r="G75" s="94">
        <x:f t="shared" si="10"/>
        <x:v>2.4988462069544991E-2</x:v>
      </x:c>
      <x:c r="H75" s="90">
        <x:f t="shared" si="11"/>
        <x:v>2.4988462069544992</x:v>
      </x:c>
      <x:c r="I75" s="90">
        <x:f t="shared" si="12"/>
        <x:v>300</x:v>
      </x:c>
    </x:row>
    <x:row r="76" ht="24" customHeight="1">
      <x:c r="A76" s="84"/>
      <x:c r="B76" s="84"/>
      <x:c r="C76" s="84"/>
      <x:c r="D76" s="84"/>
      <x:c r="E76" s="84"/>
      <x:c r="F76" s="84"/>
      <x:c r="G76" s="84"/>
      <x:c r="H76" s="84"/>
      <x:c r="I76" s="84"/>
    </x:row>
    <x:row r="77" ht="24" customHeight="1">
      <x:c r="A77" s="118" t="s">
        <x:v>738</x:v>
      </x:c>
      <x:c r="B77" s="118"/>
      <x:c r="C77" s="118"/>
      <x:c r="D77" s="118"/>
      <x:c r="E77" s="118"/>
      <x:c r="F77" s="118"/>
      <x:c r="G77" s="118"/>
      <x:c r="H77" s="118"/>
      <x:c r="I77" s="118"/>
    </x:row>
    <x:row r="78" ht="24" customHeight="1">
      <x:c r="A78" s="118" t="s">
        <x:v>739</x:v>
      </x:c>
      <x:c r="B78" s="118"/>
      <x:c r="C78" s="118"/>
      <x:c r="D78" s="118"/>
      <x:c r="E78" s="118"/>
      <x:c r="F78" s="118"/>
      <x:c r="G78" s="118"/>
      <x:c r="H78" s="118"/>
      <x:c r="I78" s="118"/>
    </x:row>
    <x:row r="79" ht="24" customHeight="1">
      <x:c r="A79" s="84"/>
      <x:c r="B79" s="84"/>
      <x:c r="C79" s="84"/>
      <x:c r="D79" s="84"/>
      <x:c r="E79" s="84"/>
      <x:c r="F79" s="84"/>
      <x:c r="G79" s="84"/>
      <x:c r="H79" s="84"/>
      <x:c r="I79" s="84"/>
    </x:row>
    <x:row r="80" ht="24" customHeight="1">
      <x:c r="A80" s="84"/>
      <x:c r="B80" s="84"/>
      <x:c r="C80" s="84"/>
      <x:c r="D80" s="84"/>
      <x:c r="E80" s="84"/>
      <x:c r="F80" s="84"/>
      <x:c r="G80" s="84"/>
      <x:c r="H80" s="84"/>
      <x:c r="I80" s="84"/>
    </x:row>
    <x:row r="81" ht="27.950000762939453" customHeight="1">
      <x:c r="A81" s="86" t="s">
        <x:v>740</x:v>
      </x:c>
      <x:c r="B81" s="86"/>
      <x:c r="C81" s="86"/>
      <x:c r="D81" s="86"/>
      <x:c r="E81" s="86"/>
      <x:c r="F81" s="86"/>
      <x:c r="G81" s="86"/>
      <x:c r="H81" s="86"/>
      <x:c r="I81" s="86"/>
    </x:row>
    <x:row r="82" ht="30" customHeight="1">
      <x:c r="A82" s="87" t="s">
        <x:v>741</x:v>
      </x:c>
      <x:c r="B82" s="87" t="s">
        <x:v>742</x:v>
      </x:c>
      <x:c r="C82" s="119" t="s">
        <x:v>743</x:v>
      </x:c>
      <x:c r="D82" s="120"/>
      <x:c r="E82" s="120"/>
      <x:c r="F82" s="120"/>
      <x:c r="G82" s="120"/>
      <x:c r="H82" s="120"/>
      <x:c r="I82" s="120"/>
    </x:row>
    <x:row r="83" ht="24" customHeight="1">
      <x:c r="A83" s="84" t="s">
        <x:v>744</x:v>
      </x:c>
      <x:c r="B83" s="98" t="n">
        <x:f>SUM(B37:B40)</x:f>
        <x:v>10000</x:v>
      </x:c>
      <x:c r="C83" s="120" t="str">
        <x:f>IF(B83=10000,"正常：合计10000","注意：当前按权重合计归一化")</x:f>
        <x:v>正常：合计10000</x:v>
      </x:c>
      <x:c r="D83" s="120"/>
      <x:c r="E83" s="120"/>
      <x:c r="F83" s="120"/>
      <x:c r="G83" s="120"/>
      <x:c r="H83" s="120"/>
      <x:c r="I83" s="120"/>
    </x:row>
    <x:row r="84" ht="24" customHeight="1">
      <x:c r="A84" s="84" t="s">
        <x:v>745</x:v>
      </x:c>
      <x:c r="B84" s="101" t="n">
        <x:f>SUM(F37:F39)</x:f>
        <x:v>0.49994018951986274</x:v>
      </x:c>
      <x:c r="C84" s="120" t="str">
        <x:f>IF(ABS(B84-$B$32)&lt;0.005,"正常：接近目标占比","注意：偏离目标超过0.5个百分点")</x:f>
        <x:v>正常：接近目标占比</x:v>
      </x:c>
      <x:c r="D84" s="120"/>
      <x:c r="E84" s="120"/>
      <x:c r="F84" s="120"/>
      <x:c r="G84" s="120"/>
      <x:c r="H84" s="120"/>
      <x:c r="I84" s="120"/>
    </x:row>
    <x:row r="85" ht="24" customHeight="1">
      <x:c r="A85" s="84" t="s">
        <x:v>746</x:v>
      </x:c>
      <x:c r="B85" s="101" t="n">
        <x:f>SUM(E51:E59)</x:f>
        <x:v>1.0000000000000002</x:v>
      </x:c>
      <x:c r="C85" s="120" t="str">
        <x:f>IF(ABS(B85-1)&lt;0.00000001,"正常：9项等概率选1","错误：包内概率未合计100%")</x:f>
        <x:v>正常：9项等概率选1</x:v>
      </x:c>
      <x:c r="D85" s="120"/>
      <x:c r="E85" s="120"/>
      <x:c r="F85" s="120"/>
      <x:c r="G85" s="120"/>
      <x:c r="H85" s="120"/>
      <x:c r="I85" s="120"/>
    </x:row>
    <x:row r="86" ht="24" customHeight="1">
      <x:c r="A86" s="84" t="s">
        <x:v>747</x:v>
      </x:c>
      <x:c r="B86" s="101" t="n">
        <x:f>I142</x:f>
        <x:v>0.999999999999999</x:v>
      </x:c>
      <x:c r="C86" s="120" t="str">
        <x:f>IF(ABS(B86-1)&lt;0.00000001,"正常：最迟第50抽出橙","错误：保底未闭合")</x:f>
        <x:v>正常：最迟第50抽出橙</x:v>
      </x:c>
      <x:c r="D86" s="120"/>
      <x:c r="E86" s="120"/>
      <x:c r="F86" s="120"/>
      <x:c r="G86" s="120"/>
      <x:c r="H86" s="120"/>
      <x:c r="I86" s="120"/>
    </x:row>
    <x:row r="87" ht="24" customHeight="1">
      <x:c r="A87" s="84" t="s">
        <x:v>748</x:v>
      </x:c>
      <x:c r="B87" s="98" t="n">
        <x:f>COUNTA(B66:B75)</x:f>
        <x:v>10</x:v>
      </x:c>
      <x:c r="C87" s="120" t="str">
        <x:f>IF(B87=10,"当前蓝"&amp;COUNTIFS(C66:C75,"蓝色")&amp;" / 紫"&amp;COUNTIFS(C66:C75,"紫色")&amp;" / 橙"&amp;COUNTIFS(C66:C75,"橙色")&amp;"，人数随品质联动","注意：请核对卡池人数")</x:f>
        <x:v>当前蓝3 / 紫4 / 橙3，人数随品质联动</x:v>
      </x:c>
      <x:c r="D87" s="120"/>
      <x:c r="E87" s="120"/>
      <x:c r="F87" s="120"/>
      <x:c r="G87" s="120"/>
      <x:c r="H87" s="120"/>
      <x:c r="I87" s="120"/>
    </x:row>
    <x:row r="88" ht="24" customHeight="1">
      <x:c r="A88" s="84"/>
      <x:c r="B88" s="84"/>
      <x:c r="C88" s="84"/>
      <x:c r="D88" s="84"/>
      <x:c r="E88" s="84"/>
      <x:c r="F88" s="84"/>
      <x:c r="G88" s="84"/>
      <x:c r="H88" s="84"/>
      <x:c r="I88" s="84"/>
    </x:row>
    <x:row r="89" ht="24" customHeight="1">
      <x:c r="A89" s="84"/>
      <x:c r="B89" s="84"/>
      <x:c r="C89" s="84"/>
      <x:c r="D89" s="84"/>
      <x:c r="E89" s="84"/>
      <x:c r="F89" s="84"/>
      <x:c r="G89" s="84"/>
      <x:c r="H89" s="84"/>
      <x:c r="I89" s="84"/>
    </x:row>
    <x:row r="90" ht="27.950000762939453" customHeight="1">
      <x:c r="A90" s="86" t="s">
        <x:v>749</x:v>
      </x:c>
      <x:c r="B90" s="86"/>
      <x:c r="C90" s="86"/>
      <x:c r="D90" s="86"/>
      <x:c r="E90" s="86"/>
      <x:c r="F90" s="86"/>
      <x:c r="G90" s="86"/>
      <x:c r="H90" s="86"/>
      <x:c r="I90" s="86"/>
    </x:row>
    <x:row r="91" ht="24" customHeight="1">
      <x:c r="A91" s="118" t="s">
        <x:v>750</x:v>
      </x:c>
      <x:c r="B91" s="118"/>
      <x:c r="C91" s="118"/>
      <x:c r="D91" s="118"/>
      <x:c r="E91" s="118"/>
      <x:c r="F91" s="118"/>
      <x:c r="G91" s="118"/>
      <x:c r="H91" s="118"/>
      <x:c r="I91" s="118"/>
    </x:row>
    <x:row r="92" ht="30" customHeight="1">
      <x:c r="A92" s="87" t="s">
        <x:v>751</x:v>
      </x:c>
      <x:c r="B92" s="87" t="s">
        <x:v>752</x:v>
      </x:c>
      <x:c r="C92" s="87" t="s">
        <x:v>753</x:v>
      </x:c>
      <x:c r="D92" s="87" t="s">
        <x:v>754</x:v>
      </x:c>
      <x:c r="E92" s="87" t="s">
        <x:v>755</x:v>
      </x:c>
      <x:c r="F92" s="87" t="s">
        <x:v>756</x:v>
      </x:c>
      <x:c r="G92" s="87" t="s">
        <x:v>757</x:v>
      </x:c>
      <x:c r="H92" s="87" t="s">
        <x:v>758</x:v>
      </x:c>
      <x:c r="I92" s="87" t="s">
        <x:v>759</x:v>
      </x:c>
    </x:row>
    <x:row r="93" ht="24" customHeight="1">
      <x:c r="A93" s="105">
        <x:v>1</x:v>
      </x:c>
      <x:c r="B93" s="90" t="str">
        <x:f t="shared" ref="B93:B124" si="13">IF(A93&gt;$B$29,"周期结束",IF(A93=$B$29,"橙色保底",IF(MOD(A93,$B$28)=0,"紫色保底","普通抽")))</x:f>
        <x:v>普通抽</x:v>
      </x:c>
      <x:c r="C93" s="106" t="n">
        <x:f>1</x:f>
        <x:v>1</x:v>
      </x:c>
      <x:c r="D93" s="106" t="n">
        <x:f t="shared" ref="D93:D124" si="14">IF(A93&gt;=$B$29,0,IF(MOD(A93,$B$28)=0,$D$37,$C$37))</x:f>
        <x:v>0.4216</x:v>
      </x:c>
      <x:c r="E93" s="106" t="n">
        <x:f t="shared" ref="E93:E124" si="15">IF(A93&gt;=$B$29,0,IF(MOD(A93,$B$28)=0,$D$38,$C$38))</x:f>
        <x:v>0.0222</x:v>
      </x:c>
      <x:c r="F93" s="106" t="n">
        <x:f t="shared" ref="F93:F124" si="16">IF(A93&gt;=$B$29,1,$C$39)</x:f>
        <x:v>0.0008</x:v>
      </x:c>
      <x:c r="G93" s="106" t="n">
        <x:f t="shared" ref="G93:G124" si="17">1-SUM(D93:F93)</x:f>
        <x:v>0.5554</x:v>
      </x:c>
      <x:c r="H93" s="106" t="n">
        <x:f t="shared" ref="H93:H124" si="18">C93*F93</x:f>
        <x:v>0.0008</x:v>
      </x:c>
      <x:c r="I93" s="106" t="n">
        <x:f>SUM($H$93:H93)</x:f>
        <x:v>0.0008</x:v>
      </x:c>
    </x:row>
    <x:row r="94" ht="24" customHeight="1">
      <x:c r="A94" s="104">
        <x:v>2</x:v>
      </x:c>
      <x:c r="B94" s="89" t="str">
        <x:f t="shared" si="13"/>
        <x:v>普通抽</x:v>
      </x:c>
      <x:c r="C94" s="107" t="n">
        <x:f t="shared" ref="C94:C125" si="19">C93*(1-F93)</x:f>
        <x:v>0.9992</x:v>
      </x:c>
      <x:c r="D94" s="107">
        <x:f t="shared" si="14"/>
        <x:v>0.42159999999999997</x:v>
      </x:c>
      <x:c r="E94" s="107">
        <x:f t="shared" si="15"/>
        <x:v>2.2200000000000001E-2</x:v>
      </x:c>
      <x:c r="F94" s="107">
        <x:f t="shared" si="16"/>
        <x:v>8.0000000000000004E-4</x:v>
      </x:c>
      <x:c r="G94" s="107">
        <x:f t="shared" si="17"/>
        <x:v>0.5554</x:v>
      </x:c>
      <x:c r="H94" s="107">
        <x:f t="shared" si="18"/>
        <x:v>7.9936000000000004E-4</x:v>
      </x:c>
      <x:c r="I94" s="107" t="n">
        <x:f>SUM($H$93:H94)</x:f>
        <x:v>0.0015993600000000002</x:v>
      </x:c>
    </x:row>
    <x:row r="95" ht="24" customHeight="1">
      <x:c r="A95" s="105">
        <x:v>3</x:v>
      </x:c>
      <x:c r="B95" s="90" t="str">
        <x:f t="shared" si="13"/>
        <x:v>普通抽</x:v>
      </x:c>
      <x:c r="C95" s="106">
        <x:f t="shared" si="19"/>
        <x:v>0.99840063999999995</x:v>
      </x:c>
      <x:c r="D95" s="106">
        <x:f t="shared" si="14"/>
        <x:v>0.42159999999999997</x:v>
      </x:c>
      <x:c r="E95" s="106">
        <x:f t="shared" si="15"/>
        <x:v>2.2200000000000001E-2</x:v>
      </x:c>
      <x:c r="F95" s="106">
        <x:f t="shared" si="16"/>
        <x:v>8.0000000000000004E-4</x:v>
      </x:c>
      <x:c r="G95" s="106">
        <x:f t="shared" si="17"/>
        <x:v>0.5554</x:v>
      </x:c>
      <x:c r="H95" s="106">
        <x:f t="shared" si="18"/>
        <x:v>7.9872051199999996E-4</x:v>
      </x:c>
      <x:c r="I95" s="106" t="n">
        <x:f>SUM($H$93:H95)</x:f>
        <x:v>0.002398080512</x:v>
      </x:c>
    </x:row>
    <x:row r="96" ht="24" customHeight="1">
      <x:c r="A96" s="104">
        <x:v>4</x:v>
      </x:c>
      <x:c r="B96" s="89" t="str">
        <x:f t="shared" si="13"/>
        <x:v>普通抽</x:v>
      </x:c>
      <x:c r="C96" s="107">
        <x:f t="shared" si="19"/>
        <x:v>0.99760191948799992</x:v>
      </x:c>
      <x:c r="D96" s="107">
        <x:f t="shared" si="14"/>
        <x:v>0.42159999999999997</x:v>
      </x:c>
      <x:c r="E96" s="107">
        <x:f t="shared" si="15"/>
        <x:v>2.2200000000000001E-2</x:v>
      </x:c>
      <x:c r="F96" s="107">
        <x:f t="shared" si="16"/>
        <x:v>8.0000000000000004E-4</x:v>
      </x:c>
      <x:c r="G96" s="107">
        <x:f t="shared" si="17"/>
        <x:v>0.5554</x:v>
      </x:c>
      <x:c r="H96" s="107">
        <x:f t="shared" si="18"/>
        <x:v>7.9808153559040001E-4</x:v>
      </x:c>
      <x:c r="I96" s="107" t="n">
        <x:f>SUM($H$93:H96)</x:f>
        <x:v>0.0031961620475904</x:v>
      </x:c>
    </x:row>
    <x:row r="97" ht="24" customHeight="1">
      <x:c r="A97" s="105">
        <x:v>5</x:v>
      </x:c>
      <x:c r="B97" s="90" t="str">
        <x:f t="shared" si="13"/>
        <x:v>普通抽</x:v>
      </x:c>
      <x:c r="C97" s="106">
        <x:f t="shared" si="19"/>
        <x:v>0.99680383795240945</x:v>
      </x:c>
      <x:c r="D97" s="106">
        <x:f t="shared" si="14"/>
        <x:v>0.42159999999999997</x:v>
      </x:c>
      <x:c r="E97" s="106">
        <x:f t="shared" si="15"/>
        <x:v>2.2200000000000001E-2</x:v>
      </x:c>
      <x:c r="F97" s="106">
        <x:f t="shared" si="16"/>
        <x:v>8.0000000000000004E-4</x:v>
      </x:c>
      <x:c r="G97" s="106">
        <x:f t="shared" si="17"/>
        <x:v>0.5554</x:v>
      </x:c>
      <x:c r="H97" s="106">
        <x:f t="shared" si="18"/>
        <x:v>7.9744307036192755E-4</x:v>
      </x:c>
      <x:c r="I97" s="106" t="n">
        <x:f>SUM($H$93:H97)</x:f>
        <x:v>0.0039936051179523275</x:v>
      </x:c>
    </x:row>
    <x:row r="98" ht="24" customHeight="1">
      <x:c r="A98" s="104">
        <x:v>6</x:v>
      </x:c>
      <x:c r="B98" s="89" t="str">
        <x:f t="shared" si="13"/>
        <x:v>普通抽</x:v>
      </x:c>
      <x:c r="C98" s="107">
        <x:f t="shared" si="19"/>
        <x:v>0.99600639488204745</x:v>
      </x:c>
      <x:c r="D98" s="107">
        <x:f t="shared" si="14"/>
        <x:v>0.42159999999999997</x:v>
      </x:c>
      <x:c r="E98" s="107">
        <x:f t="shared" si="15"/>
        <x:v>2.2200000000000001E-2</x:v>
      </x:c>
      <x:c r="F98" s="107">
        <x:f t="shared" si="16"/>
        <x:v>8.0000000000000004E-4</x:v>
      </x:c>
      <x:c r="G98" s="107">
        <x:f t="shared" si="17"/>
        <x:v>0.5554</x:v>
      </x:c>
      <x:c r="H98" s="107">
        <x:f t="shared" si="18"/>
        <x:v>7.9680511590563799E-4</x:v>
      </x:c>
      <x:c r="I98" s="107" t="n">
        <x:f>SUM($H$93:H98)</x:f>
        <x:v>0.004790410233857965</x:v>
      </x:c>
    </x:row>
    <x:row r="99" ht="24" customHeight="1">
      <x:c r="A99" s="105">
        <x:v>7</x:v>
      </x:c>
      <x:c r="B99" s="90" t="str">
        <x:f t="shared" si="13"/>
        <x:v>普通抽</x:v>
      </x:c>
      <x:c r="C99" s="106">
        <x:f t="shared" si="19"/>
        <x:v>0.99520958976614182</x:v>
      </x:c>
      <x:c r="D99" s="106">
        <x:f t="shared" si="14"/>
        <x:v>0.42159999999999997</x:v>
      </x:c>
      <x:c r="E99" s="106">
        <x:f t="shared" si="15"/>
        <x:v>2.2200000000000001E-2</x:v>
      </x:c>
      <x:c r="F99" s="106">
        <x:f t="shared" si="16"/>
        <x:v>8.0000000000000004E-4</x:v>
      </x:c>
      <x:c r="G99" s="106">
        <x:f t="shared" si="17"/>
        <x:v>0.5554</x:v>
      </x:c>
      <x:c r="H99" s="106">
        <x:f t="shared" si="18"/>
        <x:v>7.9616767181291354E-4</x:v>
      </x:c>
      <x:c r="I99" s="106" t="n">
        <x:f>SUM($H$93:H99)</x:f>
        <x:v>0.005586577905670879</x:v>
      </x:c>
    </x:row>
    <x:row r="100" ht="24" customHeight="1">
      <x:c r="A100" s="104">
        <x:v>8</x:v>
      </x:c>
      <x:c r="B100" s="89" t="str">
        <x:f t="shared" si="13"/>
        <x:v>普通抽</x:v>
      </x:c>
      <x:c r="C100" s="107">
        <x:f t="shared" si="19"/>
        <x:v>0.99441342209432892</x:v>
      </x:c>
      <x:c r="D100" s="107">
        <x:f t="shared" si="14"/>
        <x:v>0.42159999999999997</x:v>
      </x:c>
      <x:c r="E100" s="107">
        <x:f t="shared" si="15"/>
        <x:v>2.2200000000000001E-2</x:v>
      </x:c>
      <x:c r="F100" s="107">
        <x:f t="shared" si="16"/>
        <x:v>8.0000000000000004E-4</x:v>
      </x:c>
      <x:c r="G100" s="107">
        <x:f t="shared" si="17"/>
        <x:v>0.5554</x:v>
      </x:c>
      <x:c r="H100" s="107">
        <x:f t="shared" si="18"/>
        <x:v>7.9553073767546316E-4</x:v>
      </x:c>
      <x:c r="I100" s="107" t="n">
        <x:f>SUM($H$93:H100)</x:f>
        <x:v>0.006382108643346342</x:v>
      </x:c>
    </x:row>
    <x:row r="101" ht="24" customHeight="1">
      <x:c r="A101" s="105">
        <x:v>9</x:v>
      </x:c>
      <x:c r="B101" s="90" t="str">
        <x:f t="shared" si="13"/>
        <x:v>普通抽</x:v>
      </x:c>
      <x:c r="C101" s="106">
        <x:f t="shared" si="19"/>
        <x:v>0.99361789135665346</x:v>
      </x:c>
      <x:c r="D101" s="106">
        <x:f t="shared" si="14"/>
        <x:v>0.42159999999999997</x:v>
      </x:c>
      <x:c r="E101" s="106">
        <x:f t="shared" si="15"/>
        <x:v>2.2200000000000001E-2</x:v>
      </x:c>
      <x:c r="F101" s="106">
        <x:f t="shared" si="16"/>
        <x:v>8.0000000000000004E-4</x:v>
      </x:c>
      <x:c r="G101" s="106">
        <x:f t="shared" si="17"/>
        <x:v>0.5554</x:v>
      </x:c>
      <x:c r="H101" s="106">
        <x:f t="shared" si="18"/>
        <x:v>7.9489431308532284E-4</x:v>
      </x:c>
      <x:c r="I101" s="106" t="n">
        <x:f>SUM($H$93:H101)</x:f>
        <x:v>0.007177002956431665</x:v>
      </x:c>
    </x:row>
    <x:row r="102" ht="24" customHeight="1">
      <x:c r="A102" s="102">
        <x:v>10</x:v>
      </x:c>
      <x:c r="B102" s="91" t="str">
        <x:f t="shared" si="13"/>
        <x:v>紫色保底</x:v>
      </x:c>
      <x:c r="C102" s="108">
        <x:f t="shared" si="19"/>
        <x:v>0.99282299704356813</x:v>
      </x:c>
      <x:c r="D102" s="108">
        <x:f t="shared" si="14"/>
        <x:v>0</x:v>
      </x:c>
      <x:c r="E102" s="108">
        <x:f t="shared" si="15"/>
        <x:v>0.99919999999999998</x:v>
      </x:c>
      <x:c r="F102" s="108">
        <x:f t="shared" si="16"/>
        <x:v>8.0000000000000004E-4</x:v>
      </x:c>
      <x:c r="G102" s="108">
        <x:f t="shared" si="17"/>
        <x:v>0</x:v>
      </x:c>
      <x:c r="H102" s="108">
        <x:f t="shared" si="18"/>
        <x:v>7.9425839763485457E-4</x:v>
      </x:c>
      <x:c r="I102" s="108" t="n">
        <x:f>SUM($H$93:H102)</x:f>
        <x:v>0.00797126135406652</x:v>
      </x:c>
    </x:row>
    <x:row r="103" ht="24" customHeight="1">
      <x:c r="A103" s="105">
        <x:v>11</x:v>
      </x:c>
      <x:c r="B103" s="90" t="str">
        <x:f t="shared" si="13"/>
        <x:v>普通抽</x:v>
      </x:c>
      <x:c r="C103" s="106">
        <x:f t="shared" si="19"/>
        <x:v>0.99202873864593322</x:v>
      </x:c>
      <x:c r="D103" s="106">
        <x:f t="shared" si="14"/>
        <x:v>0.42159999999999997</x:v>
      </x:c>
      <x:c r="E103" s="106">
        <x:f t="shared" si="15"/>
        <x:v>2.2200000000000001E-2</x:v>
      </x:c>
      <x:c r="F103" s="106">
        <x:f t="shared" si="16"/>
        <x:v>8.0000000000000004E-4</x:v>
      </x:c>
      <x:c r="G103" s="106">
        <x:f t="shared" si="17"/>
        <x:v>0.5554</x:v>
      </x:c>
      <x:c r="H103" s="106">
        <x:f t="shared" si="18"/>
        <x:v>7.9362299091674656E-4</x:v>
      </x:c>
      <x:c r="I103" s="106" t="n">
        <x:f>SUM($H$93:H103)</x:f>
        <x:v>0.008764884344983266</x:v>
      </x:c>
    </x:row>
    <x:row r="104" ht="24" customHeight="1">
      <x:c r="A104" s="104">
        <x:v>12</x:v>
      </x:c>
      <x:c r="B104" s="89" t="str">
        <x:f t="shared" si="13"/>
        <x:v>普通抽</x:v>
      </x:c>
      <x:c r="C104" s="107">
        <x:f t="shared" si="19"/>
        <x:v>0.99123511565501643</x:v>
      </x:c>
      <x:c r="D104" s="107">
        <x:f t="shared" si="14"/>
        <x:v>0.42159999999999997</x:v>
      </x:c>
      <x:c r="E104" s="107">
        <x:f t="shared" si="15"/>
        <x:v>2.2200000000000001E-2</x:v>
      </x:c>
      <x:c r="F104" s="107">
        <x:f t="shared" si="16"/>
        <x:v>8.0000000000000004E-4</x:v>
      </x:c>
      <x:c r="G104" s="107">
        <x:f t="shared" si="17"/>
        <x:v>0.5554</x:v>
      </x:c>
      <x:c r="H104" s="107">
        <x:f t="shared" si="18"/>
        <x:v>7.929880925240132E-4</x:v>
      </x:c>
      <x:c r="I104" s="107" t="n">
        <x:f>SUM($H$93:H104)</x:f>
        <x:v>0.009557872437507279</x:v>
      </x:c>
    </x:row>
    <x:row r="105" ht="24" customHeight="1">
      <x:c r="A105" s="105">
        <x:v>13</x:v>
      </x:c>
      <x:c r="B105" s="90" t="str">
        <x:f t="shared" si="13"/>
        <x:v>普通抽</x:v>
      </x:c>
      <x:c r="C105" s="106">
        <x:f t="shared" si="19"/>
        <x:v>0.99044212756249239</x:v>
      </x:c>
      <x:c r="D105" s="106">
        <x:f t="shared" si="14"/>
        <x:v>0.42159999999999997</x:v>
      </x:c>
      <x:c r="E105" s="106">
        <x:f t="shared" si="15"/>
        <x:v>2.2200000000000001E-2</x:v>
      </x:c>
      <x:c r="F105" s="106">
        <x:f t="shared" si="16"/>
        <x:v>8.0000000000000004E-4</x:v>
      </x:c>
      <x:c r="G105" s="106">
        <x:f t="shared" si="17"/>
        <x:v>0.5554</x:v>
      </x:c>
      <x:c r="H105" s="106">
        <x:f t="shared" si="18"/>
        <x:v>7.9235370204999397E-4</x:v>
      </x:c>
      <x:c r="I105" s="106" t="n">
        <x:f>SUM($H$93:H105)</x:f>
        <x:v>0.010350226139557273</x:v>
      </x:c>
    </x:row>
    <x:row r="106" ht="24" customHeight="1">
      <x:c r="A106" s="104">
        <x:v>14</x:v>
      </x:c>
      <x:c r="B106" s="89" t="str">
        <x:f t="shared" si="13"/>
        <x:v>普通抽</x:v>
      </x:c>
      <x:c r="C106" s="107">
        <x:f t="shared" si="19"/>
        <x:v>0.98964977386044239</x:v>
      </x:c>
      <x:c r="D106" s="107">
        <x:f t="shared" si="14"/>
        <x:v>0.42159999999999997</x:v>
      </x:c>
      <x:c r="E106" s="107">
        <x:f t="shared" si="15"/>
        <x:v>2.2200000000000001E-2</x:v>
      </x:c>
      <x:c r="F106" s="107">
        <x:f t="shared" si="16"/>
        <x:v>8.0000000000000004E-4</x:v>
      </x:c>
      <x:c r="G106" s="107">
        <x:f t="shared" si="17"/>
        <x:v>0.5554</x:v>
      </x:c>
      <x:c r="H106" s="107">
        <x:f t="shared" si="18"/>
        <x:v>7.9171981908835397E-4</x:v>
      </x:c>
      <x:c r="I106" s="107" t="n">
        <x:f>SUM($H$93:H106)</x:f>
        <x:v>0.011141945958645627</x:v>
      </x:c>
    </x:row>
    <x:row r="107" ht="24" customHeight="1">
      <x:c r="A107" s="105">
        <x:v>15</x:v>
      </x:c>
      <x:c r="B107" s="90" t="str">
        <x:f t="shared" si="13"/>
        <x:v>普通抽</x:v>
      </x:c>
      <x:c r="C107" s="106">
        <x:f t="shared" si="19"/>
        <x:v>0.98885805404135407</x:v>
      </x:c>
      <x:c r="D107" s="106">
        <x:f t="shared" si="14"/>
        <x:v>0.42159999999999997</x:v>
      </x:c>
      <x:c r="E107" s="106">
        <x:f t="shared" si="15"/>
        <x:v>2.2200000000000001E-2</x:v>
      </x:c>
      <x:c r="F107" s="106">
        <x:f t="shared" si="16"/>
        <x:v>8.0000000000000004E-4</x:v>
      </x:c>
      <x:c r="G107" s="106">
        <x:f t="shared" si="17"/>
        <x:v>0.5554</x:v>
      </x:c>
      <x:c r="H107" s="106">
        <x:f t="shared" si="18"/>
        <x:v>7.9108644323308325E-4</x:v>
      </x:c>
      <x:c r="I107" s="106" t="n">
        <x:f>SUM($H$93:H107)</x:f>
        <x:v>0.01193303240187871</x:v>
      </x:c>
    </x:row>
    <x:row r="108" ht="24" customHeight="1">
      <x:c r="A108" s="104">
        <x:v>16</x:v>
      </x:c>
      <x:c r="B108" s="89" t="str">
        <x:f t="shared" si="13"/>
        <x:v>普通抽</x:v>
      </x:c>
      <x:c r="C108" s="107">
        <x:f t="shared" si="19"/>
        <x:v>0.98806696759812096</x:v>
      </x:c>
      <x:c r="D108" s="107">
        <x:f t="shared" si="14"/>
        <x:v>0.42159999999999997</x:v>
      </x:c>
      <x:c r="E108" s="107">
        <x:f t="shared" si="15"/>
        <x:v>2.2200000000000001E-2</x:v>
      </x:c>
      <x:c r="F108" s="107">
        <x:f t="shared" si="16"/>
        <x:v>8.0000000000000004E-4</x:v>
      </x:c>
      <x:c r="G108" s="107">
        <x:f t="shared" si="17"/>
        <x:v>0.5554</x:v>
      </x:c>
      <x:c r="H108" s="107">
        <x:f t="shared" si="18"/>
        <x:v>7.9045357407849675E-4</x:v>
      </x:c>
      <x:c r="I108" s="107" t="n">
        <x:f>SUM($H$93:H108)</x:f>
        <x:v>0.012723485975957207</x:v>
      </x:c>
    </x:row>
    <x:row r="109" ht="24" customHeight="1">
      <x:c r="A109" s="105">
        <x:v>17</x:v>
      </x:c>
      <x:c r="B109" s="90" t="str">
        <x:f t="shared" si="13"/>
        <x:v>普通抽</x:v>
      </x:c>
      <x:c r="C109" s="106">
        <x:f t="shared" si="19"/>
        <x:v>0.98727651402404248</x:v>
      </x:c>
      <x:c r="D109" s="106">
        <x:f t="shared" si="14"/>
        <x:v>0.42159999999999997</x:v>
      </x:c>
      <x:c r="E109" s="106">
        <x:f t="shared" si="15"/>
        <x:v>2.2200000000000001E-2</x:v>
      </x:c>
      <x:c r="F109" s="106">
        <x:f t="shared" si="16"/>
        <x:v>8.0000000000000004E-4</x:v>
      </x:c>
      <x:c r="G109" s="106">
        <x:f t="shared" si="17"/>
        <x:v>0.5554</x:v>
      </x:c>
      <x:c r="H109" s="106">
        <x:f t="shared" si="18"/>
        <x:v>7.8982121121923406E-4</x:v>
      </x:c>
      <x:c r="I109" s="106" t="n">
        <x:f>SUM($H$93:H109)</x:f>
        <x:v>0.013513307187176441</x:v>
      </x:c>
    </x:row>
    <x:row r="110" ht="24" customHeight="1">
      <x:c r="A110" s="104">
        <x:v>18</x:v>
      </x:c>
      <x:c r="B110" s="89" t="str">
        <x:f t="shared" si="13"/>
        <x:v>普通抽</x:v>
      </x:c>
      <x:c r="C110" s="107">
        <x:f t="shared" si="19"/>
        <x:v>0.9864866928128232</x:v>
      </x:c>
      <x:c r="D110" s="107">
        <x:f t="shared" si="14"/>
        <x:v>0.42159999999999997</x:v>
      </x:c>
      <x:c r="E110" s="107">
        <x:f t="shared" si="15"/>
        <x:v>2.2200000000000001E-2</x:v>
      </x:c>
      <x:c r="F110" s="107">
        <x:f t="shared" si="16"/>
        <x:v>8.0000000000000004E-4</x:v>
      </x:c>
      <x:c r="G110" s="107">
        <x:f t="shared" si="17"/>
        <x:v>0.5554</x:v>
      </x:c>
      <x:c r="H110" s="107">
        <x:f t="shared" si="18"/>
        <x:v>7.8918935425025861E-4</x:v>
      </x:c>
      <x:c r="I110" s="107" t="n">
        <x:f>SUM($H$93:H110)</x:f>
        <x:v>0.0143024965414267</x:v>
      </x:c>
    </x:row>
    <x:row r="111" ht="24" customHeight="1">
      <x:c r="A111" s="105">
        <x:v>19</x:v>
      </x:c>
      <x:c r="B111" s="90" t="str">
        <x:f t="shared" si="13"/>
        <x:v>普通抽</x:v>
      </x:c>
      <x:c r="C111" s="106">
        <x:f t="shared" si="19"/>
        <x:v>0.98569750345857288</x:v>
      </x:c>
      <x:c r="D111" s="106">
        <x:f t="shared" si="14"/>
        <x:v>0.42159999999999997</x:v>
      </x:c>
      <x:c r="E111" s="106">
        <x:f t="shared" si="15"/>
        <x:v>2.2200000000000001E-2</x:v>
      </x:c>
      <x:c r="F111" s="106">
        <x:f t="shared" si="16"/>
        <x:v>8.0000000000000004E-4</x:v>
      </x:c>
      <x:c r="G111" s="106">
        <x:f t="shared" si="17"/>
        <x:v>0.5554</x:v>
      </x:c>
      <x:c r="H111" s="106">
        <x:f t="shared" si="18"/>
        <x:v>7.8855800276685832E-4</x:v>
      </x:c>
      <x:c r="I111" s="106" t="n">
        <x:f>SUM($H$93:H111)</x:f>
        <x:v>0.015091054544193558</x:v>
      </x:c>
    </x:row>
    <x:row r="112" ht="24" customHeight="1">
      <x:c r="A112" s="102">
        <x:v>20</x:v>
      </x:c>
      <x:c r="B112" s="91" t="str">
        <x:f t="shared" si="13"/>
        <x:v>紫色保底</x:v>
      </x:c>
      <x:c r="C112" s="108">
        <x:f t="shared" si="19"/>
        <x:v>0.98490894545580598</x:v>
      </x:c>
      <x:c r="D112" s="108">
        <x:f t="shared" si="14"/>
        <x:v>0</x:v>
      </x:c>
      <x:c r="E112" s="108">
        <x:f t="shared" si="15"/>
        <x:v>0.99919999999999998</x:v>
      </x:c>
      <x:c r="F112" s="108">
        <x:f t="shared" si="16"/>
        <x:v>8.0000000000000004E-4</x:v>
      </x:c>
      <x:c r="G112" s="108">
        <x:f t="shared" si="17"/>
        <x:v>0</x:v>
      </x:c>
      <x:c r="H112" s="108">
        <x:f t="shared" si="18"/>
        <x:v>7.8792715636464487E-4</x:v>
      </x:c>
      <x:c r="I112" s="108" t="n">
        <x:f>SUM($H$93:H112)</x:f>
        <x:v>0.015878981700558202</x:v>
      </x:c>
    </x:row>
    <x:row r="113" ht="24" customHeight="1">
      <x:c r="A113" s="105">
        <x:v>21</x:v>
      </x:c>
      <x:c r="B113" s="90" t="str">
        <x:f t="shared" si="13"/>
        <x:v>普通抽</x:v>
      </x:c>
      <x:c r="C113" s="106">
        <x:f t="shared" si="19"/>
        <x:v>0.98412101829944132</x:v>
      </x:c>
      <x:c r="D113" s="106">
        <x:f t="shared" si="14"/>
        <x:v>0.42159999999999997</x:v>
      </x:c>
      <x:c r="E113" s="106">
        <x:f t="shared" si="15"/>
        <x:v>2.2200000000000001E-2</x:v>
      </x:c>
      <x:c r="F113" s="106">
        <x:f t="shared" si="16"/>
        <x:v>8.0000000000000004E-4</x:v>
      </x:c>
      <x:c r="G113" s="106">
        <x:f t="shared" si="17"/>
        <x:v>0.5554</x:v>
      </x:c>
      <x:c r="H113" s="106">
        <x:f t="shared" si="18"/>
        <x:v>7.8729681463955313E-4</x:v>
      </x:c>
      <x:c r="I113" s="106" t="n">
        <x:f>SUM($H$93:H113)</x:f>
        <x:v>0.016666278515197756</x:v>
      </x:c>
    </x:row>
    <x:row r="114" ht="24" customHeight="1">
      <x:c r="A114" s="104">
        <x:v>22</x:v>
      </x:c>
      <x:c r="B114" s="89" t="str">
        <x:f t="shared" si="13"/>
        <x:v>普通抽</x:v>
      </x:c>
      <x:c r="C114" s="107">
        <x:f t="shared" si="19"/>
        <x:v>0.98333372148480169</x:v>
      </x:c>
      <x:c r="D114" s="107">
        <x:f t="shared" si="14"/>
        <x:v>0.42159999999999997</x:v>
      </x:c>
      <x:c r="E114" s="107">
        <x:f t="shared" si="15"/>
        <x:v>2.2200000000000001E-2</x:v>
      </x:c>
      <x:c r="F114" s="107">
        <x:f t="shared" si="16"/>
        <x:v>8.0000000000000004E-4</x:v>
      </x:c>
      <x:c r="G114" s="107">
        <x:f t="shared" si="17"/>
        <x:v>0.5554</x:v>
      </x:c>
      <x:c r="H114" s="107">
        <x:f t="shared" si="18"/>
        <x:v>7.8666697718784138E-4</x:v>
      </x:c>
      <x:c r="I114" s="107" t="n">
        <x:f>SUM($H$93:H114)</x:f>
        <x:v>0.0174529454923856</x:v>
      </x:c>
    </x:row>
    <x:row r="115" ht="24" customHeight="1">
      <x:c r="A115" s="105">
        <x:v>23</x:v>
      </x:c>
      <x:c r="B115" s="90" t="str">
        <x:f t="shared" si="13"/>
        <x:v>普通抽</x:v>
      </x:c>
      <x:c r="C115" s="106">
        <x:f t="shared" si="19"/>
        <x:v>0.98254705450761382</x:v>
      </x:c>
      <x:c r="D115" s="106">
        <x:f t="shared" si="14"/>
        <x:v>0.42159999999999997</x:v>
      </x:c>
      <x:c r="E115" s="106">
        <x:f t="shared" si="15"/>
        <x:v>2.2200000000000001E-2</x:v>
      </x:c>
      <x:c r="F115" s="106">
        <x:f t="shared" si="16"/>
        <x:v>8.0000000000000004E-4</x:v>
      </x:c>
      <x:c r="G115" s="106">
        <x:f t="shared" si="17"/>
        <x:v>0.5554</x:v>
      </x:c>
      <x:c r="H115" s="106">
        <x:f t="shared" si="18"/>
        <x:v>7.8603764360609112E-4</x:v>
      </x:c>
      <x:c r="I115" s="106" t="n">
        <x:f>SUM($H$93:H115)</x:f>
        <x:v>0.01823898313599169</x:v>
      </x:c>
    </x:row>
    <x:row r="116" ht="24" customHeight="1">
      <x:c r="A116" s="104">
        <x:v>24</x:v>
      </x:c>
      <x:c r="B116" s="89" t="str">
        <x:f t="shared" si="13"/>
        <x:v>普通抽</x:v>
      </x:c>
      <x:c r="C116" s="107">
        <x:f t="shared" si="19"/>
        <x:v>0.98176101686400774</x:v>
      </x:c>
      <x:c r="D116" s="107">
        <x:f t="shared" si="14"/>
        <x:v>0.42159999999999997</x:v>
      </x:c>
      <x:c r="E116" s="107">
        <x:f t="shared" si="15"/>
        <x:v>2.2200000000000001E-2</x:v>
      </x:c>
      <x:c r="F116" s="107">
        <x:f t="shared" si="16"/>
        <x:v>8.0000000000000004E-4</x:v>
      </x:c>
      <x:c r="G116" s="107">
        <x:f t="shared" si="17"/>
        <x:v>0.5554</x:v>
      </x:c>
      <x:c r="H116" s="107">
        <x:f t="shared" si="18"/>
        <x:v>7.8540881349120628E-4</x:v>
      </x:c>
      <x:c r="I116" s="107" t="n">
        <x:f>SUM($H$93:H116)</x:f>
        <x:v>0.019024391949482897</x:v>
      </x:c>
    </x:row>
    <x:row r="117" ht="24" customHeight="1">
      <x:c r="A117" s="105">
        <x:v>25</x:v>
      </x:c>
      <x:c r="B117" s="90" t="str">
        <x:f t="shared" si="13"/>
        <x:v>普通抽</x:v>
      </x:c>
      <x:c r="C117" s="106">
        <x:f t="shared" si="19"/>
        <x:v>0.98097560805051653</x:v>
      </x:c>
      <x:c r="D117" s="106">
        <x:f t="shared" si="14"/>
        <x:v>0.42159999999999997</x:v>
      </x:c>
      <x:c r="E117" s="106">
        <x:f t="shared" si="15"/>
        <x:v>2.2200000000000001E-2</x:v>
      </x:c>
      <x:c r="F117" s="106">
        <x:f t="shared" si="16"/>
        <x:v>8.0000000000000004E-4</x:v>
      </x:c>
      <x:c r="G117" s="106">
        <x:f t="shared" si="17"/>
        <x:v>0.5554</x:v>
      </x:c>
      <x:c r="H117" s="106">
        <x:f t="shared" si="18"/>
        <x:v>7.8478048644041324E-4</x:v>
      </x:c>
      <x:c r="I117" s="106" t="n">
        <x:f>SUM($H$93:H117)</x:f>
        <x:v>0.01980917243592331</x:v>
      </x:c>
    </x:row>
    <x:row r="118" ht="24" customHeight="1">
      <x:c r="A118" s="104">
        <x:v>26</x:v>
      </x:c>
      <x:c r="B118" s="89" t="str">
        <x:f t="shared" si="13"/>
        <x:v>普通抽</x:v>
      </x:c>
      <x:c r="C118" s="107">
        <x:f t="shared" si="19"/>
        <x:v>0.98019082756407605</x:v>
      </x:c>
      <x:c r="D118" s="107">
        <x:f t="shared" si="14"/>
        <x:v>0.42159999999999997</x:v>
      </x:c>
      <x:c r="E118" s="107">
        <x:f t="shared" si="15"/>
        <x:v>2.2200000000000001E-2</x:v>
      </x:c>
      <x:c r="F118" s="107">
        <x:f t="shared" si="16"/>
        <x:v>8.0000000000000004E-4</x:v>
      </x:c>
      <x:c r="G118" s="107">
        <x:f t="shared" si="17"/>
        <x:v>0.5554</x:v>
      </x:c>
      <x:c r="H118" s="107">
        <x:f t="shared" si="18"/>
        <x:v>7.8415266205126091E-4</x:v>
      </x:c>
      <x:c r="I118" s="107" t="n">
        <x:f>SUM($H$93:H118)</x:f>
        <x:v>0.020593325097974572</x:v>
      </x:c>
    </x:row>
    <x:row r="119" ht="24" customHeight="1">
      <x:c r="A119" s="105">
        <x:v>27</x:v>
      </x:c>
      <x:c r="B119" s="90" t="str">
        <x:f t="shared" si="13"/>
        <x:v>普通抽</x:v>
      </x:c>
      <x:c r="C119" s="106">
        <x:f t="shared" si="19"/>
        <x:v>0.97940667490202482</x:v>
      </x:c>
      <x:c r="D119" s="106">
        <x:f t="shared" si="14"/>
        <x:v>0.42159999999999997</x:v>
      </x:c>
      <x:c r="E119" s="106">
        <x:f t="shared" si="15"/>
        <x:v>2.2200000000000001E-2</x:v>
      </x:c>
      <x:c r="F119" s="106">
        <x:f t="shared" si="16"/>
        <x:v>8.0000000000000004E-4</x:v>
      </x:c>
      <x:c r="G119" s="106">
        <x:f t="shared" si="17"/>
        <x:v>0.5554</x:v>
      </x:c>
      <x:c r="H119" s="106">
        <x:f t="shared" si="18"/>
        <x:v>7.8352533992161991E-4</x:v>
      </x:c>
      <x:c r="I119" s="106" t="n">
        <x:f>SUM($H$93:H119)</x:f>
        <x:v>0.02137685043789619</x:v>
      </x:c>
    </x:row>
    <x:row r="120" ht="24" customHeight="1">
      <x:c r="A120" s="104">
        <x:v>28</x:v>
      </x:c>
      <x:c r="B120" s="89" t="str">
        <x:f t="shared" si="13"/>
        <x:v>普通抽</x:v>
      </x:c>
      <x:c r="C120" s="107">
        <x:f t="shared" si="19"/>
        <x:v>0.97862314956210317</x:v>
      </x:c>
      <x:c r="D120" s="107">
        <x:f t="shared" si="14"/>
        <x:v>0.42159999999999997</x:v>
      </x:c>
      <x:c r="E120" s="107">
        <x:f t="shared" si="15"/>
        <x:v>2.2200000000000001E-2</x:v>
      </x:c>
      <x:c r="F120" s="107">
        <x:f t="shared" si="16"/>
        <x:v>8.0000000000000004E-4</x:v>
      </x:c>
      <x:c r="G120" s="107">
        <x:f t="shared" si="17"/>
        <x:v>0.5554</x:v>
      </x:c>
      <x:c r="H120" s="107">
        <x:f t="shared" si="18"/>
        <x:v>7.8289851964968252E-4</x:v>
      </x:c>
      <x:c r="I120" s="107" t="n">
        <x:f>SUM($H$93:H120)</x:f>
        <x:v>0.022159748957545872</x:v>
      </x:c>
    </x:row>
    <x:row r="121" ht="24" customHeight="1">
      <x:c r="A121" s="105">
        <x:v>29</x:v>
      </x:c>
      <x:c r="B121" s="90" t="str">
        <x:f t="shared" si="13"/>
        <x:v>普通抽</x:v>
      </x:c>
      <x:c r="C121" s="106">
        <x:f t="shared" si="19"/>
        <x:v>0.97784025104245342</x:v>
      </x:c>
      <x:c r="D121" s="106">
        <x:f t="shared" si="14"/>
        <x:v>0.42159999999999997</x:v>
      </x:c>
      <x:c r="E121" s="106">
        <x:f t="shared" si="15"/>
        <x:v>2.2200000000000001E-2</x:v>
      </x:c>
      <x:c r="F121" s="106">
        <x:f t="shared" si="16"/>
        <x:v>8.0000000000000004E-4</x:v>
      </x:c>
      <x:c r="G121" s="106">
        <x:f t="shared" si="17"/>
        <x:v>0.5554</x:v>
      </x:c>
      <x:c r="H121" s="106">
        <x:f t="shared" si="18"/>
        <x:v>7.8227220083396283E-4</x:v>
      </x:c>
      <x:c r="I121" s="106" t="n">
        <x:f>SUM($H$93:H121)</x:f>
        <x:v>0.022942021158379837</x:v>
      </x:c>
    </x:row>
    <x:row r="122" ht="24" customHeight="1">
      <x:c r="A122" s="102">
        <x:v>30</x:v>
      </x:c>
      <x:c r="B122" s="91" t="str">
        <x:f t="shared" si="13"/>
        <x:v>紫色保底</x:v>
      </x:c>
      <x:c r="C122" s="108">
        <x:f t="shared" si="19"/>
        <x:v>0.97705797884161949</x:v>
      </x:c>
      <x:c r="D122" s="108">
        <x:f t="shared" si="14"/>
        <x:v>0</x:v>
      </x:c>
      <x:c r="E122" s="108">
        <x:f t="shared" si="15"/>
        <x:v>0.99919999999999998</x:v>
      </x:c>
      <x:c r="F122" s="108">
        <x:f t="shared" si="16"/>
        <x:v>8.0000000000000004E-4</x:v>
      </x:c>
      <x:c r="G122" s="108">
        <x:f t="shared" si="17"/>
        <x:v>0</x:v>
      </x:c>
      <x:c r="H122" s="108">
        <x:f t="shared" si="18"/>
        <x:v>7.8164638307329562E-4</x:v>
      </x:c>
      <x:c r="I122" s="108" t="n">
        <x:f>SUM($H$93:H122)</x:f>
        <x:v>0.023723667541453133</x:v>
      </x:c>
    </x:row>
    <x:row r="123" ht="24" customHeight="1">
      <x:c r="A123" s="105">
        <x:v>31</x:v>
      </x:c>
      <x:c r="B123" s="90" t="str">
        <x:f t="shared" si="13"/>
        <x:v>普通抽</x:v>
      </x:c>
      <x:c r="C123" s="106">
        <x:f t="shared" si="19"/>
        <x:v>0.97627633245854617</x:v>
      </x:c>
      <x:c r="D123" s="106">
        <x:f t="shared" si="14"/>
        <x:v>0.42159999999999997</x:v>
      </x:c>
      <x:c r="E123" s="106">
        <x:f t="shared" si="15"/>
        <x:v>2.2200000000000001E-2</x:v>
      </x:c>
      <x:c r="F123" s="106">
        <x:f t="shared" si="16"/>
        <x:v>8.0000000000000004E-4</x:v>
      </x:c>
      <x:c r="G123" s="106">
        <x:f t="shared" si="17"/>
        <x:v>0.5554</x:v>
      </x:c>
      <x:c r="H123" s="106">
        <x:f t="shared" si="18"/>
        <x:v>7.8102106596683693E-4</x:v>
      </x:c>
      <x:c r="I123" s="106" t="n">
        <x:f>SUM($H$93:H123)</x:f>
        <x:v>0.02450468860741997</x:v>
      </x:c>
    </x:row>
    <x:row r="124" ht="24" customHeight="1">
      <x:c r="A124" s="104">
        <x:v>32</x:v>
      </x:c>
      <x:c r="B124" s="89" t="str">
        <x:f t="shared" si="13"/>
        <x:v>普通抽</x:v>
      </x:c>
      <x:c r="C124" s="107">
        <x:f t="shared" si="19"/>
        <x:v>0.97549531139257928</x:v>
      </x:c>
      <x:c r="D124" s="107">
        <x:f t="shared" si="14"/>
        <x:v>0.42159999999999997</x:v>
      </x:c>
      <x:c r="E124" s="107">
        <x:f t="shared" si="15"/>
        <x:v>2.2200000000000001E-2</x:v>
      </x:c>
      <x:c r="F124" s="107">
        <x:f t="shared" si="16"/>
        <x:v>8.0000000000000004E-4</x:v>
      </x:c>
      <x:c r="G124" s="107">
        <x:f t="shared" si="17"/>
        <x:v>0.5554</x:v>
      </x:c>
      <x:c r="H124" s="107">
        <x:f t="shared" si="18"/>
        <x:v>7.8039624911406351E-4</x:v>
      </x:c>
      <x:c r="I124" s="107" t="n">
        <x:f>SUM($H$93:H124)</x:f>
        <x:v>0.02528508485653403</x:v>
      </x:c>
    </x:row>
    <x:row r="125" ht="24" customHeight="1">
      <x:c r="A125" s="105">
        <x:v>33</x:v>
      </x:c>
      <x:c r="B125" s="90" t="str">
        <x:f t="shared" ref="B125:B142" si="20">IF(A125&gt;$B$29,"周期结束",IF(A125=$B$29,"橙色保底",IF(MOD(A125,$B$28)=0,"紫色保底","普通抽")))</x:f>
        <x:v>普通抽</x:v>
      </x:c>
      <x:c r="C125" s="106">
        <x:f t="shared" si="19"/>
        <x:v>0.9747149151434652</x:v>
      </x:c>
      <x:c r="D125" s="106" t="n">
        <x:f t="shared" ref="D125:D142" si="21">IF(A125&gt;=$B$29,0,IF(MOD(A125,$B$28)=0,$D$37,$C$37))</x:f>
        <x:v>0.4216</x:v>
      </x:c>
      <x:c r="E125" s="106" t="n">
        <x:f t="shared" ref="E125:E142" si="22">IF(A125&gt;=$B$29,0,IF(MOD(A125,$B$28)=0,$D$38,$C$38))</x:f>
        <x:v>0.0222</x:v>
      </x:c>
      <x:c r="F125" s="106" t="n">
        <x:f t="shared" ref="F125:F142" si="23">IF(A125&gt;=$B$29,1,$C$39)</x:f>
        <x:v>0.0008</x:v>
      </x:c>
      <x:c r="G125" s="106" t="n">
        <x:f t="shared" ref="G125:G142" si="24">1-SUM(D125:F125)</x:f>
        <x:v>0.5554</x:v>
      </x:c>
      <x:c r="H125" s="106" t="n">
        <x:f t="shared" ref="H125:H142" si="25">C125*F125</x:f>
        <x:v>0.0007797719321147722</x:v>
      </x:c>
      <x:c r="I125" s="106" t="n">
        <x:f>SUM($H$93:H125)</x:f>
        <x:v>0.026064856788648803</x:v>
      </x:c>
    </x:row>
    <x:row r="126" ht="24" customHeight="1">
      <x:c r="A126" s="104">
        <x:v>34</x:v>
      </x:c>
      <x:c r="B126" s="89" t="str">
        <x:f t="shared" si="20"/>
        <x:v>普通抽</x:v>
      </x:c>
      <x:c r="C126" s="107" t="n">
        <x:f t="shared" ref="C126:C142" si="26">C125*(1-F125)</x:f>
        <x:v>0.9739351432113504</x:v>
      </x:c>
      <x:c r="D126" s="107">
        <x:f t="shared" si="21"/>
        <x:v>0.42159999999999997</x:v>
      </x:c>
      <x:c r="E126" s="107">
        <x:f t="shared" si="22"/>
        <x:v>2.2200000000000001E-2</x:v>
      </x:c>
      <x:c r="F126" s="107">
        <x:f t="shared" si="23"/>
        <x:v>8.0000000000000004E-4</x:v>
      </x:c>
      <x:c r="G126" s="107">
        <x:f t="shared" si="24"/>
        <x:v>0.5554</x:v>
      </x:c>
      <x:c r="H126" s="107">
        <x:f t="shared" si="25"/>
        <x:v>7.7914811456908037E-4</x:v>
      </x:c>
      <x:c r="I126" s="107" t="n">
        <x:f>SUM($H$93:H126)</x:f>
        <x:v>0.026844004903217884</x:v>
      </x:c>
    </x:row>
    <x:row r="127" ht="24" customHeight="1">
      <x:c r="A127" s="105">
        <x:v>35</x:v>
      </x:c>
      <x:c r="B127" s="90" t="str">
        <x:f t="shared" si="20"/>
        <x:v>普通抽</x:v>
      </x:c>
      <x:c r="C127" s="106">
        <x:f t="shared" si="26"/>
        <x:v>0.9731559950967813</x:v>
      </x:c>
      <x:c r="D127" s="106">
        <x:f t="shared" si="21"/>
        <x:v>0.42159999999999997</x:v>
      </x:c>
      <x:c r="E127" s="106">
        <x:f t="shared" si="22"/>
        <x:v>2.2200000000000001E-2</x:v>
      </x:c>
      <x:c r="F127" s="106">
        <x:f t="shared" si="23"/>
        <x:v>8.0000000000000004E-4</x:v>
      </x:c>
      <x:c r="G127" s="106">
        <x:f t="shared" si="24"/>
        <x:v>0.5554</x:v>
      </x:c>
      <x:c r="H127" s="106">
        <x:f t="shared" si="25"/>
        <x:v>7.7852479607742507E-4</x:v>
      </x:c>
      <x:c r="I127" s="106" t="n">
        <x:f>SUM($H$93:H127)</x:f>
        <x:v>0.02762252969929531</x:v>
      </x:c>
    </x:row>
    <x:row r="128" ht="24" customHeight="1">
      <x:c r="A128" s="104">
        <x:v>36</x:v>
      </x:c>
      <x:c r="B128" s="89" t="str">
        <x:f t="shared" si="20"/>
        <x:v>普通抽</x:v>
      </x:c>
      <x:c r="C128" s="107">
        <x:f t="shared" si="26"/>
        <x:v>0.97237747030070387</x:v>
      </x:c>
      <x:c r="D128" s="107">
        <x:f t="shared" si="21"/>
        <x:v>0.42159999999999997</x:v>
      </x:c>
      <x:c r="E128" s="107">
        <x:f t="shared" si="22"/>
        <x:v>2.2200000000000001E-2</x:v>
      </x:c>
      <x:c r="F128" s="107">
        <x:f t="shared" si="23"/>
        <x:v>8.0000000000000004E-4</x:v>
      </x:c>
      <x:c r="G128" s="107">
        <x:f t="shared" si="24"/>
        <x:v>0.5554</x:v>
      </x:c>
      <x:c r="H128" s="107">
        <x:f t="shared" si="25"/>
        <x:v>7.7790197624056311E-4</x:v>
      </x:c>
      <x:c r="I128" s="107" t="n">
        <x:f>SUM($H$93:H128)</x:f>
        <x:v>0.02840043167553587</x:v>
      </x:c>
    </x:row>
    <x:row r="129" ht="24" customHeight="1">
      <x:c r="A129" s="105">
        <x:v>37</x:v>
      </x:c>
      <x:c r="B129" s="90" t="str">
        <x:f t="shared" si="20"/>
        <x:v>普通抽</x:v>
      </x:c>
      <x:c r="C129" s="106">
        <x:f t="shared" si="26"/>
        <x:v>0.97159956832446326</x:v>
      </x:c>
      <x:c r="D129" s="106">
        <x:f t="shared" si="21"/>
        <x:v>0.42159999999999997</x:v>
      </x:c>
      <x:c r="E129" s="106">
        <x:f t="shared" si="22"/>
        <x:v>2.2200000000000001E-2</x:v>
      </x:c>
      <x:c r="F129" s="106">
        <x:f t="shared" si="23"/>
        <x:v>8.0000000000000004E-4</x:v>
      </x:c>
      <x:c r="G129" s="106">
        <x:f t="shared" si="24"/>
        <x:v>0.5554</x:v>
      </x:c>
      <x:c r="H129" s="106">
        <x:f t="shared" si="25"/>
        <x:v>7.7727965465957066E-4</x:v>
      </x:c>
      <x:c r="I129" s="106" t="n">
        <x:f>SUM($H$93:H129)</x:f>
        <x:v>0.029177711330195442</x:v>
      </x:c>
    </x:row>
    <x:row r="130" ht="24" customHeight="1">
      <x:c r="A130" s="104">
        <x:v>38</x:v>
      </x:c>
      <x:c r="B130" s="89" t="str">
        <x:f t="shared" si="20"/>
        <x:v>普通抽</x:v>
      </x:c>
      <x:c r="C130" s="107">
        <x:f t="shared" si="26"/>
        <x:v>0.97082228866980369</x:v>
      </x:c>
      <x:c r="D130" s="107">
        <x:f t="shared" si="21"/>
        <x:v>0.42159999999999997</x:v>
      </x:c>
      <x:c r="E130" s="107">
        <x:f t="shared" si="22"/>
        <x:v>2.2200000000000001E-2</x:v>
      </x:c>
      <x:c r="F130" s="107">
        <x:f t="shared" si="23"/>
        <x:v>8.0000000000000004E-4</x:v>
      </x:c>
      <x:c r="G130" s="107">
        <x:f t="shared" si="24"/>
        <x:v>0.5554</x:v>
      </x:c>
      <x:c r="H130" s="107">
        <x:f t="shared" si="25"/>
        <x:v>7.7665783093584296E-4</x:v>
      </x:c>
      <x:c r="I130" s="107" t="n">
        <x:f>SUM($H$93:H130)</x:f>
        <x:v>0.029954369161131287</x:v>
      </x:c>
    </x:row>
    <x:row r="131" ht="24" customHeight="1">
      <x:c r="A131" s="105">
        <x:v>39</x:v>
      </x:c>
      <x:c r="B131" s="90" t="str">
        <x:f t="shared" si="20"/>
        <x:v>普通抽</x:v>
      </x:c>
      <x:c r="C131" s="106">
        <x:f t="shared" si="26"/>
        <x:v>0.97004563083886786</x:v>
      </x:c>
      <x:c r="D131" s="106">
        <x:f t="shared" si="21"/>
        <x:v>0.42159999999999997</x:v>
      </x:c>
      <x:c r="E131" s="106">
        <x:f t="shared" si="22"/>
        <x:v>2.2200000000000001E-2</x:v>
      </x:c>
      <x:c r="F131" s="106">
        <x:f t="shared" si="23"/>
        <x:v>8.0000000000000004E-4</x:v>
      </x:c>
      <x:c r="G131" s="106">
        <x:f t="shared" si="24"/>
        <x:v>0.5554</x:v>
      </x:c>
      <x:c r="H131" s="106">
        <x:f t="shared" si="25"/>
        <x:v>7.7603650467109432E-4</x:v>
      </x:c>
      <x:c r="I131" s="106" t="n">
        <x:f>SUM($H$93:H131)</x:f>
        <x:v>0.03073040566580238</x:v>
      </x:c>
    </x:row>
    <x:row r="132" ht="24" customHeight="1">
      <x:c r="A132" s="102">
        <x:v>40</x:v>
      </x:c>
      <x:c r="B132" s="91" t="str">
        <x:f t="shared" si="20"/>
        <x:v>紫色保底</x:v>
      </x:c>
      <x:c r="C132" s="108">
        <x:f t="shared" si="26"/>
        <x:v>0.96926959433419679</x:v>
      </x:c>
      <x:c r="D132" s="108">
        <x:f t="shared" si="21"/>
        <x:v>0</x:v>
      </x:c>
      <x:c r="E132" s="108">
        <x:f t="shared" si="22"/>
        <x:v>0.99919999999999998</x:v>
      </x:c>
      <x:c r="F132" s="108">
        <x:f t="shared" si="23"/>
        <x:v>8.0000000000000004E-4</x:v>
      </x:c>
      <x:c r="G132" s="108">
        <x:f t="shared" si="24"/>
        <x:v>0</x:v>
      </x:c>
      <x:c r="H132" s="108">
        <x:f t="shared" si="25"/>
        <x:v>7.754156754673575E-4</x:v>
      </x:c>
      <x:c r="I132" s="108" t="n">
        <x:f>SUM($H$93:H132)</x:f>
        <x:v>0.03150582134126974</x:v>
      </x:c>
    </x:row>
    <x:row r="133" ht="24" customHeight="1">
      <x:c r="A133" s="105">
        <x:v>41</x:v>
      </x:c>
      <x:c r="B133" s="90" t="str">
        <x:f t="shared" si="20"/>
        <x:v>普通抽</x:v>
      </x:c>
      <x:c r="C133" s="106">
        <x:f t="shared" si="26"/>
        <x:v>0.96849417865872944</x:v>
      </x:c>
      <x:c r="D133" s="106">
        <x:f t="shared" si="21"/>
        <x:v>0.42159999999999997</x:v>
      </x:c>
      <x:c r="E133" s="106">
        <x:f t="shared" si="22"/>
        <x:v>2.2200000000000001E-2</x:v>
      </x:c>
      <x:c r="F133" s="106">
        <x:f t="shared" si="23"/>
        <x:v>8.0000000000000004E-4</x:v>
      </x:c>
      <x:c r="G133" s="106">
        <x:f t="shared" si="24"/>
        <x:v>0.5554</x:v>
      </x:c>
      <x:c r="H133" s="106">
        <x:f t="shared" si="25"/>
        <x:v>7.7479534292698357E-4</x:v>
      </x:c>
      <x:c r="I133" s="106" t="n">
        <x:f>SUM($H$93:H133)</x:f>
        <x:v>0.03228061668419672</x:v>
      </x:c>
    </x:row>
    <x:row r="134" ht="24" customHeight="1">
      <x:c r="A134" s="104">
        <x:v>42</x:v>
      </x:c>
      <x:c r="B134" s="89" t="str">
        <x:f t="shared" si="20"/>
        <x:v>普通抽</x:v>
      </x:c>
      <x:c r="C134" s="107">
        <x:f t="shared" si="26"/>
        <x:v>0.96771938331580243</x:v>
      </x:c>
      <x:c r="D134" s="107">
        <x:f t="shared" si="21"/>
        <x:v>0.42159999999999997</x:v>
      </x:c>
      <x:c r="E134" s="107">
        <x:f t="shared" si="22"/>
        <x:v>2.2200000000000001E-2</x:v>
      </x:c>
      <x:c r="F134" s="107">
        <x:f t="shared" si="23"/>
        <x:v>8.0000000000000004E-4</x:v>
      </x:c>
      <x:c r="G134" s="107">
        <x:f t="shared" si="24"/>
        <x:v>0.5554</x:v>
      </x:c>
      <x:c r="H134" s="107">
        <x:f t="shared" si="25"/>
        <x:v>7.7417550665264193E-4</x:v>
      </x:c>
      <x:c r="I134" s="107" t="n">
        <x:f>SUM($H$93:H134)</x:f>
        <x:v>0.033054792190849364</x:v>
      </x:c>
    </x:row>
    <x:row r="135" ht="24" customHeight="1">
      <x:c r="A135" s="105">
        <x:v>43</x:v>
      </x:c>
      <x:c r="B135" s="90" t="str">
        <x:f t="shared" si="20"/>
        <x:v>普通抽</x:v>
      </x:c>
      <x:c r="C135" s="106">
        <x:f t="shared" si="26"/>
        <x:v>0.96694520780914972</x:v>
      </x:c>
      <x:c r="D135" s="106">
        <x:f t="shared" si="21"/>
        <x:v>0.42159999999999997</x:v>
      </x:c>
      <x:c r="E135" s="106">
        <x:f t="shared" si="22"/>
        <x:v>2.2200000000000001E-2</x:v>
      </x:c>
      <x:c r="F135" s="106">
        <x:f t="shared" si="23"/>
        <x:v>8.0000000000000004E-4</x:v>
      </x:c>
      <x:c r="G135" s="106">
        <x:f t="shared" si="24"/>
        <x:v>0.5554</x:v>
      </x:c>
      <x:c r="H135" s="106">
        <x:f t="shared" si="25"/>
        <x:v>7.7355616624731984E-4</x:v>
      </x:c>
      <x:c r="I135" s="106" t="n">
        <x:f>SUM($H$93:H135)</x:f>
        <x:v>0.03382834835709669</x:v>
      </x:c>
    </x:row>
    <x:row r="136" ht="24" customHeight="1">
      <x:c r="A136" s="104">
        <x:v>44</x:v>
      </x:c>
      <x:c r="B136" s="89" t="str">
        <x:f t="shared" si="20"/>
        <x:v>普通抽</x:v>
      </x:c>
      <x:c r="C136" s="107">
        <x:f t="shared" si="26"/>
        <x:v>0.96617165164290242</x:v>
      </x:c>
      <x:c r="D136" s="107">
        <x:f t="shared" si="21"/>
        <x:v>0.42159999999999997</x:v>
      </x:c>
      <x:c r="E136" s="107">
        <x:f t="shared" si="22"/>
        <x:v>2.2200000000000001E-2</x:v>
      </x:c>
      <x:c r="F136" s="107">
        <x:f t="shared" si="23"/>
        <x:v>8.0000000000000004E-4</x:v>
      </x:c>
      <x:c r="G136" s="107">
        <x:f t="shared" si="24"/>
        <x:v>0.5554</x:v>
      </x:c>
      <x:c r="H136" s="107">
        <x:f t="shared" si="25"/>
        <x:v>7.7293732131432195E-4</x:v>
      </x:c>
      <x:c r="I136" s="107" t="n">
        <x:f>SUM($H$93:H136)</x:f>
        <x:v>0.03460128567841101</x:v>
      </x:c>
    </x:row>
    <x:row r="137" ht="24" customHeight="1">
      <x:c r="A137" s="105">
        <x:v>45</x:v>
      </x:c>
      <x:c r="B137" s="90" t="str">
        <x:f t="shared" si="20"/>
        <x:v>普通抽</x:v>
      </x:c>
      <x:c r="C137" s="106">
        <x:f t="shared" si="26"/>
        <x:v>0.96539871432158808</x:v>
      </x:c>
      <x:c r="D137" s="106">
        <x:f t="shared" si="21"/>
        <x:v>0.42159999999999997</x:v>
      </x:c>
      <x:c r="E137" s="106">
        <x:f t="shared" si="22"/>
        <x:v>2.2200000000000001E-2</x:v>
      </x:c>
      <x:c r="F137" s="106">
        <x:f t="shared" si="23"/>
        <x:v>8.0000000000000004E-4</x:v>
      </x:c>
      <x:c r="G137" s="106">
        <x:f t="shared" si="24"/>
        <x:v>0.5554</x:v>
      </x:c>
      <x:c r="H137" s="106">
        <x:f t="shared" si="25"/>
        <x:v>7.7231897145727045E-4</x:v>
      </x:c>
      <x:c r="I137" s="106" t="n">
        <x:f>SUM($H$93:H137)</x:f>
        <x:v>0.03537360464986828</x:v>
      </x:c>
    </x:row>
    <x:row r="138" ht="24" customHeight="1">
      <x:c r="A138" s="104">
        <x:v>46</x:v>
      </x:c>
      <x:c r="B138" s="89" t="str">
        <x:f t="shared" si="20"/>
        <x:v>普通抽</x:v>
      </x:c>
      <x:c r="C138" s="107">
        <x:f t="shared" si="26"/>
        <x:v>0.96462639535013084</x:v>
      </x:c>
      <x:c r="D138" s="107">
        <x:f t="shared" si="21"/>
        <x:v>0.42159999999999997</x:v>
      </x:c>
      <x:c r="E138" s="107">
        <x:f t="shared" si="22"/>
        <x:v>2.2200000000000001E-2</x:v>
      </x:c>
      <x:c r="F138" s="107">
        <x:f t="shared" si="23"/>
        <x:v>8.0000000000000004E-4</x:v>
      </x:c>
      <x:c r="G138" s="107">
        <x:f t="shared" si="24"/>
        <x:v>0.5554</x:v>
      </x:c>
      <x:c r="H138" s="107">
        <x:f t="shared" si="25"/>
        <x:v>7.7170111628010476E-4</x:v>
      </x:c>
      <x:c r="I138" s="107" t="n">
        <x:f>SUM($H$93:H138)</x:f>
        <x:v>0.03614530576614838</x:v>
      </x:c>
    </x:row>
    <x:row r="139" ht="24" customHeight="1">
      <x:c r="A139" s="105">
        <x:v>47</x:v>
      </x:c>
      <x:c r="B139" s="90" t="str">
        <x:f t="shared" si="20"/>
        <x:v>普通抽</x:v>
      </x:c>
      <x:c r="C139" s="106">
        <x:f t="shared" si="26"/>
        <x:v>0.96385469423385073</x:v>
      </x:c>
      <x:c r="D139" s="106">
        <x:f t="shared" si="21"/>
        <x:v>0.42159999999999997</x:v>
      </x:c>
      <x:c r="E139" s="106">
        <x:f t="shared" si="22"/>
        <x:v>2.2200000000000001E-2</x:v>
      </x:c>
      <x:c r="F139" s="106">
        <x:f t="shared" si="23"/>
        <x:v>8.0000000000000004E-4</x:v>
      </x:c>
      <x:c r="G139" s="106">
        <x:f t="shared" si="24"/>
        <x:v>0.5554</x:v>
      </x:c>
      <x:c r="H139" s="106">
        <x:f t="shared" si="25"/>
        <x:v>7.7108375538708057E-4</x:v>
      </x:c>
      <x:c r="I139" s="106" t="n">
        <x:f>SUM($H$93:H139)</x:f>
        <x:v>0.03691638952153546</x:v>
      </x:c>
    </x:row>
    <x:row r="140" ht="24" customHeight="1">
      <x:c r="A140" s="104">
        <x:v>48</x:v>
      </x:c>
      <x:c r="B140" s="89" t="str">
        <x:f t="shared" si="20"/>
        <x:v>普通抽</x:v>
      </x:c>
      <x:c r="C140" s="107">
        <x:f t="shared" si="26"/>
        <x:v>0.96308361047846358</x:v>
      </x:c>
      <x:c r="D140" s="107">
        <x:f t="shared" si="21"/>
        <x:v>0.42159999999999997</x:v>
      </x:c>
      <x:c r="E140" s="107">
        <x:f t="shared" si="22"/>
        <x:v>2.2200000000000001E-2</x:v>
      </x:c>
      <x:c r="F140" s="107">
        <x:f t="shared" si="23"/>
        <x:v>8.0000000000000004E-4</x:v>
      </x:c>
      <x:c r="G140" s="107">
        <x:f t="shared" si="24"/>
        <x:v>0.5554</x:v>
      </x:c>
      <x:c r="H140" s="107">
        <x:f t="shared" si="25"/>
        <x:v>7.7046688838277092E-4</x:v>
      </x:c>
      <x:c r="I140" s="107" t="n">
        <x:f>SUM($H$93:H140)</x:f>
        <x:v>0.03768685640991823</x:v>
      </x:c>
    </x:row>
    <x:row r="141" ht="24" customHeight="1">
      <x:c r="A141" s="105">
        <x:v>49</x:v>
      </x:c>
      <x:c r="B141" s="90" t="str">
        <x:f t="shared" si="20"/>
        <x:v>普通抽</x:v>
      </x:c>
      <x:c r="C141" s="106">
        <x:f t="shared" si="26"/>
        <x:v>0.9623131435900808</x:v>
      </x:c>
      <x:c r="D141" s="106">
        <x:f t="shared" si="21"/>
        <x:v>0.42159999999999997</x:v>
      </x:c>
      <x:c r="E141" s="106">
        <x:f t="shared" si="22"/>
        <x:v>2.2200000000000001E-2</x:v>
      </x:c>
      <x:c r="F141" s="106">
        <x:f t="shared" si="23"/>
        <x:v>8.0000000000000004E-4</x:v>
      </x:c>
      <x:c r="G141" s="106">
        <x:f t="shared" si="24"/>
        <x:v>0.5554</x:v>
      </x:c>
      <x:c r="H141" s="106">
        <x:f t="shared" si="25"/>
        <x:v>7.6985051487206467E-4</x:v>
      </x:c>
      <x:c r="I141" s="106" t="n">
        <x:f>SUM($H$93:H141)</x:f>
        <x:v>0.03845670692479029</x:v>
      </x:c>
    </x:row>
    <x:row r="142" ht="24" customHeight="1">
      <x:c r="A142" s="102">
        <x:v>50</x:v>
      </x:c>
      <x:c r="B142" s="91" t="str">
        <x:f t="shared" si="20"/>
        <x:v>橙色保底</x:v>
      </x:c>
      <x:c r="C142" s="108">
        <x:f t="shared" si="26"/>
        <x:v>0.96154329307520869</x:v>
      </x:c>
      <x:c r="D142" s="108">
        <x:f t="shared" si="21"/>
        <x:v>0</x:v>
      </x:c>
      <x:c r="E142" s="108">
        <x:f t="shared" si="22"/>
        <x:v>0</x:v>
      </x:c>
      <x:c r="F142" s="108">
        <x:f t="shared" si="23"/>
        <x:v>1</x:v>
      </x:c>
      <x:c r="G142" s="108">
        <x:f t="shared" si="24"/>
        <x:v>0</x:v>
      </x:c>
      <x:c r="H142" s="108">
        <x:f t="shared" si="25"/>
        <x:v>0.96154329307520869</x:v>
      </x:c>
      <x:c r="I142" s="108" t="n">
        <x:f>SUM($H$93:H142)</x:f>
        <x:v>0.999999999999999</x:v>
      </x:c>
    </x:row>
    <x:row r="143" ht="24" customHeight="1">
      <x:c r="A143" s="84"/>
      <x:c r="B143" s="84"/>
      <x:c r="C143" s="84"/>
      <x:c r="D143" s="84"/>
      <x:c r="E143" s="84"/>
      <x:c r="F143" s="84"/>
      <x:c r="G143" s="84"/>
      <x:c r="H143" s="84"/>
      <x:c r="I143" s="84"/>
    </x:row>
    <x:row r="144" ht="24" customHeight="1">
      <x:c r="A144" s="92" t="s">
        <x:v>760</x:v>
      </x:c>
      <x:c r="B144" s="92"/>
      <x:c r="C144" s="92" t="n">
        <x:f>SUM(C93:C142)</x:f>
        <x:v>49.03242694906307</x:v>
      </x:c>
      <x:c r="D144" s="84"/>
      <x:c r="E144" s="84"/>
      <x:c r="F144" s="84"/>
      <x:c r="G144" s="84"/>
      <x:c r="H144" s="84"/>
      <x:c r="I144" s="84"/>
    </x:row>
    <x:row r="145" ht="24" customHeight="1">
      <x:c r="A145" s="84"/>
      <x:c r="B145" s="84"/>
      <x:c r="C145" s="84"/>
      <x:c r="D145" s="84"/>
      <x:c r="E145" s="84"/>
      <x:c r="F145" s="84"/>
      <x:c r="G145" s="84"/>
      <x:c r="H145" s="84"/>
      <x:c r="I145" s="84"/>
    </x:row>
    <x:row r="146" ht="24" customHeight="1">
      <x:c r="A146" s="118" t="s">
        <x:v>761</x:v>
      </x:c>
      <x:c r="B146" s="118"/>
      <x:c r="C146" s="118"/>
      <x:c r="D146" s="118"/>
      <x:c r="E146" s="118"/>
      <x:c r="F146" s="118"/>
      <x:c r="G146" s="118"/>
      <x:c r="H146" s="118"/>
      <x:c r="I146" s="118"/>
    </x:row>
    <x:row r="147" ht="24" customHeight="1">
      <x:c r="A147" s="118" t="s">
        <x:v>762</x:v>
      </x:c>
      <x:c r="B147" s="118"/>
      <x:c r="C147" s="118"/>
      <x:c r="D147" s="118"/>
      <x:c r="E147" s="118"/>
      <x:c r="F147" s="118"/>
      <x:c r="G147" s="118"/>
      <x:c r="H147" s="118"/>
      <x:c r="I147" s="118"/>
    </x:row>
  </x:sheetData>
  <x:mergeCells>
    <x:mergeCell ref="C86:I86"/>
    <x:mergeCell ref="C87:I87"/>
    <x:mergeCell ref="A91:I91"/>
    <x:mergeCell ref="A146:I146"/>
    <x:mergeCell ref="A147:I147"/>
    <x:mergeCell ref="A78:I78"/>
    <x:mergeCell ref="C82:I82"/>
    <x:mergeCell ref="C83:I83"/>
    <x:mergeCell ref="C84:I84"/>
    <x:mergeCell ref="C85:I85"/>
    <x:mergeCell ref="A33:I33"/>
    <x:mergeCell ref="A43:I43"/>
    <x:mergeCell ref="A44:I44"/>
    <x:mergeCell ref="A49:I49"/>
    <x:mergeCell ref="A77:I77"/>
    <x:mergeCell ref="C28:E28"/>
    <x:mergeCell ref="C29:E29"/>
    <x:mergeCell ref="C30:E30"/>
    <x:mergeCell ref="C31:E31"/>
    <x:mergeCell ref="C32:E32"/>
    <x:mergeCell ref="A20:I20"/>
    <x:mergeCell ref="A21:I21"/>
    <x:mergeCell ref="C25:E25"/>
    <x:mergeCell ref="C26:E26"/>
    <x:mergeCell ref="C27:E27"/>
    <x:mergeCell ref="A3:I3"/>
    <x:mergeCell ref="A4:I4"/>
    <x:mergeCell ref="A15:I15"/>
    <x:mergeCell ref="A18:I18"/>
    <x:mergeCell ref="A19:I19"/>
  </x:mergeCells>
  <x:conditionalFormatting sqref="C83:C87">
    <x:cfRule type="containsText" dxfId="1" priority="1" operator="containsText" text="错误"/>
    <x:cfRule type="containsText" dxfId="0" priority="2" operator="containsText" text="注意"/>
  </x:conditionalFormatting>
  <x:dataValidations count="4">
    <x:dataValidation type="whole" sqref="B27:B31">
      <x:formula1>1</x:formula1>
      <x:formula2>10000</x:formula2>
    </x:dataValidation>
    <x:dataValidation type="decimal" sqref="B32">
      <x:formula1>0</x:formula1>
      <x:formula2>1</x:formula2>
    </x:dataValidation>
    <x:dataValidation type="whole" sqref="B28:B29">
      <x:formula1>1</x:formula1>
      <x:formula2>50</x:formula2>
    </x:dataValidation>
    <x:dataValidation type="whole" sqref="B37:B40 C51:C59">
      <x:formula1>0</x:formula1>
      <x:formula2>10000</x:formula2>
    </x:dataValidation>
  </x:dataValidations>
  <x:pageMargins left="0.7" right="0.7" top="0.75" bottom="0.75" header="0.3" footer="0.3"/>
</x: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24" customWidth="1" min="3" max="3"/>
    <col width="35" customWidth="1" min="4" max="4"/>
    <col width="45" customWidth="1" min="5" max="5"/>
    <col width="20" customWidth="1" min="6" max="6"/>
    <col width="24" customWidth="1" min="7" max="7"/>
    <col width="45" customWidth="1" min="8" max="8"/>
  </cols>
  <sheetData>
    <row r="1">
      <c r="A1" t="inlineStr">
        <is>
          <t>外观定价：2026-10-12；头饰、面饰、颈饰降一档；源表已同步，未验证游戏运行时</t>
        </is>
      </c>
    </row>
    <row r="2">
      <c r="A2" t="inlineStr">
        <is>
          <t>换算口径</t>
        </is>
      </c>
      <c r="B2" t="inlineStr">
        <is>
          <t>1人民币元=10钻石=15外观币；人民币为基础充值等值，不含首充、月卡或免费获取</t>
        </is>
      </c>
    </row>
    <row r="3">
      <c r="A3" t="inlineStr">
        <is>
          <t>品质</t>
        </is>
      </c>
      <c r="B3" t="inlineStr">
        <is>
          <t>单件饰品外观币</t>
        </is>
      </c>
      <c r="C3" t="inlineStr">
        <is>
          <t>人民币等值</t>
        </is>
      </c>
      <c r="D3" t="inlineStr">
        <is>
          <t>完整皮肤外观币（建议，未改源表）</t>
        </is>
      </c>
      <c r="E3" t="inlineStr">
        <is>
          <t>人民币等值</t>
        </is>
      </c>
    </row>
    <row r="4">
      <c r="A4" t="inlineStr">
        <is>
          <t>蓝</t>
        </is>
      </c>
      <c r="B4" t="n">
        <v>90</v>
      </c>
      <c r="C4" t="n">
        <v>6</v>
      </c>
      <c r="D4" t="n">
        <v>300</v>
      </c>
      <c r="E4" t="n">
        <v>20</v>
      </c>
    </row>
    <row r="5">
      <c r="A5" t="inlineStr">
        <is>
          <t>紫</t>
        </is>
      </c>
      <c r="B5" t="n">
        <v>180</v>
      </c>
      <c r="C5" t="n">
        <v>12</v>
      </c>
      <c r="D5" t="n">
        <v>600</v>
      </c>
      <c r="E5" t="n">
        <v>40</v>
      </c>
    </row>
    <row r="6">
      <c r="A6" t="inlineStr">
        <is>
          <t>橙</t>
        </is>
      </c>
      <c r="B6" t="n">
        <v>360</v>
      </c>
      <c r="C6" t="n">
        <v>24</v>
      </c>
      <c r="D6" t="n">
        <v>1200</v>
      </c>
      <c r="E6" t="n">
        <v>80</v>
      </c>
    </row>
    <row r="7">
      <c r="A7" t="inlineStr">
        <is>
          <t>红</t>
        </is>
      </c>
      <c r="B7" t="n">
        <v>600</v>
      </c>
      <c r="C7" t="n">
        <v>40</v>
      </c>
      <c r="D7" t="n">
        <v>1800</v>
      </c>
      <c r="E7" t="n">
        <v>120</v>
      </c>
    </row>
    <row r="8">
      <c r="A8" t="inlineStr">
        <is>
          <t>当前数量</t>
        </is>
      </c>
      <c r="B8" t="inlineStr">
        <is>
          <t>蓝16、紫22、橙37、红0；共75件，关联84条直售商品</t>
        </is>
      </c>
    </row>
    <row r="9">
      <c r="A9" t="inlineStr">
        <is>
          <t>范围说明</t>
        </is>
      </c>
      <c r="B9" t="inlineStr">
        <is>
          <t>武器、飞索、纪念物及完整皮肤未修改；原有商品ID、限购和上架条件保留；目标商品旧折扣取消</t>
        </is>
      </c>
    </row>
    <row r="11">
      <c r="A11" t="inlineStr">
        <is>
          <t>饰品ID</t>
        </is>
      </c>
      <c r="B11" t="inlineStr">
        <is>
          <t>名称</t>
        </is>
      </c>
      <c r="C11" t="inlineStr">
        <is>
          <t>类型</t>
        </is>
      </c>
      <c r="D11" t="inlineStr">
        <is>
          <t>原品质</t>
        </is>
      </c>
      <c r="E11" t="inlineStr">
        <is>
          <t>新品质</t>
        </is>
      </c>
      <c r="F11" t="inlineStr">
        <is>
          <t>售价外观币</t>
        </is>
      </c>
      <c r="G11" t="inlineStr">
        <is>
          <t>人民币等值</t>
        </is>
      </c>
      <c r="H11" t="inlineStr">
        <is>
          <t>关联商品ID</t>
        </is>
      </c>
    </row>
    <row r="12">
      <c r="A12" t="n">
        <v>421000</v>
      </c>
      <c r="B12" t="inlineStr">
        <is>
          <t>彩虹角</t>
        </is>
      </c>
      <c r="C12" t="inlineStr">
        <is>
          <t>头饰</t>
        </is>
      </c>
      <c r="D12" t="inlineStr">
        <is>
          <t>红</t>
        </is>
      </c>
      <c r="E12" t="inlineStr">
        <is>
          <t>橙</t>
        </is>
      </c>
      <c r="F12" t="n">
        <v>360</v>
      </c>
      <c r="G12" t="n">
        <v>24</v>
      </c>
      <c r="H12" t="inlineStr">
        <is>
          <t>3020001</t>
        </is>
      </c>
    </row>
    <row r="13">
      <c r="A13" t="n">
        <v>421001</v>
      </c>
      <c r="B13" t="inlineStr">
        <is>
          <t>皇冠</t>
        </is>
      </c>
      <c r="C13" t="inlineStr">
        <is>
          <t>头饰</t>
        </is>
      </c>
      <c r="D13" t="inlineStr">
        <is>
          <t>红</t>
        </is>
      </c>
      <c r="E13" t="inlineStr">
        <is>
          <t>橙</t>
        </is>
      </c>
      <c r="F13" t="n">
        <v>360</v>
      </c>
      <c r="G13" t="n">
        <v>24</v>
      </c>
      <c r="H13" t="inlineStr">
        <is>
          <t>3020002</t>
        </is>
      </c>
    </row>
    <row r="14">
      <c r="A14" t="n">
        <v>421002</v>
      </c>
      <c r="B14" t="inlineStr">
        <is>
          <t>红蝴蝶结</t>
        </is>
      </c>
      <c r="C14" t="inlineStr">
        <is>
          <t>头饰</t>
        </is>
      </c>
      <c r="D14" t="inlineStr">
        <is>
          <t>橙</t>
        </is>
      </c>
      <c r="E14" t="inlineStr">
        <is>
          <t>紫</t>
        </is>
      </c>
      <c r="F14" t="n">
        <v>180</v>
      </c>
      <c r="G14" t="n">
        <v>12</v>
      </c>
      <c r="H14" t="inlineStr">
        <is>
          <t>3020003,7080000</t>
        </is>
      </c>
    </row>
    <row r="15">
      <c r="A15" t="n">
        <v>421003</v>
      </c>
      <c r="B15" t="inlineStr">
        <is>
          <t>蓝色动感</t>
        </is>
      </c>
      <c r="C15" t="inlineStr">
        <is>
          <t>头饰</t>
        </is>
      </c>
      <c r="D15" t="inlineStr">
        <is>
          <t>紫</t>
        </is>
      </c>
      <c r="E15" t="inlineStr">
        <is>
          <t>蓝</t>
        </is>
      </c>
      <c r="F15" t="n">
        <v>90</v>
      </c>
      <c r="G15" t="n">
        <v>6</v>
      </c>
      <c r="H15" t="inlineStr">
        <is>
          <t>3020004</t>
        </is>
      </c>
    </row>
    <row r="16">
      <c r="A16" t="n">
        <v>421004</v>
      </c>
      <c r="B16" t="inlineStr">
        <is>
          <t>动感猫耳</t>
        </is>
      </c>
      <c r="C16" t="inlineStr">
        <is>
          <t>头饰</t>
        </is>
      </c>
      <c r="D16" t="inlineStr">
        <is>
          <t>红</t>
        </is>
      </c>
      <c r="E16" t="inlineStr">
        <is>
          <t>橙</t>
        </is>
      </c>
      <c r="F16" t="n">
        <v>360</v>
      </c>
      <c r="G16" t="n">
        <v>24</v>
      </c>
      <c r="H16" t="inlineStr">
        <is>
          <t>3020005</t>
        </is>
      </c>
    </row>
    <row r="17">
      <c r="A17" t="n">
        <v>421005</v>
      </c>
      <c r="B17" t="inlineStr">
        <is>
          <t>蕉皮</t>
        </is>
      </c>
      <c r="C17" t="inlineStr">
        <is>
          <t>头饰</t>
        </is>
      </c>
      <c r="D17" t="inlineStr">
        <is>
          <t>橙</t>
        </is>
      </c>
      <c r="E17" t="inlineStr">
        <is>
          <t>紫</t>
        </is>
      </c>
      <c r="F17" t="n">
        <v>180</v>
      </c>
      <c r="G17" t="n">
        <v>12</v>
      </c>
      <c r="H17" t="inlineStr">
        <is>
          <t>3020006</t>
        </is>
      </c>
    </row>
    <row r="18">
      <c r="A18" t="n">
        <v>421006</v>
      </c>
      <c r="B18" t="inlineStr">
        <is>
          <t>蓝色微笑</t>
        </is>
      </c>
      <c r="C18" t="inlineStr">
        <is>
          <t>头饰</t>
        </is>
      </c>
      <c r="D18" t="inlineStr">
        <is>
          <t>紫</t>
        </is>
      </c>
      <c r="E18" t="inlineStr">
        <is>
          <t>蓝</t>
        </is>
      </c>
      <c r="F18" t="n">
        <v>90</v>
      </c>
      <c r="G18" t="n">
        <v>6</v>
      </c>
      <c r="H18" t="inlineStr">
        <is>
          <t>3020007</t>
        </is>
      </c>
    </row>
    <row r="19">
      <c r="A19" t="n">
        <v>421007</v>
      </c>
      <c r="B19" t="inlineStr">
        <is>
          <t>咸鱼</t>
        </is>
      </c>
      <c r="C19" t="inlineStr">
        <is>
          <t>头饰</t>
        </is>
      </c>
      <c r="D19" t="inlineStr">
        <is>
          <t>红</t>
        </is>
      </c>
      <c r="E19" t="inlineStr">
        <is>
          <t>橙</t>
        </is>
      </c>
      <c r="F19" t="n">
        <v>360</v>
      </c>
      <c r="G19" t="n">
        <v>24</v>
      </c>
      <c r="H19" t="inlineStr">
        <is>
          <t>3020008</t>
        </is>
      </c>
    </row>
    <row r="20">
      <c r="A20" t="n">
        <v>421008</v>
      </c>
      <c r="B20" t="inlineStr">
        <is>
          <t>渔夫帽</t>
        </is>
      </c>
      <c r="C20" t="inlineStr">
        <is>
          <t>头饰</t>
        </is>
      </c>
      <c r="D20" t="inlineStr">
        <is>
          <t>红</t>
        </is>
      </c>
      <c r="E20" t="inlineStr">
        <is>
          <t>橙</t>
        </is>
      </c>
      <c r="F20" t="n">
        <v>360</v>
      </c>
      <c r="G20" t="n">
        <v>24</v>
      </c>
      <c r="H20" t="inlineStr">
        <is>
          <t>3020009</t>
        </is>
      </c>
    </row>
    <row r="21">
      <c r="A21" t="n">
        <v>421009</v>
      </c>
      <c r="B21" t="inlineStr">
        <is>
          <t>草莓气质</t>
        </is>
      </c>
      <c r="C21" t="inlineStr">
        <is>
          <t>头饰</t>
        </is>
      </c>
      <c r="D21" t="inlineStr">
        <is>
          <t>紫</t>
        </is>
      </c>
      <c r="E21" t="inlineStr">
        <is>
          <t>蓝</t>
        </is>
      </c>
      <c r="F21" t="n">
        <v>90</v>
      </c>
      <c r="G21" t="n">
        <v>6</v>
      </c>
      <c r="H21" t="inlineStr">
        <is>
          <t>3020010</t>
        </is>
      </c>
    </row>
    <row r="22">
      <c r="A22" t="n">
        <v>421010</v>
      </c>
      <c r="B22" t="inlineStr">
        <is>
          <t>金W桥</t>
        </is>
      </c>
      <c r="C22" t="inlineStr">
        <is>
          <t>头饰</t>
        </is>
      </c>
      <c r="D22" t="inlineStr">
        <is>
          <t>橙</t>
        </is>
      </c>
      <c r="E22" t="inlineStr">
        <is>
          <t>紫</t>
        </is>
      </c>
      <c r="F22" t="n">
        <v>180</v>
      </c>
      <c r="G22" t="n">
        <v>12</v>
      </c>
      <c r="H22" t="inlineStr">
        <is>
          <t>3020011</t>
        </is>
      </c>
    </row>
    <row r="23">
      <c r="A23" t="n">
        <v>421011</v>
      </c>
      <c r="B23" t="inlineStr">
        <is>
          <t>白色头巾</t>
        </is>
      </c>
      <c r="C23" t="inlineStr">
        <is>
          <t>头饰</t>
        </is>
      </c>
      <c r="D23" t="inlineStr">
        <is>
          <t>紫</t>
        </is>
      </c>
      <c r="E23" t="inlineStr">
        <is>
          <t>蓝</t>
        </is>
      </c>
      <c r="F23" t="n">
        <v>90</v>
      </c>
      <c r="G23" t="n">
        <v>6</v>
      </c>
      <c r="H23" t="inlineStr">
        <is>
          <t>3020012</t>
        </is>
      </c>
    </row>
    <row r="24">
      <c r="A24" t="n">
        <v>421012</v>
      </c>
      <c r="B24" t="inlineStr">
        <is>
          <t>小黄帽</t>
        </is>
      </c>
      <c r="C24" t="inlineStr">
        <is>
          <t>头饰</t>
        </is>
      </c>
      <c r="D24" t="inlineStr">
        <is>
          <t>橙</t>
        </is>
      </c>
      <c r="E24" t="inlineStr">
        <is>
          <t>紫</t>
        </is>
      </c>
      <c r="F24" t="n">
        <v>180</v>
      </c>
      <c r="G24" t="n">
        <v>12</v>
      </c>
      <c r="H24" t="inlineStr">
        <is>
          <t>3020013</t>
        </is>
      </c>
    </row>
    <row r="25">
      <c r="A25" t="n">
        <v>421013</v>
      </c>
      <c r="B25" t="inlineStr">
        <is>
          <t>醒狮</t>
        </is>
      </c>
      <c r="C25" t="inlineStr">
        <is>
          <t>头饰</t>
        </is>
      </c>
      <c r="D25" t="inlineStr">
        <is>
          <t>红</t>
        </is>
      </c>
      <c r="E25" t="inlineStr">
        <is>
          <t>橙</t>
        </is>
      </c>
      <c r="F25" t="n">
        <v>360</v>
      </c>
      <c r="G25" t="n">
        <v>24</v>
      </c>
      <c r="H25" t="inlineStr">
        <is>
          <t>3020014</t>
        </is>
      </c>
    </row>
    <row r="26">
      <c r="A26" t="n">
        <v>421014</v>
      </c>
      <c r="B26" t="inlineStr">
        <is>
          <t>羽毛部落</t>
        </is>
      </c>
      <c r="C26" t="inlineStr">
        <is>
          <t>头饰</t>
        </is>
      </c>
      <c r="D26" t="inlineStr">
        <is>
          <t>红</t>
        </is>
      </c>
      <c r="E26" t="inlineStr">
        <is>
          <t>橙</t>
        </is>
      </c>
      <c r="F26" t="n">
        <v>360</v>
      </c>
      <c r="G26" t="n">
        <v>24</v>
      </c>
      <c r="H26" t="inlineStr">
        <is>
          <t>3020015</t>
        </is>
      </c>
    </row>
    <row r="27">
      <c r="A27" t="n">
        <v>421015</v>
      </c>
      <c r="B27" t="inlineStr">
        <is>
          <t>紫色卷发筒</t>
        </is>
      </c>
      <c r="C27" t="inlineStr">
        <is>
          <t>头饰</t>
        </is>
      </c>
      <c r="D27" t="inlineStr">
        <is>
          <t>紫</t>
        </is>
      </c>
      <c r="E27" t="inlineStr">
        <is>
          <t>蓝</t>
        </is>
      </c>
      <c r="F27" t="n">
        <v>90</v>
      </c>
      <c r="G27" t="n">
        <v>6</v>
      </c>
      <c r="H27" t="inlineStr">
        <is>
          <t>3020016</t>
        </is>
      </c>
    </row>
    <row r="28">
      <c r="A28" t="n">
        <v>421016</v>
      </c>
      <c r="B28" t="inlineStr">
        <is>
          <t>南瓜头</t>
        </is>
      </c>
      <c r="C28" t="inlineStr">
        <is>
          <t>头饰</t>
        </is>
      </c>
      <c r="D28" t="inlineStr">
        <is>
          <t>红</t>
        </is>
      </c>
      <c r="E28" t="inlineStr">
        <is>
          <t>橙</t>
        </is>
      </c>
      <c r="F28" t="n">
        <v>360</v>
      </c>
      <c r="G28" t="n">
        <v>24</v>
      </c>
      <c r="H28" t="inlineStr">
        <is>
          <t>3020017</t>
        </is>
      </c>
    </row>
    <row r="29">
      <c r="A29" t="n">
        <v>421017</v>
      </c>
      <c r="B29" t="inlineStr">
        <is>
          <t>粉色莫西干</t>
        </is>
      </c>
      <c r="C29" t="inlineStr">
        <is>
          <t>头饰</t>
        </is>
      </c>
      <c r="D29" t="inlineStr">
        <is>
          <t>紫</t>
        </is>
      </c>
      <c r="E29" t="inlineStr">
        <is>
          <t>蓝</t>
        </is>
      </c>
      <c r="F29" t="n">
        <v>90</v>
      </c>
      <c r="G29" t="n">
        <v>6</v>
      </c>
      <c r="H29" t="inlineStr">
        <is>
          <t>3020018</t>
        </is>
      </c>
    </row>
    <row r="30">
      <c r="A30" t="n">
        <v>421018</v>
      </c>
      <c r="B30" t="inlineStr">
        <is>
          <t>绿色莫西干</t>
        </is>
      </c>
      <c r="C30" t="inlineStr">
        <is>
          <t>头饰</t>
        </is>
      </c>
      <c r="D30" t="inlineStr">
        <is>
          <t>紫</t>
        </is>
      </c>
      <c r="E30" t="inlineStr">
        <is>
          <t>蓝</t>
        </is>
      </c>
      <c r="F30" t="n">
        <v>90</v>
      </c>
      <c r="G30" t="n">
        <v>6</v>
      </c>
      <c r="H30" t="inlineStr">
        <is>
          <t>3020019</t>
        </is>
      </c>
    </row>
    <row r="31">
      <c r="A31" t="n">
        <v>421019</v>
      </c>
      <c r="B31" t="inlineStr">
        <is>
          <t>黄色长发</t>
        </is>
      </c>
      <c r="C31" t="inlineStr">
        <is>
          <t>头饰</t>
        </is>
      </c>
      <c r="D31" t="inlineStr">
        <is>
          <t>红</t>
        </is>
      </c>
      <c r="E31" t="inlineStr">
        <is>
          <t>橙</t>
        </is>
      </c>
      <c r="F31" t="n">
        <v>360</v>
      </c>
      <c r="G31" t="n">
        <v>24</v>
      </c>
      <c r="H31" t="inlineStr">
        <is>
          <t>3020020</t>
        </is>
      </c>
    </row>
    <row r="32">
      <c r="A32" t="n">
        <v>421020</v>
      </c>
      <c r="B32" t="inlineStr">
        <is>
          <t>纳瓦里海盗帽</t>
        </is>
      </c>
      <c r="C32" t="inlineStr">
        <is>
          <t>头饰</t>
        </is>
      </c>
      <c r="D32" t="inlineStr">
        <is>
          <t>橙</t>
        </is>
      </c>
      <c r="E32" t="inlineStr">
        <is>
          <t>紫</t>
        </is>
      </c>
      <c r="F32" t="n">
        <v>180</v>
      </c>
      <c r="G32" t="n">
        <v>12</v>
      </c>
      <c r="H32" t="inlineStr">
        <is>
          <t>3020021,7060001</t>
        </is>
      </c>
    </row>
    <row r="33">
      <c r="A33" t="n">
        <v>421021</v>
      </c>
      <c r="B33" t="inlineStr">
        <is>
          <t>绿色卷发</t>
        </is>
      </c>
      <c r="C33" t="inlineStr">
        <is>
          <t>头饰</t>
        </is>
      </c>
      <c r="D33" t="inlineStr">
        <is>
          <t>橙</t>
        </is>
      </c>
      <c r="E33" t="inlineStr">
        <is>
          <t>紫</t>
        </is>
      </c>
      <c r="F33" t="n">
        <v>180</v>
      </c>
      <c r="G33" t="n">
        <v>12</v>
      </c>
      <c r="H33" t="inlineStr">
        <is>
          <t>3020022</t>
        </is>
      </c>
    </row>
    <row r="34">
      <c r="A34" t="n">
        <v>421022</v>
      </c>
      <c r="B34" t="inlineStr">
        <is>
          <t>大背头</t>
        </is>
      </c>
      <c r="C34" t="inlineStr">
        <is>
          <t>头饰</t>
        </is>
      </c>
      <c r="D34" t="inlineStr">
        <is>
          <t>橙</t>
        </is>
      </c>
      <c r="E34" t="inlineStr">
        <is>
          <t>紫</t>
        </is>
      </c>
      <c r="F34" t="n">
        <v>180</v>
      </c>
      <c r="G34" t="n">
        <v>12</v>
      </c>
      <c r="H34" t="inlineStr">
        <is>
          <t>3020023</t>
        </is>
      </c>
    </row>
    <row r="35">
      <c r="A35" t="n">
        <v>421023</v>
      </c>
      <c r="B35" t="inlineStr">
        <is>
          <t>蓝色棒球帽</t>
        </is>
      </c>
      <c r="C35" t="inlineStr">
        <is>
          <t>头饰</t>
        </is>
      </c>
      <c r="D35" t="inlineStr">
        <is>
          <t>紫</t>
        </is>
      </c>
      <c r="E35" t="inlineStr">
        <is>
          <t>蓝</t>
        </is>
      </c>
      <c r="F35" t="n">
        <v>90</v>
      </c>
      <c r="G35" t="n">
        <v>6</v>
      </c>
      <c r="H35" t="inlineStr">
        <is>
          <t>3020024</t>
        </is>
      </c>
    </row>
    <row r="36">
      <c r="A36" t="n">
        <v>421024</v>
      </c>
      <c r="B36" t="inlineStr">
        <is>
          <t>绅士帽</t>
        </is>
      </c>
      <c r="C36" t="inlineStr">
        <is>
          <t>头饰</t>
        </is>
      </c>
      <c r="D36" t="inlineStr">
        <is>
          <t>紫</t>
        </is>
      </c>
      <c r="E36" t="inlineStr">
        <is>
          <t>蓝</t>
        </is>
      </c>
      <c r="F36" t="n">
        <v>90</v>
      </c>
      <c r="G36" t="n">
        <v>6</v>
      </c>
      <c r="H36" t="inlineStr">
        <is>
          <t>3020025</t>
        </is>
      </c>
    </row>
    <row r="37">
      <c r="A37" t="n">
        <v>421025</v>
      </c>
      <c r="B37" t="inlineStr">
        <is>
          <t>黄色飞行帽</t>
        </is>
      </c>
      <c r="C37" t="inlineStr">
        <is>
          <t>头饰</t>
        </is>
      </c>
      <c r="D37" t="inlineStr">
        <is>
          <t>橙</t>
        </is>
      </c>
      <c r="E37" t="inlineStr">
        <is>
          <t>紫</t>
        </is>
      </c>
      <c r="F37" t="n">
        <v>180</v>
      </c>
      <c r="G37" t="n">
        <v>12</v>
      </c>
      <c r="H37" t="inlineStr">
        <is>
          <t>3020026</t>
        </is>
      </c>
    </row>
    <row r="38">
      <c r="A38" t="n">
        <v>421026</v>
      </c>
      <c r="B38" t="inlineStr">
        <is>
          <t>王冠</t>
        </is>
      </c>
      <c r="C38" t="inlineStr">
        <is>
          <t>头饰</t>
        </is>
      </c>
      <c r="D38" t="inlineStr">
        <is>
          <t>红</t>
        </is>
      </c>
      <c r="E38" t="inlineStr">
        <is>
          <t>橙</t>
        </is>
      </c>
      <c r="F38" t="n">
        <v>360</v>
      </c>
      <c r="G38" t="n">
        <v>24</v>
      </c>
      <c r="H38" t="inlineStr">
        <is>
          <t>3020027</t>
        </is>
      </c>
    </row>
    <row r="39">
      <c r="A39" t="n">
        <v>421027</v>
      </c>
      <c r="B39" t="inlineStr">
        <is>
          <t>阿拉伯海豚帽</t>
        </is>
      </c>
      <c r="C39" t="inlineStr">
        <is>
          <t>头饰</t>
        </is>
      </c>
      <c r="D39" t="inlineStr">
        <is>
          <t>红</t>
        </is>
      </c>
      <c r="E39" t="inlineStr">
        <is>
          <t>橙</t>
        </is>
      </c>
      <c r="F39" t="n">
        <v>360</v>
      </c>
      <c r="G39" t="n">
        <v>24</v>
      </c>
      <c r="H39" t="inlineStr">
        <is>
          <t>3020028</t>
        </is>
      </c>
    </row>
    <row r="40">
      <c r="A40" t="n">
        <v>421028</v>
      </c>
      <c r="B40" t="inlineStr">
        <is>
          <t>道长发型</t>
        </is>
      </c>
      <c r="C40" t="inlineStr">
        <is>
          <t>头饰</t>
        </is>
      </c>
      <c r="D40" t="inlineStr">
        <is>
          <t>红</t>
        </is>
      </c>
      <c r="E40" t="inlineStr">
        <is>
          <t>橙</t>
        </is>
      </c>
      <c r="F40" t="n">
        <v>360</v>
      </c>
      <c r="G40" t="n">
        <v>24</v>
      </c>
      <c r="H40" t="inlineStr">
        <is>
          <t>3020029</t>
        </is>
      </c>
    </row>
    <row r="41">
      <c r="A41" t="n">
        <v>421029</v>
      </c>
      <c r="B41" t="inlineStr">
        <is>
          <t>法师猫帽</t>
        </is>
      </c>
      <c r="C41" t="inlineStr">
        <is>
          <t>头饰</t>
        </is>
      </c>
      <c r="D41" t="inlineStr">
        <is>
          <t>红</t>
        </is>
      </c>
      <c r="E41" t="inlineStr">
        <is>
          <t>橙</t>
        </is>
      </c>
      <c r="F41" t="n">
        <v>360</v>
      </c>
      <c r="G41" t="n">
        <v>24</v>
      </c>
      <c r="H41" t="inlineStr">
        <is>
          <t>3020030</t>
        </is>
      </c>
    </row>
    <row r="42">
      <c r="A42" t="n">
        <v>421030</v>
      </c>
      <c r="B42" t="inlineStr">
        <is>
          <t>河豚飞机头帽</t>
        </is>
      </c>
      <c r="C42" t="inlineStr">
        <is>
          <t>头饰</t>
        </is>
      </c>
      <c r="D42" t="inlineStr">
        <is>
          <t>红</t>
        </is>
      </c>
      <c r="E42" t="inlineStr">
        <is>
          <t>橙</t>
        </is>
      </c>
      <c r="F42" t="n">
        <v>360</v>
      </c>
      <c r="G42" t="n">
        <v>24</v>
      </c>
      <c r="H42" t="inlineStr">
        <is>
          <t>3020031,7060000</t>
        </is>
      </c>
    </row>
    <row r="43">
      <c r="A43" t="n">
        <v>421031</v>
      </c>
      <c r="B43" t="inlineStr">
        <is>
          <t>黑道鳄鱼帽</t>
        </is>
      </c>
      <c r="C43" t="inlineStr">
        <is>
          <t>头饰</t>
        </is>
      </c>
      <c r="D43" t="inlineStr">
        <is>
          <t>红</t>
        </is>
      </c>
      <c r="E43" t="inlineStr">
        <is>
          <t>橙</t>
        </is>
      </c>
      <c r="F43" t="n">
        <v>360</v>
      </c>
      <c r="G43" t="n">
        <v>24</v>
      </c>
      <c r="H43" t="inlineStr">
        <is>
          <t>3020032</t>
        </is>
      </c>
    </row>
    <row r="44">
      <c r="A44" t="n">
        <v>421032</v>
      </c>
      <c r="B44" t="inlineStr">
        <is>
          <t>猫头鹰法师发型</t>
        </is>
      </c>
      <c r="C44" t="inlineStr">
        <is>
          <t>头饰</t>
        </is>
      </c>
      <c r="D44" t="inlineStr">
        <is>
          <t>红</t>
        </is>
      </c>
      <c r="E44" t="inlineStr">
        <is>
          <t>橙</t>
        </is>
      </c>
      <c r="F44" t="n">
        <v>360</v>
      </c>
      <c r="G44" t="n">
        <v>24</v>
      </c>
      <c r="H44" t="inlineStr">
        <is>
          <t>3020033</t>
        </is>
      </c>
    </row>
    <row r="45">
      <c r="A45" t="n">
        <v>421033</v>
      </c>
      <c r="B45" t="inlineStr">
        <is>
          <t>航天服头盔</t>
        </is>
      </c>
      <c r="C45" t="inlineStr">
        <is>
          <t>头饰</t>
        </is>
      </c>
      <c r="D45" t="inlineStr">
        <is>
          <t>红</t>
        </is>
      </c>
      <c r="E45" t="inlineStr">
        <is>
          <t>橙</t>
        </is>
      </c>
      <c r="F45" t="n">
        <v>360</v>
      </c>
      <c r="G45" t="n">
        <v>24</v>
      </c>
      <c r="H45" t="inlineStr">
        <is>
          <t>3020034</t>
        </is>
      </c>
    </row>
    <row r="46">
      <c r="A46" t="n">
        <v>421034</v>
      </c>
      <c r="B46" t="inlineStr">
        <is>
          <t>月神猫发型</t>
        </is>
      </c>
      <c r="C46" t="inlineStr">
        <is>
          <t>头饰</t>
        </is>
      </c>
      <c r="D46" t="inlineStr">
        <is>
          <t>橙</t>
        </is>
      </c>
      <c r="E46" t="inlineStr">
        <is>
          <t>紫</t>
        </is>
      </c>
      <c r="F46" t="n">
        <v>180</v>
      </c>
      <c r="G46" t="n">
        <v>12</v>
      </c>
      <c r="H46" t="inlineStr">
        <is>
          <t>3020035,7060002</t>
        </is>
      </c>
    </row>
    <row r="47">
      <c r="A47" t="n">
        <v>421035</v>
      </c>
      <c r="B47" t="inlineStr">
        <is>
          <t>学者帽子(创意)</t>
        </is>
      </c>
      <c r="C47" t="inlineStr">
        <is>
          <t>头饰</t>
        </is>
      </c>
      <c r="D47" t="inlineStr">
        <is>
          <t>红</t>
        </is>
      </c>
      <c r="E47" t="inlineStr">
        <is>
          <t>橙</t>
        </is>
      </c>
      <c r="F47" t="n">
        <v>360</v>
      </c>
      <c r="G47" t="n">
        <v>24</v>
      </c>
      <c r="H47" t="inlineStr">
        <is>
          <t>6010001</t>
        </is>
      </c>
    </row>
    <row r="48">
      <c r="A48" t="n">
        <v>421036</v>
      </c>
      <c r="B48" t="inlineStr">
        <is>
          <t>墨镜牛(创意)</t>
        </is>
      </c>
      <c r="C48" t="inlineStr">
        <is>
          <t>头饰</t>
        </is>
      </c>
      <c r="D48" t="inlineStr">
        <is>
          <t>橙</t>
        </is>
      </c>
      <c r="E48" t="inlineStr">
        <is>
          <t>紫</t>
        </is>
      </c>
      <c r="F48" t="n">
        <v>180</v>
      </c>
      <c r="G48" t="n">
        <v>12</v>
      </c>
      <c r="H48" t="inlineStr">
        <is>
          <t>6010004</t>
        </is>
      </c>
    </row>
    <row r="49">
      <c r="A49" t="n">
        <v>421037</v>
      </c>
      <c r="B49" t="inlineStr">
        <is>
          <t>白马(创意)</t>
        </is>
      </c>
      <c r="C49" t="inlineStr">
        <is>
          <t>头饰</t>
        </is>
      </c>
      <c r="D49" t="inlineStr">
        <is>
          <t>橙</t>
        </is>
      </c>
      <c r="E49" t="inlineStr">
        <is>
          <t>紫</t>
        </is>
      </c>
      <c r="F49" t="n">
        <v>180</v>
      </c>
      <c r="G49" t="n">
        <v>12</v>
      </c>
      <c r="H49" t="inlineStr">
        <is>
          <t>6010005</t>
        </is>
      </c>
    </row>
    <row r="50">
      <c r="A50" t="n">
        <v>421038</v>
      </c>
      <c r="B50" t="inlineStr">
        <is>
          <t>棕马(创意)</t>
        </is>
      </c>
      <c r="C50" t="inlineStr">
        <is>
          <t>头饰</t>
        </is>
      </c>
      <c r="D50" t="inlineStr">
        <is>
          <t>橙</t>
        </is>
      </c>
      <c r="E50" t="inlineStr">
        <is>
          <t>紫</t>
        </is>
      </c>
      <c r="F50" t="n">
        <v>180</v>
      </c>
      <c r="G50" t="n">
        <v>12</v>
      </c>
      <c r="H50" t="inlineStr">
        <is>
          <t>6010006</t>
        </is>
      </c>
    </row>
    <row r="51">
      <c r="A51" t="n">
        <v>421039</v>
      </c>
      <c r="B51" t="inlineStr">
        <is>
          <t>大背头牛(创意)</t>
        </is>
      </c>
      <c r="C51" t="inlineStr">
        <is>
          <t>头饰</t>
        </is>
      </c>
      <c r="D51" t="inlineStr">
        <is>
          <t>橙</t>
        </is>
      </c>
      <c r="E51" t="inlineStr">
        <is>
          <t>紫</t>
        </is>
      </c>
      <c r="F51" t="n">
        <v>180</v>
      </c>
      <c r="G51" t="n">
        <v>12</v>
      </c>
      <c r="H51" t="inlineStr">
        <is>
          <t>6010007</t>
        </is>
      </c>
    </row>
    <row r="52">
      <c r="A52" t="n">
        <v>431000</v>
      </c>
      <c r="B52" t="inlineStr">
        <is>
          <t>青铜面具</t>
        </is>
      </c>
      <c r="C52" t="inlineStr">
        <is>
          <t>面饰</t>
        </is>
      </c>
      <c r="D52" t="inlineStr">
        <is>
          <t>红</t>
        </is>
      </c>
      <c r="E52" t="inlineStr">
        <is>
          <t>橙</t>
        </is>
      </c>
      <c r="F52" t="n">
        <v>360</v>
      </c>
      <c r="G52" t="n">
        <v>24</v>
      </c>
      <c r="H52" t="inlineStr">
        <is>
          <t>3030001</t>
        </is>
      </c>
    </row>
    <row r="53">
      <c r="A53" t="n">
        <v>431001</v>
      </c>
      <c r="B53" t="inlineStr">
        <is>
          <t>天狗面具</t>
        </is>
      </c>
      <c r="C53" t="inlineStr">
        <is>
          <t>面饰</t>
        </is>
      </c>
      <c r="D53" t="inlineStr">
        <is>
          <t>红</t>
        </is>
      </c>
      <c r="E53" t="inlineStr">
        <is>
          <t>橙</t>
        </is>
      </c>
      <c r="F53" t="n">
        <v>360</v>
      </c>
      <c r="G53" t="n">
        <v>24</v>
      </c>
      <c r="H53" t="inlineStr">
        <is>
          <t>3030002</t>
        </is>
      </c>
    </row>
    <row r="54">
      <c r="A54" t="n">
        <v>431002</v>
      </c>
      <c r="B54" t="inlineStr">
        <is>
          <t>蕉绿</t>
        </is>
      </c>
      <c r="C54" t="inlineStr">
        <is>
          <t>头饰</t>
        </is>
      </c>
      <c r="D54" t="inlineStr">
        <is>
          <t>橙</t>
        </is>
      </c>
      <c r="E54" t="inlineStr">
        <is>
          <t>紫</t>
        </is>
      </c>
      <c r="F54" t="n">
        <v>180</v>
      </c>
      <c r="G54" t="n">
        <v>12</v>
      </c>
      <c r="H54" t="inlineStr">
        <is>
          <t>3030003</t>
        </is>
      </c>
    </row>
    <row r="55">
      <c r="A55" t="n">
        <v>431003</v>
      </c>
      <c r="B55" t="inlineStr">
        <is>
          <t>小胡子</t>
        </is>
      </c>
      <c r="C55" t="inlineStr">
        <is>
          <t>面饰</t>
        </is>
      </c>
      <c r="D55" t="inlineStr">
        <is>
          <t>紫</t>
        </is>
      </c>
      <c r="E55" t="inlineStr">
        <is>
          <t>蓝</t>
        </is>
      </c>
      <c r="F55" t="n">
        <v>90</v>
      </c>
      <c r="G55" t="n">
        <v>6</v>
      </c>
      <c r="H55" t="inlineStr">
        <is>
          <t>3030004</t>
        </is>
      </c>
    </row>
    <row r="56">
      <c r="A56" t="n">
        <v>431004</v>
      </c>
      <c r="B56" t="inlineStr">
        <is>
          <t>红奶嘴</t>
        </is>
      </c>
      <c r="C56" t="inlineStr">
        <is>
          <t>面饰</t>
        </is>
      </c>
      <c r="D56" t="inlineStr">
        <is>
          <t>橙</t>
        </is>
      </c>
      <c r="E56" t="inlineStr">
        <is>
          <t>紫</t>
        </is>
      </c>
      <c r="F56" t="n">
        <v>180</v>
      </c>
      <c r="G56" t="n">
        <v>12</v>
      </c>
      <c r="H56" t="inlineStr">
        <is>
          <t>3030005</t>
        </is>
      </c>
    </row>
    <row r="57">
      <c r="A57" t="n">
        <v>431005</v>
      </c>
      <c r="B57" t="inlineStr">
        <is>
          <t>蓝奶嘴</t>
        </is>
      </c>
      <c r="C57" t="inlineStr">
        <is>
          <t>面饰</t>
        </is>
      </c>
      <c r="D57" t="inlineStr">
        <is>
          <t>紫</t>
        </is>
      </c>
      <c r="E57" t="inlineStr">
        <is>
          <t>蓝</t>
        </is>
      </c>
      <c r="F57" t="n">
        <v>90</v>
      </c>
      <c r="G57" t="n">
        <v>6</v>
      </c>
      <c r="H57" t="inlineStr">
        <is>
          <t>3030006</t>
        </is>
      </c>
    </row>
    <row r="58">
      <c r="A58" t="n">
        <v>431006</v>
      </c>
      <c r="B58" t="inlineStr">
        <is>
          <t>蓝心太阳镜</t>
        </is>
      </c>
      <c r="C58" t="inlineStr">
        <is>
          <t>面饰</t>
        </is>
      </c>
      <c r="D58" t="inlineStr">
        <is>
          <t>红</t>
        </is>
      </c>
      <c r="E58" t="inlineStr">
        <is>
          <t>橙</t>
        </is>
      </c>
      <c r="F58" t="n">
        <v>360</v>
      </c>
      <c r="G58" t="n">
        <v>24</v>
      </c>
      <c r="H58" t="inlineStr">
        <is>
          <t>3030007</t>
        </is>
      </c>
    </row>
    <row r="59">
      <c r="A59" t="n">
        <v>431007</v>
      </c>
      <c r="B59" t="inlineStr">
        <is>
          <t>星星太阳镜</t>
        </is>
      </c>
      <c r="C59" t="inlineStr">
        <is>
          <t>面饰</t>
        </is>
      </c>
      <c r="D59" t="inlineStr">
        <is>
          <t>橙</t>
        </is>
      </c>
      <c r="E59" t="inlineStr">
        <is>
          <t>紫</t>
        </is>
      </c>
      <c r="F59" t="n">
        <v>180</v>
      </c>
      <c r="G59" t="n">
        <v>12</v>
      </c>
      <c r="H59" t="inlineStr">
        <is>
          <t>3030008</t>
        </is>
      </c>
    </row>
    <row r="60">
      <c r="A60" t="n">
        <v>431008</v>
      </c>
      <c r="B60" t="inlineStr">
        <is>
          <t>红花眼镜</t>
        </is>
      </c>
      <c r="C60" t="inlineStr">
        <is>
          <t>面饰</t>
        </is>
      </c>
      <c r="D60" t="inlineStr">
        <is>
          <t>橙</t>
        </is>
      </c>
      <c r="E60" t="inlineStr">
        <is>
          <t>紫</t>
        </is>
      </c>
      <c r="F60" t="n">
        <v>180</v>
      </c>
      <c r="G60" t="n">
        <v>12</v>
      </c>
      <c r="H60" t="inlineStr">
        <is>
          <t>3030009</t>
        </is>
      </c>
    </row>
    <row r="61">
      <c r="A61" t="n">
        <v>431009</v>
      </c>
      <c r="B61" t="inlineStr">
        <is>
          <t>星星太阳镜</t>
        </is>
      </c>
      <c r="C61" t="inlineStr">
        <is>
          <t>面饰</t>
        </is>
      </c>
      <c r="D61" t="inlineStr">
        <is>
          <t>红</t>
        </is>
      </c>
      <c r="E61" t="inlineStr">
        <is>
          <t>橙</t>
        </is>
      </c>
      <c r="F61" t="n">
        <v>360</v>
      </c>
      <c r="G61" t="n">
        <v>24</v>
      </c>
      <c r="H61" t="inlineStr">
        <is>
          <t>3030010</t>
        </is>
      </c>
    </row>
    <row r="62">
      <c r="A62" t="n">
        <v>431010</v>
      </c>
      <c r="B62" t="inlineStr">
        <is>
          <t>红花眼镜</t>
        </is>
      </c>
      <c r="C62" t="inlineStr">
        <is>
          <t>面饰</t>
        </is>
      </c>
      <c r="D62" t="inlineStr">
        <is>
          <t>橙</t>
        </is>
      </c>
      <c r="E62" t="inlineStr">
        <is>
          <t>紫</t>
        </is>
      </c>
      <c r="F62" t="n">
        <v>180</v>
      </c>
      <c r="G62" t="n">
        <v>12</v>
      </c>
      <c r="H62" t="inlineStr">
        <is>
          <t>3030011,7070001</t>
        </is>
      </c>
    </row>
    <row r="63">
      <c r="A63" t="n">
        <v>431011</v>
      </c>
      <c r="B63" t="inlineStr">
        <is>
          <t>雪白胡须</t>
        </is>
      </c>
      <c r="C63" t="inlineStr">
        <is>
          <t>面饰</t>
        </is>
      </c>
      <c r="D63" t="inlineStr">
        <is>
          <t>红</t>
        </is>
      </c>
      <c r="E63" t="inlineStr">
        <is>
          <t>橙</t>
        </is>
      </c>
      <c r="F63" t="n">
        <v>360</v>
      </c>
      <c r="G63" t="n">
        <v>24</v>
      </c>
      <c r="H63" t="inlineStr">
        <is>
          <t>3030012</t>
        </is>
      </c>
    </row>
    <row r="64">
      <c r="A64" t="n">
        <v>431012</v>
      </c>
      <c r="B64" t="inlineStr">
        <is>
          <t>道长胡子</t>
        </is>
      </c>
      <c r="C64" t="inlineStr">
        <is>
          <t>面饰</t>
        </is>
      </c>
      <c r="D64" t="inlineStr">
        <is>
          <t>红</t>
        </is>
      </c>
      <c r="E64" t="inlineStr">
        <is>
          <t>橙</t>
        </is>
      </c>
      <c r="F64" t="n">
        <v>360</v>
      </c>
      <c r="G64" t="n">
        <v>24</v>
      </c>
      <c r="H64" t="inlineStr">
        <is>
          <t>3030013</t>
        </is>
      </c>
    </row>
    <row r="65">
      <c r="A65" t="n">
        <v>431013</v>
      </c>
      <c r="B65" t="inlineStr">
        <is>
          <t>钓鱼老眼镜</t>
        </is>
      </c>
      <c r="C65" t="inlineStr">
        <is>
          <t>面饰</t>
        </is>
      </c>
      <c r="D65" t="inlineStr">
        <is>
          <t>红</t>
        </is>
      </c>
      <c r="E65" t="inlineStr">
        <is>
          <t>橙</t>
        </is>
      </c>
      <c r="F65" t="n">
        <v>360</v>
      </c>
      <c r="G65" t="n">
        <v>24</v>
      </c>
      <c r="H65" t="inlineStr">
        <is>
          <t>3030014</t>
        </is>
      </c>
    </row>
    <row r="66">
      <c r="A66" t="n">
        <v>431014</v>
      </c>
      <c r="B66" t="inlineStr">
        <is>
          <t>河豚飞机头眼镜</t>
        </is>
      </c>
      <c r="C66" t="inlineStr">
        <is>
          <t>面饰</t>
        </is>
      </c>
      <c r="D66" t="inlineStr">
        <is>
          <t>红</t>
        </is>
      </c>
      <c r="E66" t="inlineStr">
        <is>
          <t>橙</t>
        </is>
      </c>
      <c r="F66" t="n">
        <v>360</v>
      </c>
      <c r="G66" t="n">
        <v>24</v>
      </c>
      <c r="H66" t="inlineStr">
        <is>
          <t>3030015,7070000</t>
        </is>
      </c>
    </row>
    <row r="67">
      <c r="A67" t="n">
        <v>431015</v>
      </c>
      <c r="B67" t="inlineStr">
        <is>
          <t>黑道鳄鱼眼镜</t>
        </is>
      </c>
      <c r="C67" t="inlineStr">
        <is>
          <t>面饰</t>
        </is>
      </c>
      <c r="D67" t="inlineStr">
        <is>
          <t>红</t>
        </is>
      </c>
      <c r="E67" t="inlineStr">
        <is>
          <t>橙</t>
        </is>
      </c>
      <c r="F67" t="n">
        <v>360</v>
      </c>
      <c r="G67" t="n">
        <v>24</v>
      </c>
      <c r="H67" t="inlineStr">
        <is>
          <t>3030016</t>
        </is>
      </c>
    </row>
    <row r="68">
      <c r="A68" t="n">
        <v>431016</v>
      </c>
      <c r="B68" t="inlineStr">
        <is>
          <t>猫头鹰法师眼镜</t>
        </is>
      </c>
      <c r="C68" t="inlineStr">
        <is>
          <t>面饰</t>
        </is>
      </c>
      <c r="D68" t="inlineStr">
        <is>
          <t>红</t>
        </is>
      </c>
      <c r="E68" t="inlineStr">
        <is>
          <t>橙</t>
        </is>
      </c>
      <c r="F68" t="n">
        <v>360</v>
      </c>
      <c r="G68" t="n">
        <v>24</v>
      </c>
      <c r="H68" t="inlineStr">
        <is>
          <t>3030017</t>
        </is>
      </c>
    </row>
    <row r="69">
      <c r="A69" t="n">
        <v>431017</v>
      </c>
      <c r="B69" t="inlineStr">
        <is>
          <t>月神猫眼镜</t>
        </is>
      </c>
      <c r="C69" t="inlineStr">
        <is>
          <t>面饰</t>
        </is>
      </c>
      <c r="D69" t="inlineStr">
        <is>
          <t>橙</t>
        </is>
      </c>
      <c r="E69" t="inlineStr">
        <is>
          <t>紫</t>
        </is>
      </c>
      <c r="F69" t="n">
        <v>180</v>
      </c>
      <c r="G69" t="n">
        <v>12</v>
      </c>
      <c r="H69" t="inlineStr">
        <is>
          <t>3030018,7070002</t>
        </is>
      </c>
    </row>
    <row r="70">
      <c r="A70" t="n">
        <v>431018</v>
      </c>
      <c r="B70" t="inlineStr">
        <is>
          <t>学者眼镜</t>
        </is>
      </c>
      <c r="C70" t="inlineStr">
        <is>
          <t>面饰</t>
        </is>
      </c>
      <c r="D70" t="inlineStr">
        <is>
          <t>红</t>
        </is>
      </c>
      <c r="E70" t="inlineStr">
        <is>
          <t>橙</t>
        </is>
      </c>
      <c r="F70" t="n">
        <v>360</v>
      </c>
      <c r="G70" t="n">
        <v>24</v>
      </c>
      <c r="H70" t="inlineStr">
        <is>
          <t>6010002</t>
        </is>
      </c>
    </row>
    <row r="71">
      <c r="A71" t="n">
        <v>441000</v>
      </c>
      <c r="B71" t="inlineStr">
        <is>
          <t>红蝴蝶结</t>
        </is>
      </c>
      <c r="C71" t="inlineStr">
        <is>
          <t>颈饰</t>
        </is>
      </c>
      <c r="D71" t="inlineStr">
        <is>
          <t>橙</t>
        </is>
      </c>
      <c r="E71" t="inlineStr">
        <is>
          <t>紫</t>
        </is>
      </c>
      <c r="F71" t="n">
        <v>180</v>
      </c>
      <c r="G71" t="n">
        <v>12</v>
      </c>
      <c r="H71" t="inlineStr">
        <is>
          <t>3040001</t>
        </is>
      </c>
    </row>
    <row r="72">
      <c r="A72" t="n">
        <v>441001</v>
      </c>
      <c r="B72" t="inlineStr">
        <is>
          <t>蓝色围脖</t>
        </is>
      </c>
      <c r="C72" t="inlineStr">
        <is>
          <t>颈饰</t>
        </is>
      </c>
      <c r="D72" t="inlineStr">
        <is>
          <t>紫</t>
        </is>
      </c>
      <c r="E72" t="inlineStr">
        <is>
          <t>蓝</t>
        </is>
      </c>
      <c r="F72" t="n">
        <v>90</v>
      </c>
      <c r="G72" t="n">
        <v>6</v>
      </c>
      <c r="H72" t="inlineStr">
        <is>
          <t>3040002,7080001</t>
        </is>
      </c>
    </row>
    <row r="73">
      <c r="A73" t="n">
        <v>441002</v>
      </c>
      <c r="B73" t="inlineStr">
        <is>
          <t>红色围脖</t>
        </is>
      </c>
      <c r="C73" t="inlineStr">
        <is>
          <t>颈饰</t>
        </is>
      </c>
      <c r="D73" t="inlineStr">
        <is>
          <t>紫</t>
        </is>
      </c>
      <c r="E73" t="inlineStr">
        <is>
          <t>蓝</t>
        </is>
      </c>
      <c r="F73" t="n">
        <v>90</v>
      </c>
      <c r="G73" t="n">
        <v>6</v>
      </c>
      <c r="H73" t="inlineStr">
        <is>
          <t>3040003</t>
        </is>
      </c>
    </row>
    <row r="74">
      <c r="A74" t="n">
        <v>441003</v>
      </c>
      <c r="B74" t="inlineStr">
        <is>
          <t>钻石项链</t>
        </is>
      </c>
      <c r="C74" t="inlineStr">
        <is>
          <t>颈饰</t>
        </is>
      </c>
      <c r="D74" t="inlineStr">
        <is>
          <t>红</t>
        </is>
      </c>
      <c r="E74" t="inlineStr">
        <is>
          <t>橙</t>
        </is>
      </c>
      <c r="F74" t="n">
        <v>360</v>
      </c>
      <c r="G74" t="n">
        <v>24</v>
      </c>
      <c r="H74" t="inlineStr">
        <is>
          <t>3040004,7080002</t>
        </is>
      </c>
    </row>
    <row r="75">
      <c r="A75" t="n">
        <v>441004</v>
      </c>
      <c r="B75" t="inlineStr">
        <is>
          <t>红围巾</t>
        </is>
      </c>
      <c r="C75" t="inlineStr">
        <is>
          <t>颈饰</t>
        </is>
      </c>
      <c r="D75" t="inlineStr">
        <is>
          <t>紫</t>
        </is>
      </c>
      <c r="E75" t="inlineStr">
        <is>
          <t>蓝</t>
        </is>
      </c>
      <c r="F75" t="n">
        <v>90</v>
      </c>
      <c r="G75" t="n">
        <v>6</v>
      </c>
      <c r="H75" t="inlineStr">
        <is>
          <t>3040005</t>
        </is>
      </c>
    </row>
    <row r="76">
      <c r="A76" t="n">
        <v>441005</v>
      </c>
      <c r="B76" t="inlineStr">
        <is>
          <t>蓝围巾</t>
        </is>
      </c>
      <c r="C76" t="inlineStr">
        <is>
          <t>颈饰</t>
        </is>
      </c>
      <c r="D76" t="inlineStr">
        <is>
          <t>紫</t>
        </is>
      </c>
      <c r="E76" t="inlineStr">
        <is>
          <t>蓝</t>
        </is>
      </c>
      <c r="F76" t="n">
        <v>90</v>
      </c>
      <c r="G76" t="n">
        <v>6</v>
      </c>
      <c r="H76" t="inlineStr">
        <is>
          <t>3040006</t>
        </is>
      </c>
    </row>
    <row r="77">
      <c r="A77" t="n">
        <v>441006</v>
      </c>
      <c r="B77" t="inlineStr">
        <is>
          <t>黑领带</t>
        </is>
      </c>
      <c r="C77" t="inlineStr">
        <is>
          <t>颈饰</t>
        </is>
      </c>
      <c r="D77" t="inlineStr">
        <is>
          <t>红</t>
        </is>
      </c>
      <c r="E77" t="inlineStr">
        <is>
          <t>橙</t>
        </is>
      </c>
      <c r="F77" t="n">
        <v>360</v>
      </c>
      <c r="G77" t="n">
        <v>24</v>
      </c>
      <c r="H77" t="inlineStr">
        <is>
          <t>3040007</t>
        </is>
      </c>
    </row>
    <row r="78">
      <c r="A78" t="n">
        <v>441007</v>
      </c>
      <c r="B78" t="inlineStr">
        <is>
          <t>金手柄</t>
        </is>
      </c>
      <c r="C78" t="inlineStr">
        <is>
          <t>颈饰</t>
        </is>
      </c>
      <c r="D78" t="inlineStr">
        <is>
          <t>红</t>
        </is>
      </c>
      <c r="E78" t="inlineStr">
        <is>
          <t>橙</t>
        </is>
      </c>
      <c r="F78" t="n">
        <v>360</v>
      </c>
      <c r="G78" t="n">
        <v>24</v>
      </c>
      <c r="H78" t="inlineStr">
        <is>
          <t>3040008</t>
        </is>
      </c>
    </row>
    <row r="79">
      <c r="A79" t="n">
        <v>441008</v>
      </c>
      <c r="B79" t="inlineStr">
        <is>
          <t>条纹领带</t>
        </is>
      </c>
      <c r="C79" t="inlineStr">
        <is>
          <t>颈饰</t>
        </is>
      </c>
      <c r="D79" t="inlineStr">
        <is>
          <t>紫</t>
        </is>
      </c>
      <c r="E79" t="inlineStr">
        <is>
          <t>蓝</t>
        </is>
      </c>
      <c r="F79" t="n">
        <v>90</v>
      </c>
      <c r="G79" t="n">
        <v>6</v>
      </c>
      <c r="H79" t="inlineStr">
        <is>
          <t>3040009</t>
        </is>
      </c>
    </row>
    <row r="80">
      <c r="A80" t="n">
        <v>441009</v>
      </c>
      <c r="B80" t="inlineStr">
        <is>
          <t>金牌</t>
        </is>
      </c>
      <c r="C80" t="inlineStr">
        <is>
          <t>颈饰</t>
        </is>
      </c>
      <c r="D80" t="inlineStr">
        <is>
          <t>红</t>
        </is>
      </c>
      <c r="E80" t="inlineStr">
        <is>
          <t>橙</t>
        </is>
      </c>
      <c r="F80" t="n">
        <v>360</v>
      </c>
      <c r="G80" t="n">
        <v>24</v>
      </c>
      <c r="H80" t="inlineStr">
        <is>
          <t>3040010</t>
        </is>
      </c>
    </row>
    <row r="81">
      <c r="A81" t="n">
        <v>441010</v>
      </c>
      <c r="B81" t="inlineStr">
        <is>
          <t>银牌</t>
        </is>
      </c>
      <c r="C81" t="inlineStr">
        <is>
          <t>颈饰</t>
        </is>
      </c>
      <c r="D81" t="inlineStr">
        <is>
          <t>橙</t>
        </is>
      </c>
      <c r="E81" t="inlineStr">
        <is>
          <t>紫</t>
        </is>
      </c>
      <c r="F81" t="n">
        <v>180</v>
      </c>
      <c r="G81" t="n">
        <v>12</v>
      </c>
      <c r="H81" t="inlineStr">
        <is>
          <t>3040011</t>
        </is>
      </c>
    </row>
    <row r="82">
      <c r="A82" t="n">
        <v>441011</v>
      </c>
      <c r="B82" t="inlineStr">
        <is>
          <t>铜牌</t>
        </is>
      </c>
      <c r="C82" t="inlineStr">
        <is>
          <t>颈饰</t>
        </is>
      </c>
      <c r="D82" t="inlineStr">
        <is>
          <t>橙</t>
        </is>
      </c>
      <c r="E82" t="inlineStr">
        <is>
          <t>紫</t>
        </is>
      </c>
      <c r="F82" t="n">
        <v>180</v>
      </c>
      <c r="G82" t="n">
        <v>12</v>
      </c>
      <c r="H82" t="inlineStr">
        <is>
          <t>3040012</t>
        </is>
      </c>
    </row>
    <row r="83">
      <c r="A83" t="n">
        <v>441012</v>
      </c>
      <c r="B83" t="inlineStr">
        <is>
          <t>法师猫项链</t>
        </is>
      </c>
      <c r="C83" t="inlineStr">
        <is>
          <t>颈饰</t>
        </is>
      </c>
      <c r="D83" t="inlineStr">
        <is>
          <t>红</t>
        </is>
      </c>
      <c r="E83" t="inlineStr">
        <is>
          <t>橙</t>
        </is>
      </c>
      <c r="F83" t="n">
        <v>360</v>
      </c>
      <c r="G83" t="n">
        <v>24</v>
      </c>
      <c r="H83" t="inlineStr">
        <is>
          <t>3040013</t>
        </is>
      </c>
    </row>
    <row r="84">
      <c r="A84" t="n">
        <v>441013</v>
      </c>
      <c r="B84" t="inlineStr">
        <is>
          <t>发财项链</t>
        </is>
      </c>
      <c r="C84" t="inlineStr">
        <is>
          <t>颈饰</t>
        </is>
      </c>
      <c r="D84" t="inlineStr">
        <is>
          <t>红</t>
        </is>
      </c>
      <c r="E84" t="inlineStr">
        <is>
          <t>橙</t>
        </is>
      </c>
      <c r="F84" t="n">
        <v>360</v>
      </c>
      <c r="G84" t="n">
        <v>24</v>
      </c>
      <c r="H84" t="inlineStr">
        <is>
          <t>3040014</t>
        </is>
      </c>
    </row>
    <row r="85">
      <c r="A85" t="n">
        <v>441014</v>
      </c>
      <c r="B85" t="inlineStr">
        <is>
          <t>猫头鹰法师领带</t>
        </is>
      </c>
      <c r="C85" t="inlineStr">
        <is>
          <t>颈饰</t>
        </is>
      </c>
      <c r="D85" t="inlineStr">
        <is>
          <t>红</t>
        </is>
      </c>
      <c r="E85" t="inlineStr">
        <is>
          <t>橙</t>
        </is>
      </c>
      <c r="F85" t="n">
        <v>360</v>
      </c>
      <c r="G85" t="n">
        <v>24</v>
      </c>
      <c r="H85" t="inlineStr">
        <is>
          <t>3040015</t>
        </is>
      </c>
    </row>
    <row r="86">
      <c r="A86" t="n">
        <v>441015</v>
      </c>
      <c r="B86" t="inlineStr">
        <is>
          <t>学者颈饰</t>
        </is>
      </c>
      <c r="C86" t="inlineStr">
        <is>
          <t>颈饰</t>
        </is>
      </c>
      <c r="D86" t="inlineStr">
        <is>
          <t>红</t>
        </is>
      </c>
      <c r="E86" t="inlineStr">
        <is>
          <t>橙</t>
        </is>
      </c>
      <c r="F86" t="n">
        <v>360</v>
      </c>
      <c r="G86" t="n">
        <v>24</v>
      </c>
      <c r="H86" t="inlineStr">
        <is>
          <t>6010003</t>
        </is>
      </c>
    </row>
    <row r="88">
      <c r="A88" t="inlineStr">
        <is>
          <t>商品ID</t>
        </is>
      </c>
      <c r="B88" t="inlineStr">
        <is>
          <t>饰品ID</t>
        </is>
      </c>
      <c r="C88" t="inlineStr">
        <is>
          <t>原支付货币ID</t>
        </is>
      </c>
      <c r="D88" t="inlineStr">
        <is>
          <t>原价</t>
        </is>
      </c>
      <c r="E88" t="inlineStr">
        <is>
          <t>新支付货币ID</t>
        </is>
      </c>
      <c r="F88" t="inlineStr">
        <is>
          <t>新价</t>
        </is>
      </c>
      <c r="G88" t="inlineStr">
        <is>
          <t>折扣百分比</t>
        </is>
      </c>
    </row>
    <row r="89">
      <c r="A89" t="n">
        <v>3020001</v>
      </c>
      <c r="B89" t="n">
        <v>421000</v>
      </c>
      <c r="C89" t="n">
        <v>210002</v>
      </c>
      <c r="D89" t="n">
        <v>1500</v>
      </c>
      <c r="E89" t="n">
        <v>210010</v>
      </c>
      <c r="F89" t="n">
        <v>360</v>
      </c>
      <c r="G89" t="n">
        <v>100</v>
      </c>
    </row>
    <row r="90">
      <c r="A90" t="n">
        <v>3020002</v>
      </c>
      <c r="B90" t="n">
        <v>421001</v>
      </c>
      <c r="C90" t="n">
        <v>210002</v>
      </c>
      <c r="D90" t="n">
        <v>1500</v>
      </c>
      <c r="E90" t="n">
        <v>210010</v>
      </c>
      <c r="F90" t="n">
        <v>360</v>
      </c>
      <c r="G90" t="n">
        <v>100</v>
      </c>
    </row>
    <row r="91">
      <c r="A91" t="n">
        <v>3020003</v>
      </c>
      <c r="B91" t="n">
        <v>421002</v>
      </c>
      <c r="C91" t="n">
        <v>210002</v>
      </c>
      <c r="D91" t="n">
        <v>1500</v>
      </c>
      <c r="E91" t="n">
        <v>210010</v>
      </c>
      <c r="F91" t="n">
        <v>180</v>
      </c>
      <c r="G91" t="n">
        <v>100</v>
      </c>
    </row>
    <row r="92">
      <c r="A92" t="n">
        <v>3020004</v>
      </c>
      <c r="B92" t="n">
        <v>421003</v>
      </c>
      <c r="C92" t="n">
        <v>210002</v>
      </c>
      <c r="D92" t="n">
        <v>1500</v>
      </c>
      <c r="E92" t="n">
        <v>210010</v>
      </c>
      <c r="F92" t="n">
        <v>90</v>
      </c>
      <c r="G92" t="n">
        <v>100</v>
      </c>
    </row>
    <row r="93">
      <c r="A93" t="n">
        <v>3020005</v>
      </c>
      <c r="B93" t="n">
        <v>421004</v>
      </c>
      <c r="C93" t="n">
        <v>210002</v>
      </c>
      <c r="D93" t="n">
        <v>1500</v>
      </c>
      <c r="E93" t="n">
        <v>210010</v>
      </c>
      <c r="F93" t="n">
        <v>360</v>
      </c>
      <c r="G93" t="n">
        <v>100</v>
      </c>
    </row>
    <row r="94">
      <c r="A94" t="n">
        <v>3020006</v>
      </c>
      <c r="B94" t="n">
        <v>421005</v>
      </c>
      <c r="C94" t="n">
        <v>210002</v>
      </c>
      <c r="D94" t="n">
        <v>1500</v>
      </c>
      <c r="E94" t="n">
        <v>210010</v>
      </c>
      <c r="F94" t="n">
        <v>180</v>
      </c>
      <c r="G94" t="n">
        <v>100</v>
      </c>
    </row>
    <row r="95">
      <c r="A95" t="n">
        <v>3020007</v>
      </c>
      <c r="B95" t="n">
        <v>421006</v>
      </c>
      <c r="C95" t="n">
        <v>210002</v>
      </c>
      <c r="D95" t="n">
        <v>1500</v>
      </c>
      <c r="E95" t="n">
        <v>210010</v>
      </c>
      <c r="F95" t="n">
        <v>90</v>
      </c>
      <c r="G95" t="n">
        <v>100</v>
      </c>
    </row>
    <row r="96">
      <c r="A96" t="n">
        <v>3020008</v>
      </c>
      <c r="B96" t="n">
        <v>421007</v>
      </c>
      <c r="C96" t="n">
        <v>210002</v>
      </c>
      <c r="D96" t="n">
        <v>1500</v>
      </c>
      <c r="E96" t="n">
        <v>210010</v>
      </c>
      <c r="F96" t="n">
        <v>360</v>
      </c>
      <c r="G96" t="n">
        <v>100</v>
      </c>
    </row>
    <row r="97">
      <c r="A97" t="n">
        <v>3020009</v>
      </c>
      <c r="B97" t="n">
        <v>421008</v>
      </c>
      <c r="C97" t="n">
        <v>210002</v>
      </c>
      <c r="D97" t="n">
        <v>1500</v>
      </c>
      <c r="E97" t="n">
        <v>210010</v>
      </c>
      <c r="F97" t="n">
        <v>360</v>
      </c>
      <c r="G97" t="n">
        <v>100</v>
      </c>
    </row>
    <row r="98">
      <c r="A98" t="n">
        <v>3020010</v>
      </c>
      <c r="B98" t="n">
        <v>421009</v>
      </c>
      <c r="C98" t="n">
        <v>210002</v>
      </c>
      <c r="D98" t="n">
        <v>1500</v>
      </c>
      <c r="E98" t="n">
        <v>210010</v>
      </c>
      <c r="F98" t="n">
        <v>90</v>
      </c>
      <c r="G98" t="n">
        <v>100</v>
      </c>
    </row>
    <row r="99">
      <c r="A99" t="n">
        <v>3020011</v>
      </c>
      <c r="B99" t="n">
        <v>421010</v>
      </c>
      <c r="C99" t="n">
        <v>210002</v>
      </c>
      <c r="D99" t="n">
        <v>1500</v>
      </c>
      <c r="E99" t="n">
        <v>210010</v>
      </c>
      <c r="F99" t="n">
        <v>180</v>
      </c>
      <c r="G99" t="n">
        <v>100</v>
      </c>
    </row>
    <row r="100">
      <c r="A100" t="n">
        <v>3020012</v>
      </c>
      <c r="B100" t="n">
        <v>421011</v>
      </c>
      <c r="C100" t="n">
        <v>210002</v>
      </c>
      <c r="D100" t="n">
        <v>1500</v>
      </c>
      <c r="E100" t="n">
        <v>210010</v>
      </c>
      <c r="F100" t="n">
        <v>90</v>
      </c>
      <c r="G100" t="n">
        <v>100</v>
      </c>
    </row>
    <row r="101">
      <c r="A101" t="n">
        <v>3020013</v>
      </c>
      <c r="B101" t="n">
        <v>421012</v>
      </c>
      <c r="C101" t="n">
        <v>210002</v>
      </c>
      <c r="D101" t="n">
        <v>1500</v>
      </c>
      <c r="E101" t="n">
        <v>210010</v>
      </c>
      <c r="F101" t="n">
        <v>180</v>
      </c>
      <c r="G101" t="n">
        <v>100</v>
      </c>
    </row>
    <row r="102">
      <c r="A102" t="n">
        <v>3020014</v>
      </c>
      <c r="B102" t="n">
        <v>421013</v>
      </c>
      <c r="C102" t="n">
        <v>210002</v>
      </c>
      <c r="D102" t="n">
        <v>1500</v>
      </c>
      <c r="E102" t="n">
        <v>210010</v>
      </c>
      <c r="F102" t="n">
        <v>360</v>
      </c>
      <c r="G102" t="n">
        <v>100</v>
      </c>
    </row>
    <row r="103">
      <c r="A103" t="n">
        <v>3020015</v>
      </c>
      <c r="B103" t="n">
        <v>421014</v>
      </c>
      <c r="C103" t="n">
        <v>210002</v>
      </c>
      <c r="D103" t="n">
        <v>1500</v>
      </c>
      <c r="E103" t="n">
        <v>210010</v>
      </c>
      <c r="F103" t="n">
        <v>360</v>
      </c>
      <c r="G103" t="n">
        <v>100</v>
      </c>
    </row>
    <row r="104">
      <c r="A104" t="n">
        <v>3020016</v>
      </c>
      <c r="B104" t="n">
        <v>421015</v>
      </c>
      <c r="C104" t="n">
        <v>210002</v>
      </c>
      <c r="D104" t="n">
        <v>1500</v>
      </c>
      <c r="E104" t="n">
        <v>210010</v>
      </c>
      <c r="F104" t="n">
        <v>90</v>
      </c>
      <c r="G104" t="n">
        <v>100</v>
      </c>
    </row>
    <row r="105">
      <c r="A105" t="n">
        <v>3020017</v>
      </c>
      <c r="B105" t="n">
        <v>421016</v>
      </c>
      <c r="C105" t="n">
        <v>210002</v>
      </c>
      <c r="D105" t="n">
        <v>1500</v>
      </c>
      <c r="E105" t="n">
        <v>210010</v>
      </c>
      <c r="F105" t="n">
        <v>360</v>
      </c>
      <c r="G105" t="n">
        <v>100</v>
      </c>
    </row>
    <row r="106">
      <c r="A106" t="n">
        <v>3020018</v>
      </c>
      <c r="B106" t="n">
        <v>421017</v>
      </c>
      <c r="C106" t="n">
        <v>210002</v>
      </c>
      <c r="D106" t="n">
        <v>1500</v>
      </c>
      <c r="E106" t="n">
        <v>210010</v>
      </c>
      <c r="F106" t="n">
        <v>90</v>
      </c>
      <c r="G106" t="n">
        <v>100</v>
      </c>
    </row>
    <row r="107">
      <c r="A107" t="n">
        <v>3020019</v>
      </c>
      <c r="B107" t="n">
        <v>421018</v>
      </c>
      <c r="C107" t="n">
        <v>210002</v>
      </c>
      <c r="D107" t="n">
        <v>1500</v>
      </c>
      <c r="E107" t="n">
        <v>210010</v>
      </c>
      <c r="F107" t="n">
        <v>90</v>
      </c>
      <c r="G107" t="n">
        <v>100</v>
      </c>
    </row>
    <row r="108">
      <c r="A108" t="n">
        <v>3020020</v>
      </c>
      <c r="B108" t="n">
        <v>421019</v>
      </c>
      <c r="C108" t="n">
        <v>210002</v>
      </c>
      <c r="D108" t="n">
        <v>1500</v>
      </c>
      <c r="E108" t="n">
        <v>210010</v>
      </c>
      <c r="F108" t="n">
        <v>360</v>
      </c>
      <c r="G108" t="n">
        <v>100</v>
      </c>
    </row>
    <row r="109">
      <c r="A109" t="n">
        <v>3020021</v>
      </c>
      <c r="B109" t="n">
        <v>421020</v>
      </c>
      <c r="C109" t="n">
        <v>210002</v>
      </c>
      <c r="D109" t="n">
        <v>1500</v>
      </c>
      <c r="E109" t="n">
        <v>210010</v>
      </c>
      <c r="F109" t="n">
        <v>180</v>
      </c>
      <c r="G109" t="n">
        <v>100</v>
      </c>
    </row>
    <row r="110">
      <c r="A110" t="n">
        <v>3020022</v>
      </c>
      <c r="B110" t="n">
        <v>421021</v>
      </c>
      <c r="C110" t="n">
        <v>210002</v>
      </c>
      <c r="D110" t="n">
        <v>1500</v>
      </c>
      <c r="E110" t="n">
        <v>210010</v>
      </c>
      <c r="F110" t="n">
        <v>180</v>
      </c>
      <c r="G110" t="n">
        <v>100</v>
      </c>
    </row>
    <row r="111">
      <c r="A111" t="n">
        <v>3020023</v>
      </c>
      <c r="B111" t="n">
        <v>421022</v>
      </c>
      <c r="C111" t="n">
        <v>210002</v>
      </c>
      <c r="D111" t="n">
        <v>1500</v>
      </c>
      <c r="E111" t="n">
        <v>210010</v>
      </c>
      <c r="F111" t="n">
        <v>180</v>
      </c>
      <c r="G111" t="n">
        <v>100</v>
      </c>
    </row>
    <row r="112">
      <c r="A112" t="n">
        <v>3020024</v>
      </c>
      <c r="B112" t="n">
        <v>421023</v>
      </c>
      <c r="C112" t="n">
        <v>210002</v>
      </c>
      <c r="D112" t="n">
        <v>1500</v>
      </c>
      <c r="E112" t="n">
        <v>210010</v>
      </c>
      <c r="F112" t="n">
        <v>90</v>
      </c>
      <c r="G112" t="n">
        <v>100</v>
      </c>
    </row>
    <row r="113">
      <c r="A113" t="n">
        <v>3020025</v>
      </c>
      <c r="B113" t="n">
        <v>421024</v>
      </c>
      <c r="C113" t="n">
        <v>210002</v>
      </c>
      <c r="D113" t="n">
        <v>1500</v>
      </c>
      <c r="E113" t="n">
        <v>210010</v>
      </c>
      <c r="F113" t="n">
        <v>90</v>
      </c>
      <c r="G113" t="n">
        <v>100</v>
      </c>
    </row>
    <row r="114">
      <c r="A114" t="n">
        <v>3020026</v>
      </c>
      <c r="B114" t="n">
        <v>421025</v>
      </c>
      <c r="C114" t="n">
        <v>210002</v>
      </c>
      <c r="D114" t="n">
        <v>1500</v>
      </c>
      <c r="E114" t="n">
        <v>210010</v>
      </c>
      <c r="F114" t="n">
        <v>180</v>
      </c>
      <c r="G114" t="n">
        <v>100</v>
      </c>
    </row>
    <row r="115">
      <c r="A115" t="n">
        <v>3020027</v>
      </c>
      <c r="B115" t="n">
        <v>421026</v>
      </c>
      <c r="C115" t="n">
        <v>210002</v>
      </c>
      <c r="D115" t="n">
        <v>1500</v>
      </c>
      <c r="E115" t="n">
        <v>210010</v>
      </c>
      <c r="F115" t="n">
        <v>360</v>
      </c>
      <c r="G115" t="n">
        <v>100</v>
      </c>
    </row>
    <row r="116">
      <c r="A116" t="n">
        <v>3020028</v>
      </c>
      <c r="B116" t="n">
        <v>421027</v>
      </c>
      <c r="C116" t="n">
        <v>210002</v>
      </c>
      <c r="D116" t="n">
        <v>1500</v>
      </c>
      <c r="E116" t="n">
        <v>210010</v>
      </c>
      <c r="F116" t="n">
        <v>360</v>
      </c>
      <c r="G116" t="n">
        <v>100</v>
      </c>
    </row>
    <row r="117">
      <c r="A117" t="n">
        <v>3020029</v>
      </c>
      <c r="B117" t="n">
        <v>421028</v>
      </c>
      <c r="C117" t="n">
        <v>210002</v>
      </c>
      <c r="D117" t="n">
        <v>1500</v>
      </c>
      <c r="E117" t="n">
        <v>210010</v>
      </c>
      <c r="F117" t="n">
        <v>360</v>
      </c>
      <c r="G117" t="n">
        <v>100</v>
      </c>
    </row>
    <row r="118">
      <c r="A118" t="n">
        <v>3020030</v>
      </c>
      <c r="B118" t="n">
        <v>421029</v>
      </c>
      <c r="C118" t="n">
        <v>210002</v>
      </c>
      <c r="D118" t="n">
        <v>1500</v>
      </c>
      <c r="E118" t="n">
        <v>210010</v>
      </c>
      <c r="F118" t="n">
        <v>360</v>
      </c>
      <c r="G118" t="n">
        <v>100</v>
      </c>
    </row>
    <row r="119">
      <c r="A119" t="n">
        <v>3020031</v>
      </c>
      <c r="B119" t="n">
        <v>421030</v>
      </c>
      <c r="C119" t="n">
        <v>210002</v>
      </c>
      <c r="D119" t="n">
        <v>1500</v>
      </c>
      <c r="E119" t="n">
        <v>210010</v>
      </c>
      <c r="F119" t="n">
        <v>360</v>
      </c>
      <c r="G119" t="n">
        <v>100</v>
      </c>
    </row>
    <row r="120">
      <c r="A120" t="n">
        <v>3020032</v>
      </c>
      <c r="B120" t="n">
        <v>421031</v>
      </c>
      <c r="C120" t="n">
        <v>210002</v>
      </c>
      <c r="D120" t="n">
        <v>1500</v>
      </c>
      <c r="E120" t="n">
        <v>210010</v>
      </c>
      <c r="F120" t="n">
        <v>360</v>
      </c>
      <c r="G120" t="n">
        <v>100</v>
      </c>
    </row>
    <row r="121">
      <c r="A121" t="n">
        <v>3020033</v>
      </c>
      <c r="B121" t="n">
        <v>421032</v>
      </c>
      <c r="C121" t="n">
        <v>210002</v>
      </c>
      <c r="D121" t="n">
        <v>1500</v>
      </c>
      <c r="E121" t="n">
        <v>210010</v>
      </c>
      <c r="F121" t="n">
        <v>360</v>
      </c>
      <c r="G121" t="n">
        <v>100</v>
      </c>
    </row>
    <row r="122">
      <c r="A122" t="n">
        <v>3020034</v>
      </c>
      <c r="B122" t="n">
        <v>421033</v>
      </c>
      <c r="C122" t="n">
        <v>210002</v>
      </c>
      <c r="D122" t="n">
        <v>1500</v>
      </c>
      <c r="E122" t="n">
        <v>210010</v>
      </c>
      <c r="F122" t="n">
        <v>360</v>
      </c>
      <c r="G122" t="n">
        <v>100</v>
      </c>
    </row>
    <row r="123">
      <c r="A123" t="n">
        <v>3020035</v>
      </c>
      <c r="B123" t="n">
        <v>421034</v>
      </c>
      <c r="C123" t="n">
        <v>210002</v>
      </c>
      <c r="D123" t="n">
        <v>1500</v>
      </c>
      <c r="E123" t="n">
        <v>210010</v>
      </c>
      <c r="F123" t="n">
        <v>180</v>
      </c>
      <c r="G123" t="n">
        <v>100</v>
      </c>
    </row>
    <row r="124">
      <c r="A124" t="n">
        <v>3030001</v>
      </c>
      <c r="B124" t="n">
        <v>431000</v>
      </c>
      <c r="C124" t="n">
        <v>210002</v>
      </c>
      <c r="D124" t="n">
        <v>1500</v>
      </c>
      <c r="E124" t="n">
        <v>210010</v>
      </c>
      <c r="F124" t="n">
        <v>360</v>
      </c>
      <c r="G124" t="n">
        <v>100</v>
      </c>
    </row>
    <row r="125">
      <c r="A125" t="n">
        <v>3030002</v>
      </c>
      <c r="B125" t="n">
        <v>431001</v>
      </c>
      <c r="C125" t="n">
        <v>210002</v>
      </c>
      <c r="D125" t="n">
        <v>150</v>
      </c>
      <c r="E125" t="n">
        <v>210010</v>
      </c>
      <c r="F125" t="n">
        <v>360</v>
      </c>
      <c r="G125" t="n">
        <v>100</v>
      </c>
    </row>
    <row r="126">
      <c r="A126" t="n">
        <v>3030003</v>
      </c>
      <c r="B126" t="n">
        <v>431002</v>
      </c>
      <c r="C126" t="n">
        <v>210002</v>
      </c>
      <c r="D126" t="n">
        <v>1500</v>
      </c>
      <c r="E126" t="n">
        <v>210010</v>
      </c>
      <c r="F126" t="n">
        <v>180</v>
      </c>
      <c r="G126" t="n">
        <v>100</v>
      </c>
    </row>
    <row r="127">
      <c r="A127" t="n">
        <v>3030004</v>
      </c>
      <c r="B127" t="n">
        <v>431003</v>
      </c>
      <c r="C127" t="n">
        <v>210002</v>
      </c>
      <c r="D127" t="n">
        <v>1500</v>
      </c>
      <c r="E127" t="n">
        <v>210010</v>
      </c>
      <c r="F127" t="n">
        <v>90</v>
      </c>
      <c r="G127" t="n">
        <v>100</v>
      </c>
    </row>
    <row r="128">
      <c r="A128" t="n">
        <v>3030005</v>
      </c>
      <c r="B128" t="n">
        <v>431004</v>
      </c>
      <c r="C128" t="n">
        <v>210002</v>
      </c>
      <c r="D128" t="n">
        <v>150</v>
      </c>
      <c r="E128" t="n">
        <v>210010</v>
      </c>
      <c r="F128" t="n">
        <v>180</v>
      </c>
      <c r="G128" t="n">
        <v>100</v>
      </c>
    </row>
    <row r="129">
      <c r="A129" t="n">
        <v>3030006</v>
      </c>
      <c r="B129" t="n">
        <v>431005</v>
      </c>
      <c r="C129" t="n">
        <v>210002</v>
      </c>
      <c r="D129" t="n">
        <v>1500</v>
      </c>
      <c r="E129" t="n">
        <v>210010</v>
      </c>
      <c r="F129" t="n">
        <v>90</v>
      </c>
      <c r="G129" t="n">
        <v>100</v>
      </c>
    </row>
    <row r="130">
      <c r="A130" t="n">
        <v>3030007</v>
      </c>
      <c r="B130" t="n">
        <v>431006</v>
      </c>
      <c r="C130" t="n">
        <v>210002</v>
      </c>
      <c r="D130" t="n">
        <v>1500</v>
      </c>
      <c r="E130" t="n">
        <v>210010</v>
      </c>
      <c r="F130" t="n">
        <v>360</v>
      </c>
      <c r="G130" t="n">
        <v>100</v>
      </c>
    </row>
    <row r="131">
      <c r="A131" t="n">
        <v>3030008</v>
      </c>
      <c r="B131" t="n">
        <v>431007</v>
      </c>
      <c r="C131" t="n">
        <v>210002</v>
      </c>
      <c r="D131" t="n">
        <v>1500</v>
      </c>
      <c r="E131" t="n">
        <v>210010</v>
      </c>
      <c r="F131" t="n">
        <v>180</v>
      </c>
      <c r="G131" t="n">
        <v>100</v>
      </c>
    </row>
    <row r="132">
      <c r="A132" t="n">
        <v>3030009</v>
      </c>
      <c r="B132" t="n">
        <v>431008</v>
      </c>
      <c r="C132" t="n">
        <v>210002</v>
      </c>
      <c r="D132" t="n">
        <v>150</v>
      </c>
      <c r="E132" t="n">
        <v>210010</v>
      </c>
      <c r="F132" t="n">
        <v>180</v>
      </c>
      <c r="G132" t="n">
        <v>100</v>
      </c>
    </row>
    <row r="133">
      <c r="A133" t="n">
        <v>3030010</v>
      </c>
      <c r="B133" t="n">
        <v>431009</v>
      </c>
      <c r="C133" t="n">
        <v>210002</v>
      </c>
      <c r="D133" t="n">
        <v>1500</v>
      </c>
      <c r="E133" t="n">
        <v>210010</v>
      </c>
      <c r="F133" t="n">
        <v>360</v>
      </c>
      <c r="G133" t="n">
        <v>100</v>
      </c>
    </row>
    <row r="134">
      <c r="A134" t="n">
        <v>3030011</v>
      </c>
      <c r="B134" t="n">
        <v>431010</v>
      </c>
      <c r="C134" t="n">
        <v>210002</v>
      </c>
      <c r="D134" t="n">
        <v>1500</v>
      </c>
      <c r="E134" t="n">
        <v>210010</v>
      </c>
      <c r="F134" t="n">
        <v>180</v>
      </c>
      <c r="G134" t="n">
        <v>100</v>
      </c>
    </row>
    <row r="135">
      <c r="A135" t="n">
        <v>3030012</v>
      </c>
      <c r="B135" t="n">
        <v>431011</v>
      </c>
      <c r="C135" t="n">
        <v>210002</v>
      </c>
      <c r="D135" t="n">
        <v>150</v>
      </c>
      <c r="E135" t="n">
        <v>210010</v>
      </c>
      <c r="F135" t="n">
        <v>360</v>
      </c>
      <c r="G135" t="n">
        <v>100</v>
      </c>
    </row>
    <row r="136">
      <c r="A136" t="n">
        <v>3030013</v>
      </c>
      <c r="B136" t="n">
        <v>431012</v>
      </c>
      <c r="C136" t="n">
        <v>210002</v>
      </c>
      <c r="D136" t="n">
        <v>1500</v>
      </c>
      <c r="E136" t="n">
        <v>210010</v>
      </c>
      <c r="F136" t="n">
        <v>360</v>
      </c>
      <c r="G136" t="n">
        <v>100</v>
      </c>
    </row>
    <row r="137">
      <c r="A137" t="n">
        <v>3030014</v>
      </c>
      <c r="B137" t="n">
        <v>431013</v>
      </c>
      <c r="C137" t="n">
        <v>210002</v>
      </c>
      <c r="D137" t="n">
        <v>1500</v>
      </c>
      <c r="E137" t="n">
        <v>210010</v>
      </c>
      <c r="F137" t="n">
        <v>360</v>
      </c>
      <c r="G137" t="n">
        <v>100</v>
      </c>
    </row>
    <row r="138">
      <c r="A138" t="n">
        <v>3030015</v>
      </c>
      <c r="B138" t="n">
        <v>431014</v>
      </c>
      <c r="C138" t="n">
        <v>210002</v>
      </c>
      <c r="D138" t="n">
        <v>1500</v>
      </c>
      <c r="E138" t="n">
        <v>210010</v>
      </c>
      <c r="F138" t="n">
        <v>360</v>
      </c>
      <c r="G138" t="n">
        <v>100</v>
      </c>
    </row>
    <row r="139">
      <c r="A139" t="n">
        <v>3030016</v>
      </c>
      <c r="B139" t="n">
        <v>431015</v>
      </c>
      <c r="C139" t="n">
        <v>210002</v>
      </c>
      <c r="D139" t="n">
        <v>150</v>
      </c>
      <c r="E139" t="n">
        <v>210010</v>
      </c>
      <c r="F139" t="n">
        <v>360</v>
      </c>
      <c r="G139" t="n">
        <v>100</v>
      </c>
    </row>
    <row r="140">
      <c r="A140" t="n">
        <v>3030017</v>
      </c>
      <c r="B140" t="n">
        <v>431016</v>
      </c>
      <c r="C140" t="n">
        <v>210002</v>
      </c>
      <c r="D140" t="n">
        <v>1500</v>
      </c>
      <c r="E140" t="n">
        <v>210010</v>
      </c>
      <c r="F140" t="n">
        <v>360</v>
      </c>
      <c r="G140" t="n">
        <v>100</v>
      </c>
    </row>
    <row r="141">
      <c r="A141" t="n">
        <v>3030018</v>
      </c>
      <c r="B141" t="n">
        <v>431017</v>
      </c>
      <c r="C141" t="n">
        <v>210002</v>
      </c>
      <c r="D141" t="n">
        <v>1500</v>
      </c>
      <c r="E141" t="n">
        <v>210010</v>
      </c>
      <c r="F141" t="n">
        <v>180</v>
      </c>
      <c r="G141" t="n">
        <v>100</v>
      </c>
    </row>
    <row r="142">
      <c r="A142" t="n">
        <v>3040001</v>
      </c>
      <c r="B142" t="n">
        <v>441000</v>
      </c>
      <c r="C142" t="n">
        <v>210002</v>
      </c>
      <c r="D142" t="n">
        <v>1500</v>
      </c>
      <c r="E142" t="n">
        <v>210010</v>
      </c>
      <c r="F142" t="n">
        <v>180</v>
      </c>
      <c r="G142" t="n">
        <v>100</v>
      </c>
    </row>
    <row r="143">
      <c r="A143" t="n">
        <v>3040002</v>
      </c>
      <c r="B143" t="n">
        <v>441001</v>
      </c>
      <c r="C143" t="n">
        <v>210002</v>
      </c>
      <c r="D143" t="n">
        <v>150</v>
      </c>
      <c r="E143" t="n">
        <v>210010</v>
      </c>
      <c r="F143" t="n">
        <v>90</v>
      </c>
      <c r="G143" t="n">
        <v>100</v>
      </c>
    </row>
    <row r="144">
      <c r="A144" t="n">
        <v>3040003</v>
      </c>
      <c r="B144" t="n">
        <v>441002</v>
      </c>
      <c r="C144" t="n">
        <v>210002</v>
      </c>
      <c r="D144" t="n">
        <v>1500</v>
      </c>
      <c r="E144" t="n">
        <v>210010</v>
      </c>
      <c r="F144" t="n">
        <v>90</v>
      </c>
      <c r="G144" t="n">
        <v>100</v>
      </c>
    </row>
    <row r="145">
      <c r="A145" t="n">
        <v>3040004</v>
      </c>
      <c r="B145" t="n">
        <v>441003</v>
      </c>
      <c r="C145" t="n">
        <v>210002</v>
      </c>
      <c r="D145" t="n">
        <v>1500</v>
      </c>
      <c r="E145" t="n">
        <v>210010</v>
      </c>
      <c r="F145" t="n">
        <v>360</v>
      </c>
      <c r="G145" t="n">
        <v>100</v>
      </c>
    </row>
    <row r="146">
      <c r="A146" t="n">
        <v>3040005</v>
      </c>
      <c r="B146" t="n">
        <v>441004</v>
      </c>
      <c r="C146" t="n">
        <v>210002</v>
      </c>
      <c r="D146" t="n">
        <v>150</v>
      </c>
      <c r="E146" t="n">
        <v>210010</v>
      </c>
      <c r="F146" t="n">
        <v>90</v>
      </c>
      <c r="G146" t="n">
        <v>100</v>
      </c>
    </row>
    <row r="147">
      <c r="A147" t="n">
        <v>3040006</v>
      </c>
      <c r="B147" t="n">
        <v>441005</v>
      </c>
      <c r="C147" t="n">
        <v>210002</v>
      </c>
      <c r="D147" t="n">
        <v>1500</v>
      </c>
      <c r="E147" t="n">
        <v>210010</v>
      </c>
      <c r="F147" t="n">
        <v>90</v>
      </c>
      <c r="G147" t="n">
        <v>100</v>
      </c>
    </row>
    <row r="148">
      <c r="A148" t="n">
        <v>3040007</v>
      </c>
      <c r="B148" t="n">
        <v>441006</v>
      </c>
      <c r="C148" t="n">
        <v>210002</v>
      </c>
      <c r="D148" t="n">
        <v>150</v>
      </c>
      <c r="E148" t="n">
        <v>210010</v>
      </c>
      <c r="F148" t="n">
        <v>360</v>
      </c>
      <c r="G148" t="n">
        <v>100</v>
      </c>
    </row>
    <row r="149">
      <c r="A149" t="n">
        <v>3040008</v>
      </c>
      <c r="B149" t="n">
        <v>441007</v>
      </c>
      <c r="C149" t="n">
        <v>210002</v>
      </c>
      <c r="D149" t="n">
        <v>1500</v>
      </c>
      <c r="E149" t="n">
        <v>210010</v>
      </c>
      <c r="F149" t="n">
        <v>360</v>
      </c>
      <c r="G149" t="n">
        <v>100</v>
      </c>
    </row>
    <row r="150">
      <c r="A150" t="n">
        <v>3040009</v>
      </c>
      <c r="B150" t="n">
        <v>441008</v>
      </c>
      <c r="C150" t="n">
        <v>210002</v>
      </c>
      <c r="D150" t="n">
        <v>1500</v>
      </c>
      <c r="E150" t="n">
        <v>210010</v>
      </c>
      <c r="F150" t="n">
        <v>90</v>
      </c>
      <c r="G150" t="n">
        <v>100</v>
      </c>
    </row>
    <row r="151">
      <c r="A151" t="n">
        <v>3040010</v>
      </c>
      <c r="B151" t="n">
        <v>441009</v>
      </c>
      <c r="C151" t="n">
        <v>210002</v>
      </c>
      <c r="D151" t="n">
        <v>150</v>
      </c>
      <c r="E151" t="n">
        <v>210010</v>
      </c>
      <c r="F151" t="n">
        <v>360</v>
      </c>
      <c r="G151" t="n">
        <v>100</v>
      </c>
    </row>
    <row r="152">
      <c r="A152" t="n">
        <v>3040011</v>
      </c>
      <c r="B152" t="n">
        <v>441010</v>
      </c>
      <c r="C152" t="n">
        <v>210002</v>
      </c>
      <c r="D152" t="n">
        <v>1500</v>
      </c>
      <c r="E152" t="n">
        <v>210010</v>
      </c>
      <c r="F152" t="n">
        <v>180</v>
      </c>
      <c r="G152" t="n">
        <v>100</v>
      </c>
    </row>
    <row r="153">
      <c r="A153" t="n">
        <v>3040012</v>
      </c>
      <c r="B153" t="n">
        <v>441011</v>
      </c>
      <c r="C153" t="n">
        <v>210002</v>
      </c>
      <c r="D153" t="n">
        <v>1500</v>
      </c>
      <c r="E153" t="n">
        <v>210010</v>
      </c>
      <c r="F153" t="n">
        <v>180</v>
      </c>
      <c r="G153" t="n">
        <v>100</v>
      </c>
    </row>
    <row r="154">
      <c r="A154" t="n">
        <v>3040013</v>
      </c>
      <c r="B154" t="n">
        <v>441012</v>
      </c>
      <c r="C154" t="n">
        <v>210002</v>
      </c>
      <c r="D154" t="n">
        <v>1500</v>
      </c>
      <c r="E154" t="n">
        <v>210010</v>
      </c>
      <c r="F154" t="n">
        <v>360</v>
      </c>
      <c r="G154" t="n">
        <v>100</v>
      </c>
    </row>
    <row r="155">
      <c r="A155" t="n">
        <v>3040014</v>
      </c>
      <c r="B155" t="n">
        <v>441013</v>
      </c>
      <c r="C155" t="n">
        <v>210002</v>
      </c>
      <c r="D155" t="n">
        <v>1500</v>
      </c>
      <c r="E155" t="n">
        <v>210010</v>
      </c>
      <c r="F155" t="n">
        <v>360</v>
      </c>
      <c r="G155" t="n">
        <v>100</v>
      </c>
    </row>
    <row r="156">
      <c r="A156" t="n">
        <v>3040015</v>
      </c>
      <c r="B156" t="n">
        <v>441014</v>
      </c>
      <c r="C156" t="n">
        <v>210002</v>
      </c>
      <c r="D156" t="n">
        <v>1500</v>
      </c>
      <c r="E156" t="n">
        <v>210010</v>
      </c>
      <c r="F156" t="n">
        <v>360</v>
      </c>
      <c r="G156" t="n">
        <v>100</v>
      </c>
    </row>
    <row r="157">
      <c r="A157" t="n">
        <v>6010001</v>
      </c>
      <c r="B157" t="n">
        <v>421035</v>
      </c>
      <c r="C157" t="n">
        <v>210006</v>
      </c>
      <c r="D157" t="n">
        <v>300</v>
      </c>
      <c r="E157" t="n">
        <v>210010</v>
      </c>
      <c r="F157" t="n">
        <v>360</v>
      </c>
      <c r="G157" t="n">
        <v>100</v>
      </c>
    </row>
    <row r="158">
      <c r="A158" t="n">
        <v>6010002</v>
      </c>
      <c r="B158" t="n">
        <v>431018</v>
      </c>
      <c r="C158" t="n">
        <v>210006</v>
      </c>
      <c r="D158" t="n">
        <v>300</v>
      </c>
      <c r="E158" t="n">
        <v>210010</v>
      </c>
      <c r="F158" t="n">
        <v>360</v>
      </c>
      <c r="G158" t="n">
        <v>100</v>
      </c>
    </row>
    <row r="159">
      <c r="A159" t="n">
        <v>6010003</v>
      </c>
      <c r="B159" t="n">
        <v>441015</v>
      </c>
      <c r="C159" t="n">
        <v>210006</v>
      </c>
      <c r="D159" t="n">
        <v>300</v>
      </c>
      <c r="E159" t="n">
        <v>210010</v>
      </c>
      <c r="F159" t="n">
        <v>360</v>
      </c>
      <c r="G159" t="n">
        <v>100</v>
      </c>
    </row>
    <row r="160">
      <c r="A160" t="n">
        <v>6010004</v>
      </c>
      <c r="B160" t="n">
        <v>421036</v>
      </c>
      <c r="C160" t="n">
        <v>210006</v>
      </c>
      <c r="D160" t="n">
        <v>240</v>
      </c>
      <c r="E160" t="n">
        <v>210010</v>
      </c>
      <c r="F160" t="n">
        <v>180</v>
      </c>
      <c r="G160" t="n">
        <v>100</v>
      </c>
    </row>
    <row r="161">
      <c r="A161" t="n">
        <v>6010005</v>
      </c>
      <c r="B161" t="n">
        <v>421037</v>
      </c>
      <c r="C161" t="n">
        <v>210006</v>
      </c>
      <c r="D161" t="n">
        <v>200</v>
      </c>
      <c r="E161" t="n">
        <v>210010</v>
      </c>
      <c r="F161" t="n">
        <v>180</v>
      </c>
      <c r="G161" t="n">
        <v>100</v>
      </c>
    </row>
    <row r="162">
      <c r="A162" t="n">
        <v>6010006</v>
      </c>
      <c r="B162" t="n">
        <v>421038</v>
      </c>
      <c r="C162" t="n">
        <v>210006</v>
      </c>
      <c r="D162" t="n">
        <v>200</v>
      </c>
      <c r="E162" t="n">
        <v>210010</v>
      </c>
      <c r="F162" t="n">
        <v>180</v>
      </c>
      <c r="G162" t="n">
        <v>100</v>
      </c>
    </row>
    <row r="163">
      <c r="A163" t="n">
        <v>6010007</v>
      </c>
      <c r="B163" t="n">
        <v>421039</v>
      </c>
      <c r="C163" t="n">
        <v>210006</v>
      </c>
      <c r="D163" t="n">
        <v>200</v>
      </c>
      <c r="E163" t="n">
        <v>210010</v>
      </c>
      <c r="F163" t="n">
        <v>180</v>
      </c>
      <c r="G163" t="n">
        <v>100</v>
      </c>
    </row>
    <row r="164">
      <c r="A164" t="n">
        <v>7060000</v>
      </c>
      <c r="B164" t="n">
        <v>421030</v>
      </c>
      <c r="C164" t="inlineStr">
        <is>
          <t>210001</t>
        </is>
      </c>
      <c r="D164" t="n">
        <v>600</v>
      </c>
      <c r="E164" t="n">
        <v>210010</v>
      </c>
      <c r="F164" t="n">
        <v>360</v>
      </c>
      <c r="G164" t="n">
        <v>100</v>
      </c>
    </row>
    <row r="165">
      <c r="A165" t="n">
        <v>7060001</v>
      </c>
      <c r="B165" t="n">
        <v>421020</v>
      </c>
      <c r="C165" t="inlineStr">
        <is>
          <t>210001</t>
        </is>
      </c>
      <c r="D165" t="n">
        <v>400</v>
      </c>
      <c r="E165" t="n">
        <v>210010</v>
      </c>
      <c r="F165" t="n">
        <v>180</v>
      </c>
      <c r="G165" t="n">
        <v>100</v>
      </c>
    </row>
    <row r="166">
      <c r="A166" t="n">
        <v>7060002</v>
      </c>
      <c r="B166" t="n">
        <v>421034</v>
      </c>
      <c r="C166" t="inlineStr">
        <is>
          <t>210001</t>
        </is>
      </c>
      <c r="D166" t="n">
        <v>400</v>
      </c>
      <c r="E166" t="n">
        <v>210010</v>
      </c>
      <c r="F166" t="n">
        <v>180</v>
      </c>
      <c r="G166" t="n">
        <v>100</v>
      </c>
    </row>
    <row r="167">
      <c r="A167" t="n">
        <v>7070000</v>
      </c>
      <c r="B167" t="n">
        <v>431014</v>
      </c>
      <c r="C167" t="inlineStr">
        <is>
          <t>210001</t>
        </is>
      </c>
      <c r="D167" t="n">
        <v>600</v>
      </c>
      <c r="E167" t="n">
        <v>210010</v>
      </c>
      <c r="F167" t="n">
        <v>360</v>
      </c>
      <c r="G167" t="n">
        <v>100</v>
      </c>
    </row>
    <row r="168">
      <c r="A168" t="n">
        <v>7070001</v>
      </c>
      <c r="B168" t="n">
        <v>431010</v>
      </c>
      <c r="C168" t="inlineStr">
        <is>
          <t>210001</t>
        </is>
      </c>
      <c r="D168" t="n">
        <v>400</v>
      </c>
      <c r="E168" t="n">
        <v>210010</v>
      </c>
      <c r="F168" t="n">
        <v>180</v>
      </c>
      <c r="G168" t="n">
        <v>100</v>
      </c>
    </row>
    <row r="169">
      <c r="A169" t="n">
        <v>7070002</v>
      </c>
      <c r="B169" t="n">
        <v>431017</v>
      </c>
      <c r="C169" t="inlineStr">
        <is>
          <t>210001</t>
        </is>
      </c>
      <c r="D169" t="n">
        <v>400</v>
      </c>
      <c r="E169" t="n">
        <v>210010</v>
      </c>
      <c r="F169" t="n">
        <v>180</v>
      </c>
      <c r="G169" t="n">
        <v>100</v>
      </c>
    </row>
    <row r="170">
      <c r="A170" t="n">
        <v>7080000</v>
      </c>
      <c r="B170" t="n">
        <v>421002</v>
      </c>
      <c r="C170" t="inlineStr">
        <is>
          <t>210001</t>
        </is>
      </c>
      <c r="D170" t="n">
        <v>200</v>
      </c>
      <c r="E170" t="n">
        <v>210010</v>
      </c>
      <c r="F170" t="n">
        <v>180</v>
      </c>
      <c r="G170" t="n">
        <v>100</v>
      </c>
    </row>
    <row r="171">
      <c r="A171" t="n">
        <v>7080001</v>
      </c>
      <c r="B171" t="n">
        <v>441001</v>
      </c>
      <c r="C171" t="inlineStr">
        <is>
          <t>210001</t>
        </is>
      </c>
      <c r="D171" t="n">
        <v>200</v>
      </c>
      <c r="E171" t="n">
        <v>210010</v>
      </c>
      <c r="F171" t="n">
        <v>90</v>
      </c>
      <c r="G171" t="n">
        <v>100</v>
      </c>
    </row>
    <row r="172">
      <c r="A172" t="n">
        <v>7080002</v>
      </c>
      <c r="B172" t="n">
        <v>441003</v>
      </c>
      <c r="C172" t="inlineStr">
        <is>
          <t>210001</t>
        </is>
      </c>
      <c r="D172" t="n">
        <v>200</v>
      </c>
      <c r="E172" t="n">
        <v>210010</v>
      </c>
      <c r="F172" t="n">
        <v>360</v>
      </c>
      <c r="G172" t="n">
        <v>100</v>
      </c>
    </row>
  </sheetData>
  <pageMargins left="0.75" right="0.75" top="1" bottom="1" header="0.5" footer="0.5"/>
</worksheet>
</file>